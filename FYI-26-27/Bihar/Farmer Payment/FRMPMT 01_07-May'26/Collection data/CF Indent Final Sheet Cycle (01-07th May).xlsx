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1_07-May'26\Collection data\"/>
    </mc:Choice>
  </mc:AlternateContent>
  <xr:revisionPtr revIDLastSave="0" documentId="13_ncr:1_{2A0505BA-1CB1-4F75-BE6F-8670C11005A0}" xr6:coauthVersionLast="47" xr6:coauthVersionMax="47" xr10:uidLastSave="{00000000-0000-0000-0000-000000000000}"/>
  <bookViews>
    <workbookView xWindow="-120" yWindow="-120" windowWidth="29040" windowHeight="15720" activeTab="4" xr2:uid="{76F2AFE5-0FFC-43B2-8654-7FF89608915E}"/>
  </bookViews>
  <sheets>
    <sheet name="Rates" sheetId="1" r:id="rId1"/>
    <sheet name="Sheet1" sheetId="4" r:id="rId2"/>
    <sheet name="Sheet2" sheetId="5" r:id="rId3"/>
    <sheet name="CF indent 01-07th May-26" sheetId="2" r:id="rId4"/>
    <sheet name="Sheet4" sheetId="6" r:id="rId5"/>
    <sheet name="Sheet3" sheetId="3" r:id="rId6"/>
  </sheets>
  <externalReferences>
    <externalReference r:id="rId7"/>
    <externalReference r:id="rId8"/>
  </externalReferences>
  <definedNames>
    <definedName name="_xlnm._FilterDatabase" localSheetId="4" hidden="1">Sheet4!$A$1:$AD$927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_xlnm.Print_Area" localSheetId="3">Table1[]</definedName>
    <definedName name="Sample_Milk">'[1]Farmer Payment Calc'!$K$2:$K$1048576</definedName>
    <definedName name="Vol_L">'[1]Farmer Payment Calc'!$H$2:$H$1048576</definedName>
  </definedNames>
  <calcPr calcId="191029"/>
  <pivotCaches>
    <pivotCache cacheId="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91" i="2" l="1"/>
  <c r="T194" i="2" l="1"/>
  <c r="T196" i="2" s="1"/>
  <c r="T203" i="2" l="1"/>
  <c r="J158" i="4" l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D166" i="2"/>
  <c r="G166" i="2"/>
  <c r="J166" i="2"/>
  <c r="L166" i="2"/>
  <c r="M166" i="2"/>
  <c r="O166" i="2"/>
  <c r="P166" i="2" s="1"/>
  <c r="Q166" i="2"/>
  <c r="D163" i="2"/>
  <c r="G163" i="2"/>
  <c r="J163" i="2"/>
  <c r="L163" i="2"/>
  <c r="M163" i="2"/>
  <c r="P163" i="2"/>
  <c r="Q163" i="2"/>
  <c r="D164" i="2"/>
  <c r="G164" i="2"/>
  <c r="J164" i="2"/>
  <c r="L164" i="2"/>
  <c r="M164" i="2"/>
  <c r="Q164" i="2"/>
  <c r="R164" i="2" s="1"/>
  <c r="D162" i="2"/>
  <c r="D184" i="2"/>
  <c r="G162" i="2"/>
  <c r="G184" i="2"/>
  <c r="J162" i="2"/>
  <c r="J184" i="2"/>
  <c r="L162" i="2"/>
  <c r="L184" i="2"/>
  <c r="M162" i="2"/>
  <c r="M184" i="2"/>
  <c r="P162" i="2"/>
  <c r="P184" i="2"/>
  <c r="Q162" i="2"/>
  <c r="R162" i="2" s="1"/>
  <c r="Q184" i="2"/>
  <c r="R184" i="2" s="1"/>
  <c r="R166" i="2" l="1"/>
  <c r="R163" i="2"/>
  <c r="P164" i="2"/>
  <c r="P21" i="2" l="1"/>
  <c r="P26" i="2"/>
  <c r="P37" i="2"/>
  <c r="P186" i="2"/>
  <c r="O3" i="2"/>
  <c r="P3" i="2" s="1"/>
  <c r="O4" i="2"/>
  <c r="P4" i="2" s="1"/>
  <c r="O5" i="2"/>
  <c r="P5" i="2" s="1"/>
  <c r="O6" i="2"/>
  <c r="P6" i="2" s="1"/>
  <c r="O11" i="2"/>
  <c r="P11" i="2" s="1"/>
  <c r="O12" i="2"/>
  <c r="P12" i="2" s="1"/>
  <c r="O13" i="2"/>
  <c r="P13" i="2" s="1"/>
  <c r="O14" i="2"/>
  <c r="P14" i="2" s="1"/>
  <c r="P15" i="2"/>
  <c r="O16" i="2"/>
  <c r="P16" i="2" s="1"/>
  <c r="O17" i="2"/>
  <c r="P17" i="2" s="1"/>
  <c r="O18" i="2"/>
  <c r="P18" i="2" s="1"/>
  <c r="O19" i="2"/>
  <c r="P19" i="2" s="1"/>
  <c r="O20" i="2"/>
  <c r="P20" i="2" s="1"/>
  <c r="P22" i="2"/>
  <c r="P167" i="2"/>
  <c r="O23" i="2"/>
  <c r="P23" i="2" s="1"/>
  <c r="O168" i="2"/>
  <c r="P168" i="2" s="1"/>
  <c r="O169" i="2"/>
  <c r="P169" i="2" s="1"/>
  <c r="O27" i="2"/>
  <c r="P27" i="2" s="1"/>
  <c r="O170" i="2"/>
  <c r="P170" i="2" s="1"/>
  <c r="O28" i="2"/>
  <c r="P28" i="2" s="1"/>
  <c r="O171" i="2"/>
  <c r="P171" i="2" s="1"/>
  <c r="O172" i="2"/>
  <c r="P172" i="2" s="1"/>
  <c r="O31" i="2"/>
  <c r="P31" i="2" s="1"/>
  <c r="O173" i="2"/>
  <c r="P173" i="2" s="1"/>
  <c r="O32" i="2"/>
  <c r="P32" i="2" s="1"/>
  <c r="O33" i="2"/>
  <c r="P33" i="2" s="1"/>
  <c r="O34" i="2"/>
  <c r="P34" i="2" s="1"/>
  <c r="O35" i="2"/>
  <c r="P35" i="2" s="1"/>
  <c r="O174" i="2"/>
  <c r="P174" i="2" s="1"/>
  <c r="O175" i="2"/>
  <c r="P175" i="2" s="1"/>
  <c r="O36" i="2"/>
  <c r="P36" i="2" s="1"/>
  <c r="O38" i="2"/>
  <c r="P38" i="2" s="1"/>
  <c r="O40" i="2"/>
  <c r="P40" i="2" s="1"/>
  <c r="O41" i="2"/>
  <c r="P41" i="2" s="1"/>
  <c r="O42" i="2"/>
  <c r="P42" i="2" s="1"/>
  <c r="O43" i="2"/>
  <c r="P43" i="2" s="1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O51" i="2"/>
  <c r="O52" i="2"/>
  <c r="P52" i="2" s="1"/>
  <c r="O53" i="2"/>
  <c r="P53" i="2" s="1"/>
  <c r="O54" i="2"/>
  <c r="P54" i="2" s="1"/>
  <c r="O55" i="2"/>
  <c r="P55" i="2" s="1"/>
  <c r="O57" i="2"/>
  <c r="O59" i="2"/>
  <c r="P59" i="2" s="1"/>
  <c r="O176" i="2"/>
  <c r="P176" i="2" s="1"/>
  <c r="O177" i="2"/>
  <c r="P177" i="2" s="1"/>
  <c r="O178" i="2"/>
  <c r="P178" i="2" s="1"/>
  <c r="O64" i="2"/>
  <c r="P64" i="2" s="1"/>
  <c r="O67" i="2"/>
  <c r="P67" i="2" s="1"/>
  <c r="O68" i="2"/>
  <c r="P68" i="2" s="1"/>
  <c r="O69" i="2"/>
  <c r="P69" i="2" s="1"/>
  <c r="O70" i="2"/>
  <c r="P70" i="2" s="1"/>
  <c r="O71" i="2"/>
  <c r="P71" i="2" s="1"/>
  <c r="O72" i="2"/>
  <c r="P72" i="2" s="1"/>
  <c r="O73" i="2"/>
  <c r="P73" i="2" s="1"/>
  <c r="O74" i="2"/>
  <c r="P74" i="2" s="1"/>
  <c r="O75" i="2"/>
  <c r="P75" i="2" s="1"/>
  <c r="O76" i="2"/>
  <c r="P76" i="2" s="1"/>
  <c r="O77" i="2"/>
  <c r="P77" i="2" s="1"/>
  <c r="O78" i="2"/>
  <c r="P78" i="2" s="1"/>
  <c r="O79" i="2"/>
  <c r="P79" i="2" s="1"/>
  <c r="O80" i="2"/>
  <c r="P80" i="2" s="1"/>
  <c r="O82" i="2"/>
  <c r="O83" i="2"/>
  <c r="P83" i="2" s="1"/>
  <c r="O84" i="2"/>
  <c r="P84" i="2" s="1"/>
  <c r="O85" i="2"/>
  <c r="P85" i="2" s="1"/>
  <c r="O86" i="2"/>
  <c r="O87" i="2"/>
  <c r="P87" i="2" s="1"/>
  <c r="O88" i="2"/>
  <c r="P88" i="2" s="1"/>
  <c r="O187" i="2"/>
  <c r="P187" i="2" s="1"/>
  <c r="O179" i="2"/>
  <c r="P179" i="2" s="1"/>
  <c r="O89" i="2"/>
  <c r="P89" i="2" s="1"/>
  <c r="O90" i="2"/>
  <c r="P90" i="2" s="1"/>
  <c r="O91" i="2"/>
  <c r="P91" i="2" s="1"/>
  <c r="O92" i="2"/>
  <c r="P92" i="2" s="1"/>
  <c r="O93" i="2"/>
  <c r="P93" i="2" s="1"/>
  <c r="O94" i="2"/>
  <c r="P94" i="2" s="1"/>
  <c r="O95" i="2"/>
  <c r="P95" i="2" s="1"/>
  <c r="O96" i="2"/>
  <c r="P96" i="2" s="1"/>
  <c r="O97" i="2"/>
  <c r="P97" i="2" s="1"/>
  <c r="O98" i="2"/>
  <c r="P98" i="2" s="1"/>
  <c r="O99" i="2"/>
  <c r="P99" i="2" s="1"/>
  <c r="O100" i="2"/>
  <c r="P100" i="2" s="1"/>
  <c r="O101" i="2"/>
  <c r="P101" i="2" s="1"/>
  <c r="O102" i="2"/>
  <c r="P102" i="2" s="1"/>
  <c r="O103" i="2"/>
  <c r="P103" i="2" s="1"/>
  <c r="O104" i="2"/>
  <c r="O105" i="2"/>
  <c r="P105" i="2" s="1"/>
  <c r="O106" i="2"/>
  <c r="P106" i="2" s="1"/>
  <c r="P137" i="2"/>
  <c r="P138" i="2"/>
  <c r="P180" i="2"/>
  <c r="O141" i="2"/>
  <c r="P141" i="2" s="1"/>
  <c r="O181" i="2"/>
  <c r="O182" i="2"/>
  <c r="O142" i="2"/>
  <c r="O143" i="2"/>
  <c r="P143" i="2" s="1"/>
  <c r="O144" i="2"/>
  <c r="O145" i="2"/>
  <c r="O148" i="2"/>
  <c r="O183" i="2"/>
  <c r="O150" i="2"/>
  <c r="P150" i="2" s="1"/>
  <c r="O151" i="2"/>
  <c r="O190" i="2"/>
  <c r="P190" i="2" s="1"/>
  <c r="P160" i="2"/>
  <c r="P161" i="2"/>
  <c r="O2" i="2"/>
  <c r="J3" i="2"/>
  <c r="J4" i="2"/>
  <c r="J5" i="2"/>
  <c r="J6" i="2"/>
  <c r="J7" i="2"/>
  <c r="J8" i="2"/>
  <c r="J9" i="2"/>
  <c r="J10" i="2"/>
  <c r="J167" i="2"/>
  <c r="J23" i="2"/>
  <c r="J168" i="2"/>
  <c r="J169" i="2"/>
  <c r="J24" i="2"/>
  <c r="J25" i="2"/>
  <c r="J26" i="2"/>
  <c r="J27" i="2"/>
  <c r="J170" i="2"/>
  <c r="J28" i="2"/>
  <c r="J29" i="2"/>
  <c r="J30" i="2"/>
  <c r="J171" i="2"/>
  <c r="J172" i="2"/>
  <c r="J31" i="2"/>
  <c r="J173" i="2"/>
  <c r="J32" i="2"/>
  <c r="J33" i="2"/>
  <c r="J34" i="2"/>
  <c r="J35" i="2"/>
  <c r="J174" i="2"/>
  <c r="J17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176" i="2"/>
  <c r="J177" i="2"/>
  <c r="J178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179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35" i="2"/>
  <c r="J136" i="2"/>
  <c r="J137" i="2"/>
  <c r="J138" i="2"/>
  <c r="J139" i="2"/>
  <c r="J140" i="2"/>
  <c r="J180" i="2"/>
  <c r="J141" i="2"/>
  <c r="J181" i="2"/>
  <c r="J182" i="2"/>
  <c r="J142" i="2"/>
  <c r="J143" i="2"/>
  <c r="J144" i="2"/>
  <c r="J145" i="2"/>
  <c r="J146" i="2"/>
  <c r="J147" i="2"/>
  <c r="J148" i="2"/>
  <c r="J183" i="2"/>
  <c r="J150" i="2"/>
  <c r="J151" i="2"/>
  <c r="J158" i="2"/>
  <c r="J159" i="2"/>
  <c r="J160" i="2"/>
  <c r="J161" i="2"/>
  <c r="J185" i="2"/>
  <c r="J16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167" i="2"/>
  <c r="G23" i="2"/>
  <c r="G168" i="2"/>
  <c r="G169" i="2"/>
  <c r="G24" i="2"/>
  <c r="G25" i="2"/>
  <c r="G26" i="2"/>
  <c r="G27" i="2"/>
  <c r="G170" i="2"/>
  <c r="G28" i="2"/>
  <c r="G29" i="2"/>
  <c r="G30" i="2"/>
  <c r="G171" i="2"/>
  <c r="G172" i="2"/>
  <c r="G31" i="2"/>
  <c r="G173" i="2"/>
  <c r="G32" i="2"/>
  <c r="G33" i="2"/>
  <c r="G34" i="2"/>
  <c r="G35" i="2"/>
  <c r="G174" i="2"/>
  <c r="G17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176" i="2"/>
  <c r="G177" i="2"/>
  <c r="G178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179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80" i="2"/>
  <c r="G141" i="2"/>
  <c r="G181" i="2"/>
  <c r="G182" i="2"/>
  <c r="G142" i="2"/>
  <c r="G143" i="2"/>
  <c r="G144" i="2"/>
  <c r="G145" i="2"/>
  <c r="G146" i="2"/>
  <c r="G147" i="2"/>
  <c r="G148" i="2"/>
  <c r="G183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85" i="2"/>
  <c r="G165" i="2"/>
  <c r="D165" i="2"/>
  <c r="L165" i="2"/>
  <c r="M165" i="2"/>
  <c r="Q165" i="2"/>
  <c r="D185" i="2"/>
  <c r="L185" i="2"/>
  <c r="M185" i="2"/>
  <c r="Q185" i="2"/>
  <c r="D161" i="2"/>
  <c r="L161" i="2"/>
  <c r="M161" i="2"/>
  <c r="Q161" i="2"/>
  <c r="R161" i="2" s="1"/>
  <c r="D160" i="2"/>
  <c r="L160" i="2"/>
  <c r="M160" i="2"/>
  <c r="Q160" i="2"/>
  <c r="D159" i="2"/>
  <c r="L159" i="2"/>
  <c r="M159" i="2"/>
  <c r="Q159" i="2"/>
  <c r="D158" i="2"/>
  <c r="L158" i="2"/>
  <c r="M158" i="2"/>
  <c r="Q158" i="2"/>
  <c r="D157" i="2"/>
  <c r="L157" i="2"/>
  <c r="M157" i="2"/>
  <c r="Q157" i="2"/>
  <c r="D156" i="2"/>
  <c r="L156" i="2"/>
  <c r="M156" i="2"/>
  <c r="Q156" i="2"/>
  <c r="D155" i="2"/>
  <c r="L155" i="2"/>
  <c r="M155" i="2"/>
  <c r="Q155" i="2"/>
  <c r="D154" i="2"/>
  <c r="L154" i="2"/>
  <c r="M154" i="2"/>
  <c r="Q154" i="2"/>
  <c r="D190" i="2"/>
  <c r="L190" i="2"/>
  <c r="M190" i="2"/>
  <c r="Q190" i="2"/>
  <c r="D153" i="2"/>
  <c r="L153" i="2"/>
  <c r="M153" i="2"/>
  <c r="Q153" i="2"/>
  <c r="D152" i="2"/>
  <c r="L152" i="2"/>
  <c r="M152" i="2"/>
  <c r="Q152" i="2"/>
  <c r="D151" i="2"/>
  <c r="L151" i="2"/>
  <c r="M151" i="2"/>
  <c r="Q151" i="2"/>
  <c r="D150" i="2"/>
  <c r="L150" i="2"/>
  <c r="M150" i="2"/>
  <c r="Q150" i="2"/>
  <c r="D149" i="2"/>
  <c r="L149" i="2"/>
  <c r="M149" i="2"/>
  <c r="Q149" i="2"/>
  <c r="D183" i="2"/>
  <c r="L183" i="2"/>
  <c r="M183" i="2"/>
  <c r="Q183" i="2"/>
  <c r="D148" i="2"/>
  <c r="L148" i="2"/>
  <c r="M148" i="2"/>
  <c r="Q148" i="2"/>
  <c r="D147" i="2"/>
  <c r="L147" i="2"/>
  <c r="M147" i="2"/>
  <c r="Q147" i="2"/>
  <c r="D146" i="2"/>
  <c r="L146" i="2"/>
  <c r="M146" i="2"/>
  <c r="Q146" i="2"/>
  <c r="D145" i="2"/>
  <c r="L145" i="2"/>
  <c r="M145" i="2"/>
  <c r="Q145" i="2"/>
  <c r="D144" i="2"/>
  <c r="L144" i="2"/>
  <c r="M144" i="2"/>
  <c r="Q144" i="2"/>
  <c r="D143" i="2"/>
  <c r="L143" i="2"/>
  <c r="M143" i="2"/>
  <c r="Q143" i="2"/>
  <c r="D142" i="2"/>
  <c r="L142" i="2"/>
  <c r="M142" i="2"/>
  <c r="Q142" i="2"/>
  <c r="D182" i="2"/>
  <c r="L182" i="2"/>
  <c r="M182" i="2"/>
  <c r="Q182" i="2"/>
  <c r="R150" i="2" l="1"/>
  <c r="R143" i="2"/>
  <c r="R190" i="2"/>
  <c r="R159" i="2"/>
  <c r="R183" i="2"/>
  <c r="R145" i="2"/>
  <c r="R182" i="2"/>
  <c r="R185" i="2"/>
  <c r="R158" i="2"/>
  <c r="R151" i="2"/>
  <c r="R148" i="2"/>
  <c r="R144" i="2"/>
  <c r="R160" i="2"/>
  <c r="R142" i="2"/>
  <c r="P142" i="2"/>
  <c r="P159" i="2"/>
  <c r="P183" i="2"/>
  <c r="P145" i="2"/>
  <c r="P182" i="2"/>
  <c r="P140" i="2"/>
  <c r="P136" i="2"/>
  <c r="P185" i="2"/>
  <c r="P158" i="2"/>
  <c r="P151" i="2"/>
  <c r="P148" i="2"/>
  <c r="P144" i="2"/>
  <c r="P181" i="2"/>
  <c r="P139" i="2"/>
  <c r="P135" i="2"/>
  <c r="P104" i="2"/>
  <c r="P86" i="2"/>
  <c r="P82" i="2"/>
  <c r="P57" i="2"/>
  <c r="P51" i="2"/>
  <c r="D181" i="2"/>
  <c r="L181" i="2"/>
  <c r="M181" i="2"/>
  <c r="Q181" i="2"/>
  <c r="R181" i="2" s="1"/>
  <c r="D141" i="2"/>
  <c r="L141" i="2"/>
  <c r="M141" i="2"/>
  <c r="Q141" i="2"/>
  <c r="R141" i="2" s="1"/>
  <c r="D180" i="2"/>
  <c r="L180" i="2"/>
  <c r="M180" i="2"/>
  <c r="Q180" i="2"/>
  <c r="R180" i="2" s="1"/>
  <c r="D140" i="2"/>
  <c r="L140" i="2"/>
  <c r="M140" i="2"/>
  <c r="Q140" i="2"/>
  <c r="R140" i="2" s="1"/>
  <c r="D139" i="2"/>
  <c r="L139" i="2"/>
  <c r="M139" i="2"/>
  <c r="Q139" i="2"/>
  <c r="R139" i="2" s="1"/>
  <c r="D138" i="2"/>
  <c r="L138" i="2"/>
  <c r="M138" i="2"/>
  <c r="Q138" i="2"/>
  <c r="R138" i="2" s="1"/>
  <c r="D137" i="2"/>
  <c r="L137" i="2"/>
  <c r="M137" i="2"/>
  <c r="Q137" i="2"/>
  <c r="R137" i="2" s="1"/>
  <c r="D136" i="2"/>
  <c r="L136" i="2"/>
  <c r="M136" i="2"/>
  <c r="Q136" i="2"/>
  <c r="R136" i="2" s="1"/>
  <c r="D135" i="2"/>
  <c r="L135" i="2"/>
  <c r="M135" i="2"/>
  <c r="Q135" i="2"/>
  <c r="R135" i="2" s="1"/>
  <c r="D134" i="2"/>
  <c r="L134" i="2"/>
  <c r="M134" i="2"/>
  <c r="Q134" i="2"/>
  <c r="D133" i="2"/>
  <c r="L133" i="2"/>
  <c r="M133" i="2"/>
  <c r="Q133" i="2"/>
  <c r="D132" i="2"/>
  <c r="L132" i="2"/>
  <c r="M132" i="2"/>
  <c r="Q132" i="2"/>
  <c r="D131" i="2"/>
  <c r="L131" i="2"/>
  <c r="M131" i="2"/>
  <c r="Q131" i="2"/>
  <c r="D130" i="2"/>
  <c r="L130" i="2"/>
  <c r="M130" i="2"/>
  <c r="Q130" i="2"/>
  <c r="D129" i="2"/>
  <c r="L129" i="2"/>
  <c r="M129" i="2"/>
  <c r="Q129" i="2"/>
  <c r="D128" i="2"/>
  <c r="L128" i="2"/>
  <c r="M128" i="2"/>
  <c r="Q128" i="2"/>
  <c r="D189" i="2"/>
  <c r="L189" i="2"/>
  <c r="M189" i="2"/>
  <c r="Q189" i="2"/>
  <c r="D127" i="2"/>
  <c r="L127" i="2"/>
  <c r="M127" i="2"/>
  <c r="Q127" i="2"/>
  <c r="D126" i="2"/>
  <c r="L126" i="2"/>
  <c r="M126" i="2"/>
  <c r="Q126" i="2"/>
  <c r="D188" i="2"/>
  <c r="L188" i="2"/>
  <c r="M188" i="2"/>
  <c r="Q188" i="2"/>
  <c r="D119" i="2"/>
  <c r="L119" i="2"/>
  <c r="M119" i="2"/>
  <c r="Q119" i="2"/>
  <c r="D120" i="2"/>
  <c r="L120" i="2"/>
  <c r="M120" i="2"/>
  <c r="Q120" i="2"/>
  <c r="D121" i="2"/>
  <c r="L121" i="2"/>
  <c r="M121" i="2"/>
  <c r="Q121" i="2"/>
  <c r="D122" i="2"/>
  <c r="L122" i="2"/>
  <c r="M122" i="2"/>
  <c r="Q122" i="2"/>
  <c r="D123" i="2"/>
  <c r="L123" i="2"/>
  <c r="M123" i="2"/>
  <c r="Q123" i="2"/>
  <c r="D124" i="2"/>
  <c r="L124" i="2"/>
  <c r="M124" i="2"/>
  <c r="Q124" i="2"/>
  <c r="P2" i="2" l="1"/>
  <c r="D51" i="2"/>
  <c r="D52" i="2"/>
  <c r="L51" i="2"/>
  <c r="L52" i="2"/>
  <c r="M51" i="2"/>
  <c r="M52" i="2"/>
  <c r="Q51" i="2"/>
  <c r="R51" i="2" s="1"/>
  <c r="Q52" i="2"/>
  <c r="R52" i="2" s="1"/>
  <c r="D53" i="2"/>
  <c r="D54" i="2"/>
  <c r="D55" i="2"/>
  <c r="D56" i="2"/>
  <c r="D57" i="2"/>
  <c r="D58" i="2"/>
  <c r="D59" i="2"/>
  <c r="D176" i="2"/>
  <c r="D177" i="2"/>
  <c r="L53" i="2"/>
  <c r="L54" i="2"/>
  <c r="L55" i="2"/>
  <c r="L56" i="2"/>
  <c r="L57" i="2"/>
  <c r="L58" i="2"/>
  <c r="L59" i="2"/>
  <c r="L176" i="2"/>
  <c r="L177" i="2"/>
  <c r="M53" i="2"/>
  <c r="M54" i="2"/>
  <c r="M55" i="2"/>
  <c r="M56" i="2"/>
  <c r="M57" i="2"/>
  <c r="M58" i="2"/>
  <c r="M59" i="2"/>
  <c r="M176" i="2"/>
  <c r="M177" i="2"/>
  <c r="Q53" i="2"/>
  <c r="R53" i="2" s="1"/>
  <c r="Q54" i="2"/>
  <c r="R54" i="2" s="1"/>
  <c r="Q55" i="2"/>
  <c r="R55" i="2" s="1"/>
  <c r="Q56" i="2"/>
  <c r="Q57" i="2"/>
  <c r="R57" i="2" s="1"/>
  <c r="Q58" i="2"/>
  <c r="Q59" i="2"/>
  <c r="R59" i="2" s="1"/>
  <c r="Q176" i="2"/>
  <c r="R176" i="2" s="1"/>
  <c r="Q177" i="2"/>
  <c r="R177" i="2" s="1"/>
  <c r="D178" i="2"/>
  <c r="D60" i="2"/>
  <c r="D61" i="2"/>
  <c r="D62" i="2"/>
  <c r="D63" i="2"/>
  <c r="D64" i="2"/>
  <c r="D65" i="2"/>
  <c r="D66" i="2"/>
  <c r="D67" i="2"/>
  <c r="D68" i="2"/>
  <c r="L178" i="2"/>
  <c r="L60" i="2"/>
  <c r="L61" i="2"/>
  <c r="L62" i="2"/>
  <c r="L63" i="2"/>
  <c r="L64" i="2"/>
  <c r="L65" i="2"/>
  <c r="L66" i="2"/>
  <c r="L67" i="2"/>
  <c r="L68" i="2"/>
  <c r="M178" i="2"/>
  <c r="M60" i="2"/>
  <c r="M61" i="2"/>
  <c r="M62" i="2"/>
  <c r="M63" i="2"/>
  <c r="M64" i="2"/>
  <c r="M65" i="2"/>
  <c r="M66" i="2"/>
  <c r="M67" i="2"/>
  <c r="M68" i="2"/>
  <c r="Q178" i="2"/>
  <c r="R178" i="2" s="1"/>
  <c r="Q60" i="2"/>
  <c r="Q61" i="2"/>
  <c r="Q62" i="2"/>
  <c r="Q63" i="2"/>
  <c r="Q64" i="2"/>
  <c r="R64" i="2" s="1"/>
  <c r="Q65" i="2"/>
  <c r="Q66" i="2"/>
  <c r="Q67" i="2"/>
  <c r="R67" i="2" s="1"/>
  <c r="Q68" i="2"/>
  <c r="R68" i="2" s="1"/>
  <c r="D69" i="2"/>
  <c r="D70" i="2"/>
  <c r="D71" i="2"/>
  <c r="D72" i="2"/>
  <c r="D73" i="2"/>
  <c r="D74" i="2"/>
  <c r="D75" i="2"/>
  <c r="D76" i="2"/>
  <c r="D77" i="2"/>
  <c r="D78" i="2"/>
  <c r="L69" i="2"/>
  <c r="L70" i="2"/>
  <c r="L71" i="2"/>
  <c r="L72" i="2"/>
  <c r="L73" i="2"/>
  <c r="L74" i="2"/>
  <c r="L75" i="2"/>
  <c r="L76" i="2"/>
  <c r="L77" i="2"/>
  <c r="L78" i="2"/>
  <c r="M69" i="2"/>
  <c r="M70" i="2"/>
  <c r="M71" i="2"/>
  <c r="M72" i="2"/>
  <c r="M73" i="2"/>
  <c r="M74" i="2"/>
  <c r="M75" i="2"/>
  <c r="M76" i="2"/>
  <c r="M77" i="2"/>
  <c r="M78" i="2"/>
  <c r="Q69" i="2"/>
  <c r="R69" i="2" s="1"/>
  <c r="Q70" i="2"/>
  <c r="R70" i="2" s="1"/>
  <c r="Q71" i="2"/>
  <c r="R71" i="2" s="1"/>
  <c r="Q72" i="2"/>
  <c r="R72" i="2" s="1"/>
  <c r="Q73" i="2"/>
  <c r="R73" i="2" s="1"/>
  <c r="Q74" i="2"/>
  <c r="R74" i="2" s="1"/>
  <c r="Q75" i="2"/>
  <c r="R75" i="2" s="1"/>
  <c r="Q76" i="2"/>
  <c r="R76" i="2" s="1"/>
  <c r="Q77" i="2"/>
  <c r="R77" i="2" s="1"/>
  <c r="Q78" i="2"/>
  <c r="R78" i="2" s="1"/>
  <c r="D79" i="2"/>
  <c r="D80" i="2"/>
  <c r="D81" i="2"/>
  <c r="D82" i="2"/>
  <c r="D83" i="2"/>
  <c r="D84" i="2"/>
  <c r="D85" i="2"/>
  <c r="D86" i="2"/>
  <c r="D87" i="2"/>
  <c r="D88" i="2"/>
  <c r="L79" i="2"/>
  <c r="L80" i="2"/>
  <c r="L81" i="2"/>
  <c r="L82" i="2"/>
  <c r="L83" i="2"/>
  <c r="L84" i="2"/>
  <c r="L85" i="2"/>
  <c r="L86" i="2"/>
  <c r="L87" i="2"/>
  <c r="L88" i="2"/>
  <c r="M79" i="2"/>
  <c r="M80" i="2"/>
  <c r="M81" i="2"/>
  <c r="M82" i="2"/>
  <c r="M83" i="2"/>
  <c r="M84" i="2"/>
  <c r="M85" i="2"/>
  <c r="M86" i="2"/>
  <c r="M87" i="2"/>
  <c r="M88" i="2"/>
  <c r="Q79" i="2"/>
  <c r="R79" i="2" s="1"/>
  <c r="Q80" i="2"/>
  <c r="R80" i="2" s="1"/>
  <c r="Q81" i="2"/>
  <c r="Q82" i="2"/>
  <c r="R82" i="2" s="1"/>
  <c r="Q83" i="2"/>
  <c r="R83" i="2" s="1"/>
  <c r="Q84" i="2"/>
  <c r="R84" i="2" s="1"/>
  <c r="Q85" i="2"/>
  <c r="R85" i="2" s="1"/>
  <c r="Q86" i="2"/>
  <c r="R86" i="2" s="1"/>
  <c r="Q87" i="2"/>
  <c r="R87" i="2" s="1"/>
  <c r="Q88" i="2"/>
  <c r="R88" i="2" s="1"/>
  <c r="D187" i="2"/>
  <c r="D179" i="2"/>
  <c r="D89" i="2"/>
  <c r="D90" i="2"/>
  <c r="D91" i="2"/>
  <c r="D92" i="2"/>
  <c r="D93" i="2"/>
  <c r="D94" i="2"/>
  <c r="D95" i="2"/>
  <c r="D96" i="2"/>
  <c r="L187" i="2"/>
  <c r="L179" i="2"/>
  <c r="L89" i="2"/>
  <c r="L90" i="2"/>
  <c r="L91" i="2"/>
  <c r="L92" i="2"/>
  <c r="L93" i="2"/>
  <c r="L94" i="2"/>
  <c r="L95" i="2"/>
  <c r="L96" i="2"/>
  <c r="M187" i="2"/>
  <c r="M179" i="2"/>
  <c r="M89" i="2"/>
  <c r="M90" i="2"/>
  <c r="M91" i="2"/>
  <c r="M92" i="2"/>
  <c r="M93" i="2"/>
  <c r="M94" i="2"/>
  <c r="M95" i="2"/>
  <c r="M96" i="2"/>
  <c r="Q187" i="2"/>
  <c r="R187" i="2" s="1"/>
  <c r="Q179" i="2"/>
  <c r="R179" i="2" s="1"/>
  <c r="Q89" i="2"/>
  <c r="R89" i="2" s="1"/>
  <c r="Q90" i="2"/>
  <c r="R90" i="2" s="1"/>
  <c r="Q91" i="2"/>
  <c r="R91" i="2" s="1"/>
  <c r="Q92" i="2"/>
  <c r="R92" i="2" s="1"/>
  <c r="Q93" i="2"/>
  <c r="R93" i="2" s="1"/>
  <c r="Q94" i="2"/>
  <c r="R94" i="2" s="1"/>
  <c r="Q95" i="2"/>
  <c r="R95" i="2" s="1"/>
  <c r="Q96" i="2"/>
  <c r="R96" i="2" s="1"/>
  <c r="D97" i="2"/>
  <c r="D98" i="2"/>
  <c r="D99" i="2"/>
  <c r="D100" i="2"/>
  <c r="D101" i="2"/>
  <c r="D102" i="2"/>
  <c r="D103" i="2"/>
  <c r="D104" i="2"/>
  <c r="D105" i="2"/>
  <c r="D106" i="2"/>
  <c r="L97" i="2"/>
  <c r="L98" i="2"/>
  <c r="L99" i="2"/>
  <c r="L100" i="2"/>
  <c r="L101" i="2"/>
  <c r="L102" i="2"/>
  <c r="L103" i="2"/>
  <c r="L104" i="2"/>
  <c r="L105" i="2"/>
  <c r="L106" i="2"/>
  <c r="M97" i="2"/>
  <c r="M98" i="2"/>
  <c r="M99" i="2"/>
  <c r="M100" i="2"/>
  <c r="M101" i="2"/>
  <c r="M102" i="2"/>
  <c r="M103" i="2"/>
  <c r="M104" i="2"/>
  <c r="M105" i="2"/>
  <c r="M106" i="2"/>
  <c r="Q97" i="2"/>
  <c r="R97" i="2" s="1"/>
  <c r="Q98" i="2"/>
  <c r="R98" i="2" s="1"/>
  <c r="Q99" i="2"/>
  <c r="R99" i="2" s="1"/>
  <c r="Q100" i="2"/>
  <c r="R100" i="2" s="1"/>
  <c r="Q101" i="2"/>
  <c r="R101" i="2" s="1"/>
  <c r="Q102" i="2"/>
  <c r="R102" i="2" s="1"/>
  <c r="Q103" i="2"/>
  <c r="R103" i="2" s="1"/>
  <c r="Q104" i="2"/>
  <c r="R104" i="2" s="1"/>
  <c r="Q105" i="2"/>
  <c r="R105" i="2" s="1"/>
  <c r="Q106" i="2"/>
  <c r="R106" i="2" s="1"/>
  <c r="D107" i="2"/>
  <c r="D108" i="2"/>
  <c r="D109" i="2"/>
  <c r="D110" i="2"/>
  <c r="D111" i="2"/>
  <c r="D112" i="2"/>
  <c r="D113" i="2"/>
  <c r="D114" i="2"/>
  <c r="D115" i="2"/>
  <c r="L107" i="2"/>
  <c r="L108" i="2"/>
  <c r="L109" i="2"/>
  <c r="L110" i="2"/>
  <c r="L111" i="2"/>
  <c r="L112" i="2"/>
  <c r="L113" i="2"/>
  <c r="L114" i="2"/>
  <c r="L115" i="2"/>
  <c r="M107" i="2"/>
  <c r="M108" i="2"/>
  <c r="M109" i="2"/>
  <c r="M110" i="2"/>
  <c r="M111" i="2"/>
  <c r="M112" i="2"/>
  <c r="M113" i="2"/>
  <c r="M114" i="2"/>
  <c r="M115" i="2"/>
  <c r="Q107" i="2"/>
  <c r="Q108" i="2"/>
  <c r="Q109" i="2"/>
  <c r="Q110" i="2"/>
  <c r="Q111" i="2"/>
  <c r="Q112" i="2"/>
  <c r="Q113" i="2"/>
  <c r="Q114" i="2"/>
  <c r="Q115" i="2"/>
  <c r="D50" i="2"/>
  <c r="L50" i="2"/>
  <c r="M50" i="2"/>
  <c r="Q50" i="2"/>
  <c r="D116" i="2"/>
  <c r="L116" i="2"/>
  <c r="M116" i="2"/>
  <c r="Q116" i="2"/>
  <c r="D117" i="2"/>
  <c r="L117" i="2"/>
  <c r="M117" i="2"/>
  <c r="Q117" i="2"/>
  <c r="D118" i="2"/>
  <c r="L118" i="2"/>
  <c r="M118" i="2"/>
  <c r="Q118" i="2"/>
  <c r="D125" i="2"/>
  <c r="L125" i="2"/>
  <c r="M125" i="2"/>
  <c r="Q125" i="2"/>
  <c r="D35" i="2" l="1"/>
  <c r="L35" i="2"/>
  <c r="M35" i="2"/>
  <c r="Q35" i="2"/>
  <c r="R35" i="2" s="1"/>
  <c r="J2" i="2" l="1"/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167" i="2"/>
  <c r="M23" i="2"/>
  <c r="M168" i="2"/>
  <c r="M169" i="2"/>
  <c r="M24" i="2"/>
  <c r="M25" i="2"/>
  <c r="M26" i="2"/>
  <c r="M27" i="2"/>
  <c r="M170" i="2"/>
  <c r="M28" i="2"/>
  <c r="M29" i="2"/>
  <c r="M30" i="2"/>
  <c r="M171" i="2"/>
  <c r="M172" i="2"/>
  <c r="M31" i="2"/>
  <c r="M173" i="2"/>
  <c r="M32" i="2"/>
  <c r="M33" i="2"/>
  <c r="M34" i="2"/>
  <c r="M174" i="2"/>
  <c r="M175" i="2"/>
  <c r="M36" i="2"/>
  <c r="M37" i="2"/>
  <c r="M186" i="2"/>
  <c r="M38" i="2"/>
  <c r="M39" i="2"/>
  <c r="M40" i="2"/>
  <c r="M41" i="2"/>
  <c r="M42" i="2"/>
  <c r="M43" i="2"/>
  <c r="M44" i="2"/>
  <c r="M45" i="2"/>
  <c r="M46" i="2"/>
  <c r="M47" i="2"/>
  <c r="M48" i="2"/>
  <c r="M49" i="2"/>
  <c r="G2" i="2" l="1"/>
  <c r="D38" i="2" l="1"/>
  <c r="D39" i="2"/>
  <c r="D40" i="2"/>
  <c r="D41" i="2"/>
  <c r="D42" i="2"/>
  <c r="D43" i="2"/>
  <c r="D44" i="2"/>
  <c r="D45" i="2"/>
  <c r="L38" i="2"/>
  <c r="L39" i="2"/>
  <c r="L40" i="2"/>
  <c r="L41" i="2"/>
  <c r="L42" i="2"/>
  <c r="L43" i="2"/>
  <c r="L44" i="2"/>
  <c r="L45" i="2"/>
  <c r="Q38" i="2"/>
  <c r="R38" i="2" s="1"/>
  <c r="Q39" i="2"/>
  <c r="Q40" i="2"/>
  <c r="R40" i="2" s="1"/>
  <c r="Q41" i="2"/>
  <c r="R41" i="2" s="1"/>
  <c r="Q42" i="2"/>
  <c r="R42" i="2" s="1"/>
  <c r="Q43" i="2"/>
  <c r="R43" i="2" s="1"/>
  <c r="Q44" i="2"/>
  <c r="R44" i="2" s="1"/>
  <c r="Q45" i="2"/>
  <c r="R45" i="2" s="1"/>
  <c r="D46" i="2"/>
  <c r="D47" i="2"/>
  <c r="D48" i="2"/>
  <c r="D49" i="2"/>
  <c r="L46" i="2"/>
  <c r="L47" i="2"/>
  <c r="L48" i="2"/>
  <c r="L49" i="2"/>
  <c r="Q46" i="2"/>
  <c r="R46" i="2" s="1"/>
  <c r="Q47" i="2"/>
  <c r="R47" i="2" s="1"/>
  <c r="Q48" i="2"/>
  <c r="R48" i="2" s="1"/>
  <c r="Q49" i="2"/>
  <c r="R49" i="2" s="1"/>
  <c r="D26" i="2"/>
  <c r="D27" i="2"/>
  <c r="D170" i="2"/>
  <c r="D28" i="2"/>
  <c r="D29" i="2"/>
  <c r="D30" i="2"/>
  <c r="D171" i="2"/>
  <c r="D172" i="2"/>
  <c r="D31" i="2"/>
  <c r="L26" i="2"/>
  <c r="L27" i="2"/>
  <c r="L170" i="2"/>
  <c r="L28" i="2"/>
  <c r="L29" i="2"/>
  <c r="L30" i="2"/>
  <c r="L171" i="2"/>
  <c r="L172" i="2"/>
  <c r="L31" i="2"/>
  <c r="Q26" i="2"/>
  <c r="R26" i="2" s="1"/>
  <c r="Q27" i="2"/>
  <c r="R27" i="2" s="1"/>
  <c r="Q170" i="2"/>
  <c r="R170" i="2" s="1"/>
  <c r="Q28" i="2"/>
  <c r="R28" i="2" s="1"/>
  <c r="Q29" i="2"/>
  <c r="Q30" i="2"/>
  <c r="Q171" i="2"/>
  <c r="R171" i="2" s="1"/>
  <c r="Q172" i="2"/>
  <c r="R172" i="2" s="1"/>
  <c r="Q31" i="2"/>
  <c r="R31" i="2" s="1"/>
  <c r="D173" i="2"/>
  <c r="D32" i="2"/>
  <c r="D33" i="2"/>
  <c r="D34" i="2"/>
  <c r="D174" i="2"/>
  <c r="D175" i="2"/>
  <c r="D36" i="2"/>
  <c r="D37" i="2"/>
  <c r="D186" i="2"/>
  <c r="L173" i="2"/>
  <c r="L32" i="2"/>
  <c r="L33" i="2"/>
  <c r="L34" i="2"/>
  <c r="L174" i="2"/>
  <c r="L175" i="2"/>
  <c r="L36" i="2"/>
  <c r="L37" i="2"/>
  <c r="L186" i="2"/>
  <c r="Q173" i="2"/>
  <c r="R173" i="2" s="1"/>
  <c r="Q32" i="2"/>
  <c r="R32" i="2" s="1"/>
  <c r="Q33" i="2"/>
  <c r="R33" i="2" s="1"/>
  <c r="Q34" i="2"/>
  <c r="R34" i="2" s="1"/>
  <c r="Q174" i="2"/>
  <c r="R174" i="2" s="1"/>
  <c r="Q175" i="2"/>
  <c r="R175" i="2" s="1"/>
  <c r="Q36" i="2"/>
  <c r="R36" i="2" s="1"/>
  <c r="Q37" i="2"/>
  <c r="R37" i="2" s="1"/>
  <c r="Q186" i="2"/>
  <c r="R186" i="2" s="1"/>
  <c r="D25" i="2" l="1"/>
  <c r="L25" i="2"/>
  <c r="Q25" i="2"/>
  <c r="D24" i="2"/>
  <c r="L24" i="2"/>
  <c r="Q24" i="2"/>
  <c r="D169" i="2" l="1"/>
  <c r="L169" i="2"/>
  <c r="Q169" i="2"/>
  <c r="R169" i="2" s="1"/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167" i="2"/>
  <c r="D23" i="2"/>
  <c r="D168" i="2"/>
  <c r="Q2" i="2" l="1"/>
  <c r="R2" i="2" s="1"/>
  <c r="Q23" i="2" l="1"/>
  <c r="R23" i="2" s="1"/>
  <c r="N191" i="2" l="1"/>
  <c r="Q168" i="2"/>
  <c r="R168" i="2" s="1"/>
  <c r="L168" i="2"/>
  <c r="L23" i="2"/>
  <c r="Q167" i="2"/>
  <c r="R167" i="2" s="1"/>
  <c r="L167" i="2"/>
  <c r="Q22" i="2"/>
  <c r="R22" i="2" s="1"/>
  <c r="L22" i="2"/>
  <c r="Q21" i="2"/>
  <c r="R21" i="2" s="1"/>
  <c r="L21" i="2"/>
  <c r="Q20" i="2"/>
  <c r="R20" i="2" s="1"/>
  <c r="L20" i="2"/>
  <c r="Q19" i="2"/>
  <c r="R19" i="2" s="1"/>
  <c r="L19" i="2"/>
  <c r="Q18" i="2"/>
  <c r="R18" i="2" s="1"/>
  <c r="L18" i="2"/>
  <c r="Q17" i="2"/>
  <c r="R17" i="2" s="1"/>
  <c r="L17" i="2"/>
  <c r="Q16" i="2"/>
  <c r="R16" i="2" s="1"/>
  <c r="L16" i="2"/>
  <c r="Q15" i="2"/>
  <c r="R15" i="2" s="1"/>
  <c r="L15" i="2"/>
  <c r="Q14" i="2"/>
  <c r="R14" i="2" s="1"/>
  <c r="L14" i="2"/>
  <c r="Q13" i="2"/>
  <c r="R13" i="2" s="1"/>
  <c r="L13" i="2"/>
  <c r="Q12" i="2"/>
  <c r="R12" i="2" s="1"/>
  <c r="L12" i="2"/>
  <c r="Q11" i="2"/>
  <c r="R11" i="2" s="1"/>
  <c r="L11" i="2"/>
  <c r="Q10" i="2"/>
  <c r="L10" i="2"/>
  <c r="Q9" i="2"/>
  <c r="L9" i="2"/>
  <c r="Q8" i="2"/>
  <c r="L8" i="2"/>
  <c r="Q7" i="2"/>
  <c r="L7" i="2"/>
  <c r="Q6" i="2"/>
  <c r="R6" i="2" s="1"/>
  <c r="L6" i="2"/>
  <c r="Q5" i="2"/>
  <c r="R5" i="2" s="1"/>
  <c r="L5" i="2"/>
  <c r="Q4" i="2"/>
  <c r="R4" i="2" s="1"/>
  <c r="L4" i="2"/>
  <c r="Q3" i="2"/>
  <c r="R3" i="2" s="1"/>
  <c r="L3" i="2"/>
  <c r="L2" i="2"/>
  <c r="Q191" i="2" l="1"/>
  <c r="P191" i="2" l="1"/>
  <c r="R191" i="2"/>
  <c r="Z18" i="4" l="1"/>
  <c r="Z20" i="4"/>
  <c r="Z21" i="4"/>
  <c r="Z6" i="4"/>
  <c r="Z7" i="4"/>
  <c r="Z12" i="4"/>
  <c r="Z8" i="4"/>
  <c r="Z9" i="4"/>
  <c r="Z10" i="4"/>
  <c r="Z11" i="4"/>
  <c r="Z13" i="4"/>
  <c r="Z17" i="4"/>
  <c r="Z19" i="4"/>
  <c r="Z15" i="4"/>
  <c r="Z14" i="4"/>
  <c r="Z16" i="4"/>
  <c r="Z5" i="4" l="1"/>
  <c r="Z22" i="4" s="1"/>
  <c r="P151" i="4" l="1"/>
  <c r="P64" i="4"/>
  <c r="P113" i="4"/>
  <c r="P112" i="4"/>
  <c r="P28" i="4"/>
  <c r="P71" i="4"/>
  <c r="P30" i="4"/>
  <c r="P150" i="4"/>
  <c r="P78" i="4"/>
  <c r="P84" i="4"/>
  <c r="P14" i="4"/>
  <c r="P10" i="4"/>
  <c r="P55" i="4"/>
  <c r="P32" i="4"/>
  <c r="P121" i="4"/>
  <c r="P80" i="4"/>
  <c r="P19" i="4"/>
  <c r="P18" i="4"/>
  <c r="P12" i="4"/>
  <c r="P142" i="4"/>
  <c r="P82" i="4"/>
  <c r="P110" i="4"/>
  <c r="P79" i="4"/>
  <c r="P104" i="4"/>
  <c r="P102" i="4"/>
  <c r="P25" i="4"/>
  <c r="P41" i="4"/>
  <c r="P137" i="4"/>
  <c r="P36" i="4"/>
  <c r="P135" i="4"/>
  <c r="P38" i="4"/>
  <c r="P156" i="4"/>
  <c r="P11" i="4"/>
  <c r="P105" i="4"/>
  <c r="P125" i="4"/>
  <c r="P16" i="4"/>
  <c r="P88" i="4"/>
  <c r="P145" i="4"/>
  <c r="P141" i="4"/>
  <c r="P23" i="4"/>
  <c r="P61" i="4"/>
  <c r="P130" i="4"/>
  <c r="P40" i="4"/>
  <c r="P94" i="4"/>
  <c r="P90" i="4"/>
  <c r="P155" i="4"/>
  <c r="P92" i="4"/>
  <c r="P9" i="4"/>
  <c r="P123" i="4"/>
  <c r="P47" i="4"/>
  <c r="P96" i="4"/>
  <c r="P74" i="4"/>
  <c r="P87" i="4"/>
  <c r="P154" i="4"/>
  <c r="P77" i="4"/>
  <c r="P67" i="4"/>
  <c r="P111" i="4"/>
  <c r="P129" i="4"/>
  <c r="P45" i="4"/>
  <c r="P22" i="4"/>
  <c r="P62" i="4"/>
  <c r="P72" i="4"/>
  <c r="P51" i="4"/>
  <c r="P99" i="4"/>
  <c r="P54" i="4"/>
  <c r="P48" i="4"/>
  <c r="P83" i="4"/>
  <c r="P149" i="4"/>
  <c r="P24" i="4"/>
  <c r="P73" i="4"/>
  <c r="P116" i="4"/>
  <c r="P15" i="4"/>
  <c r="P26" i="4"/>
  <c r="P95" i="4"/>
  <c r="P134" i="4"/>
  <c r="P34" i="4"/>
  <c r="P65" i="4"/>
  <c r="P140" i="4"/>
  <c r="P124" i="4"/>
  <c r="P44" i="4"/>
  <c r="P37" i="4"/>
  <c r="P63" i="4"/>
  <c r="P42" i="4"/>
  <c r="P89" i="4"/>
  <c r="P70" i="4"/>
  <c r="P6" i="4"/>
  <c r="P8" i="4"/>
  <c r="P49" i="4"/>
  <c r="P101" i="4"/>
  <c r="P91" i="4"/>
  <c r="P66" i="4"/>
  <c r="P106" i="4"/>
  <c r="P93" i="4"/>
  <c r="P86" i="4"/>
  <c r="P60" i="4"/>
  <c r="P139" i="4"/>
  <c r="P68" i="4"/>
  <c r="P69" i="4"/>
  <c r="P5" i="4"/>
  <c r="P132" i="4"/>
  <c r="P50" i="4"/>
  <c r="P117" i="4"/>
  <c r="P35" i="4"/>
  <c r="P52" i="4"/>
  <c r="P143" i="4"/>
  <c r="P128" i="4"/>
  <c r="P97" i="4"/>
  <c r="P157" i="4"/>
  <c r="P153" i="4"/>
  <c r="P108" i="4"/>
  <c r="P76" i="4"/>
  <c r="P57" i="4"/>
  <c r="P85" i="4"/>
  <c r="P81" i="4"/>
  <c r="P131" i="4"/>
  <c r="P75" i="4"/>
  <c r="P58" i="4"/>
  <c r="P118" i="4"/>
  <c r="P13" i="4"/>
  <c r="P114" i="4"/>
  <c r="P21" i="4"/>
  <c r="P126" i="4"/>
  <c r="P133" i="4"/>
  <c r="P136" i="4"/>
  <c r="P53" i="4"/>
  <c r="P144" i="4"/>
  <c r="P46" i="4"/>
  <c r="P33" i="4"/>
  <c r="P29" i="4"/>
  <c r="P27" i="4"/>
  <c r="P100" i="4"/>
  <c r="P148" i="4"/>
  <c r="P17" i="4"/>
  <c r="P147" i="4"/>
  <c r="P115" i="4"/>
  <c r="P120" i="4"/>
  <c r="P39" i="4"/>
  <c r="P59" i="4"/>
  <c r="P119" i="4"/>
  <c r="P56" i="4"/>
  <c r="P138" i="4"/>
  <c r="P31" i="4"/>
  <c r="P43" i="4"/>
  <c r="P122" i="4"/>
  <c r="P20" i="4"/>
  <c r="P109" i="4"/>
  <c r="P158" i="4"/>
  <c r="P103" i="4"/>
  <c r="P152" i="4"/>
  <c r="P127" i="4"/>
  <c r="P98" i="4"/>
  <c r="P7" i="4"/>
  <c r="P107" i="4"/>
  <c r="P146" i="4"/>
  <c r="P159" i="4" l="1"/>
</calcChain>
</file>

<file path=xl/sharedStrings.xml><?xml version="1.0" encoding="utf-8"?>
<sst xmlns="http://schemas.openxmlformats.org/spreadsheetml/2006/main" count="6893" uniqueCount="1301">
  <si>
    <t>Brand</t>
  </si>
  <si>
    <t>Presentation</t>
  </si>
  <si>
    <t>MRP</t>
  </si>
  <si>
    <t>MPG Price</t>
  </si>
  <si>
    <t>Farmer Price</t>
  </si>
  <si>
    <t>Bestmin Gold 24 KG</t>
  </si>
  <si>
    <t>24 kg</t>
  </si>
  <si>
    <t>Bestmin Gold 1.2 KG</t>
  </si>
  <si>
    <t>1.2 kg</t>
  </si>
  <si>
    <t xml:space="preserve">    305.00 </t>
  </si>
  <si>
    <t>Bestmin Gold 6 KG</t>
  </si>
  <si>
    <t>6 kg</t>
  </si>
  <si>
    <t>Calup Gel 300 Gm</t>
  </si>
  <si>
    <t>300 Grm</t>
  </si>
  <si>
    <t xml:space="preserve">    212.00 </t>
  </si>
  <si>
    <t>Calup Gel Plus 400 Gm</t>
  </si>
  <si>
    <t>400 Gm</t>
  </si>
  <si>
    <t xml:space="preserve">    282.00 </t>
  </si>
  <si>
    <t>Liveferol 1LTR</t>
  </si>
  <si>
    <t>1 Liter</t>
  </si>
  <si>
    <t xml:space="preserve">    297.00 </t>
  </si>
  <si>
    <t>Liveferol 500 ml</t>
  </si>
  <si>
    <t>500 ml</t>
  </si>
  <si>
    <t xml:space="preserve">    169.00 </t>
  </si>
  <si>
    <t>Methochelated Provical Forte 1L</t>
  </si>
  <si>
    <t xml:space="preserve">    276.00 </t>
  </si>
  <si>
    <t>Methochelated Provical Forte 20L</t>
  </si>
  <si>
    <t>20 Liter</t>
  </si>
  <si>
    <t>Methochelated Provical Forte 10L</t>
  </si>
  <si>
    <t>10 Liter</t>
  </si>
  <si>
    <t>Methochelated Provical Forte 5L</t>
  </si>
  <si>
    <t>5 Liter</t>
  </si>
  <si>
    <t>Galacshot 1Kg</t>
  </si>
  <si>
    <t>1 kg</t>
  </si>
  <si>
    <t xml:space="preserve">    210.00 </t>
  </si>
  <si>
    <t>Galacshot 5Kg</t>
  </si>
  <si>
    <t>5 kg</t>
  </si>
  <si>
    <t xml:space="preserve">    970.00 </t>
  </si>
  <si>
    <t xml:space="preserve">Gomukh Gold </t>
  </si>
  <si>
    <t>50 kg</t>
  </si>
  <si>
    <t>Gomukh Buffalo Special</t>
  </si>
  <si>
    <t>Gomukh Diamond</t>
  </si>
  <si>
    <t>Category</t>
  </si>
  <si>
    <t>FS</t>
  </si>
  <si>
    <t>CF</t>
  </si>
  <si>
    <t xml:space="preserve">
Order Date </t>
  </si>
  <si>
    <t>Deduction Cycle</t>
  </si>
  <si>
    <t xml:space="preserve">
Item Name </t>
  </si>
  <si>
    <t xml:space="preserve">
MPG Code  </t>
  </si>
  <si>
    <t xml:space="preserve">
MPG Name </t>
  </si>
  <si>
    <t xml:space="preserve">
Farmer code  </t>
  </si>
  <si>
    <t xml:space="preserve">
Farmer name  </t>
  </si>
  <si>
    <t xml:space="preserve">
BMC Name  </t>
  </si>
  <si>
    <t xml:space="preserve">
CSP  </t>
  </si>
  <si>
    <t xml:space="preserve">
Rate </t>
  </si>
  <si>
    <t>ID</t>
  </si>
  <si>
    <t>Amount</t>
  </si>
  <si>
    <t>Payment Type</t>
  </si>
  <si>
    <t>Direct</t>
  </si>
  <si>
    <t>Indirect</t>
  </si>
  <si>
    <t>Grand Total</t>
  </si>
  <si>
    <t>Total</t>
  </si>
  <si>
    <t>Direct Total</t>
  </si>
  <si>
    <t>101200070040</t>
  </si>
  <si>
    <t>101200070149</t>
  </si>
  <si>
    <t>101200100002</t>
  </si>
  <si>
    <t>101200130002</t>
  </si>
  <si>
    <t>101200160002</t>
  </si>
  <si>
    <t>101200520002</t>
  </si>
  <si>
    <t>101300150002</t>
  </si>
  <si>
    <t>101300250002</t>
  </si>
  <si>
    <t>101300440002</t>
  </si>
  <si>
    <t>101200170002</t>
  </si>
  <si>
    <t>101300310002</t>
  </si>
  <si>
    <t>100800160002</t>
  </si>
  <si>
    <t>Indirect Total</t>
  </si>
  <si>
    <t>101200520005</t>
  </si>
  <si>
    <t>101300460003</t>
  </si>
  <si>
    <t>101200250002</t>
  </si>
  <si>
    <t>101200340002</t>
  </si>
  <si>
    <t>101300180002</t>
  </si>
  <si>
    <t>101200010002</t>
  </si>
  <si>
    <t>Indent Qty</t>
  </si>
  <si>
    <t>Final Qty</t>
  </si>
  <si>
    <t>Final Amount</t>
  </si>
  <si>
    <t>Sum of Final Amount</t>
  </si>
  <si>
    <t>Deduction Type</t>
  </si>
  <si>
    <t>Fresh Issue</t>
  </si>
  <si>
    <t>Old Issue</t>
  </si>
  <si>
    <t>Milk Amount</t>
  </si>
  <si>
    <t>Remarks</t>
  </si>
  <si>
    <t>Daya Society</t>
  </si>
  <si>
    <t>Sudan Fodder Seed 5Kg</t>
  </si>
  <si>
    <t>Anant fodder seed 250 gm</t>
  </si>
  <si>
    <t>250 gm</t>
  </si>
  <si>
    <t>Oats (JAI)</t>
  </si>
  <si>
    <t>Makhan Grass</t>
  </si>
  <si>
    <t>25 Kg</t>
  </si>
  <si>
    <t>Shakti All in One</t>
  </si>
  <si>
    <t>         3,400</t>
  </si>
  <si>
    <t>            240</t>
  </si>
  <si>
    <t>         1,055</t>
  </si>
  <si>
    <t>            220</t>
  </si>
  <si>
    <t>           220</t>
  </si>
  <si>
    <t>            130</t>
  </si>
  <si>
    <t>         3,000</t>
  </si>
  <si>
    <t>         1,600</t>
  </si>
  <si>
    <t>            815</t>
  </si>
  <si>
    <t>            170</t>
  </si>
  <si>
    <t>            730</t>
  </si>
  <si>
    <t>Unregister Farmer</t>
  </si>
  <si>
    <t>0003</t>
  </si>
  <si>
    <t>0005</t>
  </si>
  <si>
    <t>0002</t>
  </si>
  <si>
    <t>0026</t>
  </si>
  <si>
    <t>0019</t>
  </si>
  <si>
    <t>0004</t>
  </si>
  <si>
    <t>0013</t>
  </si>
  <si>
    <t>0006</t>
  </si>
  <si>
    <t>0008</t>
  </si>
  <si>
    <t>0009</t>
  </si>
  <si>
    <t>0010</t>
  </si>
  <si>
    <t>0007</t>
  </si>
  <si>
    <t>0028</t>
  </si>
  <si>
    <t>0107</t>
  </si>
  <si>
    <t>0149</t>
  </si>
  <si>
    <t>0076</t>
  </si>
  <si>
    <t>0014</t>
  </si>
  <si>
    <t>0093</t>
  </si>
  <si>
    <t>0020</t>
  </si>
  <si>
    <t>0040</t>
  </si>
  <si>
    <t>0079</t>
  </si>
  <si>
    <t>0015</t>
  </si>
  <si>
    <t>0063</t>
  </si>
  <si>
    <t>0032</t>
  </si>
  <si>
    <t>0027</t>
  </si>
  <si>
    <t>0044</t>
  </si>
  <si>
    <t>0086</t>
  </si>
  <si>
    <t>0095</t>
  </si>
  <si>
    <t>0035</t>
  </si>
  <si>
    <t>0046</t>
  </si>
  <si>
    <t>01-05-2026 to 07-05-2026</t>
  </si>
  <si>
    <t>Matihani</t>
  </si>
  <si>
    <t>0099</t>
  </si>
  <si>
    <t>0011</t>
  </si>
  <si>
    <t>0077</t>
  </si>
  <si>
    <t>Deduction by any code</t>
  </si>
  <si>
    <t>Mohanpur</t>
  </si>
  <si>
    <t>Majhaul</t>
  </si>
  <si>
    <t>0036</t>
  </si>
  <si>
    <t>0041</t>
  </si>
  <si>
    <t>0053</t>
  </si>
  <si>
    <t>0048</t>
  </si>
  <si>
    <t>0065</t>
  </si>
  <si>
    <t>0018</t>
  </si>
  <si>
    <t>Bhuskoul</t>
  </si>
  <si>
    <t>Kalyanpur</t>
  </si>
  <si>
    <t>0017</t>
  </si>
  <si>
    <t>0023</t>
  </si>
  <si>
    <t>0022</t>
  </si>
  <si>
    <t>0030</t>
  </si>
  <si>
    <t>0021</t>
  </si>
  <si>
    <t>0029</t>
  </si>
  <si>
    <t>0082</t>
  </si>
  <si>
    <t>0025</t>
  </si>
  <si>
    <t>Hardiya</t>
  </si>
  <si>
    <t>Khaguriya</t>
  </si>
  <si>
    <t>Dumraon</t>
  </si>
  <si>
    <t>Behiya</t>
  </si>
  <si>
    <t>0038</t>
  </si>
  <si>
    <t>0031</t>
  </si>
  <si>
    <t>Aluali</t>
  </si>
  <si>
    <t>Hathvan</t>
  </si>
  <si>
    <t>Farmer code-04 chhod kar Deduction by any code</t>
  </si>
  <si>
    <t>#N/A</t>
  </si>
  <si>
    <t>#N/A Total</t>
  </si>
  <si>
    <t>101200070107</t>
  </si>
  <si>
    <t>101200070099</t>
  </si>
  <si>
    <t>101200070014</t>
  </si>
  <si>
    <t>101200070079</t>
  </si>
  <si>
    <t>101200070093</t>
  </si>
  <si>
    <t>101200070076</t>
  </si>
  <si>
    <t>101200070077</t>
  </si>
  <si>
    <t>101200160003</t>
  </si>
  <si>
    <t>101200160005</t>
  </si>
  <si>
    <t>101200530002</t>
  </si>
  <si>
    <t>101200120026</t>
  </si>
  <si>
    <t>101200120003</t>
  </si>
  <si>
    <t>100800480017</t>
  </si>
  <si>
    <t>100800160018</t>
  </si>
  <si>
    <t>101101240007</t>
  </si>
  <si>
    <t>101101240006</t>
  </si>
  <si>
    <t>101101240008</t>
  </si>
  <si>
    <t>101101240009</t>
  </si>
  <si>
    <t>101101240026</t>
  </si>
  <si>
    <t>101101230007</t>
  </si>
  <si>
    <t>101101230015</t>
  </si>
  <si>
    <t>101101230011</t>
  </si>
  <si>
    <t>101101230002</t>
  </si>
  <si>
    <t>101101230006</t>
  </si>
  <si>
    <t>101101100002</t>
  </si>
  <si>
    <t>101100010002</t>
  </si>
  <si>
    <t>101200840002</t>
  </si>
  <si>
    <t>101200830002</t>
  </si>
  <si>
    <t>101201230002</t>
  </si>
  <si>
    <t>101300770003</t>
  </si>
  <si>
    <t>101300730002</t>
  </si>
  <si>
    <t>101301160002</t>
  </si>
  <si>
    <t>100100380002</t>
  </si>
  <si>
    <t>105300960002</t>
  </si>
  <si>
    <t>105300020002</t>
  </si>
  <si>
    <t>105300020004</t>
  </si>
  <si>
    <t>105300020019</t>
  </si>
  <si>
    <t>105300020028</t>
  </si>
  <si>
    <t>105300020036</t>
  </si>
  <si>
    <t>105300020041</t>
  </si>
  <si>
    <t>105301000006</t>
  </si>
  <si>
    <t>105301000004</t>
  </si>
  <si>
    <t>105301000002</t>
  </si>
  <si>
    <t>105301090004</t>
  </si>
  <si>
    <t>105301090005</t>
  </si>
  <si>
    <t>105300930032</t>
  </si>
  <si>
    <t>105300930044</t>
  </si>
  <si>
    <t>105300930053</t>
  </si>
  <si>
    <t>105300930002</t>
  </si>
  <si>
    <t>105300400048</t>
  </si>
  <si>
    <t>105300400004</t>
  </si>
  <si>
    <t>105300840065</t>
  </si>
  <si>
    <t>105300840063</t>
  </si>
  <si>
    <t>105300320010</t>
  </si>
  <si>
    <t>105300030008</t>
  </si>
  <si>
    <t>105300030044</t>
  </si>
  <si>
    <t>105300030086</t>
  </si>
  <si>
    <t>105300030095</t>
  </si>
  <si>
    <t>105300970026</t>
  </si>
  <si>
    <t>105300050002</t>
  </si>
  <si>
    <t>105300050008</t>
  </si>
  <si>
    <t>105300050010</t>
  </si>
  <si>
    <t>105300850006</t>
  </si>
  <si>
    <t>105300850046</t>
  </si>
  <si>
    <t>105300850003</t>
  </si>
  <si>
    <t>105300850019</t>
  </si>
  <si>
    <t>105300850004</t>
  </si>
  <si>
    <t>105300850027</t>
  </si>
  <si>
    <t>105300850002</t>
  </si>
  <si>
    <t>105300670013</t>
  </si>
  <si>
    <t>105300670035</t>
  </si>
  <si>
    <t>105301060002</t>
  </si>
  <si>
    <t>105300920003</t>
  </si>
  <si>
    <t>105300920007</t>
  </si>
  <si>
    <t>105300920009</t>
  </si>
  <si>
    <t>105300820015</t>
  </si>
  <si>
    <t>105300820020</t>
  </si>
  <si>
    <t>105300820040</t>
  </si>
  <si>
    <t>105300820018</t>
  </si>
  <si>
    <t>105300820007</t>
  </si>
  <si>
    <t>105300650003</t>
  </si>
  <si>
    <t>105300650004</t>
  </si>
  <si>
    <t>105300650002</t>
  </si>
  <si>
    <t>105301030006</t>
  </si>
  <si>
    <t>105301030007</t>
  </si>
  <si>
    <t>105301030023</t>
  </si>
  <si>
    <t>105301030008</t>
  </si>
  <si>
    <t>105301030022</t>
  </si>
  <si>
    <t>105301030002</t>
  </si>
  <si>
    <t>105301030004</t>
  </si>
  <si>
    <t>105301030030</t>
  </si>
  <si>
    <t>105301030021</t>
  </si>
  <si>
    <t>105300740007</t>
  </si>
  <si>
    <t>105300740019</t>
  </si>
  <si>
    <t>105300740028</t>
  </si>
  <si>
    <t>105300740008</t>
  </si>
  <si>
    <t>105300350010</t>
  </si>
  <si>
    <t>105300350019</t>
  </si>
  <si>
    <t>105300350022</t>
  </si>
  <si>
    <t>105300350048</t>
  </si>
  <si>
    <t>105300350002</t>
  </si>
  <si>
    <t>105300550019</t>
  </si>
  <si>
    <t>105300550011</t>
  </si>
  <si>
    <t>105300550029</t>
  </si>
  <si>
    <t>105300550082</t>
  </si>
  <si>
    <t>105300550025</t>
  </si>
  <si>
    <t>105300550002</t>
  </si>
  <si>
    <t>105300640003</t>
  </si>
  <si>
    <t>101201040002</t>
  </si>
  <si>
    <t>101400010038</t>
  </si>
  <si>
    <t>101401940002</t>
  </si>
  <si>
    <t>106000050002</t>
  </si>
  <si>
    <t>106000010003</t>
  </si>
  <si>
    <t>101401800002</t>
  </si>
  <si>
    <t>106000040003</t>
  </si>
  <si>
    <t>106000040002</t>
  </si>
  <si>
    <t>106000080002</t>
  </si>
  <si>
    <t>101400980002</t>
  </si>
  <si>
    <t>101401850002</t>
  </si>
  <si>
    <t>101400550002</t>
  </si>
  <si>
    <t>101400990002</t>
  </si>
  <si>
    <t>101400120017</t>
  </si>
  <si>
    <t>100700770002</t>
  </si>
  <si>
    <t>100700770003</t>
  </si>
  <si>
    <t>100700770005</t>
  </si>
  <si>
    <t>100700630002</t>
  </si>
  <si>
    <t>101000030002</t>
  </si>
  <si>
    <t>101000030003</t>
  </si>
  <si>
    <t>101200890002</t>
  </si>
  <si>
    <t>101200150002</t>
  </si>
  <si>
    <t>101101440002</t>
  </si>
  <si>
    <t>105400080035</t>
  </si>
  <si>
    <t>105400080010</t>
  </si>
  <si>
    <t>101101400002</t>
  </si>
  <si>
    <t>101101490002</t>
  </si>
  <si>
    <t>101101000005</t>
  </si>
  <si>
    <t>101101000003</t>
  </si>
  <si>
    <t>101101000031</t>
  </si>
  <si>
    <t>101101000006</t>
  </si>
  <si>
    <t>100800520002</t>
  </si>
  <si>
    <t>100801190002</t>
  </si>
  <si>
    <t>100801190003</t>
  </si>
  <si>
    <t>101200940002</t>
  </si>
  <si>
    <t>101200960002</t>
  </si>
  <si>
    <t>101300800002</t>
  </si>
  <si>
    <t>105300630002</t>
  </si>
  <si>
    <t>105300310002</t>
  </si>
  <si>
    <t>105300890002</t>
  </si>
  <si>
    <t>105300170017</t>
  </si>
  <si>
    <t>100700030002</t>
  </si>
  <si>
    <t>105300180002</t>
  </si>
  <si>
    <t>100800040002</t>
  </si>
  <si>
    <t>100800130002</t>
  </si>
  <si>
    <t>100101450013</t>
  </si>
  <si>
    <t>105301110003</t>
  </si>
  <si>
    <t>106000130002</t>
  </si>
  <si>
    <t>106000120002</t>
  </si>
  <si>
    <t>105400460002</t>
  </si>
  <si>
    <t>CF Deduction</t>
  </si>
  <si>
    <t>FS Deduction</t>
  </si>
  <si>
    <t>Sum of CF Deduction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</si>
  <si>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</si>
  <si>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</si>
  <si>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</si>
  <si>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</si>
  <si>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</si>
  <si>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</si>
  <si>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</si>
  <si>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</si>
  <si>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</si>
  <si>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Other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</si>
  <si>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</si>
  <si>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</si>
  <si>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</si>
  <si>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</si>
  <si>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</si>
  <si>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</si>
  <si>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</si>
  <si>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</si>
  <si>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</si>
  <si>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</si>
  <si>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</si>
  <si>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</si>
  <si>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</si>
  <si>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</si>
  <si>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</si>
  <si>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</si>
  <si>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</si>
  <si>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</si>
  <si>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>Gomukh Amba</t>
  </si>
  <si>
    <t>Release1</t>
  </si>
  <si>
    <t>Letter not received</t>
  </si>
  <si>
    <t xml:space="preserve">Gomukh Jagdar                                                                                       </t>
  </si>
  <si>
    <t>Gomukh Goriyari</t>
  </si>
  <si>
    <t>Mohanpur - Chandan</t>
  </si>
  <si>
    <t>vlc</t>
  </si>
  <si>
    <t>Birpur-2 - Pankaj</t>
  </si>
  <si>
    <t>Ekamba - Ashutosh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</si>
  <si>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</si>
  <si>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</si>
  <si>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</si>
  <si>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</si>
  <si>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</si>
  <si>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</si>
  <si>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</si>
  <si>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</si>
  <si>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</si>
  <si>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</si>
  <si>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</si>
  <si>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Rahul Nagar</t>
  </si>
  <si>
    <t>Gomukh Bagraha-01</t>
  </si>
  <si>
    <t>Gomukh Shobhaipura</t>
  </si>
  <si>
    <t>Gomukh Pirauna</t>
  </si>
  <si>
    <t>Parra- Nagendra Kumar</t>
  </si>
  <si>
    <t>Gomukh Basahi</t>
  </si>
  <si>
    <t>Mohanpur- Mukesh Kumar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</si>
  <si>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</si>
  <si>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</si>
  <si>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</si>
  <si>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</si>
  <si>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</si>
  <si>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</si>
  <si>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</si>
  <si>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Goapalpur</t>
  </si>
  <si>
    <t>Gomukh Akaha</t>
  </si>
  <si>
    <t>Gomukh Rajakpur</t>
  </si>
  <si>
    <t>Gomukh Mohanpur</t>
  </si>
  <si>
    <t>Gomukh Chakka</t>
  </si>
  <si>
    <t>Gamharia</t>
  </si>
  <si>
    <t>Gomukh Meghaul-02</t>
  </si>
  <si>
    <t>Gomukh Meida</t>
  </si>
  <si>
    <t>PIPARIYA DIH -2</t>
  </si>
  <si>
    <t>LAL DIYARA -1</t>
  </si>
  <si>
    <t>Yes</t>
  </si>
  <si>
    <t>CF OS&gt;15 Day's</t>
  </si>
  <si>
    <t>GANGA KINARE KHUTHA</t>
  </si>
  <si>
    <t>Gomukh ID Khutaha Dhih</t>
  </si>
  <si>
    <t>GOMUKH RAHATPUR</t>
  </si>
  <si>
    <t>KANHAIYA YADAV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</si>
  <si>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</si>
  <si>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</si>
  <si>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</si>
  <si>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</si>
  <si>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</si>
  <si>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</si>
  <si>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</si>
  <si>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</si>
  <si>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</si>
  <si>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</si>
  <si>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</si>
  <si>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</si>
  <si>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</si>
  <si>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</si>
  <si>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</si>
  <si>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</si>
  <si>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</si>
  <si>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</si>
  <si>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</si>
  <si>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</si>
  <si>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</si>
  <si>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</si>
  <si>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</si>
  <si>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</si>
  <si>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</si>
  <si>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</si>
  <si>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</si>
  <si>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</si>
  <si>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</si>
  <si>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</si>
  <si>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</si>
  <si>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</si>
  <si>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RAMNAGAR</t>
  </si>
  <si>
    <t>BANSIPUR</t>
  </si>
  <si>
    <t>GODIH</t>
  </si>
  <si>
    <t>SINGARPUR</t>
  </si>
  <si>
    <t>ADARSH PULPAR</t>
  </si>
  <si>
    <t>G WOLIPUR</t>
  </si>
  <si>
    <t>REHUA 3</t>
  </si>
  <si>
    <t>BICHWAY</t>
  </si>
  <si>
    <t>MANOHARPUR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</si>
  <si>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</si>
  <si>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</si>
  <si>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</si>
  <si>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</si>
  <si>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</si>
  <si>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</si>
  <si>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</si>
  <si>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</si>
  <si>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</si>
  <si>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</si>
  <si>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</si>
  <si>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</si>
  <si>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</si>
  <si>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</si>
  <si>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</si>
  <si>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</si>
  <si>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</si>
  <si>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</si>
  <si>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</si>
  <si>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</si>
  <si>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</si>
  <si>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</si>
  <si>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</si>
  <si>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</si>
  <si>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</si>
  <si>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</si>
  <si>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</si>
  <si>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</si>
  <si>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</si>
  <si>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</si>
  <si>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</si>
  <si>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</si>
  <si>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</si>
  <si>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</si>
  <si>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</si>
  <si>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</si>
  <si>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</si>
  <si>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</si>
  <si>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</si>
  <si>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</si>
  <si>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</si>
  <si>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</si>
  <si>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</si>
  <si>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</si>
  <si>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</si>
  <si>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</si>
  <si>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</si>
  <si>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</si>
  <si>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</si>
  <si>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</si>
  <si>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</si>
  <si>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</si>
  <si>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</si>
  <si>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</si>
  <si>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</si>
  <si>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</si>
  <si>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GOMUKH KODAND</t>
  </si>
  <si>
    <t>PAHALANPUR</t>
  </si>
  <si>
    <t>TETARIYA</t>
  </si>
  <si>
    <t>RAMBRAN YADAV</t>
  </si>
  <si>
    <t>Gomukh Beldra</t>
  </si>
  <si>
    <t>Gomukh Chandanpura</t>
  </si>
  <si>
    <t>BANOULI</t>
  </si>
  <si>
    <t>DARIYAPUR R</t>
  </si>
  <si>
    <t>MUZAFFARGANJ</t>
  </si>
  <si>
    <t>SARHA</t>
  </si>
  <si>
    <t>KUSUMBHA</t>
  </si>
  <si>
    <t>GOMUKH GANGA SAHYOG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</si>
  <si>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</si>
  <si>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</si>
  <si>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</si>
  <si>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</si>
  <si>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</si>
  <si>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</si>
  <si>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</si>
  <si>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</si>
  <si>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</si>
  <si>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</si>
  <si>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</si>
  <si>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</si>
  <si>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</si>
  <si>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</si>
  <si>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</si>
  <si>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</si>
  <si>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</si>
  <si>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</si>
  <si>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</si>
  <si>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</si>
  <si>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</si>
  <si>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MALIYA</t>
  </si>
  <si>
    <t>MAHULIYA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</si>
  <si>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</si>
  <si>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</si>
  <si>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</si>
  <si>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</si>
  <si>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BHANDAR</t>
  </si>
  <si>
    <t>BASMATIYA</t>
  </si>
  <si>
    <t>TILATHI</t>
  </si>
  <si>
    <t>Letter not received / CF OS&gt;15 Day's</t>
  </si>
  <si>
    <t>GOMUKH WESTOL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</si>
  <si>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</si>
  <si>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</si>
  <si>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</si>
  <si>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</si>
  <si>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</si>
  <si>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</si>
  <si>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</si>
  <si>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KHAJURIYA</t>
  </si>
  <si>
    <t>NAYA SALEMPUR</t>
  </si>
  <si>
    <t>MANO 2</t>
  </si>
  <si>
    <t>LOSDHANI</t>
  </si>
  <si>
    <t>GOMUKH MAHGAMA</t>
  </si>
  <si>
    <t>GOMUKH BAGALWA</t>
  </si>
  <si>
    <t>GOMUKH LARYATAL</t>
  </si>
  <si>
    <t>GOMUKH BHITAKITA</t>
  </si>
  <si>
    <t>SINGHOL</t>
  </si>
  <si>
    <t>GOMUKH OJONTOLA</t>
  </si>
  <si>
    <t>KHUDDIBAN SHIVNAGAR</t>
  </si>
  <si>
    <t>BARIYARPUR</t>
  </si>
  <si>
    <t>MASUDAN</t>
  </si>
  <si>
    <t>GOMUKH LOKDHANI</t>
  </si>
  <si>
    <t>GOMUKH BOHLA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</si>
  <si>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</si>
  <si>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</si>
  <si>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</si>
  <si>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</si>
  <si>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</si>
  <si>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</si>
  <si>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</si>
  <si>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</si>
  <si>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</si>
  <si>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</si>
  <si>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</si>
  <si>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</si>
  <si>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</si>
  <si>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</si>
  <si>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</si>
  <si>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</si>
  <si>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</si>
  <si>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</si>
  <si>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</si>
  <si>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</si>
  <si>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</si>
  <si>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</si>
  <si>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Godhiyasi Nayagow VLC</t>
  </si>
  <si>
    <t>Gomukh Bandehra Purbi</t>
  </si>
  <si>
    <t>Gomukh Tila Tol</t>
  </si>
  <si>
    <t>Gomukh Dina Chakla Vlc</t>
  </si>
  <si>
    <t>Gomukh Gogri VLC</t>
  </si>
  <si>
    <t>Gomukh Sondiha Jay Prakash VLC</t>
  </si>
  <si>
    <t>Gomukh Bari Chak Gogri</t>
  </si>
  <si>
    <t>Gomukh Khatha</t>
  </si>
  <si>
    <t>Chak Punervas</t>
  </si>
  <si>
    <t>Labherchak</t>
  </si>
  <si>
    <t>Paspura</t>
  </si>
  <si>
    <t>Gomukh Godhna</t>
  </si>
  <si>
    <t>Gomukh Sihma 2</t>
  </si>
  <si>
    <t>Gomukh ID Marsaito</t>
  </si>
  <si>
    <t>Gomukh ID Akashpur-2</t>
  </si>
  <si>
    <t>Gomukh ID Akashpur</t>
  </si>
  <si>
    <t>Gomukh ID Rachiyahi</t>
  </si>
  <si>
    <t>GomukhBariyahi Chanan</t>
  </si>
  <si>
    <t>GomukhGehuni</t>
  </si>
  <si>
    <t>Gomukh Bakhatpur</t>
  </si>
  <si>
    <t>Gomukh Bishanpur</t>
  </si>
  <si>
    <t>GOMUKH BEGAMSARAI</t>
  </si>
  <si>
    <t>Hasanpur - Abhijeet</t>
  </si>
  <si>
    <t>Adharpur - Manish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</si>
  <si>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</si>
  <si>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</si>
  <si>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</si>
  <si>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</si>
  <si>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</si>
  <si>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</si>
  <si>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SIBUTOL 2</t>
  </si>
  <si>
    <t>Gomukh Harichak</t>
  </si>
  <si>
    <t>RAJ BHARDWAJ</t>
  </si>
  <si>
    <t>Gomukh Amarpur</t>
  </si>
  <si>
    <t>Prashant Kumar</t>
  </si>
  <si>
    <t>Gomukh Barauni 3</t>
  </si>
  <si>
    <t>CHANDAN YADAV</t>
  </si>
  <si>
    <t>DINESH YADAV</t>
  </si>
  <si>
    <t>ANITA DEVI</t>
  </si>
  <si>
    <t>GOMUKH GEHUNI 2</t>
  </si>
  <si>
    <t>GOMUKH MALHIPUR</t>
  </si>
  <si>
    <t>Bihat - Sonu Kumar</t>
  </si>
  <si>
    <t>Rasalpur - Durgesh Kumar</t>
  </si>
  <si>
    <t>Barauni Bariyarpur</t>
  </si>
  <si>
    <t>Jaynagar</t>
  </si>
  <si>
    <t>Fateha - Anil Yadav</t>
  </si>
  <si>
    <t>Bihat - Chakballi</t>
  </si>
  <si>
    <t>Sibutol- Naya Tola</t>
  </si>
  <si>
    <t>Rasalpur</t>
  </si>
  <si>
    <t>Samsa</t>
  </si>
  <si>
    <t>Dahiya</t>
  </si>
  <si>
    <t>Gaura</t>
  </si>
  <si>
    <t>Mukhtiyarpur</t>
  </si>
  <si>
    <t>Gomukh Rudauli-02</t>
  </si>
  <si>
    <t>Gomukh Puranatol Raichiahi</t>
  </si>
  <si>
    <t>Bihat-Gududaspur</t>
  </si>
  <si>
    <t>Labharchak-2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</si>
  <si>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</si>
  <si>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</si>
  <si>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</si>
  <si>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</si>
  <si>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</si>
  <si>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</si>
  <si>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</si>
  <si>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</si>
  <si>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</si>
  <si>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</si>
  <si>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</si>
  <si>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</si>
  <si>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</si>
  <si>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</si>
  <si>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</si>
  <si>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</si>
  <si>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</si>
  <si>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</si>
  <si>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</si>
  <si>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</si>
  <si>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</si>
  <si>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</si>
  <si>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</si>
  <si>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AZADNAGAR(VLC)</t>
  </si>
  <si>
    <t>REWAI</t>
  </si>
  <si>
    <t>BAKHIYA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</si>
  <si>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</si>
  <si>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</si>
  <si>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</si>
  <si>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</si>
  <si>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</si>
  <si>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RAMDIH Ajit Kumar</t>
  </si>
  <si>
    <t>NARAYANPUR</t>
  </si>
  <si>
    <t>NAWKADIH</t>
  </si>
  <si>
    <t>CHOTAHA</t>
  </si>
  <si>
    <t>Release2</t>
  </si>
  <si>
    <t xml:space="preserve">KHARAGWADA </t>
  </si>
  <si>
    <t>UFFAPUR</t>
  </si>
  <si>
    <t>BIHRAURA</t>
  </si>
  <si>
    <t>SHIJHORI</t>
  </si>
  <si>
    <t>RAM PRAVESH YADAV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</si>
  <si>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</si>
  <si>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</si>
  <si>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</si>
  <si>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</si>
  <si>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</si>
  <si>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</si>
  <si>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</si>
  <si>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NAWADIH 2</t>
  </si>
  <si>
    <t>Vishan Pur</t>
  </si>
  <si>
    <t>Gomukh Madhawpur</t>
  </si>
  <si>
    <t>Gomukh Muradpur</t>
  </si>
  <si>
    <t>Gomukh Kanhaiyachak Pachhim</t>
  </si>
  <si>
    <t>Gomukh Srirampur Thuthi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</si>
  <si>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</si>
  <si>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</si>
  <si>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</si>
  <si>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Basudevpur</t>
  </si>
  <si>
    <t>Gomukh Tehay</t>
  </si>
  <si>
    <t>Gomukh Buddhnagar</t>
  </si>
  <si>
    <t>Gomukh Govind Pur</t>
  </si>
  <si>
    <t>Gomukh Sondiha</t>
  </si>
  <si>
    <t>Gomukh Thebhay B</t>
  </si>
  <si>
    <t>Gomukh Baisa</t>
  </si>
  <si>
    <t>Gomukh Bhorkanth Purbi</t>
  </si>
  <si>
    <t>Gomukh Khutha VLC</t>
  </si>
  <si>
    <t>Gomukh Kabela Vlc</t>
  </si>
  <si>
    <t>Gomukh Madhabpur Purbi Vlc</t>
  </si>
  <si>
    <t>Gomukh Manish Vlc</t>
  </si>
  <si>
    <t>Gomukh Mahendrapur</t>
  </si>
  <si>
    <t>Gomukh Balahpur</t>
  </si>
  <si>
    <t>Gomukh Danauli</t>
  </si>
  <si>
    <t>NAYAGAW</t>
  </si>
  <si>
    <t>Dandari</t>
  </si>
  <si>
    <t>Rahimpur Pachkhutti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</si>
  <si>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</si>
  <si>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</si>
  <si>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</si>
  <si>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</si>
  <si>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Mathar</t>
  </si>
  <si>
    <t>Gomukh Kumar Chakki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</si>
  <si>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</si>
  <si>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</si>
  <si>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</si>
  <si>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</si>
  <si>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</si>
  <si>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</si>
  <si>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</si>
  <si>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Chaidha</t>
  </si>
  <si>
    <t>Gomukh Bakiya</t>
  </si>
  <si>
    <t>Gomukh Sadpur</t>
  </si>
  <si>
    <t>GOMUKH Nista Tol</t>
  </si>
  <si>
    <t>GOMUKH SRINAGAR</t>
  </si>
  <si>
    <t>GOMUKH THATHA</t>
  </si>
  <si>
    <t>GOMUKH SANHA NAYATOLA</t>
  </si>
  <si>
    <t>Gomukh Durgapur</t>
  </si>
  <si>
    <t>Gomukh Koniya</t>
  </si>
  <si>
    <t>GOMUKH ROHUA</t>
  </si>
  <si>
    <t>GOMUKH LAXMIPUR</t>
  </si>
  <si>
    <t>GOMUKH BACHOTA</t>
  </si>
  <si>
    <t>GOMUKH CHATAR</t>
  </si>
  <si>
    <t>GOMUKH BATHNAMA</t>
  </si>
  <si>
    <t>GOMUKH TILAK NAGAR</t>
  </si>
  <si>
    <t>Gomukh Thatha Purvi</t>
  </si>
  <si>
    <t>Gomukh Rahimpur Dakshin</t>
  </si>
  <si>
    <t>GOMUKH MORKAHI</t>
  </si>
  <si>
    <t>GOMUKH HANSPUR</t>
  </si>
  <si>
    <t>GOMUKH NAYAGAON 2</t>
  </si>
  <si>
    <t>GOMUKH LABHGAON</t>
  </si>
  <si>
    <t>GOMUKH CHANDPURA</t>
  </si>
  <si>
    <t>GOMUKH BADIL TOL</t>
  </si>
  <si>
    <t>GOMUKH TRIBHUVAN TOLA</t>
  </si>
  <si>
    <t>GOMUKH SANTOSHPUL</t>
  </si>
  <si>
    <t>GOMUKH AHUNA</t>
  </si>
  <si>
    <t>GOMUKH SHADIPUR</t>
  </si>
  <si>
    <t>GOMUKH ASHRAPHA DIYARA</t>
  </si>
  <si>
    <t>GOMUKH MANIAPPA</t>
  </si>
  <si>
    <t>GOMUKH D SANJHAUTI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</si>
  <si>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</si>
  <si>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</si>
  <si>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</si>
  <si>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</si>
  <si>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</si>
  <si>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</si>
  <si>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BEHORBA</t>
  </si>
  <si>
    <t>GOMUKH SAIDPUR SAMASTIPUR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</si>
  <si>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</si>
  <si>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</si>
  <si>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</si>
  <si>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</si>
  <si>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</si>
  <si>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</si>
  <si>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MOHANPUR VLC</t>
  </si>
  <si>
    <t>GOMUKH JANGLITOL</t>
  </si>
  <si>
    <t>Hiratol VLC</t>
  </si>
  <si>
    <t xml:space="preserve">Gomukh Raghunathpur 2 </t>
  </si>
  <si>
    <t>GOMUKH BARBIGHI</t>
  </si>
  <si>
    <t>Dandari-2</t>
  </si>
  <si>
    <t>Barkhanditol</t>
  </si>
  <si>
    <t>Chauki-VLC</t>
  </si>
  <si>
    <t>Hardia</t>
  </si>
  <si>
    <t>Pachveer</t>
  </si>
  <si>
    <t>Gomukh Mirjapur Bari</t>
  </si>
  <si>
    <t>Mathar-3</t>
  </si>
  <si>
    <t>Ahoghat</t>
  </si>
  <si>
    <t>Mathar-4</t>
  </si>
  <si>
    <t>Farid Nagar</t>
  </si>
  <si>
    <t>GOMUKH SUBHANPUR</t>
  </si>
  <si>
    <t>GOMUKH  BHAJANGAMA</t>
  </si>
  <si>
    <t>Gomukh Basadhiya Kurni</t>
  </si>
  <si>
    <t>KHAJURI</t>
  </si>
  <si>
    <t>ARMAULI-2</t>
  </si>
  <si>
    <t>MUSAPUR - 2</t>
  </si>
  <si>
    <t>Janganath Pur</t>
  </si>
  <si>
    <t>Nagargama</t>
  </si>
  <si>
    <t>Sato Ghachchhi</t>
  </si>
  <si>
    <t>Bhatgama</t>
  </si>
  <si>
    <t>Borna Rasalpur</t>
  </si>
  <si>
    <t>Narahan</t>
  </si>
  <si>
    <t>Gomukh Dumduma</t>
  </si>
  <si>
    <t>SUPOL</t>
  </si>
  <si>
    <t>BHUSARAI</t>
  </si>
  <si>
    <t>Gomukha Jounapur</t>
  </si>
  <si>
    <t>Patailliya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</si>
  <si>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</si>
  <si>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</si>
  <si>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</si>
  <si>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</si>
  <si>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DESUA</t>
  </si>
  <si>
    <t>Matior</t>
  </si>
  <si>
    <t>TELGAMA</t>
  </si>
  <si>
    <t>GOMUKH TATARPUR</t>
  </si>
  <si>
    <t>Gomukh Ghataho</t>
  </si>
  <si>
    <t>Kacha - Amarjeet</t>
  </si>
  <si>
    <t>Simri - Suman</t>
  </si>
  <si>
    <t>Narenpur</t>
  </si>
  <si>
    <t>Mordiba</t>
  </si>
  <si>
    <t>Jagdispur</t>
  </si>
  <si>
    <t>Chaklal Sahi_Vikrant</t>
  </si>
  <si>
    <t>Piparpaati</t>
  </si>
  <si>
    <t>Suratpur</t>
  </si>
  <si>
    <t>Manika Tol</t>
  </si>
  <si>
    <t>Beri</t>
  </si>
  <si>
    <t>Mahmmadipur</t>
  </si>
  <si>
    <t>Simri-Rupesh</t>
  </si>
  <si>
    <t>Mithilanchal Dairy Products</t>
  </si>
  <si>
    <t>Gomukh Jhaura Tabhka</t>
  </si>
  <si>
    <t>Gomukh Bochaha</t>
  </si>
  <si>
    <t>Gomukh Terganj</t>
  </si>
  <si>
    <t>Gomukh Chapra</t>
  </si>
  <si>
    <t>GOMUKH Chiranjipur</t>
  </si>
  <si>
    <t>Gomukh Sahu Tol</t>
  </si>
  <si>
    <t>Gomukh Mordiwa East</t>
  </si>
  <si>
    <t>Gomukh Belamegh</t>
  </si>
  <si>
    <t>Gomukh Ramaiya</t>
  </si>
  <si>
    <t>GOMUKH MANIKA EAST</t>
  </si>
  <si>
    <t>IMADPUR</t>
  </si>
  <si>
    <t>Gomukh MANIYAR EAST</t>
  </si>
  <si>
    <t>GOMUKH Kisanpur Tabhka</t>
  </si>
  <si>
    <t>GOMUKH BIBHUTIPUR</t>
  </si>
  <si>
    <t>GOMUKH PATHAKTOL</t>
  </si>
  <si>
    <t>Gomukh Musapur West</t>
  </si>
  <si>
    <t>GOMUKH DADHIYA RAMKRISHANPUR</t>
  </si>
  <si>
    <t>Gomukh Simri Ward 4</t>
  </si>
  <si>
    <t>GOMUKH BALTHARA</t>
  </si>
  <si>
    <t>GOMUKH BHASINGPUR</t>
  </si>
  <si>
    <t>GOMUKH Chakhale Dad</t>
  </si>
  <si>
    <t>GOMUKH BANGHARH KISHANPUR</t>
  </si>
  <si>
    <t>Gomukh Serpur Narsari</t>
  </si>
  <si>
    <t>PARORIYA</t>
  </si>
  <si>
    <t>JHAKHRA</t>
  </si>
  <si>
    <t>GOMUKH ANDAHA</t>
  </si>
  <si>
    <t>Gomukha Rohua</t>
  </si>
  <si>
    <t>Gomukha Arniya Ganj</t>
  </si>
  <si>
    <t>Gomukha Vishanupatti II</t>
  </si>
  <si>
    <t>Gomukh Khesarhiya</t>
  </si>
  <si>
    <t>Harsingpur</t>
  </si>
  <si>
    <t>Gomukh ID Mahathi</t>
  </si>
  <si>
    <t>MURTUJAPUR</t>
  </si>
  <si>
    <t>Gomukh VISHNUPATTI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</si>
  <si>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</si>
  <si>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</si>
  <si>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</si>
  <si>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</si>
  <si>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</si>
  <si>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</si>
  <si>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</si>
  <si>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</si>
  <si>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</si>
  <si>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Songar</t>
  </si>
  <si>
    <t>Rampur Maheshpur</t>
  </si>
  <si>
    <t>Godhiyari</t>
  </si>
  <si>
    <t>Jhakhra-Rambilash</t>
  </si>
  <si>
    <t>Dagarua</t>
  </si>
  <si>
    <t>Chakmilki</t>
  </si>
  <si>
    <t>Nauachak-Pankaj</t>
  </si>
  <si>
    <t>Jitwarpur-Manisha</t>
  </si>
  <si>
    <t>Gomukh Sirdulpur 2</t>
  </si>
  <si>
    <t>Gomukh Sherpur Narsari East</t>
  </si>
  <si>
    <t>Gomukh Karhatti</t>
  </si>
  <si>
    <t>Gomukh Gaopur Bhagwatpur</t>
  </si>
  <si>
    <t>Gomukh Rajwara</t>
  </si>
  <si>
    <t>Gomukh Karhatiya Bujurg</t>
  </si>
  <si>
    <t>GOMUKH NIKASPUR</t>
  </si>
  <si>
    <t>Gomukh Morwa Mohanpur</t>
  </si>
  <si>
    <t>Gomukh Gangapur East</t>
  </si>
  <si>
    <t>GOMUKH MAHINDWARA</t>
  </si>
  <si>
    <t>GOMUKH MISHRAULIA</t>
  </si>
  <si>
    <t>GOMUKH CHAKIRDI</t>
  </si>
  <si>
    <t>GOMUKH Bhagwatpur East</t>
  </si>
  <si>
    <t>Gomukh Rupauli Buzurg</t>
  </si>
  <si>
    <t>GOMUKH BATHUA W-9</t>
  </si>
  <si>
    <t>Dumri Purvi Tola</t>
  </si>
  <si>
    <t>Simri</t>
  </si>
  <si>
    <t>Sahiyar</t>
  </si>
  <si>
    <t>ENGLISH DUBAULI</t>
  </si>
  <si>
    <t>Ramo Bariya</t>
  </si>
  <si>
    <t>HITAN PARARI</t>
  </si>
  <si>
    <t>Gangauli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</si>
  <si>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</si>
  <si>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</si>
  <si>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</si>
  <si>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</si>
  <si>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</si>
  <si>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</si>
  <si>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</si>
  <si>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</si>
  <si>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Kaithi</t>
  </si>
  <si>
    <t>Rangi Dera</t>
  </si>
  <si>
    <t>Dubki</t>
  </si>
  <si>
    <t>Soan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</si>
  <si>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</si>
  <si>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</si>
  <si>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</si>
  <si>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</si>
  <si>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</si>
  <si>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</si>
  <si>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</si>
  <si>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</si>
  <si>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</si>
  <si>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</si>
  <si>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</si>
  <si>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</si>
  <si>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</si>
  <si>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</si>
  <si>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</si>
  <si>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</si>
  <si>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</si>
  <si>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</si>
  <si>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>Gomukh Bimhnath Girdhar Baraw</t>
  </si>
  <si>
    <t xml:space="preserve">Gomukh Mathuradera Upendra </t>
  </si>
  <si>
    <t>Gomukh Badkagaon Yamunatola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</si>
  <si>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</si>
  <si>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</si>
  <si>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</si>
  <si>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</si>
  <si>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</si>
  <si>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</si>
  <si>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</si>
  <si>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Shivpur</t>
  </si>
  <si>
    <t>Gomukh Chakki Janardan Yadav</t>
  </si>
  <si>
    <t>Gomukh Rajpur</t>
  </si>
  <si>
    <t>Gomukh Gangauli Dubha</t>
  </si>
  <si>
    <t>Tiyar A2 Milk Producer Company Limited</t>
  </si>
  <si>
    <t>Gomukh Jagdishpur</t>
  </si>
  <si>
    <t>Gumukh Orap Khurd</t>
  </si>
  <si>
    <t>Gomukh Daunpura Manendra</t>
  </si>
  <si>
    <t>Gumukh Mathiyapur</t>
  </si>
  <si>
    <t>Gomukh Raghunathpur Dasrath</t>
  </si>
  <si>
    <t>Gomukh Lakshman Dera Raja</t>
  </si>
  <si>
    <t xml:space="preserve">Gomukh Arion Govind </t>
  </si>
  <si>
    <t>Gumukh Niyajipur Nakchhedi Pathak Dera</t>
  </si>
  <si>
    <t>Gumukh Basawkala Dahpura Tola</t>
  </si>
  <si>
    <t>Gaachhi Tola</t>
  </si>
  <si>
    <t>VISHWASHPUR</t>
  </si>
  <si>
    <t>RMC</t>
  </si>
  <si>
    <t>KUMARPUIR KATHARA</t>
  </si>
  <si>
    <t>KUDHIYA MPG</t>
  </si>
  <si>
    <t>SHAHJADPUR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</si>
  <si>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</si>
  <si>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</si>
  <si>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</si>
  <si>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</si>
  <si>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</si>
  <si>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</si>
  <si>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</si>
  <si>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</si>
  <si>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KATHELA TOLA TELDHI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</si>
  <si>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</si>
  <si>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</si>
  <si>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</si>
  <si>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</si>
  <si>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</si>
  <si>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</si>
  <si>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</si>
  <si>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</si>
  <si>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</si>
  <si>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</si>
  <si>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</si>
  <si>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</si>
  <si>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Gomukh Krishna Dairy Tulsipur</t>
  </si>
  <si>
    <t>Gomukh Lauwalagam</t>
  </si>
  <si>
    <t>Dhobina Basa</t>
  </si>
  <si>
    <t>Gomukh Shreepur Madhay</t>
  </si>
  <si>
    <t>Gomukh Dhoriya Dadpur -VLC</t>
  </si>
  <si>
    <t>Gomukh Mohanpur  VLC</t>
  </si>
  <si>
    <t>Gomukh Abhirampur VLC</t>
  </si>
  <si>
    <t>Gomukh Pachgachhia Vlc</t>
  </si>
  <si>
    <t>KUNTHA M</t>
  </si>
  <si>
    <t>ARAK</t>
  </si>
  <si>
    <t>Diyaman</t>
  </si>
  <si>
    <t>HENHA</t>
  </si>
  <si>
    <t>Suddh Dairy</t>
  </si>
  <si>
    <t>Anik Kumar</t>
  </si>
  <si>
    <t>Nand Kishor Kumar</t>
  </si>
  <si>
    <t>Gomukh CHANDAULI</t>
  </si>
  <si>
    <t>GOMUKH HATHA</t>
  </si>
  <si>
    <t>GOMUKH VADEYA</t>
  </si>
  <si>
    <t>GOMUKH BARGAMA</t>
  </si>
  <si>
    <t>Gomukh Gograha Tola</t>
  </si>
  <si>
    <t>Gomukh Patsara</t>
  </si>
  <si>
    <t>Gomukh Singhiya</t>
  </si>
  <si>
    <t xml:space="preserve">Gomukh BALHA </t>
  </si>
  <si>
    <t>Gomukh Madhopur</t>
  </si>
  <si>
    <t>Gomukh Kalyanpur East</t>
  </si>
  <si>
    <t>Gomukh Bazidpur</t>
  </si>
  <si>
    <t>Gomukh Belsandi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</si>
  <si>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</si>
  <si>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</si>
  <si>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</si>
  <si>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</si>
  <si>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</si>
  <si>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</si>
  <si>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</si>
  <si>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Bedauliya</t>
  </si>
  <si>
    <t>Gomukh Khanua</t>
  </si>
  <si>
    <t>Gomukh Hiralalpur</t>
  </si>
  <si>
    <t>Gomukh Punas</t>
  </si>
  <si>
    <t>Gomukh Loharkha</t>
  </si>
  <si>
    <t>Gomukh Dighra</t>
  </si>
  <si>
    <t>Basuwari</t>
  </si>
  <si>
    <t>Belsandi 3</t>
  </si>
  <si>
    <t>Gomukh Bhagwanpur</t>
  </si>
  <si>
    <t>GOMUKH HARPUR W-13</t>
  </si>
  <si>
    <t>Gomukh Ratwara</t>
  </si>
  <si>
    <t>Gomukh Fulhara</t>
  </si>
  <si>
    <t>Gomukh Ranitola</t>
  </si>
  <si>
    <t>Gomukh Malinagar East</t>
  </si>
  <si>
    <t>GOMUKH Singhiya Ward 11</t>
  </si>
  <si>
    <t>GOMUKH MANIYARPUR</t>
  </si>
  <si>
    <t>GOMUKH DIGHRA W-6</t>
  </si>
  <si>
    <t>GOMUKH BANDRA W-6</t>
  </si>
  <si>
    <t>GOMUKH PARAN 2</t>
  </si>
  <si>
    <t>GOMUKH KHARAGPUR</t>
  </si>
  <si>
    <t>KAMARGAMA</t>
  </si>
  <si>
    <t>GOMUKH BALAHA W-9</t>
  </si>
  <si>
    <t>GOMUKH Madanpur W-3</t>
  </si>
  <si>
    <t>Gomukh Namapur East (08)</t>
  </si>
  <si>
    <t>GOMUKH Kalaunjar</t>
  </si>
  <si>
    <t>Jitwariya W-11</t>
  </si>
  <si>
    <t>Pastara Lakshman</t>
  </si>
  <si>
    <t>GOMUKH DADHIYA-2</t>
  </si>
  <si>
    <t>GOMUKH PREMNAGAR</t>
  </si>
  <si>
    <t>GOMUKH JITWARIYA W-6</t>
  </si>
  <si>
    <t>GOMUKH SUSTA</t>
  </si>
  <si>
    <t>KHANPUR SOBHA</t>
  </si>
  <si>
    <t>BHATGAMA W-5</t>
  </si>
  <si>
    <t>GOMUKH TOKE</t>
  </si>
  <si>
    <t>GOMUKH SHIVNAGAR</t>
  </si>
  <si>
    <t>GOMUKH BAKHITIYARPUR</t>
  </si>
  <si>
    <t>GOMUKH BHARJA</t>
  </si>
  <si>
    <t>GOMUKH NAWABGANJ</t>
  </si>
  <si>
    <t>GOMUKH CHAKKI</t>
  </si>
  <si>
    <t>GOMUKH LAKSHMAN NAGAR</t>
  </si>
  <si>
    <t>GOMUKH KOTHIYA</t>
  </si>
  <si>
    <t>GOMUKH JHAHURI</t>
  </si>
  <si>
    <t>GOMUKH Gopalpur Ward 1</t>
  </si>
  <si>
    <t>GOMUKH Keotsa</t>
  </si>
  <si>
    <t>Gomukh Namapur East</t>
  </si>
  <si>
    <t>GOMUKH Waini</t>
  </si>
  <si>
    <t>GOMUKH SAKARI</t>
  </si>
  <si>
    <t>GOMUKH DHOBGAMA</t>
  </si>
  <si>
    <t>GOMUKH BHUSKOUL</t>
  </si>
  <si>
    <t>GOMUKH BIRSINGHPUR</t>
  </si>
  <si>
    <t>GOMUKH GHOSRAWAN</t>
  </si>
  <si>
    <t>GOMUKH DHROOVGAMA W-12</t>
  </si>
  <si>
    <t>GOMUKH ANANDPUR PARAS 2</t>
  </si>
  <si>
    <t>GOMUKH GADBANNI</t>
  </si>
  <si>
    <t>GOMUKH PARRI</t>
  </si>
  <si>
    <t>GOMUKH BHIKHARI GHAT</t>
  </si>
  <si>
    <t>Vikash Kumar</t>
  </si>
  <si>
    <t>Rajkishore Yadav</t>
  </si>
  <si>
    <t>BHADAS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</si>
  <si>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</si>
  <si>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</si>
  <si>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</si>
  <si>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</si>
  <si>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</si>
  <si>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</si>
  <si>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</si>
  <si>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</si>
  <si>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</si>
  <si>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GOMUKH MATHURAPUR</t>
  </si>
  <si>
    <t>VLC Dhushmuri Bishanpur</t>
  </si>
  <si>
    <t>Gomukh Darhi Mor</t>
  </si>
  <si>
    <t>Gomukh Balaur</t>
  </si>
  <si>
    <t>Gomukh Hathwan - 2</t>
  </si>
  <si>
    <t>VLC Sunil Khas</t>
  </si>
  <si>
    <t xml:space="preserve">Gomukh Hathwan </t>
  </si>
  <si>
    <t>Gomukh Rahul VLC</t>
  </si>
  <si>
    <t>Balahpur-Anil Yadav</t>
  </si>
  <si>
    <t>Bagdobh</t>
  </si>
  <si>
    <t>Gomukh Matihani</t>
  </si>
  <si>
    <t>Jalalpur</t>
  </si>
  <si>
    <t>Chak</t>
  </si>
  <si>
    <t>Gomukh Chautham(Mithun Kumar VLC)</t>
  </si>
  <si>
    <t>Gomukh Pansalwa</t>
  </si>
  <si>
    <t>Gomukh Nawada</t>
  </si>
  <si>
    <t>Gomukh Yadav Tol Kanauli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</si>
  <si>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</si>
  <si>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</si>
  <si>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</si>
  <si>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</si>
  <si>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</si>
  <si>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</si>
  <si>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</si>
  <si>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</si>
  <si>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</si>
  <si>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</si>
  <si>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Purani Hrdia</t>
  </si>
  <si>
    <t>Gomukh Uttari Hardia</t>
  </si>
  <si>
    <t>Gomukh Murli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</si>
  <si>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</si>
  <si>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</si>
  <si>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</si>
  <si>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</si>
  <si>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</si>
  <si>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</si>
  <si>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Karian</t>
  </si>
  <si>
    <t>Teghara</t>
  </si>
  <si>
    <t>Basantpur</t>
  </si>
  <si>
    <t>Chakoti</t>
  </si>
  <si>
    <t>Nathudawar</t>
  </si>
  <si>
    <t>Purnahi</t>
  </si>
  <si>
    <t xml:space="preserve">Baghopur </t>
  </si>
  <si>
    <t>Sadipur Bathnaha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</si>
  <si>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</si>
  <si>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</si>
  <si>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</si>
  <si>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</si>
  <si>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</si>
  <si>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</si>
  <si>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</si>
  <si>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</si>
  <si>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</t>
  </si>
  <si>
    <t>Chhatnesar 2</t>
  </si>
  <si>
    <t>Hajpurwa</t>
  </si>
  <si>
    <t>Shekhopur</t>
  </si>
  <si>
    <t>Dharampur</t>
  </si>
  <si>
    <t>Chatnesar Pachiam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</si>
  <si>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</si>
  <si>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</si>
  <si>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</si>
  <si>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</si>
  <si>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</si>
  <si>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</si>
  <si>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</si>
  <si>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</si>
  <si>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</si>
  <si>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Kanu Bisanpur</t>
  </si>
  <si>
    <t>Raini 2</t>
  </si>
  <si>
    <t>Hasauli</t>
  </si>
  <si>
    <t>Kusiya 2</t>
  </si>
  <si>
    <t>Babupur</t>
  </si>
  <si>
    <t>Rahua 2</t>
  </si>
  <si>
    <t>Madhopur</t>
  </si>
  <si>
    <t>Ekdara</t>
  </si>
  <si>
    <t>Mahuli</t>
  </si>
  <si>
    <t>Sakhwa Ghat</t>
  </si>
  <si>
    <t>Patiya</t>
  </si>
  <si>
    <t>Kasiya</t>
  </si>
  <si>
    <t>Belshandi</t>
  </si>
  <si>
    <t>Belshandi-2</t>
  </si>
  <si>
    <t>Godah</t>
  </si>
  <si>
    <t>Ballahpur</t>
  </si>
  <si>
    <t>Laxmipur-VLC</t>
  </si>
  <si>
    <t>Birpur</t>
  </si>
  <si>
    <t>Ahilwar</t>
  </si>
  <si>
    <t>Paridah</t>
  </si>
  <si>
    <t>Pansalla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</si>
  <si>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</si>
  <si>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</si>
  <si>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</si>
  <si>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</si>
  <si>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</si>
  <si>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</si>
  <si>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</si>
  <si>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</si>
  <si>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MISHRBIGHA</t>
  </si>
  <si>
    <t>DIGHOI</t>
  </si>
  <si>
    <t>PRATAPUR</t>
  </si>
  <si>
    <t>GOPALPUR</t>
  </si>
  <si>
    <t>NARMDA</t>
  </si>
  <si>
    <t>AMRATH</t>
  </si>
  <si>
    <t>PUTERIA</t>
  </si>
  <si>
    <t>LAKHAPUR</t>
  </si>
  <si>
    <t>BAGWANA</t>
  </si>
  <si>
    <t>REWATA</t>
  </si>
  <si>
    <t>GOMUKH DAND</t>
  </si>
  <si>
    <t>Gomukh Karisath</t>
  </si>
  <si>
    <t>Gomukh Ama</t>
  </si>
  <si>
    <t>Gomukh Pawat</t>
  </si>
  <si>
    <t>Gomukh Barja</t>
  </si>
  <si>
    <t>Gomukh Charghat</t>
  </si>
  <si>
    <t>Gomukh Ramdihra</t>
  </si>
  <si>
    <t>Gomukh Bara</t>
  </si>
  <si>
    <t>Gumukh Khajuriya</t>
  </si>
  <si>
    <t>Gomukh Chhotaki Hardiya</t>
  </si>
  <si>
    <t>GOMUKH BHATOLIYA</t>
  </si>
  <si>
    <t>GOMUKH CHEHRAKALA</t>
  </si>
  <si>
    <t>GOMUKH KHAJECHAND</t>
  </si>
  <si>
    <t>GOMUKH SALEMPUR</t>
  </si>
  <si>
    <t>GOMUKH PREMRAJ</t>
  </si>
  <si>
    <t>GOMUKH MAGURAHI</t>
  </si>
  <si>
    <t>GOMUKH GANGATI</t>
  </si>
  <si>
    <t>GOMUKH Khanpatti</t>
  </si>
  <si>
    <t>GOMUKH Bhagwatpur</t>
  </si>
  <si>
    <t>GOMUKH JIRWARA</t>
  </si>
  <si>
    <t>GOMUKH Karhatiya</t>
  </si>
  <si>
    <t>GOMUKH Bheraukhara</t>
  </si>
  <si>
    <t>GOMUKH SUPOLTARIYA</t>
  </si>
  <si>
    <t>GOMUKH Shravanapatti</t>
  </si>
  <si>
    <t>GOMUKH Jilwara</t>
  </si>
  <si>
    <t>GOMUKH ABBUCHAK</t>
  </si>
  <si>
    <t>GOMUKH KAILA JALALPUR</t>
  </si>
  <si>
    <t>Gomukh Dumari</t>
  </si>
  <si>
    <t>Gomukh Jhitkahi East</t>
  </si>
  <si>
    <t>GOMUKH UPHRAUL</t>
  </si>
  <si>
    <t>GOMUKH SHERPUR</t>
  </si>
  <si>
    <t>GOMUKH PACHAI</t>
  </si>
  <si>
    <t>GOMUKH GARAHI</t>
  </si>
  <si>
    <t>GOMUKH BAIKUNTHPUR</t>
  </si>
  <si>
    <t>GOMUKH BAHASHI</t>
  </si>
  <si>
    <t>GOMUKH BAKHRI</t>
  </si>
  <si>
    <t>GOMUKH BABA CHAUK</t>
  </si>
  <si>
    <t>GOMUKH KHARIKA</t>
  </si>
  <si>
    <t>GOMUKH KALYANPUR</t>
  </si>
  <si>
    <t>GOMUKH HARPUR RAJESH</t>
  </si>
  <si>
    <t>GOMUKH SANICHAR HATT</t>
  </si>
  <si>
    <t>GOMUKH SAHARIYA</t>
  </si>
  <si>
    <t>Madhuvan</t>
  </si>
  <si>
    <t>Karua</t>
  </si>
  <si>
    <t>Erout</t>
  </si>
  <si>
    <t>Murli</t>
  </si>
  <si>
    <t>Mahespur</t>
  </si>
  <si>
    <t>Raj Nagar</t>
  </si>
  <si>
    <t>Nauapokhar</t>
  </si>
  <si>
    <t>Erout 2</t>
  </si>
  <si>
    <t>Parsuram</t>
  </si>
  <si>
    <t>Gudarghat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</si>
  <si>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</si>
  <si>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</si>
  <si>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</si>
  <si>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</si>
  <si>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</si>
  <si>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</si>
  <si>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</si>
  <si>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</si>
  <si>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</si>
  <si>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</si>
  <si>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</si>
  <si>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</si>
  <si>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</si>
  <si>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</si>
  <si>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</si>
  <si>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</si>
  <si>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</si>
  <si>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</si>
  <si>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</si>
  <si>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</si>
  <si>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</si>
  <si>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MANDA</t>
  </si>
  <si>
    <t>HAWASPUR</t>
  </si>
  <si>
    <t>Gomukh Manda</t>
  </si>
  <si>
    <t>Total:</t>
  </si>
  <si>
    <t>Teghra</t>
  </si>
  <si>
    <t>Hasanpur</t>
  </si>
  <si>
    <t>Laldiyara</t>
  </si>
  <si>
    <t>Asarganj</t>
  </si>
  <si>
    <t>Tofir</t>
  </si>
  <si>
    <t>Sonvarsha</t>
  </si>
  <si>
    <t>Gopalpur Bmc</t>
  </si>
  <si>
    <t>Chautham</t>
  </si>
  <si>
    <t>Parbatta</t>
  </si>
  <si>
    <t>Bachhwara BMC</t>
  </si>
  <si>
    <t>Halsi</t>
  </si>
  <si>
    <t>Sahibpur Kamal</t>
  </si>
  <si>
    <t xml:space="preserve">Alauli </t>
  </si>
  <si>
    <t>DalsinghSarai</t>
  </si>
  <si>
    <t>Singhia BMC</t>
  </si>
  <si>
    <t>Musrigharari</t>
  </si>
  <si>
    <t>Mahua BMC</t>
  </si>
  <si>
    <t>Warisnagar</t>
  </si>
  <si>
    <t>06. 01-07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</si>
</sst>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[$-409]mmm/yy;@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7" applyNumberFormat="0" applyFont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165" fontId="0" fillId="0" borderId="0" xfId="1" applyNumberFormat="1" applyFont="1"/>
    <xf numFmtId="0" fontId="2" fillId="2" borderId="0" xfId="0" applyFont="1" applyFill="1" applyAlignment="1">
      <alignment vertical="center"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quotePrefix="1"/>
    <xf numFmtId="0" fontId="5" fillId="0" borderId="0" xfId="0" applyFont="1" applyAlignment="1">
      <alignment horizontal="right"/>
    </xf>
    <xf numFmtId="0" fontId="5" fillId="0" borderId="0" xfId="0" quotePrefix="1" applyFont="1" applyAlignment="1">
      <alignment horizontal="right"/>
    </xf>
    <xf numFmtId="0" fontId="0" fillId="0" borderId="0" xfId="0" pivotButton="1"/>
    <xf numFmtId="0" fontId="7" fillId="4" borderId="5" xfId="0" applyFont="1" applyFill="1" applyBorder="1"/>
    <xf numFmtId="0" fontId="7" fillId="0" borderId="0" xfId="0" applyFont="1"/>
    <xf numFmtId="0" fontId="7" fillId="0" borderId="5" xfId="0" applyFont="1" applyBorder="1"/>
    <xf numFmtId="0" fontId="7" fillId="0" borderId="6" xfId="0" applyFont="1" applyBorder="1"/>
    <xf numFmtId="165" fontId="7" fillId="0" borderId="6" xfId="0" applyNumberFormat="1" applyFont="1" applyBorder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8" xfId="0" applyBorder="1"/>
    <xf numFmtId="43" fontId="7" fillId="6" borderId="9" xfId="4" applyFont="1" applyFill="1" applyBorder="1" applyAlignment="1">
      <alignment horizontal="center" vertical="center" wrapText="1"/>
    </xf>
    <xf numFmtId="43" fontId="7" fillId="6" borderId="9" xfId="4" applyFont="1" applyFill="1" applyBorder="1" applyAlignment="1">
      <alignment horizontal="left" vertical="center" wrapText="1"/>
    </xf>
    <xf numFmtId="43" fontId="7" fillId="7" borderId="9" xfId="4" applyFont="1" applyFill="1" applyBorder="1" applyAlignment="1">
      <alignment horizontal="center" vertical="center" wrapText="1"/>
    </xf>
    <xf numFmtId="43" fontId="7" fillId="8" borderId="9" xfId="4" applyFont="1" applyFill="1" applyBorder="1" applyAlignment="1">
      <alignment horizontal="center" vertical="center" wrapText="1"/>
    </xf>
    <xf numFmtId="43" fontId="7" fillId="9" borderId="10" xfId="4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0" borderId="11" xfId="0" applyBorder="1" applyAlignment="1">
      <alignment horizontal="center"/>
    </xf>
    <xf numFmtId="43" fontId="0" fillId="0" borderId="11" xfId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1" fontId="0" fillId="0" borderId="11" xfId="0" applyNumberFormat="1" applyBorder="1" applyAlignment="1">
      <alignment horizontal="center"/>
    </xf>
    <xf numFmtId="165" fontId="1" fillId="8" borderId="11" xfId="4" applyNumberFormat="1" applyFont="1" applyFill="1" applyBorder="1" applyAlignment="1">
      <alignment horizontal="center" vertical="center"/>
    </xf>
    <xf numFmtId="165" fontId="8" fillId="5" borderId="7" xfId="3" applyNumberFormat="1" applyFont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9" xfId="0" quotePrefix="1" applyBorder="1"/>
    <xf numFmtId="9" fontId="0" fillId="0" borderId="9" xfId="2" applyFont="1" applyBorder="1" applyAlignment="1">
      <alignment horizontal="center"/>
    </xf>
    <xf numFmtId="1" fontId="0" fillId="0" borderId="9" xfId="2" applyNumberFormat="1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43" fontId="0" fillId="0" borderId="9" xfId="1" applyFont="1" applyBorder="1"/>
    <xf numFmtId="0" fontId="0" fillId="0" borderId="9" xfId="0" applyBorder="1"/>
    <xf numFmtId="43" fontId="0" fillId="0" borderId="9" xfId="1" applyFont="1" applyBorder="1" applyAlignment="1">
      <alignment horizontal="center"/>
    </xf>
    <xf numFmtId="43" fontId="0" fillId="11" borderId="9" xfId="1" applyFont="1" applyFill="1" applyBorder="1" applyAlignment="1">
      <alignment horizontal="center"/>
    </xf>
    <xf numFmtId="166" fontId="0" fillId="0" borderId="9" xfId="0" applyNumberFormat="1" applyBorder="1"/>
    <xf numFmtId="167" fontId="0" fillId="0" borderId="0" xfId="0" applyNumberFormat="1"/>
    <xf numFmtId="1" fontId="0" fillId="0" borderId="9" xfId="0" applyNumberFormat="1" applyBorder="1" applyAlignment="1">
      <alignment horizontal="center"/>
    </xf>
    <xf numFmtId="43" fontId="0" fillId="11" borderId="9" xfId="1" applyFont="1" applyFill="1" applyBorder="1"/>
    <xf numFmtId="1" fontId="0" fillId="11" borderId="9" xfId="0" applyNumberFormat="1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9" xfId="0" quotePrefix="1" applyFill="1" applyBorder="1" applyAlignment="1">
      <alignment horizontal="center"/>
    </xf>
    <xf numFmtId="0" fontId="7" fillId="12" borderId="9" xfId="0" applyFont="1" applyFill="1" applyBorder="1" applyAlignment="1">
      <alignment horizontal="center"/>
    </xf>
    <xf numFmtId="0" fontId="7" fillId="12" borderId="9" xfId="0" applyFont="1" applyFill="1" applyBorder="1"/>
    <xf numFmtId="1" fontId="7" fillId="12" borderId="9" xfId="0" applyNumberFormat="1" applyFont="1" applyFill="1" applyBorder="1" applyAlignment="1">
      <alignment horizontal="center"/>
    </xf>
    <xf numFmtId="165" fontId="7" fillId="12" borderId="9" xfId="4" applyNumberFormat="1" applyFont="1" applyFill="1" applyBorder="1" applyAlignment="1">
      <alignment horizontal="center" vertical="center"/>
    </xf>
    <xf numFmtId="9" fontId="0" fillId="0" borderId="9" xfId="2" applyFont="1" applyBorder="1"/>
    <xf numFmtId="2" fontId="0" fillId="0" borderId="9" xfId="2" applyNumberFormat="1" applyFont="1" applyBorder="1"/>
    <xf numFmtId="165" fontId="0" fillId="0" borderId="9" xfId="1" applyNumberFormat="1" applyFont="1" applyBorder="1"/>
  </cellXfs>
  <cellStyles count="5">
    <cellStyle name="Comma" xfId="1" builtinId="3"/>
    <cellStyle name="Comma 2" xfId="4" xr:uid="{53930B17-1B20-420F-B3CF-715FD4D803DE}"/>
    <cellStyle name="Normal" xfId="0" builtinId="0"/>
    <cellStyle name="Note" xfId="3" builtinId="10"/>
    <cellStyle name="Percent" xfId="2" builtinId="5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 * #,##0_ ;_ * \-#,##0_ ;_ * &quot;-&quot;??_ ;_ @_ "/>
      <alignment horizontal="center" vertical="bottom" textRotation="0" wrapText="0" indent="0" justifyLastLine="0" shrinkToFit="0" readingOrder="0"/>
    </dxf>
    <dxf>
      <numFmt numFmtId="165" formatCode="_ * #,##0_ ;_ * \-#,##0_ ;_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6.%20Farmer%20Payment-01-07%20May.xlsb" TargetMode="External"/><Relationship Id="rId2" Type="http://schemas.openxmlformats.org/officeDocument/2006/relationships/externalLinkPath" Target="file:///C:\Users\rahul\Desktop\Rahul%20Backup\Farmer%20Payment\FYI-26-27\Bihar\Farmer%20Payment\FRMPMT%2001_07-May'26\06.%20Farmer%20Payment-01-07%20May.xlsb" TargetMode="External"/><Relationship Id="rId1" Type="http://schemas.openxmlformats.org/officeDocument/2006/relationships/externalLinkPath" Target="/Users/rahul/Desktop/Rahul%20Backup/Farmer%20Payment/FYI-26-27/Bihar/Farmer%20Payment/FRMPMT%2001_07-May'26/06.%20Farmer%20Payment-01-07%20May.xlsb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Rupam%20Kumari/Downloads/Master%20New%20Format_Bihar%20(11).xlsx" TargetMode="External"/><Relationship Id="rId2" Type="http://schemas.openxmlformats.org/officeDocument/2006/relationships/externalLinkPath" Target="file:///C:\Users\Rupam%20Kumari\Downloads\Master%20New%20Format_Bihar%20(11).xlsx" TargetMode="External"/><Relationship Id="rId1" Type="http://schemas.openxmlformats.org/officeDocument/2006/relationships/externalLinkPath" Target="/Users/Rupam%20Kumari/Downloads/Master%20New%20Format_Bihar%20(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  <cell r="G3" t="str">
            <v>BMC Volume</v>
          </cell>
          <cell r="H3" t="str">
            <v>BMC Amount</v>
          </cell>
          <cell r="I3" t="str">
            <v>Vol</v>
          </cell>
          <cell r="J3" t="str">
            <v>Amt</v>
          </cell>
          <cell r="K3" t="str">
            <v>Vol</v>
          </cell>
          <cell r="L3" t="str">
            <v>Amt</v>
          </cell>
          <cell r="M3" t="str">
            <v>Vol</v>
          </cell>
          <cell r="N3" t="str">
            <v>Amt</v>
          </cell>
          <cell r="O3" t="str">
            <v>Payable</v>
          </cell>
          <cell r="P3" t="str">
            <v>Vet Deduction</v>
          </cell>
          <cell r="Q3" t="str">
            <v>Sample Am</v>
          </cell>
          <cell r="R3" t="str">
            <v>Loss Apportion</v>
          </cell>
          <cell r="S3" t="str">
            <v>CF Deduction</v>
          </cell>
          <cell r="T3" t="str">
            <v>Other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  <cell r="G4">
            <v>768.5</v>
          </cell>
          <cell r="H4">
            <v>29428.73</v>
          </cell>
          <cell r="I4">
            <v>754.24000000000024</v>
          </cell>
          <cell r="J4">
            <v>28714.997860434582</v>
          </cell>
          <cell r="K4">
            <v>6.1800000000000006</v>
          </cell>
          <cell r="L4">
            <v>231.61210500511999</v>
          </cell>
          <cell r="M4">
            <v>760.42000000000019</v>
          </cell>
          <cell r="N4">
            <v>28946.6099654397</v>
          </cell>
          <cell r="O4">
            <v>28946.6099654397</v>
          </cell>
          <cell r="P4">
            <v>0</v>
          </cell>
          <cell r="Q4">
            <v>231.61210500511999</v>
          </cell>
          <cell r="R4">
            <v>0</v>
          </cell>
          <cell r="S4">
            <v>0</v>
          </cell>
          <cell r="T4">
            <v>0</v>
          </cell>
        </row>
        <row r="5">
          <cell r="C5">
            <v>10010017</v>
          </cell>
          <cell r="D5" t="str">
            <v>Gomukh Amba</v>
          </cell>
          <cell r="E5" t="str">
            <v>MPG</v>
          </cell>
          <cell r="F5" t="str">
            <v>Direct</v>
          </cell>
          <cell r="G5">
            <v>49.45</v>
          </cell>
          <cell r="H5">
            <v>1708.9199999999998</v>
          </cell>
          <cell r="I5">
            <v>49</v>
          </cell>
          <cell r="J5">
            <v>1715.3615278800003</v>
          </cell>
          <cell r="K5">
            <v>0</v>
          </cell>
          <cell r="L5">
            <v>0</v>
          </cell>
          <cell r="M5">
            <v>49</v>
          </cell>
          <cell r="N5">
            <v>1715.3615278800003</v>
          </cell>
          <cell r="O5">
            <v>1708.9199999999998</v>
          </cell>
          <cell r="P5">
            <v>0</v>
          </cell>
          <cell r="Q5">
            <v>0</v>
          </cell>
          <cell r="R5">
            <v>6.4415278800004216</v>
          </cell>
          <cell r="S5">
            <v>0</v>
          </cell>
          <cell r="T5">
            <v>72.41</v>
          </cell>
        </row>
        <row r="6">
          <cell r="C6">
            <v>10010019</v>
          </cell>
          <cell r="D6" t="str">
            <v xml:space="preserve">Gomukh Jagdar                                                                                       </v>
          </cell>
          <cell r="E6" t="str">
            <v>MPG</v>
          </cell>
          <cell r="F6" t="str">
            <v>Direct</v>
          </cell>
          <cell r="G6">
            <v>739.8</v>
          </cell>
          <cell r="H6">
            <v>30204.13</v>
          </cell>
          <cell r="I6">
            <v>731.6600000000002</v>
          </cell>
          <cell r="J6">
            <v>30050.983569747339</v>
          </cell>
          <cell r="K6">
            <v>13.07</v>
          </cell>
          <cell r="L6">
            <v>497.65694536800009</v>
          </cell>
          <cell r="M6">
            <v>744.73000000000025</v>
          </cell>
          <cell r="N6">
            <v>30548.640515115338</v>
          </cell>
          <cell r="O6">
            <v>30204.13</v>
          </cell>
          <cell r="P6">
            <v>0</v>
          </cell>
          <cell r="Q6">
            <v>497.65694536800009</v>
          </cell>
          <cell r="R6">
            <v>344.5105151153366</v>
          </cell>
          <cell r="S6">
            <v>0</v>
          </cell>
          <cell r="T6">
            <v>0</v>
          </cell>
        </row>
        <row r="7">
          <cell r="C7">
            <v>10010038</v>
          </cell>
          <cell r="D7" t="str">
            <v>Gomukh Goriyari</v>
          </cell>
          <cell r="E7" t="str">
            <v>MPG</v>
          </cell>
          <cell r="F7" t="str">
            <v>Direct</v>
          </cell>
          <cell r="G7">
            <v>1163.3999999999999</v>
          </cell>
          <cell r="H7">
            <v>45015.089999999989</v>
          </cell>
          <cell r="I7">
            <v>840</v>
          </cell>
          <cell r="J7">
            <v>33000.923735999997</v>
          </cell>
          <cell r="K7">
            <v>321.5</v>
          </cell>
          <cell r="L7">
            <v>12424.442928480003</v>
          </cell>
          <cell r="M7">
            <v>1161.5</v>
          </cell>
          <cell r="N7">
            <v>45425.366664479996</v>
          </cell>
          <cell r="O7">
            <v>45015.089999999989</v>
          </cell>
          <cell r="P7">
            <v>0</v>
          </cell>
          <cell r="Q7">
            <v>184.80527999999998</v>
          </cell>
          <cell r="R7">
            <v>410.27666448000673</v>
          </cell>
          <cell r="S7">
            <v>12500</v>
          </cell>
          <cell r="T7">
            <v>0</v>
          </cell>
        </row>
        <row r="8">
          <cell r="C8">
            <v>10010047</v>
          </cell>
          <cell r="D8" t="str">
            <v>Mohanpur - Chandan</v>
          </cell>
          <cell r="E8" t="str">
            <v>vlc</v>
          </cell>
          <cell r="F8" t="str">
            <v>Indirect</v>
          </cell>
          <cell r="G8">
            <v>14.1</v>
          </cell>
          <cell r="H8">
            <v>657.06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657.06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587.58044516129041</v>
          </cell>
        </row>
        <row r="9">
          <cell r="C9">
            <v>10010049</v>
          </cell>
          <cell r="D9" t="str">
            <v>Birpur-2 - Pankaj</v>
          </cell>
          <cell r="E9" t="str">
            <v>vlc</v>
          </cell>
          <cell r="F9" t="str">
            <v>Indirect</v>
          </cell>
          <cell r="G9">
            <v>141.4</v>
          </cell>
          <cell r="H9">
            <v>4811.59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4811.59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4590.3744193548391</v>
          </cell>
        </row>
        <row r="10">
          <cell r="C10">
            <v>10010050</v>
          </cell>
          <cell r="D10" t="str">
            <v>Ekamba - Ashutosh</v>
          </cell>
          <cell r="E10" t="str">
            <v>vlc</v>
          </cell>
          <cell r="F10" t="str">
            <v>Indirect</v>
          </cell>
          <cell r="G10">
            <v>646.6</v>
          </cell>
          <cell r="H10">
            <v>24645.309999999998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24645.309999999998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C11">
            <v>10010055</v>
          </cell>
          <cell r="D11" t="str">
            <v xml:space="preserve">GOMUKH BIRPUR PASCHIM                                                                               </v>
          </cell>
          <cell r="E11" t="str">
            <v>MPG</v>
          </cell>
          <cell r="F11" t="str">
            <v>Direct</v>
          </cell>
          <cell r="G11">
            <v>136.5</v>
          </cell>
          <cell r="H11">
            <v>5618.98</v>
          </cell>
          <cell r="I11">
            <v>137.5</v>
          </cell>
          <cell r="J11">
            <v>5496.8972216400007</v>
          </cell>
          <cell r="K11">
            <v>0</v>
          </cell>
          <cell r="L11">
            <v>0</v>
          </cell>
          <cell r="M11">
            <v>137.5</v>
          </cell>
          <cell r="N11">
            <v>5496.8972216400007</v>
          </cell>
          <cell r="O11">
            <v>5496.8972216400007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C12">
            <v>10010057</v>
          </cell>
          <cell r="D12" t="str">
            <v xml:space="preserve">Manish Dairy                                                                                        </v>
          </cell>
          <cell r="E12" t="str">
            <v>vlc</v>
          </cell>
          <cell r="F12" t="str">
            <v>Indirect</v>
          </cell>
          <cell r="G12">
            <v>11063</v>
          </cell>
          <cell r="H12">
            <v>392059.06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392059.06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C13">
            <v>10010076</v>
          </cell>
          <cell r="D13" t="str">
            <v>Gomukh Bhith-02</v>
          </cell>
          <cell r="E13" t="str">
            <v>MPG</v>
          </cell>
          <cell r="F13" t="str">
            <v>Direct</v>
          </cell>
          <cell r="G13">
            <v>165.70000000000002</v>
          </cell>
          <cell r="H13">
            <v>6324.9800000000014</v>
          </cell>
          <cell r="I13">
            <v>17.510000000000002</v>
          </cell>
          <cell r="J13">
            <v>664.42302630000006</v>
          </cell>
          <cell r="K13">
            <v>150</v>
          </cell>
          <cell r="L13">
            <v>6217.368300000001</v>
          </cell>
          <cell r="M13">
            <v>167.51</v>
          </cell>
          <cell r="N13">
            <v>6881.7913263000009</v>
          </cell>
          <cell r="O13">
            <v>6324.9800000000014</v>
          </cell>
          <cell r="P13">
            <v>0</v>
          </cell>
          <cell r="Q13">
            <v>0</v>
          </cell>
          <cell r="R13">
            <v>556.81132629999956</v>
          </cell>
          <cell r="S13">
            <v>0</v>
          </cell>
          <cell r="T13">
            <v>1024.71</v>
          </cell>
        </row>
        <row r="14">
          <cell r="C14">
            <v>10010082</v>
          </cell>
          <cell r="D14" t="str">
            <v>Gomukh Sharmatola Sahuri</v>
          </cell>
          <cell r="E14" t="str">
            <v>MPG</v>
          </cell>
          <cell r="F14" t="str">
            <v>Direct</v>
          </cell>
          <cell r="G14">
            <v>1053.2</v>
          </cell>
          <cell r="H14">
            <v>40013.169999999991</v>
          </cell>
          <cell r="I14">
            <v>1014.88</v>
          </cell>
          <cell r="J14">
            <v>38729.923069412791</v>
          </cell>
          <cell r="K14">
            <v>41.96</v>
          </cell>
          <cell r="L14">
            <v>1817.9181846097999</v>
          </cell>
          <cell r="M14">
            <v>1056.8399999999999</v>
          </cell>
          <cell r="N14">
            <v>40547.841254022591</v>
          </cell>
          <cell r="O14">
            <v>40013.169999999991</v>
          </cell>
          <cell r="P14">
            <v>0</v>
          </cell>
          <cell r="Q14">
            <v>0</v>
          </cell>
          <cell r="R14">
            <v>534.6712540225999</v>
          </cell>
          <cell r="S14">
            <v>0</v>
          </cell>
          <cell r="T14">
            <v>0</v>
          </cell>
        </row>
        <row r="15">
          <cell r="C15">
            <v>10010084</v>
          </cell>
          <cell r="D15" t="str">
            <v>Sangat- Sanjeev Kumar</v>
          </cell>
          <cell r="E15" t="str">
            <v>vlc</v>
          </cell>
          <cell r="F15" t="str">
            <v>Indirect</v>
          </cell>
          <cell r="G15">
            <v>144.9</v>
          </cell>
          <cell r="H15">
            <v>5209.43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5209.43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1.7164451612901104</v>
          </cell>
        </row>
        <row r="16">
          <cell r="C16">
            <v>10010086</v>
          </cell>
          <cell r="D16" t="str">
            <v>Gomukh Garhi Bisanpur</v>
          </cell>
          <cell r="E16" t="str">
            <v>MPG</v>
          </cell>
          <cell r="F16" t="str">
            <v>Direct</v>
          </cell>
          <cell r="G16">
            <v>164.89999999999998</v>
          </cell>
          <cell r="H16">
            <v>6701.8499999999995</v>
          </cell>
          <cell r="I16">
            <v>168.77999999999997</v>
          </cell>
          <cell r="J16">
            <v>7294.1868829414361</v>
          </cell>
          <cell r="K16">
            <v>2.9199999999999995</v>
          </cell>
          <cell r="L16">
            <v>126.86744996722999</v>
          </cell>
          <cell r="M16">
            <v>171.69999999999996</v>
          </cell>
          <cell r="N16">
            <v>7421.0543329086659</v>
          </cell>
          <cell r="O16">
            <v>6701.8499999999995</v>
          </cell>
          <cell r="P16">
            <v>0</v>
          </cell>
          <cell r="Q16">
            <v>126.86744996722999</v>
          </cell>
          <cell r="R16">
            <v>719.2043329086664</v>
          </cell>
          <cell r="S16">
            <v>0</v>
          </cell>
          <cell r="T16">
            <v>0</v>
          </cell>
        </row>
        <row r="17">
          <cell r="C17">
            <v>10010087</v>
          </cell>
          <cell r="D17" t="str">
            <v>Bagaraha-Gopal Yadav</v>
          </cell>
          <cell r="E17" t="str">
            <v>vlc</v>
          </cell>
          <cell r="F17" t="str">
            <v>Indirect</v>
          </cell>
          <cell r="G17">
            <v>105.79999999999998</v>
          </cell>
          <cell r="H17">
            <v>3181.92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3181.92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237.1186258064514</v>
          </cell>
        </row>
        <row r="18">
          <cell r="C18">
            <v>10010089</v>
          </cell>
          <cell r="D18" t="str">
            <v>Gomukh Barkurwa</v>
          </cell>
          <cell r="E18" t="str">
            <v>MPG</v>
          </cell>
          <cell r="F18" t="str">
            <v>Direct</v>
          </cell>
          <cell r="G18">
            <v>396.2</v>
          </cell>
          <cell r="H18">
            <v>14824.74</v>
          </cell>
          <cell r="I18">
            <v>173.2</v>
          </cell>
          <cell r="J18">
            <v>6496.1002679760004</v>
          </cell>
          <cell r="K18">
            <v>232.05999999999997</v>
          </cell>
          <cell r="L18">
            <v>9065.6331286923978</v>
          </cell>
          <cell r="M18">
            <v>405.26</v>
          </cell>
          <cell r="N18">
            <v>15561.733396668398</v>
          </cell>
          <cell r="O18">
            <v>14824.74</v>
          </cell>
          <cell r="P18">
            <v>0</v>
          </cell>
          <cell r="Q18">
            <v>272.05421760000002</v>
          </cell>
          <cell r="R18">
            <v>736.99339666839842</v>
          </cell>
          <cell r="S18">
            <v>0</v>
          </cell>
          <cell r="T18">
            <v>0</v>
          </cell>
        </row>
        <row r="19">
          <cell r="C19">
            <v>10010092</v>
          </cell>
          <cell r="D19" t="str">
            <v>Kamla- Amarjeet</v>
          </cell>
          <cell r="E19" t="str">
            <v>vlc</v>
          </cell>
          <cell r="F19" t="str">
            <v>Indirect</v>
          </cell>
          <cell r="G19">
            <v>323.70000000000005</v>
          </cell>
          <cell r="H19">
            <v>10003.120000000001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10003.120000000001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447.02332258064553</v>
          </cell>
        </row>
        <row r="20">
          <cell r="C20">
            <v>10010095</v>
          </cell>
          <cell r="D20" t="str">
            <v>Gomukh Goha-02</v>
          </cell>
          <cell r="E20" t="str">
            <v>MPG</v>
          </cell>
          <cell r="F20" t="str">
            <v>Direct</v>
          </cell>
          <cell r="G20">
            <v>391.4</v>
          </cell>
          <cell r="H20">
            <v>15052.36</v>
          </cell>
          <cell r="I20">
            <v>386.70000000000005</v>
          </cell>
          <cell r="J20">
            <v>15030.2266024498</v>
          </cell>
          <cell r="K20">
            <v>5</v>
          </cell>
          <cell r="L20">
            <v>193.38560999999999</v>
          </cell>
          <cell r="M20">
            <v>391.70000000000005</v>
          </cell>
          <cell r="N20">
            <v>15223.6122124498</v>
          </cell>
          <cell r="O20">
            <v>15052.36</v>
          </cell>
          <cell r="P20">
            <v>0</v>
          </cell>
          <cell r="Q20">
            <v>193.38560999999999</v>
          </cell>
          <cell r="R20">
            <v>171.25221244979912</v>
          </cell>
          <cell r="S20">
            <v>0</v>
          </cell>
          <cell r="T20">
            <v>0</v>
          </cell>
        </row>
        <row r="21">
          <cell r="C21">
            <v>10010097</v>
          </cell>
          <cell r="D21" t="str">
            <v>Gomukh Cheria Bariarpur</v>
          </cell>
          <cell r="E21" t="str">
            <v>MPG</v>
          </cell>
          <cell r="F21" t="str">
            <v>Direct</v>
          </cell>
          <cell r="G21">
            <v>1339.8999999999999</v>
          </cell>
          <cell r="H21">
            <v>49690.539999999994</v>
          </cell>
          <cell r="I21">
            <v>1519.7700000000002</v>
          </cell>
          <cell r="J21">
            <v>54835.208284072498</v>
          </cell>
          <cell r="K21">
            <v>1.6200000000000003</v>
          </cell>
          <cell r="L21">
            <v>58.057293987000008</v>
          </cell>
          <cell r="M21">
            <v>1521.39</v>
          </cell>
          <cell r="N21">
            <v>54893.265578059501</v>
          </cell>
          <cell r="O21">
            <v>49690.539999999994</v>
          </cell>
          <cell r="P21">
            <v>0</v>
          </cell>
          <cell r="Q21">
            <v>58.057293987000008</v>
          </cell>
          <cell r="R21">
            <v>5202.7255780595078</v>
          </cell>
          <cell r="S21">
            <v>0</v>
          </cell>
          <cell r="T21">
            <v>0</v>
          </cell>
        </row>
        <row r="22">
          <cell r="C22">
            <v>10010098</v>
          </cell>
          <cell r="D22" t="str">
            <v>Gomukh Rahul Nagar</v>
          </cell>
          <cell r="E22" t="str">
            <v>MPG</v>
          </cell>
          <cell r="F22" t="str">
            <v>Direct</v>
          </cell>
          <cell r="G22">
            <v>289.8</v>
          </cell>
          <cell r="H22">
            <v>12074.08</v>
          </cell>
          <cell r="I22">
            <v>291.76</v>
          </cell>
          <cell r="J22">
            <v>13086.841175183101</v>
          </cell>
          <cell r="K22">
            <v>6.78</v>
          </cell>
          <cell r="L22">
            <v>321.26055721980003</v>
          </cell>
          <cell r="M22">
            <v>298.53999999999996</v>
          </cell>
          <cell r="N22">
            <v>13408.101732402902</v>
          </cell>
          <cell r="O22">
            <v>12074.08</v>
          </cell>
          <cell r="P22">
            <v>0</v>
          </cell>
          <cell r="Q22">
            <v>244.47607634220003</v>
          </cell>
          <cell r="R22">
            <v>1334.0217324029018</v>
          </cell>
          <cell r="S22">
            <v>0</v>
          </cell>
          <cell r="T22">
            <v>0</v>
          </cell>
        </row>
        <row r="23">
          <cell r="C23">
            <v>10010099</v>
          </cell>
          <cell r="D23" t="str">
            <v>Gomukh Bagraha-01</v>
          </cell>
          <cell r="E23" t="str">
            <v>MPG</v>
          </cell>
          <cell r="F23" t="str">
            <v>Direct</v>
          </cell>
          <cell r="G23">
            <v>144.69999999999999</v>
          </cell>
          <cell r="H23">
            <v>5792.72</v>
          </cell>
          <cell r="I23">
            <v>152.19999999999999</v>
          </cell>
          <cell r="J23">
            <v>6031.5796332</v>
          </cell>
          <cell r="K23">
            <v>0</v>
          </cell>
          <cell r="L23">
            <v>0</v>
          </cell>
          <cell r="M23">
            <v>152.19999999999999</v>
          </cell>
          <cell r="N23">
            <v>6031.5796332</v>
          </cell>
          <cell r="O23">
            <v>5792.72</v>
          </cell>
          <cell r="P23">
            <v>0</v>
          </cell>
          <cell r="Q23">
            <v>0</v>
          </cell>
          <cell r="R23">
            <v>238.85963319999973</v>
          </cell>
          <cell r="S23">
            <v>0</v>
          </cell>
          <cell r="T23">
            <v>86.618879999999905</v>
          </cell>
        </row>
        <row r="24">
          <cell r="C24">
            <v>10010103</v>
          </cell>
          <cell r="D24" t="str">
            <v>Gomukh Shobhaipura</v>
          </cell>
          <cell r="E24" t="str">
            <v>MPG</v>
          </cell>
          <cell r="F24" t="str">
            <v>Direct</v>
          </cell>
          <cell r="G24">
            <v>20.3</v>
          </cell>
          <cell r="H24">
            <v>753.82</v>
          </cell>
          <cell r="I24">
            <v>20.100000000000001</v>
          </cell>
          <cell r="J24">
            <v>747.16891662599994</v>
          </cell>
          <cell r="K24">
            <v>0</v>
          </cell>
          <cell r="L24">
            <v>0</v>
          </cell>
          <cell r="M24">
            <v>20.100000000000001</v>
          </cell>
          <cell r="N24">
            <v>747.16891662599994</v>
          </cell>
          <cell r="O24">
            <v>747.16891662599994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133.22522640000003</v>
          </cell>
        </row>
        <row r="25">
          <cell r="C25">
            <v>10010108</v>
          </cell>
          <cell r="D25" t="str">
            <v>Gomukh Pirauna</v>
          </cell>
          <cell r="E25" t="str">
            <v>MPG</v>
          </cell>
          <cell r="F25" t="str">
            <v>Direct</v>
          </cell>
          <cell r="G25">
            <v>123.20000000000002</v>
          </cell>
          <cell r="H25">
            <v>4196.079999999999</v>
          </cell>
          <cell r="I25">
            <v>130.57999999999998</v>
          </cell>
          <cell r="J25">
            <v>4910.599608789601</v>
          </cell>
          <cell r="K25">
            <v>2.1399999999999997</v>
          </cell>
          <cell r="L25">
            <v>81.961154352000023</v>
          </cell>
          <cell r="M25">
            <v>132.71999999999997</v>
          </cell>
          <cell r="N25">
            <v>4992.5607631416015</v>
          </cell>
          <cell r="O25">
            <v>4196.079999999999</v>
          </cell>
          <cell r="P25">
            <v>0</v>
          </cell>
          <cell r="Q25">
            <v>81.961154352000023</v>
          </cell>
          <cell r="R25">
            <v>796.48076314160244</v>
          </cell>
          <cell r="S25">
            <v>0</v>
          </cell>
          <cell r="T25">
            <v>152.91</v>
          </cell>
        </row>
        <row r="26">
          <cell r="C26">
            <v>10010109</v>
          </cell>
          <cell r="D26" t="str">
            <v>Parra- Nagendra Kumar</v>
          </cell>
          <cell r="E26" t="str">
            <v>vlc</v>
          </cell>
          <cell r="F26" t="str">
            <v>Indirect</v>
          </cell>
          <cell r="G26">
            <v>264.59999999999997</v>
          </cell>
          <cell r="H26">
            <v>9090.81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9090.81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C27">
            <v>10010113</v>
          </cell>
          <cell r="D27" t="str">
            <v>Gomukh Basahi</v>
          </cell>
          <cell r="E27" t="str">
            <v>MPG</v>
          </cell>
          <cell r="F27" t="str">
            <v>Direct</v>
          </cell>
          <cell r="G27">
            <v>823.99999999999989</v>
          </cell>
          <cell r="H27">
            <v>32447.86</v>
          </cell>
          <cell r="I27">
            <v>820.4100000000002</v>
          </cell>
          <cell r="J27">
            <v>33590.132578742006</v>
          </cell>
          <cell r="K27">
            <v>5.9</v>
          </cell>
          <cell r="L27">
            <v>240.12262579200004</v>
          </cell>
          <cell r="M27">
            <v>826.31000000000017</v>
          </cell>
          <cell r="N27">
            <v>33830.255204534005</v>
          </cell>
          <cell r="O27">
            <v>32447.86</v>
          </cell>
          <cell r="P27">
            <v>0</v>
          </cell>
          <cell r="Q27">
            <v>240.12262579200004</v>
          </cell>
          <cell r="R27">
            <v>1382.3952045340047</v>
          </cell>
          <cell r="S27">
            <v>0</v>
          </cell>
          <cell r="T27">
            <v>0</v>
          </cell>
        </row>
        <row r="28">
          <cell r="C28">
            <v>10010116</v>
          </cell>
          <cell r="D28" t="str">
            <v>Mohanpur- Mukesh Kumar</v>
          </cell>
          <cell r="E28" t="str">
            <v>vlc</v>
          </cell>
          <cell r="F28" t="str">
            <v>Indirect</v>
          </cell>
          <cell r="G28">
            <v>611.20000000000005</v>
          </cell>
          <cell r="H28">
            <v>22836.240000000005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22836.240000000005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81.996638709676617</v>
          </cell>
        </row>
        <row r="29">
          <cell r="C29">
            <v>10010121</v>
          </cell>
          <cell r="D29" t="str">
            <v>Gomukh Sawantpur</v>
          </cell>
          <cell r="E29" t="str">
            <v>MPG</v>
          </cell>
          <cell r="F29" t="str">
            <v>Direct</v>
          </cell>
          <cell r="G29">
            <v>867.30000000000007</v>
          </cell>
          <cell r="H29">
            <v>32702.18</v>
          </cell>
          <cell r="I29">
            <v>890.29</v>
          </cell>
          <cell r="J29">
            <v>33202.098110229163</v>
          </cell>
          <cell r="K29">
            <v>5.64</v>
          </cell>
          <cell r="L29">
            <v>206.27000483760003</v>
          </cell>
          <cell r="M29">
            <v>895.93</v>
          </cell>
          <cell r="N29">
            <v>33408.368115066762</v>
          </cell>
          <cell r="O29">
            <v>32702.18</v>
          </cell>
          <cell r="P29">
            <v>0</v>
          </cell>
          <cell r="Q29">
            <v>206.27000483760003</v>
          </cell>
          <cell r="R29">
            <v>706.18811506676138</v>
          </cell>
          <cell r="S29">
            <v>0</v>
          </cell>
          <cell r="T29">
            <v>55.252239344260673</v>
          </cell>
        </row>
        <row r="30">
          <cell r="C30">
            <v>10010125</v>
          </cell>
          <cell r="D30" t="str">
            <v>Maida- Ram Kumar</v>
          </cell>
          <cell r="E30" t="str">
            <v>vlc</v>
          </cell>
          <cell r="F30" t="str">
            <v>Indirect</v>
          </cell>
          <cell r="G30">
            <v>119.3</v>
          </cell>
          <cell r="H30">
            <v>4267.8599999999997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4267.8599999999997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1092.2252903225803</v>
          </cell>
        </row>
        <row r="31">
          <cell r="C31">
            <v>10010128</v>
          </cell>
          <cell r="D31" t="str">
            <v>Gomukh Aure Bikrampur</v>
          </cell>
          <cell r="E31" t="str">
            <v>MPG</v>
          </cell>
          <cell r="F31" t="str">
            <v>Direct</v>
          </cell>
          <cell r="G31">
            <v>1312.2999999999997</v>
          </cell>
          <cell r="H31">
            <v>53215.109999999993</v>
          </cell>
          <cell r="I31">
            <v>1340.91</v>
          </cell>
          <cell r="J31">
            <v>57244.439218187807</v>
          </cell>
          <cell r="K31">
            <v>0</v>
          </cell>
          <cell r="L31">
            <v>0</v>
          </cell>
          <cell r="M31">
            <v>1340.91</v>
          </cell>
          <cell r="N31">
            <v>57244.439218187807</v>
          </cell>
          <cell r="O31">
            <v>53215.109999999993</v>
          </cell>
          <cell r="P31">
            <v>0</v>
          </cell>
          <cell r="Q31">
            <v>0</v>
          </cell>
          <cell r="R31">
            <v>4029.3292181878132</v>
          </cell>
          <cell r="S31">
            <v>0</v>
          </cell>
          <cell r="T31">
            <v>0</v>
          </cell>
        </row>
        <row r="32">
          <cell r="C32">
            <v>10010129</v>
          </cell>
          <cell r="D32" t="str">
            <v>Manjhaul- Gulshan Kumar</v>
          </cell>
          <cell r="E32" t="str">
            <v>vlc</v>
          </cell>
          <cell r="F32" t="str">
            <v>Indirect</v>
          </cell>
          <cell r="G32">
            <v>502.7</v>
          </cell>
          <cell r="H32">
            <v>19873.939999999999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19873.939999999999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355.88825806451553</v>
          </cell>
        </row>
        <row r="33">
          <cell r="C33">
            <v>10010130</v>
          </cell>
          <cell r="D33" t="str">
            <v>Khaira Manjhaul</v>
          </cell>
          <cell r="E33" t="str">
            <v>vlc</v>
          </cell>
          <cell r="F33" t="str">
            <v>Indirect</v>
          </cell>
          <cell r="G33">
            <v>708.30000000000007</v>
          </cell>
          <cell r="H33">
            <v>26008.840000000004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26008.840000000004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C34">
            <v>10010131</v>
          </cell>
          <cell r="D34" t="str">
            <v>Mehda Shahpur</v>
          </cell>
          <cell r="E34" t="str">
            <v>vlc</v>
          </cell>
          <cell r="F34" t="str">
            <v>Indirect</v>
          </cell>
          <cell r="G34">
            <v>481.5</v>
          </cell>
          <cell r="H34">
            <v>18007.789999999997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18007.789999999997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C35">
            <v>10010140</v>
          </cell>
          <cell r="D35" t="str">
            <v>Shri Bhairav Laxmipur</v>
          </cell>
          <cell r="E35" t="str">
            <v>MPG</v>
          </cell>
          <cell r="F35" t="str">
            <v>Direct</v>
          </cell>
          <cell r="G35">
            <v>226.30000000000004</v>
          </cell>
          <cell r="H35">
            <v>9273.0499999999993</v>
          </cell>
          <cell r="I35">
            <v>266.15000000000003</v>
          </cell>
          <cell r="J35">
            <v>10542.397495536603</v>
          </cell>
          <cell r="K35">
            <v>0</v>
          </cell>
          <cell r="L35">
            <v>0</v>
          </cell>
          <cell r="M35">
            <v>266.15000000000003</v>
          </cell>
          <cell r="N35">
            <v>10542.397495536603</v>
          </cell>
          <cell r="O35">
            <v>9273.0499999999993</v>
          </cell>
          <cell r="P35">
            <v>0</v>
          </cell>
          <cell r="Q35">
            <v>0</v>
          </cell>
          <cell r="R35">
            <v>1269.3474955366037</v>
          </cell>
          <cell r="S35">
            <v>0</v>
          </cell>
          <cell r="T35">
            <v>63.96705245901633</v>
          </cell>
        </row>
        <row r="36">
          <cell r="C36">
            <v>10010141</v>
          </cell>
          <cell r="D36" t="str">
            <v>Goapalpur</v>
          </cell>
          <cell r="E36" t="str">
            <v>MPG</v>
          </cell>
          <cell r="F36" t="str">
            <v>Direct</v>
          </cell>
          <cell r="G36">
            <v>128.10000000000002</v>
          </cell>
          <cell r="H36">
            <v>4828.2300000000005</v>
          </cell>
          <cell r="I36">
            <v>141.30000000000001</v>
          </cell>
          <cell r="J36">
            <v>5463.6809056560423</v>
          </cell>
          <cell r="K36">
            <v>0</v>
          </cell>
          <cell r="L36">
            <v>0</v>
          </cell>
          <cell r="M36">
            <v>141.30000000000001</v>
          </cell>
          <cell r="N36">
            <v>5463.6809056560423</v>
          </cell>
          <cell r="O36">
            <v>4828.2300000000005</v>
          </cell>
          <cell r="P36">
            <v>0</v>
          </cell>
          <cell r="Q36">
            <v>0</v>
          </cell>
          <cell r="R36">
            <v>635.45090565604187</v>
          </cell>
          <cell r="S36">
            <v>0</v>
          </cell>
          <cell r="T36">
            <v>117.84</v>
          </cell>
        </row>
        <row r="37">
          <cell r="C37">
            <v>10010143</v>
          </cell>
          <cell r="D37" t="str">
            <v>Gomukh Akaha</v>
          </cell>
          <cell r="E37" t="str">
            <v>MPG</v>
          </cell>
          <cell r="F37" t="str">
            <v>Direct</v>
          </cell>
          <cell r="G37">
            <v>114.2</v>
          </cell>
          <cell r="H37">
            <v>3798.2000000000003</v>
          </cell>
          <cell r="I37">
            <v>109.78999999999999</v>
          </cell>
          <cell r="J37">
            <v>4148.2325118564013</v>
          </cell>
          <cell r="K37">
            <v>0</v>
          </cell>
          <cell r="L37">
            <v>0</v>
          </cell>
          <cell r="M37">
            <v>109.78999999999999</v>
          </cell>
          <cell r="N37">
            <v>4148.2325118564013</v>
          </cell>
          <cell r="O37">
            <v>3798.2000000000003</v>
          </cell>
          <cell r="P37">
            <v>0</v>
          </cell>
          <cell r="Q37">
            <v>0</v>
          </cell>
          <cell r="R37">
            <v>350.03251185640102</v>
          </cell>
          <cell r="S37">
            <v>0</v>
          </cell>
          <cell r="T37">
            <v>0</v>
          </cell>
        </row>
        <row r="38">
          <cell r="C38">
            <v>10010144</v>
          </cell>
          <cell r="D38" t="str">
            <v>Gomukh Rajakpur</v>
          </cell>
          <cell r="E38" t="str">
            <v>MPG</v>
          </cell>
          <cell r="F38" t="str">
            <v>Direct</v>
          </cell>
          <cell r="G38">
            <v>37.099999999999994</v>
          </cell>
          <cell r="H38">
            <v>1061.8499999999999</v>
          </cell>
          <cell r="I38">
            <v>37.1</v>
          </cell>
          <cell r="J38">
            <v>1303.7773320000001</v>
          </cell>
          <cell r="K38">
            <v>0</v>
          </cell>
          <cell r="L38">
            <v>0</v>
          </cell>
          <cell r="M38">
            <v>37.1</v>
          </cell>
          <cell r="N38">
            <v>1303.7773320000001</v>
          </cell>
          <cell r="O38">
            <v>1061.8499999999999</v>
          </cell>
          <cell r="P38">
            <v>0</v>
          </cell>
          <cell r="Q38">
            <v>0</v>
          </cell>
          <cell r="R38">
            <v>241.92733200000021</v>
          </cell>
          <cell r="S38">
            <v>0</v>
          </cell>
          <cell r="T38">
            <v>0</v>
          </cell>
        </row>
        <row r="39">
          <cell r="C39">
            <v>10010145</v>
          </cell>
          <cell r="D39" t="str">
            <v>Gomukh Mohanpur</v>
          </cell>
          <cell r="E39" t="str">
            <v>MPG</v>
          </cell>
          <cell r="F39" t="str">
            <v>Direct</v>
          </cell>
          <cell r="G39">
            <v>306.10000000000002</v>
          </cell>
          <cell r="H39">
            <v>11620.300000000001</v>
          </cell>
          <cell r="I39">
            <v>304.24999999999994</v>
          </cell>
          <cell r="J39">
            <v>11531.882327484138</v>
          </cell>
          <cell r="K39">
            <v>2.88</v>
          </cell>
          <cell r="L39">
            <v>106.20646728120001</v>
          </cell>
          <cell r="M39">
            <v>307.12999999999994</v>
          </cell>
          <cell r="N39">
            <v>11638.088794765337</v>
          </cell>
          <cell r="O39">
            <v>11620.300000000001</v>
          </cell>
          <cell r="P39">
            <v>0</v>
          </cell>
          <cell r="Q39">
            <v>106.20646728120001</v>
          </cell>
          <cell r="R39">
            <v>17.788794765336206</v>
          </cell>
          <cell r="S39">
            <v>0</v>
          </cell>
          <cell r="T39">
            <v>0</v>
          </cell>
        </row>
        <row r="40">
          <cell r="C40">
            <v>10010146</v>
          </cell>
          <cell r="D40" t="str">
            <v>Gomukh Chakka</v>
          </cell>
          <cell r="E40" t="str">
            <v>MPG</v>
          </cell>
          <cell r="F40" t="str">
            <v>Direct</v>
          </cell>
          <cell r="G40">
            <v>188.3</v>
          </cell>
          <cell r="H40">
            <v>7114.7100000000009</v>
          </cell>
          <cell r="I40">
            <v>187.04000000000002</v>
          </cell>
          <cell r="J40">
            <v>7167.0859083002833</v>
          </cell>
          <cell r="K40">
            <v>0.14000000000000001</v>
          </cell>
          <cell r="L40">
            <v>5.3039170800000006</v>
          </cell>
          <cell r="M40">
            <v>187.18</v>
          </cell>
          <cell r="N40">
            <v>7172.3898253802836</v>
          </cell>
          <cell r="O40">
            <v>7114.7100000000009</v>
          </cell>
          <cell r="P40">
            <v>0</v>
          </cell>
          <cell r="Q40">
            <v>5.3039170800000006</v>
          </cell>
          <cell r="R40">
            <v>57.679825380282637</v>
          </cell>
          <cell r="S40">
            <v>0</v>
          </cell>
          <cell r="T40">
            <v>0</v>
          </cell>
        </row>
        <row r="41">
          <cell r="C41">
            <v>10010147</v>
          </cell>
          <cell r="D41" t="str">
            <v>Gamharia</v>
          </cell>
          <cell r="E41" t="str">
            <v>vlc</v>
          </cell>
          <cell r="F41" t="str">
            <v>Indirect</v>
          </cell>
          <cell r="G41">
            <v>148.5</v>
          </cell>
          <cell r="H41">
            <v>5729.85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5729.85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C42">
            <v>10010148</v>
          </cell>
          <cell r="D42" t="str">
            <v>Gomukh Meghaul-02</v>
          </cell>
          <cell r="E42" t="str">
            <v>MPG</v>
          </cell>
          <cell r="F42" t="str">
            <v>Direct</v>
          </cell>
          <cell r="G42">
            <v>314.60000000000008</v>
          </cell>
          <cell r="H42">
            <v>11723.51</v>
          </cell>
          <cell r="I42">
            <v>311.81</v>
          </cell>
          <cell r="J42">
            <v>11793.850995710402</v>
          </cell>
          <cell r="K42">
            <v>3.15</v>
          </cell>
          <cell r="L42">
            <v>121.66658776800001</v>
          </cell>
          <cell r="M42">
            <v>314.95999999999998</v>
          </cell>
          <cell r="N42">
            <v>11915.517583478402</v>
          </cell>
          <cell r="O42">
            <v>11723.51</v>
          </cell>
          <cell r="P42">
            <v>0</v>
          </cell>
          <cell r="Q42">
            <v>121.66658776800001</v>
          </cell>
          <cell r="R42">
            <v>192.00758347840201</v>
          </cell>
          <cell r="S42">
            <v>0</v>
          </cell>
          <cell r="T42">
            <v>0</v>
          </cell>
        </row>
        <row r="43">
          <cell r="C43">
            <v>10010149</v>
          </cell>
          <cell r="D43" t="str">
            <v>Gomukh Meida</v>
          </cell>
          <cell r="E43" t="str">
            <v>MPG</v>
          </cell>
          <cell r="F43" t="str">
            <v>Direct</v>
          </cell>
          <cell r="G43">
            <v>303.09999999999997</v>
          </cell>
          <cell r="H43">
            <v>11000.200000000003</v>
          </cell>
          <cell r="I43">
            <v>313.5</v>
          </cell>
          <cell r="J43">
            <v>12011.78673684</v>
          </cell>
          <cell r="K43">
            <v>0</v>
          </cell>
          <cell r="L43">
            <v>0</v>
          </cell>
          <cell r="M43">
            <v>313.5</v>
          </cell>
          <cell r="N43">
            <v>12011.78673684</v>
          </cell>
          <cell r="O43">
            <v>11000.200000000003</v>
          </cell>
          <cell r="P43">
            <v>0</v>
          </cell>
          <cell r="Q43">
            <v>0</v>
          </cell>
          <cell r="R43">
            <v>1011.5867368399977</v>
          </cell>
          <cell r="S43">
            <v>0</v>
          </cell>
          <cell r="T43">
            <v>0</v>
          </cell>
        </row>
        <row r="44">
          <cell r="C44">
            <v>10020002</v>
          </cell>
          <cell r="D44" t="str">
            <v>PIPARIYA DIH -2</v>
          </cell>
          <cell r="E44" t="str">
            <v>MPG</v>
          </cell>
          <cell r="F44" t="str">
            <v>Direct</v>
          </cell>
          <cell r="G44">
            <v>2604.8999999999996</v>
          </cell>
          <cell r="H44">
            <v>114899.22</v>
          </cell>
          <cell r="I44">
            <v>1382.8000000000002</v>
          </cell>
          <cell r="J44">
            <v>58624.331419947004</v>
          </cell>
          <cell r="K44">
            <v>1223.7</v>
          </cell>
          <cell r="L44">
            <v>58563.467681430004</v>
          </cell>
          <cell r="M44">
            <v>2606.5</v>
          </cell>
          <cell r="N44">
            <v>117187.79910137701</v>
          </cell>
          <cell r="O44">
            <v>114899.22</v>
          </cell>
          <cell r="P44">
            <v>0</v>
          </cell>
          <cell r="Q44">
            <v>1114.74848034</v>
          </cell>
          <cell r="R44">
            <v>2288.5791013770067</v>
          </cell>
          <cell r="S44">
            <v>0</v>
          </cell>
          <cell r="T44">
            <v>0</v>
          </cell>
        </row>
        <row r="45">
          <cell r="C45">
            <v>10020004</v>
          </cell>
          <cell r="D45" t="str">
            <v>LAL DIYARA -1</v>
          </cell>
          <cell r="E45" t="str">
            <v>MPG</v>
          </cell>
          <cell r="F45" t="str">
            <v>Direct</v>
          </cell>
          <cell r="G45">
            <v>589</v>
          </cell>
          <cell r="H45">
            <v>22475.67</v>
          </cell>
          <cell r="I45">
            <v>592.29999999999995</v>
          </cell>
          <cell r="J45">
            <v>22448.777444280004</v>
          </cell>
          <cell r="K45">
            <v>0</v>
          </cell>
          <cell r="L45">
            <v>0</v>
          </cell>
          <cell r="M45">
            <v>592.29999999999995</v>
          </cell>
          <cell r="N45">
            <v>22448.777444280004</v>
          </cell>
          <cell r="O45">
            <v>22448.777444280004</v>
          </cell>
          <cell r="P45">
            <v>0</v>
          </cell>
          <cell r="Q45">
            <v>0</v>
          </cell>
          <cell r="R45">
            <v>0</v>
          </cell>
          <cell r="S45">
            <v>2600</v>
          </cell>
          <cell r="T45">
            <v>0</v>
          </cell>
        </row>
        <row r="46">
          <cell r="C46">
            <v>10020006</v>
          </cell>
          <cell r="D46" t="str">
            <v>GANGA KINARE KHUTHA</v>
          </cell>
          <cell r="E46" t="str">
            <v>vlc</v>
          </cell>
          <cell r="F46" t="str">
            <v>Indirect</v>
          </cell>
          <cell r="G46">
            <v>176.50000000000003</v>
          </cell>
          <cell r="H46">
            <v>6759.4500000000007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6759.4500000000007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1.8679548387099558</v>
          </cell>
        </row>
        <row r="47">
          <cell r="C47">
            <v>10020008</v>
          </cell>
          <cell r="D47" t="str">
            <v>Gomukh ID Khutaha Dhih</v>
          </cell>
          <cell r="E47" t="str">
            <v>vlc</v>
          </cell>
          <cell r="F47" t="str">
            <v>Indirect</v>
          </cell>
          <cell r="G47">
            <v>515.6</v>
          </cell>
          <cell r="H47">
            <v>20420.97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20420.97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2807.4264774193543</v>
          </cell>
        </row>
        <row r="48">
          <cell r="C48">
            <v>10020010</v>
          </cell>
          <cell r="D48" t="str">
            <v>GOMUKH RAHATPUR</v>
          </cell>
          <cell r="E48" t="str">
            <v>MPG</v>
          </cell>
          <cell r="F48" t="str">
            <v>Direct</v>
          </cell>
          <cell r="G48">
            <v>417.09999999999997</v>
          </cell>
          <cell r="H48">
            <v>15222.970000000001</v>
          </cell>
          <cell r="I48">
            <v>438.79999999999995</v>
          </cell>
          <cell r="J48">
            <v>16623.21536568</v>
          </cell>
          <cell r="K48">
            <v>1.4</v>
          </cell>
          <cell r="L48">
            <v>50.795078400000008</v>
          </cell>
          <cell r="M48">
            <v>440.19999999999993</v>
          </cell>
          <cell r="N48">
            <v>16674.010444079999</v>
          </cell>
          <cell r="O48">
            <v>15222.970000000001</v>
          </cell>
          <cell r="P48">
            <v>0</v>
          </cell>
          <cell r="Q48">
            <v>50.795078400000008</v>
          </cell>
          <cell r="R48">
            <v>1451.0404440799975</v>
          </cell>
          <cell r="S48">
            <v>0</v>
          </cell>
          <cell r="T48">
            <v>0</v>
          </cell>
        </row>
        <row r="49">
          <cell r="C49">
            <v>10020012</v>
          </cell>
          <cell r="D49" t="str">
            <v>KANHAIYA YADAV</v>
          </cell>
          <cell r="E49" t="str">
            <v>vlc</v>
          </cell>
          <cell r="F49" t="str">
            <v>Indirect</v>
          </cell>
          <cell r="G49">
            <v>179.60000000000002</v>
          </cell>
          <cell r="H49">
            <v>7324.1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7324.1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C50">
            <v>10020015</v>
          </cell>
          <cell r="D50" t="str">
            <v xml:space="preserve">GOMUKH  LALDIYARA TIRASHI                                                                           </v>
          </cell>
          <cell r="E50" t="str">
            <v>vlc</v>
          </cell>
          <cell r="F50" t="str">
            <v>Indirect</v>
          </cell>
          <cell r="G50">
            <v>25520.700000000004</v>
          </cell>
          <cell r="H50">
            <v>1010712.19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1010712.19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C51">
            <v>10020016</v>
          </cell>
          <cell r="D51" t="str">
            <v>GOMUKH  LALDIYARA PURBI</v>
          </cell>
          <cell r="E51" t="str">
            <v>vlc</v>
          </cell>
          <cell r="F51" t="str">
            <v>Indirect</v>
          </cell>
          <cell r="G51">
            <v>25365.199999999997</v>
          </cell>
          <cell r="H51">
            <v>1013794.57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1013794.57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C52">
            <v>10020017</v>
          </cell>
          <cell r="D52" t="str">
            <v>GOMUKH RAMCHANDARPUR II</v>
          </cell>
          <cell r="E52" t="str">
            <v>MPG</v>
          </cell>
          <cell r="F52" t="str">
            <v>Direct</v>
          </cell>
          <cell r="G52">
            <v>2302.8999999999996</v>
          </cell>
          <cell r="H52">
            <v>93511.919999999984</v>
          </cell>
          <cell r="I52">
            <v>2592.6999999999989</v>
          </cell>
          <cell r="J52">
            <v>93779.817490886635</v>
          </cell>
          <cell r="K52">
            <v>3.2</v>
          </cell>
          <cell r="L52">
            <v>136.82150856000001</v>
          </cell>
          <cell r="M52">
            <v>2595.8999999999987</v>
          </cell>
          <cell r="N52">
            <v>93916.63899944663</v>
          </cell>
          <cell r="O52">
            <v>93511.919999999984</v>
          </cell>
          <cell r="P52">
            <v>0</v>
          </cell>
          <cell r="Q52">
            <v>136.82150856000001</v>
          </cell>
          <cell r="R52">
            <v>404.71899944664619</v>
          </cell>
          <cell r="S52">
            <v>0</v>
          </cell>
          <cell r="T52">
            <v>4329.4010262295096</v>
          </cell>
        </row>
        <row r="53">
          <cell r="C53">
            <v>10020021</v>
          </cell>
          <cell r="D53" t="str">
            <v>MOHANPUR</v>
          </cell>
          <cell r="E53" t="str">
            <v>MPG</v>
          </cell>
          <cell r="F53" t="str">
            <v>Direct</v>
          </cell>
          <cell r="G53">
            <v>1939.6999999999998</v>
          </cell>
          <cell r="H53">
            <v>87836.25</v>
          </cell>
          <cell r="I53">
            <v>2021.0000000000002</v>
          </cell>
          <cell r="J53">
            <v>90284.902020209294</v>
          </cell>
          <cell r="K53">
            <v>142.10000000000002</v>
          </cell>
          <cell r="L53">
            <v>5990.3732769155995</v>
          </cell>
          <cell r="M53">
            <v>2163.1000000000004</v>
          </cell>
          <cell r="N53">
            <v>96275.275297124899</v>
          </cell>
          <cell r="O53">
            <v>87836.25</v>
          </cell>
          <cell r="P53">
            <v>0</v>
          </cell>
          <cell r="Q53">
            <v>633.5899297200001</v>
          </cell>
          <cell r="R53">
            <v>8439.0252971248992</v>
          </cell>
          <cell r="S53">
            <v>0</v>
          </cell>
          <cell r="T53">
            <v>5086.99</v>
          </cell>
        </row>
        <row r="54">
          <cell r="C54">
            <v>10020023</v>
          </cell>
          <cell r="D54" t="str">
            <v>Juwas</v>
          </cell>
          <cell r="E54" t="str">
            <v>MPG</v>
          </cell>
          <cell r="F54" t="str">
            <v>Direct</v>
          </cell>
          <cell r="G54">
            <v>849.89999999999986</v>
          </cell>
          <cell r="H54">
            <v>32243.799999999996</v>
          </cell>
          <cell r="I54">
            <v>844</v>
          </cell>
          <cell r="J54">
            <v>31727.277174506766</v>
          </cell>
          <cell r="K54">
            <v>7.8</v>
          </cell>
          <cell r="L54">
            <v>292.45441500000004</v>
          </cell>
          <cell r="M54">
            <v>851.8</v>
          </cell>
          <cell r="N54">
            <v>32019.731589506766</v>
          </cell>
          <cell r="O54">
            <v>32019.731589506766</v>
          </cell>
          <cell r="P54">
            <v>0</v>
          </cell>
          <cell r="Q54">
            <v>292.45441500000004</v>
          </cell>
          <cell r="R54">
            <v>0</v>
          </cell>
          <cell r="S54">
            <v>0</v>
          </cell>
          <cell r="T54">
            <v>0</v>
          </cell>
        </row>
        <row r="55">
          <cell r="C55">
            <v>10020024</v>
          </cell>
          <cell r="D55" t="str">
            <v>Morwariya</v>
          </cell>
          <cell r="E55" t="str">
            <v>MPG</v>
          </cell>
          <cell r="F55" t="str">
            <v>Direct</v>
          </cell>
          <cell r="G55">
            <v>3421.1999999999994</v>
          </cell>
          <cell r="H55">
            <v>136509.49</v>
          </cell>
          <cell r="I55">
            <v>3365.04</v>
          </cell>
          <cell r="J55">
            <v>137466.74091190862</v>
          </cell>
          <cell r="K55">
            <v>0</v>
          </cell>
          <cell r="L55">
            <v>0</v>
          </cell>
          <cell r="M55">
            <v>3365.04</v>
          </cell>
          <cell r="N55">
            <v>137466.74091190862</v>
          </cell>
          <cell r="O55">
            <v>136509.49</v>
          </cell>
          <cell r="P55">
            <v>0</v>
          </cell>
          <cell r="Q55">
            <v>0</v>
          </cell>
          <cell r="R55">
            <v>957.25091190863168</v>
          </cell>
          <cell r="S55">
            <v>3750</v>
          </cell>
          <cell r="T55">
            <v>0</v>
          </cell>
        </row>
        <row r="56">
          <cell r="C56">
            <v>10020025</v>
          </cell>
          <cell r="D56" t="str">
            <v>Dumri 2</v>
          </cell>
          <cell r="E56" t="str">
            <v>MPG</v>
          </cell>
          <cell r="F56" t="str">
            <v>Direct</v>
          </cell>
          <cell r="G56">
            <v>1014.6</v>
          </cell>
          <cell r="H56">
            <v>38654.61</v>
          </cell>
          <cell r="I56">
            <v>1006.9499999999999</v>
          </cell>
          <cell r="J56">
            <v>38499.118617016909</v>
          </cell>
          <cell r="K56">
            <v>6.5600000000000005</v>
          </cell>
          <cell r="L56">
            <v>248.40335718000003</v>
          </cell>
          <cell r="M56">
            <v>1013.5099999999999</v>
          </cell>
          <cell r="N56">
            <v>38747.521974196912</v>
          </cell>
          <cell r="O56">
            <v>38654.61</v>
          </cell>
          <cell r="P56">
            <v>0</v>
          </cell>
          <cell r="Q56">
            <v>248.40335718000003</v>
          </cell>
          <cell r="R56">
            <v>92.911974196911615</v>
          </cell>
          <cell r="S56">
            <v>0</v>
          </cell>
          <cell r="T56">
            <v>0</v>
          </cell>
        </row>
        <row r="57">
          <cell r="C57">
            <v>10020026</v>
          </cell>
          <cell r="D57" t="str">
            <v>Gomukh Jhakhaur</v>
          </cell>
          <cell r="E57" t="str">
            <v>MPG</v>
          </cell>
          <cell r="F57" t="str">
            <v>Direct</v>
          </cell>
          <cell r="G57">
            <v>757.2</v>
          </cell>
          <cell r="H57">
            <v>30327.68</v>
          </cell>
          <cell r="I57">
            <v>751.2299999999999</v>
          </cell>
          <cell r="J57">
            <v>30376.585422391014</v>
          </cell>
          <cell r="K57">
            <v>1.7599999999999998</v>
          </cell>
          <cell r="L57">
            <v>61.667002188000012</v>
          </cell>
          <cell r="M57">
            <v>752.9899999999999</v>
          </cell>
          <cell r="N57">
            <v>30438.252424579015</v>
          </cell>
          <cell r="O57">
            <v>30327.68</v>
          </cell>
          <cell r="P57">
            <v>0</v>
          </cell>
          <cell r="Q57">
            <v>61.667002188000012</v>
          </cell>
          <cell r="R57">
            <v>110.57242457901521</v>
          </cell>
          <cell r="S57">
            <v>0</v>
          </cell>
          <cell r="T57">
            <v>0</v>
          </cell>
        </row>
        <row r="58">
          <cell r="C58">
            <v>10020027</v>
          </cell>
          <cell r="D58" t="str">
            <v>Gomukh Repura</v>
          </cell>
          <cell r="E58" t="str">
            <v>MPG</v>
          </cell>
          <cell r="F58" t="str">
            <v>Direct</v>
          </cell>
          <cell r="G58">
            <v>512.1</v>
          </cell>
          <cell r="H58">
            <v>19263.189999999999</v>
          </cell>
          <cell r="I58">
            <v>507.59999999999997</v>
          </cell>
          <cell r="J58">
            <v>19145.435518440001</v>
          </cell>
          <cell r="K58">
            <v>0</v>
          </cell>
          <cell r="L58">
            <v>0</v>
          </cell>
          <cell r="M58">
            <v>507.59999999999997</v>
          </cell>
          <cell r="N58">
            <v>19145.435518440001</v>
          </cell>
          <cell r="O58">
            <v>19145.435518440001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C59">
            <v>10020029</v>
          </cell>
          <cell r="D59" t="str">
            <v>Gomukh Virupur</v>
          </cell>
          <cell r="E59" t="str">
            <v>MPG</v>
          </cell>
          <cell r="F59" t="str">
            <v>Direct</v>
          </cell>
          <cell r="G59">
            <v>367.00000000000006</v>
          </cell>
          <cell r="H59">
            <v>14347.68</v>
          </cell>
          <cell r="I59">
            <v>366.06999999999994</v>
          </cell>
          <cell r="J59">
            <v>14234.275466492401</v>
          </cell>
          <cell r="K59">
            <v>2.5700000000000003</v>
          </cell>
          <cell r="L59">
            <v>96.836671800000019</v>
          </cell>
          <cell r="M59">
            <v>368.63999999999993</v>
          </cell>
          <cell r="N59">
            <v>14331.112138292401</v>
          </cell>
          <cell r="O59">
            <v>14331.112138292401</v>
          </cell>
          <cell r="P59">
            <v>0</v>
          </cell>
          <cell r="Q59">
            <v>96.836671800000019</v>
          </cell>
          <cell r="R59">
            <v>0</v>
          </cell>
          <cell r="S59">
            <v>0</v>
          </cell>
          <cell r="T59">
            <v>0</v>
          </cell>
        </row>
        <row r="60">
          <cell r="C60">
            <v>10020032</v>
          </cell>
          <cell r="D60" t="str">
            <v xml:space="preserve">Gomukh Diyarapipariya                                                                               </v>
          </cell>
          <cell r="E60" t="str">
            <v>MPG</v>
          </cell>
          <cell r="F60" t="str">
            <v>Direct</v>
          </cell>
          <cell r="G60">
            <v>875.19999999999993</v>
          </cell>
          <cell r="H60">
            <v>37305.440000000002</v>
          </cell>
          <cell r="I60">
            <v>861.64</v>
          </cell>
          <cell r="J60">
            <v>36495.826649209324</v>
          </cell>
          <cell r="K60">
            <v>10.17</v>
          </cell>
          <cell r="L60">
            <v>449.25392621224705</v>
          </cell>
          <cell r="M60">
            <v>871.81</v>
          </cell>
          <cell r="N60">
            <v>36945.080575421569</v>
          </cell>
          <cell r="O60">
            <v>36945.080575421569</v>
          </cell>
          <cell r="P60">
            <v>0</v>
          </cell>
          <cell r="Q60">
            <v>449.25392621224705</v>
          </cell>
          <cell r="R60">
            <v>0</v>
          </cell>
          <cell r="S60">
            <v>0</v>
          </cell>
          <cell r="T60">
            <v>0</v>
          </cell>
        </row>
        <row r="61">
          <cell r="C61">
            <v>10020034</v>
          </cell>
          <cell r="D61" t="str">
            <v>TAJPUR</v>
          </cell>
          <cell r="E61" t="str">
            <v>MPG</v>
          </cell>
          <cell r="F61" t="str">
            <v>Direct</v>
          </cell>
          <cell r="G61">
            <v>962.30000000000007</v>
          </cell>
          <cell r="H61">
            <v>39636.889999999992</v>
          </cell>
          <cell r="I61">
            <v>947.81999999999994</v>
          </cell>
          <cell r="J61">
            <v>37962.774612885565</v>
          </cell>
          <cell r="K61">
            <v>11.440000000000001</v>
          </cell>
          <cell r="L61">
            <v>433.54148745600008</v>
          </cell>
          <cell r="M61">
            <v>959.26</v>
          </cell>
          <cell r="N61">
            <v>38396.316100341566</v>
          </cell>
          <cell r="O61">
            <v>38396.316100341566</v>
          </cell>
          <cell r="P61">
            <v>0</v>
          </cell>
          <cell r="Q61">
            <v>433.54148745600008</v>
          </cell>
          <cell r="R61">
            <v>0</v>
          </cell>
          <cell r="S61">
            <v>0</v>
          </cell>
          <cell r="T61">
            <v>0</v>
          </cell>
        </row>
        <row r="62">
          <cell r="C62">
            <v>10020035</v>
          </cell>
          <cell r="D62" t="str">
            <v>PATHUA</v>
          </cell>
          <cell r="E62" t="str">
            <v>MPG</v>
          </cell>
          <cell r="F62" t="str">
            <v>Direct</v>
          </cell>
          <cell r="G62">
            <v>737.09999999999991</v>
          </cell>
          <cell r="H62">
            <v>31827.069999999996</v>
          </cell>
          <cell r="I62">
            <v>699</v>
          </cell>
          <cell r="J62">
            <v>30921.074480955001</v>
          </cell>
          <cell r="K62">
            <v>24</v>
          </cell>
          <cell r="L62">
            <v>1160.4831023470001</v>
          </cell>
          <cell r="M62">
            <v>723</v>
          </cell>
          <cell r="N62">
            <v>32081.557583302001</v>
          </cell>
          <cell r="O62">
            <v>31827.069999999996</v>
          </cell>
          <cell r="P62">
            <v>0</v>
          </cell>
          <cell r="Q62">
            <v>1160.4831023470001</v>
          </cell>
          <cell r="R62">
            <v>254.48758330200508</v>
          </cell>
          <cell r="S62">
            <v>0</v>
          </cell>
          <cell r="T62">
            <v>891.41556000000082</v>
          </cell>
        </row>
        <row r="63">
          <cell r="C63">
            <v>10020038</v>
          </cell>
          <cell r="D63" t="str">
            <v>LODIYA</v>
          </cell>
          <cell r="E63" t="str">
            <v>MPG</v>
          </cell>
          <cell r="F63" t="str">
            <v>Direct</v>
          </cell>
          <cell r="G63">
            <v>515.19999999999993</v>
          </cell>
          <cell r="H63">
            <v>20325.89</v>
          </cell>
          <cell r="I63">
            <v>510.02000000000004</v>
          </cell>
          <cell r="J63">
            <v>19745.0037081831</v>
          </cell>
          <cell r="K63">
            <v>4.5900000000000007</v>
          </cell>
          <cell r="L63">
            <v>179.97922997999999</v>
          </cell>
          <cell r="M63">
            <v>514.61</v>
          </cell>
          <cell r="N63">
            <v>19924.982938163099</v>
          </cell>
          <cell r="O63">
            <v>19924.982938163099</v>
          </cell>
          <cell r="P63">
            <v>0</v>
          </cell>
          <cell r="Q63">
            <v>179.97922997999999</v>
          </cell>
          <cell r="R63">
            <v>0</v>
          </cell>
          <cell r="S63">
            <v>0</v>
          </cell>
          <cell r="T63">
            <v>0</v>
          </cell>
        </row>
        <row r="64">
          <cell r="C64">
            <v>10020041</v>
          </cell>
          <cell r="D64" t="str">
            <v>ADARSH LAXMIPUR-3</v>
          </cell>
          <cell r="E64" t="str">
            <v>MPG</v>
          </cell>
          <cell r="F64" t="str">
            <v>Direct</v>
          </cell>
          <cell r="G64">
            <v>252.19999999999996</v>
          </cell>
          <cell r="H64">
            <v>10541.559999999998</v>
          </cell>
          <cell r="I64">
            <v>245.5</v>
          </cell>
          <cell r="J64">
            <v>10774.092425213465</v>
          </cell>
          <cell r="K64">
            <v>0.76</v>
          </cell>
          <cell r="L64">
            <v>22.803469840800005</v>
          </cell>
          <cell r="M64">
            <v>246.26</v>
          </cell>
          <cell r="N64">
            <v>10796.895895054264</v>
          </cell>
          <cell r="O64">
            <v>10541.559999999998</v>
          </cell>
          <cell r="P64">
            <v>0</v>
          </cell>
          <cell r="Q64">
            <v>22.803469840800005</v>
          </cell>
          <cell r="R64">
            <v>255.33589505426608</v>
          </cell>
          <cell r="S64">
            <v>0</v>
          </cell>
          <cell r="T64">
            <v>0</v>
          </cell>
        </row>
        <row r="65">
          <cell r="C65">
            <v>10020042</v>
          </cell>
          <cell r="D65" t="str">
            <v>BHANPUR</v>
          </cell>
          <cell r="E65" t="str">
            <v>MPG</v>
          </cell>
          <cell r="F65" t="str">
            <v>Direct</v>
          </cell>
          <cell r="G65">
            <v>427.7</v>
          </cell>
          <cell r="H65">
            <v>16188.18</v>
          </cell>
          <cell r="I65">
            <v>345.7</v>
          </cell>
          <cell r="J65">
            <v>13170.149289792</v>
          </cell>
          <cell r="K65">
            <v>0</v>
          </cell>
          <cell r="L65">
            <v>0</v>
          </cell>
          <cell r="M65">
            <v>345.7</v>
          </cell>
          <cell r="N65">
            <v>13170.149289792</v>
          </cell>
          <cell r="O65">
            <v>13170.149289792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C66">
            <v>10020043</v>
          </cell>
          <cell r="D66" t="str">
            <v>Karari Pipariya 2</v>
          </cell>
          <cell r="E66" t="str">
            <v>MPG</v>
          </cell>
          <cell r="F66" t="str">
            <v>Direct</v>
          </cell>
          <cell r="G66">
            <v>1076.1999999999998</v>
          </cell>
          <cell r="H66">
            <v>44727.780000000006</v>
          </cell>
          <cell r="I66">
            <v>1077.75</v>
          </cell>
          <cell r="J66">
            <v>45418.232073037681</v>
          </cell>
          <cell r="K66">
            <v>8.15</v>
          </cell>
          <cell r="L66">
            <v>335.0903818284001</v>
          </cell>
          <cell r="M66">
            <v>1085.9000000000001</v>
          </cell>
          <cell r="N66">
            <v>45753.32245486608</v>
          </cell>
          <cell r="O66">
            <v>44727.780000000006</v>
          </cell>
          <cell r="P66">
            <v>0</v>
          </cell>
          <cell r="Q66">
            <v>335.0903818284001</v>
          </cell>
          <cell r="R66">
            <v>1025.542454866074</v>
          </cell>
          <cell r="S66">
            <v>0</v>
          </cell>
          <cell r="T66">
            <v>0</v>
          </cell>
        </row>
        <row r="67">
          <cell r="C67">
            <v>10020044</v>
          </cell>
          <cell r="D67" t="str">
            <v xml:space="preserve">DIYARA PIPARIYA-THANA                                                                               </v>
          </cell>
          <cell r="E67" t="str">
            <v>MPG</v>
          </cell>
          <cell r="F67" t="str">
            <v>Direct</v>
          </cell>
          <cell r="G67">
            <v>1109.1000000000001</v>
          </cell>
          <cell r="H67">
            <v>48415.08</v>
          </cell>
          <cell r="I67">
            <v>1099.4000000000003</v>
          </cell>
          <cell r="J67">
            <v>47253.3444698413</v>
          </cell>
          <cell r="K67">
            <v>10.02</v>
          </cell>
          <cell r="L67">
            <v>422.53655241600018</v>
          </cell>
          <cell r="M67">
            <v>1109.4200000000003</v>
          </cell>
          <cell r="N67">
            <v>47675.881022257301</v>
          </cell>
          <cell r="O67">
            <v>47675.881022257301</v>
          </cell>
          <cell r="P67">
            <v>0</v>
          </cell>
          <cell r="Q67">
            <v>422.53655241600018</v>
          </cell>
          <cell r="R67">
            <v>0</v>
          </cell>
          <cell r="S67">
            <v>0</v>
          </cell>
          <cell r="T67">
            <v>0</v>
          </cell>
        </row>
        <row r="68">
          <cell r="C68">
            <v>10020047</v>
          </cell>
          <cell r="D68" t="str">
            <v>SRI RAM SINGH(VLC)</v>
          </cell>
          <cell r="E68" t="str">
            <v>vlc</v>
          </cell>
          <cell r="F68" t="str">
            <v>Indirect</v>
          </cell>
          <cell r="G68">
            <v>3401.6</v>
          </cell>
          <cell r="H68">
            <v>134998.60999999999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134998.60999999999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C69">
            <v>10020050</v>
          </cell>
          <cell r="D69" t="str">
            <v>GADHTOLA</v>
          </cell>
          <cell r="E69" t="str">
            <v>MPG</v>
          </cell>
          <cell r="F69" t="str">
            <v>Direct</v>
          </cell>
          <cell r="G69">
            <v>750.19999999999993</v>
          </cell>
          <cell r="H69">
            <v>29664.899999999998</v>
          </cell>
          <cell r="I69">
            <v>744.81999999999982</v>
          </cell>
          <cell r="J69">
            <v>29364.219327134575</v>
          </cell>
          <cell r="K69">
            <v>4.4000000000000004</v>
          </cell>
          <cell r="L69">
            <v>170.15007279600005</v>
          </cell>
          <cell r="M69">
            <v>749.2199999999998</v>
          </cell>
          <cell r="N69">
            <v>29534.369399930576</v>
          </cell>
          <cell r="O69">
            <v>29534.369399930576</v>
          </cell>
          <cell r="P69">
            <v>0</v>
          </cell>
          <cell r="Q69">
            <v>170.15007279600005</v>
          </cell>
          <cell r="R69">
            <v>0</v>
          </cell>
          <cell r="S69">
            <v>0</v>
          </cell>
          <cell r="T69">
            <v>143.33000000000001</v>
          </cell>
        </row>
        <row r="70">
          <cell r="C70">
            <v>10020054</v>
          </cell>
          <cell r="D70" t="str">
            <v>Diyara-Pipariya-Utri - Chandan</v>
          </cell>
          <cell r="E70" t="str">
            <v>vlc</v>
          </cell>
          <cell r="F70" t="str">
            <v>Indirect</v>
          </cell>
          <cell r="G70">
            <v>429.3</v>
          </cell>
          <cell r="H70">
            <v>17468.95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17468.95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1979.461974193548</v>
          </cell>
        </row>
        <row r="71">
          <cell r="C71">
            <v>10020057</v>
          </cell>
          <cell r="D71" t="str">
            <v>KANHARPUR-2</v>
          </cell>
          <cell r="E71" t="str">
            <v>MPG</v>
          </cell>
          <cell r="F71" t="str">
            <v>Direct</v>
          </cell>
          <cell r="G71">
            <v>2737.599999999999</v>
          </cell>
          <cell r="H71">
            <v>118949.01999999999</v>
          </cell>
          <cell r="I71">
            <v>2226.5999999999995</v>
          </cell>
          <cell r="J71">
            <v>98511.857112550555</v>
          </cell>
          <cell r="K71">
            <v>523.91999999999996</v>
          </cell>
          <cell r="L71">
            <v>21640.288637188802</v>
          </cell>
          <cell r="M71">
            <v>2750.5199999999995</v>
          </cell>
          <cell r="N71">
            <v>120152.14574973936</v>
          </cell>
          <cell r="O71">
            <v>118949.01999999999</v>
          </cell>
          <cell r="P71">
            <v>0</v>
          </cell>
          <cell r="Q71">
            <v>1639.9541485077002</v>
          </cell>
          <cell r="R71">
            <v>1203.1257497393672</v>
          </cell>
          <cell r="S71">
            <v>0</v>
          </cell>
          <cell r="T71">
            <v>0</v>
          </cell>
        </row>
        <row r="72">
          <cell r="C72">
            <v>10020058</v>
          </cell>
          <cell r="D72" t="str">
            <v>BASAUNA</v>
          </cell>
          <cell r="E72" t="str">
            <v>MPG</v>
          </cell>
          <cell r="F72" t="str">
            <v>Direct</v>
          </cell>
          <cell r="G72">
            <v>1044.1000000000001</v>
          </cell>
          <cell r="H72">
            <v>41847.260000000009</v>
          </cell>
          <cell r="I72">
            <v>351.4</v>
          </cell>
          <cell r="J72">
            <v>14615.622064125619</v>
          </cell>
          <cell r="K72">
            <v>693.07999999999993</v>
          </cell>
          <cell r="L72">
            <v>26636.220859318193</v>
          </cell>
          <cell r="M72">
            <v>1044.48</v>
          </cell>
          <cell r="N72">
            <v>41251.842923443808</v>
          </cell>
          <cell r="O72">
            <v>41251.842923443808</v>
          </cell>
          <cell r="P72">
            <v>0</v>
          </cell>
          <cell r="Q72">
            <v>225.84006160786802</v>
          </cell>
          <cell r="R72">
            <v>0</v>
          </cell>
          <cell r="S72">
            <v>0</v>
          </cell>
          <cell r="T72">
            <v>0</v>
          </cell>
        </row>
        <row r="73">
          <cell r="C73">
            <v>10020059</v>
          </cell>
          <cell r="D73" t="str">
            <v>GANGA-SARAI</v>
          </cell>
          <cell r="E73" t="str">
            <v>MPG</v>
          </cell>
          <cell r="F73" t="str">
            <v>Direct</v>
          </cell>
          <cell r="G73">
            <v>1103.5</v>
          </cell>
          <cell r="H73">
            <v>43918.38</v>
          </cell>
          <cell r="I73">
            <v>1079.32</v>
          </cell>
          <cell r="J73">
            <v>42844.114136291872</v>
          </cell>
          <cell r="K73">
            <v>11.920000000000002</v>
          </cell>
          <cell r="L73">
            <v>439.80380512200009</v>
          </cell>
          <cell r="M73">
            <v>1091.24</v>
          </cell>
          <cell r="N73">
            <v>43283.917941413871</v>
          </cell>
          <cell r="O73">
            <v>43283.917941413871</v>
          </cell>
          <cell r="P73">
            <v>0</v>
          </cell>
          <cell r="Q73">
            <v>439.80380512200009</v>
          </cell>
          <cell r="R73">
            <v>0</v>
          </cell>
          <cell r="S73">
            <v>0</v>
          </cell>
          <cell r="T73">
            <v>0</v>
          </cell>
        </row>
        <row r="74">
          <cell r="C74">
            <v>10020062</v>
          </cell>
          <cell r="D74" t="str">
            <v xml:space="preserve">GOVIND-BIGHA                                                                                        </v>
          </cell>
          <cell r="E74" t="str">
            <v>MPG</v>
          </cell>
          <cell r="F74" t="str">
            <v>Direct</v>
          </cell>
          <cell r="G74">
            <v>292.60000000000002</v>
          </cell>
          <cell r="H74">
            <v>11838.12</v>
          </cell>
          <cell r="I74">
            <v>292.14</v>
          </cell>
          <cell r="J74">
            <v>11561.394781658622</v>
          </cell>
          <cell r="K74">
            <v>3.6999999999999997</v>
          </cell>
          <cell r="L74">
            <v>139.39275667679999</v>
          </cell>
          <cell r="M74">
            <v>295.83999999999997</v>
          </cell>
          <cell r="N74">
            <v>11700.787538335422</v>
          </cell>
          <cell r="O74">
            <v>11700.787538335422</v>
          </cell>
          <cell r="P74">
            <v>0</v>
          </cell>
          <cell r="Q74">
            <v>139.39275667679999</v>
          </cell>
          <cell r="R74">
            <v>0</v>
          </cell>
          <cell r="S74">
            <v>0</v>
          </cell>
          <cell r="T74">
            <v>7.0081199999996926</v>
          </cell>
        </row>
        <row r="75">
          <cell r="C75">
            <v>10020063</v>
          </cell>
          <cell r="D75" t="str">
            <v>MALPUR                                                                                              </v>
          </cell>
          <cell r="E75" t="str">
            <v>MPG</v>
          </cell>
          <cell r="F75" t="str">
            <v>Direct</v>
          </cell>
          <cell r="G75">
            <v>966.80000000000007</v>
          </cell>
          <cell r="H75">
            <v>41490.179999999993</v>
          </cell>
          <cell r="I75">
            <v>408.97</v>
          </cell>
          <cell r="J75">
            <v>20081.865082430453</v>
          </cell>
          <cell r="K75">
            <v>543.82999999999993</v>
          </cell>
          <cell r="L75">
            <v>21812.238902314806</v>
          </cell>
          <cell r="M75">
            <v>952.8</v>
          </cell>
          <cell r="N75">
            <v>41894.103984745263</v>
          </cell>
          <cell r="O75">
            <v>41490.179999999993</v>
          </cell>
          <cell r="P75">
            <v>0</v>
          </cell>
          <cell r="Q75">
            <v>324.10209150000003</v>
          </cell>
          <cell r="R75">
            <v>403.92398474526999</v>
          </cell>
          <cell r="S75">
            <v>0</v>
          </cell>
          <cell r="T75">
            <v>0</v>
          </cell>
        </row>
        <row r="76">
          <cell r="C76">
            <v>10020064</v>
          </cell>
          <cell r="D76" t="str">
            <v>Gomukh Hasanpur</v>
          </cell>
          <cell r="E76" t="str">
            <v>vlc</v>
          </cell>
          <cell r="F76" t="str">
            <v>Indirect</v>
          </cell>
          <cell r="G76">
            <v>234.4</v>
          </cell>
          <cell r="H76">
            <v>9540.7900000000009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9540.7900000000009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1257.0678193548392</v>
          </cell>
        </row>
        <row r="77">
          <cell r="C77">
            <v>10020067</v>
          </cell>
          <cell r="D77" t="str">
            <v>ADARSH LAXMIPUR-2</v>
          </cell>
          <cell r="E77" t="str">
            <v>vlc</v>
          </cell>
          <cell r="F77" t="str">
            <v>Indirect</v>
          </cell>
          <cell r="G77">
            <v>1279</v>
          </cell>
          <cell r="H77">
            <v>50849.09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50849.09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C78">
            <v>10020068</v>
          </cell>
          <cell r="D78" t="str">
            <v>SABIKPUR</v>
          </cell>
          <cell r="E78" t="str">
            <v>MPG</v>
          </cell>
          <cell r="F78" t="str">
            <v>Direct</v>
          </cell>
          <cell r="G78">
            <v>609.30000000000007</v>
          </cell>
          <cell r="H78">
            <v>24624.420000000002</v>
          </cell>
          <cell r="I78">
            <v>637.92999999999984</v>
          </cell>
          <cell r="J78">
            <v>26396.214474139466</v>
          </cell>
          <cell r="K78">
            <v>0</v>
          </cell>
          <cell r="L78">
            <v>0</v>
          </cell>
          <cell r="M78">
            <v>637.92999999999984</v>
          </cell>
          <cell r="N78">
            <v>26396.214474139466</v>
          </cell>
          <cell r="O78">
            <v>24624.420000000002</v>
          </cell>
          <cell r="P78">
            <v>0</v>
          </cell>
          <cell r="Q78">
            <v>0</v>
          </cell>
          <cell r="R78">
            <v>1771.794474139464</v>
          </cell>
          <cell r="S78">
            <v>0</v>
          </cell>
          <cell r="T78">
            <v>18.430016949152133</v>
          </cell>
        </row>
        <row r="79">
          <cell r="C79">
            <v>10020069</v>
          </cell>
          <cell r="D79" t="str">
            <v>CHETAN-TOLA-KHUTHA</v>
          </cell>
          <cell r="E79" t="str">
            <v>MPG</v>
          </cell>
          <cell r="F79" t="str">
            <v>Direct</v>
          </cell>
          <cell r="G79">
            <v>211.10000000000002</v>
          </cell>
          <cell r="H79">
            <v>8040.31</v>
          </cell>
          <cell r="I79">
            <v>209.72000000000003</v>
          </cell>
          <cell r="J79">
            <v>8064.5657245560014</v>
          </cell>
          <cell r="K79">
            <v>0.13</v>
          </cell>
          <cell r="L79">
            <v>5.0029400520000005</v>
          </cell>
          <cell r="M79">
            <v>209.85000000000002</v>
          </cell>
          <cell r="N79">
            <v>8069.5686646080012</v>
          </cell>
          <cell r="O79">
            <v>8040.31</v>
          </cell>
          <cell r="P79">
            <v>0</v>
          </cell>
          <cell r="Q79">
            <v>5.0029400520000005</v>
          </cell>
          <cell r="R79">
            <v>29.258664608000799</v>
          </cell>
          <cell r="S79">
            <v>8035</v>
          </cell>
          <cell r="T79">
            <v>0</v>
          </cell>
        </row>
        <row r="80">
          <cell r="C80">
            <v>10020070</v>
          </cell>
          <cell r="D80" t="str">
            <v>LAXMIPUR</v>
          </cell>
          <cell r="E80" t="str">
            <v>MPG</v>
          </cell>
          <cell r="F80" t="str">
            <v>Direct</v>
          </cell>
          <cell r="G80">
            <v>978.80000000000007</v>
          </cell>
          <cell r="H80">
            <v>38704</v>
          </cell>
          <cell r="I80">
            <v>900.70000000000016</v>
          </cell>
          <cell r="J80">
            <v>38778.903963794146</v>
          </cell>
          <cell r="K80">
            <v>0</v>
          </cell>
          <cell r="L80">
            <v>0</v>
          </cell>
          <cell r="M80">
            <v>900.70000000000016</v>
          </cell>
          <cell r="N80">
            <v>38778.903963794146</v>
          </cell>
          <cell r="O80">
            <v>38704</v>
          </cell>
          <cell r="P80">
            <v>0</v>
          </cell>
          <cell r="Q80">
            <v>0</v>
          </cell>
          <cell r="R80">
            <v>74.903963794145966</v>
          </cell>
          <cell r="S80">
            <v>0</v>
          </cell>
          <cell r="T80">
            <v>0</v>
          </cell>
        </row>
        <row r="81">
          <cell r="C81">
            <v>10020073</v>
          </cell>
          <cell r="D81" t="str">
            <v>REHUA RK</v>
          </cell>
          <cell r="E81" t="str">
            <v>vlc</v>
          </cell>
          <cell r="F81" t="str">
            <v>Indirect</v>
          </cell>
          <cell r="G81">
            <v>1142.4999999999998</v>
          </cell>
          <cell r="H81">
            <v>48278.13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48278.13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C82">
            <v>10020075</v>
          </cell>
          <cell r="D82" t="str">
            <v>RAMNAGAR</v>
          </cell>
          <cell r="E82" t="str">
            <v>MPG</v>
          </cell>
          <cell r="F82" t="str">
            <v>Direct</v>
          </cell>
          <cell r="G82">
            <v>301</v>
          </cell>
          <cell r="H82">
            <v>12338.27</v>
          </cell>
          <cell r="I82">
            <v>282.53000000000003</v>
          </cell>
          <cell r="J82">
            <v>12680.440142898795</v>
          </cell>
          <cell r="K82">
            <v>0</v>
          </cell>
          <cell r="L82">
            <v>0</v>
          </cell>
          <cell r="M82">
            <v>282.53000000000003</v>
          </cell>
          <cell r="N82">
            <v>12680.440142898795</v>
          </cell>
          <cell r="O82">
            <v>12338.27</v>
          </cell>
          <cell r="P82">
            <v>0</v>
          </cell>
          <cell r="Q82">
            <v>0</v>
          </cell>
          <cell r="R82">
            <v>342.17014289879444</v>
          </cell>
          <cell r="S82">
            <v>2293</v>
          </cell>
          <cell r="T82">
            <v>0</v>
          </cell>
        </row>
        <row r="83">
          <cell r="C83">
            <v>10020077</v>
          </cell>
          <cell r="D83" t="str">
            <v>BANSIPUR</v>
          </cell>
          <cell r="E83" t="str">
            <v>MPG</v>
          </cell>
          <cell r="F83" t="str">
            <v>Direct</v>
          </cell>
          <cell r="G83">
            <v>104.79999999999998</v>
          </cell>
          <cell r="H83">
            <v>4621.04</v>
          </cell>
          <cell r="I83">
            <v>107.3</v>
          </cell>
          <cell r="J83">
            <v>4657.5837985464004</v>
          </cell>
          <cell r="K83">
            <v>0</v>
          </cell>
          <cell r="L83">
            <v>0</v>
          </cell>
          <cell r="M83">
            <v>107.3</v>
          </cell>
          <cell r="N83">
            <v>4657.5837985464004</v>
          </cell>
          <cell r="O83">
            <v>4621.04</v>
          </cell>
          <cell r="P83">
            <v>0</v>
          </cell>
          <cell r="Q83">
            <v>0</v>
          </cell>
          <cell r="R83">
            <v>36.543798546400467</v>
          </cell>
          <cell r="S83">
            <v>0</v>
          </cell>
          <cell r="T83">
            <v>0</v>
          </cell>
        </row>
        <row r="84">
          <cell r="C84">
            <v>10020078</v>
          </cell>
          <cell r="D84" t="str">
            <v>GODIH</v>
          </cell>
          <cell r="E84" t="str">
            <v>MPG</v>
          </cell>
          <cell r="F84" t="str">
            <v>Direct</v>
          </cell>
          <cell r="G84">
            <v>422.20000000000005</v>
          </cell>
          <cell r="H84">
            <v>16984.960000000003</v>
          </cell>
          <cell r="I84">
            <v>418.78</v>
          </cell>
          <cell r="J84">
            <v>18989.912584531514</v>
          </cell>
          <cell r="K84">
            <v>0</v>
          </cell>
          <cell r="L84">
            <v>0</v>
          </cell>
          <cell r="M84">
            <v>418.78</v>
          </cell>
          <cell r="N84">
            <v>18989.912584531514</v>
          </cell>
          <cell r="O84">
            <v>16984.960000000003</v>
          </cell>
          <cell r="P84">
            <v>0</v>
          </cell>
          <cell r="Q84">
            <v>0</v>
          </cell>
          <cell r="R84">
            <v>2004.9525845315111</v>
          </cell>
          <cell r="S84">
            <v>0</v>
          </cell>
          <cell r="T84">
            <v>0</v>
          </cell>
        </row>
        <row r="85">
          <cell r="C85">
            <v>10020079</v>
          </cell>
          <cell r="D85" t="str">
            <v>SINGARPUR</v>
          </cell>
          <cell r="E85" t="str">
            <v>MPG</v>
          </cell>
          <cell r="F85" t="str">
            <v>Direct</v>
          </cell>
          <cell r="G85">
            <v>255.2</v>
          </cell>
          <cell r="H85">
            <v>14713.279999999999</v>
          </cell>
          <cell r="I85">
            <v>255.17000000000002</v>
          </cell>
          <cell r="J85">
            <v>15302.767815158311</v>
          </cell>
          <cell r="K85">
            <v>0</v>
          </cell>
          <cell r="L85">
            <v>0</v>
          </cell>
          <cell r="M85">
            <v>255.17000000000002</v>
          </cell>
          <cell r="N85">
            <v>15302.767815158311</v>
          </cell>
          <cell r="O85">
            <v>14713.279999999999</v>
          </cell>
          <cell r="P85">
            <v>0</v>
          </cell>
          <cell r="Q85">
            <v>0</v>
          </cell>
          <cell r="R85">
            <v>589.48781515831251</v>
          </cell>
          <cell r="S85">
            <v>0</v>
          </cell>
          <cell r="T85">
            <v>0</v>
          </cell>
        </row>
        <row r="86">
          <cell r="C86">
            <v>10020080</v>
          </cell>
          <cell r="D86" t="str">
            <v>ADARSH PULPAR</v>
          </cell>
          <cell r="E86" t="str">
            <v>MPG</v>
          </cell>
          <cell r="F86" t="str">
            <v>Direct</v>
          </cell>
          <cell r="G86">
            <v>24.699999999999996</v>
          </cell>
          <cell r="H86">
            <v>964.4799999999999</v>
          </cell>
          <cell r="I86">
            <v>19.7</v>
          </cell>
          <cell r="J86">
            <v>769.02712524000003</v>
          </cell>
          <cell r="K86">
            <v>0</v>
          </cell>
          <cell r="L86">
            <v>0</v>
          </cell>
          <cell r="M86">
            <v>19.7</v>
          </cell>
          <cell r="N86">
            <v>769.02712524000003</v>
          </cell>
          <cell r="O86">
            <v>769.02712524000003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209.80650545454552</v>
          </cell>
        </row>
        <row r="87">
          <cell r="C87">
            <v>10020081</v>
          </cell>
          <cell r="D87" t="str">
            <v>G WOLIPUR</v>
          </cell>
          <cell r="E87" t="str">
            <v>vlc</v>
          </cell>
          <cell r="F87" t="str">
            <v>Indirect</v>
          </cell>
          <cell r="G87">
            <v>1894.1999999999998</v>
          </cell>
          <cell r="H87">
            <v>74161.349999999991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74161.349999999991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C88">
            <v>10020082</v>
          </cell>
          <cell r="D88" t="str">
            <v>REHUA 3</v>
          </cell>
          <cell r="E88" t="str">
            <v>vlc</v>
          </cell>
          <cell r="F88" t="str">
            <v>Indirect</v>
          </cell>
          <cell r="G88">
            <v>1196</v>
          </cell>
          <cell r="H88">
            <v>49188.040000000008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49188.040000000008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589.86305806451469</v>
          </cell>
        </row>
        <row r="89">
          <cell r="C89">
            <v>10020083</v>
          </cell>
          <cell r="D89" t="str">
            <v>BICHWAY</v>
          </cell>
          <cell r="E89" t="str">
            <v>MPG</v>
          </cell>
          <cell r="F89" t="str">
            <v>Direct</v>
          </cell>
          <cell r="G89">
            <v>424.10000000000008</v>
          </cell>
          <cell r="H89">
            <v>16145.76</v>
          </cell>
          <cell r="I89">
            <v>424.89999999999992</v>
          </cell>
          <cell r="J89">
            <v>16560.319683600002</v>
          </cell>
          <cell r="K89">
            <v>0</v>
          </cell>
          <cell r="L89">
            <v>0</v>
          </cell>
          <cell r="M89">
            <v>424.89999999999992</v>
          </cell>
          <cell r="N89">
            <v>16560.319683600002</v>
          </cell>
          <cell r="O89">
            <v>16145.76</v>
          </cell>
          <cell r="P89">
            <v>0</v>
          </cell>
          <cell r="Q89">
            <v>0</v>
          </cell>
          <cell r="R89">
            <v>414.55968360000224</v>
          </cell>
          <cell r="S89">
            <v>0</v>
          </cell>
          <cell r="T89">
            <v>0</v>
          </cell>
        </row>
        <row r="90">
          <cell r="C90">
            <v>10020084</v>
          </cell>
          <cell r="D90" t="str">
            <v>MANOHARPUR</v>
          </cell>
          <cell r="E90" t="str">
            <v>MPG</v>
          </cell>
          <cell r="F90" t="str">
            <v>Direct</v>
          </cell>
          <cell r="G90">
            <v>890.20000000000016</v>
          </cell>
          <cell r="H90">
            <v>33729.340000000004</v>
          </cell>
          <cell r="I90">
            <v>320.76</v>
          </cell>
          <cell r="J90">
            <v>12619.687731276181</v>
          </cell>
          <cell r="K90">
            <v>559.93000000000006</v>
          </cell>
          <cell r="L90">
            <v>22156.723554182245</v>
          </cell>
          <cell r="M90">
            <v>880.69</v>
          </cell>
          <cell r="N90">
            <v>34776.411285458424</v>
          </cell>
          <cell r="O90">
            <v>33729.340000000004</v>
          </cell>
          <cell r="P90">
            <v>0</v>
          </cell>
          <cell r="Q90">
            <v>0</v>
          </cell>
          <cell r="R90">
            <v>1047.0712854584199</v>
          </cell>
          <cell r="S90">
            <v>0</v>
          </cell>
          <cell r="T90">
            <v>0</v>
          </cell>
        </row>
        <row r="91">
          <cell r="C91">
            <v>10030002</v>
          </cell>
          <cell r="D91" t="str">
            <v>MOHANPUR</v>
          </cell>
          <cell r="E91" t="str">
            <v>vlc</v>
          </cell>
          <cell r="F91" t="str">
            <v>Indirect</v>
          </cell>
          <cell r="G91">
            <v>478.49999999999994</v>
          </cell>
          <cell r="H91">
            <v>18734.05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18734.05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C92">
            <v>10030003</v>
          </cell>
          <cell r="D92" t="str">
            <v>CHATMADIH</v>
          </cell>
          <cell r="E92" t="str">
            <v>MPG</v>
          </cell>
          <cell r="F92" t="str">
            <v>Direct</v>
          </cell>
          <cell r="G92">
            <v>1719.1000000000004</v>
          </cell>
          <cell r="H92">
            <v>73122.070000000007</v>
          </cell>
          <cell r="I92">
            <v>1707.1</v>
          </cell>
          <cell r="J92">
            <v>71826.670576738907</v>
          </cell>
          <cell r="K92">
            <v>21.1</v>
          </cell>
          <cell r="L92">
            <v>1224.0585944179402</v>
          </cell>
          <cell r="M92">
            <v>1728.1999999999998</v>
          </cell>
          <cell r="N92">
            <v>73050.729171156854</v>
          </cell>
          <cell r="O92">
            <v>73050.729171156854</v>
          </cell>
          <cell r="P92">
            <v>0</v>
          </cell>
          <cell r="Q92">
            <v>1224.0585944179402</v>
          </cell>
          <cell r="R92">
            <v>0</v>
          </cell>
          <cell r="S92">
            <v>0</v>
          </cell>
          <cell r="T92">
            <v>0</v>
          </cell>
        </row>
        <row r="93">
          <cell r="C93">
            <v>10030007</v>
          </cell>
          <cell r="D93" t="str">
            <v>SIYADIH</v>
          </cell>
          <cell r="E93" t="str">
            <v>vlc</v>
          </cell>
          <cell r="F93" t="str">
            <v>Indirect</v>
          </cell>
          <cell r="G93">
            <v>593.5</v>
          </cell>
          <cell r="H93">
            <v>17633.73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17633.73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C94">
            <v>10030009</v>
          </cell>
          <cell r="D94" t="str">
            <v>Gomukh ID Laldiyara</v>
          </cell>
          <cell r="E94" t="str">
            <v>vlc</v>
          </cell>
          <cell r="F94" t="str">
            <v>Indirect</v>
          </cell>
          <cell r="G94">
            <v>5950</v>
          </cell>
          <cell r="H94">
            <v>215483.5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215483.5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C95">
            <v>10030010</v>
          </cell>
          <cell r="D95" t="str">
            <v>KATHNI</v>
          </cell>
          <cell r="E95" t="str">
            <v>MPG</v>
          </cell>
          <cell r="F95" t="str">
            <v>Direct</v>
          </cell>
          <cell r="G95">
            <v>352.60000000000008</v>
          </cell>
          <cell r="H95">
            <v>11998.1</v>
          </cell>
          <cell r="I95">
            <v>389</v>
          </cell>
          <cell r="J95">
            <v>16886.273976</v>
          </cell>
          <cell r="K95">
            <v>0</v>
          </cell>
          <cell r="L95">
            <v>0</v>
          </cell>
          <cell r="M95">
            <v>389</v>
          </cell>
          <cell r="N95">
            <v>16886.273976</v>
          </cell>
          <cell r="O95">
            <v>11998.1</v>
          </cell>
          <cell r="P95">
            <v>0</v>
          </cell>
          <cell r="Q95">
            <v>0</v>
          </cell>
          <cell r="R95">
            <v>4888.173976</v>
          </cell>
          <cell r="S95">
            <v>0</v>
          </cell>
          <cell r="T95">
            <v>0</v>
          </cell>
        </row>
        <row r="96">
          <cell r="C96">
            <v>10030011</v>
          </cell>
          <cell r="D96" t="str">
            <v>DEVDHA GOMUKH MPG</v>
          </cell>
          <cell r="E96" t="str">
            <v>MPG</v>
          </cell>
          <cell r="F96" t="str">
            <v>Direct</v>
          </cell>
          <cell r="G96">
            <v>1053.55</v>
          </cell>
          <cell r="H96">
            <v>40260.120000000003</v>
          </cell>
          <cell r="I96">
            <v>774.40000000000009</v>
          </cell>
          <cell r="J96">
            <v>29640.903208949996</v>
          </cell>
          <cell r="K96">
            <v>278.89999999999998</v>
          </cell>
          <cell r="L96">
            <v>10603.325065146</v>
          </cell>
          <cell r="M96">
            <v>1053.3000000000002</v>
          </cell>
          <cell r="N96">
            <v>40244.228274095993</v>
          </cell>
          <cell r="O96">
            <v>40244.228274095993</v>
          </cell>
          <cell r="P96">
            <v>0</v>
          </cell>
          <cell r="Q96">
            <v>246.043589946</v>
          </cell>
          <cell r="R96">
            <v>0</v>
          </cell>
          <cell r="S96">
            <v>0</v>
          </cell>
          <cell r="T96">
            <v>0</v>
          </cell>
        </row>
        <row r="97">
          <cell r="C97">
            <v>10030012</v>
          </cell>
          <cell r="D97" t="str">
            <v>KASBA(MANGOAN)</v>
          </cell>
          <cell r="E97" t="str">
            <v>vlc</v>
          </cell>
          <cell r="F97" t="str">
            <v>Indirect</v>
          </cell>
          <cell r="G97">
            <v>355.00000000000011</v>
          </cell>
          <cell r="H97">
            <v>12976.65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12976.65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C98">
            <v>10030013</v>
          </cell>
          <cell r="D98" t="str">
            <v>LOHRA</v>
          </cell>
          <cell r="E98" t="str">
            <v>MPG</v>
          </cell>
          <cell r="F98" t="str">
            <v>Direct</v>
          </cell>
          <cell r="G98">
            <v>448.95</v>
          </cell>
          <cell r="H98">
            <v>21565.489999999998</v>
          </cell>
          <cell r="I98">
            <v>436.92000000000007</v>
          </cell>
          <cell r="J98">
            <v>22989.8327584945</v>
          </cell>
          <cell r="K98">
            <v>12.12</v>
          </cell>
          <cell r="L98">
            <v>570.60015783520021</v>
          </cell>
          <cell r="M98">
            <v>449.04000000000008</v>
          </cell>
          <cell r="N98">
            <v>23560.432916329701</v>
          </cell>
          <cell r="O98">
            <v>21565.489999999998</v>
          </cell>
          <cell r="P98">
            <v>0</v>
          </cell>
          <cell r="Q98">
            <v>570.60015783520021</v>
          </cell>
          <cell r="R98">
            <v>1994.9429163297027</v>
          </cell>
          <cell r="S98">
            <v>0</v>
          </cell>
          <cell r="T98">
            <v>0</v>
          </cell>
        </row>
        <row r="99">
          <cell r="C99">
            <v>10030015</v>
          </cell>
          <cell r="D99" t="str">
            <v>KAMATPUR</v>
          </cell>
          <cell r="E99" t="str">
            <v>MPG</v>
          </cell>
          <cell r="F99" t="str">
            <v>Direct</v>
          </cell>
          <cell r="G99">
            <v>230.39999999999995</v>
          </cell>
          <cell r="H99">
            <v>8604.41</v>
          </cell>
          <cell r="I99">
            <v>235.07999999999998</v>
          </cell>
          <cell r="J99">
            <v>8096.7638372543997</v>
          </cell>
          <cell r="K99">
            <v>9.6900000000000013</v>
          </cell>
          <cell r="L99">
            <v>353.15503587540002</v>
          </cell>
          <cell r="M99">
            <v>244.76999999999998</v>
          </cell>
          <cell r="N99">
            <v>8449.9188731298</v>
          </cell>
          <cell r="O99">
            <v>8449.9188731298</v>
          </cell>
          <cell r="P99">
            <v>0</v>
          </cell>
          <cell r="Q99">
            <v>353.15503587540002</v>
          </cell>
          <cell r="R99">
            <v>0</v>
          </cell>
          <cell r="S99">
            <v>0</v>
          </cell>
          <cell r="T99">
            <v>0</v>
          </cell>
        </row>
        <row r="100">
          <cell r="C100">
            <v>10030016</v>
          </cell>
          <cell r="D100" t="str">
            <v>GIRDHARA</v>
          </cell>
          <cell r="E100" t="str">
            <v>MPG</v>
          </cell>
          <cell r="F100" t="str">
            <v>Direct</v>
          </cell>
          <cell r="G100">
            <v>1025.3</v>
          </cell>
          <cell r="H100">
            <v>40275.539999999994</v>
          </cell>
          <cell r="I100">
            <v>181.70999999999998</v>
          </cell>
          <cell r="J100">
            <v>8147.0161951708487</v>
          </cell>
          <cell r="K100">
            <v>843.62</v>
          </cell>
          <cell r="L100">
            <v>33475.015121806144</v>
          </cell>
          <cell r="M100">
            <v>1025.33</v>
          </cell>
          <cell r="N100">
            <v>41622.031316976994</v>
          </cell>
          <cell r="O100">
            <v>40275.539999999994</v>
          </cell>
          <cell r="P100">
            <v>0</v>
          </cell>
          <cell r="Q100">
            <v>309.70986987600003</v>
          </cell>
          <cell r="R100">
            <v>1346.4913169770007</v>
          </cell>
          <cell r="S100">
            <v>0</v>
          </cell>
          <cell r="T100">
            <v>0</v>
          </cell>
        </row>
        <row r="101">
          <cell r="C101">
            <v>10030017</v>
          </cell>
          <cell r="D101" t="str">
            <v>RATNI</v>
          </cell>
          <cell r="E101" t="str">
            <v>MPG</v>
          </cell>
          <cell r="F101" t="str">
            <v>Direct</v>
          </cell>
          <cell r="G101">
            <v>955.3</v>
          </cell>
          <cell r="H101">
            <v>46924.010000000009</v>
          </cell>
          <cell r="I101">
            <v>958.57</v>
          </cell>
          <cell r="J101">
            <v>46180.322283159454</v>
          </cell>
          <cell r="K101">
            <v>19.419999999999998</v>
          </cell>
          <cell r="L101">
            <v>1023.4582069583</v>
          </cell>
          <cell r="M101">
            <v>977.99</v>
          </cell>
          <cell r="N101">
            <v>47203.780490117751</v>
          </cell>
          <cell r="O101">
            <v>46924.010000000009</v>
          </cell>
          <cell r="P101">
            <v>0</v>
          </cell>
          <cell r="Q101">
            <v>1023.4582069583</v>
          </cell>
          <cell r="R101">
            <v>279.77049011774216</v>
          </cell>
          <cell r="S101">
            <v>0</v>
          </cell>
          <cell r="T101">
            <v>0</v>
          </cell>
        </row>
        <row r="102">
          <cell r="C102">
            <v>10030018</v>
          </cell>
          <cell r="D102" t="str">
            <v>DHAPARI</v>
          </cell>
          <cell r="E102" t="str">
            <v>MPG</v>
          </cell>
          <cell r="F102" t="str">
            <v>Direct</v>
          </cell>
          <cell r="G102">
            <v>776.05</v>
          </cell>
          <cell r="H102">
            <v>30388.450000000004</v>
          </cell>
          <cell r="I102">
            <v>841.29999999999984</v>
          </cell>
          <cell r="J102">
            <v>32983.7379190582</v>
          </cell>
          <cell r="K102">
            <v>27.63</v>
          </cell>
          <cell r="L102">
            <v>1054.3986644796</v>
          </cell>
          <cell r="M102">
            <v>868.92999999999984</v>
          </cell>
          <cell r="N102">
            <v>34038.136583537802</v>
          </cell>
          <cell r="O102">
            <v>30388.450000000004</v>
          </cell>
          <cell r="P102">
            <v>0</v>
          </cell>
          <cell r="Q102">
            <v>1054.3986644796</v>
          </cell>
          <cell r="R102">
            <v>3649.6865835377976</v>
          </cell>
          <cell r="S102">
            <v>0</v>
          </cell>
          <cell r="T102">
            <v>0</v>
          </cell>
        </row>
        <row r="103">
          <cell r="C103">
            <v>10030019</v>
          </cell>
          <cell r="D103" t="str">
            <v>KHARUI</v>
          </cell>
          <cell r="E103" t="str">
            <v>MPG</v>
          </cell>
          <cell r="F103" t="str">
            <v>Direct</v>
          </cell>
          <cell r="G103">
            <v>611.64999999999986</v>
          </cell>
          <cell r="H103">
            <v>27071.779999999995</v>
          </cell>
          <cell r="I103">
            <v>580.64</v>
          </cell>
          <cell r="J103">
            <v>26743.098170393401</v>
          </cell>
          <cell r="K103">
            <v>25.240000000000002</v>
          </cell>
          <cell r="L103">
            <v>1367.8164343522201</v>
          </cell>
          <cell r="M103">
            <v>605.88</v>
          </cell>
          <cell r="N103">
            <v>28110.91460474562</v>
          </cell>
          <cell r="O103">
            <v>27071.779999999995</v>
          </cell>
          <cell r="P103">
            <v>0</v>
          </cell>
          <cell r="Q103">
            <v>1367.8164343522201</v>
          </cell>
          <cell r="R103">
            <v>1039.1346047456245</v>
          </cell>
          <cell r="S103">
            <v>0</v>
          </cell>
          <cell r="T103">
            <v>0</v>
          </cell>
        </row>
        <row r="104">
          <cell r="C104">
            <v>10030021</v>
          </cell>
          <cell r="D104" t="str">
            <v>KHAIRA</v>
          </cell>
          <cell r="E104" t="str">
            <v>MPG</v>
          </cell>
          <cell r="F104" t="str">
            <v>Direct</v>
          </cell>
          <cell r="G104">
            <v>804.65</v>
          </cell>
          <cell r="H104">
            <v>30926.720000000001</v>
          </cell>
          <cell r="I104">
            <v>798.35</v>
          </cell>
          <cell r="J104">
            <v>32431.248866543669</v>
          </cell>
          <cell r="K104">
            <v>26.70999999999999</v>
          </cell>
          <cell r="L104">
            <v>1083.0530086199999</v>
          </cell>
          <cell r="M104">
            <v>825.06000000000006</v>
          </cell>
          <cell r="N104">
            <v>33514.30187516367</v>
          </cell>
          <cell r="O104">
            <v>30926.720000000001</v>
          </cell>
          <cell r="P104">
            <v>0</v>
          </cell>
          <cell r="Q104">
            <v>1083.0530086199999</v>
          </cell>
          <cell r="R104">
            <v>2587.5818751636689</v>
          </cell>
          <cell r="S104">
            <v>0</v>
          </cell>
          <cell r="T104">
            <v>0</v>
          </cell>
        </row>
        <row r="105">
          <cell r="C105">
            <v>10030022</v>
          </cell>
          <cell r="D105" t="str">
            <v>SISUA</v>
          </cell>
          <cell r="E105" t="str">
            <v>MPG</v>
          </cell>
          <cell r="F105" t="str">
            <v>Direct</v>
          </cell>
          <cell r="G105">
            <v>1384.25</v>
          </cell>
          <cell r="H105">
            <v>54303.320000000014</v>
          </cell>
          <cell r="I105">
            <v>1272.8600000000001</v>
          </cell>
          <cell r="J105">
            <v>51054.610762129712</v>
          </cell>
          <cell r="K105">
            <v>94.2</v>
          </cell>
          <cell r="L105">
            <v>3722.7924366124798</v>
          </cell>
          <cell r="M105">
            <v>1367.0600000000002</v>
          </cell>
          <cell r="N105">
            <v>54777.403198742191</v>
          </cell>
          <cell r="O105">
            <v>54303.320000000014</v>
          </cell>
          <cell r="P105">
            <v>0</v>
          </cell>
          <cell r="Q105">
            <v>664.67957287248009</v>
          </cell>
          <cell r="R105">
            <v>474.08319874217705</v>
          </cell>
          <cell r="S105">
            <v>0</v>
          </cell>
          <cell r="T105">
            <v>0</v>
          </cell>
        </row>
        <row r="106">
          <cell r="C106">
            <v>10030023</v>
          </cell>
          <cell r="D106" t="str">
            <v>BISAI</v>
          </cell>
          <cell r="E106" t="str">
            <v>MPG</v>
          </cell>
          <cell r="F106" t="str">
            <v>Direct</v>
          </cell>
          <cell r="G106">
            <v>249.5</v>
          </cell>
          <cell r="H106">
            <v>9978.2200000000012</v>
          </cell>
          <cell r="I106">
            <v>236.65999999999997</v>
          </cell>
          <cell r="J106">
            <v>10199.378726146322</v>
          </cell>
          <cell r="K106">
            <v>11.290000000000003</v>
          </cell>
          <cell r="L106">
            <v>472.38789866400009</v>
          </cell>
          <cell r="M106">
            <v>247.94999999999996</v>
          </cell>
          <cell r="N106">
            <v>10671.766624810321</v>
          </cell>
          <cell r="O106">
            <v>9978.2200000000012</v>
          </cell>
          <cell r="P106">
            <v>0</v>
          </cell>
          <cell r="Q106">
            <v>472.38789866400009</v>
          </cell>
          <cell r="R106">
            <v>693.54662481032028</v>
          </cell>
          <cell r="S106">
            <v>0</v>
          </cell>
          <cell r="T106">
            <v>0</v>
          </cell>
        </row>
        <row r="107">
          <cell r="C107">
            <v>10030025</v>
          </cell>
          <cell r="D107" t="str">
            <v>SAJUA-1</v>
          </cell>
          <cell r="E107" t="str">
            <v>MPG</v>
          </cell>
          <cell r="F107" t="str">
            <v>Direct</v>
          </cell>
          <cell r="G107">
            <v>640.5</v>
          </cell>
          <cell r="H107">
            <v>23761.919999999998</v>
          </cell>
          <cell r="I107">
            <v>649.59</v>
          </cell>
          <cell r="J107">
            <v>23501.850301767601</v>
          </cell>
          <cell r="K107">
            <v>8.8000000000000007</v>
          </cell>
          <cell r="L107">
            <v>299.34134505000003</v>
          </cell>
          <cell r="M107">
            <v>658.39</v>
          </cell>
          <cell r="N107">
            <v>23801.191646817602</v>
          </cell>
          <cell r="O107">
            <v>23761.919999999998</v>
          </cell>
          <cell r="P107">
            <v>0</v>
          </cell>
          <cell r="Q107">
            <v>299.34134505000003</v>
          </cell>
          <cell r="R107">
            <v>39.271646817604051</v>
          </cell>
          <cell r="S107">
            <v>0</v>
          </cell>
          <cell r="T107">
            <v>0</v>
          </cell>
        </row>
        <row r="108">
          <cell r="C108">
            <v>10030026</v>
          </cell>
          <cell r="D108" t="str">
            <v>SAJUA-2</v>
          </cell>
          <cell r="E108" t="str">
            <v>MPG</v>
          </cell>
          <cell r="F108" t="str">
            <v>Direct</v>
          </cell>
          <cell r="G108">
            <v>1111.75</v>
          </cell>
          <cell r="H108">
            <v>41317.83</v>
          </cell>
          <cell r="I108">
            <v>1113.49</v>
          </cell>
          <cell r="J108">
            <v>42704.034776980174</v>
          </cell>
          <cell r="K108">
            <v>0</v>
          </cell>
          <cell r="L108">
            <v>0</v>
          </cell>
          <cell r="M108">
            <v>1113.49</v>
          </cell>
          <cell r="N108">
            <v>42704.034776980174</v>
          </cell>
          <cell r="O108">
            <v>41317.83</v>
          </cell>
          <cell r="P108">
            <v>0</v>
          </cell>
          <cell r="Q108">
            <v>0</v>
          </cell>
          <cell r="R108">
            <v>1386.204776980172</v>
          </cell>
          <cell r="S108">
            <v>0</v>
          </cell>
          <cell r="T108">
            <v>0</v>
          </cell>
        </row>
        <row r="109">
          <cell r="C109">
            <v>10030027</v>
          </cell>
          <cell r="D109" t="str">
            <v>CHORGAUN</v>
          </cell>
          <cell r="E109" t="str">
            <v>MPG</v>
          </cell>
          <cell r="F109" t="str">
            <v>Direct</v>
          </cell>
          <cell r="G109">
            <v>616.05000000000007</v>
          </cell>
          <cell r="H109">
            <v>22858.080000000002</v>
          </cell>
          <cell r="I109">
            <v>613.69999999999993</v>
          </cell>
          <cell r="J109">
            <v>23154.356650516002</v>
          </cell>
          <cell r="K109">
            <v>20.5</v>
          </cell>
          <cell r="L109">
            <v>785.92448880000006</v>
          </cell>
          <cell r="M109">
            <v>634.19999999999993</v>
          </cell>
          <cell r="N109">
            <v>23940.281139316001</v>
          </cell>
          <cell r="O109">
            <v>22858.080000000002</v>
          </cell>
          <cell r="P109">
            <v>0</v>
          </cell>
          <cell r="Q109">
            <v>785.92448880000006</v>
          </cell>
          <cell r="R109">
            <v>1082.2011393159992</v>
          </cell>
          <cell r="S109">
            <v>0</v>
          </cell>
          <cell r="T109">
            <v>0</v>
          </cell>
        </row>
        <row r="110">
          <cell r="C110">
            <v>10030028</v>
          </cell>
          <cell r="D110" t="str">
            <v>PADARATHPUR</v>
          </cell>
          <cell r="E110" t="str">
            <v>MPG</v>
          </cell>
          <cell r="F110" t="str">
            <v>Direct</v>
          </cell>
          <cell r="G110">
            <v>852.79999999999984</v>
          </cell>
          <cell r="H110">
            <v>33503.64</v>
          </cell>
          <cell r="I110">
            <v>834.70000000000016</v>
          </cell>
          <cell r="J110">
            <v>32876.400286008393</v>
          </cell>
          <cell r="K110">
            <v>17.3</v>
          </cell>
          <cell r="L110">
            <v>707.53910436000012</v>
          </cell>
          <cell r="M110">
            <v>852.00000000000011</v>
          </cell>
          <cell r="N110">
            <v>33583.939390368396</v>
          </cell>
          <cell r="O110">
            <v>33503.64</v>
          </cell>
          <cell r="P110">
            <v>0</v>
          </cell>
          <cell r="Q110">
            <v>707.53910436000012</v>
          </cell>
          <cell r="R110">
            <v>80.299390368396416</v>
          </cell>
          <cell r="S110">
            <v>0</v>
          </cell>
          <cell r="T110">
            <v>0</v>
          </cell>
        </row>
        <row r="111">
          <cell r="C111">
            <v>10030031</v>
          </cell>
          <cell r="D111" t="str">
            <v>BADARKHA</v>
          </cell>
          <cell r="E111" t="str">
            <v>MPG</v>
          </cell>
          <cell r="F111" t="str">
            <v>Direct</v>
          </cell>
          <cell r="G111">
            <v>866.25</v>
          </cell>
          <cell r="H111">
            <v>30733.629999999997</v>
          </cell>
          <cell r="I111">
            <v>845.38000000000022</v>
          </cell>
          <cell r="J111">
            <v>30851.575221829309</v>
          </cell>
          <cell r="K111">
            <v>0</v>
          </cell>
          <cell r="L111">
            <v>0</v>
          </cell>
          <cell r="M111">
            <v>845.38000000000022</v>
          </cell>
          <cell r="N111">
            <v>30851.575221829309</v>
          </cell>
          <cell r="O111">
            <v>30733.629999999997</v>
          </cell>
          <cell r="P111">
            <v>0</v>
          </cell>
          <cell r="Q111">
            <v>0</v>
          </cell>
          <cell r="R111">
            <v>117.94522182931178</v>
          </cell>
          <cell r="S111">
            <v>0</v>
          </cell>
          <cell r="T111">
            <v>0</v>
          </cell>
        </row>
        <row r="112">
          <cell r="C112">
            <v>10030032</v>
          </cell>
          <cell r="D112" t="str">
            <v xml:space="preserve">MAHDMADPUR                                                                                          </v>
          </cell>
          <cell r="E112" t="str">
            <v>MPG</v>
          </cell>
          <cell r="F112" t="str">
            <v>Direct</v>
          </cell>
          <cell r="G112">
            <v>1358.1</v>
          </cell>
          <cell r="H112">
            <v>50683.240000000005</v>
          </cell>
          <cell r="I112">
            <v>1220.1000000000001</v>
          </cell>
          <cell r="J112">
            <v>46639.287566896317</v>
          </cell>
          <cell r="K112">
            <v>14.8</v>
          </cell>
          <cell r="L112">
            <v>1157.9637683880001</v>
          </cell>
          <cell r="M112">
            <v>1234.9000000000001</v>
          </cell>
          <cell r="N112">
            <v>47797.251335284316</v>
          </cell>
          <cell r="O112">
            <v>47797.251335284316</v>
          </cell>
          <cell r="P112">
            <v>0</v>
          </cell>
          <cell r="Q112">
            <v>1157.9637683880001</v>
          </cell>
          <cell r="R112">
            <v>0</v>
          </cell>
          <cell r="S112">
            <v>0</v>
          </cell>
          <cell r="T112">
            <v>0</v>
          </cell>
        </row>
        <row r="113">
          <cell r="C113">
            <v>10030034</v>
          </cell>
          <cell r="D113" t="str">
            <v xml:space="preserve">MUSKIPUR                                                                                            </v>
          </cell>
          <cell r="E113" t="str">
            <v>MPG</v>
          </cell>
          <cell r="F113" t="str">
            <v>Direct</v>
          </cell>
          <cell r="G113">
            <v>1280.3999999999999</v>
          </cell>
          <cell r="H113">
            <v>52025.200000000026</v>
          </cell>
          <cell r="I113">
            <v>1265.49</v>
          </cell>
          <cell r="J113">
            <v>50982.35481543481</v>
          </cell>
          <cell r="K113">
            <v>2.06</v>
          </cell>
          <cell r="L113">
            <v>78.416829216000011</v>
          </cell>
          <cell r="M113">
            <v>1267.55</v>
          </cell>
          <cell r="N113">
            <v>51060.771644650813</v>
          </cell>
          <cell r="O113">
            <v>51060.771644650813</v>
          </cell>
          <cell r="P113">
            <v>0</v>
          </cell>
          <cell r="Q113">
            <v>78.416829216000011</v>
          </cell>
          <cell r="R113">
            <v>0</v>
          </cell>
          <cell r="S113">
            <v>0</v>
          </cell>
          <cell r="T113">
            <v>0</v>
          </cell>
        </row>
        <row r="114">
          <cell r="C114">
            <v>10030035</v>
          </cell>
          <cell r="D114" t="str">
            <v xml:space="preserve">NAYAGAUN                                                                                            </v>
          </cell>
          <cell r="E114" t="str">
            <v>MPG</v>
          </cell>
          <cell r="F114" t="str">
            <v>Direct</v>
          </cell>
          <cell r="G114">
            <v>566.10000000000014</v>
          </cell>
          <cell r="H114">
            <v>22622.660000000003</v>
          </cell>
          <cell r="I114">
            <v>562.93000000000006</v>
          </cell>
          <cell r="J114">
            <v>22556.755243734351</v>
          </cell>
          <cell r="K114">
            <v>2.3899999999999997</v>
          </cell>
          <cell r="L114">
            <v>95.983782048000009</v>
          </cell>
          <cell r="M114">
            <v>565.32000000000005</v>
          </cell>
          <cell r="N114">
            <v>22652.73902578235</v>
          </cell>
          <cell r="O114">
            <v>22622.660000000003</v>
          </cell>
          <cell r="P114">
            <v>0</v>
          </cell>
          <cell r="Q114">
            <v>95.983782048000009</v>
          </cell>
          <cell r="R114">
            <v>30.079025782346434</v>
          </cell>
          <cell r="S114">
            <v>0</v>
          </cell>
          <cell r="T114">
            <v>0</v>
          </cell>
        </row>
        <row r="115">
          <cell r="C115">
            <v>10030037</v>
          </cell>
          <cell r="D115" t="str">
            <v xml:space="preserve">LAUNA                                                                                               </v>
          </cell>
          <cell r="E115" t="str">
            <v>MPG</v>
          </cell>
          <cell r="F115" t="str">
            <v>Direct</v>
          </cell>
          <cell r="G115">
            <v>1232.1999999999998</v>
          </cell>
          <cell r="H115">
            <v>44313.46</v>
          </cell>
          <cell r="I115">
            <v>1236.46</v>
          </cell>
          <cell r="J115">
            <v>45922.948665262396</v>
          </cell>
          <cell r="K115">
            <v>14.09</v>
          </cell>
          <cell r="L115">
            <v>548.7552999720001</v>
          </cell>
          <cell r="M115">
            <v>1250.55</v>
          </cell>
          <cell r="N115">
            <v>46471.703965234396</v>
          </cell>
          <cell r="O115">
            <v>44313.46</v>
          </cell>
          <cell r="P115">
            <v>0</v>
          </cell>
          <cell r="Q115">
            <v>548.7552999720001</v>
          </cell>
          <cell r="R115">
            <v>2158.2439652343965</v>
          </cell>
          <cell r="S115">
            <v>0</v>
          </cell>
          <cell r="T115">
            <v>0</v>
          </cell>
        </row>
        <row r="116">
          <cell r="C116">
            <v>10030038</v>
          </cell>
          <cell r="D116" t="str">
            <v>DULHAR</v>
          </cell>
          <cell r="E116" t="str">
            <v>MPG</v>
          </cell>
          <cell r="F116" t="str">
            <v>Direct</v>
          </cell>
          <cell r="G116">
            <v>419.9</v>
          </cell>
          <cell r="H116">
            <v>17513.499999999996</v>
          </cell>
          <cell r="I116">
            <v>423.97</v>
          </cell>
          <cell r="J116">
            <v>19276.047859616545</v>
          </cell>
          <cell r="K116">
            <v>0</v>
          </cell>
          <cell r="L116">
            <v>0</v>
          </cell>
          <cell r="M116">
            <v>423.97</v>
          </cell>
          <cell r="N116">
            <v>19276.047859616545</v>
          </cell>
          <cell r="O116">
            <v>17513.499999999996</v>
          </cell>
          <cell r="P116">
            <v>0</v>
          </cell>
          <cell r="Q116">
            <v>0</v>
          </cell>
          <cell r="R116">
            <v>1762.5478596165485</v>
          </cell>
          <cell r="S116">
            <v>0</v>
          </cell>
          <cell r="T116">
            <v>0</v>
          </cell>
        </row>
        <row r="117">
          <cell r="C117">
            <v>10030040</v>
          </cell>
          <cell r="D117" t="str">
            <v>Ghorpithiya - Vikas</v>
          </cell>
          <cell r="E117" t="str">
            <v>vlc</v>
          </cell>
          <cell r="F117" t="str">
            <v>Indirect</v>
          </cell>
          <cell r="G117">
            <v>841.65</v>
          </cell>
          <cell r="H117">
            <v>32812.03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32812.03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C118">
            <v>10030041</v>
          </cell>
          <cell r="D118" t="str">
            <v>Akbarnagar - Rakhi</v>
          </cell>
          <cell r="E118" t="str">
            <v>vlc</v>
          </cell>
          <cell r="F118" t="str">
            <v>Indirect</v>
          </cell>
          <cell r="G118">
            <v>1127.6500000000001</v>
          </cell>
          <cell r="H118">
            <v>41488.580000000009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41488.580000000009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C119">
            <v>10030042</v>
          </cell>
          <cell r="D119" t="str">
            <v>Maheshi - Chamcham</v>
          </cell>
          <cell r="E119" t="str">
            <v>vlc</v>
          </cell>
          <cell r="F119" t="str">
            <v>Indirect</v>
          </cell>
          <cell r="G119">
            <v>700</v>
          </cell>
          <cell r="H119">
            <v>25351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25351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C120">
            <v>10030043</v>
          </cell>
          <cell r="D120" t="str">
            <v>Ghorpithiya - Dheeraj</v>
          </cell>
          <cell r="E120" t="str">
            <v>vlc</v>
          </cell>
          <cell r="F120" t="str">
            <v>Indirect</v>
          </cell>
          <cell r="G120">
            <v>5740</v>
          </cell>
          <cell r="H120">
            <v>207878.19999999998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207878.19999999998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C121">
            <v>10030044</v>
          </cell>
          <cell r="D121" t="str">
            <v>Asarganj Chhotki Tola - Akash</v>
          </cell>
          <cell r="E121" t="str">
            <v>vlc</v>
          </cell>
          <cell r="F121" t="str">
            <v>Indirect</v>
          </cell>
          <cell r="G121">
            <v>5810</v>
          </cell>
          <cell r="H121">
            <v>210413.30000000002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210413.30000000002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C122">
            <v>10030045</v>
          </cell>
          <cell r="D122" t="str">
            <v>Manikpur - Golu</v>
          </cell>
          <cell r="E122" t="str">
            <v>vlc</v>
          </cell>
          <cell r="F122" t="str">
            <v>Indirect</v>
          </cell>
          <cell r="G122">
            <v>700</v>
          </cell>
          <cell r="H122">
            <v>25351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25351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C123">
            <v>10030046</v>
          </cell>
          <cell r="D123" t="str">
            <v>Rangaon - Jayram</v>
          </cell>
          <cell r="E123" t="str">
            <v>vlc</v>
          </cell>
          <cell r="F123" t="str">
            <v>Indirect</v>
          </cell>
          <cell r="G123">
            <v>700</v>
          </cell>
          <cell r="H123">
            <v>25351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25351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C124">
            <v>10030047</v>
          </cell>
          <cell r="D124" t="str">
            <v>Karso - Aparajita</v>
          </cell>
          <cell r="E124" t="str">
            <v>vlc</v>
          </cell>
          <cell r="F124" t="str">
            <v>Indirect</v>
          </cell>
          <cell r="G124">
            <v>700</v>
          </cell>
          <cell r="H124">
            <v>25351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25351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>
            <v>10030048</v>
          </cell>
          <cell r="D125" t="str">
            <v>Unchagaon - Niraj</v>
          </cell>
          <cell r="E125" t="str">
            <v>vlc</v>
          </cell>
          <cell r="F125" t="str">
            <v>Indirect</v>
          </cell>
          <cell r="G125">
            <v>700</v>
          </cell>
          <cell r="H125">
            <v>25351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25351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>
            <v>10030049</v>
          </cell>
          <cell r="D126" t="str">
            <v>SRIRAMPUR</v>
          </cell>
          <cell r="E126" t="str">
            <v>MPG</v>
          </cell>
          <cell r="F126" t="str">
            <v>Direct</v>
          </cell>
          <cell r="G126">
            <v>297.90000000000003</v>
          </cell>
          <cell r="H126">
            <v>9031.27</v>
          </cell>
          <cell r="I126">
            <v>293.8</v>
          </cell>
          <cell r="J126">
            <v>9155.8162305720016</v>
          </cell>
          <cell r="K126">
            <v>0</v>
          </cell>
          <cell r="L126">
            <v>0</v>
          </cell>
          <cell r="M126">
            <v>293.8</v>
          </cell>
          <cell r="N126">
            <v>9155.8162305720016</v>
          </cell>
          <cell r="O126">
            <v>9031.27</v>
          </cell>
          <cell r="P126">
            <v>0</v>
          </cell>
          <cell r="Q126">
            <v>0</v>
          </cell>
          <cell r="R126">
            <v>124.54623057200115</v>
          </cell>
          <cell r="S126">
            <v>0</v>
          </cell>
          <cell r="T126">
            <v>0</v>
          </cell>
        </row>
        <row r="127">
          <cell r="C127">
            <v>10030050</v>
          </cell>
          <cell r="D127" t="str">
            <v>PAIN</v>
          </cell>
          <cell r="E127" t="str">
            <v>MPG</v>
          </cell>
          <cell r="F127" t="str">
            <v>Direct</v>
          </cell>
          <cell r="G127">
            <v>483.45000000000005</v>
          </cell>
          <cell r="H127">
            <v>16965.46</v>
          </cell>
          <cell r="I127">
            <v>501.16999999999996</v>
          </cell>
          <cell r="J127">
            <v>18049.093747700404</v>
          </cell>
          <cell r="K127">
            <v>1.79</v>
          </cell>
          <cell r="L127">
            <v>63.182315988000006</v>
          </cell>
          <cell r="M127">
            <v>502.96</v>
          </cell>
          <cell r="N127">
            <v>18112.276063688405</v>
          </cell>
          <cell r="O127">
            <v>16965.46</v>
          </cell>
          <cell r="P127">
            <v>0</v>
          </cell>
          <cell r="Q127">
            <v>63.182315988000006</v>
          </cell>
          <cell r="R127">
            <v>1146.8160636884058</v>
          </cell>
          <cell r="S127">
            <v>0</v>
          </cell>
          <cell r="T127">
            <v>0</v>
          </cell>
        </row>
        <row r="128">
          <cell r="C128">
            <v>10030051</v>
          </cell>
          <cell r="D128" t="str">
            <v>MOTICHAK</v>
          </cell>
          <cell r="E128" t="str">
            <v>MPG</v>
          </cell>
          <cell r="F128" t="str">
            <v>Direct</v>
          </cell>
          <cell r="G128">
            <v>1451.4</v>
          </cell>
          <cell r="H128">
            <v>51535.430000000008</v>
          </cell>
          <cell r="I128">
            <v>1444.5</v>
          </cell>
          <cell r="J128">
            <v>53155.047255274803</v>
          </cell>
          <cell r="K128">
            <v>65.87</v>
          </cell>
          <cell r="L128">
            <v>2376.0862630560005</v>
          </cell>
          <cell r="M128">
            <v>1510.37</v>
          </cell>
          <cell r="N128">
            <v>55531.133518330804</v>
          </cell>
          <cell r="O128">
            <v>51535.430000000008</v>
          </cell>
          <cell r="P128">
            <v>0</v>
          </cell>
          <cell r="Q128">
            <v>2376.0862630560005</v>
          </cell>
          <cell r="R128">
            <v>3995.7035183307962</v>
          </cell>
          <cell r="S128">
            <v>0</v>
          </cell>
          <cell r="T128">
            <v>0</v>
          </cell>
        </row>
        <row r="129">
          <cell r="C129">
            <v>10030053</v>
          </cell>
          <cell r="D129" t="str">
            <v>MIRATTHI</v>
          </cell>
          <cell r="E129" t="str">
            <v>MPG</v>
          </cell>
          <cell r="F129" t="str">
            <v>Direct</v>
          </cell>
          <cell r="G129">
            <v>155.95000000000002</v>
          </cell>
          <cell r="H129">
            <v>5897.5</v>
          </cell>
          <cell r="I129">
            <v>153.1</v>
          </cell>
          <cell r="J129">
            <v>5634.2597552560001</v>
          </cell>
          <cell r="K129">
            <v>0.65</v>
          </cell>
          <cell r="L129">
            <v>24.994898280000005</v>
          </cell>
          <cell r="M129">
            <v>153.75</v>
          </cell>
          <cell r="N129">
            <v>5659.2546535359998</v>
          </cell>
          <cell r="O129">
            <v>5659.2546535359998</v>
          </cell>
          <cell r="P129">
            <v>0</v>
          </cell>
          <cell r="Q129">
            <v>24.994898280000005</v>
          </cell>
          <cell r="R129">
            <v>0</v>
          </cell>
          <cell r="S129">
            <v>0</v>
          </cell>
          <cell r="T129">
            <v>0</v>
          </cell>
        </row>
        <row r="130">
          <cell r="C130">
            <v>10030055</v>
          </cell>
          <cell r="D130" t="str">
            <v>DAULATPUR</v>
          </cell>
          <cell r="E130" t="str">
            <v>MPG</v>
          </cell>
          <cell r="F130" t="str">
            <v>Direct</v>
          </cell>
          <cell r="G130">
            <v>320.54999999999995</v>
          </cell>
          <cell r="H130">
            <v>13127.229999999998</v>
          </cell>
          <cell r="I130">
            <v>315.94</v>
          </cell>
          <cell r="J130">
            <v>13441.707503593712</v>
          </cell>
          <cell r="K130">
            <v>3.370000000000001</v>
          </cell>
          <cell r="L130">
            <v>141.39766620848002</v>
          </cell>
          <cell r="M130">
            <v>319.31</v>
          </cell>
          <cell r="N130">
            <v>13583.105169802193</v>
          </cell>
          <cell r="O130">
            <v>13127.229999999998</v>
          </cell>
          <cell r="P130">
            <v>0</v>
          </cell>
          <cell r="Q130">
            <v>141.39766620848002</v>
          </cell>
          <cell r="R130">
            <v>455.87516980219516</v>
          </cell>
          <cell r="S130">
            <v>0</v>
          </cell>
          <cell r="T130">
            <v>0</v>
          </cell>
        </row>
        <row r="131">
          <cell r="C131">
            <v>10030056</v>
          </cell>
          <cell r="D131" t="str">
            <v>MOHADDIPUR</v>
          </cell>
          <cell r="E131" t="str">
            <v>MPG</v>
          </cell>
          <cell r="F131" t="str">
            <v>Direct</v>
          </cell>
          <cell r="G131">
            <v>57.800000000000004</v>
          </cell>
          <cell r="H131">
            <v>1931.5500000000004</v>
          </cell>
          <cell r="I131">
            <v>171</v>
          </cell>
          <cell r="J131">
            <v>8580.9591750899999</v>
          </cell>
          <cell r="K131">
            <v>1</v>
          </cell>
          <cell r="L131">
            <v>54.93857088</v>
          </cell>
          <cell r="M131">
            <v>172</v>
          </cell>
          <cell r="N131">
            <v>8635.89774597</v>
          </cell>
          <cell r="O131">
            <v>1931.5500000000004</v>
          </cell>
          <cell r="P131">
            <v>0</v>
          </cell>
          <cell r="Q131">
            <v>54.93857088</v>
          </cell>
          <cell r="R131">
            <v>6704.3477459699998</v>
          </cell>
          <cell r="S131">
            <v>0</v>
          </cell>
          <cell r="T131">
            <v>0</v>
          </cell>
        </row>
        <row r="132">
          <cell r="C132">
            <v>10030059</v>
          </cell>
          <cell r="D132" t="str">
            <v>JHAJHA</v>
          </cell>
          <cell r="E132" t="str">
            <v>MPG</v>
          </cell>
          <cell r="F132" t="str">
            <v>Direct</v>
          </cell>
          <cell r="G132">
            <v>455.85</v>
          </cell>
          <cell r="H132">
            <v>18941.689999999999</v>
          </cell>
          <cell r="I132">
            <v>449.92000000000007</v>
          </cell>
          <cell r="J132">
            <v>19535.609848860811</v>
          </cell>
          <cell r="K132">
            <v>2.52</v>
          </cell>
          <cell r="L132">
            <v>98.131560912000012</v>
          </cell>
          <cell r="M132">
            <v>452.44000000000005</v>
          </cell>
          <cell r="N132">
            <v>19633.741409772811</v>
          </cell>
          <cell r="O132">
            <v>18941.689999999999</v>
          </cell>
          <cell r="P132">
            <v>0</v>
          </cell>
          <cell r="Q132">
            <v>98.131560912000012</v>
          </cell>
          <cell r="R132">
            <v>692.05140977281189</v>
          </cell>
          <cell r="S132">
            <v>0</v>
          </cell>
          <cell r="T132">
            <v>0</v>
          </cell>
        </row>
        <row r="133">
          <cell r="C133">
            <v>10030060</v>
          </cell>
          <cell r="D133" t="str">
            <v>KAMARDUH</v>
          </cell>
          <cell r="E133" t="str">
            <v>MPG</v>
          </cell>
          <cell r="F133" t="str">
            <v>Direct</v>
          </cell>
          <cell r="G133">
            <v>785.09999999999991</v>
          </cell>
          <cell r="H133">
            <v>32311.609999999997</v>
          </cell>
          <cell r="I133">
            <v>784.9</v>
          </cell>
          <cell r="J133">
            <v>32302.890314640004</v>
          </cell>
          <cell r="K133">
            <v>7</v>
          </cell>
          <cell r="L133">
            <v>287.50384080000003</v>
          </cell>
          <cell r="M133">
            <v>791.9</v>
          </cell>
          <cell r="N133">
            <v>32590.394155440004</v>
          </cell>
          <cell r="O133">
            <v>32311.609999999997</v>
          </cell>
          <cell r="P133">
            <v>0</v>
          </cell>
          <cell r="Q133">
            <v>287.50384080000003</v>
          </cell>
          <cell r="R133">
            <v>278.78415544000745</v>
          </cell>
          <cell r="S133">
            <v>0</v>
          </cell>
          <cell r="T133">
            <v>0</v>
          </cell>
        </row>
        <row r="134">
          <cell r="C134">
            <v>10030061</v>
          </cell>
          <cell r="D134" t="str">
            <v>BARSABAD</v>
          </cell>
          <cell r="E134" t="str">
            <v>MPG</v>
          </cell>
          <cell r="F134" t="str">
            <v>Direct</v>
          </cell>
          <cell r="G134">
            <v>701.74999999999989</v>
          </cell>
          <cell r="H134">
            <v>23534.910000000003</v>
          </cell>
          <cell r="I134">
            <v>706.61</v>
          </cell>
          <cell r="J134">
            <v>26011.417734244798</v>
          </cell>
          <cell r="K134">
            <v>1.0900000000000001</v>
          </cell>
          <cell r="L134">
            <v>40.71923420400001</v>
          </cell>
          <cell r="M134">
            <v>707.7</v>
          </cell>
          <cell r="N134">
            <v>26052.136968448798</v>
          </cell>
          <cell r="O134">
            <v>23534.910000000003</v>
          </cell>
          <cell r="P134">
            <v>0</v>
          </cell>
          <cell r="Q134">
            <v>40.71923420400001</v>
          </cell>
          <cell r="R134">
            <v>2517.2269684487947</v>
          </cell>
          <cell r="S134">
            <v>0</v>
          </cell>
          <cell r="T134">
            <v>0</v>
          </cell>
        </row>
        <row r="135">
          <cell r="C135">
            <v>10030063</v>
          </cell>
          <cell r="D135" t="str">
            <v>GONAI</v>
          </cell>
          <cell r="E135" t="str">
            <v>MPG</v>
          </cell>
          <cell r="F135" t="str">
            <v>Direct</v>
          </cell>
          <cell r="G135">
            <v>869.9</v>
          </cell>
          <cell r="H135">
            <v>33546.99</v>
          </cell>
          <cell r="I135">
            <v>924.31999999999982</v>
          </cell>
          <cell r="J135">
            <v>35324.532130064028</v>
          </cell>
          <cell r="K135">
            <v>4.4799999999999995</v>
          </cell>
          <cell r="L135">
            <v>165.3093805968</v>
          </cell>
          <cell r="M135">
            <v>928.79999999999984</v>
          </cell>
          <cell r="N135">
            <v>35489.84151066083</v>
          </cell>
          <cell r="O135">
            <v>33546.99</v>
          </cell>
          <cell r="P135">
            <v>0</v>
          </cell>
          <cell r="Q135">
            <v>165.3093805968</v>
          </cell>
          <cell r="R135">
            <v>1942.851510660832</v>
          </cell>
          <cell r="S135">
            <v>0</v>
          </cell>
          <cell r="T135">
            <v>0</v>
          </cell>
        </row>
        <row r="136">
          <cell r="C136">
            <v>10030064</v>
          </cell>
          <cell r="D136" t="str">
            <v>SHIKARITOLA</v>
          </cell>
          <cell r="E136" t="str">
            <v>MPG</v>
          </cell>
          <cell r="F136" t="str">
            <v>Direct</v>
          </cell>
          <cell r="G136">
            <v>873.7</v>
          </cell>
          <cell r="H136">
            <v>33322.92</v>
          </cell>
          <cell r="I136">
            <v>870.33</v>
          </cell>
          <cell r="J136">
            <v>37662.479581459411</v>
          </cell>
          <cell r="K136">
            <v>0</v>
          </cell>
          <cell r="L136">
            <v>0</v>
          </cell>
          <cell r="M136">
            <v>870.33</v>
          </cell>
          <cell r="N136">
            <v>37662.479581459411</v>
          </cell>
          <cell r="O136">
            <v>33322.92</v>
          </cell>
          <cell r="P136">
            <v>0</v>
          </cell>
          <cell r="Q136">
            <v>0</v>
          </cell>
          <cell r="R136">
            <v>4339.5595814594126</v>
          </cell>
          <cell r="S136">
            <v>0</v>
          </cell>
          <cell r="T136">
            <v>0</v>
          </cell>
        </row>
        <row r="137">
          <cell r="C137">
            <v>10030065</v>
          </cell>
          <cell r="D137" t="str">
            <v>BAIKUNTHPUR</v>
          </cell>
          <cell r="E137" t="str">
            <v>MPG</v>
          </cell>
          <cell r="F137" t="str">
            <v>Direct</v>
          </cell>
          <cell r="G137">
            <v>236.3</v>
          </cell>
          <cell r="H137">
            <v>8286.42</v>
          </cell>
          <cell r="I137">
            <v>243.12</v>
          </cell>
          <cell r="J137">
            <v>8175.8050119107993</v>
          </cell>
          <cell r="K137">
            <v>3.09</v>
          </cell>
          <cell r="L137">
            <v>105.09022652040001</v>
          </cell>
          <cell r="M137">
            <v>246.21</v>
          </cell>
          <cell r="N137">
            <v>8280.8952384311997</v>
          </cell>
          <cell r="O137">
            <v>8280.8952384311997</v>
          </cell>
          <cell r="P137">
            <v>0</v>
          </cell>
          <cell r="Q137">
            <v>105.09022652040001</v>
          </cell>
          <cell r="R137">
            <v>0</v>
          </cell>
          <cell r="S137">
            <v>0</v>
          </cell>
          <cell r="T137">
            <v>0</v>
          </cell>
        </row>
        <row r="138">
          <cell r="C138">
            <v>10030066</v>
          </cell>
          <cell r="D138" t="str">
            <v>KAITHA</v>
          </cell>
          <cell r="E138" t="str">
            <v>MPG</v>
          </cell>
          <cell r="F138" t="str">
            <v>Direct</v>
          </cell>
          <cell r="G138">
            <v>2104.9000000000005</v>
          </cell>
          <cell r="H138">
            <v>81259.610000000015</v>
          </cell>
          <cell r="I138">
            <v>1182.5899999999999</v>
          </cell>
          <cell r="J138">
            <v>49400.622661012778</v>
          </cell>
          <cell r="K138">
            <v>939.27</v>
          </cell>
          <cell r="L138">
            <v>37562.351707558802</v>
          </cell>
          <cell r="M138">
            <v>2121.8599999999997</v>
          </cell>
          <cell r="N138">
            <v>86962.97436857158</v>
          </cell>
          <cell r="O138">
            <v>81259.610000000015</v>
          </cell>
          <cell r="P138">
            <v>0</v>
          </cell>
          <cell r="Q138">
            <v>921.8459568582</v>
          </cell>
          <cell r="R138">
            <v>5703.3643685715651</v>
          </cell>
          <cell r="S138">
            <v>0</v>
          </cell>
          <cell r="T138">
            <v>0</v>
          </cell>
        </row>
        <row r="139">
          <cell r="C139">
            <v>10030068</v>
          </cell>
          <cell r="D139" t="str">
            <v>DORAI</v>
          </cell>
          <cell r="E139" t="str">
            <v>MPG</v>
          </cell>
          <cell r="F139" t="str">
            <v>Direct</v>
          </cell>
          <cell r="G139">
            <v>1049.1500000000001</v>
          </cell>
          <cell r="H139">
            <v>38271.019999999997</v>
          </cell>
          <cell r="I139">
            <v>1069.48</v>
          </cell>
          <cell r="J139">
            <v>42351.184215945003</v>
          </cell>
          <cell r="K139">
            <v>42.96</v>
          </cell>
          <cell r="L139">
            <v>1751.3118416193299</v>
          </cell>
          <cell r="M139">
            <v>1112.44</v>
          </cell>
          <cell r="N139">
            <v>44102.496057564334</v>
          </cell>
          <cell r="O139">
            <v>38271.019999999997</v>
          </cell>
          <cell r="P139">
            <v>0</v>
          </cell>
          <cell r="Q139">
            <v>1751.3118416193299</v>
          </cell>
          <cell r="R139">
            <v>5831.4760575643377</v>
          </cell>
          <cell r="S139">
            <v>0</v>
          </cell>
          <cell r="T139">
            <v>0</v>
          </cell>
        </row>
        <row r="140">
          <cell r="C140">
            <v>10030069</v>
          </cell>
          <cell r="D140" t="str">
            <v>RAGHUNATHPUR</v>
          </cell>
          <cell r="E140" t="str">
            <v>vlc</v>
          </cell>
          <cell r="F140" t="str">
            <v>Indirect</v>
          </cell>
          <cell r="G140">
            <v>375.79999999999995</v>
          </cell>
          <cell r="H140">
            <v>12327.599999999999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12327.599999999999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C141">
            <v>10030070</v>
          </cell>
          <cell r="D141" t="str">
            <v>BANGAMA</v>
          </cell>
          <cell r="E141" t="str">
            <v>MPG</v>
          </cell>
          <cell r="F141" t="str">
            <v>Direct</v>
          </cell>
          <cell r="G141">
            <v>729.85</v>
          </cell>
          <cell r="H141">
            <v>29392.58</v>
          </cell>
          <cell r="I141">
            <v>720</v>
          </cell>
          <cell r="J141">
            <v>29719.814652000008</v>
          </cell>
          <cell r="K141">
            <v>14</v>
          </cell>
          <cell r="L141">
            <v>559.56364199999996</v>
          </cell>
          <cell r="M141">
            <v>734</v>
          </cell>
          <cell r="N141">
            <v>30279.378294000009</v>
          </cell>
          <cell r="O141">
            <v>29392.58</v>
          </cell>
          <cell r="P141">
            <v>0</v>
          </cell>
          <cell r="Q141">
            <v>559.56364199999996</v>
          </cell>
          <cell r="R141">
            <v>886.79829400000744</v>
          </cell>
          <cell r="S141">
            <v>0</v>
          </cell>
          <cell r="T141">
            <v>0</v>
          </cell>
        </row>
        <row r="142">
          <cell r="C142">
            <v>10030071</v>
          </cell>
          <cell r="D142" t="str">
            <v>KORIYA</v>
          </cell>
          <cell r="E142" t="str">
            <v>MPG</v>
          </cell>
          <cell r="F142" t="str">
            <v>Direct</v>
          </cell>
          <cell r="G142">
            <v>159.29999999999998</v>
          </cell>
          <cell r="H142">
            <v>6585.99</v>
          </cell>
          <cell r="I142">
            <v>169.9</v>
          </cell>
          <cell r="J142">
            <v>7433.5620584034805</v>
          </cell>
          <cell r="K142">
            <v>0</v>
          </cell>
          <cell r="L142">
            <v>0</v>
          </cell>
          <cell r="M142">
            <v>169.9</v>
          </cell>
          <cell r="N142">
            <v>7433.5620584034805</v>
          </cell>
          <cell r="O142">
            <v>6585.99</v>
          </cell>
          <cell r="P142">
            <v>0</v>
          </cell>
          <cell r="Q142">
            <v>0</v>
          </cell>
          <cell r="R142">
            <v>847.5720584034807</v>
          </cell>
          <cell r="S142">
            <v>0</v>
          </cell>
          <cell r="T142">
            <v>0</v>
          </cell>
        </row>
        <row r="143">
          <cell r="C143">
            <v>10030072</v>
          </cell>
          <cell r="D143" t="str">
            <v>HARLACHAK</v>
          </cell>
          <cell r="E143" t="str">
            <v>MPG</v>
          </cell>
          <cell r="F143" t="str">
            <v>Direct</v>
          </cell>
          <cell r="G143">
            <v>1021.4499999999999</v>
          </cell>
          <cell r="H143">
            <v>38764.820000000007</v>
          </cell>
          <cell r="I143">
            <v>1006.6700000000002</v>
          </cell>
          <cell r="J143">
            <v>38055.732550073306</v>
          </cell>
          <cell r="K143">
            <v>6.76</v>
          </cell>
          <cell r="L143">
            <v>266.71486248000002</v>
          </cell>
          <cell r="M143">
            <v>1013.4300000000002</v>
          </cell>
          <cell r="N143">
            <v>38322.447412553309</v>
          </cell>
          <cell r="O143">
            <v>38322.447412553309</v>
          </cell>
          <cell r="P143">
            <v>0</v>
          </cell>
          <cell r="Q143">
            <v>266.71486248000002</v>
          </cell>
          <cell r="R143">
            <v>0</v>
          </cell>
          <cell r="S143">
            <v>0</v>
          </cell>
          <cell r="T143">
            <v>0</v>
          </cell>
        </row>
        <row r="144">
          <cell r="C144">
            <v>10030074</v>
          </cell>
          <cell r="D144" t="str">
            <v>Jangle Jhakra</v>
          </cell>
          <cell r="E144" t="str">
            <v>MPG</v>
          </cell>
          <cell r="F144" t="str">
            <v>Direct</v>
          </cell>
          <cell r="G144">
            <v>1317.8000000000002</v>
          </cell>
          <cell r="H144">
            <v>51949.159999999996</v>
          </cell>
          <cell r="I144">
            <v>1372.1100000000001</v>
          </cell>
          <cell r="J144">
            <v>56607.538886093345</v>
          </cell>
          <cell r="K144">
            <v>1.78</v>
          </cell>
          <cell r="L144">
            <v>70.677423036000022</v>
          </cell>
          <cell r="M144">
            <v>1373.89</v>
          </cell>
          <cell r="N144">
            <v>56678.216309129348</v>
          </cell>
          <cell r="O144">
            <v>51949.159999999996</v>
          </cell>
          <cell r="P144">
            <v>0</v>
          </cell>
          <cell r="Q144">
            <v>70.677423036000022</v>
          </cell>
          <cell r="R144">
            <v>4729.0563091293516</v>
          </cell>
          <cell r="S144">
            <v>0</v>
          </cell>
          <cell r="T144">
            <v>0</v>
          </cell>
        </row>
        <row r="145">
          <cell r="C145">
            <v>10030075</v>
          </cell>
          <cell r="D145" t="str">
            <v>KATAHRA</v>
          </cell>
          <cell r="E145" t="str">
            <v>MPG</v>
          </cell>
          <cell r="F145" t="str">
            <v>Direct</v>
          </cell>
          <cell r="G145">
            <v>263.64999999999998</v>
          </cell>
          <cell r="H145">
            <v>10734.11</v>
          </cell>
          <cell r="I145">
            <v>286.20999999999998</v>
          </cell>
          <cell r="J145">
            <v>12097.535706116341</v>
          </cell>
          <cell r="K145">
            <v>0</v>
          </cell>
          <cell r="L145">
            <v>0</v>
          </cell>
          <cell r="M145">
            <v>286.20999999999998</v>
          </cell>
          <cell r="N145">
            <v>12097.535706116341</v>
          </cell>
          <cell r="O145">
            <v>10734.11</v>
          </cell>
          <cell r="P145">
            <v>0</v>
          </cell>
          <cell r="Q145">
            <v>0</v>
          </cell>
          <cell r="R145">
            <v>1363.4257061163407</v>
          </cell>
          <cell r="S145">
            <v>0</v>
          </cell>
          <cell r="T145">
            <v>0</v>
          </cell>
        </row>
        <row r="146">
          <cell r="C146">
            <v>10030077</v>
          </cell>
          <cell r="D146" t="str">
            <v>KARHARIA V</v>
          </cell>
          <cell r="E146" t="str">
            <v>vlc</v>
          </cell>
          <cell r="F146" t="str">
            <v>Indirect</v>
          </cell>
          <cell r="G146">
            <v>260.34999999999997</v>
          </cell>
          <cell r="H146">
            <v>8897.0999999999985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8897.0999999999985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</row>
        <row r="147">
          <cell r="C147">
            <v>10030078</v>
          </cell>
          <cell r="D147" t="str">
            <v>BALADEV ITAHARI</v>
          </cell>
          <cell r="E147" t="str">
            <v>MPG</v>
          </cell>
          <cell r="F147" t="str">
            <v>Direct</v>
          </cell>
          <cell r="G147">
            <v>488.8</v>
          </cell>
          <cell r="H147">
            <v>17670.099999999999</v>
          </cell>
          <cell r="I147">
            <v>500.24</v>
          </cell>
          <cell r="J147">
            <v>20158.191039000507</v>
          </cell>
          <cell r="K147">
            <v>0</v>
          </cell>
          <cell r="L147">
            <v>0</v>
          </cell>
          <cell r="M147">
            <v>500.24</v>
          </cell>
          <cell r="N147">
            <v>20158.191039000507</v>
          </cell>
          <cell r="O147">
            <v>17670.099999999999</v>
          </cell>
          <cell r="P147">
            <v>0</v>
          </cell>
          <cell r="Q147">
            <v>0</v>
          </cell>
          <cell r="R147">
            <v>2488.0910390005083</v>
          </cell>
          <cell r="S147">
            <v>0</v>
          </cell>
          <cell r="T147">
            <v>0</v>
          </cell>
        </row>
        <row r="148">
          <cell r="C148">
            <v>10030079</v>
          </cell>
          <cell r="D148" t="str">
            <v>GOMUKH KODAND</v>
          </cell>
          <cell r="E148" t="str">
            <v>vlc</v>
          </cell>
          <cell r="F148" t="str">
            <v>Indirect</v>
          </cell>
          <cell r="G148">
            <v>474.40000000000003</v>
          </cell>
          <cell r="H148">
            <v>16826.62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16826.62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49">
          <cell r="C149">
            <v>10030080</v>
          </cell>
          <cell r="D149" t="str">
            <v>PAHALANPUR</v>
          </cell>
          <cell r="E149" t="str">
            <v>MPG</v>
          </cell>
          <cell r="F149" t="str">
            <v>Direct</v>
          </cell>
          <cell r="G149">
            <v>772.75000000000011</v>
          </cell>
          <cell r="H149">
            <v>29677.649999999994</v>
          </cell>
          <cell r="I149">
            <v>801.92</v>
          </cell>
          <cell r="J149">
            <v>29775.204737722845</v>
          </cell>
          <cell r="K149">
            <v>0</v>
          </cell>
          <cell r="L149">
            <v>0</v>
          </cell>
          <cell r="M149">
            <v>801.92</v>
          </cell>
          <cell r="N149">
            <v>29775.204737722845</v>
          </cell>
          <cell r="O149">
            <v>29677.649999999994</v>
          </cell>
          <cell r="P149">
            <v>0</v>
          </cell>
          <cell r="Q149">
            <v>0</v>
          </cell>
          <cell r="R149">
            <v>97.554737722850405</v>
          </cell>
          <cell r="S149">
            <v>0</v>
          </cell>
          <cell r="T149">
            <v>0</v>
          </cell>
        </row>
        <row r="150">
          <cell r="C150">
            <v>10030081</v>
          </cell>
          <cell r="D150" t="str">
            <v>TETARIYA</v>
          </cell>
          <cell r="E150" t="str">
            <v>vlc</v>
          </cell>
          <cell r="F150" t="str">
            <v>Indirect</v>
          </cell>
          <cell r="G150">
            <v>212.35000000000002</v>
          </cell>
          <cell r="H150">
            <v>7349.45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7349.45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1">
          <cell r="C151">
            <v>10030082</v>
          </cell>
          <cell r="D151" t="str">
            <v>RAMBRAN YADAV</v>
          </cell>
          <cell r="E151" t="str">
            <v>MPG</v>
          </cell>
          <cell r="F151" t="str">
            <v>Direct</v>
          </cell>
          <cell r="G151">
            <v>170.85</v>
          </cell>
          <cell r="H151">
            <v>6055</v>
          </cell>
          <cell r="I151">
            <v>201.89</v>
          </cell>
          <cell r="J151">
            <v>6957.514211353202</v>
          </cell>
          <cell r="K151">
            <v>0</v>
          </cell>
          <cell r="L151">
            <v>0</v>
          </cell>
          <cell r="M151">
            <v>201.89</v>
          </cell>
          <cell r="N151">
            <v>6957.514211353202</v>
          </cell>
          <cell r="O151">
            <v>6055</v>
          </cell>
          <cell r="P151">
            <v>0</v>
          </cell>
          <cell r="Q151">
            <v>0</v>
          </cell>
          <cell r="R151">
            <v>902.51421135320197</v>
          </cell>
          <cell r="S151">
            <v>0</v>
          </cell>
          <cell r="T151">
            <v>0</v>
          </cell>
        </row>
        <row r="152">
          <cell r="C152">
            <v>10030084</v>
          </cell>
          <cell r="D152" t="str">
            <v>Gomukh Beldra</v>
          </cell>
          <cell r="E152" t="str">
            <v>MPG</v>
          </cell>
          <cell r="F152" t="str">
            <v>Direct</v>
          </cell>
          <cell r="G152">
            <v>200.10000000000002</v>
          </cell>
          <cell r="H152">
            <v>6476.2900000000018</v>
          </cell>
          <cell r="I152">
            <v>180</v>
          </cell>
          <cell r="J152">
            <v>6652.9900799999996</v>
          </cell>
          <cell r="K152">
            <v>0</v>
          </cell>
          <cell r="L152">
            <v>0</v>
          </cell>
          <cell r="M152">
            <v>180</v>
          </cell>
          <cell r="N152">
            <v>6652.9900799999996</v>
          </cell>
          <cell r="O152">
            <v>6476.2900000000018</v>
          </cell>
          <cell r="P152">
            <v>0</v>
          </cell>
          <cell r="Q152">
            <v>0</v>
          </cell>
          <cell r="R152">
            <v>176.7000799999978</v>
          </cell>
          <cell r="S152">
            <v>0</v>
          </cell>
          <cell r="T152">
            <v>0</v>
          </cell>
        </row>
        <row r="153">
          <cell r="C153">
            <v>10030085</v>
          </cell>
          <cell r="D153" t="str">
            <v>Gomukh Chandanpura</v>
          </cell>
          <cell r="E153" t="str">
            <v>MPG</v>
          </cell>
          <cell r="F153" t="str">
            <v>Direct</v>
          </cell>
          <cell r="G153">
            <v>392.7</v>
          </cell>
          <cell r="H153">
            <v>14514.520000000004</v>
          </cell>
          <cell r="I153">
            <v>344.01</v>
          </cell>
          <cell r="J153">
            <v>14539.262876424002</v>
          </cell>
          <cell r="K153">
            <v>0</v>
          </cell>
          <cell r="L153">
            <v>0</v>
          </cell>
          <cell r="M153">
            <v>344.01</v>
          </cell>
          <cell r="N153">
            <v>14539.262876424002</v>
          </cell>
          <cell r="O153">
            <v>14514.520000000004</v>
          </cell>
          <cell r="P153">
            <v>0</v>
          </cell>
          <cell r="Q153">
            <v>0</v>
          </cell>
          <cell r="R153">
            <v>24.742876423997586</v>
          </cell>
          <cell r="S153">
            <v>0</v>
          </cell>
          <cell r="T153">
            <v>0</v>
          </cell>
        </row>
        <row r="154">
          <cell r="C154">
            <v>10030086</v>
          </cell>
          <cell r="D154" t="str">
            <v>BANOULI</v>
          </cell>
          <cell r="E154" t="str">
            <v>MPG</v>
          </cell>
          <cell r="F154" t="str">
            <v>Direct</v>
          </cell>
          <cell r="G154">
            <v>2.5499999999999998</v>
          </cell>
          <cell r="H154">
            <v>96.95</v>
          </cell>
          <cell r="I154">
            <v>2.73</v>
          </cell>
          <cell r="J154">
            <v>102.36829802760001</v>
          </cell>
          <cell r="K154">
            <v>0</v>
          </cell>
          <cell r="L154">
            <v>0</v>
          </cell>
          <cell r="M154">
            <v>2.73</v>
          </cell>
          <cell r="N154">
            <v>102.36829802760001</v>
          </cell>
          <cell r="O154">
            <v>96.95</v>
          </cell>
          <cell r="P154">
            <v>0</v>
          </cell>
          <cell r="Q154">
            <v>0</v>
          </cell>
          <cell r="R154">
            <v>5.4182980276000023</v>
          </cell>
          <cell r="S154">
            <v>0</v>
          </cell>
          <cell r="T154">
            <v>0</v>
          </cell>
        </row>
        <row r="155">
          <cell r="C155">
            <v>10030087</v>
          </cell>
          <cell r="D155" t="str">
            <v>DARIYAPUR R</v>
          </cell>
          <cell r="E155" t="str">
            <v>MPG</v>
          </cell>
          <cell r="F155" t="str">
            <v>Direct</v>
          </cell>
          <cell r="G155">
            <v>172.10000000000002</v>
          </cell>
          <cell r="H155">
            <v>6410.47</v>
          </cell>
          <cell r="I155">
            <v>170</v>
          </cell>
          <cell r="J155">
            <v>6418.0195199999998</v>
          </cell>
          <cell r="K155">
            <v>0</v>
          </cell>
          <cell r="L155">
            <v>0</v>
          </cell>
          <cell r="M155">
            <v>170</v>
          </cell>
          <cell r="N155">
            <v>6418.0195199999998</v>
          </cell>
          <cell r="O155">
            <v>6410.47</v>
          </cell>
          <cell r="P155">
            <v>0</v>
          </cell>
          <cell r="Q155">
            <v>0</v>
          </cell>
          <cell r="R155">
            <v>7.5495199999995748</v>
          </cell>
          <cell r="S155">
            <v>0</v>
          </cell>
          <cell r="T155">
            <v>0</v>
          </cell>
        </row>
        <row r="156">
          <cell r="C156">
            <v>10030088</v>
          </cell>
          <cell r="D156" t="str">
            <v>MUZAFFARGANJ</v>
          </cell>
          <cell r="E156" t="str">
            <v>MPG</v>
          </cell>
          <cell r="F156" t="str">
            <v>Direct</v>
          </cell>
          <cell r="G156">
            <v>204.64999999999998</v>
          </cell>
          <cell r="H156">
            <v>7809.3400000000011</v>
          </cell>
          <cell r="I156">
            <v>198</v>
          </cell>
          <cell r="J156">
            <v>7893.2941560000017</v>
          </cell>
          <cell r="K156">
            <v>0</v>
          </cell>
          <cell r="L156">
            <v>0</v>
          </cell>
          <cell r="M156">
            <v>198</v>
          </cell>
          <cell r="N156">
            <v>7893.2941560000017</v>
          </cell>
          <cell r="O156">
            <v>7809.3400000000011</v>
          </cell>
          <cell r="P156">
            <v>0</v>
          </cell>
          <cell r="Q156">
            <v>0</v>
          </cell>
          <cell r="R156">
            <v>83.954156000000694</v>
          </cell>
          <cell r="S156">
            <v>0</v>
          </cell>
          <cell r="T156">
            <v>0</v>
          </cell>
        </row>
        <row r="157">
          <cell r="C157">
            <v>10030089</v>
          </cell>
          <cell r="D157" t="str">
            <v>SARHA</v>
          </cell>
          <cell r="E157" t="str">
            <v>MPG</v>
          </cell>
          <cell r="F157" t="str">
            <v>Direct</v>
          </cell>
          <cell r="G157">
            <v>457.05</v>
          </cell>
          <cell r="H157">
            <v>18585.54</v>
          </cell>
          <cell r="I157">
            <v>451.08</v>
          </cell>
          <cell r="J157">
            <v>18195.555405058985</v>
          </cell>
          <cell r="K157">
            <v>0</v>
          </cell>
          <cell r="L157">
            <v>0</v>
          </cell>
          <cell r="M157">
            <v>451.08</v>
          </cell>
          <cell r="N157">
            <v>18195.555405058985</v>
          </cell>
          <cell r="O157">
            <v>18195.555405058985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</row>
        <row r="158">
          <cell r="C158">
            <v>10030090</v>
          </cell>
          <cell r="D158" t="str">
            <v>KUSUMBHA</v>
          </cell>
          <cell r="E158" t="str">
            <v>MPG</v>
          </cell>
          <cell r="F158" t="str">
            <v>Direct</v>
          </cell>
          <cell r="G158">
            <v>38.6</v>
          </cell>
          <cell r="H158">
            <v>1365.6399999999999</v>
          </cell>
          <cell r="I158">
            <v>36.729999999999997</v>
          </cell>
          <cell r="J158">
            <v>1339.679533104</v>
          </cell>
          <cell r="K158">
            <v>0</v>
          </cell>
          <cell r="L158">
            <v>0</v>
          </cell>
          <cell r="M158">
            <v>36.729999999999997</v>
          </cell>
          <cell r="N158">
            <v>1339.679533104</v>
          </cell>
          <cell r="O158">
            <v>1339.679533104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59">
          <cell r="C159">
            <v>10040001</v>
          </cell>
          <cell r="D159" t="str">
            <v>GOMUKH GANGA SAHYOG</v>
          </cell>
          <cell r="E159" t="str">
            <v>vlc</v>
          </cell>
          <cell r="F159" t="str">
            <v>Indirect</v>
          </cell>
          <cell r="G159">
            <v>436.9</v>
          </cell>
          <cell r="H159">
            <v>15627.91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15627.91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</row>
        <row r="160">
          <cell r="C160">
            <v>10060002</v>
          </cell>
          <cell r="D160" t="str">
            <v>MANO</v>
          </cell>
          <cell r="E160" t="str">
            <v>vlc</v>
          </cell>
          <cell r="F160" t="str">
            <v>Indirect</v>
          </cell>
          <cell r="G160">
            <v>1517.6</v>
          </cell>
          <cell r="H160">
            <v>57313.330000000009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57313.330000000009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</row>
        <row r="161">
          <cell r="C161">
            <v>10060003</v>
          </cell>
          <cell r="D161" t="str">
            <v>PURANI SALEMPUR</v>
          </cell>
          <cell r="E161" t="str">
            <v>vlc</v>
          </cell>
          <cell r="F161" t="str">
            <v>Indirect</v>
          </cell>
          <cell r="G161">
            <v>1674.2999999999997</v>
          </cell>
          <cell r="H161">
            <v>61466.44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61466.44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C162">
            <v>10060004</v>
          </cell>
          <cell r="D162" t="str">
            <v>DHANDHHA</v>
          </cell>
          <cell r="E162" t="str">
            <v>vlc</v>
          </cell>
          <cell r="F162" t="str">
            <v>Indirect</v>
          </cell>
          <cell r="G162">
            <v>2910.4999999999995</v>
          </cell>
          <cell r="H162">
            <v>110330.23999999999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110330.23999999999</v>
          </cell>
          <cell r="P162">
            <v>0</v>
          </cell>
          <cell r="Q162">
            <v>0</v>
          </cell>
          <cell r="R162">
            <v>0</v>
          </cell>
          <cell r="S162">
            <v>6500</v>
          </cell>
          <cell r="T162">
            <v>0</v>
          </cell>
        </row>
        <row r="163">
          <cell r="C163">
            <v>10060005</v>
          </cell>
          <cell r="D163" t="str">
            <v>CHALISH</v>
          </cell>
          <cell r="E163" t="str">
            <v>vlc</v>
          </cell>
          <cell r="F163" t="str">
            <v>Indirect</v>
          </cell>
          <cell r="G163">
            <v>1184.7</v>
          </cell>
          <cell r="H163">
            <v>45037.999999999993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45037.999999999993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4">
          <cell r="C164">
            <v>10060007</v>
          </cell>
          <cell r="D164" t="str">
            <v>MAA BHAGWATI</v>
          </cell>
          <cell r="E164" t="str">
            <v>vlc</v>
          </cell>
          <cell r="F164" t="str">
            <v>Indirect</v>
          </cell>
          <cell r="G164">
            <v>516.99999999999989</v>
          </cell>
          <cell r="H164">
            <v>18950.48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18950.48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829.90023870967639</v>
          </cell>
        </row>
        <row r="165">
          <cell r="C165">
            <v>10060008</v>
          </cell>
          <cell r="D165" t="str">
            <v>MAIDINICHOKI</v>
          </cell>
          <cell r="E165" t="str">
            <v>vlc</v>
          </cell>
          <cell r="F165" t="str">
            <v>Indirect</v>
          </cell>
          <cell r="G165">
            <v>462.59999999999997</v>
          </cell>
          <cell r="H165">
            <v>16862.989999999998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16862.989999999998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6">
          <cell r="C166">
            <v>10060009</v>
          </cell>
          <cell r="D166" t="str">
            <v>GOMUKH JAJWARA</v>
          </cell>
          <cell r="E166" t="str">
            <v>vlc</v>
          </cell>
          <cell r="F166" t="str">
            <v>Indirect</v>
          </cell>
          <cell r="G166">
            <v>1857.3000000000002</v>
          </cell>
          <cell r="H166">
            <v>73698.3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73698.3</v>
          </cell>
          <cell r="P166">
            <v>0</v>
          </cell>
          <cell r="Q166">
            <v>0</v>
          </cell>
          <cell r="R166">
            <v>0</v>
          </cell>
          <cell r="S166">
            <v>23000</v>
          </cell>
          <cell r="T166">
            <v>0</v>
          </cell>
        </row>
        <row r="167">
          <cell r="C167">
            <v>10060010</v>
          </cell>
          <cell r="D167" t="str">
            <v>Gomukh ID Sonvarsha</v>
          </cell>
          <cell r="E167" t="str">
            <v>vlc</v>
          </cell>
          <cell r="F167" t="str">
            <v>Indirect</v>
          </cell>
          <cell r="G167">
            <v>2075.5</v>
          </cell>
          <cell r="H167">
            <v>80776.98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80776.98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8">
          <cell r="C168">
            <v>10060011</v>
          </cell>
          <cell r="D168" t="str">
            <v>BALHAPUR</v>
          </cell>
          <cell r="E168" t="str">
            <v>MPG</v>
          </cell>
          <cell r="F168" t="str">
            <v>Direct</v>
          </cell>
          <cell r="G168">
            <v>440.3</v>
          </cell>
          <cell r="H168">
            <v>20617.87</v>
          </cell>
          <cell r="I168">
            <v>448.58000000000004</v>
          </cell>
          <cell r="J168">
            <v>20554.726741282106</v>
          </cell>
          <cell r="K168">
            <v>9.9999999999999982</v>
          </cell>
          <cell r="L168">
            <v>444.77947707106</v>
          </cell>
          <cell r="M168">
            <v>458.58000000000004</v>
          </cell>
          <cell r="N168">
            <v>20999.506218353166</v>
          </cell>
          <cell r="O168">
            <v>20617.87</v>
          </cell>
          <cell r="P168">
            <v>0</v>
          </cell>
          <cell r="Q168">
            <v>444.77947707106</v>
          </cell>
          <cell r="R168">
            <v>381.63621835316735</v>
          </cell>
          <cell r="S168">
            <v>0</v>
          </cell>
          <cell r="T168">
            <v>0</v>
          </cell>
        </row>
        <row r="169">
          <cell r="C169">
            <v>10060014</v>
          </cell>
          <cell r="D169" t="str">
            <v>Gomukh ID Husaina</v>
          </cell>
          <cell r="E169" t="str">
            <v>vlc</v>
          </cell>
          <cell r="F169" t="str">
            <v>Indirect</v>
          </cell>
          <cell r="G169">
            <v>118.00000000000001</v>
          </cell>
          <cell r="H169">
            <v>4581.2800000000007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4581.2800000000007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904.20975483870961</v>
          </cell>
        </row>
        <row r="170">
          <cell r="C170">
            <v>10060015</v>
          </cell>
          <cell r="D170" t="str">
            <v>Gomukh ID Prarotol</v>
          </cell>
          <cell r="E170" t="str">
            <v>vlc</v>
          </cell>
          <cell r="F170" t="str">
            <v>Indirect</v>
          </cell>
          <cell r="G170">
            <v>10.3</v>
          </cell>
          <cell r="H170">
            <v>366.39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366.39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34.779445161290312</v>
          </cell>
        </row>
        <row r="171">
          <cell r="C171">
            <v>10060020</v>
          </cell>
          <cell r="D171" t="str">
            <v>MAA SARDE</v>
          </cell>
          <cell r="E171" t="str">
            <v>vlc</v>
          </cell>
          <cell r="F171" t="str">
            <v>Indirect</v>
          </cell>
          <cell r="G171">
            <v>1084.0999999999999</v>
          </cell>
          <cell r="H171">
            <v>39773.469999999994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39773.469999999994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67.531451612903112</v>
          </cell>
        </row>
        <row r="172">
          <cell r="C172">
            <v>10060021</v>
          </cell>
          <cell r="D172" t="str">
            <v>PURANI DIH</v>
          </cell>
          <cell r="E172" t="str">
            <v>vlc</v>
          </cell>
          <cell r="F172" t="str">
            <v>Indirect</v>
          </cell>
          <cell r="G172">
            <v>314</v>
          </cell>
          <cell r="H172">
            <v>12009.630000000001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12009.630000000001</v>
          </cell>
          <cell r="P172">
            <v>0</v>
          </cell>
          <cell r="Q172">
            <v>0</v>
          </cell>
          <cell r="R172">
            <v>0</v>
          </cell>
          <cell r="S172">
            <v>9391</v>
          </cell>
          <cell r="T172">
            <v>2618.4919161290313</v>
          </cell>
        </row>
        <row r="173">
          <cell r="C173">
            <v>10060022</v>
          </cell>
          <cell r="D173" t="str">
            <v>Farda Ravi Tola</v>
          </cell>
          <cell r="E173" t="str">
            <v>MPG</v>
          </cell>
          <cell r="F173" t="str">
            <v>Direct</v>
          </cell>
          <cell r="G173">
            <v>789.80000000000007</v>
          </cell>
          <cell r="H173">
            <v>28955.75</v>
          </cell>
          <cell r="I173">
            <v>788.19999999999993</v>
          </cell>
          <cell r="J173">
            <v>29469.396389400004</v>
          </cell>
          <cell r="K173">
            <v>15.099999999999998</v>
          </cell>
          <cell r="L173">
            <v>570.19070196000018</v>
          </cell>
          <cell r="M173">
            <v>803.3</v>
          </cell>
          <cell r="N173">
            <v>30039.587091360005</v>
          </cell>
          <cell r="O173">
            <v>28955.75</v>
          </cell>
          <cell r="P173">
            <v>0</v>
          </cell>
          <cell r="Q173">
            <v>570.19070196000018</v>
          </cell>
          <cell r="R173">
            <v>1083.8370913600047</v>
          </cell>
          <cell r="S173">
            <v>26764</v>
          </cell>
          <cell r="T173">
            <v>1621.2426599999997</v>
          </cell>
        </row>
        <row r="174">
          <cell r="C174">
            <v>10060023</v>
          </cell>
          <cell r="D174" t="str">
            <v>Gomukh Puranidih 2</v>
          </cell>
          <cell r="E174" t="str">
            <v>vlc</v>
          </cell>
          <cell r="F174" t="str">
            <v>Indirect</v>
          </cell>
          <cell r="G174">
            <v>100.89999999999998</v>
          </cell>
          <cell r="H174">
            <v>4696.7500000000009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4696.7500000000009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</row>
        <row r="175">
          <cell r="C175">
            <v>10060026</v>
          </cell>
          <cell r="D175" t="str">
            <v>Gomukh Arma</v>
          </cell>
          <cell r="E175" t="str">
            <v>MPG</v>
          </cell>
          <cell r="F175" t="str">
            <v>Direct</v>
          </cell>
          <cell r="G175">
            <v>443.2999999999999</v>
          </cell>
          <cell r="H175">
            <v>18044.07</v>
          </cell>
          <cell r="I175">
            <v>419.29999999999995</v>
          </cell>
          <cell r="J175">
            <v>17878.50699989</v>
          </cell>
          <cell r="K175">
            <v>1.75</v>
          </cell>
          <cell r="L175">
            <v>79.242753636000018</v>
          </cell>
          <cell r="M175">
            <v>421.04999999999995</v>
          </cell>
          <cell r="N175">
            <v>17957.749753526001</v>
          </cell>
          <cell r="O175">
            <v>17957.749753526001</v>
          </cell>
          <cell r="P175">
            <v>0</v>
          </cell>
          <cell r="Q175">
            <v>79.242753636000018</v>
          </cell>
          <cell r="R175">
            <v>0</v>
          </cell>
          <cell r="S175">
            <v>0</v>
          </cell>
          <cell r="T175">
            <v>0</v>
          </cell>
        </row>
        <row r="176">
          <cell r="C176">
            <v>10060027</v>
          </cell>
          <cell r="D176" t="str">
            <v>Singhchak</v>
          </cell>
          <cell r="E176" t="str">
            <v>MPG</v>
          </cell>
          <cell r="F176" t="str">
            <v>Direct</v>
          </cell>
          <cell r="G176">
            <v>1457.6</v>
          </cell>
          <cell r="H176">
            <v>61619.630000000019</v>
          </cell>
          <cell r="I176">
            <v>1463.9400000000005</v>
          </cell>
          <cell r="J176">
            <v>62202.410326935533</v>
          </cell>
          <cell r="K176">
            <v>20.8</v>
          </cell>
          <cell r="L176">
            <v>884.92772808000007</v>
          </cell>
          <cell r="M176">
            <v>1484.7400000000005</v>
          </cell>
          <cell r="N176">
            <v>63087.338055015534</v>
          </cell>
          <cell r="O176">
            <v>61619.630000000019</v>
          </cell>
          <cell r="P176">
            <v>0</v>
          </cell>
          <cell r="Q176">
            <v>884.92772808000007</v>
          </cell>
          <cell r="R176">
            <v>1467.7080550155151</v>
          </cell>
          <cell r="S176">
            <v>0</v>
          </cell>
          <cell r="T176">
            <v>0</v>
          </cell>
        </row>
        <row r="177">
          <cell r="C177">
            <v>10060028</v>
          </cell>
          <cell r="D177" t="str">
            <v>MAHA-LAXMI</v>
          </cell>
          <cell r="E177" t="str">
            <v>vlc</v>
          </cell>
          <cell r="F177" t="str">
            <v>Indirect</v>
          </cell>
          <cell r="G177">
            <v>719.6</v>
          </cell>
          <cell r="H177">
            <v>25614.670000000006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25614.670000000006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</row>
        <row r="178">
          <cell r="C178">
            <v>10060029</v>
          </cell>
          <cell r="D178" t="str">
            <v>PAWAI</v>
          </cell>
          <cell r="E178" t="str">
            <v>MPG</v>
          </cell>
          <cell r="F178" t="str">
            <v>Direct</v>
          </cell>
          <cell r="G178">
            <v>725.1</v>
          </cell>
          <cell r="H178">
            <v>31222.190000000002</v>
          </cell>
          <cell r="I178">
            <v>741.86000000000024</v>
          </cell>
          <cell r="J178">
            <v>31528.735095095326</v>
          </cell>
          <cell r="K178">
            <v>10.559999999999999</v>
          </cell>
          <cell r="L178">
            <v>542.11825219033005</v>
          </cell>
          <cell r="M178">
            <v>752.42000000000019</v>
          </cell>
          <cell r="N178">
            <v>32070.853347285654</v>
          </cell>
          <cell r="O178">
            <v>31222.190000000002</v>
          </cell>
          <cell r="P178">
            <v>0</v>
          </cell>
          <cell r="Q178">
            <v>542.11825219033005</v>
          </cell>
          <cell r="R178">
            <v>848.66334728565198</v>
          </cell>
          <cell r="S178">
            <v>0</v>
          </cell>
          <cell r="T178">
            <v>116.89469999999945</v>
          </cell>
        </row>
        <row r="179">
          <cell r="C179">
            <v>10060031</v>
          </cell>
          <cell r="D179" t="str">
            <v xml:space="preserve">LAKHOCHAK                                                                                           </v>
          </cell>
          <cell r="E179" t="str">
            <v>MPG</v>
          </cell>
          <cell r="F179" t="str">
            <v>Direct</v>
          </cell>
          <cell r="G179">
            <v>248.60000000000002</v>
          </cell>
          <cell r="H179">
            <v>9861.57</v>
          </cell>
          <cell r="I179">
            <v>248.77999999999997</v>
          </cell>
          <cell r="J179">
            <v>9919.9786621698022</v>
          </cell>
          <cell r="K179">
            <v>0</v>
          </cell>
          <cell r="L179">
            <v>0</v>
          </cell>
          <cell r="M179">
            <v>248.77999999999997</v>
          </cell>
          <cell r="N179">
            <v>9919.9786621698022</v>
          </cell>
          <cell r="O179">
            <v>9861.57</v>
          </cell>
          <cell r="P179">
            <v>0</v>
          </cell>
          <cell r="Q179">
            <v>0</v>
          </cell>
          <cell r="R179">
            <v>58.408662169802483</v>
          </cell>
          <cell r="S179">
            <v>0</v>
          </cell>
          <cell r="T179">
            <v>184.32</v>
          </cell>
        </row>
        <row r="180">
          <cell r="C180">
            <v>10060032</v>
          </cell>
          <cell r="D180" t="str">
            <v xml:space="preserve">BATTA RAMPUR                                                                                        </v>
          </cell>
          <cell r="E180" t="str">
            <v>MPG</v>
          </cell>
          <cell r="F180" t="str">
            <v>Direct</v>
          </cell>
          <cell r="G180">
            <v>2888.5</v>
          </cell>
          <cell r="H180">
            <v>136920.72</v>
          </cell>
          <cell r="I180">
            <v>2890.9900000000007</v>
          </cell>
          <cell r="J180">
            <v>138798.42438653891</v>
          </cell>
          <cell r="K180">
            <v>26.62</v>
          </cell>
          <cell r="L180">
            <v>1679.7608959042002</v>
          </cell>
          <cell r="M180">
            <v>2917.6100000000006</v>
          </cell>
          <cell r="N180">
            <v>140478.18528244313</v>
          </cell>
          <cell r="O180">
            <v>136920.72</v>
          </cell>
          <cell r="P180">
            <v>0</v>
          </cell>
          <cell r="Q180">
            <v>1679.7608959042002</v>
          </cell>
          <cell r="R180">
            <v>3557.465282443125</v>
          </cell>
          <cell r="S180">
            <v>0</v>
          </cell>
          <cell r="T180">
            <v>0</v>
          </cell>
        </row>
        <row r="181">
          <cell r="C181">
            <v>10060049</v>
          </cell>
          <cell r="D181" t="str">
            <v>MALIYA</v>
          </cell>
          <cell r="E181" t="str">
            <v>MPG</v>
          </cell>
          <cell r="F181" t="str">
            <v>Direct</v>
          </cell>
          <cell r="G181">
            <v>606.40000000000009</v>
          </cell>
          <cell r="H181">
            <v>25964.03</v>
          </cell>
          <cell r="I181">
            <v>600.78</v>
          </cell>
          <cell r="J181">
            <v>26247.87517368211</v>
          </cell>
          <cell r="K181">
            <v>9.1</v>
          </cell>
          <cell r="L181">
            <v>408.2682617552</v>
          </cell>
          <cell r="M181">
            <v>609.88</v>
          </cell>
          <cell r="N181">
            <v>26656.143435437312</v>
          </cell>
          <cell r="O181">
            <v>25964.03</v>
          </cell>
          <cell r="P181">
            <v>0</v>
          </cell>
          <cell r="Q181">
            <v>408.2682617552</v>
          </cell>
          <cell r="R181">
            <v>692.11343543731346</v>
          </cell>
          <cell r="S181">
            <v>0</v>
          </cell>
          <cell r="T181">
            <v>0</v>
          </cell>
        </row>
        <row r="182">
          <cell r="C182">
            <v>10060050</v>
          </cell>
          <cell r="D182" t="str">
            <v>MAHULIYA</v>
          </cell>
          <cell r="E182" t="str">
            <v>MPG</v>
          </cell>
          <cell r="F182" t="str">
            <v>Direct</v>
          </cell>
          <cell r="G182">
            <v>449.50000000000006</v>
          </cell>
          <cell r="H182">
            <v>20248.099999999999</v>
          </cell>
          <cell r="I182">
            <v>471.28000000000003</v>
          </cell>
          <cell r="J182">
            <v>19977.878436579769</v>
          </cell>
          <cell r="K182">
            <v>6.2299999999999995</v>
          </cell>
          <cell r="L182">
            <v>260.85853080422999</v>
          </cell>
          <cell r="M182">
            <v>477.51000000000005</v>
          </cell>
          <cell r="N182">
            <v>20238.736967384</v>
          </cell>
          <cell r="O182">
            <v>20238.736967384</v>
          </cell>
          <cell r="P182">
            <v>0</v>
          </cell>
          <cell r="Q182">
            <v>260.85853080422999</v>
          </cell>
          <cell r="R182">
            <v>0</v>
          </cell>
          <cell r="S182">
            <v>0</v>
          </cell>
          <cell r="T182">
            <v>0</v>
          </cell>
        </row>
        <row r="183">
          <cell r="C183">
            <v>10060055</v>
          </cell>
          <cell r="D183" t="str">
            <v>RUPESH KUMAR</v>
          </cell>
          <cell r="E183" t="str">
            <v>vlc</v>
          </cell>
          <cell r="F183" t="str">
            <v>Indirect</v>
          </cell>
          <cell r="G183">
            <v>362.59999999999997</v>
          </cell>
          <cell r="H183">
            <v>13006.309999999998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13006.309999999998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</row>
        <row r="184">
          <cell r="C184">
            <v>10060058</v>
          </cell>
          <cell r="D184" t="str">
            <v xml:space="preserve">ABGIL HUSSAINA-2                                                                                    </v>
          </cell>
          <cell r="E184" t="str">
            <v>MPG</v>
          </cell>
          <cell r="F184" t="str">
            <v>Direct</v>
          </cell>
          <cell r="G184">
            <v>884.4</v>
          </cell>
          <cell r="H184">
            <v>33133.67</v>
          </cell>
          <cell r="I184">
            <v>371.96999999999991</v>
          </cell>
          <cell r="J184">
            <v>13991.718175657201</v>
          </cell>
          <cell r="K184">
            <v>521.29</v>
          </cell>
          <cell r="L184">
            <v>20170.490393988002</v>
          </cell>
          <cell r="M184">
            <v>893.25999999999988</v>
          </cell>
          <cell r="N184">
            <v>34162.208569645205</v>
          </cell>
          <cell r="O184">
            <v>33133.67</v>
          </cell>
          <cell r="P184">
            <v>0</v>
          </cell>
          <cell r="Q184">
            <v>242.50298688000009</v>
          </cell>
          <cell r="R184">
            <v>1028.5385696452067</v>
          </cell>
          <cell r="S184">
            <v>0</v>
          </cell>
          <cell r="T184">
            <v>0</v>
          </cell>
        </row>
        <row r="185">
          <cell r="C185">
            <v>10060061</v>
          </cell>
          <cell r="D185" t="str">
            <v xml:space="preserve">Manish Kumar                                                                                        </v>
          </cell>
          <cell r="E185" t="str">
            <v>vlc</v>
          </cell>
          <cell r="F185" t="str">
            <v>Indirect</v>
          </cell>
          <cell r="G185">
            <v>233.29999999999998</v>
          </cell>
          <cell r="H185">
            <v>8211.2000000000007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8211.2000000000007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</row>
        <row r="186">
          <cell r="C186">
            <v>10060062</v>
          </cell>
          <cell r="D186" t="str">
            <v>AKHA-KURHA</v>
          </cell>
          <cell r="E186" t="str">
            <v>vlc</v>
          </cell>
          <cell r="F186" t="str">
            <v>Indirect</v>
          </cell>
          <cell r="G186">
            <v>328.70000000000005</v>
          </cell>
          <cell r="H186">
            <v>12916.45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12916.45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</row>
        <row r="187">
          <cell r="C187">
            <v>10060069</v>
          </cell>
          <cell r="D187" t="str">
            <v>BHANDAR</v>
          </cell>
          <cell r="E187" t="str">
            <v>MPG</v>
          </cell>
          <cell r="F187" t="str">
            <v>Direct</v>
          </cell>
          <cell r="G187">
            <v>266.2</v>
          </cell>
          <cell r="H187">
            <v>11523.78</v>
          </cell>
          <cell r="I187">
            <v>266.2</v>
          </cell>
          <cell r="J187">
            <v>11523.989231686</v>
          </cell>
          <cell r="K187">
            <v>0</v>
          </cell>
          <cell r="L187">
            <v>0</v>
          </cell>
          <cell r="M187">
            <v>266.2</v>
          </cell>
          <cell r="N187">
            <v>11523.989231686</v>
          </cell>
          <cell r="O187">
            <v>11523.78</v>
          </cell>
          <cell r="P187">
            <v>0</v>
          </cell>
          <cell r="Q187">
            <v>0</v>
          </cell>
          <cell r="R187">
            <v>0.2092316859998391</v>
          </cell>
          <cell r="S187">
            <v>0</v>
          </cell>
          <cell r="T187">
            <v>0</v>
          </cell>
        </row>
        <row r="188">
          <cell r="C188">
            <v>10060074</v>
          </cell>
          <cell r="D188" t="str">
            <v>BASMATIYA</v>
          </cell>
          <cell r="E188" t="str">
            <v>MPG</v>
          </cell>
          <cell r="F188" t="str">
            <v>Direct</v>
          </cell>
          <cell r="G188">
            <v>437.6</v>
          </cell>
          <cell r="H188">
            <v>18437</v>
          </cell>
          <cell r="I188">
            <v>428.96000000000004</v>
          </cell>
          <cell r="J188">
            <v>19550.733104194347</v>
          </cell>
          <cell r="K188">
            <v>6.4</v>
          </cell>
          <cell r="L188">
            <v>275.96792650980001</v>
          </cell>
          <cell r="M188">
            <v>435.36</v>
          </cell>
          <cell r="N188">
            <v>19826.701030704146</v>
          </cell>
          <cell r="O188">
            <v>18437</v>
          </cell>
          <cell r="P188">
            <v>0</v>
          </cell>
          <cell r="Q188">
            <v>275.96792650980001</v>
          </cell>
          <cell r="R188">
            <v>1389.7010307041455</v>
          </cell>
          <cell r="S188">
            <v>0</v>
          </cell>
          <cell r="T188">
            <v>0</v>
          </cell>
        </row>
        <row r="189">
          <cell r="C189">
            <v>10060077</v>
          </cell>
          <cell r="D189" t="str">
            <v>TILATHI</v>
          </cell>
          <cell r="E189" t="str">
            <v>MPG</v>
          </cell>
          <cell r="F189" t="str">
            <v>Direct</v>
          </cell>
          <cell r="G189">
            <v>1221.7</v>
          </cell>
          <cell r="H189">
            <v>49000.05</v>
          </cell>
          <cell r="I189">
            <v>1221.0000000000002</v>
          </cell>
          <cell r="J189">
            <v>47632.660307211198</v>
          </cell>
          <cell r="K189">
            <v>49.3</v>
          </cell>
          <cell r="L189">
            <v>2521.1539148934799</v>
          </cell>
          <cell r="M189">
            <v>1270.3000000000002</v>
          </cell>
          <cell r="N189">
            <v>50153.81422210468</v>
          </cell>
          <cell r="O189">
            <v>49000.05</v>
          </cell>
          <cell r="P189">
            <v>0</v>
          </cell>
          <cell r="Q189">
            <v>678.28226399999994</v>
          </cell>
          <cell r="R189">
            <v>1153.7642221046772</v>
          </cell>
          <cell r="S189">
            <v>0</v>
          </cell>
          <cell r="T189">
            <v>0</v>
          </cell>
        </row>
        <row r="190">
          <cell r="C190">
            <v>10060083</v>
          </cell>
          <cell r="D190" t="str">
            <v>GOMUKH WESTOL</v>
          </cell>
          <cell r="E190" t="str">
            <v>vlc</v>
          </cell>
          <cell r="F190" t="str">
            <v>Indirect</v>
          </cell>
          <cell r="G190">
            <v>1298.5999999999999</v>
          </cell>
          <cell r="H190">
            <v>48681.1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48681.1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</row>
        <row r="191">
          <cell r="C191">
            <v>10060090</v>
          </cell>
          <cell r="D191" t="str">
            <v>SANGRAMPUR</v>
          </cell>
          <cell r="E191" t="str">
            <v>MPG</v>
          </cell>
          <cell r="F191" t="str">
            <v>Direct</v>
          </cell>
          <cell r="G191">
            <v>637.40000000000009</v>
          </cell>
          <cell r="H191">
            <v>28721.170000000006</v>
          </cell>
          <cell r="I191">
            <v>637.5</v>
          </cell>
          <cell r="J191">
            <v>28724.972591670004</v>
          </cell>
          <cell r="K191">
            <v>0</v>
          </cell>
          <cell r="L191">
            <v>0</v>
          </cell>
          <cell r="M191">
            <v>637.5</v>
          </cell>
          <cell r="N191">
            <v>28724.972591670004</v>
          </cell>
          <cell r="O191">
            <v>28721.170000000006</v>
          </cell>
          <cell r="P191">
            <v>0</v>
          </cell>
          <cell r="Q191">
            <v>0</v>
          </cell>
          <cell r="R191">
            <v>3.8025916699989466</v>
          </cell>
          <cell r="S191">
            <v>0</v>
          </cell>
          <cell r="T191">
            <v>0</v>
          </cell>
        </row>
        <row r="192">
          <cell r="C192">
            <v>10060096</v>
          </cell>
          <cell r="D192" t="str">
            <v>GOMUKH CHASMASKAN</v>
          </cell>
          <cell r="E192" t="str">
            <v>vlc</v>
          </cell>
          <cell r="F192" t="str">
            <v>Indirect</v>
          </cell>
          <cell r="G192">
            <v>738.1</v>
          </cell>
          <cell r="H192">
            <v>26350.58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26350.58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2308.208070967743</v>
          </cell>
        </row>
        <row r="193">
          <cell r="C193">
            <v>10060097</v>
          </cell>
          <cell r="D193" t="str">
            <v>GOMUKH KAJITOLA</v>
          </cell>
          <cell r="E193" t="str">
            <v>vlc</v>
          </cell>
          <cell r="F193" t="str">
            <v>Indirect</v>
          </cell>
          <cell r="G193">
            <v>1905.6000000000001</v>
          </cell>
          <cell r="H193">
            <v>69933.819999999992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69933.819999999992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</row>
        <row r="194">
          <cell r="C194">
            <v>10060098</v>
          </cell>
          <cell r="D194" t="str">
            <v>RAMDEV TOLA</v>
          </cell>
          <cell r="E194" t="str">
            <v>MPG</v>
          </cell>
          <cell r="F194" t="str">
            <v>Direct</v>
          </cell>
          <cell r="G194">
            <v>1834.0999999999997</v>
          </cell>
          <cell r="H194">
            <v>76073.319999999992</v>
          </cell>
          <cell r="I194">
            <v>1231.81</v>
          </cell>
          <cell r="J194">
            <v>55473.022441730689</v>
          </cell>
          <cell r="K194">
            <v>579.13000000000011</v>
          </cell>
          <cell r="L194">
            <v>22330.078540704002</v>
          </cell>
          <cell r="M194">
            <v>1810.94</v>
          </cell>
          <cell r="N194">
            <v>77803.100982434698</v>
          </cell>
          <cell r="O194">
            <v>76073.319999999992</v>
          </cell>
          <cell r="P194">
            <v>0</v>
          </cell>
          <cell r="Q194">
            <v>389.17832778000002</v>
          </cell>
          <cell r="R194">
            <v>1729.7809824347059</v>
          </cell>
          <cell r="S194">
            <v>0</v>
          </cell>
          <cell r="T194">
            <v>0</v>
          </cell>
        </row>
        <row r="195">
          <cell r="C195">
            <v>10060104</v>
          </cell>
          <cell r="D195" t="str">
            <v>GOMUKH KATEHAR</v>
          </cell>
          <cell r="E195" t="str">
            <v>vlc</v>
          </cell>
          <cell r="F195" t="str">
            <v>Indirect</v>
          </cell>
          <cell r="G195">
            <v>412</v>
          </cell>
          <cell r="H195">
            <v>14561.32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14561.32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1091.4697354838704</v>
          </cell>
        </row>
        <row r="196">
          <cell r="C196">
            <v>10060106</v>
          </cell>
          <cell r="D196" t="str">
            <v>PIPARPATI</v>
          </cell>
          <cell r="E196" t="str">
            <v>MPG</v>
          </cell>
          <cell r="F196" t="str">
            <v>Direct</v>
          </cell>
          <cell r="G196">
            <v>551.4</v>
          </cell>
          <cell r="H196">
            <v>26135.18</v>
          </cell>
          <cell r="I196">
            <v>548.4</v>
          </cell>
          <cell r="J196">
            <v>28531.750160862382</v>
          </cell>
          <cell r="K196">
            <v>7.2799999999999985</v>
          </cell>
          <cell r="L196">
            <v>312.38485380231003</v>
          </cell>
          <cell r="M196">
            <v>555.67999999999995</v>
          </cell>
          <cell r="N196">
            <v>28844.135014664691</v>
          </cell>
          <cell r="O196">
            <v>26135.18</v>
          </cell>
          <cell r="P196">
            <v>0</v>
          </cell>
          <cell r="Q196">
            <v>312.38485380231003</v>
          </cell>
          <cell r="R196">
            <v>2708.9550146646907</v>
          </cell>
          <cell r="S196">
            <v>0</v>
          </cell>
          <cell r="T196">
            <v>0</v>
          </cell>
        </row>
        <row r="197">
          <cell r="C197">
            <v>10060107</v>
          </cell>
          <cell r="D197" t="str">
            <v>GOMUKH JAGMAGLA</v>
          </cell>
          <cell r="E197" t="str">
            <v>vlc</v>
          </cell>
          <cell r="F197" t="str">
            <v>Indirect</v>
          </cell>
          <cell r="G197">
            <v>556.5</v>
          </cell>
          <cell r="H197">
            <v>22428.899999999998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22428.899999999998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</row>
        <row r="198">
          <cell r="C198">
            <v>10060111</v>
          </cell>
          <cell r="D198" t="str">
            <v>KHAJURIYA</v>
          </cell>
          <cell r="E198" t="str">
            <v>MPG</v>
          </cell>
          <cell r="F198" t="str">
            <v>Direct</v>
          </cell>
          <cell r="G198">
            <v>598.79999999999995</v>
          </cell>
          <cell r="H198">
            <v>24430.240000000002</v>
          </cell>
          <cell r="I198">
            <v>686.97000000000014</v>
          </cell>
          <cell r="J198">
            <v>39583.981189933169</v>
          </cell>
          <cell r="K198">
            <v>0</v>
          </cell>
          <cell r="L198">
            <v>0</v>
          </cell>
          <cell r="M198">
            <v>686.97000000000014</v>
          </cell>
          <cell r="N198">
            <v>39583.981189933169</v>
          </cell>
          <cell r="O198">
            <v>24430.240000000002</v>
          </cell>
          <cell r="P198">
            <v>0</v>
          </cell>
          <cell r="Q198">
            <v>0</v>
          </cell>
          <cell r="R198">
            <v>15153.741189933167</v>
          </cell>
          <cell r="S198">
            <v>13000</v>
          </cell>
          <cell r="T198">
            <v>0</v>
          </cell>
        </row>
        <row r="199">
          <cell r="C199">
            <v>10060113</v>
          </cell>
          <cell r="D199" t="str">
            <v>NAYA SALEMPUR</v>
          </cell>
          <cell r="E199" t="str">
            <v>vlc</v>
          </cell>
          <cell r="F199" t="str">
            <v>Indirect</v>
          </cell>
          <cell r="G199">
            <v>598</v>
          </cell>
          <cell r="H199">
            <v>22764.85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22764.85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</row>
        <row r="200">
          <cell r="C200">
            <v>10060114</v>
          </cell>
          <cell r="D200" t="str">
            <v>MANO 2</v>
          </cell>
          <cell r="E200" t="str">
            <v>MPG</v>
          </cell>
          <cell r="F200" t="str">
            <v>Direct</v>
          </cell>
          <cell r="G200">
            <v>346.40000000000003</v>
          </cell>
          <cell r="H200">
            <v>13599.530000000002</v>
          </cell>
          <cell r="I200">
            <v>346.4</v>
          </cell>
          <cell r="J200">
            <v>13626.083770200003</v>
          </cell>
          <cell r="K200">
            <v>0</v>
          </cell>
          <cell r="L200">
            <v>0</v>
          </cell>
          <cell r="M200">
            <v>346.4</v>
          </cell>
          <cell r="N200">
            <v>13626.083770200003</v>
          </cell>
          <cell r="O200">
            <v>13599.530000000002</v>
          </cell>
          <cell r="P200">
            <v>0</v>
          </cell>
          <cell r="Q200">
            <v>0</v>
          </cell>
          <cell r="R200">
            <v>26.553770200000145</v>
          </cell>
          <cell r="S200">
            <v>0</v>
          </cell>
          <cell r="T200">
            <v>0</v>
          </cell>
        </row>
        <row r="201">
          <cell r="C201">
            <v>10060116</v>
          </cell>
          <cell r="D201" t="str">
            <v>LOSDHANI</v>
          </cell>
          <cell r="E201" t="str">
            <v>MPG</v>
          </cell>
          <cell r="F201" t="str">
            <v>Direct</v>
          </cell>
          <cell r="G201">
            <v>131.1</v>
          </cell>
          <cell r="H201">
            <v>4791.95</v>
          </cell>
          <cell r="I201">
            <v>131.6</v>
          </cell>
          <cell r="J201">
            <v>4840.7711295240006</v>
          </cell>
          <cell r="K201">
            <v>2.5</v>
          </cell>
          <cell r="L201">
            <v>91.069458480000023</v>
          </cell>
          <cell r="M201">
            <v>134.1</v>
          </cell>
          <cell r="N201">
            <v>4931.8405880040009</v>
          </cell>
          <cell r="O201">
            <v>4791.95</v>
          </cell>
          <cell r="P201">
            <v>0</v>
          </cell>
          <cell r="Q201">
            <v>91.069458480000023</v>
          </cell>
          <cell r="R201">
            <v>139.89058800400107</v>
          </cell>
          <cell r="S201">
            <v>0</v>
          </cell>
          <cell r="T201">
            <v>208.67387999999983</v>
          </cell>
        </row>
        <row r="202">
          <cell r="C202">
            <v>10060117</v>
          </cell>
          <cell r="D202" t="str">
            <v>GOMUKH MAHGAMA</v>
          </cell>
          <cell r="E202" t="str">
            <v>vlc</v>
          </cell>
          <cell r="F202" t="str">
            <v>Indirect</v>
          </cell>
          <cell r="G202">
            <v>26.700000000000003</v>
          </cell>
          <cell r="H202">
            <v>1208.4000000000001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1208.4000000000001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212.13946451612907</v>
          </cell>
        </row>
        <row r="203">
          <cell r="C203">
            <v>10060118</v>
          </cell>
          <cell r="D203" t="str">
            <v>GOMUKH BAGALWA</v>
          </cell>
          <cell r="E203" t="str">
            <v>MPG</v>
          </cell>
          <cell r="F203" t="str">
            <v>Direct</v>
          </cell>
          <cell r="G203">
            <v>421.6</v>
          </cell>
          <cell r="H203">
            <v>18015.27</v>
          </cell>
          <cell r="I203">
            <v>101.6</v>
          </cell>
          <cell r="J203">
            <v>4104.0933638881506</v>
          </cell>
          <cell r="K203">
            <v>405.52000000000004</v>
          </cell>
          <cell r="L203">
            <v>18832.682707296757</v>
          </cell>
          <cell r="M203">
            <v>507.12</v>
          </cell>
          <cell r="N203">
            <v>22936.776071184908</v>
          </cell>
          <cell r="O203">
            <v>18015.27</v>
          </cell>
          <cell r="P203">
            <v>0</v>
          </cell>
          <cell r="Q203">
            <v>0</v>
          </cell>
          <cell r="R203">
            <v>4921.5060711849073</v>
          </cell>
          <cell r="S203">
            <v>0</v>
          </cell>
          <cell r="T203">
            <v>1111.75</v>
          </cell>
        </row>
        <row r="204">
          <cell r="C204">
            <v>10060120</v>
          </cell>
          <cell r="D204" t="str">
            <v>GOMUKH LARYATAL</v>
          </cell>
          <cell r="E204" t="str">
            <v>vlc</v>
          </cell>
          <cell r="F204" t="str">
            <v>Indirect</v>
          </cell>
          <cell r="G204">
            <v>249.19999999999996</v>
          </cell>
          <cell r="H204">
            <v>11700.820000000002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11700.820000000002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445.04771612903261</v>
          </cell>
        </row>
        <row r="205">
          <cell r="C205">
            <v>10060122</v>
          </cell>
          <cell r="D205" t="str">
            <v>GOMUKH BHITAKITA</v>
          </cell>
          <cell r="E205" t="str">
            <v>vlc</v>
          </cell>
          <cell r="F205" t="str">
            <v>Indirect</v>
          </cell>
          <cell r="G205">
            <v>185.7</v>
          </cell>
          <cell r="H205">
            <v>6751.03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6751.03</v>
          </cell>
          <cell r="P205">
            <v>0</v>
          </cell>
          <cell r="Q205">
            <v>0</v>
          </cell>
          <cell r="R205">
            <v>0</v>
          </cell>
          <cell r="S205">
            <v>6500</v>
          </cell>
          <cell r="T205">
            <v>87.939406451612953</v>
          </cell>
        </row>
        <row r="206">
          <cell r="C206">
            <v>10060124</v>
          </cell>
          <cell r="D206" t="str">
            <v>SINGHOL</v>
          </cell>
          <cell r="E206" t="str">
            <v>MPG</v>
          </cell>
          <cell r="F206" t="str">
            <v>Direct</v>
          </cell>
          <cell r="G206">
            <v>31.900000000000002</v>
          </cell>
          <cell r="H206">
            <v>1277.8900000000001</v>
          </cell>
          <cell r="I206">
            <v>32.89</v>
          </cell>
          <cell r="J206">
            <v>1187.7617533320001</v>
          </cell>
          <cell r="K206">
            <v>0</v>
          </cell>
          <cell r="L206">
            <v>0</v>
          </cell>
          <cell r="M206">
            <v>32.89</v>
          </cell>
          <cell r="N206">
            <v>1187.7617533320001</v>
          </cell>
          <cell r="O206">
            <v>1187.7617533320001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127.45384800000005</v>
          </cell>
        </row>
        <row r="207">
          <cell r="C207">
            <v>10060125</v>
          </cell>
          <cell r="D207" t="str">
            <v>GOMUKH OJONTOLA</v>
          </cell>
          <cell r="E207" t="str">
            <v>vlc</v>
          </cell>
          <cell r="F207" t="str">
            <v>Indirect</v>
          </cell>
          <cell r="G207">
            <v>121.5</v>
          </cell>
          <cell r="H207">
            <v>5534.73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5534.73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</row>
        <row r="208">
          <cell r="C208">
            <v>10060126</v>
          </cell>
          <cell r="D208" t="str">
            <v>KHUDDIBAN SHIVNAGAR</v>
          </cell>
          <cell r="E208" t="str">
            <v>MPG</v>
          </cell>
          <cell r="F208" t="str">
            <v>Direct</v>
          </cell>
          <cell r="G208">
            <v>160.89999999999998</v>
          </cell>
          <cell r="H208">
            <v>5093.8999999999996</v>
          </cell>
          <cell r="I208">
            <v>160.9</v>
          </cell>
          <cell r="J208">
            <v>5262.8737293000013</v>
          </cell>
          <cell r="K208">
            <v>0</v>
          </cell>
          <cell r="L208">
            <v>0</v>
          </cell>
          <cell r="M208">
            <v>160.9</v>
          </cell>
          <cell r="N208">
            <v>5262.8737293000013</v>
          </cell>
          <cell r="O208">
            <v>5093.8999999999996</v>
          </cell>
          <cell r="P208">
            <v>0</v>
          </cell>
          <cell r="Q208">
            <v>0</v>
          </cell>
          <cell r="R208">
            <v>168.97372930000165</v>
          </cell>
          <cell r="S208">
            <v>0</v>
          </cell>
          <cell r="T208">
            <v>910.02353999999991</v>
          </cell>
        </row>
        <row r="209">
          <cell r="C209">
            <v>10060129</v>
          </cell>
          <cell r="D209" t="str">
            <v>BARIYARPUR</v>
          </cell>
          <cell r="E209" t="str">
            <v>MPG</v>
          </cell>
          <cell r="F209" t="str">
            <v>Direct</v>
          </cell>
          <cell r="G209">
            <v>299.5</v>
          </cell>
          <cell r="H209">
            <v>11681.11</v>
          </cell>
          <cell r="I209">
            <v>255.6</v>
          </cell>
          <cell r="J209">
            <v>10016.048774159999</v>
          </cell>
          <cell r="K209">
            <v>48.7</v>
          </cell>
          <cell r="L209">
            <v>1833.0453345600004</v>
          </cell>
          <cell r="M209">
            <v>304.3</v>
          </cell>
          <cell r="N209">
            <v>11849.094108719999</v>
          </cell>
          <cell r="O209">
            <v>11681.11</v>
          </cell>
          <cell r="P209">
            <v>0</v>
          </cell>
          <cell r="Q209">
            <v>135.79228079999999</v>
          </cell>
          <cell r="R209">
            <v>167.9841087199984</v>
          </cell>
          <cell r="S209">
            <v>0</v>
          </cell>
          <cell r="T209">
            <v>0</v>
          </cell>
        </row>
        <row r="210">
          <cell r="C210">
            <v>10060130</v>
          </cell>
          <cell r="D210" t="str">
            <v>MASUDAN</v>
          </cell>
          <cell r="E210" t="str">
            <v>MPG</v>
          </cell>
          <cell r="F210" t="str">
            <v>Direct</v>
          </cell>
          <cell r="G210">
            <v>499.59999999999997</v>
          </cell>
          <cell r="H210">
            <v>19893.59</v>
          </cell>
          <cell r="I210">
            <v>459.12</v>
          </cell>
          <cell r="J210">
            <v>17866.56243459709</v>
          </cell>
          <cell r="K210">
            <v>55.709999999999994</v>
          </cell>
          <cell r="L210">
            <v>2628.3182828591998</v>
          </cell>
          <cell r="M210">
            <v>514.83000000000004</v>
          </cell>
          <cell r="N210">
            <v>20494.88071745629</v>
          </cell>
          <cell r="O210">
            <v>19893.59</v>
          </cell>
          <cell r="P210">
            <v>0</v>
          </cell>
          <cell r="Q210">
            <v>16.83178002</v>
          </cell>
          <cell r="R210">
            <v>601.29071745628971</v>
          </cell>
          <cell r="S210">
            <v>0</v>
          </cell>
          <cell r="T210">
            <v>0</v>
          </cell>
        </row>
        <row r="211">
          <cell r="C211">
            <v>10060132</v>
          </cell>
          <cell r="D211" t="str">
            <v>GOMUKH LOKDHANI</v>
          </cell>
          <cell r="E211" t="str">
            <v>vlc</v>
          </cell>
          <cell r="F211" t="str">
            <v>Indirect</v>
          </cell>
          <cell r="G211">
            <v>9.1</v>
          </cell>
          <cell r="H211">
            <v>366.37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366.37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</row>
        <row r="212">
          <cell r="C212">
            <v>10060133</v>
          </cell>
          <cell r="D212" t="str">
            <v>GOMUKH BOHLA</v>
          </cell>
          <cell r="E212" t="str">
            <v>vlc</v>
          </cell>
          <cell r="F212" t="str">
            <v>Indirect</v>
          </cell>
          <cell r="G212">
            <v>77.3</v>
          </cell>
          <cell r="H212">
            <v>2701.66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2701.66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</row>
        <row r="213">
          <cell r="C213">
            <v>10070002</v>
          </cell>
          <cell r="D213" t="str">
            <v>Gomukh ID Araria</v>
          </cell>
          <cell r="E213" t="str">
            <v>vlc</v>
          </cell>
          <cell r="F213" t="str">
            <v>Indirect</v>
          </cell>
          <cell r="G213">
            <v>4659.5000000000009</v>
          </cell>
          <cell r="H213">
            <v>171183.83000000002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171183.83000000002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</row>
        <row r="214">
          <cell r="C214">
            <v>10070003</v>
          </cell>
          <cell r="D214" t="str">
            <v>Gomukh ID Chaidha</v>
          </cell>
          <cell r="E214" t="str">
            <v>vlc</v>
          </cell>
          <cell r="F214" t="str">
            <v>Indirect</v>
          </cell>
          <cell r="G214">
            <v>1017.9</v>
          </cell>
          <cell r="H214">
            <v>34444.29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34444.29</v>
          </cell>
          <cell r="P214">
            <v>0</v>
          </cell>
          <cell r="Q214">
            <v>0</v>
          </cell>
          <cell r="R214">
            <v>0</v>
          </cell>
          <cell r="S214">
            <v>6500</v>
          </cell>
          <cell r="T214">
            <v>0</v>
          </cell>
        </row>
        <row r="215">
          <cell r="C215">
            <v>10070004</v>
          </cell>
          <cell r="D215" t="str">
            <v>Gomukh ID Pakrail</v>
          </cell>
          <cell r="E215" t="str">
            <v>vlc</v>
          </cell>
          <cell r="F215" t="str">
            <v>Indirect</v>
          </cell>
          <cell r="G215">
            <v>241.1</v>
          </cell>
          <cell r="H215">
            <v>8318.33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8318.33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521.93847870967693</v>
          </cell>
        </row>
        <row r="216">
          <cell r="C216">
            <v>10070008</v>
          </cell>
          <cell r="D216" t="str">
            <v>Gomukh ID Pipra</v>
          </cell>
          <cell r="E216" t="str">
            <v>vlc</v>
          </cell>
          <cell r="F216" t="str">
            <v>Indirect</v>
          </cell>
          <cell r="G216">
            <v>799.72000000000014</v>
          </cell>
          <cell r="H216">
            <v>30211.89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30211.89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1340.3447148387095</v>
          </cell>
        </row>
        <row r="217">
          <cell r="C217">
            <v>10070013</v>
          </cell>
          <cell r="D217" t="str">
            <v xml:space="preserve">Gomukh Fatepur                                                                                      </v>
          </cell>
          <cell r="E217" t="str">
            <v>MPG</v>
          </cell>
          <cell r="F217" t="str">
            <v>Direct</v>
          </cell>
          <cell r="G217">
            <v>255.6</v>
          </cell>
          <cell r="H217">
            <v>9516.57</v>
          </cell>
          <cell r="I217">
            <v>436.73999999999995</v>
          </cell>
          <cell r="J217">
            <v>16254.211349772004</v>
          </cell>
          <cell r="K217">
            <v>25.969999999999995</v>
          </cell>
          <cell r="L217">
            <v>958.8348075240001</v>
          </cell>
          <cell r="M217">
            <v>462.70999999999992</v>
          </cell>
          <cell r="N217">
            <v>17213.046157296005</v>
          </cell>
          <cell r="O217">
            <v>9516.57</v>
          </cell>
          <cell r="P217">
            <v>0</v>
          </cell>
          <cell r="Q217">
            <v>109.93277552400001</v>
          </cell>
          <cell r="R217">
            <v>7696.4761572960051</v>
          </cell>
          <cell r="S217">
            <v>0</v>
          </cell>
          <cell r="T217">
            <v>0</v>
          </cell>
        </row>
        <row r="218">
          <cell r="C218">
            <v>10070016</v>
          </cell>
          <cell r="D218" t="str">
            <v>Gomukh Gauchhari</v>
          </cell>
          <cell r="E218" t="str">
            <v>MPG</v>
          </cell>
          <cell r="F218" t="str">
            <v>Direct</v>
          </cell>
          <cell r="G218">
            <v>276.99999999999994</v>
          </cell>
          <cell r="H218">
            <v>10394.36</v>
          </cell>
          <cell r="I218">
            <v>273.23</v>
          </cell>
          <cell r="J218">
            <v>10330.353526284001</v>
          </cell>
          <cell r="K218">
            <v>1.4900000000000004</v>
          </cell>
          <cell r="L218">
            <v>56.66132815200001</v>
          </cell>
          <cell r="M218">
            <v>274.72000000000003</v>
          </cell>
          <cell r="N218">
            <v>10387.014854436002</v>
          </cell>
          <cell r="O218">
            <v>10387.014854436002</v>
          </cell>
          <cell r="P218">
            <v>0</v>
          </cell>
          <cell r="Q218">
            <v>56.66132815200001</v>
          </cell>
          <cell r="R218">
            <v>0</v>
          </cell>
          <cell r="S218">
            <v>0</v>
          </cell>
          <cell r="T218">
            <v>0</v>
          </cell>
        </row>
        <row r="219">
          <cell r="C219">
            <v>10070018</v>
          </cell>
          <cell r="D219" t="str">
            <v>Gomukh Arariya Karjaniya</v>
          </cell>
          <cell r="E219" t="str">
            <v>vlc</v>
          </cell>
          <cell r="F219" t="str">
            <v>Indirect</v>
          </cell>
          <cell r="G219">
            <v>14358.6</v>
          </cell>
          <cell r="H219">
            <v>540780.87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540780.87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C220">
            <v>10070019</v>
          </cell>
          <cell r="D220" t="str">
            <v>Gomukh Aariya Dummer Kothi</v>
          </cell>
          <cell r="E220" t="str">
            <v>vlc</v>
          </cell>
          <cell r="F220" t="str">
            <v>Indirect</v>
          </cell>
          <cell r="G220">
            <v>4539.5</v>
          </cell>
          <cell r="H220">
            <v>170603.23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170603.23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4051.340864516133</v>
          </cell>
        </row>
        <row r="221">
          <cell r="C221">
            <v>10070020</v>
          </cell>
          <cell r="D221" t="str">
            <v>Gomukh Balha</v>
          </cell>
          <cell r="E221" t="str">
            <v>vlc</v>
          </cell>
          <cell r="F221" t="str">
            <v>Indirect</v>
          </cell>
          <cell r="G221">
            <v>4889.4999999999991</v>
          </cell>
          <cell r="H221">
            <v>181947.28999999995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181947.28999999995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C222">
            <v>10070024</v>
          </cell>
          <cell r="D222" t="str">
            <v>Haripur - Sanjay</v>
          </cell>
          <cell r="E222" t="str">
            <v>vlc</v>
          </cell>
          <cell r="F222" t="str">
            <v>Indirect</v>
          </cell>
          <cell r="G222">
            <v>935.5</v>
          </cell>
          <cell r="H222">
            <v>33397.789999999994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33397.789999999994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C223">
            <v>10070026</v>
          </cell>
          <cell r="D223" t="str">
            <v>Araria - Ankesh</v>
          </cell>
          <cell r="E223" t="str">
            <v>vlc</v>
          </cell>
          <cell r="F223" t="str">
            <v>Indirect</v>
          </cell>
          <cell r="G223">
            <v>687.8</v>
          </cell>
          <cell r="H223">
            <v>25232.3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25232.3</v>
          </cell>
          <cell r="P223">
            <v>0</v>
          </cell>
          <cell r="Q223">
            <v>0</v>
          </cell>
          <cell r="R223">
            <v>0</v>
          </cell>
          <cell r="S223">
            <v>12962</v>
          </cell>
          <cell r="T223">
            <v>12270.774754838712</v>
          </cell>
        </row>
        <row r="224">
          <cell r="C224">
            <v>10070033</v>
          </cell>
          <cell r="D224" t="str">
            <v>Gomukh Kabela                                                                                       </v>
          </cell>
          <cell r="E224" t="str">
            <v>MPG</v>
          </cell>
          <cell r="F224" t="str">
            <v>Direct</v>
          </cell>
          <cell r="G224">
            <v>552.00000000000011</v>
          </cell>
          <cell r="H224">
            <v>25802.919999999991</v>
          </cell>
          <cell r="I224">
            <v>578.79999999999995</v>
          </cell>
          <cell r="J224">
            <v>26183.475100750002</v>
          </cell>
          <cell r="K224">
            <v>0</v>
          </cell>
          <cell r="L224">
            <v>0</v>
          </cell>
          <cell r="M224">
            <v>578.79999999999995</v>
          </cell>
          <cell r="N224">
            <v>26183.475100750002</v>
          </cell>
          <cell r="O224">
            <v>25802.919999999991</v>
          </cell>
          <cell r="P224">
            <v>0</v>
          </cell>
          <cell r="Q224">
            <v>0</v>
          </cell>
          <cell r="R224">
            <v>380.55510075001075</v>
          </cell>
          <cell r="S224">
            <v>0</v>
          </cell>
          <cell r="T224">
            <v>0</v>
          </cell>
        </row>
        <row r="225">
          <cell r="C225">
            <v>10070039</v>
          </cell>
          <cell r="D225" t="str">
            <v xml:space="preserve">Gomukh Malpa Uttari                                                                                 </v>
          </cell>
          <cell r="E225" t="str">
            <v>vlc</v>
          </cell>
          <cell r="F225" t="str">
            <v>Indirect</v>
          </cell>
          <cell r="G225">
            <v>331.14</v>
          </cell>
          <cell r="H225">
            <v>11136.12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11136.12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C226">
            <v>10070042</v>
          </cell>
          <cell r="D226" t="str">
            <v>Gomukh Sapha</v>
          </cell>
          <cell r="E226" t="str">
            <v>MPG</v>
          </cell>
          <cell r="F226" t="str">
            <v>Direct</v>
          </cell>
          <cell r="G226">
            <v>159.9</v>
          </cell>
          <cell r="H226">
            <v>6679.5700000000006</v>
          </cell>
          <cell r="I226">
            <v>159.9</v>
          </cell>
          <cell r="J226">
            <v>6691.035007800001</v>
          </cell>
          <cell r="K226">
            <v>0</v>
          </cell>
          <cell r="L226">
            <v>0</v>
          </cell>
          <cell r="M226">
            <v>159.9</v>
          </cell>
          <cell r="N226">
            <v>6691.035007800001</v>
          </cell>
          <cell r="O226">
            <v>6679.5700000000006</v>
          </cell>
          <cell r="P226">
            <v>0</v>
          </cell>
          <cell r="Q226">
            <v>0</v>
          </cell>
          <cell r="R226">
            <v>11.465007800000421</v>
          </cell>
          <cell r="S226">
            <v>0</v>
          </cell>
          <cell r="T226">
            <v>0</v>
          </cell>
        </row>
        <row r="227">
          <cell r="C227">
            <v>10070043</v>
          </cell>
          <cell r="D227" t="str">
            <v>Araria</v>
          </cell>
          <cell r="E227" t="str">
            <v>vlc</v>
          </cell>
          <cell r="F227" t="str">
            <v>Indirect</v>
          </cell>
          <cell r="G227">
            <v>17603.699999999997</v>
          </cell>
          <cell r="H227">
            <v>660177.79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660177.79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C228">
            <v>10070045</v>
          </cell>
          <cell r="D228" t="str">
            <v>Gomukh Gauchhari</v>
          </cell>
          <cell r="E228" t="str">
            <v>MPG</v>
          </cell>
          <cell r="F228" t="str">
            <v>Direct</v>
          </cell>
          <cell r="G228">
            <v>268.8</v>
          </cell>
          <cell r="H228">
            <v>9839.010000000002</v>
          </cell>
          <cell r="I228">
            <v>268.36</v>
          </cell>
          <cell r="J228">
            <v>10044.205695216002</v>
          </cell>
          <cell r="K228">
            <v>0.44</v>
          </cell>
          <cell r="L228">
            <v>16.959842064000004</v>
          </cell>
          <cell r="M228">
            <v>268.8</v>
          </cell>
          <cell r="N228">
            <v>10061.165537280001</v>
          </cell>
          <cell r="O228">
            <v>9839.010000000002</v>
          </cell>
          <cell r="P228">
            <v>0</v>
          </cell>
          <cell r="Q228">
            <v>16.959842064000004</v>
          </cell>
          <cell r="R228">
            <v>222.15553727999941</v>
          </cell>
          <cell r="S228">
            <v>0</v>
          </cell>
          <cell r="T228">
            <v>2058.5756571428565</v>
          </cell>
        </row>
        <row r="229">
          <cell r="C229">
            <v>10070046</v>
          </cell>
          <cell r="D229" t="str">
            <v>Telouch</v>
          </cell>
          <cell r="E229" t="str">
            <v>MPG</v>
          </cell>
          <cell r="F229" t="str">
            <v>Direct</v>
          </cell>
          <cell r="G229">
            <v>2484.06</v>
          </cell>
          <cell r="H229">
            <v>93953.859999999986</v>
          </cell>
          <cell r="I229">
            <v>2573.9899999999998</v>
          </cell>
          <cell r="J229">
            <v>101544.41885198402</v>
          </cell>
          <cell r="K229">
            <v>6.6999999999999993</v>
          </cell>
          <cell r="L229">
            <v>236.55107520000001</v>
          </cell>
          <cell r="M229">
            <v>2580.6899999999996</v>
          </cell>
          <cell r="N229">
            <v>101780.96992718402</v>
          </cell>
          <cell r="O229">
            <v>93953.859999999986</v>
          </cell>
          <cell r="P229">
            <v>0</v>
          </cell>
          <cell r="Q229">
            <v>236.55107520000001</v>
          </cell>
          <cell r="R229">
            <v>7827.1099271840358</v>
          </cell>
          <cell r="S229">
            <v>0</v>
          </cell>
          <cell r="T229">
            <v>0</v>
          </cell>
        </row>
        <row r="230">
          <cell r="C230">
            <v>10070048</v>
          </cell>
          <cell r="D230" t="str">
            <v>Gomukh Jhangara B</v>
          </cell>
          <cell r="E230" t="str">
            <v>MPG</v>
          </cell>
          <cell r="F230" t="str">
            <v>Direct</v>
          </cell>
          <cell r="G230">
            <v>1515.5</v>
          </cell>
          <cell r="H230">
            <v>58291.000000000007</v>
          </cell>
          <cell r="I230">
            <v>1525.97</v>
          </cell>
          <cell r="J230">
            <v>62015.128435364779</v>
          </cell>
          <cell r="K230">
            <v>0</v>
          </cell>
          <cell r="L230">
            <v>0</v>
          </cell>
          <cell r="M230">
            <v>1525.97</v>
          </cell>
          <cell r="N230">
            <v>62015.128435364779</v>
          </cell>
          <cell r="O230">
            <v>58291.000000000007</v>
          </cell>
          <cell r="P230">
            <v>0</v>
          </cell>
          <cell r="Q230">
            <v>0</v>
          </cell>
          <cell r="R230">
            <v>3724.1284353647716</v>
          </cell>
          <cell r="S230">
            <v>0</v>
          </cell>
          <cell r="T230">
            <v>0</v>
          </cell>
        </row>
        <row r="231">
          <cell r="C231">
            <v>10070053</v>
          </cell>
          <cell r="D231" t="str">
            <v>Gomukh Saraiya</v>
          </cell>
          <cell r="E231" t="str">
            <v>vlc</v>
          </cell>
          <cell r="F231" t="str">
            <v>Direct</v>
          </cell>
          <cell r="G231">
            <v>308.38</v>
          </cell>
          <cell r="H231">
            <v>10914.029999999999</v>
          </cell>
          <cell r="I231">
            <v>471.74</v>
          </cell>
          <cell r="J231">
            <v>28021.091872862002</v>
          </cell>
          <cell r="K231">
            <v>0</v>
          </cell>
          <cell r="L231">
            <v>0</v>
          </cell>
          <cell r="M231">
            <v>471.74</v>
          </cell>
          <cell r="N231">
            <v>28021.091872862002</v>
          </cell>
          <cell r="O231">
            <v>10914.029999999999</v>
          </cell>
          <cell r="P231">
            <v>0</v>
          </cell>
          <cell r="Q231">
            <v>0</v>
          </cell>
          <cell r="R231">
            <v>17107.061872862003</v>
          </cell>
          <cell r="S231">
            <v>0</v>
          </cell>
          <cell r="T231">
            <v>0</v>
          </cell>
        </row>
        <row r="232">
          <cell r="C232">
            <v>10070056</v>
          </cell>
          <cell r="D232" t="str">
            <v xml:space="preserve"> Gomukh Nauranga</v>
          </cell>
          <cell r="E232" t="str">
            <v>vlc</v>
          </cell>
          <cell r="F232" t="str">
            <v>Indirect</v>
          </cell>
          <cell r="G232">
            <v>695.26</v>
          </cell>
          <cell r="H232">
            <v>27892.160000000007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27892.160000000007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C233">
            <v>10070058</v>
          </cell>
          <cell r="D233" t="str">
            <v>Gomukh Malpa Dhutauli VLC</v>
          </cell>
          <cell r="E233" t="str">
            <v>vlc</v>
          </cell>
          <cell r="F233" t="str">
            <v>Indirect</v>
          </cell>
          <cell r="G233">
            <v>150.80000000000001</v>
          </cell>
          <cell r="H233">
            <v>4998.8600000000006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4998.8600000000006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C234">
            <v>10070059</v>
          </cell>
          <cell r="D234" t="str">
            <v>Gomukh Pakrail Vijay Nagar VLC</v>
          </cell>
          <cell r="E234" t="str">
            <v>vlc</v>
          </cell>
          <cell r="F234" t="str">
            <v>Indirect</v>
          </cell>
          <cell r="G234">
            <v>1742.84</v>
          </cell>
          <cell r="H234">
            <v>65381.969999999994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65381.969999999994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5">
          <cell r="C235">
            <v>10070060</v>
          </cell>
          <cell r="D235" t="str">
            <v>Gomukh Pakrail Shirnia VLC</v>
          </cell>
          <cell r="E235" t="str">
            <v>vlc</v>
          </cell>
          <cell r="F235" t="str">
            <v>Indirect</v>
          </cell>
          <cell r="G235">
            <v>53.9</v>
          </cell>
          <cell r="H235">
            <v>1994.61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1994.61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221.83448903225809</v>
          </cell>
        </row>
        <row r="236">
          <cell r="C236">
            <v>10070061</v>
          </cell>
          <cell r="D236" t="str">
            <v>Gomukh Godhiyasi Nayagow VLC</v>
          </cell>
          <cell r="E236" t="str">
            <v>vlc</v>
          </cell>
          <cell r="F236" t="str">
            <v>Indirect</v>
          </cell>
          <cell r="G236">
            <v>161.4</v>
          </cell>
          <cell r="H236">
            <v>5767.9400000000005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5767.9400000000005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C237">
            <v>10070063</v>
          </cell>
          <cell r="D237" t="str">
            <v>Gomukh Bandehra Purbi</v>
          </cell>
          <cell r="E237" t="str">
            <v>MPG</v>
          </cell>
          <cell r="F237" t="str">
            <v>Direct</v>
          </cell>
          <cell r="G237">
            <v>600.30000000000007</v>
          </cell>
          <cell r="H237">
            <v>22199.45</v>
          </cell>
          <cell r="I237">
            <v>600.29999999999995</v>
          </cell>
          <cell r="J237">
            <v>24881.907936600001</v>
          </cell>
          <cell r="K237">
            <v>0</v>
          </cell>
          <cell r="L237">
            <v>0</v>
          </cell>
          <cell r="M237">
            <v>600.29999999999995</v>
          </cell>
          <cell r="N237">
            <v>24881.907936600001</v>
          </cell>
          <cell r="O237">
            <v>22199.45</v>
          </cell>
          <cell r="P237">
            <v>0</v>
          </cell>
          <cell r="Q237">
            <v>0</v>
          </cell>
          <cell r="R237">
            <v>2682.4579365999998</v>
          </cell>
          <cell r="S237">
            <v>0</v>
          </cell>
          <cell r="T237">
            <v>0</v>
          </cell>
        </row>
        <row r="238">
          <cell r="C238">
            <v>10070064</v>
          </cell>
          <cell r="D238" t="str">
            <v>Gomukh Tila Tol</v>
          </cell>
          <cell r="E238" t="str">
            <v>MPG</v>
          </cell>
          <cell r="F238" t="str">
            <v>Direct</v>
          </cell>
          <cell r="G238">
            <v>1221.0999999999999</v>
          </cell>
          <cell r="H238">
            <v>46080.61</v>
          </cell>
          <cell r="I238">
            <v>1221.5200000000002</v>
          </cell>
          <cell r="J238">
            <v>46096.15328326801</v>
          </cell>
          <cell r="K238">
            <v>3.9999999999999996</v>
          </cell>
          <cell r="L238">
            <v>156.72006939600001</v>
          </cell>
          <cell r="M238">
            <v>1225.5200000000002</v>
          </cell>
          <cell r="N238">
            <v>46252.873352664006</v>
          </cell>
          <cell r="O238">
            <v>46080.61</v>
          </cell>
          <cell r="P238">
            <v>0</v>
          </cell>
          <cell r="Q238">
            <v>156.72006939600001</v>
          </cell>
          <cell r="R238">
            <v>172.26335266400565</v>
          </cell>
          <cell r="S238">
            <v>0</v>
          </cell>
          <cell r="T238">
            <v>0</v>
          </cell>
        </row>
        <row r="239">
          <cell r="C239">
            <v>10070065</v>
          </cell>
          <cell r="D239" t="str">
            <v>Gomukh Dina Chakla Vlc</v>
          </cell>
          <cell r="E239" t="str">
            <v>vlc</v>
          </cell>
          <cell r="F239" t="str">
            <v>Indirect</v>
          </cell>
          <cell r="G239">
            <v>382.4</v>
          </cell>
          <cell r="H239">
            <v>13868.59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13868.59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C240">
            <v>10070074</v>
          </cell>
          <cell r="D240" t="str">
            <v>Gomukh Gogri VLC</v>
          </cell>
          <cell r="E240" t="str">
            <v>vlc</v>
          </cell>
          <cell r="F240" t="str">
            <v>Indirect</v>
          </cell>
          <cell r="G240">
            <v>266.39999999999998</v>
          </cell>
          <cell r="H240">
            <v>8361.57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8361.57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170.39456129032249</v>
          </cell>
        </row>
        <row r="241">
          <cell r="C241">
            <v>10070076</v>
          </cell>
          <cell r="D241" t="str">
            <v>Gomukh Sondiha Jay Prakash VLC</v>
          </cell>
          <cell r="E241" t="str">
            <v>vlc</v>
          </cell>
          <cell r="F241" t="str">
            <v>Indirect</v>
          </cell>
          <cell r="G241">
            <v>559.20000000000005</v>
          </cell>
          <cell r="H241">
            <v>19117.22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19117.22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C242">
            <v>10070077</v>
          </cell>
          <cell r="D242" t="str">
            <v>Gomukh Bari Chak Gogri</v>
          </cell>
          <cell r="E242" t="str">
            <v>MPG</v>
          </cell>
          <cell r="F242" t="str">
            <v>Direct</v>
          </cell>
          <cell r="G242">
            <v>170.59999999999997</v>
          </cell>
          <cell r="H242">
            <v>5855.02</v>
          </cell>
          <cell r="I242">
            <v>170.6</v>
          </cell>
          <cell r="J242">
            <v>5855.1766574399999</v>
          </cell>
          <cell r="K242">
            <v>0</v>
          </cell>
          <cell r="L242">
            <v>0</v>
          </cell>
          <cell r="M242">
            <v>170.6</v>
          </cell>
          <cell r="N242">
            <v>5855.1766574399999</v>
          </cell>
          <cell r="O242">
            <v>5855.02</v>
          </cell>
          <cell r="P242">
            <v>0</v>
          </cell>
          <cell r="Q242">
            <v>0</v>
          </cell>
          <cell r="R242">
            <v>0.15665743999943516</v>
          </cell>
          <cell r="S242">
            <v>3900</v>
          </cell>
          <cell r="T242">
            <v>0</v>
          </cell>
        </row>
        <row r="243">
          <cell r="C243">
            <v>10070078</v>
          </cell>
          <cell r="D243" t="str">
            <v>Gomukh Khatha</v>
          </cell>
          <cell r="E243" t="str">
            <v>MPG</v>
          </cell>
          <cell r="F243" t="str">
            <v>Direct</v>
          </cell>
          <cell r="G243">
            <v>1007.2</v>
          </cell>
          <cell r="H243">
            <v>36188.26</v>
          </cell>
          <cell r="I243">
            <v>1007</v>
          </cell>
          <cell r="J243">
            <v>36156.417976800003</v>
          </cell>
          <cell r="K243">
            <v>0</v>
          </cell>
          <cell r="L243">
            <v>0</v>
          </cell>
          <cell r="M243">
            <v>1007</v>
          </cell>
          <cell r="N243">
            <v>36156.417976800003</v>
          </cell>
          <cell r="O243">
            <v>36156.417976800003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4">
          <cell r="C244">
            <v>10080001</v>
          </cell>
          <cell r="D244" t="str">
            <v>Chak Punervas</v>
          </cell>
          <cell r="E244" t="str">
            <v>vlc</v>
          </cell>
          <cell r="F244" t="str">
            <v>Indirect</v>
          </cell>
          <cell r="G244">
            <v>704.3</v>
          </cell>
          <cell r="H244">
            <v>25742.58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25742.58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</row>
        <row r="245">
          <cell r="C245">
            <v>10080002</v>
          </cell>
          <cell r="D245" t="str">
            <v>Labherchak</v>
          </cell>
          <cell r="E245" t="str">
            <v>vlc</v>
          </cell>
          <cell r="F245" t="str">
            <v>Indirect</v>
          </cell>
          <cell r="G245">
            <v>270.94999999999993</v>
          </cell>
          <cell r="H245">
            <v>10095.710000000001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10095.710000000001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  <row r="246">
          <cell r="C246">
            <v>10080003</v>
          </cell>
          <cell r="D246" t="str">
            <v>Paspura</v>
          </cell>
          <cell r="E246" t="str">
            <v>vlc</v>
          </cell>
          <cell r="F246" t="str">
            <v>Indirect</v>
          </cell>
          <cell r="G246">
            <v>220.70000000000002</v>
          </cell>
          <cell r="H246">
            <v>7895.5499999999993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7895.5499999999993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242.59390645161287</v>
          </cell>
        </row>
        <row r="247">
          <cell r="C247">
            <v>10080004</v>
          </cell>
          <cell r="D247" t="str">
            <v>Gomukh Godhna</v>
          </cell>
          <cell r="E247" t="str">
            <v>vlc</v>
          </cell>
          <cell r="F247" t="str">
            <v>Indirect</v>
          </cell>
          <cell r="G247">
            <v>70.5</v>
          </cell>
          <cell r="H247">
            <v>2633.23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2633.23</v>
          </cell>
          <cell r="P247">
            <v>0</v>
          </cell>
          <cell r="Q247">
            <v>0</v>
          </cell>
          <cell r="R247">
            <v>0</v>
          </cell>
          <cell r="S247">
            <v>1300</v>
          </cell>
          <cell r="T247">
            <v>91.575638709677449</v>
          </cell>
        </row>
        <row r="248">
          <cell r="C248">
            <v>10080006</v>
          </cell>
          <cell r="D248" t="str">
            <v>Gomukh Sihma 2</v>
          </cell>
          <cell r="E248" t="str">
            <v>vlc</v>
          </cell>
          <cell r="F248" t="str">
            <v>Indirect</v>
          </cell>
          <cell r="G248">
            <v>285.45000000000005</v>
          </cell>
          <cell r="H248">
            <v>9865.41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9865.41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</row>
        <row r="249">
          <cell r="C249">
            <v>10080007</v>
          </cell>
          <cell r="D249" t="str">
            <v>Gomukh ID Marsaito</v>
          </cell>
          <cell r="E249" t="str">
            <v>vlc</v>
          </cell>
          <cell r="F249" t="str">
            <v>Indirect</v>
          </cell>
          <cell r="G249">
            <v>768.3</v>
          </cell>
          <cell r="H249">
            <v>28029.989999999998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28029.989999999998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</row>
        <row r="250">
          <cell r="C250">
            <v>10080012</v>
          </cell>
          <cell r="D250" t="str">
            <v>Gomukh ID Akashpur-2</v>
          </cell>
          <cell r="E250" t="str">
            <v>vlc</v>
          </cell>
          <cell r="F250" t="str">
            <v>Indirect</v>
          </cell>
          <cell r="G250">
            <v>252.75000000000003</v>
          </cell>
          <cell r="H250">
            <v>9578.69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9578.69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5749.636761290325</v>
          </cell>
        </row>
        <row r="251">
          <cell r="C251">
            <v>10080013</v>
          </cell>
          <cell r="D251" t="str">
            <v>Gomukh ID Akashpur</v>
          </cell>
          <cell r="E251" t="str">
            <v>vlc</v>
          </cell>
          <cell r="F251" t="str">
            <v>Indirect</v>
          </cell>
          <cell r="G251">
            <v>703.65000000000009</v>
          </cell>
          <cell r="H251">
            <v>26625.149999999998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26625.149999999998</v>
          </cell>
          <cell r="P251">
            <v>0</v>
          </cell>
          <cell r="Q251">
            <v>0</v>
          </cell>
          <cell r="R251">
            <v>0</v>
          </cell>
          <cell r="S251">
            <v>6500</v>
          </cell>
          <cell r="T251">
            <v>0</v>
          </cell>
        </row>
        <row r="252">
          <cell r="C252">
            <v>10080014</v>
          </cell>
          <cell r="D252" t="str">
            <v>Gomukh ID Rachiyahi</v>
          </cell>
          <cell r="E252" t="str">
            <v>vlc</v>
          </cell>
          <cell r="F252" t="str">
            <v>Indirect</v>
          </cell>
          <cell r="G252">
            <v>96.25</v>
          </cell>
          <cell r="H252">
            <v>3661.9300000000003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3661.9300000000003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263.94879677419385</v>
          </cell>
        </row>
        <row r="253">
          <cell r="C253">
            <v>10080015</v>
          </cell>
          <cell r="D253" t="str">
            <v>GomukhBariyahi Chanan</v>
          </cell>
          <cell r="E253" t="str">
            <v>MPG</v>
          </cell>
          <cell r="F253" t="str">
            <v>Direct</v>
          </cell>
          <cell r="G253">
            <v>3113.75</v>
          </cell>
          <cell r="H253">
            <v>109247.59999999998</v>
          </cell>
          <cell r="I253">
            <v>3157.9999999999995</v>
          </cell>
          <cell r="J253">
            <v>110587.15614735721</v>
          </cell>
          <cell r="K253">
            <v>3.9999999999999996</v>
          </cell>
          <cell r="L253">
            <v>137.78851957200001</v>
          </cell>
          <cell r="M253">
            <v>3161.9999999999995</v>
          </cell>
          <cell r="N253">
            <v>110724.94466692921</v>
          </cell>
          <cell r="O253">
            <v>109247.59999999998</v>
          </cell>
          <cell r="P253">
            <v>0</v>
          </cell>
          <cell r="Q253">
            <v>137.78851957200001</v>
          </cell>
          <cell r="R253">
            <v>1477.3446669292316</v>
          </cell>
          <cell r="S253">
            <v>0</v>
          </cell>
          <cell r="T253">
            <v>0</v>
          </cell>
        </row>
        <row r="254">
          <cell r="C254">
            <v>10080016</v>
          </cell>
          <cell r="D254" t="str">
            <v>GomukhGehuni</v>
          </cell>
          <cell r="E254" t="str">
            <v>MPG</v>
          </cell>
          <cell r="F254" t="str">
            <v>Direct</v>
          </cell>
          <cell r="G254">
            <v>95.299999999999983</v>
          </cell>
          <cell r="H254">
            <v>3361.8000000000006</v>
          </cell>
          <cell r="I254">
            <v>93.800000000000011</v>
          </cell>
          <cell r="J254">
            <v>3466.5732826560006</v>
          </cell>
          <cell r="K254">
            <v>1.7000000000000004</v>
          </cell>
          <cell r="L254">
            <v>59.652523260000009</v>
          </cell>
          <cell r="M254">
            <v>95.500000000000014</v>
          </cell>
          <cell r="N254">
            <v>3526.2258059160008</v>
          </cell>
          <cell r="O254">
            <v>3361.8000000000006</v>
          </cell>
          <cell r="P254">
            <v>0</v>
          </cell>
          <cell r="Q254">
            <v>59.652523260000009</v>
          </cell>
          <cell r="R254">
            <v>164.42580591600017</v>
          </cell>
          <cell r="S254">
            <v>2600</v>
          </cell>
          <cell r="T254">
            <v>103.04377500000007</v>
          </cell>
        </row>
        <row r="255">
          <cell r="C255">
            <v>10080022</v>
          </cell>
          <cell r="D255" t="str">
            <v>Gomukh Bakhatpur</v>
          </cell>
          <cell r="E255" t="str">
            <v>MPG</v>
          </cell>
          <cell r="F255" t="str">
            <v>Direct</v>
          </cell>
          <cell r="G255">
            <v>250.65</v>
          </cell>
          <cell r="H255">
            <v>10491.049999999997</v>
          </cell>
          <cell r="I255">
            <v>247.61000000000004</v>
          </cell>
          <cell r="J255">
            <v>10342.2932765147</v>
          </cell>
          <cell r="K255">
            <v>4.0200000000000005</v>
          </cell>
          <cell r="L255">
            <v>156.7538588088</v>
          </cell>
          <cell r="M255">
            <v>251.63000000000005</v>
          </cell>
          <cell r="N255">
            <v>10499.047135323499</v>
          </cell>
          <cell r="O255">
            <v>10491.049999999997</v>
          </cell>
          <cell r="P255">
            <v>0</v>
          </cell>
          <cell r="Q255">
            <v>156.7538588088</v>
          </cell>
          <cell r="R255">
            <v>7.9971353235014249</v>
          </cell>
          <cell r="S255">
            <v>0</v>
          </cell>
          <cell r="T255">
            <v>0</v>
          </cell>
        </row>
        <row r="256">
          <cell r="C256">
            <v>10080025</v>
          </cell>
          <cell r="D256" t="str">
            <v>Gomukh Bishanpur</v>
          </cell>
          <cell r="E256" t="str">
            <v>MPG</v>
          </cell>
          <cell r="F256" t="str">
            <v>Direct</v>
          </cell>
          <cell r="G256">
            <v>831.8</v>
          </cell>
          <cell r="H256">
            <v>29532.929999999997</v>
          </cell>
          <cell r="I256">
            <v>835.93000000000018</v>
          </cell>
          <cell r="J256">
            <v>31289.365290460155</v>
          </cell>
          <cell r="K256">
            <v>13.380000000000003</v>
          </cell>
          <cell r="L256">
            <v>513.75191472000006</v>
          </cell>
          <cell r="M256">
            <v>849.31000000000017</v>
          </cell>
          <cell r="N256">
            <v>31803.117205180155</v>
          </cell>
          <cell r="O256">
            <v>29532.929999999997</v>
          </cell>
          <cell r="P256">
            <v>0</v>
          </cell>
          <cell r="Q256">
            <v>513.75191472000006</v>
          </cell>
          <cell r="R256">
            <v>2270.1872051801583</v>
          </cell>
          <cell r="S256">
            <v>0</v>
          </cell>
          <cell r="T256">
            <v>0</v>
          </cell>
        </row>
        <row r="257">
          <cell r="C257">
            <v>10080032</v>
          </cell>
          <cell r="D257" t="str">
            <v>GOMUKH BEGAMSARAI</v>
          </cell>
          <cell r="E257" t="str">
            <v>MPG</v>
          </cell>
          <cell r="F257" t="str">
            <v>Direct</v>
          </cell>
          <cell r="G257">
            <v>464.5</v>
          </cell>
          <cell r="H257">
            <v>18954.660000000003</v>
          </cell>
          <cell r="I257">
            <v>185.78</v>
          </cell>
          <cell r="J257">
            <v>7622.0719062840008</v>
          </cell>
          <cell r="K257">
            <v>277.20999999999998</v>
          </cell>
          <cell r="L257">
            <v>11267.954577396002</v>
          </cell>
          <cell r="M257">
            <v>462.99</v>
          </cell>
          <cell r="N257">
            <v>18890.026483680002</v>
          </cell>
          <cell r="O257">
            <v>18890.026483680002</v>
          </cell>
          <cell r="P257">
            <v>0</v>
          </cell>
          <cell r="Q257">
            <v>89.722812960000013</v>
          </cell>
          <cell r="R257">
            <v>0</v>
          </cell>
          <cell r="S257">
            <v>18800</v>
          </cell>
          <cell r="T257">
            <v>0</v>
          </cell>
        </row>
        <row r="258">
          <cell r="C258">
            <v>10080039</v>
          </cell>
          <cell r="D258" t="str">
            <v>Hasanpur - Abhijeet</v>
          </cell>
          <cell r="E258" t="str">
            <v>vlc</v>
          </cell>
          <cell r="F258" t="str">
            <v>Indirect</v>
          </cell>
          <cell r="G258">
            <v>37.700000000000003</v>
          </cell>
          <cell r="H258">
            <v>1215.45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1215.45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1215</v>
          </cell>
        </row>
        <row r="259">
          <cell r="C259">
            <v>10080040</v>
          </cell>
          <cell r="D259" t="str">
            <v>Adharpur - Manish</v>
          </cell>
          <cell r="E259" t="str">
            <v>vlc</v>
          </cell>
          <cell r="F259" t="str">
            <v>Indirect</v>
          </cell>
          <cell r="G259">
            <v>963.55</v>
          </cell>
          <cell r="H259">
            <v>37475.619999999995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37475.619999999995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</row>
        <row r="260">
          <cell r="C260">
            <v>10080048</v>
          </cell>
          <cell r="D260" t="str">
            <v>GOMUKH RANI 3</v>
          </cell>
          <cell r="E260" t="str">
            <v>MPG</v>
          </cell>
          <cell r="F260" t="str">
            <v>Direct</v>
          </cell>
          <cell r="G260">
            <v>234.54999999999995</v>
          </cell>
          <cell r="H260">
            <v>10318.829999999998</v>
          </cell>
          <cell r="I260">
            <v>233.32999999999998</v>
          </cell>
          <cell r="J260">
            <v>10076.989057390598</v>
          </cell>
          <cell r="K260">
            <v>1.9</v>
          </cell>
          <cell r="L260">
            <v>84.907435398000004</v>
          </cell>
          <cell r="M260">
            <v>235.23</v>
          </cell>
          <cell r="N260">
            <v>10161.896492788597</v>
          </cell>
          <cell r="O260">
            <v>10161.896492788597</v>
          </cell>
          <cell r="P260">
            <v>0</v>
          </cell>
          <cell r="Q260">
            <v>84.907435398000004</v>
          </cell>
          <cell r="R260">
            <v>0</v>
          </cell>
          <cell r="S260">
            <v>3340</v>
          </cell>
          <cell r="T260">
            <v>0</v>
          </cell>
        </row>
        <row r="261">
          <cell r="C261">
            <v>10080052</v>
          </cell>
          <cell r="D261" t="str">
            <v>GOMUKH NONPUR</v>
          </cell>
          <cell r="E261" t="str">
            <v>MPG</v>
          </cell>
          <cell r="F261" t="str">
            <v>Direct</v>
          </cell>
          <cell r="G261">
            <v>732.4</v>
          </cell>
          <cell r="H261">
            <v>26334.52</v>
          </cell>
          <cell r="I261">
            <v>729.4899999999999</v>
          </cell>
          <cell r="J261">
            <v>28620.303645780001</v>
          </cell>
          <cell r="K261">
            <v>1.4400000000000002</v>
          </cell>
          <cell r="L261">
            <v>58.398409080000008</v>
          </cell>
          <cell r="M261">
            <v>730.93</v>
          </cell>
          <cell r="N261">
            <v>28678.702054860001</v>
          </cell>
          <cell r="O261">
            <v>26334.52</v>
          </cell>
          <cell r="P261">
            <v>0</v>
          </cell>
          <cell r="Q261">
            <v>58.398409080000008</v>
          </cell>
          <cell r="R261">
            <v>2344.1820548600008</v>
          </cell>
          <cell r="S261">
            <v>6800</v>
          </cell>
          <cell r="T261">
            <v>0</v>
          </cell>
        </row>
        <row r="262">
          <cell r="C262">
            <v>10080053</v>
          </cell>
          <cell r="D262" t="str">
            <v>GOMUKH FATEHA</v>
          </cell>
          <cell r="E262" t="str">
            <v>MPG</v>
          </cell>
          <cell r="F262" t="str">
            <v>Direct</v>
          </cell>
          <cell r="G262">
            <v>462.25</v>
          </cell>
          <cell r="H262">
            <v>16246.509999999998</v>
          </cell>
          <cell r="I262">
            <v>539.20000000000005</v>
          </cell>
          <cell r="J262">
            <v>19416.105712818469</v>
          </cell>
          <cell r="K262">
            <v>0</v>
          </cell>
          <cell r="L262">
            <v>0</v>
          </cell>
          <cell r="M262">
            <v>539.20000000000005</v>
          </cell>
          <cell r="N262">
            <v>19416.105712818469</v>
          </cell>
          <cell r="O262">
            <v>16246.509999999998</v>
          </cell>
          <cell r="P262">
            <v>0</v>
          </cell>
          <cell r="Q262">
            <v>0</v>
          </cell>
          <cell r="R262">
            <v>3169.5957128184709</v>
          </cell>
          <cell r="S262">
            <v>0</v>
          </cell>
          <cell r="T262">
            <v>0</v>
          </cell>
        </row>
        <row r="263">
          <cell r="C263">
            <v>10080054</v>
          </cell>
          <cell r="D263" t="str">
            <v>Bablu Singh</v>
          </cell>
          <cell r="E263" t="str">
            <v>vlc</v>
          </cell>
          <cell r="F263" t="str">
            <v>Indirect</v>
          </cell>
          <cell r="G263">
            <v>279.34999999999997</v>
          </cell>
          <cell r="H263">
            <v>10031.619999999999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10031.619999999999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6105.9317032258041</v>
          </cell>
        </row>
        <row r="264">
          <cell r="C264">
            <v>10080055</v>
          </cell>
          <cell r="D264" t="str">
            <v>Gomukh Rani                                                                                         </v>
          </cell>
          <cell r="E264" t="str">
            <v>MPG</v>
          </cell>
          <cell r="F264" t="str">
            <v>Direct</v>
          </cell>
          <cell r="G264">
            <v>243.05000000000004</v>
          </cell>
          <cell r="H264">
            <v>8845.4800000000014</v>
          </cell>
          <cell r="I264">
            <v>243.96999999999997</v>
          </cell>
          <cell r="J264">
            <v>9783.6282545760005</v>
          </cell>
          <cell r="K264">
            <v>0</v>
          </cell>
          <cell r="L264">
            <v>0</v>
          </cell>
          <cell r="M264">
            <v>243.96999999999997</v>
          </cell>
          <cell r="N264">
            <v>9783.6282545760005</v>
          </cell>
          <cell r="O264">
            <v>8845.4800000000014</v>
          </cell>
          <cell r="P264">
            <v>0</v>
          </cell>
          <cell r="Q264">
            <v>0</v>
          </cell>
          <cell r="R264">
            <v>938.14825457599909</v>
          </cell>
          <cell r="S264">
            <v>0</v>
          </cell>
          <cell r="T264">
            <v>683.29495263157855</v>
          </cell>
        </row>
        <row r="265">
          <cell r="C265">
            <v>10080061</v>
          </cell>
          <cell r="D265" t="str">
            <v>GOMUKH ROOPNAGAR</v>
          </cell>
          <cell r="E265" t="str">
            <v>MPG</v>
          </cell>
          <cell r="F265" t="str">
            <v>Direct</v>
          </cell>
          <cell r="G265">
            <v>129.5</v>
          </cell>
          <cell r="H265">
            <v>4514.16</v>
          </cell>
          <cell r="I265">
            <v>124.60000000000001</v>
          </cell>
          <cell r="J265">
            <v>4361.2222381200008</v>
          </cell>
          <cell r="K265">
            <v>0</v>
          </cell>
          <cell r="L265">
            <v>0</v>
          </cell>
          <cell r="M265">
            <v>124.60000000000001</v>
          </cell>
          <cell r="N265">
            <v>4361.2222381200008</v>
          </cell>
          <cell r="O265">
            <v>4361.2222381200008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52.443479999999944</v>
          </cell>
        </row>
        <row r="266">
          <cell r="C266">
            <v>10080062</v>
          </cell>
          <cell r="D266" t="str">
            <v>GOMUKH SIBUTOL 2</v>
          </cell>
          <cell r="E266" t="str">
            <v>MPG</v>
          </cell>
          <cell r="F266" t="str">
            <v>Direct</v>
          </cell>
          <cell r="G266">
            <v>53.599999999999994</v>
          </cell>
          <cell r="H266">
            <v>2119.67</v>
          </cell>
          <cell r="I266">
            <v>52</v>
          </cell>
          <cell r="J266">
            <v>2129.2636622400005</v>
          </cell>
          <cell r="K266">
            <v>0</v>
          </cell>
          <cell r="L266">
            <v>0</v>
          </cell>
          <cell r="M266">
            <v>52</v>
          </cell>
          <cell r="N266">
            <v>2129.2636622400005</v>
          </cell>
          <cell r="O266">
            <v>2119.67</v>
          </cell>
          <cell r="P266">
            <v>0</v>
          </cell>
          <cell r="Q266">
            <v>0</v>
          </cell>
          <cell r="R266">
            <v>9.5936622400004126</v>
          </cell>
          <cell r="S266">
            <v>0</v>
          </cell>
          <cell r="T266">
            <v>375.13</v>
          </cell>
        </row>
        <row r="267">
          <cell r="C267">
            <v>10080067</v>
          </cell>
          <cell r="D267" t="str">
            <v>Gomukh Harichak</v>
          </cell>
          <cell r="E267" t="str">
            <v>MPG</v>
          </cell>
          <cell r="F267" t="str">
            <v>Direct</v>
          </cell>
          <cell r="G267">
            <v>78.199999999999989</v>
          </cell>
          <cell r="H267">
            <v>2876.68</v>
          </cell>
          <cell r="I267">
            <v>78.199999999999989</v>
          </cell>
          <cell r="J267">
            <v>2621.4012697752005</v>
          </cell>
          <cell r="K267">
            <v>0</v>
          </cell>
          <cell r="L267">
            <v>0</v>
          </cell>
          <cell r="M267">
            <v>78.199999999999989</v>
          </cell>
          <cell r="N267">
            <v>2621.4012697752005</v>
          </cell>
          <cell r="O267">
            <v>2621.4012697752005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64.95</v>
          </cell>
        </row>
        <row r="268">
          <cell r="C268">
            <v>10080076</v>
          </cell>
          <cell r="D268" t="str">
            <v>RAJ BHARDWAJ</v>
          </cell>
          <cell r="E268" t="str">
            <v>vlc</v>
          </cell>
          <cell r="F268" t="str">
            <v>Indirect</v>
          </cell>
          <cell r="G268">
            <v>70.150000000000006</v>
          </cell>
          <cell r="H268">
            <v>2690.4500000000003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2690.4500000000003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</row>
        <row r="269">
          <cell r="C269">
            <v>10080077</v>
          </cell>
          <cell r="D269" t="str">
            <v>Gomukh Amarpur</v>
          </cell>
          <cell r="E269" t="str">
            <v>MPG</v>
          </cell>
          <cell r="F269" t="str">
            <v>Direct</v>
          </cell>
          <cell r="G269">
            <v>970.39999999999986</v>
          </cell>
          <cell r="H269">
            <v>35882.79</v>
          </cell>
          <cell r="I269">
            <v>967.44</v>
          </cell>
          <cell r="J269">
            <v>34555.913164859303</v>
          </cell>
          <cell r="K269">
            <v>1.44</v>
          </cell>
          <cell r="L269">
            <v>52.365264237000005</v>
          </cell>
          <cell r="M269">
            <v>968.88000000000011</v>
          </cell>
          <cell r="N269">
            <v>34608.278429096303</v>
          </cell>
          <cell r="O269">
            <v>34608.278429096303</v>
          </cell>
          <cell r="P269">
            <v>0</v>
          </cell>
          <cell r="Q269">
            <v>52.365264237000005</v>
          </cell>
          <cell r="R269">
            <v>0</v>
          </cell>
          <cell r="S269">
            <v>0</v>
          </cell>
          <cell r="T269">
            <v>0</v>
          </cell>
        </row>
        <row r="270">
          <cell r="C270">
            <v>10080078</v>
          </cell>
          <cell r="D270" t="str">
            <v>Prashant Kumar</v>
          </cell>
          <cell r="E270" t="str">
            <v>vlc</v>
          </cell>
          <cell r="F270" t="str">
            <v>Indirect</v>
          </cell>
          <cell r="G270">
            <v>56.6</v>
          </cell>
          <cell r="H270">
            <v>2286.0700000000002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2286.0700000000002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2233.3832225806445</v>
          </cell>
        </row>
        <row r="271">
          <cell r="C271">
            <v>10080079</v>
          </cell>
          <cell r="D271" t="str">
            <v>Gomukh Barauni 3</v>
          </cell>
          <cell r="E271" t="str">
            <v>MPG</v>
          </cell>
          <cell r="F271" t="str">
            <v>Direct</v>
          </cell>
          <cell r="G271">
            <v>164.1</v>
          </cell>
          <cell r="H271">
            <v>6175.58</v>
          </cell>
          <cell r="I271">
            <v>163</v>
          </cell>
          <cell r="J271">
            <v>6153.7545828000011</v>
          </cell>
          <cell r="K271">
            <v>0</v>
          </cell>
          <cell r="L271">
            <v>0</v>
          </cell>
          <cell r="M271">
            <v>163</v>
          </cell>
          <cell r="N271">
            <v>6153.7545828000011</v>
          </cell>
          <cell r="O271">
            <v>6153.7545828000011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</row>
        <row r="272">
          <cell r="C272">
            <v>10080080</v>
          </cell>
          <cell r="D272" t="str">
            <v>CHANDAN YADAV</v>
          </cell>
          <cell r="E272" t="str">
            <v>vlc</v>
          </cell>
          <cell r="F272" t="str">
            <v>Indirect</v>
          </cell>
          <cell r="G272">
            <v>205</v>
          </cell>
          <cell r="H272">
            <v>6903.9600000000009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6903.9600000000009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642.55951935483881</v>
          </cell>
        </row>
        <row r="273">
          <cell r="C273">
            <v>10080082</v>
          </cell>
          <cell r="D273" t="str">
            <v>DINESH YADAV</v>
          </cell>
          <cell r="E273" t="str">
            <v>vlc</v>
          </cell>
          <cell r="F273" t="str">
            <v>Indirect</v>
          </cell>
          <cell r="G273">
            <v>383.3</v>
          </cell>
          <cell r="H273">
            <v>13966.76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13966.76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</row>
        <row r="274">
          <cell r="C274">
            <v>10080083</v>
          </cell>
          <cell r="D274" t="str">
            <v>ANITA DEVI</v>
          </cell>
          <cell r="E274" t="str">
            <v>vlc</v>
          </cell>
          <cell r="F274" t="str">
            <v>Indirect</v>
          </cell>
          <cell r="G274">
            <v>50.900000000000006</v>
          </cell>
          <cell r="H274">
            <v>1951.0699999999997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1951.0699999999997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98.385600000000025</v>
          </cell>
        </row>
        <row r="275">
          <cell r="C275">
            <v>10080087</v>
          </cell>
          <cell r="D275" t="str">
            <v>GOMUKH GEHUNI 2</v>
          </cell>
          <cell r="E275" t="str">
            <v>MPG</v>
          </cell>
          <cell r="F275" t="str">
            <v>Direct</v>
          </cell>
          <cell r="G275">
            <v>446.6</v>
          </cell>
          <cell r="H275">
            <v>16848.97</v>
          </cell>
          <cell r="I275">
            <v>448.93000000000006</v>
          </cell>
          <cell r="J275">
            <v>17051.650128909001</v>
          </cell>
          <cell r="K275">
            <v>0.71</v>
          </cell>
          <cell r="L275">
            <v>27.126754578</v>
          </cell>
          <cell r="M275">
            <v>449.64000000000004</v>
          </cell>
          <cell r="N275">
            <v>17078.776883487</v>
          </cell>
          <cell r="O275">
            <v>16848.97</v>
          </cell>
          <cell r="P275">
            <v>0</v>
          </cell>
          <cell r="Q275">
            <v>27.126754578</v>
          </cell>
          <cell r="R275">
            <v>229.80688348699914</v>
          </cell>
          <cell r="S275">
            <v>0</v>
          </cell>
          <cell r="T275">
            <v>0</v>
          </cell>
        </row>
        <row r="276">
          <cell r="C276">
            <v>10080088</v>
          </cell>
          <cell r="D276" t="str">
            <v>GOMUKH MALHIPUR</v>
          </cell>
          <cell r="E276" t="str">
            <v>MPG</v>
          </cell>
          <cell r="F276" t="str">
            <v>Direct</v>
          </cell>
          <cell r="G276">
            <v>1407.8000000000002</v>
          </cell>
          <cell r="H276">
            <v>51502.100000000006</v>
          </cell>
          <cell r="I276">
            <v>1403.43</v>
          </cell>
          <cell r="J276">
            <v>50379.317161133396</v>
          </cell>
          <cell r="K276">
            <v>2.4300000000000002</v>
          </cell>
          <cell r="L276">
            <v>87.066591519600024</v>
          </cell>
          <cell r="M276">
            <v>1405.8600000000001</v>
          </cell>
          <cell r="N276">
            <v>50466.383752652997</v>
          </cell>
          <cell r="O276">
            <v>50466.383752652997</v>
          </cell>
          <cell r="P276">
            <v>0</v>
          </cell>
          <cell r="Q276">
            <v>87.066591519600024</v>
          </cell>
          <cell r="R276">
            <v>0</v>
          </cell>
          <cell r="S276">
            <v>0</v>
          </cell>
          <cell r="T276">
            <v>0</v>
          </cell>
        </row>
        <row r="277">
          <cell r="C277">
            <v>10080089</v>
          </cell>
          <cell r="D277" t="str">
            <v>Bihat - Sonu Kumar</v>
          </cell>
          <cell r="E277" t="str">
            <v>vlc</v>
          </cell>
          <cell r="F277" t="str">
            <v>Indirect</v>
          </cell>
          <cell r="G277">
            <v>347.15</v>
          </cell>
          <cell r="H277">
            <v>12085.320000000002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12085.320000000002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392.06219032258076</v>
          </cell>
        </row>
        <row r="278">
          <cell r="C278">
            <v>10080090</v>
          </cell>
          <cell r="D278" t="str">
            <v>Rasalpur - Durgesh Kumar</v>
          </cell>
          <cell r="E278" t="str">
            <v>vlc</v>
          </cell>
          <cell r="F278" t="str">
            <v>Indirect</v>
          </cell>
          <cell r="G278">
            <v>143.69999999999999</v>
          </cell>
          <cell r="H278">
            <v>4871.6399999999994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4871.6399999999994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416.34560322580671</v>
          </cell>
        </row>
        <row r="279">
          <cell r="C279">
            <v>10080093</v>
          </cell>
          <cell r="D279" t="str">
            <v>Barauni Bariyarpur</v>
          </cell>
          <cell r="E279" t="str">
            <v>MPG</v>
          </cell>
          <cell r="F279" t="str">
            <v>Direct</v>
          </cell>
          <cell r="G279">
            <v>649.05000000000007</v>
          </cell>
          <cell r="H279">
            <v>23520.15</v>
          </cell>
          <cell r="I279">
            <v>648</v>
          </cell>
          <cell r="J279">
            <v>23523.127056000005</v>
          </cell>
          <cell r="K279">
            <v>0</v>
          </cell>
          <cell r="L279">
            <v>0</v>
          </cell>
          <cell r="M279">
            <v>648</v>
          </cell>
          <cell r="N279">
            <v>23523.127056000005</v>
          </cell>
          <cell r="O279">
            <v>23520.15</v>
          </cell>
          <cell r="P279">
            <v>0</v>
          </cell>
          <cell r="Q279">
            <v>0</v>
          </cell>
          <cell r="R279">
            <v>2.9770560000033583</v>
          </cell>
          <cell r="S279">
            <v>0</v>
          </cell>
          <cell r="T279">
            <v>0</v>
          </cell>
        </row>
        <row r="280">
          <cell r="C280">
            <v>10080095</v>
          </cell>
          <cell r="D280" t="str">
            <v>Jaynagar</v>
          </cell>
          <cell r="E280" t="str">
            <v>MPG</v>
          </cell>
          <cell r="F280" t="str">
            <v>Direct</v>
          </cell>
          <cell r="G280">
            <v>222.79999999999998</v>
          </cell>
          <cell r="H280">
            <v>7762.4499999999989</v>
          </cell>
          <cell r="I280">
            <v>222.6</v>
          </cell>
          <cell r="J280">
            <v>7755.8876956440017</v>
          </cell>
          <cell r="K280">
            <v>0</v>
          </cell>
          <cell r="L280">
            <v>0</v>
          </cell>
          <cell r="M280">
            <v>222.6</v>
          </cell>
          <cell r="N280">
            <v>7755.8876956440017</v>
          </cell>
          <cell r="O280">
            <v>7755.8876956440017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C281">
            <v>10080097</v>
          </cell>
          <cell r="D281" t="str">
            <v>Fateha - Anil Yadav</v>
          </cell>
          <cell r="E281" t="str">
            <v>vlc</v>
          </cell>
          <cell r="F281" t="str">
            <v>Indirect</v>
          </cell>
          <cell r="G281">
            <v>993.25000000000011</v>
          </cell>
          <cell r="H281">
            <v>34422.329999999994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34422.329999999994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</row>
        <row r="282">
          <cell r="C282">
            <v>10080099</v>
          </cell>
          <cell r="D282" t="str">
            <v>Bihat - Chakballi</v>
          </cell>
          <cell r="E282" t="str">
            <v>MPG</v>
          </cell>
          <cell r="F282" t="str">
            <v>Direct</v>
          </cell>
          <cell r="G282">
            <v>1540.35</v>
          </cell>
          <cell r="H282">
            <v>49983.479999999996</v>
          </cell>
          <cell r="I282">
            <v>1540.1</v>
          </cell>
          <cell r="J282">
            <v>50381.412819209996</v>
          </cell>
          <cell r="K282">
            <v>0</v>
          </cell>
          <cell r="L282">
            <v>0</v>
          </cell>
          <cell r="M282">
            <v>1540.1</v>
          </cell>
          <cell r="N282">
            <v>50381.412819209996</v>
          </cell>
          <cell r="O282">
            <v>49983.479999999996</v>
          </cell>
          <cell r="P282">
            <v>0</v>
          </cell>
          <cell r="Q282">
            <v>0</v>
          </cell>
          <cell r="R282">
            <v>397.93281921000016</v>
          </cell>
          <cell r="S282">
            <v>0</v>
          </cell>
          <cell r="T282">
            <v>2012.8414499999985</v>
          </cell>
        </row>
        <row r="283">
          <cell r="C283">
            <v>10080100</v>
          </cell>
          <cell r="D283" t="str">
            <v>Sibutol- Naya Tola</v>
          </cell>
          <cell r="E283" t="str">
            <v>MPG</v>
          </cell>
          <cell r="F283" t="str">
            <v>Direct</v>
          </cell>
          <cell r="G283">
            <v>3.7</v>
          </cell>
          <cell r="H283">
            <v>123.14</v>
          </cell>
          <cell r="I283">
            <v>3</v>
          </cell>
          <cell r="J283">
            <v>100.27013436000001</v>
          </cell>
          <cell r="K283">
            <v>0</v>
          </cell>
          <cell r="L283">
            <v>0</v>
          </cell>
          <cell r="M283">
            <v>3</v>
          </cell>
          <cell r="N283">
            <v>100.27013436000001</v>
          </cell>
          <cell r="O283">
            <v>100.27013436000001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100</v>
          </cell>
        </row>
        <row r="284">
          <cell r="C284">
            <v>10080107</v>
          </cell>
          <cell r="D284" t="str">
            <v>Rasalpur</v>
          </cell>
          <cell r="E284" t="str">
            <v>vlc</v>
          </cell>
          <cell r="F284" t="str">
            <v>Indirect</v>
          </cell>
          <cell r="G284">
            <v>397.15</v>
          </cell>
          <cell r="H284">
            <v>14342.800000000001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14342.800000000001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79.460845161290152</v>
          </cell>
        </row>
        <row r="285">
          <cell r="C285">
            <v>10080112</v>
          </cell>
          <cell r="D285" t="str">
            <v>Samsa</v>
          </cell>
          <cell r="E285" t="str">
            <v>vlc</v>
          </cell>
          <cell r="F285" t="str">
            <v>Indirect</v>
          </cell>
          <cell r="G285">
            <v>781.2</v>
          </cell>
          <cell r="H285">
            <v>31247.120000000003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31247.120000000003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</row>
        <row r="286">
          <cell r="C286">
            <v>10080113</v>
          </cell>
          <cell r="D286" t="str">
            <v>Dahiya</v>
          </cell>
          <cell r="E286" t="str">
            <v>vlc</v>
          </cell>
          <cell r="F286" t="str">
            <v>Indirect</v>
          </cell>
          <cell r="G286">
            <v>422.05000000000007</v>
          </cell>
          <cell r="H286">
            <v>15766.740000000002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15766.740000000002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</row>
        <row r="287">
          <cell r="C287">
            <v>10080115</v>
          </cell>
          <cell r="D287" t="str">
            <v>Gaura</v>
          </cell>
          <cell r="E287" t="str">
            <v>MPG</v>
          </cell>
          <cell r="F287" t="str">
            <v>Direct</v>
          </cell>
          <cell r="G287">
            <v>397.7</v>
          </cell>
          <cell r="H287">
            <v>15019.970000000001</v>
          </cell>
          <cell r="I287">
            <v>396</v>
          </cell>
          <cell r="J287">
            <v>15002.4926304</v>
          </cell>
          <cell r="K287">
            <v>0</v>
          </cell>
          <cell r="L287">
            <v>0</v>
          </cell>
          <cell r="M287">
            <v>396</v>
          </cell>
          <cell r="N287">
            <v>15002.4926304</v>
          </cell>
          <cell r="O287">
            <v>15002.4926304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828.33</v>
          </cell>
        </row>
        <row r="288">
          <cell r="C288">
            <v>10080119</v>
          </cell>
          <cell r="D288" t="str">
            <v>Mukhtiyarpur</v>
          </cell>
          <cell r="E288" t="str">
            <v>MPG</v>
          </cell>
          <cell r="F288" t="str">
            <v>Direct</v>
          </cell>
          <cell r="G288">
            <v>295.55000000000007</v>
          </cell>
          <cell r="H288">
            <v>10971.730000000003</v>
          </cell>
          <cell r="I288">
            <v>329.45</v>
          </cell>
          <cell r="J288">
            <v>13646.831074282083</v>
          </cell>
          <cell r="K288">
            <v>5.57</v>
          </cell>
          <cell r="L288">
            <v>206.09907199200006</v>
          </cell>
          <cell r="M288">
            <v>335.02</v>
          </cell>
          <cell r="N288">
            <v>13852.930146274084</v>
          </cell>
          <cell r="O288">
            <v>10971.730000000003</v>
          </cell>
          <cell r="P288">
            <v>0</v>
          </cell>
          <cell r="Q288">
            <v>0</v>
          </cell>
          <cell r="R288">
            <v>2881.2001462740809</v>
          </cell>
          <cell r="S288">
            <v>6500</v>
          </cell>
          <cell r="T288">
            <v>1308.3075196721311</v>
          </cell>
        </row>
        <row r="289">
          <cell r="C289">
            <v>10080120</v>
          </cell>
          <cell r="D289" t="str">
            <v>Gomukh Rudauli-02</v>
          </cell>
          <cell r="E289" t="str">
            <v>MPG</v>
          </cell>
          <cell r="F289" t="str">
            <v>Direct</v>
          </cell>
          <cell r="G289">
            <v>416.75</v>
          </cell>
          <cell r="H289">
            <v>15600.61</v>
          </cell>
          <cell r="I289">
            <v>405.09000000000009</v>
          </cell>
          <cell r="J289">
            <v>13749.180184415018</v>
          </cell>
          <cell r="K289">
            <v>46.96</v>
          </cell>
          <cell r="L289">
            <v>1679.8922754768003</v>
          </cell>
          <cell r="M289">
            <v>452.05000000000007</v>
          </cell>
          <cell r="N289">
            <v>15429.072459891819</v>
          </cell>
          <cell r="O289">
            <v>15429.072459891819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</row>
        <row r="290">
          <cell r="C290">
            <v>10080122</v>
          </cell>
          <cell r="D290" t="str">
            <v>Gomukh Puranatol Raichiahi</v>
          </cell>
          <cell r="E290" t="str">
            <v>MPG</v>
          </cell>
          <cell r="F290" t="str">
            <v>Direct</v>
          </cell>
          <cell r="G290">
            <v>662.55000000000007</v>
          </cell>
          <cell r="H290">
            <v>24683.86</v>
          </cell>
          <cell r="I290">
            <v>662.2</v>
          </cell>
          <cell r="J290">
            <v>24670.673184762003</v>
          </cell>
          <cell r="K290">
            <v>0</v>
          </cell>
          <cell r="L290">
            <v>0</v>
          </cell>
          <cell r="M290">
            <v>662.2</v>
          </cell>
          <cell r="N290">
            <v>24670.673184762003</v>
          </cell>
          <cell r="O290">
            <v>24670.673184762003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</row>
        <row r="291">
          <cell r="C291">
            <v>10080124</v>
          </cell>
          <cell r="D291" t="str">
            <v>Bihat-Gududaspur</v>
          </cell>
          <cell r="E291" t="str">
            <v>MPG</v>
          </cell>
          <cell r="F291" t="str">
            <v>Direct</v>
          </cell>
          <cell r="G291">
            <v>345.24999999999994</v>
          </cell>
          <cell r="H291">
            <v>13883.449999999999</v>
          </cell>
          <cell r="I291">
            <v>347.6</v>
          </cell>
          <cell r="J291">
            <v>13878.971025480003</v>
          </cell>
          <cell r="K291">
            <v>0</v>
          </cell>
          <cell r="L291">
            <v>0</v>
          </cell>
          <cell r="M291">
            <v>347.6</v>
          </cell>
          <cell r="N291">
            <v>13878.971025480003</v>
          </cell>
          <cell r="O291">
            <v>13878.971025480003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</row>
        <row r="292">
          <cell r="C292">
            <v>10080126</v>
          </cell>
          <cell r="D292" t="str">
            <v>Labharchak-2</v>
          </cell>
          <cell r="E292" t="str">
            <v>MPG</v>
          </cell>
          <cell r="F292" t="str">
            <v>Direct</v>
          </cell>
          <cell r="G292">
            <v>267.84999999999997</v>
          </cell>
          <cell r="H292">
            <v>9993.1</v>
          </cell>
          <cell r="I292">
            <v>266.5</v>
          </cell>
          <cell r="J292">
            <v>10026.0149418</v>
          </cell>
          <cell r="K292">
            <v>0</v>
          </cell>
          <cell r="L292">
            <v>0</v>
          </cell>
          <cell r="M292">
            <v>266.5</v>
          </cell>
          <cell r="N292">
            <v>10026.0149418</v>
          </cell>
          <cell r="O292">
            <v>9993.1</v>
          </cell>
          <cell r="P292">
            <v>0</v>
          </cell>
          <cell r="Q292">
            <v>0</v>
          </cell>
          <cell r="R292">
            <v>32.914941799999724</v>
          </cell>
          <cell r="S292">
            <v>0</v>
          </cell>
          <cell r="T292">
            <v>0</v>
          </cell>
        </row>
        <row r="293">
          <cell r="C293">
            <v>10090001</v>
          </cell>
          <cell r="D293" t="str">
            <v>POHE</v>
          </cell>
          <cell r="E293" t="str">
            <v>vlc</v>
          </cell>
          <cell r="F293" t="str">
            <v>Indirect</v>
          </cell>
          <cell r="G293">
            <v>372.7</v>
          </cell>
          <cell r="H293">
            <v>15927.79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15927.79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</row>
        <row r="294">
          <cell r="C294">
            <v>10090002</v>
          </cell>
          <cell r="D294" t="str">
            <v>AURO</v>
          </cell>
          <cell r="E294" t="str">
            <v>MPG</v>
          </cell>
          <cell r="F294" t="str">
            <v>Direct</v>
          </cell>
          <cell r="G294">
            <v>1931.7</v>
          </cell>
          <cell r="H294">
            <v>80282.8</v>
          </cell>
          <cell r="I294">
            <v>1385.05</v>
          </cell>
          <cell r="J294">
            <v>58254.939028394227</v>
          </cell>
          <cell r="K294">
            <v>544.78000000000009</v>
          </cell>
          <cell r="L294">
            <v>22769.359783944452</v>
          </cell>
          <cell r="M294">
            <v>1929.83</v>
          </cell>
          <cell r="N294">
            <v>81024.298812338675</v>
          </cell>
          <cell r="O294">
            <v>80282.8</v>
          </cell>
          <cell r="P294">
            <v>0</v>
          </cell>
          <cell r="Q294">
            <v>582.60627453600023</v>
          </cell>
          <cell r="R294">
            <v>741.498812338672</v>
          </cell>
          <cell r="S294">
            <v>0</v>
          </cell>
          <cell r="T294">
            <v>0</v>
          </cell>
        </row>
        <row r="295">
          <cell r="C295">
            <v>10090003</v>
          </cell>
          <cell r="D295" t="str">
            <v>PARSHAMA</v>
          </cell>
          <cell r="E295" t="str">
            <v>MPG</v>
          </cell>
          <cell r="F295" t="str">
            <v>Direct</v>
          </cell>
          <cell r="G295">
            <v>107.29999999999998</v>
          </cell>
          <cell r="H295">
            <v>3606.5900000000006</v>
          </cell>
          <cell r="I295">
            <v>105.69999999999999</v>
          </cell>
          <cell r="J295">
            <v>3594.9192899400005</v>
          </cell>
          <cell r="K295">
            <v>0.7</v>
          </cell>
          <cell r="L295">
            <v>23.816171412000006</v>
          </cell>
          <cell r="M295">
            <v>106.39999999999999</v>
          </cell>
          <cell r="N295">
            <v>3618.7354613520006</v>
          </cell>
          <cell r="O295">
            <v>3606.5900000000006</v>
          </cell>
          <cell r="P295">
            <v>0</v>
          </cell>
          <cell r="Q295">
            <v>23.816171412000006</v>
          </cell>
          <cell r="R295">
            <v>12.145461351999984</v>
          </cell>
          <cell r="S295">
            <v>0</v>
          </cell>
          <cell r="T295">
            <v>69.839980645161333</v>
          </cell>
        </row>
        <row r="296">
          <cell r="C296">
            <v>10090005</v>
          </cell>
          <cell r="D296" t="str">
            <v>PRATAPUR 2</v>
          </cell>
          <cell r="E296" t="str">
            <v>vlc</v>
          </cell>
          <cell r="F296" t="str">
            <v>Indirect</v>
          </cell>
          <cell r="G296">
            <v>188.99999999999997</v>
          </cell>
          <cell r="H296">
            <v>8095.0099999999993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8095.0099999999993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186.25523225806461</v>
          </cell>
        </row>
        <row r="297">
          <cell r="C297">
            <v>10090006</v>
          </cell>
          <cell r="D297" t="str">
            <v>BALLOPUR</v>
          </cell>
          <cell r="E297" t="str">
            <v>MPG</v>
          </cell>
          <cell r="F297" t="str">
            <v>Direct</v>
          </cell>
          <cell r="G297">
            <v>1536.4999999999998</v>
          </cell>
          <cell r="H297">
            <v>60019.139999999992</v>
          </cell>
          <cell r="I297">
            <v>1530.1000000000001</v>
          </cell>
          <cell r="J297">
            <v>62696.396559448593</v>
          </cell>
          <cell r="K297">
            <v>0</v>
          </cell>
          <cell r="L297">
            <v>0</v>
          </cell>
          <cell r="M297">
            <v>1530.1000000000001</v>
          </cell>
          <cell r="N297">
            <v>62696.396559448593</v>
          </cell>
          <cell r="O297">
            <v>60019.139999999992</v>
          </cell>
          <cell r="P297">
            <v>0</v>
          </cell>
          <cell r="Q297">
            <v>0</v>
          </cell>
          <cell r="R297">
            <v>2677.2565594486005</v>
          </cell>
          <cell r="S297">
            <v>0</v>
          </cell>
          <cell r="T297">
            <v>0</v>
          </cell>
        </row>
        <row r="298">
          <cell r="C298">
            <v>10090007</v>
          </cell>
          <cell r="D298" t="str">
            <v>KHAIRMA</v>
          </cell>
          <cell r="E298" t="str">
            <v>MPG</v>
          </cell>
          <cell r="F298" t="str">
            <v>Direct</v>
          </cell>
          <cell r="G298">
            <v>393.59999999999997</v>
          </cell>
          <cell r="H298">
            <v>13754.9</v>
          </cell>
          <cell r="I298">
            <v>435.5</v>
          </cell>
          <cell r="J298">
            <v>15394.5020394</v>
          </cell>
          <cell r="K298">
            <v>0</v>
          </cell>
          <cell r="L298">
            <v>0</v>
          </cell>
          <cell r="M298">
            <v>435.5</v>
          </cell>
          <cell r="N298">
            <v>15394.5020394</v>
          </cell>
          <cell r="O298">
            <v>13754.9</v>
          </cell>
          <cell r="P298">
            <v>0</v>
          </cell>
          <cell r="Q298">
            <v>0</v>
          </cell>
          <cell r="R298">
            <v>1639.6020394000006</v>
          </cell>
          <cell r="S298">
            <v>0</v>
          </cell>
          <cell r="T298">
            <v>3.2908500000001695</v>
          </cell>
        </row>
        <row r="299">
          <cell r="C299">
            <v>10090008</v>
          </cell>
          <cell r="D299" t="str">
            <v>MAHASONI</v>
          </cell>
          <cell r="E299" t="str">
            <v>MPG</v>
          </cell>
          <cell r="F299" t="str">
            <v>Direct</v>
          </cell>
          <cell r="G299">
            <v>936.49999999999989</v>
          </cell>
          <cell r="H299">
            <v>36212.429999999993</v>
          </cell>
          <cell r="I299">
            <v>957.50000000000011</v>
          </cell>
          <cell r="J299">
            <v>35424.476866121164</v>
          </cell>
          <cell r="K299">
            <v>12.700000000000001</v>
          </cell>
          <cell r="L299">
            <v>457.73615448000004</v>
          </cell>
          <cell r="M299">
            <v>970.20000000000016</v>
          </cell>
          <cell r="N299">
            <v>35882.213020601164</v>
          </cell>
          <cell r="O299">
            <v>35882.213020601164</v>
          </cell>
          <cell r="P299">
            <v>0</v>
          </cell>
          <cell r="Q299">
            <v>457.73615448000004</v>
          </cell>
          <cell r="R299">
            <v>0</v>
          </cell>
          <cell r="S299">
            <v>0</v>
          </cell>
          <cell r="T299">
            <v>0</v>
          </cell>
        </row>
        <row r="300">
          <cell r="C300">
            <v>10090009</v>
          </cell>
          <cell r="D300" t="str">
            <v>SONDHI</v>
          </cell>
          <cell r="E300" t="str">
            <v>MPG</v>
          </cell>
          <cell r="F300" t="str">
            <v>Direct</v>
          </cell>
          <cell r="G300">
            <v>598.20000000000016</v>
          </cell>
          <cell r="H300">
            <v>23593.59</v>
          </cell>
          <cell r="I300">
            <v>642.20000000000005</v>
          </cell>
          <cell r="J300">
            <v>25887.039583330403</v>
          </cell>
          <cell r="K300">
            <v>6.1000000000000005</v>
          </cell>
          <cell r="L300">
            <v>253.69761779999999</v>
          </cell>
          <cell r="M300">
            <v>648.30000000000007</v>
          </cell>
          <cell r="N300">
            <v>26140.737201130403</v>
          </cell>
          <cell r="O300">
            <v>23593.59</v>
          </cell>
          <cell r="P300">
            <v>0</v>
          </cell>
          <cell r="Q300">
            <v>253.69761779999999</v>
          </cell>
          <cell r="R300">
            <v>2547.1472011304031</v>
          </cell>
          <cell r="S300">
            <v>0</v>
          </cell>
          <cell r="T300">
            <v>0</v>
          </cell>
        </row>
        <row r="301">
          <cell r="C301">
            <v>10090011</v>
          </cell>
          <cell r="D301" t="str">
            <v>BELDARAYA</v>
          </cell>
          <cell r="E301" t="str">
            <v>vlc</v>
          </cell>
          <cell r="F301" t="str">
            <v>Indirect</v>
          </cell>
          <cell r="G301">
            <v>895.80000000000018</v>
          </cell>
          <cell r="H301">
            <v>32860.450000000004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32860.450000000004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C302">
            <v>10090012</v>
          </cell>
          <cell r="D302" t="str">
            <v>Gomukh ID Aure-2</v>
          </cell>
          <cell r="E302" t="str">
            <v>vlc</v>
          </cell>
          <cell r="F302" t="str">
            <v>Indirect</v>
          </cell>
          <cell r="G302">
            <v>1197</v>
          </cell>
          <cell r="H302">
            <v>43909.020000000004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43909.020000000004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</row>
        <row r="303">
          <cell r="C303">
            <v>10090014</v>
          </cell>
          <cell r="D303" t="str">
            <v>Gomukh Karma</v>
          </cell>
          <cell r="E303" t="str">
            <v>vlc</v>
          </cell>
          <cell r="F303" t="str">
            <v>Indirect</v>
          </cell>
          <cell r="G303">
            <v>849.50000000000011</v>
          </cell>
          <cell r="H303">
            <v>32876.54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32876.54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</row>
        <row r="304">
          <cell r="C304">
            <v>10090015</v>
          </cell>
          <cell r="D304" t="str">
            <v>GOMUKH UKSI</v>
          </cell>
          <cell r="E304" t="str">
            <v>vlc</v>
          </cell>
          <cell r="F304" t="str">
            <v>Indirect</v>
          </cell>
          <cell r="G304">
            <v>500.7</v>
          </cell>
          <cell r="H304">
            <v>20742.759999999998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20742.759999999998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</row>
        <row r="305">
          <cell r="C305">
            <v>10090017</v>
          </cell>
          <cell r="D305" t="str">
            <v>Gomukh ID Halsi</v>
          </cell>
          <cell r="E305" t="str">
            <v>vlc</v>
          </cell>
          <cell r="F305" t="str">
            <v>Indirect</v>
          </cell>
          <cell r="G305">
            <v>4958.1000000000004</v>
          </cell>
          <cell r="H305">
            <v>172610.71999999997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172610.71999999997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</row>
        <row r="306">
          <cell r="C306">
            <v>10090018</v>
          </cell>
          <cell r="D306" t="str">
            <v>Gomukh ID Lalpur</v>
          </cell>
          <cell r="E306" t="str">
            <v>vlc</v>
          </cell>
          <cell r="F306" t="str">
            <v>Indirect</v>
          </cell>
          <cell r="G306">
            <v>112.60000000000001</v>
          </cell>
          <cell r="H306">
            <v>3760.5399999999995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3760.5399999999995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153.26798709677422</v>
          </cell>
        </row>
        <row r="307">
          <cell r="C307">
            <v>10090021</v>
          </cell>
          <cell r="D307" t="str">
            <v>KHURIYARI</v>
          </cell>
          <cell r="E307" t="str">
            <v>MPG</v>
          </cell>
          <cell r="F307" t="str">
            <v>Direct</v>
          </cell>
          <cell r="G307">
            <v>806.9</v>
          </cell>
          <cell r="H307">
            <v>32209.129999999997</v>
          </cell>
          <cell r="I307">
            <v>1061.3</v>
          </cell>
          <cell r="J307">
            <v>43972.617127154605</v>
          </cell>
          <cell r="K307">
            <v>2.5000000000000004</v>
          </cell>
          <cell r="L307">
            <v>101.51924935290002</v>
          </cell>
          <cell r="M307">
            <v>1063.8</v>
          </cell>
          <cell r="N307">
            <v>44074.136376507508</v>
          </cell>
          <cell r="O307">
            <v>32209.129999999997</v>
          </cell>
          <cell r="P307">
            <v>0</v>
          </cell>
          <cell r="Q307">
            <v>101.51924935290002</v>
          </cell>
          <cell r="R307">
            <v>11865.00637650751</v>
          </cell>
          <cell r="S307">
            <v>0</v>
          </cell>
          <cell r="T307">
            <v>0</v>
          </cell>
        </row>
        <row r="308">
          <cell r="C308">
            <v>10090022</v>
          </cell>
          <cell r="D308" t="str">
            <v>BISANPUR</v>
          </cell>
          <cell r="E308" t="str">
            <v>vlc</v>
          </cell>
          <cell r="F308" t="str">
            <v>Indirect</v>
          </cell>
          <cell r="G308">
            <v>467.2</v>
          </cell>
          <cell r="H308">
            <v>18145.73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18145.73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</row>
        <row r="309">
          <cell r="C309">
            <v>10090024</v>
          </cell>
          <cell r="D309" t="str">
            <v>BEHRAMA</v>
          </cell>
          <cell r="E309" t="str">
            <v>vlc</v>
          </cell>
          <cell r="F309" t="str">
            <v>Indirect</v>
          </cell>
          <cell r="G309">
            <v>354.8</v>
          </cell>
          <cell r="H309">
            <v>13559.259999999998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13559.259999999998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C310">
            <v>10090025</v>
          </cell>
          <cell r="D310" t="str">
            <v>Gomukh ID Mathurapur</v>
          </cell>
          <cell r="E310" t="str">
            <v>vlc</v>
          </cell>
          <cell r="F310" t="str">
            <v>Indirect</v>
          </cell>
          <cell r="G310">
            <v>1032.5</v>
          </cell>
          <cell r="H310">
            <v>39672.799999999996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39672.799999999996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</row>
        <row r="311">
          <cell r="C311">
            <v>10090027</v>
          </cell>
          <cell r="D311" t="str">
            <v>Gomukh ID Kurha Dih</v>
          </cell>
          <cell r="E311" t="str">
            <v>vlc</v>
          </cell>
          <cell r="F311" t="str">
            <v>Indirect</v>
          </cell>
          <cell r="G311">
            <v>1122.5</v>
          </cell>
          <cell r="H311">
            <v>47325.52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47325.52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</row>
        <row r="312">
          <cell r="C312">
            <v>10090029</v>
          </cell>
          <cell r="D312" t="str">
            <v>RAMNAGAR</v>
          </cell>
          <cell r="E312" t="str">
            <v>MPG</v>
          </cell>
          <cell r="F312" t="str">
            <v>Direct</v>
          </cell>
          <cell r="G312">
            <v>767.3</v>
          </cell>
          <cell r="H312">
            <v>31698.73</v>
          </cell>
          <cell r="I312">
            <v>754.85</v>
          </cell>
          <cell r="J312">
            <v>31701.18492969338</v>
          </cell>
          <cell r="K312">
            <v>6.73</v>
          </cell>
          <cell r="L312">
            <v>252.30152455200002</v>
          </cell>
          <cell r="M312">
            <v>761.58</v>
          </cell>
          <cell r="N312">
            <v>31953.48645424538</v>
          </cell>
          <cell r="O312">
            <v>31698.73</v>
          </cell>
          <cell r="P312">
            <v>0</v>
          </cell>
          <cell r="Q312">
            <v>252.30152455200002</v>
          </cell>
          <cell r="R312">
            <v>254.75645424538016</v>
          </cell>
          <cell r="S312">
            <v>0</v>
          </cell>
          <cell r="T312">
            <v>0</v>
          </cell>
        </row>
        <row r="313">
          <cell r="C313">
            <v>10090033</v>
          </cell>
          <cell r="D313" t="str">
            <v>SANDH MAAF 2</v>
          </cell>
          <cell r="E313" t="str">
            <v>MPG</v>
          </cell>
          <cell r="F313" t="str">
            <v>Direct</v>
          </cell>
          <cell r="G313">
            <v>1085.5</v>
          </cell>
          <cell r="H313">
            <v>50772.640000000007</v>
          </cell>
          <cell r="I313">
            <v>1092.3399999999999</v>
          </cell>
          <cell r="J313">
            <v>53476.996419507042</v>
          </cell>
          <cell r="K313">
            <v>6.33</v>
          </cell>
          <cell r="L313">
            <v>305.92021456590004</v>
          </cell>
          <cell r="M313">
            <v>1098.6699999999998</v>
          </cell>
          <cell r="N313">
            <v>53782.916634072943</v>
          </cell>
          <cell r="O313">
            <v>50772.640000000007</v>
          </cell>
          <cell r="P313">
            <v>0</v>
          </cell>
          <cell r="Q313">
            <v>305.92021456590004</v>
          </cell>
          <cell r="R313">
            <v>3010.2766340729358</v>
          </cell>
          <cell r="S313">
            <v>0</v>
          </cell>
          <cell r="T313">
            <v>0</v>
          </cell>
        </row>
        <row r="314">
          <cell r="C314">
            <v>10090034</v>
          </cell>
          <cell r="D314" t="str">
            <v xml:space="preserve">BHATTA                                                                                              </v>
          </cell>
          <cell r="E314" t="str">
            <v>MPG</v>
          </cell>
          <cell r="F314" t="str">
            <v>Direct</v>
          </cell>
          <cell r="G314">
            <v>741</v>
          </cell>
          <cell r="H314">
            <v>29879.719999999994</v>
          </cell>
          <cell r="I314">
            <v>755.01</v>
          </cell>
          <cell r="J314">
            <v>30566.965653787905</v>
          </cell>
          <cell r="K314">
            <v>2.74</v>
          </cell>
          <cell r="L314">
            <v>112.73107428</v>
          </cell>
          <cell r="M314">
            <v>757.75</v>
          </cell>
          <cell r="N314">
            <v>30679.696728067905</v>
          </cell>
          <cell r="O314">
            <v>29879.719999999994</v>
          </cell>
          <cell r="P314">
            <v>0</v>
          </cell>
          <cell r="Q314">
            <v>112.73107428</v>
          </cell>
          <cell r="R314">
            <v>799.97672806791161</v>
          </cell>
          <cell r="S314">
            <v>0</v>
          </cell>
          <cell r="T314">
            <v>42.610576271187099</v>
          </cell>
        </row>
        <row r="315">
          <cell r="C315">
            <v>10090036</v>
          </cell>
          <cell r="D315" t="str">
            <v xml:space="preserve">TAAL-SHAHARSHA                                                                                      </v>
          </cell>
          <cell r="E315" t="str">
            <v>MPG</v>
          </cell>
          <cell r="F315" t="str">
            <v>Direct</v>
          </cell>
          <cell r="G315">
            <v>86.63</v>
          </cell>
          <cell r="H315">
            <v>3288.8700000000003</v>
          </cell>
          <cell r="I315">
            <v>86.6</v>
          </cell>
          <cell r="J315">
            <v>3319.5648420000007</v>
          </cell>
          <cell r="K315">
            <v>0</v>
          </cell>
          <cell r="L315">
            <v>0</v>
          </cell>
          <cell r="M315">
            <v>86.6</v>
          </cell>
          <cell r="N315">
            <v>3319.5648420000007</v>
          </cell>
          <cell r="O315">
            <v>3288.8700000000003</v>
          </cell>
          <cell r="P315">
            <v>0</v>
          </cell>
          <cell r="Q315">
            <v>0</v>
          </cell>
          <cell r="R315">
            <v>30.694842000000335</v>
          </cell>
          <cell r="S315">
            <v>0</v>
          </cell>
          <cell r="T315">
            <v>1364.9456999999998</v>
          </cell>
        </row>
        <row r="316">
          <cell r="C316">
            <v>10090037</v>
          </cell>
          <cell r="D316" t="str">
            <v>Dhira</v>
          </cell>
          <cell r="E316" t="str">
            <v>MPG</v>
          </cell>
          <cell r="F316" t="str">
            <v>Direct</v>
          </cell>
          <cell r="G316">
            <v>422.09999999999997</v>
          </cell>
          <cell r="H316">
            <v>18503.36</v>
          </cell>
          <cell r="I316">
            <v>406.30999999999995</v>
          </cell>
          <cell r="J316">
            <v>17315.744329092748</v>
          </cell>
          <cell r="K316">
            <v>4.9800000000000004</v>
          </cell>
          <cell r="L316">
            <v>202.63739086799998</v>
          </cell>
          <cell r="M316">
            <v>411.28999999999996</v>
          </cell>
          <cell r="N316">
            <v>17518.381719960747</v>
          </cell>
          <cell r="O316">
            <v>17518.381719960747</v>
          </cell>
          <cell r="P316">
            <v>0</v>
          </cell>
          <cell r="Q316">
            <v>202.63739086799998</v>
          </cell>
          <cell r="R316">
            <v>0</v>
          </cell>
          <cell r="S316">
            <v>0</v>
          </cell>
          <cell r="T316">
            <v>0</v>
          </cell>
        </row>
        <row r="317">
          <cell r="C317">
            <v>10090041</v>
          </cell>
          <cell r="D317" t="str">
            <v>AZADNAGAR(VLC)</v>
          </cell>
          <cell r="E317" t="str">
            <v>vlc</v>
          </cell>
          <cell r="F317" t="str">
            <v>Indirect</v>
          </cell>
          <cell r="G317">
            <v>128.19999999999999</v>
          </cell>
          <cell r="H317">
            <v>3974.54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3974.54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C318">
            <v>10090042</v>
          </cell>
          <cell r="D318" t="str">
            <v>REWAI</v>
          </cell>
          <cell r="E318" t="str">
            <v>MPG</v>
          </cell>
          <cell r="F318" t="str">
            <v>Direct</v>
          </cell>
          <cell r="G318">
            <v>467.5</v>
          </cell>
          <cell r="H318">
            <v>18696.21</v>
          </cell>
          <cell r="I318">
            <v>482.61</v>
          </cell>
          <cell r="J318">
            <v>17566.471188401894</v>
          </cell>
          <cell r="K318">
            <v>1.27</v>
          </cell>
          <cell r="L318">
            <v>50.088323794500006</v>
          </cell>
          <cell r="M318">
            <v>483.88</v>
          </cell>
          <cell r="N318">
            <v>17616.559512196396</v>
          </cell>
          <cell r="O318">
            <v>17616.559512196396</v>
          </cell>
          <cell r="P318">
            <v>0</v>
          </cell>
          <cell r="Q318">
            <v>50.088323794500006</v>
          </cell>
          <cell r="R318">
            <v>0</v>
          </cell>
          <cell r="S318">
            <v>0</v>
          </cell>
          <cell r="T318">
            <v>0</v>
          </cell>
        </row>
        <row r="319">
          <cell r="C319">
            <v>10090043</v>
          </cell>
          <cell r="D319" t="str">
            <v>BAKHIYA</v>
          </cell>
          <cell r="E319" t="str">
            <v>MPG</v>
          </cell>
          <cell r="F319" t="str">
            <v>Direct</v>
          </cell>
          <cell r="G319">
            <v>120.30000000000001</v>
          </cell>
          <cell r="H319">
            <v>5479.8600000000006</v>
          </cell>
          <cell r="I319">
            <v>112.48</v>
          </cell>
          <cell r="J319">
            <v>5196.6658020940604</v>
          </cell>
          <cell r="K319">
            <v>0</v>
          </cell>
          <cell r="L319">
            <v>0</v>
          </cell>
          <cell r="M319">
            <v>112.48</v>
          </cell>
          <cell r="N319">
            <v>5196.6658020940604</v>
          </cell>
          <cell r="O319">
            <v>5196.6658020940604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240.83460000000008</v>
          </cell>
        </row>
        <row r="320">
          <cell r="C320">
            <v>10090045</v>
          </cell>
          <cell r="D320" t="str">
            <v>MANJOS</v>
          </cell>
          <cell r="E320" t="str">
            <v>MPG</v>
          </cell>
          <cell r="F320" t="str">
            <v>Direct</v>
          </cell>
          <cell r="G320">
            <v>733.80000000000007</v>
          </cell>
          <cell r="H320">
            <v>30399.860000000004</v>
          </cell>
          <cell r="I320">
            <v>736.8</v>
          </cell>
          <cell r="J320">
            <v>30545.210583360007</v>
          </cell>
          <cell r="K320">
            <v>0</v>
          </cell>
          <cell r="L320">
            <v>0</v>
          </cell>
          <cell r="M320">
            <v>736.8</v>
          </cell>
          <cell r="N320">
            <v>30545.210583360007</v>
          </cell>
          <cell r="O320">
            <v>30399.860000000004</v>
          </cell>
          <cell r="P320">
            <v>0</v>
          </cell>
          <cell r="Q320">
            <v>0</v>
          </cell>
          <cell r="R320">
            <v>145.35058336000293</v>
          </cell>
          <cell r="S320">
            <v>0</v>
          </cell>
          <cell r="T320">
            <v>0</v>
          </cell>
        </row>
        <row r="321">
          <cell r="C321">
            <v>10090046</v>
          </cell>
          <cell r="D321" t="str">
            <v>RATA</v>
          </cell>
          <cell r="E321" t="str">
            <v>MPG</v>
          </cell>
          <cell r="F321" t="str">
            <v>Direct</v>
          </cell>
          <cell r="G321">
            <v>489.20000000000005</v>
          </cell>
          <cell r="H321">
            <v>19854.170000000002</v>
          </cell>
          <cell r="I321">
            <v>588.82000000000005</v>
          </cell>
          <cell r="J321">
            <v>24121.599965579953</v>
          </cell>
          <cell r="K321">
            <v>0</v>
          </cell>
          <cell r="L321">
            <v>0</v>
          </cell>
          <cell r="M321">
            <v>588.82000000000005</v>
          </cell>
          <cell r="N321">
            <v>24121.599965579953</v>
          </cell>
          <cell r="O321">
            <v>19854.170000000002</v>
          </cell>
          <cell r="P321">
            <v>0</v>
          </cell>
          <cell r="Q321">
            <v>0</v>
          </cell>
          <cell r="R321">
            <v>4267.4299655799514</v>
          </cell>
          <cell r="S321">
            <v>0</v>
          </cell>
          <cell r="T321">
            <v>0</v>
          </cell>
        </row>
        <row r="322">
          <cell r="C322">
            <v>10090047</v>
          </cell>
          <cell r="D322" t="str">
            <v>BARUI</v>
          </cell>
          <cell r="E322" t="str">
            <v>MPG</v>
          </cell>
          <cell r="F322" t="str">
            <v>Direct</v>
          </cell>
          <cell r="G322">
            <v>356.7</v>
          </cell>
          <cell r="H322">
            <v>16034.369999999997</v>
          </cell>
          <cell r="I322">
            <v>330.40000000000009</v>
          </cell>
          <cell r="J322">
            <v>15876.22939093794</v>
          </cell>
          <cell r="K322">
            <v>5.6000000000000005</v>
          </cell>
          <cell r="L322">
            <v>229.68610632000002</v>
          </cell>
          <cell r="M322">
            <v>336.00000000000011</v>
          </cell>
          <cell r="N322">
            <v>16105.91549725794</v>
          </cell>
          <cell r="O322">
            <v>16034.369999999997</v>
          </cell>
          <cell r="P322">
            <v>0</v>
          </cell>
          <cell r="Q322">
            <v>229.68610632000002</v>
          </cell>
          <cell r="R322">
            <v>71.54549725794277</v>
          </cell>
          <cell r="S322">
            <v>0</v>
          </cell>
          <cell r="T322">
            <v>0</v>
          </cell>
        </row>
        <row r="323">
          <cell r="C323">
            <v>10090049</v>
          </cell>
          <cell r="D323" t="str">
            <v>LAHUARA                                                                                             </v>
          </cell>
          <cell r="E323" t="str">
            <v>MPG</v>
          </cell>
          <cell r="F323" t="str">
            <v>Direct</v>
          </cell>
          <cell r="G323">
            <v>572.29999999999995</v>
          </cell>
          <cell r="H323">
            <v>26884.600000000002</v>
          </cell>
          <cell r="I323">
            <v>526.96</v>
          </cell>
          <cell r="J323">
            <v>27466.609195355097</v>
          </cell>
          <cell r="K323">
            <v>5.0199999999999996</v>
          </cell>
          <cell r="L323">
            <v>266.56213142500002</v>
          </cell>
          <cell r="M323">
            <v>531.98</v>
          </cell>
          <cell r="N323">
            <v>27733.171326780095</v>
          </cell>
          <cell r="O323">
            <v>26884.600000000002</v>
          </cell>
          <cell r="P323">
            <v>0</v>
          </cell>
          <cell r="Q323">
            <v>266.56213142500002</v>
          </cell>
          <cell r="R323">
            <v>848.57132678009293</v>
          </cell>
          <cell r="S323">
            <v>0</v>
          </cell>
          <cell r="T323">
            <v>0</v>
          </cell>
        </row>
        <row r="324">
          <cell r="C324">
            <v>10090052</v>
          </cell>
          <cell r="D324" t="str">
            <v>LACHHUAR</v>
          </cell>
          <cell r="E324" t="str">
            <v>MPG</v>
          </cell>
          <cell r="F324" t="str">
            <v>Direct</v>
          </cell>
          <cell r="G324">
            <v>605.59999999999991</v>
          </cell>
          <cell r="H324">
            <v>24687.05</v>
          </cell>
          <cell r="I324">
            <v>615.75</v>
          </cell>
          <cell r="J324">
            <v>25233.040705197818</v>
          </cell>
          <cell r="K324">
            <v>1.87</v>
          </cell>
          <cell r="L324">
            <v>74.43414491958751</v>
          </cell>
          <cell r="M324">
            <v>617.62</v>
          </cell>
          <cell r="N324">
            <v>25307.474850117407</v>
          </cell>
          <cell r="O324">
            <v>24687.05</v>
          </cell>
          <cell r="P324">
            <v>0</v>
          </cell>
          <cell r="Q324">
            <v>74.43414491958751</v>
          </cell>
          <cell r="R324">
            <v>620.42485011740791</v>
          </cell>
          <cell r="S324">
            <v>0</v>
          </cell>
          <cell r="T324">
            <v>0</v>
          </cell>
        </row>
        <row r="325">
          <cell r="C325">
            <v>10090055</v>
          </cell>
          <cell r="D325" t="str">
            <v>RAMDIH Ajit Kumar</v>
          </cell>
          <cell r="E325" t="str">
            <v>vlc</v>
          </cell>
          <cell r="F325" t="str">
            <v>Indirect</v>
          </cell>
          <cell r="G325">
            <v>243.2</v>
          </cell>
          <cell r="H325">
            <v>9417.5800000000017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9417.5800000000017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C326">
            <v>10090056</v>
          </cell>
          <cell r="D326" t="str">
            <v>NARAYANPUR</v>
          </cell>
          <cell r="E326" t="str">
            <v>MPG</v>
          </cell>
          <cell r="F326" t="str">
            <v>Direct</v>
          </cell>
          <cell r="G326">
            <v>785.69999999999993</v>
          </cell>
          <cell r="H326">
            <v>31447.01</v>
          </cell>
          <cell r="I326">
            <v>932.3599999999999</v>
          </cell>
          <cell r="J326">
            <v>37497.512394936006</v>
          </cell>
          <cell r="K326">
            <v>1.9499999999999997</v>
          </cell>
          <cell r="L326">
            <v>81.459042345000015</v>
          </cell>
          <cell r="M326">
            <v>934.31</v>
          </cell>
          <cell r="N326">
            <v>37578.971437281005</v>
          </cell>
          <cell r="O326">
            <v>31447.01</v>
          </cell>
          <cell r="P326">
            <v>0</v>
          </cell>
          <cell r="Q326">
            <v>81.459042345000015</v>
          </cell>
          <cell r="R326">
            <v>6131.9614372810065</v>
          </cell>
          <cell r="S326">
            <v>0</v>
          </cell>
          <cell r="T326">
            <v>0</v>
          </cell>
        </row>
        <row r="327">
          <cell r="C327">
            <v>10090058</v>
          </cell>
          <cell r="D327" t="str">
            <v>NAWKADIH</v>
          </cell>
          <cell r="E327" t="str">
            <v>MPG</v>
          </cell>
          <cell r="F327" t="str">
            <v>Direct</v>
          </cell>
          <cell r="G327">
            <v>598.6</v>
          </cell>
          <cell r="H327">
            <v>26874.37</v>
          </cell>
          <cell r="I327">
            <v>585.54000000000008</v>
          </cell>
          <cell r="J327">
            <v>26493.01652391093</v>
          </cell>
          <cell r="K327">
            <v>0.42</v>
          </cell>
          <cell r="L327">
            <v>23.584316411040003</v>
          </cell>
          <cell r="M327">
            <v>585.96</v>
          </cell>
          <cell r="N327">
            <v>26516.600840321971</v>
          </cell>
          <cell r="O327">
            <v>26516.600840321971</v>
          </cell>
          <cell r="P327">
            <v>0</v>
          </cell>
          <cell r="Q327">
            <v>23.584316411040003</v>
          </cell>
          <cell r="R327">
            <v>0</v>
          </cell>
          <cell r="S327">
            <v>0</v>
          </cell>
          <cell r="T327">
            <v>0</v>
          </cell>
        </row>
        <row r="328">
          <cell r="C328">
            <v>10090059</v>
          </cell>
          <cell r="D328" t="str">
            <v>CHOTAHA</v>
          </cell>
          <cell r="E328" t="str">
            <v>MPG</v>
          </cell>
          <cell r="F328" t="str">
            <v>Direct</v>
          </cell>
          <cell r="G328">
            <v>774.40000000000009</v>
          </cell>
          <cell r="H328">
            <v>30351.630000000005</v>
          </cell>
          <cell r="I328">
            <v>788.5</v>
          </cell>
          <cell r="J328">
            <v>31419.709041599999</v>
          </cell>
          <cell r="K328">
            <v>0</v>
          </cell>
          <cell r="L328">
            <v>0</v>
          </cell>
          <cell r="M328">
            <v>788.5</v>
          </cell>
          <cell r="N328">
            <v>31419.709041599999</v>
          </cell>
          <cell r="O328">
            <v>30351.630000000005</v>
          </cell>
          <cell r="P328">
            <v>0</v>
          </cell>
          <cell r="Q328">
            <v>0</v>
          </cell>
          <cell r="R328">
            <v>1068.0790415999945</v>
          </cell>
          <cell r="S328">
            <v>13000</v>
          </cell>
          <cell r="T328">
            <v>0</v>
          </cell>
        </row>
        <row r="329">
          <cell r="C329">
            <v>10090060</v>
          </cell>
          <cell r="D329" t="str">
            <v xml:space="preserve">KHARAGWADA </v>
          </cell>
          <cell r="E329" t="str">
            <v>MPG</v>
          </cell>
          <cell r="F329" t="str">
            <v>Direct</v>
          </cell>
          <cell r="G329">
            <v>193.2</v>
          </cell>
          <cell r="H329">
            <v>8006.33</v>
          </cell>
          <cell r="I329">
            <v>248.1</v>
          </cell>
          <cell r="J329">
            <v>10249.41518568</v>
          </cell>
          <cell r="K329">
            <v>0</v>
          </cell>
          <cell r="L329">
            <v>0</v>
          </cell>
          <cell r="M329">
            <v>248.1</v>
          </cell>
          <cell r="N329">
            <v>10249.41518568</v>
          </cell>
          <cell r="O329">
            <v>8006.33</v>
          </cell>
          <cell r="P329">
            <v>0</v>
          </cell>
          <cell r="Q329">
            <v>0</v>
          </cell>
          <cell r="R329">
            <v>2243.08518568</v>
          </cell>
          <cell r="S329">
            <v>0</v>
          </cell>
          <cell r="T329">
            <v>11.290860000000052</v>
          </cell>
        </row>
        <row r="330">
          <cell r="C330">
            <v>10090061</v>
          </cell>
          <cell r="D330" t="str">
            <v>UFFAPUR</v>
          </cell>
          <cell r="E330" t="str">
            <v>MPG</v>
          </cell>
          <cell r="F330" t="str">
            <v>Direct</v>
          </cell>
          <cell r="G330">
            <v>150.1</v>
          </cell>
          <cell r="H330">
            <v>6559.3099999999995</v>
          </cell>
          <cell r="I330">
            <v>184.5</v>
          </cell>
          <cell r="J330">
            <v>8053.2686914200012</v>
          </cell>
          <cell r="K330">
            <v>0</v>
          </cell>
          <cell r="L330">
            <v>0</v>
          </cell>
          <cell r="M330">
            <v>184.5</v>
          </cell>
          <cell r="N330">
            <v>8053.2686914200012</v>
          </cell>
          <cell r="O330">
            <v>6559.3099999999995</v>
          </cell>
          <cell r="P330">
            <v>0</v>
          </cell>
          <cell r="Q330">
            <v>0</v>
          </cell>
          <cell r="R330">
            <v>1493.9586914200017</v>
          </cell>
          <cell r="S330">
            <v>0</v>
          </cell>
          <cell r="T330">
            <v>0</v>
          </cell>
        </row>
        <row r="331">
          <cell r="C331">
            <v>10090063</v>
          </cell>
          <cell r="D331" t="str">
            <v>BIHRAURA</v>
          </cell>
          <cell r="E331" t="str">
            <v>MPG</v>
          </cell>
          <cell r="F331" t="str">
            <v>Direct</v>
          </cell>
          <cell r="G331">
            <v>106.8</v>
          </cell>
          <cell r="H331">
            <v>4863.2199999999993</v>
          </cell>
          <cell r="I331">
            <v>158</v>
          </cell>
          <cell r="J331">
            <v>7086.9795692999996</v>
          </cell>
          <cell r="K331">
            <v>0</v>
          </cell>
          <cell r="L331">
            <v>0</v>
          </cell>
          <cell r="M331">
            <v>158</v>
          </cell>
          <cell r="N331">
            <v>7086.9795692999996</v>
          </cell>
          <cell r="O331">
            <v>4863.2199999999993</v>
          </cell>
          <cell r="P331">
            <v>0</v>
          </cell>
          <cell r="Q331">
            <v>0</v>
          </cell>
          <cell r="R331">
            <v>2223.7595693000003</v>
          </cell>
          <cell r="S331">
            <v>0</v>
          </cell>
          <cell r="T331">
            <v>255.20928000000009</v>
          </cell>
        </row>
        <row r="332">
          <cell r="C332">
            <v>10090064</v>
          </cell>
          <cell r="D332" t="str">
            <v>SHIJHORI</v>
          </cell>
          <cell r="E332" t="str">
            <v>MPG</v>
          </cell>
          <cell r="F332" t="str">
            <v>Direct</v>
          </cell>
          <cell r="G332">
            <v>418.4</v>
          </cell>
          <cell r="H332">
            <v>16668.12</v>
          </cell>
          <cell r="I332">
            <v>433.66</v>
          </cell>
          <cell r="J332">
            <v>17219.849146465756</v>
          </cell>
          <cell r="K332">
            <v>0</v>
          </cell>
          <cell r="L332">
            <v>0</v>
          </cell>
          <cell r="M332">
            <v>433.66</v>
          </cell>
          <cell r="N332">
            <v>17219.849146465756</v>
          </cell>
          <cell r="O332">
            <v>16668.12</v>
          </cell>
          <cell r="P332">
            <v>0</v>
          </cell>
          <cell r="Q332">
            <v>0</v>
          </cell>
          <cell r="R332">
            <v>551.72914646575737</v>
          </cell>
          <cell r="S332">
            <v>0</v>
          </cell>
          <cell r="T332">
            <v>0</v>
          </cell>
        </row>
        <row r="333">
          <cell r="C333">
            <v>10090065</v>
          </cell>
          <cell r="D333" t="str">
            <v>RAM PRAVESH YADAV</v>
          </cell>
          <cell r="E333" t="str">
            <v>MPG</v>
          </cell>
          <cell r="F333" t="str">
            <v>Direct</v>
          </cell>
          <cell r="G333">
            <v>488.2</v>
          </cell>
          <cell r="H333">
            <v>19762.23</v>
          </cell>
          <cell r="I333">
            <v>490.70999999999992</v>
          </cell>
          <cell r="J333">
            <v>19978.692714344863</v>
          </cell>
          <cell r="K333">
            <v>0</v>
          </cell>
          <cell r="L333">
            <v>0</v>
          </cell>
          <cell r="M333">
            <v>490.70999999999992</v>
          </cell>
          <cell r="N333">
            <v>19978.692714344863</v>
          </cell>
          <cell r="O333">
            <v>19762.23</v>
          </cell>
          <cell r="P333">
            <v>0</v>
          </cell>
          <cell r="Q333">
            <v>0</v>
          </cell>
          <cell r="R333">
            <v>216.46271434486334</v>
          </cell>
          <cell r="S333">
            <v>0</v>
          </cell>
          <cell r="T333">
            <v>0</v>
          </cell>
        </row>
        <row r="334">
          <cell r="C334">
            <v>10090072</v>
          </cell>
          <cell r="D334" t="str">
            <v>BOUDHNAGAR</v>
          </cell>
          <cell r="E334" t="str">
            <v>MPG</v>
          </cell>
          <cell r="F334" t="str">
            <v>Direct</v>
          </cell>
          <cell r="G334">
            <v>430.70000000000005</v>
          </cell>
          <cell r="H334">
            <v>16239.869999999999</v>
          </cell>
          <cell r="I334">
            <v>510.38</v>
          </cell>
          <cell r="J334">
            <v>18885.799175859003</v>
          </cell>
          <cell r="K334">
            <v>0</v>
          </cell>
          <cell r="L334">
            <v>0</v>
          </cell>
          <cell r="M334">
            <v>510.38</v>
          </cell>
          <cell r="N334">
            <v>18885.799175859003</v>
          </cell>
          <cell r="O334">
            <v>16239.869999999999</v>
          </cell>
          <cell r="P334">
            <v>0</v>
          </cell>
          <cell r="Q334">
            <v>0</v>
          </cell>
          <cell r="R334">
            <v>2645.9291758590043</v>
          </cell>
          <cell r="S334">
            <v>0</v>
          </cell>
          <cell r="T334">
            <v>0</v>
          </cell>
        </row>
        <row r="335">
          <cell r="C335">
            <v>10090074</v>
          </cell>
          <cell r="D335" t="str">
            <v>MOHADDINGAR</v>
          </cell>
          <cell r="E335" t="str">
            <v>MPG</v>
          </cell>
          <cell r="F335" t="str">
            <v>Direct</v>
          </cell>
          <cell r="G335">
            <v>553.09999999999991</v>
          </cell>
          <cell r="H335">
            <v>21361.97</v>
          </cell>
          <cell r="I335">
            <v>535.1</v>
          </cell>
          <cell r="J335">
            <v>21020.439433799773</v>
          </cell>
          <cell r="K335">
            <v>0</v>
          </cell>
          <cell r="L335">
            <v>0</v>
          </cell>
          <cell r="M335">
            <v>535.1</v>
          </cell>
          <cell r="N335">
            <v>21020.439433799773</v>
          </cell>
          <cell r="O335">
            <v>21020.439433799773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</row>
        <row r="336">
          <cell r="C336">
            <v>10090075</v>
          </cell>
          <cell r="D336" t="str">
            <v>PACHAUTA</v>
          </cell>
          <cell r="E336" t="str">
            <v>MPG</v>
          </cell>
          <cell r="F336" t="str">
            <v>Direct</v>
          </cell>
          <cell r="G336">
            <v>612.70000000000005</v>
          </cell>
          <cell r="H336">
            <v>24020.43</v>
          </cell>
          <cell r="I336">
            <v>659.8900000000001</v>
          </cell>
          <cell r="J336">
            <v>27618.050697095365</v>
          </cell>
          <cell r="K336">
            <v>0</v>
          </cell>
          <cell r="L336">
            <v>0</v>
          </cell>
          <cell r="M336">
            <v>659.8900000000001</v>
          </cell>
          <cell r="N336">
            <v>27618.050697095365</v>
          </cell>
          <cell r="O336">
            <v>24020.43</v>
          </cell>
          <cell r="P336">
            <v>0</v>
          </cell>
          <cell r="Q336">
            <v>0</v>
          </cell>
          <cell r="R336">
            <v>3597.6206970953644</v>
          </cell>
          <cell r="S336">
            <v>0</v>
          </cell>
          <cell r="T336">
            <v>0</v>
          </cell>
        </row>
        <row r="337">
          <cell r="C337">
            <v>10090076</v>
          </cell>
          <cell r="D337" t="str">
            <v>Gomukh Champa</v>
          </cell>
          <cell r="E337" t="str">
            <v>vlc</v>
          </cell>
          <cell r="F337" t="str">
            <v>Indirect</v>
          </cell>
          <cell r="G337">
            <v>14200</v>
          </cell>
          <cell r="H337">
            <v>521405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521405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</row>
        <row r="338">
          <cell r="C338">
            <v>10090077</v>
          </cell>
          <cell r="D338" t="str">
            <v>GOMUKH DAKRA</v>
          </cell>
          <cell r="E338" t="str">
            <v>vlc</v>
          </cell>
          <cell r="F338" t="str">
            <v>Indirect</v>
          </cell>
          <cell r="G338">
            <v>14200</v>
          </cell>
          <cell r="H338">
            <v>522895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522895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</row>
        <row r="339">
          <cell r="C339">
            <v>10090078</v>
          </cell>
          <cell r="D339" t="str">
            <v>TIYAY</v>
          </cell>
          <cell r="E339" t="str">
            <v>MPG</v>
          </cell>
          <cell r="F339" t="str">
            <v>Direct</v>
          </cell>
          <cell r="G339">
            <v>322.59999999999997</v>
          </cell>
          <cell r="H339">
            <v>11872.210000000003</v>
          </cell>
          <cell r="I339">
            <v>349.6</v>
          </cell>
          <cell r="J339">
            <v>13122.624200399998</v>
          </cell>
          <cell r="K339">
            <v>0</v>
          </cell>
          <cell r="L339">
            <v>0</v>
          </cell>
          <cell r="M339">
            <v>349.6</v>
          </cell>
          <cell r="N339">
            <v>13122.624200399998</v>
          </cell>
          <cell r="O339">
            <v>11872.210000000003</v>
          </cell>
          <cell r="P339">
            <v>0</v>
          </cell>
          <cell r="Q339">
            <v>0</v>
          </cell>
          <cell r="R339">
            <v>1250.414200399995</v>
          </cell>
          <cell r="S339">
            <v>0</v>
          </cell>
          <cell r="T339">
            <v>0</v>
          </cell>
        </row>
        <row r="340">
          <cell r="C340">
            <v>10090079</v>
          </cell>
          <cell r="D340" t="str">
            <v>BILLO 2</v>
          </cell>
          <cell r="E340" t="str">
            <v>MPG</v>
          </cell>
          <cell r="F340" t="str">
            <v>Direct</v>
          </cell>
          <cell r="G340">
            <v>329.7</v>
          </cell>
          <cell r="H340">
            <v>11943.259999999997</v>
          </cell>
          <cell r="I340">
            <v>382.90000000000003</v>
          </cell>
          <cell r="J340">
            <v>13861.165812120002</v>
          </cell>
          <cell r="K340">
            <v>0</v>
          </cell>
          <cell r="L340">
            <v>0</v>
          </cell>
          <cell r="M340">
            <v>382.90000000000003</v>
          </cell>
          <cell r="N340">
            <v>13861.165812120002</v>
          </cell>
          <cell r="O340">
            <v>11943.259999999997</v>
          </cell>
          <cell r="P340">
            <v>0</v>
          </cell>
          <cell r="Q340">
            <v>0</v>
          </cell>
          <cell r="R340">
            <v>1917.9058121200051</v>
          </cell>
          <cell r="S340">
            <v>0</v>
          </cell>
          <cell r="T340">
            <v>0</v>
          </cell>
        </row>
        <row r="341">
          <cell r="C341">
            <v>10090080</v>
          </cell>
          <cell r="D341" t="str">
            <v>NAWADIH 2</v>
          </cell>
          <cell r="E341" t="str">
            <v>MPG</v>
          </cell>
          <cell r="F341" t="str">
            <v>Direct</v>
          </cell>
          <cell r="G341">
            <v>188.20000000000002</v>
          </cell>
          <cell r="H341">
            <v>8299.119999999999</v>
          </cell>
          <cell r="I341">
            <v>188.2</v>
          </cell>
          <cell r="J341">
            <v>8421.7897288799995</v>
          </cell>
          <cell r="K341">
            <v>0</v>
          </cell>
          <cell r="L341">
            <v>0</v>
          </cell>
          <cell r="M341">
            <v>188.2</v>
          </cell>
          <cell r="N341">
            <v>8421.7897288799995</v>
          </cell>
          <cell r="O341">
            <v>8299.119999999999</v>
          </cell>
          <cell r="P341">
            <v>0</v>
          </cell>
          <cell r="Q341">
            <v>0</v>
          </cell>
          <cell r="R341">
            <v>122.66972888000055</v>
          </cell>
          <cell r="S341">
            <v>0</v>
          </cell>
          <cell r="T341">
            <v>0</v>
          </cell>
        </row>
        <row r="342">
          <cell r="C342">
            <v>10100001</v>
          </cell>
          <cell r="D342" t="str">
            <v>Vishan Pur</v>
          </cell>
          <cell r="E342" t="str">
            <v>MPG</v>
          </cell>
          <cell r="F342" t="str">
            <v>Direct</v>
          </cell>
          <cell r="G342">
            <v>946.0999999999998</v>
          </cell>
          <cell r="H342">
            <v>35653.97</v>
          </cell>
          <cell r="I342">
            <v>937.46999999999991</v>
          </cell>
          <cell r="J342">
            <v>37016.029370548807</v>
          </cell>
          <cell r="K342">
            <v>9.16</v>
          </cell>
          <cell r="L342">
            <v>366.20719502399999</v>
          </cell>
          <cell r="M342">
            <v>946.62999999999988</v>
          </cell>
          <cell r="N342">
            <v>37382.236565572806</v>
          </cell>
          <cell r="O342">
            <v>35653.97</v>
          </cell>
          <cell r="P342">
            <v>0</v>
          </cell>
          <cell r="Q342">
            <v>366.20719502399999</v>
          </cell>
          <cell r="R342">
            <v>1728.2665655728051</v>
          </cell>
          <cell r="S342">
            <v>0</v>
          </cell>
          <cell r="T342">
            <v>0</v>
          </cell>
        </row>
        <row r="343">
          <cell r="C343">
            <v>10100003</v>
          </cell>
          <cell r="D343" t="str">
            <v>Gomukh Madhawpur</v>
          </cell>
          <cell r="E343" t="str">
            <v>MPG</v>
          </cell>
          <cell r="F343" t="str">
            <v>Direct</v>
          </cell>
          <cell r="G343">
            <v>1548.8</v>
          </cell>
          <cell r="H343">
            <v>58096.009999999987</v>
          </cell>
          <cell r="I343">
            <v>1608.5</v>
          </cell>
          <cell r="J343">
            <v>68963.490944187011</v>
          </cell>
          <cell r="K343">
            <v>7</v>
          </cell>
          <cell r="L343">
            <v>326.57981373999996</v>
          </cell>
          <cell r="M343">
            <v>1615.5</v>
          </cell>
          <cell r="N343">
            <v>69290.070757927009</v>
          </cell>
          <cell r="O343">
            <v>58096.009999999987</v>
          </cell>
          <cell r="P343">
            <v>0</v>
          </cell>
          <cell r="Q343">
            <v>326.57981373999996</v>
          </cell>
          <cell r="R343">
            <v>11194.060757927022</v>
          </cell>
          <cell r="S343">
            <v>13000</v>
          </cell>
          <cell r="T343">
            <v>0</v>
          </cell>
        </row>
        <row r="344">
          <cell r="C344">
            <v>10100004</v>
          </cell>
          <cell r="D344" t="str">
            <v>Gomukh Muradpur</v>
          </cell>
          <cell r="E344" t="str">
            <v>vlc</v>
          </cell>
          <cell r="F344" t="str">
            <v>Indirect</v>
          </cell>
          <cell r="G344">
            <v>134.4</v>
          </cell>
          <cell r="H344">
            <v>4485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4485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</row>
        <row r="345">
          <cell r="C345">
            <v>10100009</v>
          </cell>
          <cell r="D345" t="str">
            <v>Gomukh Kanhaiyachak Pachhim</v>
          </cell>
          <cell r="E345" t="str">
            <v>MPG</v>
          </cell>
          <cell r="F345" t="str">
            <v>Direct</v>
          </cell>
          <cell r="G345">
            <v>1142.9000000000001</v>
          </cell>
          <cell r="H345">
            <v>44885.89</v>
          </cell>
          <cell r="I345">
            <v>1142.01</v>
          </cell>
          <cell r="J345">
            <v>49517.437148683457</v>
          </cell>
          <cell r="K345">
            <v>0</v>
          </cell>
          <cell r="L345">
            <v>0</v>
          </cell>
          <cell r="M345">
            <v>1142.01</v>
          </cell>
          <cell r="N345">
            <v>49517.437148683457</v>
          </cell>
          <cell r="O345">
            <v>44885.89</v>
          </cell>
          <cell r="P345">
            <v>0</v>
          </cell>
          <cell r="Q345">
            <v>0</v>
          </cell>
          <cell r="R345">
            <v>4631.5471486834576</v>
          </cell>
          <cell r="S345">
            <v>0</v>
          </cell>
          <cell r="T345">
            <v>0</v>
          </cell>
        </row>
        <row r="346">
          <cell r="C346">
            <v>10100014</v>
          </cell>
          <cell r="D346" t="str">
            <v>Gomukh Srirampur Thuthi</v>
          </cell>
          <cell r="E346" t="str">
            <v>MPG</v>
          </cell>
          <cell r="F346" t="str">
            <v>Direct</v>
          </cell>
          <cell r="G346">
            <v>379.6</v>
          </cell>
          <cell r="H346">
            <v>14536.68</v>
          </cell>
          <cell r="I346">
            <v>406.64000000000004</v>
          </cell>
          <cell r="J346">
            <v>15569.971455852001</v>
          </cell>
          <cell r="K346">
            <v>0</v>
          </cell>
          <cell r="L346">
            <v>0</v>
          </cell>
          <cell r="M346">
            <v>406.64000000000004</v>
          </cell>
          <cell r="N346">
            <v>15569.971455852001</v>
          </cell>
          <cell r="O346">
            <v>14536.68</v>
          </cell>
          <cell r="P346">
            <v>0</v>
          </cell>
          <cell r="Q346">
            <v>0</v>
          </cell>
          <cell r="R346">
            <v>1033.2914558520006</v>
          </cell>
          <cell r="S346">
            <v>0</v>
          </cell>
          <cell r="T346">
            <v>0</v>
          </cell>
        </row>
        <row r="347">
          <cell r="C347">
            <v>10100016</v>
          </cell>
          <cell r="D347" t="str">
            <v>Gomukh Dumariya Bujurg Madhay</v>
          </cell>
          <cell r="E347" t="str">
            <v>MPG</v>
          </cell>
          <cell r="F347" t="str">
            <v>Direct</v>
          </cell>
          <cell r="G347">
            <v>117.2</v>
          </cell>
          <cell r="H347">
            <v>4773.2699999999995</v>
          </cell>
          <cell r="I347">
            <v>120</v>
          </cell>
          <cell r="J347">
            <v>5042.5345080000006</v>
          </cell>
          <cell r="K347">
            <v>0</v>
          </cell>
          <cell r="L347">
            <v>0</v>
          </cell>
          <cell r="M347">
            <v>120</v>
          </cell>
          <cell r="N347">
            <v>5042.5345080000006</v>
          </cell>
          <cell r="O347">
            <v>4773.2699999999995</v>
          </cell>
          <cell r="P347">
            <v>0</v>
          </cell>
          <cell r="Q347">
            <v>0</v>
          </cell>
          <cell r="R347">
            <v>269.26450800000111</v>
          </cell>
          <cell r="S347">
            <v>0</v>
          </cell>
          <cell r="T347">
            <v>0</v>
          </cell>
        </row>
        <row r="348">
          <cell r="C348">
            <v>10100021</v>
          </cell>
          <cell r="D348" t="str">
            <v xml:space="preserve">Gomukh Bandahera                                                                                    </v>
          </cell>
          <cell r="E348" t="str">
            <v>MPG</v>
          </cell>
          <cell r="F348" t="str">
            <v>Direct</v>
          </cell>
          <cell r="G348">
            <v>521.20000000000005</v>
          </cell>
          <cell r="H348">
            <v>19297.43</v>
          </cell>
          <cell r="I348">
            <v>521</v>
          </cell>
          <cell r="J348">
            <v>21594.992562000003</v>
          </cell>
          <cell r="K348">
            <v>0</v>
          </cell>
          <cell r="L348">
            <v>0</v>
          </cell>
          <cell r="M348">
            <v>521</v>
          </cell>
          <cell r="N348">
            <v>21594.992562000003</v>
          </cell>
          <cell r="O348">
            <v>19297.43</v>
          </cell>
          <cell r="P348">
            <v>0</v>
          </cell>
          <cell r="Q348">
            <v>0</v>
          </cell>
          <cell r="R348">
            <v>2297.5625620000028</v>
          </cell>
          <cell r="S348">
            <v>0</v>
          </cell>
          <cell r="T348">
            <v>0</v>
          </cell>
        </row>
        <row r="349">
          <cell r="C349">
            <v>10100026</v>
          </cell>
          <cell r="D349" t="str">
            <v>Gomukh Badi Lagar-1 Kiran</v>
          </cell>
          <cell r="E349" t="str">
            <v>vlc</v>
          </cell>
          <cell r="F349" t="str">
            <v>Indirect</v>
          </cell>
          <cell r="G349">
            <v>300.8</v>
          </cell>
          <cell r="H349">
            <v>10205.650000000001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10205.650000000001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1059.21810967742</v>
          </cell>
        </row>
        <row r="350">
          <cell r="C350">
            <v>10100033</v>
          </cell>
          <cell r="D350" t="str">
            <v>Gomukh Basudevpur</v>
          </cell>
          <cell r="E350" t="str">
            <v>vlc</v>
          </cell>
          <cell r="F350" t="str">
            <v>Indirect</v>
          </cell>
          <cell r="G350">
            <v>72.099999999999994</v>
          </cell>
          <cell r="H350">
            <v>2597.8999999999996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2597.8999999999996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</row>
        <row r="351">
          <cell r="C351">
            <v>10100037</v>
          </cell>
          <cell r="D351" t="str">
            <v>Gomukh Tehay</v>
          </cell>
          <cell r="E351" t="str">
            <v>MPG</v>
          </cell>
          <cell r="F351" t="str">
            <v>Direct</v>
          </cell>
          <cell r="G351">
            <v>169.4</v>
          </cell>
          <cell r="H351">
            <v>8400.7800000000007</v>
          </cell>
          <cell r="I351">
            <v>209.1</v>
          </cell>
          <cell r="J351">
            <v>10474.7191596755</v>
          </cell>
          <cell r="K351">
            <v>0</v>
          </cell>
          <cell r="L351">
            <v>0</v>
          </cell>
          <cell r="M351">
            <v>209.1</v>
          </cell>
          <cell r="N351">
            <v>10474.7191596755</v>
          </cell>
          <cell r="O351">
            <v>8400.7800000000007</v>
          </cell>
          <cell r="P351">
            <v>0</v>
          </cell>
          <cell r="Q351">
            <v>0</v>
          </cell>
          <cell r="R351">
            <v>2073.9391596754995</v>
          </cell>
          <cell r="S351">
            <v>0</v>
          </cell>
          <cell r="T351">
            <v>0</v>
          </cell>
        </row>
        <row r="352">
          <cell r="C352">
            <v>10100044</v>
          </cell>
          <cell r="D352" t="str">
            <v>Gomukh Buddhnagar</v>
          </cell>
          <cell r="E352" t="str">
            <v>vlc</v>
          </cell>
          <cell r="F352" t="str">
            <v>Indirect</v>
          </cell>
          <cell r="G352">
            <v>1135.7</v>
          </cell>
          <cell r="H352">
            <v>41655.479999999996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41655.479999999996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C353">
            <v>10100049</v>
          </cell>
          <cell r="D353" t="str">
            <v>Gomukh Govind Pur</v>
          </cell>
          <cell r="E353" t="str">
            <v>MPG</v>
          </cell>
          <cell r="F353" t="str">
            <v>Direct</v>
          </cell>
          <cell r="G353">
            <v>225.8</v>
          </cell>
          <cell r="H353">
            <v>8158.92</v>
          </cell>
          <cell r="I353">
            <v>125.8</v>
          </cell>
          <cell r="J353">
            <v>4550.0722264800006</v>
          </cell>
          <cell r="K353">
            <v>0</v>
          </cell>
          <cell r="L353">
            <v>0</v>
          </cell>
          <cell r="M353">
            <v>125.8</v>
          </cell>
          <cell r="N353">
            <v>4550.0722264800006</v>
          </cell>
          <cell r="O353">
            <v>4550.0722264800006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333.85</v>
          </cell>
        </row>
        <row r="354">
          <cell r="C354">
            <v>10100051</v>
          </cell>
          <cell r="D354" t="str">
            <v>Gomukh Sondiha</v>
          </cell>
          <cell r="E354" t="str">
            <v>MPG</v>
          </cell>
          <cell r="F354" t="str">
            <v>Direct</v>
          </cell>
          <cell r="G354">
            <v>1142.3999999999999</v>
          </cell>
          <cell r="H354">
            <v>42419.78</v>
          </cell>
          <cell r="I354">
            <v>1280.5</v>
          </cell>
          <cell r="J354">
            <v>47653.458474599996</v>
          </cell>
          <cell r="K354">
            <v>0.5</v>
          </cell>
          <cell r="L354">
            <v>16.441095330000003</v>
          </cell>
          <cell r="M354">
            <v>1281</v>
          </cell>
          <cell r="N354">
            <v>47669.899569929999</v>
          </cell>
          <cell r="O354">
            <v>42419.78</v>
          </cell>
          <cell r="P354">
            <v>0</v>
          </cell>
          <cell r="Q354">
            <v>16.441095330000003</v>
          </cell>
          <cell r="R354">
            <v>5250.1195699300006</v>
          </cell>
          <cell r="S354">
            <v>0</v>
          </cell>
          <cell r="T354">
            <v>0</v>
          </cell>
        </row>
        <row r="355">
          <cell r="C355">
            <v>10100054</v>
          </cell>
          <cell r="D355" t="str">
            <v>Gomukh Thebhay B</v>
          </cell>
          <cell r="E355" t="str">
            <v>MPG</v>
          </cell>
          <cell r="F355" t="str">
            <v>Direct</v>
          </cell>
          <cell r="G355">
            <v>262.99999999999994</v>
          </cell>
          <cell r="H355">
            <v>11205.42</v>
          </cell>
          <cell r="I355">
            <v>485.43</v>
          </cell>
          <cell r="J355">
            <v>19652.882300550646</v>
          </cell>
          <cell r="K355">
            <v>3.1100000000000003</v>
          </cell>
          <cell r="L355">
            <v>123.08282751600001</v>
          </cell>
          <cell r="M355">
            <v>488.54</v>
          </cell>
          <cell r="N355">
            <v>19775.965128066644</v>
          </cell>
          <cell r="O355">
            <v>11205.42</v>
          </cell>
          <cell r="P355">
            <v>0</v>
          </cell>
          <cell r="Q355">
            <v>123.08282751600001</v>
          </cell>
          <cell r="R355">
            <v>8570.5451280666439</v>
          </cell>
          <cell r="S355">
            <v>0</v>
          </cell>
          <cell r="T355">
            <v>0</v>
          </cell>
        </row>
        <row r="356">
          <cell r="C356">
            <v>10100060</v>
          </cell>
          <cell r="D356" t="str">
            <v>Gomukh Baisa</v>
          </cell>
          <cell r="E356" t="str">
            <v>MPG</v>
          </cell>
          <cell r="F356" t="str">
            <v>Direct</v>
          </cell>
          <cell r="G356">
            <v>291.70000000000005</v>
          </cell>
          <cell r="H356">
            <v>10440.369999999999</v>
          </cell>
          <cell r="I356">
            <v>292</v>
          </cell>
          <cell r="J356">
            <v>10911.856107240001</v>
          </cell>
          <cell r="K356">
            <v>0</v>
          </cell>
          <cell r="L356">
            <v>0</v>
          </cell>
          <cell r="M356">
            <v>292</v>
          </cell>
          <cell r="N356">
            <v>10911.856107240001</v>
          </cell>
          <cell r="O356">
            <v>10440.369999999999</v>
          </cell>
          <cell r="P356">
            <v>0</v>
          </cell>
          <cell r="Q356">
            <v>0</v>
          </cell>
          <cell r="R356">
            <v>471.48610724000173</v>
          </cell>
          <cell r="S356">
            <v>0</v>
          </cell>
          <cell r="T356">
            <v>0</v>
          </cell>
        </row>
        <row r="357">
          <cell r="C357">
            <v>10100061</v>
          </cell>
          <cell r="D357" t="str">
            <v>Gomukh Bhorkanth Purbi</v>
          </cell>
          <cell r="E357" t="str">
            <v>MPG</v>
          </cell>
          <cell r="F357" t="str">
            <v>Direct</v>
          </cell>
          <cell r="G357">
            <v>56.900000000000013</v>
          </cell>
          <cell r="H357">
            <v>2002.62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</row>
        <row r="358">
          <cell r="C358">
            <v>10100062</v>
          </cell>
          <cell r="D358" t="str">
            <v>Gomukh Khutha VLC</v>
          </cell>
          <cell r="E358" t="str">
            <v>vlc</v>
          </cell>
          <cell r="F358" t="str">
            <v>Indirect</v>
          </cell>
          <cell r="G358">
            <v>8220.0000000000018</v>
          </cell>
          <cell r="H358">
            <v>323369.08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323369.08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</row>
        <row r="359">
          <cell r="C359">
            <v>10100065</v>
          </cell>
          <cell r="D359" t="str">
            <v>Gomukh Kabela Vlc</v>
          </cell>
          <cell r="E359" t="str">
            <v>vlc</v>
          </cell>
          <cell r="F359" t="str">
            <v>Indirect</v>
          </cell>
          <cell r="G359">
            <v>923.9</v>
          </cell>
          <cell r="H359">
            <v>33575.060000000005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33575.060000000005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</row>
        <row r="360">
          <cell r="C360">
            <v>10100067</v>
          </cell>
          <cell r="D360" t="str">
            <v>Gomukh Madhabpur Purbi Vlc</v>
          </cell>
          <cell r="E360" t="str">
            <v>vlc</v>
          </cell>
          <cell r="F360" t="str">
            <v>Indirect</v>
          </cell>
          <cell r="G360">
            <v>31.4</v>
          </cell>
          <cell r="H360">
            <v>1070.75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1070.75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</row>
        <row r="361">
          <cell r="C361">
            <v>10100070</v>
          </cell>
          <cell r="D361" t="str">
            <v>Gomukh Manish Vlc</v>
          </cell>
          <cell r="E361" t="str">
            <v>vlc</v>
          </cell>
          <cell r="F361" t="str">
            <v>Indirect</v>
          </cell>
          <cell r="G361">
            <v>2601.7000000000003</v>
          </cell>
          <cell r="H361">
            <v>117220.48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117220.48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</row>
        <row r="362">
          <cell r="C362">
            <v>10110001</v>
          </cell>
          <cell r="D362" t="str">
            <v>Gomukh Mahendrapur</v>
          </cell>
          <cell r="E362" t="str">
            <v>MPG</v>
          </cell>
          <cell r="F362" t="str">
            <v>Direct</v>
          </cell>
          <cell r="G362">
            <v>1916.8</v>
          </cell>
          <cell r="H362">
            <v>75309.17</v>
          </cell>
          <cell r="I362">
            <v>1910.7000000000003</v>
          </cell>
          <cell r="J362">
            <v>76466.366314549901</v>
          </cell>
          <cell r="K362">
            <v>39</v>
          </cell>
          <cell r="L362">
            <v>1568.9956391999999</v>
          </cell>
          <cell r="M362">
            <v>1949.7000000000003</v>
          </cell>
          <cell r="N362">
            <v>78035.361953749903</v>
          </cell>
          <cell r="O362">
            <v>75309.17</v>
          </cell>
          <cell r="P362">
            <v>0</v>
          </cell>
          <cell r="Q362">
            <v>1568.9956391999999</v>
          </cell>
          <cell r="R362">
            <v>2726.1919537499052</v>
          </cell>
          <cell r="S362">
            <v>2600</v>
          </cell>
          <cell r="T362">
            <v>0</v>
          </cell>
        </row>
        <row r="363">
          <cell r="C363">
            <v>10110002</v>
          </cell>
          <cell r="D363" t="str">
            <v>Gomukh Balahpur</v>
          </cell>
          <cell r="E363" t="str">
            <v>MPG</v>
          </cell>
          <cell r="F363" t="str">
            <v>Direct</v>
          </cell>
          <cell r="G363">
            <v>357.00000000000006</v>
          </cell>
          <cell r="H363">
            <v>12575.389999999998</v>
          </cell>
          <cell r="I363">
            <v>360.69999999999993</v>
          </cell>
          <cell r="J363">
            <v>13091.75845164</v>
          </cell>
          <cell r="K363">
            <v>0</v>
          </cell>
          <cell r="L363">
            <v>0</v>
          </cell>
          <cell r="M363">
            <v>360.69999999999993</v>
          </cell>
          <cell r="N363">
            <v>13091.75845164</v>
          </cell>
          <cell r="O363">
            <v>12575.389999999998</v>
          </cell>
          <cell r="P363">
            <v>0</v>
          </cell>
          <cell r="Q363">
            <v>0</v>
          </cell>
          <cell r="R363">
            <v>516.3684516400026</v>
          </cell>
          <cell r="S363">
            <v>0</v>
          </cell>
          <cell r="T363">
            <v>0</v>
          </cell>
        </row>
        <row r="364">
          <cell r="C364">
            <v>10110004</v>
          </cell>
          <cell r="D364" t="str">
            <v>Gomukh Danauli</v>
          </cell>
          <cell r="E364" t="str">
            <v>MPG</v>
          </cell>
          <cell r="F364" t="str">
            <v>Direct</v>
          </cell>
          <cell r="G364">
            <v>545.5</v>
          </cell>
          <cell r="H364">
            <v>20276.46</v>
          </cell>
          <cell r="I364">
            <v>545.29999999999995</v>
          </cell>
          <cell r="J364">
            <v>20247.688470240002</v>
          </cell>
          <cell r="K364">
            <v>1.4000000000000001</v>
          </cell>
          <cell r="L364">
            <v>52.101917999999998</v>
          </cell>
          <cell r="M364">
            <v>546.69999999999993</v>
          </cell>
          <cell r="N364">
            <v>20299.790388240002</v>
          </cell>
          <cell r="O364">
            <v>20276.46</v>
          </cell>
          <cell r="P364">
            <v>0</v>
          </cell>
          <cell r="Q364">
            <v>52.101917999999998</v>
          </cell>
          <cell r="R364">
            <v>23.330388240003231</v>
          </cell>
          <cell r="S364">
            <v>0</v>
          </cell>
          <cell r="T364">
            <v>0</v>
          </cell>
        </row>
        <row r="365">
          <cell r="C365">
            <v>10110005</v>
          </cell>
          <cell r="D365" t="str">
            <v>NAYAGAW</v>
          </cell>
          <cell r="E365" t="str">
            <v>MPG</v>
          </cell>
          <cell r="F365" t="str">
            <v>Direct</v>
          </cell>
          <cell r="G365">
            <v>4335.5</v>
          </cell>
          <cell r="H365">
            <v>176829.06999999998</v>
          </cell>
          <cell r="I365">
            <v>4303.1499999999996</v>
          </cell>
          <cell r="J365">
            <v>176042.98326843281</v>
          </cell>
          <cell r="K365">
            <v>30.560000000000002</v>
          </cell>
          <cell r="L365">
            <v>2219.6385274160398</v>
          </cell>
          <cell r="M365">
            <v>4333.71</v>
          </cell>
          <cell r="N365">
            <v>178262.62179584886</v>
          </cell>
          <cell r="O365">
            <v>176829.06999999998</v>
          </cell>
          <cell r="P365">
            <v>0</v>
          </cell>
          <cell r="Q365">
            <v>2219.6385274160398</v>
          </cell>
          <cell r="R365">
            <v>1433.5517958488781</v>
          </cell>
          <cell r="S365">
            <v>0</v>
          </cell>
          <cell r="T365">
            <v>0</v>
          </cell>
        </row>
        <row r="366">
          <cell r="C366">
            <v>10110007</v>
          </cell>
          <cell r="D366" t="str">
            <v>Dandari</v>
          </cell>
          <cell r="E366" t="str">
            <v>MPG</v>
          </cell>
          <cell r="F366" t="str">
            <v>Direct</v>
          </cell>
          <cell r="G366">
            <v>957.40000000000009</v>
          </cell>
          <cell r="H366">
            <v>35060.69</v>
          </cell>
          <cell r="I366">
            <v>955</v>
          </cell>
          <cell r="J366">
            <v>34973.177763744003</v>
          </cell>
          <cell r="K366">
            <v>2.4</v>
          </cell>
          <cell r="L366">
            <v>88.223370444000011</v>
          </cell>
          <cell r="M366">
            <v>957.4</v>
          </cell>
          <cell r="N366">
            <v>35061.401134188003</v>
          </cell>
          <cell r="O366">
            <v>35060.69</v>
          </cell>
          <cell r="P366">
            <v>0</v>
          </cell>
          <cell r="Q366">
            <v>88.223370444000011</v>
          </cell>
          <cell r="R366">
            <v>0.71113418800086947</v>
          </cell>
          <cell r="S366">
            <v>0</v>
          </cell>
          <cell r="T366">
            <v>0</v>
          </cell>
        </row>
        <row r="367">
          <cell r="C367">
            <v>10110008</v>
          </cell>
          <cell r="D367" t="str">
            <v>Rahimpur Pachkhutti</v>
          </cell>
          <cell r="E367" t="str">
            <v>vlc</v>
          </cell>
          <cell r="F367" t="str">
            <v>Indirect</v>
          </cell>
          <cell r="G367">
            <v>7306.8999999999987</v>
          </cell>
          <cell r="H367">
            <v>279523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279523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</row>
        <row r="368">
          <cell r="C368">
            <v>10110013</v>
          </cell>
          <cell r="D368" t="str">
            <v xml:space="preserve">Gomukh Mohanpur                                                                                     </v>
          </cell>
          <cell r="E368" t="str">
            <v>MPG</v>
          </cell>
          <cell r="F368" t="str">
            <v>Direct</v>
          </cell>
          <cell r="G368">
            <v>969.6</v>
          </cell>
          <cell r="H368">
            <v>35693.659999999996</v>
          </cell>
          <cell r="I368">
            <v>976</v>
          </cell>
          <cell r="J368">
            <v>36413.106166800004</v>
          </cell>
          <cell r="K368">
            <v>1.5</v>
          </cell>
          <cell r="L368">
            <v>55.758399839999996</v>
          </cell>
          <cell r="M368">
            <v>977.5</v>
          </cell>
          <cell r="N368">
            <v>36468.864566640004</v>
          </cell>
          <cell r="O368">
            <v>35693.659999999996</v>
          </cell>
          <cell r="P368">
            <v>0</v>
          </cell>
          <cell r="Q368">
            <v>55.758399839999996</v>
          </cell>
          <cell r="R368">
            <v>775.20456664000812</v>
          </cell>
          <cell r="S368">
            <v>0</v>
          </cell>
          <cell r="T368">
            <v>0</v>
          </cell>
        </row>
        <row r="369">
          <cell r="C369">
            <v>10110014</v>
          </cell>
          <cell r="D369" t="str">
            <v>Gomukh Raghunathpur</v>
          </cell>
          <cell r="E369" t="str">
            <v>MPG</v>
          </cell>
          <cell r="F369" t="str">
            <v>Direct</v>
          </cell>
          <cell r="G369">
            <v>1038.9000000000001</v>
          </cell>
          <cell r="H369">
            <v>46876.380000000019</v>
          </cell>
          <cell r="I369">
            <v>1057.1000000000001</v>
          </cell>
          <cell r="J369">
            <v>46069.700992591024</v>
          </cell>
          <cell r="K369">
            <v>17.8</v>
          </cell>
          <cell r="L369">
            <v>769.70691121350012</v>
          </cell>
          <cell r="M369">
            <v>1074.9000000000001</v>
          </cell>
          <cell r="N369">
            <v>46839.407903804524</v>
          </cell>
          <cell r="O369">
            <v>46839.407903804524</v>
          </cell>
          <cell r="P369">
            <v>0</v>
          </cell>
          <cell r="Q369">
            <v>769.70691121350012</v>
          </cell>
          <cell r="R369">
            <v>0</v>
          </cell>
          <cell r="S369">
            <v>0</v>
          </cell>
          <cell r="T369">
            <v>0</v>
          </cell>
        </row>
        <row r="370">
          <cell r="C370">
            <v>10110015</v>
          </cell>
          <cell r="D370" t="str">
            <v>Gomukh Chhitraur</v>
          </cell>
          <cell r="E370" t="str">
            <v>MPG</v>
          </cell>
          <cell r="F370" t="str">
            <v>Direct</v>
          </cell>
          <cell r="G370">
            <v>1160.9000000000001</v>
          </cell>
          <cell r="H370">
            <v>47259.289999999994</v>
          </cell>
          <cell r="I370">
            <v>1161.76</v>
          </cell>
          <cell r="J370">
            <v>49514.043122849449</v>
          </cell>
          <cell r="K370">
            <v>0</v>
          </cell>
          <cell r="L370">
            <v>0</v>
          </cell>
          <cell r="M370">
            <v>1161.76</v>
          </cell>
          <cell r="N370">
            <v>49514.043122849449</v>
          </cell>
          <cell r="O370">
            <v>47259.289999999994</v>
          </cell>
          <cell r="P370">
            <v>0</v>
          </cell>
          <cell r="Q370">
            <v>0</v>
          </cell>
          <cell r="R370">
            <v>2254.7531228494554</v>
          </cell>
          <cell r="S370">
            <v>0</v>
          </cell>
          <cell r="T370">
            <v>0</v>
          </cell>
        </row>
        <row r="371">
          <cell r="C371">
            <v>10110016</v>
          </cell>
          <cell r="D371" t="str">
            <v>Gomukh Khorampur Chakaur</v>
          </cell>
          <cell r="E371" t="str">
            <v>MPG</v>
          </cell>
          <cell r="F371" t="str">
            <v>Direct</v>
          </cell>
          <cell r="G371">
            <v>738.3</v>
          </cell>
          <cell r="H371">
            <v>29709.849999999995</v>
          </cell>
          <cell r="I371">
            <v>739.6</v>
          </cell>
          <cell r="J371">
            <v>29894.8170312</v>
          </cell>
          <cell r="K371">
            <v>3.3</v>
          </cell>
          <cell r="L371">
            <v>133.8121026</v>
          </cell>
          <cell r="M371">
            <v>742.9</v>
          </cell>
          <cell r="N371">
            <v>30028.629133800001</v>
          </cell>
          <cell r="O371">
            <v>29709.849999999995</v>
          </cell>
          <cell r="P371">
            <v>0</v>
          </cell>
          <cell r="Q371">
            <v>133.8121026</v>
          </cell>
          <cell r="R371">
            <v>318.77913380000609</v>
          </cell>
          <cell r="S371">
            <v>0</v>
          </cell>
          <cell r="T371">
            <v>0</v>
          </cell>
        </row>
        <row r="372">
          <cell r="C372">
            <v>10110021</v>
          </cell>
          <cell r="D372" t="str">
            <v>GOMUKH Mathar</v>
          </cell>
          <cell r="E372" t="str">
            <v>MPG</v>
          </cell>
          <cell r="F372" t="str">
            <v>Direct</v>
          </cell>
          <cell r="G372">
            <v>79.3</v>
          </cell>
          <cell r="H372">
            <v>3139.5</v>
          </cell>
          <cell r="I372">
            <v>56.670000000000009</v>
          </cell>
          <cell r="J372">
            <v>2108.3858446681797</v>
          </cell>
          <cell r="K372">
            <v>0.8899999999999999</v>
          </cell>
          <cell r="L372">
            <v>33.25815144036001</v>
          </cell>
          <cell r="M372">
            <v>57.560000000000009</v>
          </cell>
          <cell r="N372">
            <v>2141.6439961085398</v>
          </cell>
          <cell r="O372">
            <v>2141.6439961085398</v>
          </cell>
          <cell r="P372">
            <v>0</v>
          </cell>
          <cell r="Q372">
            <v>33.25815144036001</v>
          </cell>
          <cell r="R372">
            <v>0</v>
          </cell>
          <cell r="S372">
            <v>0</v>
          </cell>
          <cell r="T372">
            <v>34.380000000000003</v>
          </cell>
        </row>
        <row r="373">
          <cell r="C373">
            <v>10110032</v>
          </cell>
          <cell r="D373" t="str">
            <v>Gomukh Kumar Chakki</v>
          </cell>
          <cell r="E373" t="str">
            <v>MPG</v>
          </cell>
          <cell r="F373" t="str">
            <v>Direct</v>
          </cell>
          <cell r="G373">
            <v>266.90000000000003</v>
          </cell>
          <cell r="H373">
            <v>9727.6299999999992</v>
          </cell>
          <cell r="I373">
            <v>264.89999999999998</v>
          </cell>
          <cell r="J373">
            <v>9879.7422715200009</v>
          </cell>
          <cell r="K373">
            <v>0.79999999999999993</v>
          </cell>
          <cell r="L373">
            <v>29.846048760000006</v>
          </cell>
          <cell r="M373">
            <v>265.7</v>
          </cell>
          <cell r="N373">
            <v>9909.5883202800014</v>
          </cell>
          <cell r="O373">
            <v>9727.6299999999992</v>
          </cell>
          <cell r="P373">
            <v>0</v>
          </cell>
          <cell r="Q373">
            <v>29.846048760000006</v>
          </cell>
          <cell r="R373">
            <v>181.95832028000223</v>
          </cell>
          <cell r="S373">
            <v>0</v>
          </cell>
          <cell r="T373">
            <v>252.93967499999971</v>
          </cell>
        </row>
        <row r="374">
          <cell r="C374">
            <v>10110042</v>
          </cell>
          <cell r="D374" t="str">
            <v>Gomukh Sonapur</v>
          </cell>
          <cell r="E374" t="str">
            <v>vlc</v>
          </cell>
          <cell r="F374" t="str">
            <v>Indirect</v>
          </cell>
          <cell r="G374">
            <v>427.20000000000005</v>
          </cell>
          <cell r="H374">
            <v>16372.1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16372.1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179.37150967741928</v>
          </cell>
        </row>
        <row r="375">
          <cell r="C375">
            <v>10110043</v>
          </cell>
          <cell r="D375" t="str">
            <v>Gomukh Barkhandi 2</v>
          </cell>
          <cell r="E375" t="str">
            <v>MPG</v>
          </cell>
          <cell r="F375" t="str">
            <v>Indirect</v>
          </cell>
          <cell r="G375">
            <v>530</v>
          </cell>
          <cell r="H375">
            <v>21269.3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21269.3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827.95254193548305</v>
          </cell>
        </row>
        <row r="376">
          <cell r="C376">
            <v>10110049</v>
          </cell>
          <cell r="D376" t="str">
            <v xml:space="preserve">Gomukh Kalyanpur                                                                                    </v>
          </cell>
          <cell r="E376" t="str">
            <v>MPG</v>
          </cell>
          <cell r="F376" t="str">
            <v>Direct</v>
          </cell>
          <cell r="G376">
            <v>829.6</v>
          </cell>
          <cell r="H376">
            <v>31569.4</v>
          </cell>
          <cell r="I376">
            <v>818.5</v>
          </cell>
          <cell r="J376">
            <v>31267.74102804</v>
          </cell>
          <cell r="K376">
            <v>23.700000000000006</v>
          </cell>
          <cell r="L376">
            <v>900.88664688000006</v>
          </cell>
          <cell r="M376">
            <v>842.2</v>
          </cell>
          <cell r="N376">
            <v>32168.627674920001</v>
          </cell>
          <cell r="O376">
            <v>31569.4</v>
          </cell>
          <cell r="P376">
            <v>0</v>
          </cell>
          <cell r="Q376">
            <v>900.88664688000006</v>
          </cell>
          <cell r="R376">
            <v>599.22767491999912</v>
          </cell>
          <cell r="S376">
            <v>0</v>
          </cell>
          <cell r="T376">
            <v>0</v>
          </cell>
        </row>
        <row r="377">
          <cell r="C377">
            <v>10110050</v>
          </cell>
          <cell r="D377" t="str">
            <v xml:space="preserve">Gomukh Fatehpur                                                                                     </v>
          </cell>
          <cell r="E377" t="str">
            <v>MPG</v>
          </cell>
          <cell r="F377" t="str">
            <v>Direct</v>
          </cell>
          <cell r="G377">
            <v>697.1</v>
          </cell>
          <cell r="H377">
            <v>26901.94</v>
          </cell>
          <cell r="I377">
            <v>697.1</v>
          </cell>
          <cell r="J377">
            <v>26889.140171550804</v>
          </cell>
          <cell r="K377">
            <v>0</v>
          </cell>
          <cell r="L377">
            <v>0</v>
          </cell>
          <cell r="M377">
            <v>697.1</v>
          </cell>
          <cell r="N377">
            <v>26889.140171550804</v>
          </cell>
          <cell r="O377">
            <v>26889.140171550804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2310.11</v>
          </cell>
        </row>
        <row r="378">
          <cell r="C378">
            <v>10110053</v>
          </cell>
          <cell r="D378" t="str">
            <v>GOMUKH KATAHRI</v>
          </cell>
          <cell r="E378" t="str">
            <v>MPG</v>
          </cell>
          <cell r="F378" t="str">
            <v>Direct</v>
          </cell>
          <cell r="G378">
            <v>93.4</v>
          </cell>
          <cell r="H378">
            <v>4293.07</v>
          </cell>
          <cell r="I378">
            <v>93.3</v>
          </cell>
          <cell r="J378">
            <v>4162.6077790310001</v>
          </cell>
          <cell r="K378">
            <v>1.8</v>
          </cell>
          <cell r="L378">
            <v>81.814760798300014</v>
          </cell>
          <cell r="M378">
            <v>95.1</v>
          </cell>
          <cell r="N378">
            <v>4244.4225398293001</v>
          </cell>
          <cell r="O378">
            <v>4244.4225398293001</v>
          </cell>
          <cell r="P378">
            <v>0</v>
          </cell>
          <cell r="Q378">
            <v>81.814760798300014</v>
          </cell>
          <cell r="R378">
            <v>0</v>
          </cell>
          <cell r="S378">
            <v>0</v>
          </cell>
          <cell r="T378">
            <v>9.1000499999999693</v>
          </cell>
        </row>
        <row r="379">
          <cell r="C379">
            <v>10110055</v>
          </cell>
          <cell r="D379" t="str">
            <v>GOMUKH Mathar Ward 10</v>
          </cell>
          <cell r="E379" t="str">
            <v>MPG</v>
          </cell>
          <cell r="F379" t="str">
            <v>Direct</v>
          </cell>
          <cell r="G379">
            <v>680.9</v>
          </cell>
          <cell r="H379">
            <v>28876.71</v>
          </cell>
          <cell r="I379">
            <v>583.36000000000013</v>
          </cell>
          <cell r="J379">
            <v>25211.958062605798</v>
          </cell>
          <cell r="K379">
            <v>199.02</v>
          </cell>
          <cell r="L379">
            <v>8235.7661778479996</v>
          </cell>
          <cell r="M379">
            <v>782.38000000000011</v>
          </cell>
          <cell r="N379">
            <v>33447.724240453797</v>
          </cell>
          <cell r="O379">
            <v>28876.71</v>
          </cell>
          <cell r="P379">
            <v>0</v>
          </cell>
          <cell r="Q379">
            <v>0</v>
          </cell>
          <cell r="R379">
            <v>4571.0142404537983</v>
          </cell>
          <cell r="S379">
            <v>0</v>
          </cell>
          <cell r="T379">
            <v>0</v>
          </cell>
        </row>
        <row r="380">
          <cell r="C380">
            <v>10110057</v>
          </cell>
          <cell r="D380" t="str">
            <v>GOMUKH Tartor 2</v>
          </cell>
          <cell r="E380" t="str">
            <v>MPG</v>
          </cell>
          <cell r="F380" t="str">
            <v>Direct</v>
          </cell>
          <cell r="G380">
            <v>281.19999999999993</v>
          </cell>
          <cell r="H380">
            <v>12282.68</v>
          </cell>
          <cell r="I380">
            <v>291.3</v>
          </cell>
          <cell r="J380">
            <v>13653.156236445</v>
          </cell>
          <cell r="K380">
            <v>0</v>
          </cell>
          <cell r="L380">
            <v>0</v>
          </cell>
          <cell r="M380">
            <v>291.3</v>
          </cell>
          <cell r="N380">
            <v>13653.156236445</v>
          </cell>
          <cell r="O380">
            <v>12282.68</v>
          </cell>
          <cell r="P380">
            <v>0</v>
          </cell>
          <cell r="Q380">
            <v>0</v>
          </cell>
          <cell r="R380">
            <v>1370.4762364449998</v>
          </cell>
          <cell r="S380">
            <v>0</v>
          </cell>
          <cell r="T380">
            <v>0</v>
          </cell>
        </row>
        <row r="381">
          <cell r="C381">
            <v>10110065</v>
          </cell>
          <cell r="D381" t="str">
            <v>Gomukh Chaidha</v>
          </cell>
          <cell r="E381" t="str">
            <v>MPG</v>
          </cell>
          <cell r="F381" t="str">
            <v>Direct</v>
          </cell>
          <cell r="G381">
            <v>1125.6000000000001</v>
          </cell>
          <cell r="H381">
            <v>43861.63</v>
          </cell>
          <cell r="I381">
            <v>1121.1799999999998</v>
          </cell>
          <cell r="J381">
            <v>43822.259030642403</v>
          </cell>
          <cell r="K381">
            <v>5.2800000000000011</v>
          </cell>
          <cell r="L381">
            <v>193.6528396704</v>
          </cell>
          <cell r="M381">
            <v>1126.4599999999998</v>
          </cell>
          <cell r="N381">
            <v>44015.911870312804</v>
          </cell>
          <cell r="O381">
            <v>43861.63</v>
          </cell>
          <cell r="P381">
            <v>0</v>
          </cell>
          <cell r="Q381">
            <v>193.6528396704</v>
          </cell>
          <cell r="R381">
            <v>154.28187031280686</v>
          </cell>
          <cell r="S381">
            <v>0</v>
          </cell>
          <cell r="T381">
            <v>0</v>
          </cell>
        </row>
        <row r="382">
          <cell r="C382">
            <v>10110066</v>
          </cell>
          <cell r="D382" t="str">
            <v>Gomukh Bakiya</v>
          </cell>
          <cell r="E382" t="str">
            <v>MPG</v>
          </cell>
          <cell r="F382" t="str">
            <v>Direct</v>
          </cell>
          <cell r="G382">
            <v>1006</v>
          </cell>
          <cell r="H382">
            <v>40526.46</v>
          </cell>
          <cell r="I382">
            <v>1000.3600000000001</v>
          </cell>
          <cell r="J382">
            <v>40057.075910791289</v>
          </cell>
          <cell r="K382">
            <v>4.76</v>
          </cell>
          <cell r="L382">
            <v>190.72406548800004</v>
          </cell>
          <cell r="M382">
            <v>1005.1200000000001</v>
          </cell>
          <cell r="N382">
            <v>40247.79997627929</v>
          </cell>
          <cell r="O382">
            <v>40247.79997627929</v>
          </cell>
          <cell r="P382">
            <v>0</v>
          </cell>
          <cell r="Q382">
            <v>190.72406548800004</v>
          </cell>
          <cell r="R382">
            <v>0</v>
          </cell>
          <cell r="S382">
            <v>0</v>
          </cell>
          <cell r="T382">
            <v>0</v>
          </cell>
        </row>
        <row r="383">
          <cell r="C383">
            <v>10110071</v>
          </cell>
          <cell r="D383" t="str">
            <v>Gomukh Sadpur</v>
          </cell>
          <cell r="E383" t="str">
            <v>MPG</v>
          </cell>
          <cell r="F383" t="str">
            <v>Direct</v>
          </cell>
          <cell r="G383">
            <v>19.3</v>
          </cell>
          <cell r="H383">
            <v>711.01</v>
          </cell>
          <cell r="I383">
            <v>19</v>
          </cell>
          <cell r="J383">
            <v>700.00162253999997</v>
          </cell>
          <cell r="K383">
            <v>0</v>
          </cell>
          <cell r="L383">
            <v>0</v>
          </cell>
          <cell r="M383">
            <v>19</v>
          </cell>
          <cell r="N383">
            <v>700.00162253999997</v>
          </cell>
          <cell r="O383">
            <v>700.00162253999997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432.97</v>
          </cell>
        </row>
        <row r="384">
          <cell r="C384">
            <v>10110073</v>
          </cell>
          <cell r="D384" t="str">
            <v>GOMUKH Nista Tol</v>
          </cell>
          <cell r="E384" t="str">
            <v>MPG</v>
          </cell>
          <cell r="F384" t="str">
            <v>Direct</v>
          </cell>
          <cell r="G384">
            <v>67.5</v>
          </cell>
          <cell r="H384">
            <v>2480.94</v>
          </cell>
          <cell r="I384">
            <v>57.370000000000005</v>
          </cell>
          <cell r="J384">
            <v>2014.8255947160001</v>
          </cell>
          <cell r="K384">
            <v>0</v>
          </cell>
          <cell r="L384">
            <v>0</v>
          </cell>
          <cell r="M384">
            <v>57.370000000000005</v>
          </cell>
          <cell r="N384">
            <v>2014.8255947160001</v>
          </cell>
          <cell r="O384">
            <v>2014.8255947160001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556.42999999999995</v>
          </cell>
        </row>
        <row r="385">
          <cell r="C385">
            <v>10110076</v>
          </cell>
          <cell r="D385" t="str">
            <v>GOMUKH SRINAGAR</v>
          </cell>
          <cell r="E385" t="str">
            <v>MPG</v>
          </cell>
          <cell r="F385" t="str">
            <v>Direct</v>
          </cell>
          <cell r="G385">
            <v>1501.2999999999997</v>
          </cell>
          <cell r="H385">
            <v>61524.36</v>
          </cell>
          <cell r="I385">
            <v>1225.7199999999998</v>
          </cell>
          <cell r="J385">
            <v>52627.544236069218</v>
          </cell>
          <cell r="K385">
            <v>293.44</v>
          </cell>
          <cell r="L385">
            <v>12006.156079619648</v>
          </cell>
          <cell r="M385">
            <v>1519.1599999999999</v>
          </cell>
          <cell r="N385">
            <v>64633.700315688868</v>
          </cell>
          <cell r="O385">
            <v>61524.36</v>
          </cell>
          <cell r="P385">
            <v>0</v>
          </cell>
          <cell r="Q385">
            <v>177.093996777</v>
          </cell>
          <cell r="R385">
            <v>3109.3403156888671</v>
          </cell>
          <cell r="S385">
            <v>0</v>
          </cell>
          <cell r="T385">
            <v>0</v>
          </cell>
        </row>
        <row r="386">
          <cell r="C386">
            <v>10110078</v>
          </cell>
          <cell r="D386" t="str">
            <v>GOMUKH THATHA</v>
          </cell>
          <cell r="E386" t="str">
            <v>MPG</v>
          </cell>
          <cell r="F386" t="str">
            <v>Direct</v>
          </cell>
          <cell r="G386">
            <v>457.8</v>
          </cell>
          <cell r="H386">
            <v>15299.9</v>
          </cell>
          <cell r="I386">
            <v>465.2</v>
          </cell>
          <cell r="J386">
            <v>15559.641302040001</v>
          </cell>
          <cell r="K386">
            <v>0</v>
          </cell>
          <cell r="L386">
            <v>0</v>
          </cell>
          <cell r="M386">
            <v>465.2</v>
          </cell>
          <cell r="N386">
            <v>15559.641302040001</v>
          </cell>
          <cell r="O386">
            <v>15299.9</v>
          </cell>
          <cell r="P386">
            <v>0</v>
          </cell>
          <cell r="Q386">
            <v>0</v>
          </cell>
          <cell r="R386">
            <v>259.74130204000176</v>
          </cell>
          <cell r="S386">
            <v>0</v>
          </cell>
          <cell r="T386">
            <v>0</v>
          </cell>
        </row>
        <row r="387">
          <cell r="C387">
            <v>10110083</v>
          </cell>
          <cell r="D387" t="str">
            <v>GOMUKH SANHA NAYATOLA</v>
          </cell>
          <cell r="E387" t="str">
            <v>MPG</v>
          </cell>
          <cell r="F387" t="str">
            <v>Direct</v>
          </cell>
          <cell r="G387">
            <v>263.3</v>
          </cell>
          <cell r="H387">
            <v>9746.43</v>
          </cell>
          <cell r="I387">
            <v>263</v>
          </cell>
          <cell r="J387">
            <v>9755.4806712000009</v>
          </cell>
          <cell r="K387">
            <v>0</v>
          </cell>
          <cell r="L387">
            <v>0</v>
          </cell>
          <cell r="M387">
            <v>263</v>
          </cell>
          <cell r="N387">
            <v>9755.4806712000009</v>
          </cell>
          <cell r="O387">
            <v>9746.43</v>
          </cell>
          <cell r="P387">
            <v>0</v>
          </cell>
          <cell r="Q387">
            <v>0</v>
          </cell>
          <cell r="R387">
            <v>9.0506712000005791</v>
          </cell>
          <cell r="S387">
            <v>0</v>
          </cell>
          <cell r="T387">
            <v>522.96</v>
          </cell>
        </row>
        <row r="388">
          <cell r="C388">
            <v>10110086</v>
          </cell>
          <cell r="D388" t="str">
            <v>Gomukh Durgapur</v>
          </cell>
          <cell r="E388" t="str">
            <v>MPG</v>
          </cell>
          <cell r="F388" t="str">
            <v>Direct</v>
          </cell>
          <cell r="G388">
            <v>377.5</v>
          </cell>
          <cell r="H388">
            <v>14512.73</v>
          </cell>
          <cell r="I388">
            <v>380.5</v>
          </cell>
          <cell r="J388">
            <v>14895.680944320004</v>
          </cell>
          <cell r="K388">
            <v>1.4</v>
          </cell>
          <cell r="L388">
            <v>54.068735160000003</v>
          </cell>
          <cell r="M388">
            <v>381.9</v>
          </cell>
          <cell r="N388">
            <v>14949.749679480004</v>
          </cell>
          <cell r="O388">
            <v>14512.73</v>
          </cell>
          <cell r="P388">
            <v>0</v>
          </cell>
          <cell r="Q388">
            <v>54.068735160000003</v>
          </cell>
          <cell r="R388">
            <v>437.01967948000492</v>
          </cell>
          <cell r="S388">
            <v>0</v>
          </cell>
          <cell r="T388">
            <v>0</v>
          </cell>
        </row>
        <row r="389">
          <cell r="C389">
            <v>10110093</v>
          </cell>
          <cell r="D389" t="str">
            <v>Gomukh Koniya</v>
          </cell>
          <cell r="E389" t="str">
            <v>MPG</v>
          </cell>
          <cell r="F389" t="str">
            <v>Direct</v>
          </cell>
          <cell r="G389">
            <v>443.09999999999997</v>
          </cell>
          <cell r="H389">
            <v>15906</v>
          </cell>
          <cell r="I389">
            <v>506.49999999999994</v>
          </cell>
          <cell r="J389">
            <v>19856.386210320001</v>
          </cell>
          <cell r="K389">
            <v>12</v>
          </cell>
          <cell r="L389">
            <v>467.8209756</v>
          </cell>
          <cell r="M389">
            <v>518.5</v>
          </cell>
          <cell r="N389">
            <v>20324.20718592</v>
          </cell>
          <cell r="O389">
            <v>15906</v>
          </cell>
          <cell r="P389">
            <v>0</v>
          </cell>
          <cell r="Q389">
            <v>467.8209756</v>
          </cell>
          <cell r="R389">
            <v>4418.2071859200005</v>
          </cell>
          <cell r="S389">
            <v>0</v>
          </cell>
          <cell r="T389">
            <v>0</v>
          </cell>
        </row>
        <row r="390">
          <cell r="C390">
            <v>10110094</v>
          </cell>
          <cell r="D390" t="str">
            <v>GOMUKH ROHUA</v>
          </cell>
          <cell r="E390" t="str">
            <v>MPG</v>
          </cell>
          <cell r="F390" t="str">
            <v>Direct</v>
          </cell>
          <cell r="G390">
            <v>408.5</v>
          </cell>
          <cell r="H390">
            <v>15257.789999999997</v>
          </cell>
          <cell r="I390">
            <v>415.62</v>
          </cell>
          <cell r="J390">
            <v>15030.457025542204</v>
          </cell>
          <cell r="K390">
            <v>5.879999999999999</v>
          </cell>
          <cell r="L390">
            <v>217.55307142800004</v>
          </cell>
          <cell r="M390">
            <v>421.5</v>
          </cell>
          <cell r="N390">
            <v>15248.010096970203</v>
          </cell>
          <cell r="O390">
            <v>15248.010096970203</v>
          </cell>
          <cell r="P390">
            <v>0</v>
          </cell>
          <cell r="Q390">
            <v>217.55307142800004</v>
          </cell>
          <cell r="R390">
            <v>0</v>
          </cell>
          <cell r="S390">
            <v>0</v>
          </cell>
          <cell r="T390">
            <v>0</v>
          </cell>
        </row>
        <row r="391">
          <cell r="C391">
            <v>10110095</v>
          </cell>
          <cell r="D391" t="str">
            <v>GOMUKH LAXMIPUR</v>
          </cell>
          <cell r="E391" t="str">
            <v>MPG</v>
          </cell>
          <cell r="F391" t="str">
            <v>Direct</v>
          </cell>
          <cell r="G391">
            <v>408.29999999999995</v>
          </cell>
          <cell r="H391">
            <v>18635.04</v>
          </cell>
          <cell r="I391">
            <v>412.21999999999997</v>
          </cell>
          <cell r="J391">
            <v>18988.629028029522</v>
          </cell>
          <cell r="K391">
            <v>7.03</v>
          </cell>
          <cell r="L391">
            <v>319.92851437470006</v>
          </cell>
          <cell r="M391">
            <v>419.24999999999994</v>
          </cell>
          <cell r="N391">
            <v>19308.557542404222</v>
          </cell>
          <cell r="O391">
            <v>18635.04</v>
          </cell>
          <cell r="P391">
            <v>0</v>
          </cell>
          <cell r="Q391">
            <v>319.92851437470006</v>
          </cell>
          <cell r="R391">
            <v>673.51754240422088</v>
          </cell>
          <cell r="S391">
            <v>0</v>
          </cell>
          <cell r="T391">
            <v>0</v>
          </cell>
        </row>
        <row r="392">
          <cell r="C392">
            <v>10110097</v>
          </cell>
          <cell r="D392" t="str">
            <v>GOMUKH BACHOTA</v>
          </cell>
          <cell r="E392" t="str">
            <v>MPG</v>
          </cell>
          <cell r="F392" t="str">
            <v>Direct</v>
          </cell>
          <cell r="G392">
            <v>100.60000000000001</v>
          </cell>
          <cell r="H392">
            <v>4399.37</v>
          </cell>
          <cell r="I392">
            <v>101.48999999999998</v>
          </cell>
          <cell r="J392">
            <v>4207.5304815456002</v>
          </cell>
          <cell r="K392">
            <v>0.74</v>
          </cell>
          <cell r="L392">
            <v>30.082294835999999</v>
          </cell>
          <cell r="M392">
            <v>102.22999999999998</v>
          </cell>
          <cell r="N392">
            <v>4237.6127763816003</v>
          </cell>
          <cell r="O392">
            <v>4237.6127763816003</v>
          </cell>
          <cell r="P392">
            <v>0</v>
          </cell>
          <cell r="Q392">
            <v>30.082294835999999</v>
          </cell>
          <cell r="R392">
            <v>0</v>
          </cell>
          <cell r="S392">
            <v>0</v>
          </cell>
          <cell r="T392">
            <v>225.8790000000001</v>
          </cell>
        </row>
        <row r="393">
          <cell r="C393">
            <v>10110098</v>
          </cell>
          <cell r="D393" t="str">
            <v>GOMUKH CHATAR</v>
          </cell>
          <cell r="E393" t="str">
            <v>MPG</v>
          </cell>
          <cell r="F393" t="str">
            <v>Direct</v>
          </cell>
          <cell r="G393">
            <v>168.99999999999994</v>
          </cell>
          <cell r="H393">
            <v>6973.72</v>
          </cell>
          <cell r="I393">
            <v>158.6</v>
          </cell>
          <cell r="J393">
            <v>6537.1603294800007</v>
          </cell>
          <cell r="K393">
            <v>0</v>
          </cell>
          <cell r="L393">
            <v>0</v>
          </cell>
          <cell r="M393">
            <v>158.6</v>
          </cell>
          <cell r="N393">
            <v>6537.1603294800007</v>
          </cell>
          <cell r="O393">
            <v>6537.1603294800007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</row>
        <row r="394">
          <cell r="C394">
            <v>10110100</v>
          </cell>
          <cell r="D394" t="str">
            <v>GOMUKH BATHNAMA</v>
          </cell>
          <cell r="E394" t="str">
            <v>MPG</v>
          </cell>
          <cell r="F394" t="str">
            <v>Direct</v>
          </cell>
          <cell r="G394">
            <v>3656.4999999999995</v>
          </cell>
          <cell r="H394">
            <v>147744.75</v>
          </cell>
          <cell r="I394">
            <v>3871.5399999999991</v>
          </cell>
          <cell r="J394">
            <v>158285.82973307505</v>
          </cell>
          <cell r="K394">
            <v>6.3999999999999995</v>
          </cell>
          <cell r="L394">
            <v>262.10610835200004</v>
          </cell>
          <cell r="M394">
            <v>3877.9399999999991</v>
          </cell>
          <cell r="N394">
            <v>158547.93584142704</v>
          </cell>
          <cell r="O394">
            <v>147744.75</v>
          </cell>
          <cell r="P394">
            <v>0</v>
          </cell>
          <cell r="Q394">
            <v>262.10610835200004</v>
          </cell>
          <cell r="R394">
            <v>10803.185841427039</v>
          </cell>
          <cell r="S394">
            <v>4394</v>
          </cell>
          <cell r="T394">
            <v>0</v>
          </cell>
        </row>
        <row r="395">
          <cell r="C395">
            <v>10110101</v>
          </cell>
          <cell r="D395" t="str">
            <v>GOMUKH TILAK NAGAR</v>
          </cell>
          <cell r="E395" t="str">
            <v>MPG</v>
          </cell>
          <cell r="F395" t="str">
            <v>Direct</v>
          </cell>
          <cell r="G395">
            <v>274.10000000000002</v>
          </cell>
          <cell r="H395">
            <v>11246.12</v>
          </cell>
          <cell r="I395">
            <v>257.20999999999998</v>
          </cell>
          <cell r="J395">
            <v>11682.285196511461</v>
          </cell>
          <cell r="K395">
            <v>5.4999999999999991</v>
          </cell>
          <cell r="L395">
            <v>260.56773603335006</v>
          </cell>
          <cell r="M395">
            <v>262.70999999999998</v>
          </cell>
          <cell r="N395">
            <v>11942.852932544811</v>
          </cell>
          <cell r="O395">
            <v>11246.12</v>
          </cell>
          <cell r="P395">
            <v>0</v>
          </cell>
          <cell r="Q395">
            <v>260.56773603335006</v>
          </cell>
          <cell r="R395">
            <v>696.73293254480996</v>
          </cell>
          <cell r="S395">
            <v>0</v>
          </cell>
          <cell r="T395">
            <v>0</v>
          </cell>
        </row>
        <row r="396">
          <cell r="C396">
            <v>10110105</v>
          </cell>
          <cell r="D396" t="str">
            <v>Gomukh Thatha Purvi</v>
          </cell>
          <cell r="E396" t="str">
            <v>MPG</v>
          </cell>
          <cell r="F396" t="str">
            <v>Direct</v>
          </cell>
          <cell r="G396">
            <v>392.4</v>
          </cell>
          <cell r="H396">
            <v>14412.839999999998</v>
          </cell>
          <cell r="I396">
            <v>435.80999999999995</v>
          </cell>
          <cell r="J396">
            <v>16063.587245175842</v>
          </cell>
          <cell r="K396">
            <v>0</v>
          </cell>
          <cell r="L396">
            <v>0</v>
          </cell>
          <cell r="M396">
            <v>435.80999999999995</v>
          </cell>
          <cell r="N396">
            <v>16063.587245175842</v>
          </cell>
          <cell r="O396">
            <v>14412.839999999998</v>
          </cell>
          <cell r="P396">
            <v>0</v>
          </cell>
          <cell r="Q396">
            <v>0</v>
          </cell>
          <cell r="R396">
            <v>1650.747245175844</v>
          </cell>
          <cell r="S396">
            <v>0</v>
          </cell>
          <cell r="T396">
            <v>0</v>
          </cell>
        </row>
        <row r="397">
          <cell r="C397">
            <v>10110106</v>
          </cell>
          <cell r="D397" t="str">
            <v>Gomukh Rahimpur Dakshin</v>
          </cell>
          <cell r="E397" t="str">
            <v>MPG</v>
          </cell>
          <cell r="F397" t="str">
            <v>Direct</v>
          </cell>
          <cell r="G397">
            <v>5127.6999999999989</v>
          </cell>
          <cell r="H397">
            <v>198450.26</v>
          </cell>
          <cell r="I397">
            <v>1188.28</v>
          </cell>
          <cell r="J397">
            <v>51839.051559707761</v>
          </cell>
          <cell r="K397">
            <v>3914.7</v>
          </cell>
          <cell r="L397">
            <v>149970.34469340002</v>
          </cell>
          <cell r="M397">
            <v>5102.9799999999996</v>
          </cell>
          <cell r="N397">
            <v>201809.39625310779</v>
          </cell>
          <cell r="O397">
            <v>198450.26</v>
          </cell>
          <cell r="P397">
            <v>0</v>
          </cell>
          <cell r="Q397">
            <v>333.40216139999995</v>
          </cell>
          <cell r="R397">
            <v>3359.1362531077757</v>
          </cell>
          <cell r="S397">
            <v>0</v>
          </cell>
          <cell r="T397">
            <v>0</v>
          </cell>
        </row>
        <row r="398">
          <cell r="C398">
            <v>10110109</v>
          </cell>
          <cell r="D398" t="str">
            <v>GOMUKH MORKAHI</v>
          </cell>
          <cell r="E398" t="str">
            <v>MPG</v>
          </cell>
          <cell r="F398" t="str">
            <v>Direct</v>
          </cell>
          <cell r="G398">
            <v>267.5</v>
          </cell>
          <cell r="H398">
            <v>11341.97</v>
          </cell>
          <cell r="I398">
            <v>267.85000000000002</v>
          </cell>
          <cell r="J398">
            <v>11356.323884996404</v>
          </cell>
          <cell r="K398">
            <v>1.4000000000000001</v>
          </cell>
          <cell r="L398">
            <v>58.678345493100018</v>
          </cell>
          <cell r="M398">
            <v>269.25</v>
          </cell>
          <cell r="N398">
            <v>11415.002230489503</v>
          </cell>
          <cell r="O398">
            <v>11341.97</v>
          </cell>
          <cell r="P398">
            <v>0</v>
          </cell>
          <cell r="Q398">
            <v>58.678345493100018</v>
          </cell>
          <cell r="R398">
            <v>73.03223048950349</v>
          </cell>
          <cell r="S398">
            <v>0</v>
          </cell>
          <cell r="T398">
            <v>3.18</v>
          </cell>
        </row>
        <row r="399">
          <cell r="C399">
            <v>10110110</v>
          </cell>
          <cell r="D399" t="str">
            <v>GOMUKH HANSPUR</v>
          </cell>
          <cell r="E399" t="str">
            <v>MPG</v>
          </cell>
          <cell r="F399" t="str">
            <v>Direct</v>
          </cell>
          <cell r="G399">
            <v>159.80000000000001</v>
          </cell>
          <cell r="H399">
            <v>7325.24</v>
          </cell>
          <cell r="I399">
            <v>159.18</v>
          </cell>
          <cell r="J399">
            <v>8051.9794612536425</v>
          </cell>
          <cell r="K399">
            <v>1.2400000000000002</v>
          </cell>
          <cell r="L399">
            <v>79.731364855000024</v>
          </cell>
          <cell r="M399">
            <v>160.42000000000002</v>
          </cell>
          <cell r="N399">
            <v>8131.7108261086423</v>
          </cell>
          <cell r="O399">
            <v>7325.24</v>
          </cell>
          <cell r="P399">
            <v>0</v>
          </cell>
          <cell r="Q399">
            <v>79.731364855000024</v>
          </cell>
          <cell r="R399">
            <v>806.47082610864254</v>
          </cell>
          <cell r="S399">
            <v>544</v>
          </cell>
          <cell r="T399">
            <v>74.39</v>
          </cell>
        </row>
        <row r="400">
          <cell r="C400">
            <v>10110111</v>
          </cell>
          <cell r="D400" t="str">
            <v>GOMUKH NAYAGAON 2</v>
          </cell>
          <cell r="E400" t="str">
            <v>MPG</v>
          </cell>
          <cell r="F400" t="str">
            <v>Direct</v>
          </cell>
          <cell r="G400">
            <v>222.29999999999995</v>
          </cell>
          <cell r="H400">
            <v>11732.409999999996</v>
          </cell>
          <cell r="I400">
            <v>220.66</v>
          </cell>
          <cell r="J400">
            <v>11671.107561402801</v>
          </cell>
          <cell r="K400">
            <v>3.1800000000000006</v>
          </cell>
          <cell r="L400">
            <v>194.41411134992001</v>
          </cell>
          <cell r="M400">
            <v>223.84</v>
          </cell>
          <cell r="N400">
            <v>11865.521672752722</v>
          </cell>
          <cell r="O400">
            <v>11732.409999999996</v>
          </cell>
          <cell r="P400">
            <v>0</v>
          </cell>
          <cell r="Q400">
            <v>194.41411134992001</v>
          </cell>
          <cell r="R400">
            <v>133.11167275272601</v>
          </cell>
          <cell r="S400">
            <v>0</v>
          </cell>
          <cell r="T400">
            <v>0</v>
          </cell>
        </row>
        <row r="401">
          <cell r="C401">
            <v>10110114</v>
          </cell>
          <cell r="D401" t="str">
            <v>GOMUKH LABHGAON</v>
          </cell>
          <cell r="E401" t="str">
            <v>MPG</v>
          </cell>
          <cell r="F401" t="str">
            <v>Direct</v>
          </cell>
          <cell r="G401">
            <v>524.19999999999993</v>
          </cell>
          <cell r="H401">
            <v>19221.719999999998</v>
          </cell>
          <cell r="I401">
            <v>528.87999999999988</v>
          </cell>
          <cell r="J401">
            <v>18880.513315785007</v>
          </cell>
          <cell r="K401">
            <v>0</v>
          </cell>
          <cell r="L401">
            <v>0</v>
          </cell>
          <cell r="M401">
            <v>528.87999999999988</v>
          </cell>
          <cell r="N401">
            <v>18880.513315785007</v>
          </cell>
          <cell r="O401">
            <v>18880.513315785007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</row>
        <row r="402">
          <cell r="C402">
            <v>10110116</v>
          </cell>
          <cell r="D402" t="str">
            <v>GOMUKH CHANDPURA</v>
          </cell>
          <cell r="E402" t="str">
            <v>MPG</v>
          </cell>
          <cell r="F402" t="str">
            <v>Direct</v>
          </cell>
          <cell r="G402">
            <v>683.40000000000009</v>
          </cell>
          <cell r="H402">
            <v>25072.510000000002</v>
          </cell>
          <cell r="I402">
            <v>683.40000000000009</v>
          </cell>
          <cell r="J402">
            <v>25039.640023199998</v>
          </cell>
          <cell r="K402">
            <v>0</v>
          </cell>
          <cell r="L402">
            <v>0</v>
          </cell>
          <cell r="M402">
            <v>683.40000000000009</v>
          </cell>
          <cell r="N402">
            <v>25039.640023199998</v>
          </cell>
          <cell r="O402">
            <v>25039.640023199998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</row>
        <row r="403">
          <cell r="C403">
            <v>10110118</v>
          </cell>
          <cell r="D403" t="str">
            <v>GOMUKH BADIL TOL</v>
          </cell>
          <cell r="E403" t="str">
            <v>MPG</v>
          </cell>
          <cell r="F403" t="str">
            <v>Direct</v>
          </cell>
          <cell r="G403">
            <v>527.29999999999995</v>
          </cell>
          <cell r="H403">
            <v>20551.05</v>
          </cell>
          <cell r="I403">
            <v>368.08</v>
          </cell>
          <cell r="J403">
            <v>15194.068073939945</v>
          </cell>
          <cell r="K403">
            <v>174.86999999999998</v>
          </cell>
          <cell r="L403">
            <v>6699.1529805749915</v>
          </cell>
          <cell r="M403">
            <v>542.94999999999993</v>
          </cell>
          <cell r="N403">
            <v>21893.221054514936</v>
          </cell>
          <cell r="O403">
            <v>20551.05</v>
          </cell>
          <cell r="P403">
            <v>0</v>
          </cell>
          <cell r="Q403">
            <v>570.3827803524</v>
          </cell>
          <cell r="R403">
            <v>1342.1710545149363</v>
          </cell>
          <cell r="S403">
            <v>0</v>
          </cell>
          <cell r="T403">
            <v>30.745500000000618</v>
          </cell>
        </row>
        <row r="404">
          <cell r="C404">
            <v>10110119</v>
          </cell>
          <cell r="D404" t="str">
            <v>GOMUKH TRIBHUVAN TOLA</v>
          </cell>
          <cell r="E404" t="str">
            <v>MPG</v>
          </cell>
          <cell r="F404" t="str">
            <v>Direct</v>
          </cell>
          <cell r="G404">
            <v>296.7</v>
          </cell>
          <cell r="H404">
            <v>11322.099999999999</v>
          </cell>
          <cell r="I404">
            <v>301.86</v>
          </cell>
          <cell r="J404">
            <v>11870.99600411284</v>
          </cell>
          <cell r="K404">
            <v>0</v>
          </cell>
          <cell r="L404">
            <v>0</v>
          </cell>
          <cell r="M404">
            <v>301.86</v>
          </cell>
          <cell r="N404">
            <v>11870.99600411284</v>
          </cell>
          <cell r="O404">
            <v>11322.099999999999</v>
          </cell>
          <cell r="P404">
            <v>0</v>
          </cell>
          <cell r="Q404">
            <v>0</v>
          </cell>
          <cell r="R404">
            <v>548.89600411284118</v>
          </cell>
          <cell r="S404">
            <v>0</v>
          </cell>
          <cell r="T404">
            <v>0</v>
          </cell>
        </row>
        <row r="405">
          <cell r="C405">
            <v>10110120</v>
          </cell>
          <cell r="D405" t="str">
            <v>GOMUKH SANTOSHPUL</v>
          </cell>
          <cell r="E405" t="str">
            <v>MPG</v>
          </cell>
          <cell r="F405" t="str">
            <v>Direct</v>
          </cell>
          <cell r="G405">
            <v>1144.8</v>
          </cell>
          <cell r="H405">
            <v>50071.6</v>
          </cell>
          <cell r="I405">
            <v>35.299999999999997</v>
          </cell>
          <cell r="J405">
            <v>1533.2495361281001</v>
          </cell>
          <cell r="K405">
            <v>1109.5</v>
          </cell>
          <cell r="L405">
            <v>48538.094059896001</v>
          </cell>
          <cell r="M405">
            <v>1144.8</v>
          </cell>
          <cell r="N405">
            <v>50071.343596024104</v>
          </cell>
          <cell r="O405">
            <v>50071.343596024104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</row>
        <row r="406">
          <cell r="C406">
            <v>10110121</v>
          </cell>
          <cell r="D406" t="str">
            <v>GOMUKH AHUNA</v>
          </cell>
          <cell r="E406" t="str">
            <v>MPG</v>
          </cell>
          <cell r="F406" t="str">
            <v>Direct</v>
          </cell>
          <cell r="G406">
            <v>434.1</v>
          </cell>
          <cell r="H406">
            <v>15652.87</v>
          </cell>
          <cell r="I406">
            <v>439.42999999999995</v>
          </cell>
          <cell r="J406">
            <v>15615.592591499999</v>
          </cell>
          <cell r="K406">
            <v>0</v>
          </cell>
          <cell r="L406">
            <v>0</v>
          </cell>
          <cell r="M406">
            <v>439.42999999999995</v>
          </cell>
          <cell r="N406">
            <v>15615.592591499999</v>
          </cell>
          <cell r="O406">
            <v>15615.592591499999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</row>
        <row r="407">
          <cell r="C407">
            <v>10110123</v>
          </cell>
          <cell r="D407" t="str">
            <v>GOMUKH SHADIPUR</v>
          </cell>
          <cell r="E407" t="str">
            <v>MPG</v>
          </cell>
          <cell r="F407" t="str">
            <v>Direct</v>
          </cell>
          <cell r="G407">
            <v>883.30000000000018</v>
          </cell>
          <cell r="H407">
            <v>35565.939999999995</v>
          </cell>
          <cell r="I407">
            <v>902.45999999999981</v>
          </cell>
          <cell r="J407">
            <v>35868.284040117098</v>
          </cell>
          <cell r="K407">
            <v>8.6300000000000008</v>
          </cell>
          <cell r="L407">
            <v>321.96133767600003</v>
          </cell>
          <cell r="M407">
            <v>911.0899999999998</v>
          </cell>
          <cell r="N407">
            <v>36190.2453777931</v>
          </cell>
          <cell r="O407">
            <v>35565.939999999995</v>
          </cell>
          <cell r="P407">
            <v>0</v>
          </cell>
          <cell r="Q407">
            <v>321.96133767600003</v>
          </cell>
          <cell r="R407">
            <v>624.30537779310544</v>
          </cell>
          <cell r="S407">
            <v>12621</v>
          </cell>
          <cell r="T407">
            <v>0</v>
          </cell>
        </row>
        <row r="408">
          <cell r="C408">
            <v>10110124</v>
          </cell>
          <cell r="D408" t="str">
            <v>GOMUKH ASHRAPHA DIYARA</v>
          </cell>
          <cell r="E408" t="str">
            <v>MPG</v>
          </cell>
          <cell r="F408" t="str">
            <v>Direct</v>
          </cell>
          <cell r="G408">
            <v>640.19999999999993</v>
          </cell>
          <cell r="H408">
            <v>25889.88</v>
          </cell>
          <cell r="I408">
            <v>632.03</v>
          </cell>
          <cell r="J408">
            <v>25853.342249666097</v>
          </cell>
          <cell r="K408">
            <v>8.24</v>
          </cell>
          <cell r="L408">
            <v>354.02106834299997</v>
          </cell>
          <cell r="M408">
            <v>640.27</v>
          </cell>
          <cell r="N408">
            <v>26207.363318009098</v>
          </cell>
          <cell r="O408">
            <v>25889.88</v>
          </cell>
          <cell r="P408">
            <v>0</v>
          </cell>
          <cell r="Q408">
            <v>354.02106834299997</v>
          </cell>
          <cell r="R408">
            <v>317.48331800909727</v>
          </cell>
          <cell r="S408">
            <v>5400</v>
          </cell>
          <cell r="T408">
            <v>0</v>
          </cell>
        </row>
        <row r="409">
          <cell r="C409">
            <v>10110128</v>
          </cell>
          <cell r="D409" t="str">
            <v>GOMUKH MANIAPPA</v>
          </cell>
          <cell r="E409" t="str">
            <v>MPG</v>
          </cell>
          <cell r="F409" t="str">
            <v>Direct</v>
          </cell>
          <cell r="G409">
            <v>1128</v>
          </cell>
          <cell r="H409">
            <v>43918</v>
          </cell>
          <cell r="I409">
            <v>1122.3600000000001</v>
          </cell>
          <cell r="J409">
            <v>43713.423414935998</v>
          </cell>
          <cell r="K409">
            <v>4.03</v>
          </cell>
          <cell r="L409">
            <v>150.60060912600002</v>
          </cell>
          <cell r="M409">
            <v>1126.3900000000001</v>
          </cell>
          <cell r="N409">
            <v>43864.024024061997</v>
          </cell>
          <cell r="O409">
            <v>43864.024024061997</v>
          </cell>
          <cell r="P409">
            <v>0</v>
          </cell>
          <cell r="Q409">
            <v>150.60060912600002</v>
          </cell>
          <cell r="R409">
            <v>0</v>
          </cell>
          <cell r="S409">
            <v>0</v>
          </cell>
          <cell r="T409">
            <v>104.37077288135569</v>
          </cell>
        </row>
        <row r="410">
          <cell r="C410">
            <v>10110129</v>
          </cell>
          <cell r="D410" t="str">
            <v>GOMUKH D SANJHAUTI</v>
          </cell>
          <cell r="E410" t="str">
            <v>MPG</v>
          </cell>
          <cell r="F410" t="str">
            <v>Direct</v>
          </cell>
          <cell r="G410">
            <v>801.00000000000011</v>
          </cell>
          <cell r="H410">
            <v>29775.040000000001</v>
          </cell>
          <cell r="I410">
            <v>905</v>
          </cell>
          <cell r="J410">
            <v>35954.513100000004</v>
          </cell>
          <cell r="K410">
            <v>0</v>
          </cell>
          <cell r="L410">
            <v>0</v>
          </cell>
          <cell r="M410">
            <v>905</v>
          </cell>
          <cell r="N410">
            <v>35954.513100000004</v>
          </cell>
          <cell r="O410">
            <v>29775.040000000001</v>
          </cell>
          <cell r="P410">
            <v>0</v>
          </cell>
          <cell r="Q410">
            <v>0</v>
          </cell>
          <cell r="R410">
            <v>6179.4731000000029</v>
          </cell>
          <cell r="S410">
            <v>0</v>
          </cell>
          <cell r="T410">
            <v>0</v>
          </cell>
        </row>
        <row r="411">
          <cell r="C411">
            <v>10110132</v>
          </cell>
          <cell r="D411" t="str">
            <v>GOMUKH DHUSMURI BISHANPUR</v>
          </cell>
          <cell r="E411" t="str">
            <v>MPG</v>
          </cell>
          <cell r="F411" t="str">
            <v>Direct</v>
          </cell>
          <cell r="G411">
            <v>277.3</v>
          </cell>
          <cell r="H411">
            <v>10729.039999999999</v>
          </cell>
          <cell r="I411">
            <v>315.14</v>
          </cell>
          <cell r="J411">
            <v>12075.296796683999</v>
          </cell>
          <cell r="K411">
            <v>0</v>
          </cell>
          <cell r="L411">
            <v>0</v>
          </cell>
          <cell r="M411">
            <v>315.14</v>
          </cell>
          <cell r="N411">
            <v>12075.296796683999</v>
          </cell>
          <cell r="O411">
            <v>10729.039999999999</v>
          </cell>
          <cell r="P411">
            <v>0</v>
          </cell>
          <cell r="Q411">
            <v>0</v>
          </cell>
          <cell r="R411">
            <v>1346.2567966839997</v>
          </cell>
          <cell r="S411">
            <v>0</v>
          </cell>
          <cell r="T411">
            <v>0</v>
          </cell>
        </row>
        <row r="412">
          <cell r="C412">
            <v>10110133</v>
          </cell>
          <cell r="D412" t="str">
            <v>GOMUKH ANANDPUR PARAS</v>
          </cell>
          <cell r="E412" t="str">
            <v>MPG</v>
          </cell>
          <cell r="F412" t="str">
            <v>Direct</v>
          </cell>
          <cell r="G412">
            <v>2336.2000000000003</v>
          </cell>
          <cell r="H412">
            <v>89946.67</v>
          </cell>
          <cell r="I412">
            <v>2336.1999999999998</v>
          </cell>
          <cell r="J412">
            <v>89941.74462504001</v>
          </cell>
          <cell r="K412">
            <v>0</v>
          </cell>
          <cell r="L412">
            <v>0</v>
          </cell>
          <cell r="M412">
            <v>2336.1999999999998</v>
          </cell>
          <cell r="N412">
            <v>89941.74462504001</v>
          </cell>
          <cell r="O412">
            <v>89941.74462504001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</row>
        <row r="413">
          <cell r="C413">
            <v>10110134</v>
          </cell>
          <cell r="D413" t="str">
            <v>Gomukh Bishanpur</v>
          </cell>
          <cell r="E413" t="str">
            <v>MPG</v>
          </cell>
          <cell r="F413" t="str">
            <v>Direct</v>
          </cell>
          <cell r="G413">
            <v>301.3</v>
          </cell>
          <cell r="H413">
            <v>11919.259999999998</v>
          </cell>
          <cell r="I413">
            <v>302.95</v>
          </cell>
          <cell r="J413">
            <v>12144.207312646546</v>
          </cell>
          <cell r="K413">
            <v>0</v>
          </cell>
          <cell r="L413">
            <v>0</v>
          </cell>
          <cell r="M413">
            <v>302.95</v>
          </cell>
          <cell r="N413">
            <v>12144.207312646546</v>
          </cell>
          <cell r="O413">
            <v>11919.259999999998</v>
          </cell>
          <cell r="P413">
            <v>0</v>
          </cell>
          <cell r="Q413">
            <v>0</v>
          </cell>
          <cell r="R413">
            <v>224.94731264654729</v>
          </cell>
          <cell r="S413">
            <v>0</v>
          </cell>
          <cell r="T413">
            <v>0</v>
          </cell>
        </row>
        <row r="414">
          <cell r="C414">
            <v>10110135</v>
          </cell>
          <cell r="D414" t="str">
            <v>GOMUKH BISHANPUR 2</v>
          </cell>
          <cell r="E414" t="str">
            <v>MPG</v>
          </cell>
          <cell r="F414" t="str">
            <v>Direct</v>
          </cell>
          <cell r="G414">
            <v>609.5</v>
          </cell>
          <cell r="H414">
            <v>23428.06</v>
          </cell>
          <cell r="I414">
            <v>615.54999999999995</v>
          </cell>
          <cell r="J414">
            <v>23940.674355656585</v>
          </cell>
          <cell r="K414">
            <v>0</v>
          </cell>
          <cell r="L414">
            <v>0</v>
          </cell>
          <cell r="M414">
            <v>615.54999999999995</v>
          </cell>
          <cell r="N414">
            <v>23940.674355656585</v>
          </cell>
          <cell r="O414">
            <v>23428.06</v>
          </cell>
          <cell r="P414">
            <v>0</v>
          </cell>
          <cell r="Q414">
            <v>0</v>
          </cell>
          <cell r="R414">
            <v>512.61435565658394</v>
          </cell>
          <cell r="S414">
            <v>0</v>
          </cell>
          <cell r="T414">
            <v>0</v>
          </cell>
        </row>
        <row r="415">
          <cell r="C415">
            <v>10110140</v>
          </cell>
          <cell r="D415" t="str">
            <v>GOMUKH GHAMARIYA</v>
          </cell>
          <cell r="E415" t="str">
            <v>MPG</v>
          </cell>
          <cell r="F415" t="str">
            <v>Direct</v>
          </cell>
          <cell r="G415">
            <v>210.6</v>
          </cell>
          <cell r="H415">
            <v>9183.7900000000009</v>
          </cell>
          <cell r="I415">
            <v>209.43</v>
          </cell>
          <cell r="J415">
            <v>9620.573128835671</v>
          </cell>
          <cell r="K415">
            <v>3.2399999999999998</v>
          </cell>
          <cell r="L415">
            <v>157.53019981545</v>
          </cell>
          <cell r="M415">
            <v>212.67000000000002</v>
          </cell>
          <cell r="N415">
            <v>9778.103328651121</v>
          </cell>
          <cell r="O415">
            <v>9183.7900000000009</v>
          </cell>
          <cell r="P415">
            <v>0</v>
          </cell>
          <cell r="Q415">
            <v>157.53019981545</v>
          </cell>
          <cell r="R415">
            <v>594.31332865112017</v>
          </cell>
          <cell r="S415">
            <v>641</v>
          </cell>
          <cell r="T415">
            <v>0</v>
          </cell>
        </row>
        <row r="416">
          <cell r="C416">
            <v>10110141</v>
          </cell>
          <cell r="D416" t="str">
            <v>GOMUKH MEGHAUMA</v>
          </cell>
          <cell r="E416" t="str">
            <v>MPG</v>
          </cell>
          <cell r="F416" t="str">
            <v>Direct</v>
          </cell>
          <cell r="G416">
            <v>983.80000000000007</v>
          </cell>
          <cell r="H416">
            <v>39743.249999999993</v>
          </cell>
          <cell r="I416">
            <v>971.13999999999987</v>
          </cell>
          <cell r="J416">
            <v>40357.898478516538</v>
          </cell>
          <cell r="K416">
            <v>11.95</v>
          </cell>
          <cell r="L416">
            <v>534.09599654399995</v>
          </cell>
          <cell r="M416">
            <v>983.08999999999992</v>
          </cell>
          <cell r="N416">
            <v>40891.994475060535</v>
          </cell>
          <cell r="O416">
            <v>39743.249999999993</v>
          </cell>
          <cell r="P416">
            <v>0</v>
          </cell>
          <cell r="Q416">
            <v>534.09599654399995</v>
          </cell>
          <cell r="R416">
            <v>1148.7444750605428</v>
          </cell>
          <cell r="S416">
            <v>0</v>
          </cell>
          <cell r="T416">
            <v>0</v>
          </cell>
        </row>
        <row r="417">
          <cell r="C417">
            <v>10110143</v>
          </cell>
          <cell r="D417" t="str">
            <v>GOMUKH AURA</v>
          </cell>
          <cell r="E417" t="str">
            <v>MPG</v>
          </cell>
          <cell r="F417" t="str">
            <v>Direct</v>
          </cell>
          <cell r="G417">
            <v>1098.9000000000001</v>
          </cell>
          <cell r="H417">
            <v>40662.01</v>
          </cell>
          <cell r="I417">
            <v>1104.5</v>
          </cell>
          <cell r="J417">
            <v>43771.016657016007</v>
          </cell>
          <cell r="K417">
            <v>0</v>
          </cell>
          <cell r="L417">
            <v>0</v>
          </cell>
          <cell r="M417">
            <v>1104.5</v>
          </cell>
          <cell r="N417">
            <v>43771.016657016007</v>
          </cell>
          <cell r="O417">
            <v>40662.01</v>
          </cell>
          <cell r="P417">
            <v>0</v>
          </cell>
          <cell r="Q417">
            <v>0</v>
          </cell>
          <cell r="R417">
            <v>3109.0066570160052</v>
          </cell>
          <cell r="S417">
            <v>0</v>
          </cell>
          <cell r="T417">
            <v>0</v>
          </cell>
        </row>
        <row r="418">
          <cell r="C418">
            <v>10110144</v>
          </cell>
          <cell r="D418" t="str">
            <v>GOMUKH BEHORBA</v>
          </cell>
          <cell r="E418" t="str">
            <v>MPG</v>
          </cell>
          <cell r="F418" t="str">
            <v>Direct</v>
          </cell>
          <cell r="G418">
            <v>1080.3999999999999</v>
          </cell>
          <cell r="H418">
            <v>40257.430000000008</v>
          </cell>
          <cell r="I418">
            <v>1193.3599999999999</v>
          </cell>
          <cell r="J418">
            <v>46314.584683448411</v>
          </cell>
          <cell r="K418">
            <v>0</v>
          </cell>
          <cell r="L418">
            <v>0</v>
          </cell>
          <cell r="M418">
            <v>1193.3599999999999</v>
          </cell>
          <cell r="N418">
            <v>46314.584683448411</v>
          </cell>
          <cell r="O418">
            <v>40257.430000000008</v>
          </cell>
          <cell r="P418">
            <v>0</v>
          </cell>
          <cell r="Q418">
            <v>0</v>
          </cell>
          <cell r="R418">
            <v>6057.1546834484034</v>
          </cell>
          <cell r="S418">
            <v>14036</v>
          </cell>
          <cell r="T418">
            <v>0</v>
          </cell>
        </row>
        <row r="419">
          <cell r="C419">
            <v>10110146</v>
          </cell>
          <cell r="D419" t="str">
            <v>GOMUKH SAIDPUR SAMASTIPUR</v>
          </cell>
          <cell r="E419" t="str">
            <v>MPG</v>
          </cell>
          <cell r="F419" t="str">
            <v>Direct</v>
          </cell>
          <cell r="G419">
            <v>1425.1999999999998</v>
          </cell>
          <cell r="H419">
            <v>50364.070000000007</v>
          </cell>
          <cell r="I419">
            <v>1425.8999999999999</v>
          </cell>
          <cell r="J419">
            <v>51660.457239600015</v>
          </cell>
          <cell r="K419">
            <v>0</v>
          </cell>
          <cell r="L419">
            <v>0</v>
          </cell>
          <cell r="M419">
            <v>1425.8999999999999</v>
          </cell>
          <cell r="N419">
            <v>51660.457239600015</v>
          </cell>
          <cell r="O419">
            <v>50364.070000000007</v>
          </cell>
          <cell r="P419">
            <v>0</v>
          </cell>
          <cell r="Q419">
            <v>0</v>
          </cell>
          <cell r="R419">
            <v>1296.3872396000079</v>
          </cell>
          <cell r="S419">
            <v>0</v>
          </cell>
          <cell r="T419">
            <v>4342.4248451612902</v>
          </cell>
        </row>
        <row r="420">
          <cell r="C420">
            <v>10110149</v>
          </cell>
          <cell r="D420" t="str">
            <v>GOMUKH PHULTAURA</v>
          </cell>
          <cell r="E420" t="str">
            <v>MPG</v>
          </cell>
          <cell r="F420" t="str">
            <v>Direct</v>
          </cell>
          <cell r="G420">
            <v>457.8</v>
          </cell>
          <cell r="H420">
            <v>16955.760000000002</v>
          </cell>
          <cell r="I420">
            <v>104.58000000000001</v>
          </cell>
          <cell r="J420">
            <v>5523.0540355535013</v>
          </cell>
          <cell r="K420">
            <v>358.07</v>
          </cell>
          <cell r="L420">
            <v>15359.386450077902</v>
          </cell>
          <cell r="M420">
            <v>462.65</v>
          </cell>
          <cell r="N420">
            <v>20882.440485631403</v>
          </cell>
          <cell r="O420">
            <v>16955.760000000002</v>
          </cell>
          <cell r="P420">
            <v>0</v>
          </cell>
          <cell r="Q420">
            <v>0</v>
          </cell>
          <cell r="R420">
            <v>3926.6804856314011</v>
          </cell>
          <cell r="S420">
            <v>1596</v>
          </cell>
          <cell r="T420">
            <v>0</v>
          </cell>
        </row>
        <row r="421">
          <cell r="C421">
            <v>10110153</v>
          </cell>
          <cell r="D421" t="str">
            <v xml:space="preserve">Jangli Tol Vlc </v>
          </cell>
          <cell r="E421" t="str">
            <v>vlc</v>
          </cell>
          <cell r="F421" t="str">
            <v>Indirect</v>
          </cell>
          <cell r="G421">
            <v>491.49999999999994</v>
          </cell>
          <cell r="H421">
            <v>19337.97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19337.97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1803.3399483870967</v>
          </cell>
        </row>
        <row r="422">
          <cell r="C422">
            <v>10110155</v>
          </cell>
          <cell r="D422" t="str">
            <v xml:space="preserve">DILKHUSH KUMAR </v>
          </cell>
          <cell r="E422" t="str">
            <v>vlc</v>
          </cell>
          <cell r="F422" t="str">
            <v>Indirect</v>
          </cell>
          <cell r="G422">
            <v>414</v>
          </cell>
          <cell r="H422">
            <v>15633.83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15633.83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</row>
        <row r="423">
          <cell r="C423">
            <v>10110158</v>
          </cell>
          <cell r="D423" t="str">
            <v>GOMUKH CHOWKI 2</v>
          </cell>
          <cell r="E423" t="str">
            <v>MPG</v>
          </cell>
          <cell r="F423" t="str">
            <v>Direct</v>
          </cell>
          <cell r="G423">
            <v>3516.4000000000005</v>
          </cell>
          <cell r="H423">
            <v>136569.53000000003</v>
          </cell>
          <cell r="I423">
            <v>3317.130000000001</v>
          </cell>
          <cell r="J423">
            <v>129688.03278410828</v>
          </cell>
          <cell r="K423">
            <v>273.97999999999996</v>
          </cell>
          <cell r="L423">
            <v>10848.8785443005</v>
          </cell>
          <cell r="M423">
            <v>3591.110000000001</v>
          </cell>
          <cell r="N423">
            <v>140536.91132840878</v>
          </cell>
          <cell r="O423">
            <v>136569.53000000003</v>
          </cell>
          <cell r="P423">
            <v>0</v>
          </cell>
          <cell r="Q423">
            <v>0</v>
          </cell>
          <cell r="R423">
            <v>3967.3813284087519</v>
          </cell>
          <cell r="S423">
            <v>0</v>
          </cell>
          <cell r="T423">
            <v>930.99</v>
          </cell>
        </row>
        <row r="424">
          <cell r="C424">
            <v>10110159</v>
          </cell>
          <cell r="D424" t="str">
            <v>GOMUKH MOHABA</v>
          </cell>
          <cell r="E424" t="str">
            <v>MPG</v>
          </cell>
          <cell r="F424" t="str">
            <v>Direct</v>
          </cell>
          <cell r="G424">
            <v>1489</v>
          </cell>
          <cell r="H424">
            <v>56125.35</v>
          </cell>
          <cell r="I424">
            <v>1121.4000000000001</v>
          </cell>
          <cell r="J424">
            <v>42209.409567600007</v>
          </cell>
          <cell r="K424">
            <v>375.8</v>
          </cell>
          <cell r="L424">
            <v>14223.546429840004</v>
          </cell>
          <cell r="M424">
            <v>1497.2</v>
          </cell>
          <cell r="N424">
            <v>56432.955997440011</v>
          </cell>
          <cell r="O424">
            <v>56125.35</v>
          </cell>
          <cell r="P424">
            <v>0</v>
          </cell>
          <cell r="Q424">
            <v>106.26309144000004</v>
          </cell>
          <cell r="R424">
            <v>307.60599744001229</v>
          </cell>
          <cell r="S424">
            <v>0</v>
          </cell>
          <cell r="T424">
            <v>0</v>
          </cell>
        </row>
        <row r="425">
          <cell r="C425">
            <v>10110160</v>
          </cell>
          <cell r="D425" t="str">
            <v>SANHA VLC</v>
          </cell>
          <cell r="E425" t="str">
            <v>vlc</v>
          </cell>
          <cell r="F425" t="str">
            <v>Indirect</v>
          </cell>
          <cell r="G425">
            <v>844.00000000000011</v>
          </cell>
          <cell r="H425">
            <v>29755.230000000003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29755.230000000003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</row>
        <row r="426">
          <cell r="C426">
            <v>10110161</v>
          </cell>
          <cell r="D426" t="str">
            <v>MOHANPUR VLC</v>
          </cell>
          <cell r="E426" t="str">
            <v>vlc</v>
          </cell>
          <cell r="F426" t="str">
            <v>Indirect</v>
          </cell>
          <cell r="G426">
            <v>820.3</v>
          </cell>
          <cell r="H426">
            <v>28827.13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28827.13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</row>
        <row r="427">
          <cell r="C427">
            <v>10110164</v>
          </cell>
          <cell r="D427" t="str">
            <v>GOMUKH JANGLITOL</v>
          </cell>
          <cell r="E427" t="str">
            <v>MPG</v>
          </cell>
          <cell r="F427" t="str">
            <v>Direct</v>
          </cell>
          <cell r="G427">
            <v>261.2</v>
          </cell>
          <cell r="H427">
            <v>11131.19</v>
          </cell>
          <cell r="I427">
            <v>261</v>
          </cell>
          <cell r="J427">
            <v>11128.288842000002</v>
          </cell>
          <cell r="K427">
            <v>0</v>
          </cell>
          <cell r="L427">
            <v>0</v>
          </cell>
          <cell r="M427">
            <v>261</v>
          </cell>
          <cell r="N427">
            <v>11128.288842000002</v>
          </cell>
          <cell r="O427">
            <v>11128.288842000002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</row>
        <row r="428">
          <cell r="C428">
            <v>10110166</v>
          </cell>
          <cell r="D428" t="str">
            <v>Hiratol VLC</v>
          </cell>
          <cell r="E428" t="str">
            <v>vlc</v>
          </cell>
          <cell r="F428" t="str">
            <v>Indirect</v>
          </cell>
          <cell r="G428">
            <v>422.09999999999997</v>
          </cell>
          <cell r="H428">
            <v>15186.479999999998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15186.479999999998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</row>
        <row r="429">
          <cell r="C429">
            <v>10110167</v>
          </cell>
          <cell r="D429" t="str">
            <v xml:space="preserve">Gomukh Raghunathpur 2 </v>
          </cell>
          <cell r="E429" t="str">
            <v>MPG</v>
          </cell>
          <cell r="F429" t="str">
            <v>Direct</v>
          </cell>
          <cell r="G429">
            <v>48.5</v>
          </cell>
          <cell r="H429">
            <v>1922.15</v>
          </cell>
          <cell r="I429">
            <v>48.500000000000007</v>
          </cell>
          <cell r="J429">
            <v>1922.1046772400002</v>
          </cell>
          <cell r="K429">
            <v>0</v>
          </cell>
          <cell r="L429">
            <v>0</v>
          </cell>
          <cell r="M429">
            <v>48.500000000000007</v>
          </cell>
          <cell r="N429">
            <v>1922.1046772400002</v>
          </cell>
          <cell r="O429">
            <v>1922.1046772400002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113.45414482758619</v>
          </cell>
        </row>
        <row r="430">
          <cell r="C430">
            <v>10110168</v>
          </cell>
          <cell r="D430" t="str">
            <v>GOMUKH BARBIGHI</v>
          </cell>
          <cell r="E430" t="str">
            <v>MPG</v>
          </cell>
          <cell r="F430" t="str">
            <v>Direct</v>
          </cell>
          <cell r="G430">
            <v>1619.7000000000003</v>
          </cell>
          <cell r="H430">
            <v>59166.41</v>
          </cell>
          <cell r="I430">
            <v>1538.5</v>
          </cell>
          <cell r="J430">
            <v>58146.442837560011</v>
          </cell>
          <cell r="K430">
            <v>4.6999999999999993</v>
          </cell>
          <cell r="L430">
            <v>178.57474272000002</v>
          </cell>
          <cell r="M430">
            <v>1543.2</v>
          </cell>
          <cell r="N430">
            <v>58325.017580280008</v>
          </cell>
          <cell r="O430">
            <v>58325.017580280008</v>
          </cell>
          <cell r="P430">
            <v>0</v>
          </cell>
          <cell r="Q430">
            <v>178.57474272000002</v>
          </cell>
          <cell r="R430">
            <v>0</v>
          </cell>
          <cell r="S430">
            <v>0</v>
          </cell>
          <cell r="T430">
            <v>0</v>
          </cell>
        </row>
        <row r="431">
          <cell r="C431">
            <v>10110172</v>
          </cell>
          <cell r="D431" t="str">
            <v>Dandari-2</v>
          </cell>
          <cell r="E431" t="str">
            <v>MPG</v>
          </cell>
          <cell r="F431" t="str">
            <v>Direct</v>
          </cell>
          <cell r="G431">
            <v>296.8</v>
          </cell>
          <cell r="H431">
            <v>10526.159999999998</v>
          </cell>
          <cell r="I431">
            <v>296</v>
          </cell>
          <cell r="J431">
            <v>10491.075878382002</v>
          </cell>
          <cell r="K431">
            <v>0</v>
          </cell>
          <cell r="L431">
            <v>0</v>
          </cell>
          <cell r="M431">
            <v>296</v>
          </cell>
          <cell r="N431">
            <v>10491.075878382002</v>
          </cell>
          <cell r="O431">
            <v>10491.075878382002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</row>
        <row r="432">
          <cell r="C432">
            <v>10110173</v>
          </cell>
          <cell r="D432" t="str">
            <v>Barkhanditol</v>
          </cell>
          <cell r="E432" t="str">
            <v>vlc</v>
          </cell>
          <cell r="F432" t="str">
            <v>Indirect</v>
          </cell>
          <cell r="G432">
            <v>229.9</v>
          </cell>
          <cell r="H432">
            <v>9376.8700000000008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9376.8700000000008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1379.6112387096782</v>
          </cell>
        </row>
        <row r="433">
          <cell r="C433">
            <v>10110176</v>
          </cell>
          <cell r="D433" t="str">
            <v>Chauki-VLC</v>
          </cell>
          <cell r="E433" t="str">
            <v>vlc</v>
          </cell>
          <cell r="F433" t="str">
            <v>Indirect</v>
          </cell>
          <cell r="G433">
            <v>249.89999999999998</v>
          </cell>
          <cell r="H433">
            <v>8997.8900000000012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8997.8900000000012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653.0864516129036</v>
          </cell>
        </row>
        <row r="434">
          <cell r="C434">
            <v>10110177</v>
          </cell>
          <cell r="D434" t="str">
            <v>Hardia</v>
          </cell>
          <cell r="E434" t="str">
            <v>MPG</v>
          </cell>
          <cell r="F434" t="str">
            <v>Direct</v>
          </cell>
          <cell r="G434">
            <v>552.20000000000005</v>
          </cell>
          <cell r="H434">
            <v>23480.420000000002</v>
          </cell>
          <cell r="I434">
            <v>542.00000000000011</v>
          </cell>
          <cell r="J434">
            <v>23086.034469476999</v>
          </cell>
          <cell r="K434">
            <v>8.9</v>
          </cell>
          <cell r="L434">
            <v>393.2789416027</v>
          </cell>
          <cell r="M434">
            <v>550.90000000000009</v>
          </cell>
          <cell r="N434">
            <v>23479.3134110797</v>
          </cell>
          <cell r="O434">
            <v>23479.3134110797</v>
          </cell>
          <cell r="P434">
            <v>0</v>
          </cell>
          <cell r="Q434">
            <v>393.2789416027</v>
          </cell>
          <cell r="R434">
            <v>0</v>
          </cell>
          <cell r="S434">
            <v>0</v>
          </cell>
          <cell r="T434">
            <v>0</v>
          </cell>
        </row>
        <row r="435">
          <cell r="C435">
            <v>10110178</v>
          </cell>
          <cell r="D435" t="str">
            <v>Pachveer</v>
          </cell>
          <cell r="E435" t="str">
            <v>vlc</v>
          </cell>
          <cell r="F435" t="str">
            <v>Indirect</v>
          </cell>
          <cell r="G435">
            <v>6710.8</v>
          </cell>
          <cell r="H435">
            <v>250303.82000000004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250303.82000000004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</row>
        <row r="436">
          <cell r="C436">
            <v>10110181</v>
          </cell>
          <cell r="D436" t="str">
            <v>Gomukh Mirjapur Bari</v>
          </cell>
          <cell r="E436" t="str">
            <v>MPG</v>
          </cell>
          <cell r="F436" t="str">
            <v>Direct</v>
          </cell>
          <cell r="G436">
            <v>68.5</v>
          </cell>
          <cell r="H436">
            <v>2494.34</v>
          </cell>
          <cell r="I436">
            <v>67.7</v>
          </cell>
          <cell r="J436">
            <v>2452.8619567980004</v>
          </cell>
          <cell r="K436">
            <v>0</v>
          </cell>
          <cell r="L436">
            <v>0</v>
          </cell>
          <cell r="M436">
            <v>67.7</v>
          </cell>
          <cell r="N436">
            <v>2452.8619567980004</v>
          </cell>
          <cell r="O436">
            <v>2452.8619567980004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</row>
        <row r="437">
          <cell r="C437">
            <v>10110183</v>
          </cell>
          <cell r="D437" t="str">
            <v>Mathar-3</v>
          </cell>
          <cell r="E437" t="str">
            <v>vlc</v>
          </cell>
          <cell r="F437" t="str">
            <v>Indirect</v>
          </cell>
          <cell r="G437">
            <v>1457.5000000000002</v>
          </cell>
          <cell r="H437">
            <v>59508.170000000006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59508.170000000006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</row>
        <row r="438">
          <cell r="C438">
            <v>10110184</v>
          </cell>
          <cell r="D438" t="str">
            <v>Ahoghat</v>
          </cell>
          <cell r="E438" t="str">
            <v>vlc</v>
          </cell>
          <cell r="F438" t="str">
            <v>Indirect</v>
          </cell>
          <cell r="G438">
            <v>470.40000000000003</v>
          </cell>
          <cell r="H438">
            <v>18822.849999999999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18822.849999999999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</row>
        <row r="439">
          <cell r="C439">
            <v>10110185</v>
          </cell>
          <cell r="D439" t="str">
            <v>Mathar-4</v>
          </cell>
          <cell r="E439" t="str">
            <v>vlc</v>
          </cell>
          <cell r="F439" t="str">
            <v>Indirect</v>
          </cell>
          <cell r="G439">
            <v>271.20000000000005</v>
          </cell>
          <cell r="H439">
            <v>10112.469999999999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10112.469999999999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</row>
        <row r="440">
          <cell r="C440">
            <v>10110186</v>
          </cell>
          <cell r="D440" t="str">
            <v>Farid Nagar</v>
          </cell>
          <cell r="E440" t="str">
            <v>MPG</v>
          </cell>
          <cell r="F440" t="str">
            <v>Direct</v>
          </cell>
          <cell r="G440">
            <v>156.80000000000001</v>
          </cell>
          <cell r="H440">
            <v>5931.93</v>
          </cell>
          <cell r="I440">
            <v>156</v>
          </cell>
          <cell r="J440">
            <v>5868.8867952000001</v>
          </cell>
          <cell r="K440">
            <v>0</v>
          </cell>
          <cell r="L440">
            <v>0</v>
          </cell>
          <cell r="M440">
            <v>156</v>
          </cell>
          <cell r="N440">
            <v>5868.8867952000001</v>
          </cell>
          <cell r="O440">
            <v>5868.8867952000001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</row>
        <row r="441">
          <cell r="C441">
            <v>10120001</v>
          </cell>
          <cell r="D441" t="str">
            <v>GOMUKH SUBHANPUR</v>
          </cell>
          <cell r="E441" t="str">
            <v>vlc</v>
          </cell>
          <cell r="F441" t="str">
            <v>Indirect</v>
          </cell>
          <cell r="G441">
            <v>99.98</v>
          </cell>
          <cell r="H441">
            <v>4700.41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4700.41</v>
          </cell>
          <cell r="P441">
            <v>0</v>
          </cell>
          <cell r="Q441">
            <v>0</v>
          </cell>
          <cell r="R441">
            <v>0</v>
          </cell>
          <cell r="S441">
            <v>4700</v>
          </cell>
          <cell r="T441">
            <v>0</v>
          </cell>
        </row>
        <row r="442">
          <cell r="C442">
            <v>10120002</v>
          </cell>
          <cell r="D442" t="str">
            <v>GOMUKH  BHAJANGAMA</v>
          </cell>
          <cell r="E442" t="str">
            <v>vlc</v>
          </cell>
          <cell r="F442" t="str">
            <v>Indirect</v>
          </cell>
          <cell r="G442">
            <v>426.2</v>
          </cell>
          <cell r="H442">
            <v>16831.650000000001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16831.650000000001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</row>
        <row r="443">
          <cell r="C443">
            <v>10120005</v>
          </cell>
          <cell r="D443" t="str">
            <v>Gomukh Basadhiya Kurni</v>
          </cell>
          <cell r="E443" t="str">
            <v>MPG</v>
          </cell>
          <cell r="F443" t="str">
            <v>Direct</v>
          </cell>
          <cell r="G443">
            <v>371.53000000000009</v>
          </cell>
          <cell r="H443">
            <v>14268.619999999999</v>
          </cell>
          <cell r="I443">
            <v>396.65</v>
          </cell>
          <cell r="J443">
            <v>15095.917527759901</v>
          </cell>
          <cell r="K443">
            <v>0</v>
          </cell>
          <cell r="L443">
            <v>0</v>
          </cell>
          <cell r="M443">
            <v>396.65</v>
          </cell>
          <cell r="N443">
            <v>15095.917527759901</v>
          </cell>
          <cell r="O443">
            <v>14268.619999999999</v>
          </cell>
          <cell r="P443">
            <v>0</v>
          </cell>
          <cell r="Q443">
            <v>0</v>
          </cell>
          <cell r="R443">
            <v>827.29752775990164</v>
          </cell>
          <cell r="S443">
            <v>0</v>
          </cell>
          <cell r="T443">
            <v>0</v>
          </cell>
        </row>
        <row r="444">
          <cell r="C444">
            <v>10120006</v>
          </cell>
          <cell r="D444" t="str">
            <v>KHAJURI</v>
          </cell>
          <cell r="E444" t="str">
            <v>MPG</v>
          </cell>
          <cell r="F444" t="str">
            <v>Direct</v>
          </cell>
          <cell r="G444">
            <v>362.77</v>
          </cell>
          <cell r="H444">
            <v>13578.39</v>
          </cell>
          <cell r="I444">
            <v>260.46999999999991</v>
          </cell>
          <cell r="J444">
            <v>9785.1984842003294</v>
          </cell>
          <cell r="K444">
            <v>106.89999999999999</v>
          </cell>
          <cell r="L444">
            <v>3938.3249086976502</v>
          </cell>
          <cell r="M444">
            <v>367.36999999999989</v>
          </cell>
          <cell r="N444">
            <v>13723.52339289798</v>
          </cell>
          <cell r="O444">
            <v>13578.39</v>
          </cell>
          <cell r="P444">
            <v>0</v>
          </cell>
          <cell r="Q444">
            <v>167.02943756400003</v>
          </cell>
          <cell r="R444">
            <v>145.13339289798023</v>
          </cell>
          <cell r="S444">
            <v>0</v>
          </cell>
          <cell r="T444">
            <v>0</v>
          </cell>
        </row>
        <row r="445">
          <cell r="C445">
            <v>10120007</v>
          </cell>
          <cell r="D445" t="str">
            <v>ARMAULI-2</v>
          </cell>
          <cell r="E445" t="str">
            <v>MPG</v>
          </cell>
          <cell r="F445" t="str">
            <v>Direct</v>
          </cell>
          <cell r="G445">
            <v>1321.95</v>
          </cell>
          <cell r="H445">
            <v>52849.599999999999</v>
          </cell>
          <cell r="I445">
            <v>1333.4400000000003</v>
          </cell>
          <cell r="J445">
            <v>52527.418127153811</v>
          </cell>
          <cell r="K445">
            <v>16.100000000000001</v>
          </cell>
          <cell r="L445">
            <v>635.43278304000023</v>
          </cell>
          <cell r="M445">
            <v>1349.5400000000002</v>
          </cell>
          <cell r="N445">
            <v>53162.850910193811</v>
          </cell>
          <cell r="O445">
            <v>52849.599999999999</v>
          </cell>
          <cell r="P445">
            <v>0</v>
          </cell>
          <cell r="Q445">
            <v>635.43278304000023</v>
          </cell>
          <cell r="R445">
            <v>313.25091019381216</v>
          </cell>
          <cell r="S445">
            <v>9182</v>
          </cell>
          <cell r="T445">
            <v>0</v>
          </cell>
        </row>
        <row r="446">
          <cell r="C446">
            <v>10120008</v>
          </cell>
          <cell r="D446" t="str">
            <v>MUSAPUR - 2</v>
          </cell>
          <cell r="E446" t="str">
            <v>vlc</v>
          </cell>
          <cell r="F446" t="str">
            <v>Indirect</v>
          </cell>
          <cell r="G446">
            <v>68.940000000000012</v>
          </cell>
          <cell r="H446">
            <v>2411.8200000000002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2411.8200000000002</v>
          </cell>
          <cell r="P446">
            <v>0</v>
          </cell>
          <cell r="Q446">
            <v>0</v>
          </cell>
          <cell r="R446">
            <v>0</v>
          </cell>
          <cell r="S446">
            <v>1350</v>
          </cell>
          <cell r="T446">
            <v>0</v>
          </cell>
        </row>
        <row r="447">
          <cell r="C447">
            <v>10120010</v>
          </cell>
          <cell r="D447" t="str">
            <v>Janganath Pur</v>
          </cell>
          <cell r="E447" t="str">
            <v>vlc</v>
          </cell>
          <cell r="F447" t="str">
            <v>Indirect</v>
          </cell>
          <cell r="G447">
            <v>1822.2199999999996</v>
          </cell>
          <cell r="H447">
            <v>77055.39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77055.39</v>
          </cell>
          <cell r="P447">
            <v>0</v>
          </cell>
          <cell r="Q447">
            <v>0</v>
          </cell>
          <cell r="R447">
            <v>0</v>
          </cell>
          <cell r="S447">
            <v>4050</v>
          </cell>
          <cell r="T447">
            <v>0</v>
          </cell>
        </row>
        <row r="448">
          <cell r="C448">
            <v>10120011</v>
          </cell>
          <cell r="D448" t="str">
            <v>Nagargama</v>
          </cell>
          <cell r="E448" t="str">
            <v>vlc</v>
          </cell>
          <cell r="F448" t="str">
            <v>Indirect</v>
          </cell>
          <cell r="G448">
            <v>88.03</v>
          </cell>
          <cell r="H448">
            <v>3336.2200000000003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3336.2200000000003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567.87740903225813</v>
          </cell>
        </row>
        <row r="449">
          <cell r="C449">
            <v>10120012</v>
          </cell>
          <cell r="D449" t="str">
            <v>Sato Ghachchhi</v>
          </cell>
          <cell r="E449" t="str">
            <v>MPG</v>
          </cell>
          <cell r="F449" t="str">
            <v>Direct</v>
          </cell>
          <cell r="G449">
            <v>773.69999999999993</v>
          </cell>
          <cell r="H449">
            <v>35379.749999999993</v>
          </cell>
          <cell r="I449">
            <v>783.1</v>
          </cell>
          <cell r="J449">
            <v>34790.019330330782</v>
          </cell>
          <cell r="K449">
            <v>14.5</v>
          </cell>
          <cell r="L449">
            <v>624.15191520000008</v>
          </cell>
          <cell r="M449">
            <v>797.6</v>
          </cell>
          <cell r="N449">
            <v>35414.171245530786</v>
          </cell>
          <cell r="O449">
            <v>35379.749999999993</v>
          </cell>
          <cell r="P449">
            <v>0</v>
          </cell>
          <cell r="Q449">
            <v>624.15191520000008</v>
          </cell>
          <cell r="R449">
            <v>34.421245530793385</v>
          </cell>
          <cell r="S449">
            <v>1360</v>
          </cell>
          <cell r="T449">
            <v>0</v>
          </cell>
        </row>
        <row r="450">
          <cell r="C450">
            <v>10120013</v>
          </cell>
          <cell r="D450" t="str">
            <v>Bhatgama</v>
          </cell>
          <cell r="E450" t="str">
            <v>vlc</v>
          </cell>
          <cell r="F450" t="str">
            <v>Indirect</v>
          </cell>
          <cell r="G450">
            <v>367.8</v>
          </cell>
          <cell r="H450">
            <v>12717.42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12717.42</v>
          </cell>
          <cell r="P450">
            <v>0</v>
          </cell>
          <cell r="Q450">
            <v>0</v>
          </cell>
          <cell r="R450">
            <v>0</v>
          </cell>
          <cell r="S450">
            <v>2700</v>
          </cell>
          <cell r="T450">
            <v>0</v>
          </cell>
        </row>
        <row r="451">
          <cell r="C451">
            <v>10120014</v>
          </cell>
          <cell r="D451" t="str">
            <v>Borna Rasalpur</v>
          </cell>
          <cell r="E451" t="str">
            <v>MPG</v>
          </cell>
          <cell r="F451" t="str">
            <v>Direct</v>
          </cell>
          <cell r="G451">
            <v>1009.82</v>
          </cell>
          <cell r="H451">
            <v>40931.899999999994</v>
          </cell>
          <cell r="I451">
            <v>645.50999999999988</v>
          </cell>
          <cell r="J451">
            <v>27177.998800574002</v>
          </cell>
          <cell r="K451">
            <v>340.3</v>
          </cell>
          <cell r="L451">
            <v>14489.964471137</v>
          </cell>
          <cell r="M451">
            <v>985.81</v>
          </cell>
          <cell r="N451">
            <v>41667.963271711</v>
          </cell>
          <cell r="O451">
            <v>40931.899999999994</v>
          </cell>
          <cell r="P451">
            <v>0</v>
          </cell>
          <cell r="Q451">
            <v>0</v>
          </cell>
          <cell r="R451">
            <v>736.06327171100565</v>
          </cell>
          <cell r="S451">
            <v>0</v>
          </cell>
          <cell r="T451">
            <v>0</v>
          </cell>
        </row>
        <row r="452">
          <cell r="C452">
            <v>10120015</v>
          </cell>
          <cell r="D452" t="str">
            <v>Rasalpur</v>
          </cell>
          <cell r="E452" t="str">
            <v>MPG</v>
          </cell>
          <cell r="F452" t="str">
            <v>Direct</v>
          </cell>
          <cell r="G452">
            <v>1124.8400000000001</v>
          </cell>
          <cell r="H452">
            <v>43020.53</v>
          </cell>
          <cell r="I452">
            <v>1156.44</v>
          </cell>
          <cell r="J452">
            <v>44892.860989148227</v>
          </cell>
          <cell r="K452">
            <v>179.66</v>
          </cell>
          <cell r="L452">
            <v>6585.0307748485557</v>
          </cell>
          <cell r="M452">
            <v>1336.1000000000001</v>
          </cell>
          <cell r="N452">
            <v>51477.891763996784</v>
          </cell>
          <cell r="O452">
            <v>43020.53</v>
          </cell>
          <cell r="P452">
            <v>0</v>
          </cell>
          <cell r="Q452">
            <v>0</v>
          </cell>
          <cell r="R452">
            <v>8457.3617639967852</v>
          </cell>
          <cell r="S452">
            <v>1350</v>
          </cell>
          <cell r="T452">
            <v>0</v>
          </cell>
        </row>
        <row r="453">
          <cell r="C453">
            <v>10120016</v>
          </cell>
          <cell r="D453" t="str">
            <v>Narahan</v>
          </cell>
          <cell r="E453" t="str">
            <v>MPG</v>
          </cell>
          <cell r="F453" t="str">
            <v>Direct</v>
          </cell>
          <cell r="G453">
            <v>285.85000000000002</v>
          </cell>
          <cell r="H453">
            <v>11022.240000000002</v>
          </cell>
          <cell r="I453">
            <v>282.77999999999997</v>
          </cell>
          <cell r="J453">
            <v>10009.929490545601</v>
          </cell>
          <cell r="K453">
            <v>5.330000000000001</v>
          </cell>
          <cell r="L453">
            <v>183.98334798360003</v>
          </cell>
          <cell r="M453">
            <v>288.10999999999996</v>
          </cell>
          <cell r="N453">
            <v>10193.912838529201</v>
          </cell>
          <cell r="O453">
            <v>10193.912838529201</v>
          </cell>
          <cell r="P453">
            <v>0</v>
          </cell>
          <cell r="Q453">
            <v>183.98334798360003</v>
          </cell>
          <cell r="R453">
            <v>0</v>
          </cell>
          <cell r="S453">
            <v>1738</v>
          </cell>
          <cell r="T453">
            <v>0</v>
          </cell>
        </row>
        <row r="454">
          <cell r="C454">
            <v>10120017</v>
          </cell>
          <cell r="D454" t="str">
            <v>Gomukh Dumduma</v>
          </cell>
          <cell r="E454" t="str">
            <v>MPG</v>
          </cell>
          <cell r="F454" t="str">
            <v>Direct</v>
          </cell>
          <cell r="G454">
            <v>407.73999999999995</v>
          </cell>
          <cell r="H454">
            <v>15488.44</v>
          </cell>
          <cell r="I454">
            <v>440.00999999999993</v>
          </cell>
          <cell r="J454">
            <v>16880.909940576003</v>
          </cell>
          <cell r="K454">
            <v>0</v>
          </cell>
          <cell r="L454">
            <v>0</v>
          </cell>
          <cell r="M454">
            <v>440.00999999999993</v>
          </cell>
          <cell r="N454">
            <v>16880.909940576003</v>
          </cell>
          <cell r="O454">
            <v>15488.44</v>
          </cell>
          <cell r="P454">
            <v>0</v>
          </cell>
          <cell r="Q454">
            <v>0</v>
          </cell>
          <cell r="R454">
            <v>1392.469940576002</v>
          </cell>
          <cell r="S454">
            <v>6750</v>
          </cell>
          <cell r="T454">
            <v>0</v>
          </cell>
        </row>
        <row r="455">
          <cell r="C455">
            <v>10120018</v>
          </cell>
          <cell r="D455" t="str">
            <v>SUPOL</v>
          </cell>
          <cell r="E455" t="str">
            <v>MPG</v>
          </cell>
          <cell r="F455" t="str">
            <v>Direct</v>
          </cell>
          <cell r="G455">
            <v>285.91999999999996</v>
          </cell>
          <cell r="H455">
            <v>11198.08</v>
          </cell>
          <cell r="I455">
            <v>370</v>
          </cell>
          <cell r="J455">
            <v>15336.175139999999</v>
          </cell>
          <cell r="K455">
            <v>0</v>
          </cell>
          <cell r="L455">
            <v>0</v>
          </cell>
          <cell r="M455">
            <v>370</v>
          </cell>
          <cell r="N455">
            <v>15336.175139999999</v>
          </cell>
          <cell r="O455">
            <v>11198.08</v>
          </cell>
          <cell r="P455">
            <v>0</v>
          </cell>
          <cell r="Q455">
            <v>0</v>
          </cell>
          <cell r="R455">
            <v>4138.0951399999994</v>
          </cell>
          <cell r="S455">
            <v>0</v>
          </cell>
          <cell r="T455">
            <v>68.770043225806518</v>
          </cell>
        </row>
        <row r="456">
          <cell r="C456">
            <v>10120019</v>
          </cell>
          <cell r="D456" t="str">
            <v>BHUSARAI</v>
          </cell>
          <cell r="E456" t="str">
            <v>MPG</v>
          </cell>
          <cell r="F456" t="str">
            <v>Direct</v>
          </cell>
          <cell r="G456">
            <v>276.36</v>
          </cell>
          <cell r="H456">
            <v>10619.06</v>
          </cell>
          <cell r="I456">
            <v>158.55000000000001</v>
          </cell>
          <cell r="J456">
            <v>5816.5238902320007</v>
          </cell>
          <cell r="K456">
            <v>129.67999999999998</v>
          </cell>
          <cell r="L456">
            <v>4734.823380408001</v>
          </cell>
          <cell r="M456">
            <v>288.23</v>
          </cell>
          <cell r="N456">
            <v>10551.347270640003</v>
          </cell>
          <cell r="O456">
            <v>10551.347270640003</v>
          </cell>
          <cell r="P456">
            <v>0</v>
          </cell>
          <cell r="Q456">
            <v>532.07309390399996</v>
          </cell>
          <cell r="R456">
            <v>0</v>
          </cell>
          <cell r="S456">
            <v>0</v>
          </cell>
          <cell r="T456">
            <v>0</v>
          </cell>
        </row>
        <row r="457">
          <cell r="C457">
            <v>10120022</v>
          </cell>
          <cell r="D457" t="str">
            <v>Gomukha Jounapur</v>
          </cell>
          <cell r="E457" t="str">
            <v>vlc</v>
          </cell>
          <cell r="F457" t="str">
            <v>Indirect</v>
          </cell>
          <cell r="G457">
            <v>263.62000000000006</v>
          </cell>
          <cell r="H457">
            <v>10782.8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10782.8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</row>
        <row r="458">
          <cell r="C458">
            <v>10120023</v>
          </cell>
          <cell r="D458" t="str">
            <v>Patailliya</v>
          </cell>
          <cell r="E458" t="str">
            <v>vlc</v>
          </cell>
          <cell r="F458" t="str">
            <v>Indirect</v>
          </cell>
          <cell r="G458">
            <v>296.06</v>
          </cell>
          <cell r="H458">
            <v>10955.070000000002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10955.070000000002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</row>
        <row r="459">
          <cell r="C459">
            <v>10120024</v>
          </cell>
          <cell r="D459" t="str">
            <v>Badiya</v>
          </cell>
          <cell r="E459" t="str">
            <v>vlc</v>
          </cell>
          <cell r="F459" t="str">
            <v>Indirect</v>
          </cell>
          <cell r="G459">
            <v>276.72999999999996</v>
          </cell>
          <cell r="H459">
            <v>10180.280000000001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10180.280000000001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</row>
        <row r="460">
          <cell r="C460">
            <v>10120025</v>
          </cell>
          <cell r="D460" t="str">
            <v>Gomukh Tabhka</v>
          </cell>
          <cell r="E460" t="str">
            <v>MPG</v>
          </cell>
          <cell r="F460" t="str">
            <v>Direct</v>
          </cell>
          <cell r="G460">
            <v>1798.16</v>
          </cell>
          <cell r="H460">
            <v>71941.279999999999</v>
          </cell>
          <cell r="I460">
            <v>1129.1600000000001</v>
          </cell>
          <cell r="J460">
            <v>52111.208549747884</v>
          </cell>
          <cell r="K460">
            <v>757.57</v>
          </cell>
          <cell r="L460">
            <v>30662.204081501677</v>
          </cell>
          <cell r="M460">
            <v>1886.73</v>
          </cell>
          <cell r="N460">
            <v>82773.412631249565</v>
          </cell>
          <cell r="O460">
            <v>71941.279999999999</v>
          </cell>
          <cell r="P460">
            <v>0</v>
          </cell>
          <cell r="Q460">
            <v>545.06168467344003</v>
          </cell>
          <cell r="R460">
            <v>10832.132631249566</v>
          </cell>
          <cell r="S460">
            <v>4050</v>
          </cell>
          <cell r="T460">
            <v>204.09</v>
          </cell>
        </row>
        <row r="461">
          <cell r="C461">
            <v>10120026</v>
          </cell>
          <cell r="D461" t="str">
            <v>Ghato</v>
          </cell>
          <cell r="E461" t="str">
            <v>vlc</v>
          </cell>
          <cell r="F461" t="str">
            <v>Indirect</v>
          </cell>
          <cell r="G461">
            <v>59.349999999999994</v>
          </cell>
          <cell r="H461">
            <v>1978.5499999999997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1978.5499999999997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</row>
        <row r="462">
          <cell r="C462">
            <v>10120029</v>
          </cell>
          <cell r="D462" t="str">
            <v xml:space="preserve">RAMNATHPUR                                                                                          </v>
          </cell>
          <cell r="E462" t="str">
            <v>MPG</v>
          </cell>
          <cell r="F462" t="str">
            <v>Direct</v>
          </cell>
          <cell r="G462">
            <v>912.57999999999993</v>
          </cell>
          <cell r="H462">
            <v>35913.270000000004</v>
          </cell>
          <cell r="I462">
            <v>639.53999999999985</v>
          </cell>
          <cell r="J462">
            <v>24578.275506898117</v>
          </cell>
          <cell r="K462">
            <v>335.66</v>
          </cell>
          <cell r="L462">
            <v>12239.108428258802</v>
          </cell>
          <cell r="M462">
            <v>975.19999999999982</v>
          </cell>
          <cell r="N462">
            <v>36817.383935156919</v>
          </cell>
          <cell r="O462">
            <v>35913.270000000004</v>
          </cell>
          <cell r="P462">
            <v>0</v>
          </cell>
          <cell r="Q462">
            <v>364.21469544240011</v>
          </cell>
          <cell r="R462">
            <v>904.11393515691452</v>
          </cell>
          <cell r="S462">
            <v>0</v>
          </cell>
          <cell r="T462">
            <v>0</v>
          </cell>
        </row>
        <row r="463">
          <cell r="C463">
            <v>10120031</v>
          </cell>
          <cell r="D463" t="str">
            <v>DESUA</v>
          </cell>
          <cell r="E463" t="str">
            <v>MPG</v>
          </cell>
          <cell r="F463" t="str">
            <v>Direct</v>
          </cell>
          <cell r="G463">
            <v>412.6</v>
          </cell>
          <cell r="H463">
            <v>15627.35</v>
          </cell>
          <cell r="I463">
            <v>386</v>
          </cell>
          <cell r="J463">
            <v>14534.858623626002</v>
          </cell>
          <cell r="K463">
            <v>69.2</v>
          </cell>
          <cell r="L463">
            <v>2450.5131663540005</v>
          </cell>
          <cell r="M463">
            <v>455.2</v>
          </cell>
          <cell r="N463">
            <v>16985.371789980003</v>
          </cell>
          <cell r="O463">
            <v>15627.35</v>
          </cell>
          <cell r="P463">
            <v>0</v>
          </cell>
          <cell r="Q463">
            <v>61.489975932</v>
          </cell>
          <cell r="R463">
            <v>1358.0217899800027</v>
          </cell>
          <cell r="S463">
            <v>0</v>
          </cell>
          <cell r="T463">
            <v>0</v>
          </cell>
        </row>
        <row r="464">
          <cell r="C464">
            <v>10120034</v>
          </cell>
          <cell r="D464" t="str">
            <v>Matior</v>
          </cell>
          <cell r="E464" t="str">
            <v>MPG</v>
          </cell>
          <cell r="F464" t="str">
            <v>Direct</v>
          </cell>
          <cell r="G464">
            <v>122.73</v>
          </cell>
          <cell r="H464">
            <v>4663.82</v>
          </cell>
          <cell r="I464">
            <v>134.22999999999999</v>
          </cell>
          <cell r="J464">
            <v>5084.232545858401</v>
          </cell>
          <cell r="K464">
            <v>0</v>
          </cell>
          <cell r="L464">
            <v>0</v>
          </cell>
          <cell r="M464">
            <v>134.22999999999999</v>
          </cell>
          <cell r="N464">
            <v>5084.232545858401</v>
          </cell>
          <cell r="O464">
            <v>4663.82</v>
          </cell>
          <cell r="P464">
            <v>0</v>
          </cell>
          <cell r="Q464">
            <v>0</v>
          </cell>
          <cell r="R464">
            <v>420.41254585840124</v>
          </cell>
          <cell r="S464">
            <v>1200</v>
          </cell>
          <cell r="T464">
            <v>0</v>
          </cell>
        </row>
        <row r="465">
          <cell r="C465">
            <v>10120035</v>
          </cell>
          <cell r="D465" t="str">
            <v>TELGAMA</v>
          </cell>
          <cell r="E465" t="str">
            <v>vlc</v>
          </cell>
          <cell r="F465" t="str">
            <v>Indirect</v>
          </cell>
          <cell r="G465">
            <v>388.11999999999995</v>
          </cell>
          <cell r="H465">
            <v>15984.139999999998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15984.139999999998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</row>
        <row r="466">
          <cell r="C466">
            <v>10120043</v>
          </cell>
          <cell r="D466" t="str">
            <v>GOMUKH TATARPUR</v>
          </cell>
          <cell r="E466" t="str">
            <v>MPG</v>
          </cell>
          <cell r="F466" t="str">
            <v>Direct</v>
          </cell>
          <cell r="G466">
            <v>157.83000000000001</v>
          </cell>
          <cell r="H466">
            <v>6921.75</v>
          </cell>
          <cell r="I466">
            <v>157.69999999999999</v>
          </cell>
          <cell r="J466">
            <v>6907.4471501344997</v>
          </cell>
          <cell r="K466">
            <v>0</v>
          </cell>
          <cell r="L466">
            <v>0</v>
          </cell>
          <cell r="M466">
            <v>157.69999999999999</v>
          </cell>
          <cell r="N466">
            <v>6907.4471501344997</v>
          </cell>
          <cell r="O466">
            <v>6907.4471501344997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</row>
        <row r="467">
          <cell r="C467">
            <v>10120046</v>
          </cell>
          <cell r="D467" t="str">
            <v>Gomukh Ghataho</v>
          </cell>
          <cell r="E467" t="str">
            <v>MPG</v>
          </cell>
          <cell r="F467" t="str">
            <v>Direct</v>
          </cell>
          <cell r="G467">
            <v>1869.3899999999999</v>
          </cell>
          <cell r="H467">
            <v>70525.179999999993</v>
          </cell>
          <cell r="I467">
            <v>1391.1999999999998</v>
          </cell>
          <cell r="J467">
            <v>51553.545701362847</v>
          </cell>
          <cell r="K467">
            <v>482.9</v>
          </cell>
          <cell r="L467">
            <v>18459.401351290533</v>
          </cell>
          <cell r="M467">
            <v>1874.1</v>
          </cell>
          <cell r="N467">
            <v>70012.947052653384</v>
          </cell>
          <cell r="O467">
            <v>70012.947052653384</v>
          </cell>
          <cell r="P467">
            <v>0</v>
          </cell>
          <cell r="Q467">
            <v>633.93986066399998</v>
          </cell>
          <cell r="R467">
            <v>0</v>
          </cell>
          <cell r="S467">
            <v>0</v>
          </cell>
          <cell r="T467">
            <v>0</v>
          </cell>
        </row>
        <row r="468">
          <cell r="C468">
            <v>10120049</v>
          </cell>
          <cell r="D468" t="str">
            <v>Kacha - Amarjeet</v>
          </cell>
          <cell r="E468" t="str">
            <v>vlc</v>
          </cell>
          <cell r="F468" t="str">
            <v>Indirect</v>
          </cell>
          <cell r="G468">
            <v>478.31999999999994</v>
          </cell>
          <cell r="H468">
            <v>22272.420000000002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22272.420000000002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</row>
        <row r="469">
          <cell r="C469">
            <v>10120050</v>
          </cell>
          <cell r="D469" t="str">
            <v>Simri - Suman</v>
          </cell>
          <cell r="E469" t="str">
            <v>vlc</v>
          </cell>
          <cell r="F469" t="str">
            <v>Indirect</v>
          </cell>
          <cell r="G469">
            <v>878.49999999999989</v>
          </cell>
          <cell r="H469">
            <v>43036.21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43036.21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</row>
        <row r="470">
          <cell r="C470">
            <v>10120051</v>
          </cell>
          <cell r="D470" t="str">
            <v>Narenpur</v>
          </cell>
          <cell r="E470" t="str">
            <v>MPG</v>
          </cell>
          <cell r="F470" t="str">
            <v>Direct</v>
          </cell>
          <cell r="G470">
            <v>337.57</v>
          </cell>
          <cell r="H470">
            <v>14067.130000000001</v>
          </cell>
          <cell r="I470">
            <v>110.78</v>
          </cell>
          <cell r="J470">
            <v>4592.9172604516261</v>
          </cell>
          <cell r="K470">
            <v>207.57</v>
          </cell>
          <cell r="L470">
            <v>9482.6108230406298</v>
          </cell>
          <cell r="M470">
            <v>318.35000000000002</v>
          </cell>
          <cell r="N470">
            <v>14075.528083492256</v>
          </cell>
          <cell r="O470">
            <v>14067.130000000001</v>
          </cell>
          <cell r="P470">
            <v>0</v>
          </cell>
          <cell r="Q470">
            <v>0</v>
          </cell>
          <cell r="R470">
            <v>8.3980834922549548</v>
          </cell>
          <cell r="S470">
            <v>0</v>
          </cell>
          <cell r="T470">
            <v>0</v>
          </cell>
        </row>
        <row r="471">
          <cell r="C471">
            <v>10120052</v>
          </cell>
          <cell r="D471" t="str">
            <v>Mordiba</v>
          </cell>
          <cell r="E471" t="str">
            <v>MPG</v>
          </cell>
          <cell r="F471" t="str">
            <v>Direct</v>
          </cell>
          <cell r="G471">
            <v>2029.08</v>
          </cell>
          <cell r="H471">
            <v>78879.680000000008</v>
          </cell>
          <cell r="I471">
            <v>1134.9099999999999</v>
          </cell>
          <cell r="J471">
            <v>43059.322919479811</v>
          </cell>
          <cell r="K471">
            <v>850.61</v>
          </cell>
          <cell r="L471">
            <v>31884.697714910537</v>
          </cell>
          <cell r="M471">
            <v>1985.52</v>
          </cell>
          <cell r="N471">
            <v>74944.020634390356</v>
          </cell>
          <cell r="O471">
            <v>74944.020634390356</v>
          </cell>
          <cell r="P471">
            <v>0</v>
          </cell>
          <cell r="Q471">
            <v>110.92653594000001</v>
          </cell>
          <cell r="R471">
            <v>0</v>
          </cell>
          <cell r="S471">
            <v>3000</v>
          </cell>
          <cell r="T471">
            <v>0</v>
          </cell>
        </row>
        <row r="472">
          <cell r="C472">
            <v>10120053</v>
          </cell>
          <cell r="D472" t="str">
            <v>Jagdispur</v>
          </cell>
          <cell r="E472" t="str">
            <v>MPG</v>
          </cell>
          <cell r="F472" t="str">
            <v>Direct</v>
          </cell>
          <cell r="G472">
            <v>231.45000000000002</v>
          </cell>
          <cell r="H472">
            <v>8972.9500000000007</v>
          </cell>
          <cell r="I472">
            <v>250.92</v>
          </cell>
          <cell r="J472">
            <v>9139.7312760776604</v>
          </cell>
          <cell r="K472">
            <v>0</v>
          </cell>
          <cell r="L472">
            <v>0</v>
          </cell>
          <cell r="M472">
            <v>250.92</v>
          </cell>
          <cell r="N472">
            <v>9139.7312760776604</v>
          </cell>
          <cell r="O472">
            <v>8972.9500000000007</v>
          </cell>
          <cell r="P472">
            <v>0</v>
          </cell>
          <cell r="Q472">
            <v>0</v>
          </cell>
          <cell r="R472">
            <v>166.78127607765964</v>
          </cell>
          <cell r="S472">
            <v>757</v>
          </cell>
          <cell r="T472">
            <v>0</v>
          </cell>
        </row>
        <row r="473">
          <cell r="C473">
            <v>10120060</v>
          </cell>
          <cell r="D473" t="str">
            <v>Chaklal Sahi_Vikrant</v>
          </cell>
          <cell r="E473" t="str">
            <v>vlc</v>
          </cell>
          <cell r="F473" t="str">
            <v>Indirect</v>
          </cell>
          <cell r="G473">
            <v>1816.1</v>
          </cell>
          <cell r="H473">
            <v>63491.28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63491.28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630.25035483870863</v>
          </cell>
        </row>
        <row r="474">
          <cell r="C474">
            <v>10120066</v>
          </cell>
          <cell r="D474" t="str">
            <v>Piparpaati</v>
          </cell>
          <cell r="E474" t="str">
            <v>vlc</v>
          </cell>
          <cell r="F474" t="str">
            <v>Indirect</v>
          </cell>
          <cell r="G474">
            <v>171.18</v>
          </cell>
          <cell r="H474">
            <v>6514.41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6514.41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</row>
        <row r="475">
          <cell r="C475">
            <v>10120071</v>
          </cell>
          <cell r="D475" t="str">
            <v>Suratpur</v>
          </cell>
          <cell r="E475" t="str">
            <v>MPG</v>
          </cell>
          <cell r="F475" t="str">
            <v>Direct</v>
          </cell>
          <cell r="G475">
            <v>548.80000000000007</v>
          </cell>
          <cell r="H475">
            <v>22378.77</v>
          </cell>
          <cell r="I475">
            <v>105.57</v>
          </cell>
          <cell r="J475">
            <v>4310.8245481884996</v>
          </cell>
          <cell r="K475">
            <v>448.47000000000008</v>
          </cell>
          <cell r="L475">
            <v>20489.909168390699</v>
          </cell>
          <cell r="M475">
            <v>554.04000000000008</v>
          </cell>
          <cell r="N475">
            <v>24800.733716579198</v>
          </cell>
          <cell r="O475">
            <v>22378.77</v>
          </cell>
          <cell r="P475">
            <v>0</v>
          </cell>
          <cell r="Q475">
            <v>5.4075285989999999</v>
          </cell>
          <cell r="R475">
            <v>2421.9637165791974</v>
          </cell>
          <cell r="S475">
            <v>0</v>
          </cell>
          <cell r="T475">
            <v>0</v>
          </cell>
        </row>
        <row r="476">
          <cell r="C476">
            <v>10120080</v>
          </cell>
          <cell r="D476" t="str">
            <v>Manika Tol</v>
          </cell>
          <cell r="E476" t="str">
            <v>MPG</v>
          </cell>
          <cell r="F476" t="str">
            <v>Direct</v>
          </cell>
          <cell r="G476">
            <v>91.210000000000008</v>
          </cell>
          <cell r="H476">
            <v>3054.99</v>
          </cell>
          <cell r="I476">
            <v>91.210000000000008</v>
          </cell>
          <cell r="J476">
            <v>3043.7697518316004</v>
          </cell>
          <cell r="K476">
            <v>0</v>
          </cell>
          <cell r="L476">
            <v>0</v>
          </cell>
          <cell r="M476">
            <v>91.210000000000008</v>
          </cell>
          <cell r="N476">
            <v>3043.7697518316004</v>
          </cell>
          <cell r="O476">
            <v>3043.7697518316004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</row>
        <row r="477">
          <cell r="C477">
            <v>10120083</v>
          </cell>
          <cell r="D477" t="str">
            <v>Beri</v>
          </cell>
          <cell r="E477" t="str">
            <v>MPG</v>
          </cell>
          <cell r="F477" t="str">
            <v>Direct</v>
          </cell>
          <cell r="G477">
            <v>273.59000000000003</v>
          </cell>
          <cell r="H477">
            <v>10557.810000000001</v>
          </cell>
          <cell r="I477">
            <v>273.45999999999998</v>
          </cell>
          <cell r="J477">
            <v>10553.6489145714</v>
          </cell>
          <cell r="K477">
            <v>5.6</v>
          </cell>
          <cell r="L477">
            <v>146.09405606400003</v>
          </cell>
          <cell r="M477">
            <v>279.06</v>
          </cell>
          <cell r="N477">
            <v>10699.7429706354</v>
          </cell>
          <cell r="O477">
            <v>10557.810000000001</v>
          </cell>
          <cell r="P477">
            <v>0</v>
          </cell>
          <cell r="Q477">
            <v>0</v>
          </cell>
          <cell r="R477">
            <v>141.93297063539831</v>
          </cell>
          <cell r="S477">
            <v>10397</v>
          </cell>
          <cell r="T477">
            <v>14.152817999999968</v>
          </cell>
        </row>
        <row r="478">
          <cell r="C478">
            <v>10120084</v>
          </cell>
          <cell r="D478" t="str">
            <v>Mahmmadipur</v>
          </cell>
          <cell r="E478" t="str">
            <v>MPG</v>
          </cell>
          <cell r="F478" t="str">
            <v>Direct</v>
          </cell>
          <cell r="G478">
            <v>1089.94</v>
          </cell>
          <cell r="H478">
            <v>57325.640000000007</v>
          </cell>
          <cell r="I478">
            <v>331.84</v>
          </cell>
          <cell r="J478">
            <v>17289.747722779994</v>
          </cell>
          <cell r="K478">
            <v>907.23000000000013</v>
          </cell>
          <cell r="L478">
            <v>47925.769940873128</v>
          </cell>
          <cell r="M478">
            <v>1239.0700000000002</v>
          </cell>
          <cell r="N478">
            <v>65215.517663653125</v>
          </cell>
          <cell r="O478">
            <v>57325.640000000007</v>
          </cell>
          <cell r="P478">
            <v>0</v>
          </cell>
          <cell r="Q478">
            <v>0</v>
          </cell>
          <cell r="R478">
            <v>7889.8776636531184</v>
          </cell>
          <cell r="S478">
            <v>6750</v>
          </cell>
          <cell r="T478">
            <v>0</v>
          </cell>
        </row>
        <row r="479">
          <cell r="C479">
            <v>10120086</v>
          </cell>
          <cell r="D479" t="str">
            <v>Simri-Rupesh</v>
          </cell>
          <cell r="E479" t="str">
            <v>vlc</v>
          </cell>
          <cell r="F479" t="str">
            <v>Indirect</v>
          </cell>
          <cell r="G479">
            <v>857.70000000000016</v>
          </cell>
          <cell r="H479">
            <v>32991.64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32991.64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</row>
        <row r="480">
          <cell r="C480">
            <v>10120088</v>
          </cell>
          <cell r="D480" t="str">
            <v>Mithilanchal Dairy Products</v>
          </cell>
          <cell r="E480" t="str">
            <v>vlc</v>
          </cell>
          <cell r="F480" t="str">
            <v>Indirect</v>
          </cell>
          <cell r="G480">
            <v>2713.3999999999996</v>
          </cell>
          <cell r="H480">
            <v>102445.03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102445.03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</row>
        <row r="481">
          <cell r="C481">
            <v>10120089</v>
          </cell>
          <cell r="D481" t="str">
            <v>Gomukh Jhaura Tabhka</v>
          </cell>
          <cell r="E481" t="str">
            <v>MPG</v>
          </cell>
          <cell r="F481" t="str">
            <v>Direct</v>
          </cell>
          <cell r="G481">
            <v>608.68999999999994</v>
          </cell>
          <cell r="H481">
            <v>22650.47</v>
          </cell>
          <cell r="I481">
            <v>611.79999999999995</v>
          </cell>
          <cell r="J481">
            <v>23229.066855060002</v>
          </cell>
          <cell r="K481">
            <v>1.4000000000000001</v>
          </cell>
          <cell r="L481">
            <v>53.068140972000016</v>
          </cell>
          <cell r="M481">
            <v>613.19999999999993</v>
          </cell>
          <cell r="N481">
            <v>23282.134996032</v>
          </cell>
          <cell r="O481">
            <v>22650.47</v>
          </cell>
          <cell r="P481">
            <v>0</v>
          </cell>
          <cell r="Q481">
            <v>53.068140972000016</v>
          </cell>
          <cell r="R481">
            <v>631.66499603199918</v>
          </cell>
          <cell r="S481">
            <v>2700</v>
          </cell>
          <cell r="T481">
            <v>0</v>
          </cell>
        </row>
        <row r="482">
          <cell r="C482">
            <v>10120091</v>
          </cell>
          <cell r="D482" t="str">
            <v>Gomukh Mohanpur</v>
          </cell>
          <cell r="E482" t="str">
            <v>MPG</v>
          </cell>
          <cell r="F482" t="str">
            <v>Direct</v>
          </cell>
          <cell r="G482">
            <v>465.61</v>
          </cell>
          <cell r="H482">
            <v>18612.420000000002</v>
          </cell>
          <cell r="I482">
            <v>159.05000000000001</v>
          </cell>
          <cell r="J482">
            <v>6332.3187058478015</v>
          </cell>
          <cell r="K482">
            <v>302.43</v>
          </cell>
          <cell r="L482">
            <v>11057.25155781234</v>
          </cell>
          <cell r="M482">
            <v>461.48</v>
          </cell>
          <cell r="N482">
            <v>17389.570263660142</v>
          </cell>
          <cell r="O482">
            <v>17389.570263660142</v>
          </cell>
          <cell r="P482">
            <v>0</v>
          </cell>
          <cell r="Q482">
            <v>324.58535770320003</v>
          </cell>
          <cell r="R482">
            <v>0</v>
          </cell>
          <cell r="S482">
            <v>0</v>
          </cell>
          <cell r="T482">
            <v>0</v>
          </cell>
        </row>
        <row r="483">
          <cell r="C483">
            <v>10120094</v>
          </cell>
          <cell r="D483" t="str">
            <v>Gomukh Bochaha</v>
          </cell>
          <cell r="E483" t="str">
            <v>MPG</v>
          </cell>
          <cell r="F483" t="str">
            <v>Direct</v>
          </cell>
          <cell r="G483">
            <v>853.16</v>
          </cell>
          <cell r="H483">
            <v>39274.299999999996</v>
          </cell>
          <cell r="I483">
            <v>136.04</v>
          </cell>
          <cell r="J483">
            <v>6487.2064630427694</v>
          </cell>
          <cell r="K483">
            <v>726.43000000000006</v>
          </cell>
          <cell r="L483">
            <v>33054.612834397012</v>
          </cell>
          <cell r="M483">
            <v>862.47</v>
          </cell>
          <cell r="N483">
            <v>39541.819297439783</v>
          </cell>
          <cell r="O483">
            <v>39274.299999999996</v>
          </cell>
          <cell r="P483">
            <v>0</v>
          </cell>
          <cell r="Q483">
            <v>0</v>
          </cell>
          <cell r="R483">
            <v>267.5192974397869</v>
          </cell>
          <cell r="S483">
            <v>6750</v>
          </cell>
          <cell r="T483">
            <v>0</v>
          </cell>
        </row>
        <row r="484">
          <cell r="C484">
            <v>10120095</v>
          </cell>
          <cell r="D484" t="str">
            <v>Gomukh Terganj</v>
          </cell>
          <cell r="E484" t="str">
            <v>MPG</v>
          </cell>
          <cell r="F484" t="str">
            <v>Direct</v>
          </cell>
          <cell r="G484">
            <v>180.94</v>
          </cell>
          <cell r="H484">
            <v>8296.3200000000015</v>
          </cell>
          <cell r="I484">
            <v>76</v>
          </cell>
          <cell r="J484">
            <v>3144.1932719999995</v>
          </cell>
          <cell r="K484">
            <v>116</v>
          </cell>
          <cell r="L484">
            <v>4792.6541519999992</v>
          </cell>
          <cell r="M484">
            <v>192</v>
          </cell>
          <cell r="N484">
            <v>7936.8474239999987</v>
          </cell>
          <cell r="O484">
            <v>7936.8474239999987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</row>
        <row r="485">
          <cell r="C485">
            <v>10120096</v>
          </cell>
          <cell r="D485" t="str">
            <v>Gomukh Chapra</v>
          </cell>
          <cell r="E485" t="str">
            <v>vlc</v>
          </cell>
          <cell r="F485" t="str">
            <v>Indirect</v>
          </cell>
          <cell r="G485">
            <v>505.02</v>
          </cell>
          <cell r="H485">
            <v>20870.329999999998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20870.329999999998</v>
          </cell>
          <cell r="P485">
            <v>0</v>
          </cell>
          <cell r="Q485">
            <v>0</v>
          </cell>
          <cell r="R485">
            <v>0</v>
          </cell>
          <cell r="S485">
            <v>20582</v>
          </cell>
          <cell r="T485">
            <v>288.80714903225794</v>
          </cell>
        </row>
        <row r="486">
          <cell r="C486">
            <v>10120099</v>
          </cell>
          <cell r="D486" t="str">
            <v>GOMUKH Chiranjipur</v>
          </cell>
          <cell r="E486" t="str">
            <v>vlc</v>
          </cell>
          <cell r="F486" t="str">
            <v>Indirect</v>
          </cell>
          <cell r="G486">
            <v>973.8</v>
          </cell>
          <cell r="H486">
            <v>37941.589999999997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37941.589999999997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19326.096000000001</v>
          </cell>
        </row>
        <row r="487">
          <cell r="C487">
            <v>10120103</v>
          </cell>
          <cell r="D487" t="str">
            <v>Gomukh Sahu Tol</v>
          </cell>
          <cell r="E487" t="str">
            <v>vlc</v>
          </cell>
          <cell r="F487" t="str">
            <v>Indirect</v>
          </cell>
          <cell r="G487">
            <v>1107</v>
          </cell>
          <cell r="H487">
            <v>40648.379999999997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40648.379999999997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</row>
        <row r="488">
          <cell r="C488">
            <v>10120104</v>
          </cell>
          <cell r="D488" t="str">
            <v>Gomukh Mordiwa East</v>
          </cell>
          <cell r="E488" t="str">
            <v>MPG</v>
          </cell>
          <cell r="F488" t="str">
            <v>Direct</v>
          </cell>
          <cell r="G488">
            <v>695.31</v>
          </cell>
          <cell r="H488">
            <v>26687.729999999996</v>
          </cell>
          <cell r="I488">
            <v>269.3</v>
          </cell>
          <cell r="J488">
            <v>10450.430068320002</v>
          </cell>
          <cell r="K488">
            <v>457.5</v>
          </cell>
          <cell r="L488">
            <v>17684.682075720004</v>
          </cell>
          <cell r="M488">
            <v>726.8</v>
          </cell>
          <cell r="N488">
            <v>28135.112144040006</v>
          </cell>
          <cell r="O488">
            <v>26687.729999999996</v>
          </cell>
          <cell r="P488">
            <v>0</v>
          </cell>
          <cell r="Q488">
            <v>0</v>
          </cell>
          <cell r="R488">
            <v>1447.3821440400097</v>
          </cell>
          <cell r="S488">
            <v>1434</v>
          </cell>
          <cell r="T488">
            <v>0</v>
          </cell>
        </row>
        <row r="489">
          <cell r="C489">
            <v>10120106</v>
          </cell>
          <cell r="D489" t="str">
            <v>Gomukh Belamegh</v>
          </cell>
          <cell r="E489" t="str">
            <v>vlc</v>
          </cell>
          <cell r="F489" t="str">
            <v>Indirect</v>
          </cell>
          <cell r="G489">
            <v>1400</v>
          </cell>
          <cell r="H489">
            <v>48501.1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48501.1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618.19935483871086</v>
          </cell>
        </row>
        <row r="490">
          <cell r="C490">
            <v>10120107</v>
          </cell>
          <cell r="D490" t="str">
            <v>Gomukh Ramaiya</v>
          </cell>
          <cell r="E490" t="str">
            <v>MPG</v>
          </cell>
          <cell r="F490" t="str">
            <v>Direct</v>
          </cell>
          <cell r="G490">
            <v>705.92999999999984</v>
          </cell>
          <cell r="H490">
            <v>27442.02</v>
          </cell>
          <cell r="I490">
            <v>702.76</v>
          </cell>
          <cell r="J490">
            <v>27314.979849036001</v>
          </cell>
          <cell r="K490">
            <v>2</v>
          </cell>
          <cell r="L490">
            <v>57.342677040000012</v>
          </cell>
          <cell r="M490">
            <v>704.76</v>
          </cell>
          <cell r="N490">
            <v>27372.322526076001</v>
          </cell>
          <cell r="O490">
            <v>27372.322526076001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</row>
        <row r="491">
          <cell r="C491">
            <v>10120108</v>
          </cell>
          <cell r="D491" t="str">
            <v>GOMUKH MANIKA EAST</v>
          </cell>
          <cell r="E491" t="str">
            <v>MPG</v>
          </cell>
          <cell r="F491" t="str">
            <v>Direct</v>
          </cell>
          <cell r="G491">
            <v>953.71999999999991</v>
          </cell>
          <cell r="H491">
            <v>37159.56</v>
          </cell>
          <cell r="I491">
            <v>698.70000000000016</v>
          </cell>
          <cell r="J491">
            <v>29118.751267966349</v>
          </cell>
          <cell r="K491">
            <v>268</v>
          </cell>
          <cell r="L491">
            <v>10517.386607957002</v>
          </cell>
          <cell r="M491">
            <v>966.70000000000016</v>
          </cell>
          <cell r="N491">
            <v>39636.137875923348</v>
          </cell>
          <cell r="O491">
            <v>37159.56</v>
          </cell>
          <cell r="P491">
            <v>0</v>
          </cell>
          <cell r="Q491">
            <v>0</v>
          </cell>
          <cell r="R491">
            <v>2476.5778759233508</v>
          </cell>
          <cell r="S491">
            <v>0</v>
          </cell>
          <cell r="T491">
            <v>0</v>
          </cell>
        </row>
        <row r="492">
          <cell r="C492">
            <v>10120109</v>
          </cell>
          <cell r="D492" t="str">
            <v>IMADPUR</v>
          </cell>
          <cell r="E492" t="str">
            <v>vlc</v>
          </cell>
          <cell r="F492" t="str">
            <v>Indirect</v>
          </cell>
          <cell r="G492">
            <v>247.82999999999998</v>
          </cell>
          <cell r="H492">
            <v>9258.9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9258.9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</row>
        <row r="493">
          <cell r="C493">
            <v>10120110</v>
          </cell>
          <cell r="D493" t="str">
            <v>Gomukh MANIYAR EAST</v>
          </cell>
          <cell r="E493" t="str">
            <v>vlc</v>
          </cell>
          <cell r="F493" t="str">
            <v>Indirect</v>
          </cell>
          <cell r="G493">
            <v>294.24</v>
          </cell>
          <cell r="H493">
            <v>13961.130000000001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13961.130000000001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89.187567096774416</v>
          </cell>
        </row>
        <row r="494">
          <cell r="C494">
            <v>10120111</v>
          </cell>
          <cell r="D494" t="str">
            <v>GOMUKH Kisanpur Tabhka</v>
          </cell>
          <cell r="E494" t="str">
            <v>MPG</v>
          </cell>
          <cell r="F494" t="str">
            <v>Direct</v>
          </cell>
          <cell r="G494">
            <v>765.16</v>
          </cell>
          <cell r="H494">
            <v>31107.820000000003</v>
          </cell>
          <cell r="I494">
            <v>234.66999999999996</v>
          </cell>
          <cell r="J494">
            <v>9628.6658040662442</v>
          </cell>
          <cell r="K494">
            <v>530.49</v>
          </cell>
          <cell r="L494">
            <v>21940.315007418492</v>
          </cell>
          <cell r="M494">
            <v>765.16</v>
          </cell>
          <cell r="N494">
            <v>31568.980811484736</v>
          </cell>
          <cell r="O494">
            <v>31107.820000000003</v>
          </cell>
          <cell r="P494">
            <v>0</v>
          </cell>
          <cell r="Q494">
            <v>0</v>
          </cell>
          <cell r="R494">
            <v>461.16081148473313</v>
          </cell>
          <cell r="S494">
            <v>0</v>
          </cell>
          <cell r="T494">
            <v>64.777165161290455</v>
          </cell>
        </row>
        <row r="495">
          <cell r="C495">
            <v>10120113</v>
          </cell>
          <cell r="D495" t="str">
            <v>GOMUKH BIBHUTIPUR</v>
          </cell>
          <cell r="E495" t="str">
            <v>MPG</v>
          </cell>
          <cell r="F495" t="str">
            <v>Direct</v>
          </cell>
          <cell r="G495">
            <v>58.720000000000006</v>
          </cell>
          <cell r="H495">
            <v>2319.1799999999998</v>
          </cell>
          <cell r="I495">
            <v>58.050000000000011</v>
          </cell>
          <cell r="J495">
            <v>2343.5362566000003</v>
          </cell>
          <cell r="K495">
            <v>0</v>
          </cell>
          <cell r="L495">
            <v>0</v>
          </cell>
          <cell r="M495">
            <v>58.050000000000011</v>
          </cell>
          <cell r="N495">
            <v>2343.5362566000003</v>
          </cell>
          <cell r="O495">
            <v>2319.1799999999998</v>
          </cell>
          <cell r="P495">
            <v>0</v>
          </cell>
          <cell r="Q495">
            <v>0</v>
          </cell>
          <cell r="R495">
            <v>24.356256600000506</v>
          </cell>
          <cell r="S495">
            <v>0</v>
          </cell>
          <cell r="T495">
            <v>0</v>
          </cell>
        </row>
        <row r="496">
          <cell r="C496">
            <v>10120114</v>
          </cell>
          <cell r="D496" t="str">
            <v>GOMUKH PATHAKTOL</v>
          </cell>
          <cell r="E496" t="str">
            <v>MPG</v>
          </cell>
          <cell r="F496" t="str">
            <v>Direct</v>
          </cell>
          <cell r="G496">
            <v>168.78000000000003</v>
          </cell>
          <cell r="H496">
            <v>6918.4900000000007</v>
          </cell>
          <cell r="I496">
            <v>139.40000000000003</v>
          </cell>
          <cell r="J496">
            <v>5694.09948911232</v>
          </cell>
          <cell r="K496">
            <v>28.7</v>
          </cell>
          <cell r="L496">
            <v>1184.8856657219999</v>
          </cell>
          <cell r="M496">
            <v>168.10000000000002</v>
          </cell>
          <cell r="N496">
            <v>6878.9851548343195</v>
          </cell>
          <cell r="O496">
            <v>6878.9851548343195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</row>
        <row r="497">
          <cell r="C497">
            <v>10120115</v>
          </cell>
          <cell r="D497" t="str">
            <v>Gomukh Musapur West</v>
          </cell>
          <cell r="E497" t="str">
            <v>vlc</v>
          </cell>
          <cell r="F497" t="str">
            <v>Indirect</v>
          </cell>
          <cell r="G497">
            <v>340.88000000000005</v>
          </cell>
          <cell r="H497">
            <v>12451.16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12451.16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1431.6370703225816</v>
          </cell>
        </row>
        <row r="498">
          <cell r="C498">
            <v>10120116</v>
          </cell>
          <cell r="D498" t="str">
            <v>GOMUKH DADHIYA RAMKRISHANPUR</v>
          </cell>
          <cell r="E498" t="str">
            <v>MPG</v>
          </cell>
          <cell r="F498" t="str">
            <v>Direct</v>
          </cell>
          <cell r="G498">
            <v>1703.97</v>
          </cell>
          <cell r="H498">
            <v>69763.760000000009</v>
          </cell>
          <cell r="I498">
            <v>495.99999999999989</v>
          </cell>
          <cell r="J498">
            <v>18063.285241716003</v>
          </cell>
          <cell r="K498">
            <v>1242.2000000000003</v>
          </cell>
          <cell r="L498">
            <v>51693.626668307217</v>
          </cell>
          <cell r="M498">
            <v>1738.2000000000003</v>
          </cell>
          <cell r="N498">
            <v>69756.91191002322</v>
          </cell>
          <cell r="O498">
            <v>69756.91191002322</v>
          </cell>
          <cell r="P498">
            <v>0</v>
          </cell>
          <cell r="Q498">
            <v>2506.6457804050001</v>
          </cell>
          <cell r="R498">
            <v>0</v>
          </cell>
          <cell r="S498">
            <v>0</v>
          </cell>
          <cell r="T498">
            <v>0</v>
          </cell>
        </row>
        <row r="499">
          <cell r="C499">
            <v>10120119</v>
          </cell>
          <cell r="D499" t="str">
            <v>Gomukh Simri Ward 4</v>
          </cell>
          <cell r="E499" t="str">
            <v>vlc</v>
          </cell>
          <cell r="F499" t="str">
            <v>Indirect</v>
          </cell>
          <cell r="G499">
            <v>360</v>
          </cell>
          <cell r="H499">
            <v>12024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12024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5920.8387096774186</v>
          </cell>
        </row>
        <row r="500">
          <cell r="C500">
            <v>10120120</v>
          </cell>
          <cell r="D500" t="str">
            <v>GOMUKH BALTHARA</v>
          </cell>
          <cell r="E500" t="str">
            <v>MPG</v>
          </cell>
          <cell r="F500" t="str">
            <v>Direct</v>
          </cell>
          <cell r="G500">
            <v>314.2</v>
          </cell>
          <cell r="H500">
            <v>11873.08</v>
          </cell>
          <cell r="I500">
            <v>84.710000000000008</v>
          </cell>
          <cell r="J500">
            <v>3326.5204850078899</v>
          </cell>
          <cell r="K500">
            <v>188.86</v>
          </cell>
          <cell r="L500">
            <v>7234.9000602565402</v>
          </cell>
          <cell r="M500">
            <v>273.57000000000005</v>
          </cell>
          <cell r="N500">
            <v>10561.420545264431</v>
          </cell>
          <cell r="O500">
            <v>10561.420545264431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</row>
        <row r="501">
          <cell r="C501">
            <v>10120122</v>
          </cell>
          <cell r="D501" t="str">
            <v>GOMUKH BHASINGPUR</v>
          </cell>
          <cell r="E501" t="str">
            <v>MPG</v>
          </cell>
          <cell r="F501" t="str">
            <v>Direct</v>
          </cell>
          <cell r="G501">
            <v>892.69999999999993</v>
          </cell>
          <cell r="H501">
            <v>38503.269999999997</v>
          </cell>
          <cell r="I501">
            <v>217.76000000000002</v>
          </cell>
          <cell r="J501">
            <v>10380.995521589872</v>
          </cell>
          <cell r="K501">
            <v>817.06</v>
          </cell>
          <cell r="L501">
            <v>34224.576040785236</v>
          </cell>
          <cell r="M501">
            <v>1034.82</v>
          </cell>
          <cell r="N501">
            <v>44605.571562375109</v>
          </cell>
          <cell r="O501">
            <v>38503.269999999997</v>
          </cell>
          <cell r="P501">
            <v>0</v>
          </cell>
          <cell r="Q501">
            <v>0</v>
          </cell>
          <cell r="R501">
            <v>6102.3015623751126</v>
          </cell>
          <cell r="S501">
            <v>0</v>
          </cell>
          <cell r="T501">
            <v>79.58</v>
          </cell>
        </row>
        <row r="502">
          <cell r="C502">
            <v>10120123</v>
          </cell>
          <cell r="D502" t="str">
            <v>GOMUKH Chakhale Dad</v>
          </cell>
          <cell r="E502" t="str">
            <v>MPG</v>
          </cell>
          <cell r="F502" t="str">
            <v>Direct</v>
          </cell>
          <cell r="G502">
            <v>743.68999999999994</v>
          </cell>
          <cell r="H502">
            <v>28844.739999999998</v>
          </cell>
          <cell r="I502">
            <v>621.0200000000001</v>
          </cell>
          <cell r="J502">
            <v>24242.092635877831</v>
          </cell>
          <cell r="K502">
            <v>129.26</v>
          </cell>
          <cell r="L502">
            <v>4616.8288015409998</v>
          </cell>
          <cell r="M502">
            <v>750.28000000000009</v>
          </cell>
          <cell r="N502">
            <v>28858.92143741883</v>
          </cell>
          <cell r="O502">
            <v>28844.739999999998</v>
          </cell>
          <cell r="P502">
            <v>0</v>
          </cell>
          <cell r="Q502">
            <v>104.53830344100001</v>
          </cell>
          <cell r="R502">
            <v>14.181437418832502</v>
          </cell>
          <cell r="S502">
            <v>1500</v>
          </cell>
          <cell r="T502">
            <v>0</v>
          </cell>
        </row>
        <row r="503">
          <cell r="C503">
            <v>10130001</v>
          </cell>
          <cell r="D503" t="str">
            <v>GOMUKH BANGHARH KISHANPUR</v>
          </cell>
          <cell r="E503" t="str">
            <v>MPG</v>
          </cell>
          <cell r="F503" t="str">
            <v>Direct</v>
          </cell>
          <cell r="G503">
            <v>570.5</v>
          </cell>
          <cell r="H503">
            <v>18717.98</v>
          </cell>
          <cell r="I503">
            <v>100.90000000000002</v>
          </cell>
          <cell r="J503">
            <v>3468.0142619100006</v>
          </cell>
          <cell r="K503">
            <v>488.2</v>
          </cell>
          <cell r="L503">
            <v>16820.372451762003</v>
          </cell>
          <cell r="M503">
            <v>589.1</v>
          </cell>
          <cell r="N503">
            <v>20288.386713672004</v>
          </cell>
          <cell r="O503">
            <v>18717.98</v>
          </cell>
          <cell r="P503">
            <v>0</v>
          </cell>
          <cell r="Q503">
            <v>126.58121467200002</v>
          </cell>
          <cell r="R503">
            <v>1570.4067136720041</v>
          </cell>
          <cell r="S503">
            <v>0</v>
          </cell>
          <cell r="T503">
            <v>0</v>
          </cell>
        </row>
        <row r="504">
          <cell r="C504">
            <v>10130002</v>
          </cell>
          <cell r="D504" t="str">
            <v>Gomukh Serpur Narsari</v>
          </cell>
          <cell r="E504" t="str">
            <v>vlc</v>
          </cell>
          <cell r="F504" t="str">
            <v>Indirect</v>
          </cell>
          <cell r="G504">
            <v>132.29999999999998</v>
          </cell>
          <cell r="H504">
            <v>4185.55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4185.55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</row>
        <row r="505">
          <cell r="C505">
            <v>10130003</v>
          </cell>
          <cell r="D505" t="str">
            <v>PARORIYA</v>
          </cell>
          <cell r="E505" t="str">
            <v>MPG</v>
          </cell>
          <cell r="F505" t="str">
            <v>Direct</v>
          </cell>
          <cell r="G505">
            <v>23.799999999999997</v>
          </cell>
          <cell r="H505">
            <v>736.54</v>
          </cell>
          <cell r="I505">
            <v>24.1</v>
          </cell>
          <cell r="J505">
            <v>756.51247782000007</v>
          </cell>
          <cell r="K505">
            <v>0</v>
          </cell>
          <cell r="L505">
            <v>0</v>
          </cell>
          <cell r="M505">
            <v>24.1</v>
          </cell>
          <cell r="N505">
            <v>756.51247782000007</v>
          </cell>
          <cell r="O505">
            <v>736.54</v>
          </cell>
          <cell r="P505">
            <v>0</v>
          </cell>
          <cell r="Q505">
            <v>0</v>
          </cell>
          <cell r="R505">
            <v>19.972477820000108</v>
          </cell>
          <cell r="S505">
            <v>0</v>
          </cell>
          <cell r="T505">
            <v>276.21510000000001</v>
          </cell>
        </row>
        <row r="506">
          <cell r="C506">
            <v>10130005</v>
          </cell>
          <cell r="D506" t="str">
            <v>JHAKHRA</v>
          </cell>
          <cell r="E506" t="str">
            <v>vlc</v>
          </cell>
          <cell r="F506" t="str">
            <v>Indirect</v>
          </cell>
          <cell r="G506">
            <v>45.500000000000007</v>
          </cell>
          <cell r="H506">
            <v>1454.1399999999999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1454.1399999999999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</row>
        <row r="507">
          <cell r="C507">
            <v>10130006</v>
          </cell>
          <cell r="D507" t="str">
            <v>GOMUKH ANDAHA</v>
          </cell>
          <cell r="E507" t="str">
            <v>MPG</v>
          </cell>
          <cell r="F507" t="str">
            <v>Direct</v>
          </cell>
          <cell r="G507">
            <v>538.9</v>
          </cell>
          <cell r="H507">
            <v>19010.29</v>
          </cell>
          <cell r="I507">
            <v>537.49</v>
          </cell>
          <cell r="J507">
            <v>18992.368902004739</v>
          </cell>
          <cell r="K507">
            <v>0.14000000000000001</v>
          </cell>
          <cell r="L507">
            <v>4.9343096880000008</v>
          </cell>
          <cell r="M507">
            <v>537.63</v>
          </cell>
          <cell r="N507">
            <v>18997.303211692739</v>
          </cell>
          <cell r="O507">
            <v>18997.303211692739</v>
          </cell>
          <cell r="P507">
            <v>0</v>
          </cell>
          <cell r="Q507">
            <v>4.9343096880000008</v>
          </cell>
          <cell r="R507">
            <v>0</v>
          </cell>
          <cell r="S507">
            <v>0</v>
          </cell>
          <cell r="T507">
            <v>0</v>
          </cell>
        </row>
        <row r="508">
          <cell r="C508">
            <v>10130008</v>
          </cell>
          <cell r="D508" t="str">
            <v>Gomukha Rohua</v>
          </cell>
          <cell r="E508" t="str">
            <v>MPG</v>
          </cell>
          <cell r="F508" t="str">
            <v>Direct</v>
          </cell>
          <cell r="G508">
            <v>805.69999999999993</v>
          </cell>
          <cell r="H508">
            <v>31508.21</v>
          </cell>
          <cell r="I508">
            <v>775.82999999999993</v>
          </cell>
          <cell r="J508">
            <v>32111.81581307892</v>
          </cell>
          <cell r="K508">
            <v>82.320000000000007</v>
          </cell>
          <cell r="L508">
            <v>3121.1029053510001</v>
          </cell>
          <cell r="M508">
            <v>858.15</v>
          </cell>
          <cell r="N508">
            <v>35232.918718429923</v>
          </cell>
          <cell r="O508">
            <v>31508.21</v>
          </cell>
          <cell r="P508">
            <v>0</v>
          </cell>
          <cell r="Q508">
            <v>311.59280802300009</v>
          </cell>
          <cell r="R508">
            <v>3724.7087184299235</v>
          </cell>
          <cell r="S508">
            <v>0</v>
          </cell>
          <cell r="T508">
            <v>0</v>
          </cell>
        </row>
        <row r="509">
          <cell r="C509">
            <v>10130012</v>
          </cell>
          <cell r="D509" t="str">
            <v>Gomukha Arniya Ganj</v>
          </cell>
          <cell r="E509" t="str">
            <v>MPG</v>
          </cell>
          <cell r="F509" t="str">
            <v>Direct</v>
          </cell>
          <cell r="G509">
            <v>3609.4999999999995</v>
          </cell>
          <cell r="H509">
            <v>132428</v>
          </cell>
          <cell r="I509">
            <v>1981.6999999999998</v>
          </cell>
          <cell r="J509">
            <v>73216.966430519999</v>
          </cell>
          <cell r="K509">
            <v>1646</v>
          </cell>
          <cell r="L509">
            <v>60598.03921696802</v>
          </cell>
          <cell r="M509">
            <v>3627.7</v>
          </cell>
          <cell r="N509">
            <v>133815.00564748803</v>
          </cell>
          <cell r="O509">
            <v>132428</v>
          </cell>
          <cell r="P509">
            <v>0</v>
          </cell>
          <cell r="Q509">
            <v>1373.63175576</v>
          </cell>
          <cell r="R509">
            <v>1387.0056474880257</v>
          </cell>
          <cell r="S509">
            <v>0</v>
          </cell>
          <cell r="T509">
            <v>0</v>
          </cell>
        </row>
        <row r="510">
          <cell r="C510">
            <v>10130015</v>
          </cell>
          <cell r="D510" t="str">
            <v>Gomukha Vishanupatti II</v>
          </cell>
          <cell r="E510" t="str">
            <v>vlc</v>
          </cell>
          <cell r="F510" t="str">
            <v>Indirect</v>
          </cell>
          <cell r="G510">
            <v>549.70000000000005</v>
          </cell>
          <cell r="H510">
            <v>21261.38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21261.38</v>
          </cell>
          <cell r="P510">
            <v>0</v>
          </cell>
          <cell r="Q510">
            <v>0</v>
          </cell>
          <cell r="R510">
            <v>0</v>
          </cell>
          <cell r="S510">
            <v>2700</v>
          </cell>
          <cell r="T510">
            <v>0</v>
          </cell>
        </row>
        <row r="511">
          <cell r="C511">
            <v>10130016</v>
          </cell>
          <cell r="D511" t="str">
            <v>Gomukh Khesarhiya</v>
          </cell>
          <cell r="E511" t="str">
            <v>vlc</v>
          </cell>
          <cell r="F511" t="str">
            <v>Indirect</v>
          </cell>
          <cell r="G511">
            <v>128.6</v>
          </cell>
          <cell r="H511">
            <v>5845.7900000000009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5845.7900000000009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</row>
        <row r="512">
          <cell r="C512">
            <v>10130018</v>
          </cell>
          <cell r="D512" t="str">
            <v>Harsingpur</v>
          </cell>
          <cell r="E512" t="str">
            <v>vlc</v>
          </cell>
          <cell r="F512" t="str">
            <v>Indirect</v>
          </cell>
          <cell r="G512">
            <v>255.39999999999998</v>
          </cell>
          <cell r="H512">
            <v>7613.47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7613.47</v>
          </cell>
          <cell r="P512">
            <v>0</v>
          </cell>
          <cell r="Q512">
            <v>0</v>
          </cell>
          <cell r="R512">
            <v>0</v>
          </cell>
          <cell r="S512">
            <v>1350</v>
          </cell>
          <cell r="T512">
            <v>0</v>
          </cell>
        </row>
        <row r="513">
          <cell r="C513">
            <v>10130020</v>
          </cell>
          <cell r="D513" t="str">
            <v>Gomukh ID Mahathi</v>
          </cell>
          <cell r="E513" t="str">
            <v>vlc</v>
          </cell>
          <cell r="F513" t="str">
            <v>Indirect</v>
          </cell>
          <cell r="G513">
            <v>610.20000000000005</v>
          </cell>
          <cell r="H513">
            <v>21385.450000000004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21385.450000000004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</row>
        <row r="514">
          <cell r="C514">
            <v>10130025</v>
          </cell>
          <cell r="D514" t="str">
            <v>MURTUJAPUR</v>
          </cell>
          <cell r="E514" t="str">
            <v>vlc</v>
          </cell>
          <cell r="F514" t="str">
            <v>Indirect</v>
          </cell>
          <cell r="G514">
            <v>334.4</v>
          </cell>
          <cell r="H514">
            <v>13623.210000000003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13623.210000000003</v>
          </cell>
          <cell r="P514">
            <v>0</v>
          </cell>
          <cell r="Q514">
            <v>0</v>
          </cell>
          <cell r="R514">
            <v>0</v>
          </cell>
          <cell r="S514">
            <v>3000</v>
          </cell>
          <cell r="T514">
            <v>0</v>
          </cell>
        </row>
        <row r="515">
          <cell r="C515">
            <v>10130026</v>
          </cell>
          <cell r="D515" t="str">
            <v>Rasalpur</v>
          </cell>
          <cell r="E515" t="str">
            <v>MPG</v>
          </cell>
          <cell r="F515" t="str">
            <v>Direct</v>
          </cell>
          <cell r="G515">
            <v>197.3</v>
          </cell>
          <cell r="H515">
            <v>7664.6399999999994</v>
          </cell>
          <cell r="I515">
            <v>49.129999999999995</v>
          </cell>
          <cell r="J515">
            <v>2162.1544313149998</v>
          </cell>
          <cell r="K515">
            <v>154.55000000000001</v>
          </cell>
          <cell r="L515">
            <v>6280.0719288540004</v>
          </cell>
          <cell r="M515">
            <v>203.68</v>
          </cell>
          <cell r="N515">
            <v>8442.2263601689992</v>
          </cell>
          <cell r="O515">
            <v>7664.6399999999994</v>
          </cell>
          <cell r="P515">
            <v>0</v>
          </cell>
          <cell r="Q515">
            <v>58.001286069600006</v>
          </cell>
          <cell r="R515">
            <v>777.58636016899982</v>
          </cell>
          <cell r="S515">
            <v>0</v>
          </cell>
          <cell r="T515">
            <v>0</v>
          </cell>
        </row>
        <row r="516">
          <cell r="C516">
            <v>10130027</v>
          </cell>
          <cell r="D516" t="str">
            <v>Gomukh VISHNUPATTI</v>
          </cell>
          <cell r="E516" t="str">
            <v>vlc</v>
          </cell>
          <cell r="F516" t="str">
            <v>Indirect</v>
          </cell>
          <cell r="G516">
            <v>42.500000000000007</v>
          </cell>
          <cell r="H516">
            <v>1495.26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1495.26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</row>
        <row r="517">
          <cell r="C517">
            <v>10130030</v>
          </cell>
          <cell r="D517" t="str">
            <v xml:space="preserve">Chhuchhipur                                                                                         </v>
          </cell>
          <cell r="E517" t="str">
            <v>MPG</v>
          </cell>
          <cell r="F517" t="str">
            <v>Direct</v>
          </cell>
          <cell r="G517">
            <v>78.099999999999994</v>
          </cell>
          <cell r="H517">
            <v>2280.38</v>
          </cell>
          <cell r="I517">
            <v>100</v>
          </cell>
          <cell r="J517">
            <v>3696.1055999999999</v>
          </cell>
          <cell r="K517">
            <v>0</v>
          </cell>
          <cell r="L517">
            <v>0</v>
          </cell>
          <cell r="M517">
            <v>100</v>
          </cell>
          <cell r="N517">
            <v>3696.1055999999999</v>
          </cell>
          <cell r="O517">
            <v>2280.38</v>
          </cell>
          <cell r="P517">
            <v>0</v>
          </cell>
          <cell r="Q517">
            <v>0</v>
          </cell>
          <cell r="R517">
            <v>1415.7255999999998</v>
          </cell>
          <cell r="S517">
            <v>0</v>
          </cell>
          <cell r="T517">
            <v>628.40191578947349</v>
          </cell>
        </row>
        <row r="518">
          <cell r="C518">
            <v>10130031</v>
          </cell>
          <cell r="D518" t="str">
            <v>Gomukh ID Sararanjan</v>
          </cell>
          <cell r="E518" t="str">
            <v>vlc</v>
          </cell>
          <cell r="F518" t="str">
            <v>Indirect</v>
          </cell>
          <cell r="G518">
            <v>242.2</v>
          </cell>
          <cell r="H518">
            <v>9178.4299999999985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9178.4299999999985</v>
          </cell>
          <cell r="P518">
            <v>0</v>
          </cell>
          <cell r="Q518">
            <v>0</v>
          </cell>
          <cell r="R518">
            <v>0</v>
          </cell>
          <cell r="S518">
            <v>3000</v>
          </cell>
          <cell r="T518">
            <v>0</v>
          </cell>
        </row>
        <row r="519">
          <cell r="C519">
            <v>10130032</v>
          </cell>
          <cell r="D519" t="str">
            <v xml:space="preserve">Gomukh Soharthi Purvi Tola                                                                          </v>
          </cell>
          <cell r="E519" t="str">
            <v>MPG</v>
          </cell>
          <cell r="F519" t="str">
            <v>Direct</v>
          </cell>
          <cell r="G519">
            <v>38.799999999999997</v>
          </cell>
          <cell r="H519">
            <v>1903.26</v>
          </cell>
          <cell r="I519">
            <v>50.5</v>
          </cell>
          <cell r="J519">
            <v>2154.8972072500001</v>
          </cell>
          <cell r="K519">
            <v>0</v>
          </cell>
          <cell r="L519">
            <v>0</v>
          </cell>
          <cell r="M519">
            <v>50.5</v>
          </cell>
          <cell r="N519">
            <v>2154.8972072500001</v>
          </cell>
          <cell r="O519">
            <v>1903.26</v>
          </cell>
          <cell r="P519">
            <v>0</v>
          </cell>
          <cell r="Q519">
            <v>0</v>
          </cell>
          <cell r="R519">
            <v>251.63720725000007</v>
          </cell>
          <cell r="S519">
            <v>0</v>
          </cell>
          <cell r="T519">
            <v>59.116413559322027</v>
          </cell>
        </row>
        <row r="520">
          <cell r="C520">
            <v>10130040</v>
          </cell>
          <cell r="D520" t="str">
            <v>Birnama</v>
          </cell>
          <cell r="E520" t="str">
            <v>vlc</v>
          </cell>
          <cell r="F520" t="str">
            <v>Indirect</v>
          </cell>
          <cell r="G520">
            <v>863.6</v>
          </cell>
          <cell r="H520">
            <v>22047.71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22047.71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715.38483870967684</v>
          </cell>
        </row>
        <row r="521">
          <cell r="C521">
            <v>10130041</v>
          </cell>
          <cell r="D521" t="str">
            <v>Maraie - Rubi</v>
          </cell>
          <cell r="E521" t="str">
            <v>vlc</v>
          </cell>
          <cell r="F521" t="str">
            <v>Indirect</v>
          </cell>
          <cell r="G521">
            <v>53.5</v>
          </cell>
          <cell r="H521">
            <v>1983.4599999999998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1983.4599999999998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6.9993483870967692</v>
          </cell>
        </row>
        <row r="522">
          <cell r="C522">
            <v>10130042</v>
          </cell>
          <cell r="D522" t="str">
            <v>Arniya East Tola - Seema</v>
          </cell>
          <cell r="E522" t="str">
            <v>vlc</v>
          </cell>
          <cell r="F522" t="str">
            <v>Indirect</v>
          </cell>
          <cell r="G522">
            <v>21.4</v>
          </cell>
          <cell r="H522">
            <v>790.06999999999994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790.06999999999994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</row>
        <row r="523">
          <cell r="C523">
            <v>10130044</v>
          </cell>
          <cell r="D523" t="str">
            <v>Lakshmipur Western Tol - Rajeev</v>
          </cell>
          <cell r="E523" t="str">
            <v>MPG</v>
          </cell>
          <cell r="F523" t="str">
            <v>Indirect</v>
          </cell>
          <cell r="G523">
            <v>2624</v>
          </cell>
          <cell r="H523">
            <v>108795.37999999999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108795.37999999999</v>
          </cell>
          <cell r="P523">
            <v>0</v>
          </cell>
          <cell r="Q523">
            <v>0</v>
          </cell>
          <cell r="R523">
            <v>0</v>
          </cell>
          <cell r="S523">
            <v>3000</v>
          </cell>
          <cell r="T523">
            <v>0</v>
          </cell>
        </row>
        <row r="524">
          <cell r="C524">
            <v>10130046</v>
          </cell>
          <cell r="D524" t="str">
            <v>Jahangipur Salkhanni</v>
          </cell>
          <cell r="E524" t="str">
            <v>MPG</v>
          </cell>
          <cell r="F524" t="str">
            <v>Direct</v>
          </cell>
          <cell r="G524">
            <v>355.90000000000003</v>
          </cell>
          <cell r="H524">
            <v>15323.379999999997</v>
          </cell>
          <cell r="I524">
            <v>280.44</v>
          </cell>
          <cell r="J524">
            <v>11968.76063233356</v>
          </cell>
          <cell r="K524">
            <v>94.640000000000015</v>
          </cell>
          <cell r="L524">
            <v>4957.2909916410554</v>
          </cell>
          <cell r="M524">
            <v>375.08000000000004</v>
          </cell>
          <cell r="N524">
            <v>16926.051623974614</v>
          </cell>
          <cell r="O524">
            <v>15323.379999999997</v>
          </cell>
          <cell r="P524">
            <v>0</v>
          </cell>
          <cell r="Q524">
            <v>0</v>
          </cell>
          <cell r="R524">
            <v>1602.6716239746165</v>
          </cell>
          <cell r="S524">
            <v>871</v>
          </cell>
          <cell r="T524">
            <v>0</v>
          </cell>
        </row>
        <row r="525">
          <cell r="C525">
            <v>10130047</v>
          </cell>
          <cell r="D525" t="str">
            <v>Sekhpura</v>
          </cell>
          <cell r="E525" t="str">
            <v>MPG</v>
          </cell>
          <cell r="F525" t="str">
            <v>Direct</v>
          </cell>
          <cell r="G525">
            <v>257.10000000000002</v>
          </cell>
          <cell r="H525">
            <v>9144.7900000000027</v>
          </cell>
          <cell r="I525">
            <v>260.31</v>
          </cell>
          <cell r="J525">
            <v>9525.8568270096021</v>
          </cell>
          <cell r="K525">
            <v>3.0300000000000002</v>
          </cell>
          <cell r="L525">
            <v>107.36452738440002</v>
          </cell>
          <cell r="M525">
            <v>263.33999999999997</v>
          </cell>
          <cell r="N525">
            <v>9633.2213543940015</v>
          </cell>
          <cell r="O525">
            <v>9144.7900000000027</v>
          </cell>
          <cell r="P525">
            <v>0</v>
          </cell>
          <cell r="Q525">
            <v>107.36452738440002</v>
          </cell>
          <cell r="R525">
            <v>488.43135439399884</v>
          </cell>
          <cell r="S525">
            <v>0</v>
          </cell>
          <cell r="T525">
            <v>0</v>
          </cell>
        </row>
        <row r="526">
          <cell r="C526">
            <v>10130052</v>
          </cell>
          <cell r="D526" t="str">
            <v>Songar</v>
          </cell>
          <cell r="E526" t="str">
            <v>MPG</v>
          </cell>
          <cell r="F526" t="str">
            <v>Direct</v>
          </cell>
          <cell r="G526">
            <v>1388.8999999999999</v>
          </cell>
          <cell r="H526">
            <v>47935.770000000004</v>
          </cell>
          <cell r="I526">
            <v>804.41</v>
          </cell>
          <cell r="J526">
            <v>29414.044406415713</v>
          </cell>
          <cell r="K526">
            <v>584.59000000000015</v>
          </cell>
          <cell r="L526">
            <v>19396.177799090401</v>
          </cell>
          <cell r="M526">
            <v>1389</v>
          </cell>
          <cell r="N526">
            <v>48810.222205506114</v>
          </cell>
          <cell r="O526">
            <v>47935.770000000004</v>
          </cell>
          <cell r="P526">
            <v>0</v>
          </cell>
          <cell r="Q526">
            <v>520.66075786560009</v>
          </cell>
          <cell r="R526">
            <v>874.45220550610975</v>
          </cell>
          <cell r="S526">
            <v>0</v>
          </cell>
          <cell r="T526">
            <v>0</v>
          </cell>
        </row>
        <row r="527">
          <cell r="C527">
            <v>10130054</v>
          </cell>
          <cell r="D527" t="str">
            <v>Rampur Maheshpur</v>
          </cell>
          <cell r="E527" t="str">
            <v>MPG</v>
          </cell>
          <cell r="F527" t="str">
            <v>Direct</v>
          </cell>
          <cell r="G527">
            <v>616.09999999999991</v>
          </cell>
          <cell r="H527">
            <v>23856.400000000001</v>
          </cell>
          <cell r="I527">
            <v>377.54999999999995</v>
          </cell>
          <cell r="J527">
            <v>16149.154251439682</v>
          </cell>
          <cell r="K527">
            <v>244.23</v>
          </cell>
          <cell r="L527">
            <v>8710.6632940800009</v>
          </cell>
          <cell r="M527">
            <v>621.78</v>
          </cell>
          <cell r="N527">
            <v>24859.817545519683</v>
          </cell>
          <cell r="O527">
            <v>23856.400000000001</v>
          </cell>
          <cell r="P527">
            <v>0</v>
          </cell>
          <cell r="Q527">
            <v>114.097372686</v>
          </cell>
          <cell r="R527">
            <v>1003.4175455196819</v>
          </cell>
          <cell r="S527">
            <v>0</v>
          </cell>
          <cell r="T527">
            <v>0</v>
          </cell>
        </row>
        <row r="528">
          <cell r="C528">
            <v>10130058</v>
          </cell>
          <cell r="D528" t="str">
            <v>Godhiyari</v>
          </cell>
          <cell r="E528" t="str">
            <v>vlc</v>
          </cell>
          <cell r="F528" t="str">
            <v>Indirect</v>
          </cell>
          <cell r="G528">
            <v>221.29999999999998</v>
          </cell>
          <cell r="H528">
            <v>7690.79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7690.79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73.386503225806294</v>
          </cell>
        </row>
        <row r="529">
          <cell r="C529">
            <v>10130065</v>
          </cell>
          <cell r="D529" t="str">
            <v>Jhakhra-Rambilash</v>
          </cell>
          <cell r="E529" t="str">
            <v>vlc</v>
          </cell>
          <cell r="F529" t="str">
            <v>Indirect</v>
          </cell>
          <cell r="G529">
            <v>769.6</v>
          </cell>
          <cell r="H529">
            <v>30238.45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30238.45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</row>
        <row r="530">
          <cell r="C530">
            <v>10130073</v>
          </cell>
          <cell r="D530" t="str">
            <v>Dagarua</v>
          </cell>
          <cell r="E530" t="str">
            <v>MPG</v>
          </cell>
          <cell r="F530" t="str">
            <v>Direct</v>
          </cell>
          <cell r="G530">
            <v>64.900000000000006</v>
          </cell>
          <cell r="H530">
            <v>2330.73</v>
          </cell>
          <cell r="I530">
            <v>59.9</v>
          </cell>
          <cell r="J530">
            <v>2142.3671885880003</v>
          </cell>
          <cell r="K530">
            <v>15</v>
          </cell>
          <cell r="L530">
            <v>561.0161700000001</v>
          </cell>
          <cell r="M530">
            <v>74.900000000000006</v>
          </cell>
          <cell r="N530">
            <v>2703.3833585880002</v>
          </cell>
          <cell r="O530">
            <v>2330.73</v>
          </cell>
          <cell r="P530">
            <v>0</v>
          </cell>
          <cell r="Q530">
            <v>0</v>
          </cell>
          <cell r="R530">
            <v>372.65335858800017</v>
          </cell>
          <cell r="S530">
            <v>1372</v>
          </cell>
          <cell r="T530">
            <v>398.03320000000014</v>
          </cell>
        </row>
        <row r="531">
          <cell r="C531">
            <v>10130074</v>
          </cell>
          <cell r="D531" t="str">
            <v>Chakmilki</v>
          </cell>
          <cell r="E531" t="str">
            <v>MPG</v>
          </cell>
          <cell r="F531" t="str">
            <v>Direct</v>
          </cell>
          <cell r="G531">
            <v>291.79999999999995</v>
          </cell>
          <cell r="H531">
            <v>10899.48</v>
          </cell>
          <cell r="I531">
            <v>138.73000000000002</v>
          </cell>
          <cell r="J531">
            <v>5130.9332498456006</v>
          </cell>
          <cell r="K531">
            <v>172.67000000000002</v>
          </cell>
          <cell r="L531">
            <v>6081.0545414417993</v>
          </cell>
          <cell r="M531">
            <v>311.40000000000003</v>
          </cell>
          <cell r="N531">
            <v>11211.9877912874</v>
          </cell>
          <cell r="O531">
            <v>10899.48</v>
          </cell>
          <cell r="P531">
            <v>0</v>
          </cell>
          <cell r="Q531">
            <v>186.95243812800001</v>
          </cell>
          <cell r="R531">
            <v>312.50779128740032</v>
          </cell>
          <cell r="S531">
            <v>0</v>
          </cell>
          <cell r="T531">
            <v>0</v>
          </cell>
        </row>
        <row r="532">
          <cell r="C532">
            <v>10130077</v>
          </cell>
          <cell r="D532" t="str">
            <v>Gomukh Akaha</v>
          </cell>
          <cell r="E532" t="str">
            <v>MPG</v>
          </cell>
          <cell r="F532" t="str">
            <v>Direct</v>
          </cell>
          <cell r="G532">
            <v>173.5</v>
          </cell>
          <cell r="H532">
            <v>6096.67</v>
          </cell>
          <cell r="I532">
            <v>134.70000000000002</v>
          </cell>
          <cell r="J532">
            <v>4448.5235098386011</v>
          </cell>
          <cell r="K532">
            <v>45.459999999999994</v>
          </cell>
          <cell r="L532">
            <v>1837.9826336224191</v>
          </cell>
          <cell r="M532">
            <v>180.16000000000003</v>
          </cell>
          <cell r="N532">
            <v>6286.5061434610197</v>
          </cell>
          <cell r="O532">
            <v>6096.67</v>
          </cell>
          <cell r="P532">
            <v>0</v>
          </cell>
          <cell r="Q532">
            <v>21.189751268400002</v>
          </cell>
          <cell r="R532">
            <v>189.83614346101967</v>
          </cell>
          <cell r="S532">
            <v>1350</v>
          </cell>
          <cell r="T532">
            <v>0</v>
          </cell>
        </row>
        <row r="533">
          <cell r="C533">
            <v>10130080</v>
          </cell>
          <cell r="D533" t="str">
            <v>Nauachak-Pankaj</v>
          </cell>
          <cell r="E533" t="str">
            <v>vlc</v>
          </cell>
          <cell r="F533" t="str">
            <v>Indirect</v>
          </cell>
          <cell r="G533">
            <v>161.4</v>
          </cell>
          <cell r="H533">
            <v>5029.3100000000004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5029.3100000000004</v>
          </cell>
          <cell r="P533">
            <v>0</v>
          </cell>
          <cell r="Q533">
            <v>0</v>
          </cell>
          <cell r="R533">
            <v>0</v>
          </cell>
          <cell r="S533">
            <v>1500</v>
          </cell>
          <cell r="T533">
            <v>0</v>
          </cell>
        </row>
        <row r="534">
          <cell r="C534">
            <v>10130081</v>
          </cell>
          <cell r="D534" t="str">
            <v>Jitwarpur-Manisha</v>
          </cell>
          <cell r="E534" t="str">
            <v>vlc</v>
          </cell>
          <cell r="F534" t="str">
            <v>Indirect</v>
          </cell>
          <cell r="G534">
            <v>70.7</v>
          </cell>
          <cell r="H534">
            <v>2611.17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2611.17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34.314948387096685</v>
          </cell>
        </row>
        <row r="535">
          <cell r="C535">
            <v>10130083</v>
          </cell>
          <cell r="D535" t="str">
            <v>Gomukh Sirdulpur 2</v>
          </cell>
          <cell r="E535" t="str">
            <v>vlc</v>
          </cell>
          <cell r="F535" t="str">
            <v>Indirect</v>
          </cell>
          <cell r="G535">
            <v>1325</v>
          </cell>
          <cell r="H535">
            <v>43724.61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43724.61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</row>
        <row r="536">
          <cell r="C536">
            <v>10130085</v>
          </cell>
          <cell r="D536" t="str">
            <v>Gomukh Repura</v>
          </cell>
          <cell r="E536" t="str">
            <v>MPG</v>
          </cell>
          <cell r="F536" t="str">
            <v>Direct</v>
          </cell>
          <cell r="G536">
            <v>272.49999999999994</v>
          </cell>
          <cell r="H536">
            <v>9420.73</v>
          </cell>
          <cell r="I536">
            <v>231.79999999999998</v>
          </cell>
          <cell r="J536">
            <v>8285.9798506320003</v>
          </cell>
          <cell r="K536">
            <v>22</v>
          </cell>
          <cell r="L536">
            <v>814.331232</v>
          </cell>
          <cell r="M536">
            <v>253.79999999999998</v>
          </cell>
          <cell r="N536">
            <v>9100.3110826320008</v>
          </cell>
          <cell r="O536">
            <v>9100.3110826320008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</row>
        <row r="537">
          <cell r="C537">
            <v>10130093</v>
          </cell>
          <cell r="D537" t="str">
            <v>Gomukh Sherpur Narsari East</v>
          </cell>
          <cell r="E537" t="str">
            <v>MPG</v>
          </cell>
          <cell r="F537" t="str">
            <v>Direct</v>
          </cell>
          <cell r="G537">
            <v>260.90000000000003</v>
          </cell>
          <cell r="H537">
            <v>10099.329999999998</v>
          </cell>
          <cell r="I537">
            <v>219.02999999999997</v>
          </cell>
          <cell r="J537">
            <v>8143.2926161884016</v>
          </cell>
          <cell r="K537">
            <v>54.26</v>
          </cell>
          <cell r="L537">
            <v>2081.4879384763799</v>
          </cell>
          <cell r="M537">
            <v>273.28999999999996</v>
          </cell>
          <cell r="N537">
            <v>10224.780554664781</v>
          </cell>
          <cell r="O537">
            <v>10099.329999999998</v>
          </cell>
          <cell r="P537">
            <v>0</v>
          </cell>
          <cell r="Q537">
            <v>56.335619557800001</v>
          </cell>
          <cell r="R537">
            <v>125.45055466478334</v>
          </cell>
          <cell r="S537">
            <v>0</v>
          </cell>
          <cell r="T537">
            <v>154.02354193548373</v>
          </cell>
        </row>
        <row r="538">
          <cell r="C538">
            <v>10130097</v>
          </cell>
          <cell r="D538" t="str">
            <v>Gomukh Karhatti</v>
          </cell>
          <cell r="E538" t="str">
            <v>MPG</v>
          </cell>
          <cell r="F538" t="str">
            <v>Direct</v>
          </cell>
          <cell r="G538">
            <v>72.599999999999994</v>
          </cell>
          <cell r="H538">
            <v>2837.7599999999998</v>
          </cell>
          <cell r="I538">
            <v>115</v>
          </cell>
          <cell r="J538">
            <v>4257.121572</v>
          </cell>
          <cell r="K538">
            <v>0</v>
          </cell>
          <cell r="L538">
            <v>0</v>
          </cell>
          <cell r="M538">
            <v>115</v>
          </cell>
          <cell r="N538">
            <v>4257.121572</v>
          </cell>
          <cell r="O538">
            <v>2837.7599999999998</v>
          </cell>
          <cell r="P538">
            <v>0</v>
          </cell>
          <cell r="Q538">
            <v>0</v>
          </cell>
          <cell r="R538">
            <v>1419.3615720000003</v>
          </cell>
          <cell r="S538">
            <v>0</v>
          </cell>
          <cell r="T538">
            <v>354.1768474576271</v>
          </cell>
        </row>
        <row r="539">
          <cell r="C539">
            <v>10130098</v>
          </cell>
          <cell r="D539" t="str">
            <v>Gomukh Gaopur Bhagwatpur</v>
          </cell>
          <cell r="E539" t="str">
            <v>MPG</v>
          </cell>
          <cell r="F539" t="str">
            <v>Direct</v>
          </cell>
          <cell r="G539">
            <v>712.1</v>
          </cell>
          <cell r="H539">
            <v>26386.87</v>
          </cell>
          <cell r="I539">
            <v>726.23</v>
          </cell>
          <cell r="J539">
            <v>26942.246011520401</v>
          </cell>
          <cell r="K539">
            <v>0.02</v>
          </cell>
          <cell r="L539">
            <v>0.57817584000000011</v>
          </cell>
          <cell r="M539">
            <v>726.25</v>
          </cell>
          <cell r="N539">
            <v>26942.824187360402</v>
          </cell>
          <cell r="O539">
            <v>26386.87</v>
          </cell>
          <cell r="P539">
            <v>0</v>
          </cell>
          <cell r="Q539">
            <v>0.57817584000000011</v>
          </cell>
          <cell r="R539">
            <v>555.95418736040301</v>
          </cell>
          <cell r="S539">
            <v>0</v>
          </cell>
          <cell r="T539">
            <v>601.97984516128952</v>
          </cell>
        </row>
        <row r="540">
          <cell r="C540">
            <v>10130100</v>
          </cell>
          <cell r="D540" t="str">
            <v>Gomukh Rajwara</v>
          </cell>
          <cell r="E540" t="str">
            <v>MPG</v>
          </cell>
          <cell r="F540" t="str">
            <v>Direct</v>
          </cell>
          <cell r="G540">
            <v>146.6</v>
          </cell>
          <cell r="H540">
            <v>5613.41</v>
          </cell>
          <cell r="I540">
            <v>145.34000000000003</v>
          </cell>
          <cell r="J540">
            <v>5575.3880112900006</v>
          </cell>
          <cell r="K540">
            <v>0.90000000000000013</v>
          </cell>
          <cell r="L540">
            <v>33.39695304</v>
          </cell>
          <cell r="M540">
            <v>146.24000000000004</v>
          </cell>
          <cell r="N540">
            <v>5608.7849643300005</v>
          </cell>
          <cell r="O540">
            <v>5608.7849643300005</v>
          </cell>
          <cell r="P540">
            <v>0</v>
          </cell>
          <cell r="Q540">
            <v>33.39695304</v>
          </cell>
          <cell r="R540">
            <v>0</v>
          </cell>
          <cell r="S540">
            <v>0</v>
          </cell>
          <cell r="T540">
            <v>0</v>
          </cell>
        </row>
        <row r="541">
          <cell r="C541">
            <v>10130101</v>
          </cell>
          <cell r="D541" t="str">
            <v>Gomukh Karhatiya Bujurg</v>
          </cell>
          <cell r="E541" t="str">
            <v>vlc</v>
          </cell>
          <cell r="F541" t="str">
            <v>Indirect</v>
          </cell>
          <cell r="G541">
            <v>51.3</v>
          </cell>
          <cell r="H541">
            <v>2221.8599999999997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2221.8599999999997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</row>
        <row r="542">
          <cell r="C542">
            <v>10130102</v>
          </cell>
          <cell r="D542" t="str">
            <v>GOMUKH NIKASPUR</v>
          </cell>
          <cell r="E542" t="str">
            <v>vlc</v>
          </cell>
          <cell r="F542" t="str">
            <v>Direct</v>
          </cell>
          <cell r="G542">
            <v>121.7</v>
          </cell>
          <cell r="H542">
            <v>3746.73</v>
          </cell>
          <cell r="I542">
            <v>121.7</v>
          </cell>
          <cell r="J542">
            <v>3791.8515066300001</v>
          </cell>
          <cell r="K542">
            <v>0</v>
          </cell>
          <cell r="L542">
            <v>0</v>
          </cell>
          <cell r="M542">
            <v>121.7</v>
          </cell>
          <cell r="N542">
            <v>3791.8515066300001</v>
          </cell>
          <cell r="O542">
            <v>3746.73</v>
          </cell>
          <cell r="P542">
            <v>0</v>
          </cell>
          <cell r="Q542">
            <v>0</v>
          </cell>
          <cell r="R542">
            <v>45.121506630000113</v>
          </cell>
          <cell r="S542">
            <v>0</v>
          </cell>
          <cell r="T542">
            <v>349.29921818181828</v>
          </cell>
        </row>
        <row r="543">
          <cell r="C543">
            <v>10130107</v>
          </cell>
          <cell r="D543" t="str">
            <v>Gomukh Morwa Mohanpur</v>
          </cell>
          <cell r="E543" t="str">
            <v>vlc</v>
          </cell>
          <cell r="F543" t="str">
            <v>Indirect</v>
          </cell>
          <cell r="G543">
            <v>346.8</v>
          </cell>
          <cell r="H543">
            <v>12280.33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12280.33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607.90865806451598</v>
          </cell>
        </row>
        <row r="544">
          <cell r="C544">
            <v>10130111</v>
          </cell>
          <cell r="D544" t="str">
            <v>Gomukh Gangapur East</v>
          </cell>
          <cell r="E544" t="str">
            <v>vlc</v>
          </cell>
          <cell r="F544" t="str">
            <v>Indirect</v>
          </cell>
          <cell r="G544">
            <v>1044</v>
          </cell>
          <cell r="H544">
            <v>29875.279999999999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29875.279999999999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873.20409677419241</v>
          </cell>
        </row>
        <row r="545">
          <cell r="C545">
            <v>10130114</v>
          </cell>
          <cell r="D545" t="str">
            <v>GOMUKH MAHINDWARA</v>
          </cell>
          <cell r="E545" t="str">
            <v>vlc</v>
          </cell>
          <cell r="F545" t="str">
            <v>Indirect</v>
          </cell>
          <cell r="G545">
            <v>422.40000000000009</v>
          </cell>
          <cell r="H545">
            <v>15246.2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15246.2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</row>
        <row r="546">
          <cell r="C546">
            <v>10130115</v>
          </cell>
          <cell r="D546" t="str">
            <v>GOMUKH MISHRAULIA</v>
          </cell>
          <cell r="E546" t="str">
            <v>MPG</v>
          </cell>
          <cell r="F546" t="str">
            <v>Direct</v>
          </cell>
          <cell r="G546">
            <v>380.6</v>
          </cell>
          <cell r="H546">
            <v>17647.230000000003</v>
          </cell>
          <cell r="I546">
            <v>427</v>
          </cell>
          <cell r="J546">
            <v>19390.166929169005</v>
          </cell>
          <cell r="K546">
            <v>0</v>
          </cell>
          <cell r="L546">
            <v>0</v>
          </cell>
          <cell r="M546">
            <v>427</v>
          </cell>
          <cell r="N546">
            <v>19390.166929169005</v>
          </cell>
          <cell r="O546">
            <v>17647.230000000003</v>
          </cell>
          <cell r="P546">
            <v>0</v>
          </cell>
          <cell r="Q546">
            <v>0</v>
          </cell>
          <cell r="R546">
            <v>1742.9369291690018</v>
          </cell>
          <cell r="S546">
            <v>0</v>
          </cell>
          <cell r="T546">
            <v>0</v>
          </cell>
        </row>
        <row r="547">
          <cell r="C547">
            <v>10130116</v>
          </cell>
          <cell r="D547" t="str">
            <v>GOMUKH CHAKIRDI</v>
          </cell>
          <cell r="E547" t="str">
            <v>MPG</v>
          </cell>
          <cell r="F547" t="str">
            <v>Direct</v>
          </cell>
          <cell r="G547">
            <v>89.9</v>
          </cell>
          <cell r="H547">
            <v>3192.65</v>
          </cell>
          <cell r="I547">
            <v>121.9</v>
          </cell>
          <cell r="J547">
            <v>4070.6692361280006</v>
          </cell>
          <cell r="K547">
            <v>0</v>
          </cell>
          <cell r="L547">
            <v>0</v>
          </cell>
          <cell r="M547">
            <v>121.9</v>
          </cell>
          <cell r="N547">
            <v>4070.6692361280006</v>
          </cell>
          <cell r="O547">
            <v>3192.65</v>
          </cell>
          <cell r="P547">
            <v>0</v>
          </cell>
          <cell r="Q547">
            <v>0</v>
          </cell>
          <cell r="R547">
            <v>878.01923612800056</v>
          </cell>
          <cell r="S547">
            <v>568</v>
          </cell>
          <cell r="T547">
            <v>244.51070322580648</v>
          </cell>
        </row>
        <row r="548">
          <cell r="C548">
            <v>10130117</v>
          </cell>
          <cell r="D548" t="str">
            <v>GOMUKH Bhagwatpur East</v>
          </cell>
          <cell r="E548" t="str">
            <v>MPG</v>
          </cell>
          <cell r="F548" t="str">
            <v>Direct</v>
          </cell>
          <cell r="G548">
            <v>354.90000000000003</v>
          </cell>
          <cell r="H548">
            <v>11717.220000000001</v>
          </cell>
          <cell r="I548">
            <v>362.5</v>
          </cell>
          <cell r="J548">
            <v>12875.534122572002</v>
          </cell>
          <cell r="K548">
            <v>0</v>
          </cell>
          <cell r="L548">
            <v>0</v>
          </cell>
          <cell r="M548">
            <v>362.5</v>
          </cell>
          <cell r="N548">
            <v>12875.534122572002</v>
          </cell>
          <cell r="O548">
            <v>11717.220000000001</v>
          </cell>
          <cell r="P548">
            <v>0</v>
          </cell>
          <cell r="Q548">
            <v>0</v>
          </cell>
          <cell r="R548">
            <v>1158.314122572001</v>
          </cell>
          <cell r="S548">
            <v>0</v>
          </cell>
          <cell r="T548">
            <v>0</v>
          </cell>
        </row>
        <row r="549">
          <cell r="C549">
            <v>10130118</v>
          </cell>
          <cell r="D549" t="str">
            <v>Gomukh Rupauli Buzurg</v>
          </cell>
          <cell r="E549" t="str">
            <v>vlc</v>
          </cell>
          <cell r="F549" t="str">
            <v>Indirect</v>
          </cell>
          <cell r="G549">
            <v>7099</v>
          </cell>
          <cell r="H549">
            <v>252697.99000000002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252697.99000000002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</row>
        <row r="550">
          <cell r="C550">
            <v>10130121</v>
          </cell>
          <cell r="D550" t="str">
            <v>GOMUKH BATHUA W-9</v>
          </cell>
          <cell r="E550" t="str">
            <v>vlc</v>
          </cell>
          <cell r="F550" t="str">
            <v>Indirect</v>
          </cell>
          <cell r="G550">
            <v>41.8</v>
          </cell>
          <cell r="H550">
            <v>1295.6600000000001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1295.6600000000001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</row>
        <row r="551">
          <cell r="C551">
            <v>10140001</v>
          </cell>
          <cell r="D551" t="str">
            <v>Dumri Purvi Tola</v>
          </cell>
          <cell r="E551" t="str">
            <v>MPG</v>
          </cell>
          <cell r="F551" t="str">
            <v>Direct</v>
          </cell>
          <cell r="G551">
            <v>35.5</v>
          </cell>
          <cell r="H551">
            <v>1157.6600000000001</v>
          </cell>
          <cell r="I551">
            <v>71.099999999999994</v>
          </cell>
          <cell r="J551">
            <v>2668.0813767475006</v>
          </cell>
          <cell r="K551">
            <v>0</v>
          </cell>
          <cell r="L551">
            <v>0</v>
          </cell>
          <cell r="M551">
            <v>71.099999999999994</v>
          </cell>
          <cell r="N551">
            <v>2668.0813767475006</v>
          </cell>
          <cell r="O551">
            <v>1157.6600000000001</v>
          </cell>
          <cell r="P551">
            <v>0</v>
          </cell>
          <cell r="Q551">
            <v>0</v>
          </cell>
          <cell r="R551">
            <v>1510.4213767475005</v>
          </cell>
          <cell r="S551">
            <v>0</v>
          </cell>
          <cell r="T551">
            <v>0</v>
          </cell>
        </row>
        <row r="552">
          <cell r="C552">
            <v>10140002</v>
          </cell>
          <cell r="D552" t="str">
            <v>Simri</v>
          </cell>
          <cell r="E552" t="str">
            <v>MPG</v>
          </cell>
          <cell r="F552" t="str">
            <v>Direct</v>
          </cell>
          <cell r="G552">
            <v>712.80000000000007</v>
          </cell>
          <cell r="H552">
            <v>26554.179999999997</v>
          </cell>
          <cell r="I552">
            <v>777.63</v>
          </cell>
          <cell r="J552">
            <v>29353.142639304002</v>
          </cell>
          <cell r="K552">
            <v>0</v>
          </cell>
          <cell r="L552">
            <v>0</v>
          </cell>
          <cell r="M552">
            <v>777.63</v>
          </cell>
          <cell r="N552">
            <v>29353.142639304002</v>
          </cell>
          <cell r="O552">
            <v>26554.179999999997</v>
          </cell>
          <cell r="P552">
            <v>0</v>
          </cell>
          <cell r="Q552">
            <v>0</v>
          </cell>
          <cell r="R552">
            <v>2798.9626393040053</v>
          </cell>
          <cell r="S552">
            <v>0</v>
          </cell>
          <cell r="T552">
            <v>0</v>
          </cell>
        </row>
        <row r="553">
          <cell r="C553">
            <v>10140003</v>
          </cell>
          <cell r="D553" t="str">
            <v>Sahiyar</v>
          </cell>
          <cell r="E553" t="str">
            <v>MPG</v>
          </cell>
          <cell r="F553" t="str">
            <v>Direct</v>
          </cell>
          <cell r="G553">
            <v>872.8</v>
          </cell>
          <cell r="H553">
            <v>33923.06</v>
          </cell>
          <cell r="I553">
            <v>799.29999999999984</v>
          </cell>
          <cell r="J553">
            <v>33602.906910088932</v>
          </cell>
          <cell r="K553">
            <v>29.500000000000004</v>
          </cell>
          <cell r="L553">
            <v>1162.4368615200001</v>
          </cell>
          <cell r="M553">
            <v>828.79999999999984</v>
          </cell>
          <cell r="N553">
            <v>34765.343771608932</v>
          </cell>
          <cell r="O553">
            <v>33923.06</v>
          </cell>
          <cell r="P553">
            <v>0</v>
          </cell>
          <cell r="Q553">
            <v>1162.4368615200001</v>
          </cell>
          <cell r="R553">
            <v>842.28377160893433</v>
          </cell>
          <cell r="S553">
            <v>0</v>
          </cell>
          <cell r="T553">
            <v>0</v>
          </cell>
        </row>
        <row r="554">
          <cell r="C554">
            <v>10140007</v>
          </cell>
          <cell r="D554" t="str">
            <v>ENGLISH DUBAULI</v>
          </cell>
          <cell r="E554" t="str">
            <v>MPG</v>
          </cell>
          <cell r="F554" t="str">
            <v>Direct</v>
          </cell>
          <cell r="G554">
            <v>661.30000000000007</v>
          </cell>
          <cell r="H554">
            <v>22982.59</v>
          </cell>
          <cell r="I554">
            <v>754.45999999999992</v>
          </cell>
          <cell r="J554">
            <v>29364.987474135247</v>
          </cell>
          <cell r="K554">
            <v>22.94</v>
          </cell>
          <cell r="L554">
            <v>1344.1196128976103</v>
          </cell>
          <cell r="M554">
            <v>777.4</v>
          </cell>
          <cell r="N554">
            <v>30709.107087032859</v>
          </cell>
          <cell r="O554">
            <v>22982.59</v>
          </cell>
          <cell r="P554">
            <v>0</v>
          </cell>
          <cell r="Q554">
            <v>1344.1196128976103</v>
          </cell>
          <cell r="R554">
            <v>7726.5170870328584</v>
          </cell>
          <cell r="S554">
            <v>0</v>
          </cell>
          <cell r="T554">
            <v>0</v>
          </cell>
        </row>
        <row r="555">
          <cell r="C555">
            <v>10140008</v>
          </cell>
          <cell r="D555" t="str">
            <v>Ramo Bariya</v>
          </cell>
          <cell r="E555" t="str">
            <v>MPG</v>
          </cell>
          <cell r="F555" t="str">
            <v>Direct</v>
          </cell>
          <cell r="G555">
            <v>931.4</v>
          </cell>
          <cell r="H555">
            <v>34109.440000000002</v>
          </cell>
          <cell r="I555">
            <v>920.08</v>
          </cell>
          <cell r="J555">
            <v>33673.769071668001</v>
          </cell>
          <cell r="K555">
            <v>9.86</v>
          </cell>
          <cell r="L555">
            <v>425.04145167330006</v>
          </cell>
          <cell r="M555">
            <v>929.94</v>
          </cell>
          <cell r="N555">
            <v>34098.810523341301</v>
          </cell>
          <cell r="O555">
            <v>34098.810523341301</v>
          </cell>
          <cell r="P555">
            <v>0</v>
          </cell>
          <cell r="Q555">
            <v>425.04145167330006</v>
          </cell>
          <cell r="R555">
            <v>0</v>
          </cell>
          <cell r="S555">
            <v>0</v>
          </cell>
          <cell r="T555">
            <v>0</v>
          </cell>
        </row>
        <row r="556">
          <cell r="C556">
            <v>10140009</v>
          </cell>
          <cell r="D556" t="str">
            <v>HITAN PARARI</v>
          </cell>
          <cell r="E556" t="str">
            <v>MPG</v>
          </cell>
          <cell r="F556" t="str">
            <v>Direct</v>
          </cell>
          <cell r="G556">
            <v>534.69999999999993</v>
          </cell>
          <cell r="H556">
            <v>19830.779999999995</v>
          </cell>
          <cell r="I556">
            <v>541.41999999999996</v>
          </cell>
          <cell r="J556">
            <v>20895.4396064502</v>
          </cell>
          <cell r="K556">
            <v>0</v>
          </cell>
          <cell r="L556">
            <v>0</v>
          </cell>
          <cell r="M556">
            <v>541.41999999999996</v>
          </cell>
          <cell r="N556">
            <v>20895.4396064502</v>
          </cell>
          <cell r="O556">
            <v>19830.779999999995</v>
          </cell>
          <cell r="P556">
            <v>0</v>
          </cell>
          <cell r="Q556">
            <v>0</v>
          </cell>
          <cell r="R556">
            <v>1064.6596064502046</v>
          </cell>
          <cell r="S556">
            <v>0</v>
          </cell>
          <cell r="T556">
            <v>0</v>
          </cell>
        </row>
        <row r="557">
          <cell r="C557">
            <v>10140012</v>
          </cell>
          <cell r="D557" t="str">
            <v>Gangauli</v>
          </cell>
          <cell r="E557" t="str">
            <v>MPG</v>
          </cell>
          <cell r="F557" t="str">
            <v>Direct</v>
          </cell>
          <cell r="G557">
            <v>423.50000000000006</v>
          </cell>
          <cell r="H557">
            <v>17359.079999999998</v>
          </cell>
          <cell r="I557">
            <v>421.90000000000003</v>
          </cell>
          <cell r="J557">
            <v>17845.893107307198</v>
          </cell>
          <cell r="K557">
            <v>2.6</v>
          </cell>
          <cell r="L557">
            <v>93.141781920000014</v>
          </cell>
          <cell r="M557">
            <v>424.50000000000006</v>
          </cell>
          <cell r="N557">
            <v>17939.034889227198</v>
          </cell>
          <cell r="O557">
            <v>17359.079999999998</v>
          </cell>
          <cell r="P557">
            <v>0</v>
          </cell>
          <cell r="Q557">
            <v>93.141781920000014</v>
          </cell>
          <cell r="R557">
            <v>579.9548892271996</v>
          </cell>
          <cell r="S557">
            <v>1300</v>
          </cell>
          <cell r="T557">
            <v>0</v>
          </cell>
        </row>
        <row r="558">
          <cell r="C558">
            <v>10140013</v>
          </cell>
          <cell r="D558" t="str">
            <v>MATHURA DERA</v>
          </cell>
          <cell r="E558" t="str">
            <v>MPG</v>
          </cell>
          <cell r="F558" t="str">
            <v>Direct</v>
          </cell>
          <cell r="G558">
            <v>22.5</v>
          </cell>
          <cell r="H558">
            <v>818.3599999999999</v>
          </cell>
          <cell r="I558">
            <v>24</v>
          </cell>
          <cell r="J558">
            <v>871.22692800000016</v>
          </cell>
          <cell r="K558">
            <v>1</v>
          </cell>
          <cell r="L558">
            <v>39.073122000000005</v>
          </cell>
          <cell r="M558">
            <v>25</v>
          </cell>
          <cell r="N558">
            <v>910.30005000000017</v>
          </cell>
          <cell r="O558">
            <v>818.3599999999999</v>
          </cell>
          <cell r="P558">
            <v>0</v>
          </cell>
          <cell r="Q558">
            <v>39.073122000000005</v>
          </cell>
          <cell r="R558">
            <v>91.940050000000269</v>
          </cell>
          <cell r="S558">
            <v>0</v>
          </cell>
          <cell r="T558">
            <v>0</v>
          </cell>
        </row>
        <row r="559">
          <cell r="C559">
            <v>10140018</v>
          </cell>
          <cell r="D559" t="str">
            <v>NANDAN</v>
          </cell>
          <cell r="E559" t="str">
            <v>MPG</v>
          </cell>
          <cell r="F559" t="str">
            <v>Direct</v>
          </cell>
          <cell r="G559">
            <v>619.19999999999993</v>
          </cell>
          <cell r="H559">
            <v>25568.549999999988</v>
          </cell>
          <cell r="I559">
            <v>618</v>
          </cell>
          <cell r="J559">
            <v>25533.965080800001</v>
          </cell>
          <cell r="K559">
            <v>0</v>
          </cell>
          <cell r="L559">
            <v>0</v>
          </cell>
          <cell r="M559">
            <v>618</v>
          </cell>
          <cell r="N559">
            <v>25533.965080800001</v>
          </cell>
          <cell r="O559">
            <v>25533.965080800001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</row>
        <row r="560">
          <cell r="C560">
            <v>10140020</v>
          </cell>
          <cell r="D560" t="str">
            <v>RAJAPUR</v>
          </cell>
          <cell r="E560" t="str">
            <v>MPG</v>
          </cell>
          <cell r="F560" t="str">
            <v>Direct</v>
          </cell>
          <cell r="G560">
            <v>48.1</v>
          </cell>
          <cell r="H560">
            <v>1632.1000000000001</v>
          </cell>
          <cell r="I560">
            <v>40.6</v>
          </cell>
          <cell r="J560">
            <v>1600.9926372</v>
          </cell>
          <cell r="K560">
            <v>0</v>
          </cell>
          <cell r="L560">
            <v>0</v>
          </cell>
          <cell r="M560">
            <v>40.6</v>
          </cell>
          <cell r="N560">
            <v>1600.9926372</v>
          </cell>
          <cell r="O560">
            <v>1600.9926372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</row>
        <row r="561">
          <cell r="C561">
            <v>10140022</v>
          </cell>
          <cell r="D561" t="str">
            <v>HEMDAPUR</v>
          </cell>
          <cell r="E561" t="str">
            <v>MPG</v>
          </cell>
          <cell r="F561" t="str">
            <v>Direct</v>
          </cell>
          <cell r="G561">
            <v>128.20000000000002</v>
          </cell>
          <cell r="H561">
            <v>4584.3999999999996</v>
          </cell>
          <cell r="I561">
            <v>145</v>
          </cell>
          <cell r="J561">
            <v>5428.1319444000001</v>
          </cell>
          <cell r="K561">
            <v>0</v>
          </cell>
          <cell r="L561">
            <v>0</v>
          </cell>
          <cell r="M561">
            <v>145</v>
          </cell>
          <cell r="N561">
            <v>5428.1319444000001</v>
          </cell>
          <cell r="O561">
            <v>4584.3999999999996</v>
          </cell>
          <cell r="P561">
            <v>0</v>
          </cell>
          <cell r="Q561">
            <v>0</v>
          </cell>
          <cell r="R561">
            <v>843.73194440000043</v>
          </cell>
          <cell r="S561">
            <v>0</v>
          </cell>
          <cell r="T561">
            <v>0</v>
          </cell>
        </row>
        <row r="562">
          <cell r="C562">
            <v>10140032</v>
          </cell>
          <cell r="D562" t="str">
            <v>Chaugain</v>
          </cell>
          <cell r="E562" t="str">
            <v>MPG</v>
          </cell>
          <cell r="F562" t="str">
            <v>Direct</v>
          </cell>
          <cell r="G562">
            <v>23.1</v>
          </cell>
          <cell r="H562">
            <v>834.99</v>
          </cell>
          <cell r="I562">
            <v>23</v>
          </cell>
          <cell r="J562">
            <v>831.8882880000001</v>
          </cell>
          <cell r="K562">
            <v>0</v>
          </cell>
          <cell r="L562">
            <v>0</v>
          </cell>
          <cell r="M562">
            <v>23</v>
          </cell>
          <cell r="N562">
            <v>831.8882880000001</v>
          </cell>
          <cell r="O562">
            <v>831.8882880000001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</row>
        <row r="563">
          <cell r="C563">
            <v>10140033</v>
          </cell>
          <cell r="D563" t="str">
            <v>Akalupur</v>
          </cell>
          <cell r="E563" t="str">
            <v>MPG</v>
          </cell>
          <cell r="F563" t="str">
            <v>Direct</v>
          </cell>
          <cell r="G563">
            <v>172.39999999999998</v>
          </cell>
          <cell r="H563">
            <v>5774.93</v>
          </cell>
          <cell r="I563">
            <v>173</v>
          </cell>
          <cell r="J563">
            <v>5709.1826880000008</v>
          </cell>
          <cell r="K563">
            <v>0</v>
          </cell>
          <cell r="L563">
            <v>0</v>
          </cell>
          <cell r="M563">
            <v>173</v>
          </cell>
          <cell r="N563">
            <v>5709.1826880000008</v>
          </cell>
          <cell r="O563">
            <v>5709.1826880000008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</row>
        <row r="564">
          <cell r="C564">
            <v>10140034</v>
          </cell>
          <cell r="D564" t="str">
            <v>Chhotka Sihanpura</v>
          </cell>
          <cell r="E564" t="str">
            <v>MPG</v>
          </cell>
          <cell r="F564" t="str">
            <v>Direct</v>
          </cell>
          <cell r="G564">
            <v>374.80000000000007</v>
          </cell>
          <cell r="H564">
            <v>12293.55</v>
          </cell>
          <cell r="I564">
            <v>385.19999999999993</v>
          </cell>
          <cell r="J564">
            <v>14567.08500227976</v>
          </cell>
          <cell r="K564">
            <v>6.8</v>
          </cell>
          <cell r="L564">
            <v>241.70305460399999</v>
          </cell>
          <cell r="M564">
            <v>391.99999999999994</v>
          </cell>
          <cell r="N564">
            <v>14808.788056883761</v>
          </cell>
          <cell r="O564">
            <v>12293.55</v>
          </cell>
          <cell r="P564">
            <v>0</v>
          </cell>
          <cell r="Q564">
            <v>241.70305460399999</v>
          </cell>
          <cell r="R564">
            <v>2515.2380568837616</v>
          </cell>
          <cell r="S564">
            <v>0</v>
          </cell>
          <cell r="T564">
            <v>0</v>
          </cell>
        </row>
        <row r="565">
          <cell r="C565">
            <v>10140039</v>
          </cell>
          <cell r="D565" t="str">
            <v>Dharauli</v>
          </cell>
          <cell r="E565" t="str">
            <v>MPG</v>
          </cell>
          <cell r="F565" t="str">
            <v>Direct</v>
          </cell>
          <cell r="G565">
            <v>283.2</v>
          </cell>
          <cell r="H565">
            <v>11079.630000000001</v>
          </cell>
          <cell r="I565">
            <v>277.8</v>
          </cell>
          <cell r="J565">
            <v>10490.598514940701</v>
          </cell>
          <cell r="K565">
            <v>5.0999999999999996</v>
          </cell>
          <cell r="L565">
            <v>189.18770112000004</v>
          </cell>
          <cell r="M565">
            <v>282.90000000000003</v>
          </cell>
          <cell r="N565">
            <v>10679.7862160607</v>
          </cell>
          <cell r="O565">
            <v>10679.7862160607</v>
          </cell>
          <cell r="P565">
            <v>0</v>
          </cell>
          <cell r="Q565">
            <v>189.18770112000004</v>
          </cell>
          <cell r="R565">
            <v>0</v>
          </cell>
          <cell r="S565">
            <v>0</v>
          </cell>
          <cell r="T565">
            <v>0</v>
          </cell>
        </row>
        <row r="566">
          <cell r="C566">
            <v>10140043</v>
          </cell>
          <cell r="D566" t="str">
            <v>Kaithi</v>
          </cell>
          <cell r="E566" t="str">
            <v>MPG</v>
          </cell>
          <cell r="F566" t="str">
            <v>Direct</v>
          </cell>
          <cell r="G566">
            <v>290.8</v>
          </cell>
          <cell r="H566">
            <v>9678.57</v>
          </cell>
          <cell r="I566">
            <v>289</v>
          </cell>
          <cell r="J566">
            <v>9636.3051840000026</v>
          </cell>
          <cell r="K566">
            <v>0</v>
          </cell>
          <cell r="L566">
            <v>0</v>
          </cell>
          <cell r="M566">
            <v>289</v>
          </cell>
          <cell r="N566">
            <v>9636.3051840000026</v>
          </cell>
          <cell r="O566">
            <v>9636.3051840000026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</row>
        <row r="567">
          <cell r="C567">
            <v>10140045</v>
          </cell>
          <cell r="D567" t="str">
            <v>Rangi Dera</v>
          </cell>
          <cell r="E567" t="str">
            <v>MPG</v>
          </cell>
          <cell r="F567" t="str">
            <v>Direct</v>
          </cell>
          <cell r="G567">
            <v>201.99999999999997</v>
          </cell>
          <cell r="H567">
            <v>7192.3099999999995</v>
          </cell>
          <cell r="I567">
            <v>202</v>
          </cell>
          <cell r="J567">
            <v>7146.165312000001</v>
          </cell>
          <cell r="K567">
            <v>0</v>
          </cell>
          <cell r="L567">
            <v>0</v>
          </cell>
          <cell r="M567">
            <v>202</v>
          </cell>
          <cell r="N567">
            <v>7146.165312000001</v>
          </cell>
          <cell r="O567">
            <v>7146.165312000001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</row>
        <row r="568">
          <cell r="C568">
            <v>10140047</v>
          </cell>
          <cell r="D568" t="str">
            <v>Dubki</v>
          </cell>
          <cell r="E568" t="str">
            <v>MPG</v>
          </cell>
          <cell r="F568" t="str">
            <v>Direct</v>
          </cell>
          <cell r="G568">
            <v>84.7</v>
          </cell>
          <cell r="H568">
            <v>3762.33</v>
          </cell>
          <cell r="I568">
            <v>85.06</v>
          </cell>
          <cell r="J568">
            <v>4208.6958101427999</v>
          </cell>
          <cell r="K568">
            <v>0.35</v>
          </cell>
          <cell r="L568">
            <v>17.839951651340002</v>
          </cell>
          <cell r="M568">
            <v>85.41</v>
          </cell>
          <cell r="N568">
            <v>4226.5357617941399</v>
          </cell>
          <cell r="O568">
            <v>3762.33</v>
          </cell>
          <cell r="P568">
            <v>0</v>
          </cell>
          <cell r="Q568">
            <v>17.839951651340002</v>
          </cell>
          <cell r="R568">
            <v>464.20576179414002</v>
          </cell>
          <cell r="S568">
            <v>0</v>
          </cell>
          <cell r="T568">
            <v>0</v>
          </cell>
        </row>
        <row r="569">
          <cell r="C569">
            <v>10140054</v>
          </cell>
          <cell r="D569" t="str">
            <v>Soan</v>
          </cell>
          <cell r="E569" t="str">
            <v>MPG</v>
          </cell>
          <cell r="F569" t="str">
            <v>Direct</v>
          </cell>
          <cell r="G569">
            <v>506.5</v>
          </cell>
          <cell r="H569">
            <v>19919.169999999998</v>
          </cell>
          <cell r="I569">
            <v>500.84000000000003</v>
          </cell>
          <cell r="J569">
            <v>20000.521366263278</v>
          </cell>
          <cell r="K569">
            <v>5.370000000000001</v>
          </cell>
          <cell r="L569">
            <v>223.51466485286201</v>
          </cell>
          <cell r="M569">
            <v>506.21000000000004</v>
          </cell>
          <cell r="N569">
            <v>20224.036031116138</v>
          </cell>
          <cell r="O569">
            <v>19919.169999999998</v>
          </cell>
          <cell r="P569">
            <v>0</v>
          </cell>
          <cell r="Q569">
            <v>223.51466485286201</v>
          </cell>
          <cell r="R569">
            <v>304.86603111614022</v>
          </cell>
          <cell r="S569">
            <v>0</v>
          </cell>
          <cell r="T569">
            <v>0</v>
          </cell>
        </row>
        <row r="570">
          <cell r="C570">
            <v>10140055</v>
          </cell>
          <cell r="D570" t="str">
            <v xml:space="preserve">PURANA BHOJPUR                                                                                      </v>
          </cell>
          <cell r="E570" t="str">
            <v>MPG</v>
          </cell>
          <cell r="F570" t="str">
            <v>Direct</v>
          </cell>
          <cell r="G570">
            <v>365.8</v>
          </cell>
          <cell r="H570">
            <v>13758.280000000002</v>
          </cell>
          <cell r="I570">
            <v>366</v>
          </cell>
          <cell r="J570">
            <v>13721.004158400001</v>
          </cell>
          <cell r="K570">
            <v>0</v>
          </cell>
          <cell r="L570">
            <v>0</v>
          </cell>
          <cell r="M570">
            <v>366</v>
          </cell>
          <cell r="N570">
            <v>13721.004158400001</v>
          </cell>
          <cell r="O570">
            <v>13721.004158400001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</row>
        <row r="571">
          <cell r="C571">
            <v>10140066</v>
          </cell>
          <cell r="D571" t="str">
            <v>Gomukh Kant</v>
          </cell>
          <cell r="E571" t="str">
            <v>MPG</v>
          </cell>
          <cell r="F571" t="str">
            <v>Direct</v>
          </cell>
          <cell r="G571">
            <v>121.60000000000001</v>
          </cell>
          <cell r="H571">
            <v>5438.79</v>
          </cell>
          <cell r="I571">
            <v>123.9</v>
          </cell>
          <cell r="J571">
            <v>7313.34393367132</v>
          </cell>
          <cell r="K571">
            <v>0.5</v>
          </cell>
          <cell r="L571">
            <v>26.994905938960002</v>
          </cell>
          <cell r="M571">
            <v>124.4</v>
          </cell>
          <cell r="N571">
            <v>7340.33883961028</v>
          </cell>
          <cell r="O571">
            <v>5438.79</v>
          </cell>
          <cell r="P571">
            <v>0</v>
          </cell>
          <cell r="Q571">
            <v>26.994905938960002</v>
          </cell>
          <cell r="R571">
            <v>1901.5488396102801</v>
          </cell>
          <cell r="S571">
            <v>0</v>
          </cell>
          <cell r="T571">
            <v>0</v>
          </cell>
        </row>
        <row r="572">
          <cell r="C572">
            <v>10140068</v>
          </cell>
          <cell r="D572" t="str">
            <v>Gomukh Naat</v>
          </cell>
          <cell r="E572" t="str">
            <v>MPG</v>
          </cell>
          <cell r="F572" t="str">
            <v>Direct</v>
          </cell>
          <cell r="G572">
            <v>212.79999999999998</v>
          </cell>
          <cell r="H572">
            <v>8228.4499999999989</v>
          </cell>
          <cell r="I572">
            <v>222.32</v>
          </cell>
          <cell r="J572">
            <v>8570.0561590677025</v>
          </cell>
          <cell r="K572">
            <v>0</v>
          </cell>
          <cell r="L572">
            <v>0</v>
          </cell>
          <cell r="M572">
            <v>222.32</v>
          </cell>
          <cell r="N572">
            <v>8570.0561590677025</v>
          </cell>
          <cell r="O572">
            <v>8228.4499999999989</v>
          </cell>
          <cell r="P572">
            <v>0</v>
          </cell>
          <cell r="Q572">
            <v>0</v>
          </cell>
          <cell r="R572">
            <v>341.60615906770363</v>
          </cell>
          <cell r="S572">
            <v>0</v>
          </cell>
          <cell r="T572">
            <v>0</v>
          </cell>
        </row>
        <row r="573">
          <cell r="C573">
            <v>10140069</v>
          </cell>
          <cell r="D573" t="str">
            <v>Gomukh Raghunathpur</v>
          </cell>
          <cell r="E573" t="str">
            <v>MPG</v>
          </cell>
          <cell r="F573" t="str">
            <v>Direct</v>
          </cell>
          <cell r="G573">
            <v>452.40000000000003</v>
          </cell>
          <cell r="H573">
            <v>16865.640000000003</v>
          </cell>
          <cell r="I573">
            <v>454.3</v>
          </cell>
          <cell r="J573">
            <v>16624.281703290002</v>
          </cell>
          <cell r="K573">
            <v>7</v>
          </cell>
          <cell r="L573">
            <v>244.60343820000006</v>
          </cell>
          <cell r="M573">
            <v>461.3</v>
          </cell>
          <cell r="N573">
            <v>16868.885141490002</v>
          </cell>
          <cell r="O573">
            <v>16865.640000000003</v>
          </cell>
          <cell r="P573">
            <v>0</v>
          </cell>
          <cell r="Q573">
            <v>244.60343820000006</v>
          </cell>
          <cell r="R573">
            <v>3.2451414899987867</v>
          </cell>
          <cell r="S573">
            <v>0</v>
          </cell>
          <cell r="T573">
            <v>0</v>
          </cell>
        </row>
        <row r="574">
          <cell r="C574">
            <v>10140071</v>
          </cell>
          <cell r="D574" t="str">
            <v>Gomukh Tilakraika Hata 1 - Manoj</v>
          </cell>
          <cell r="E574" t="str">
            <v>vlc</v>
          </cell>
          <cell r="F574" t="str">
            <v>Indirect</v>
          </cell>
          <cell r="G574">
            <v>926.09999999999991</v>
          </cell>
          <cell r="H574">
            <v>30685.489999999998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30685.489999999998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</row>
        <row r="575">
          <cell r="C575">
            <v>10140083</v>
          </cell>
          <cell r="D575" t="str">
            <v>Gomukh Murar</v>
          </cell>
          <cell r="E575" t="str">
            <v>MPG</v>
          </cell>
          <cell r="F575" t="str">
            <v>Direct</v>
          </cell>
          <cell r="G575">
            <v>245.4</v>
          </cell>
          <cell r="H575">
            <v>10590.100000000002</v>
          </cell>
          <cell r="I575">
            <v>246.39999999999998</v>
          </cell>
          <cell r="J575">
            <v>10820.311952349201</v>
          </cell>
          <cell r="K575">
            <v>25.5</v>
          </cell>
          <cell r="L575">
            <v>1154.4399347149001</v>
          </cell>
          <cell r="M575">
            <v>271.89999999999998</v>
          </cell>
          <cell r="N575">
            <v>11974.7518870641</v>
          </cell>
          <cell r="O575">
            <v>10590.100000000002</v>
          </cell>
          <cell r="P575">
            <v>0</v>
          </cell>
          <cell r="Q575">
            <v>141.9141625181</v>
          </cell>
          <cell r="R575">
            <v>1384.6518870640975</v>
          </cell>
          <cell r="S575">
            <v>0</v>
          </cell>
          <cell r="T575">
            <v>0</v>
          </cell>
        </row>
        <row r="576">
          <cell r="C576">
            <v>10140087</v>
          </cell>
          <cell r="D576" t="str">
            <v xml:space="preserve">Gomukh Churamanpur                                                                                  </v>
          </cell>
          <cell r="E576" t="str">
            <v>MPG</v>
          </cell>
          <cell r="F576" t="str">
            <v>Direct</v>
          </cell>
          <cell r="G576">
            <v>247.10000000000002</v>
          </cell>
          <cell r="H576">
            <v>9485.4200000000019</v>
          </cell>
          <cell r="I576">
            <v>249.51</v>
          </cell>
          <cell r="J576">
            <v>9401.6565094354319</v>
          </cell>
          <cell r="K576">
            <v>0</v>
          </cell>
          <cell r="L576">
            <v>0</v>
          </cell>
          <cell r="M576">
            <v>249.51</v>
          </cell>
          <cell r="N576">
            <v>9401.6565094354319</v>
          </cell>
          <cell r="O576">
            <v>9401.6565094354319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</row>
        <row r="577">
          <cell r="C577">
            <v>10140095</v>
          </cell>
          <cell r="D577" t="str">
            <v>Gomukh Ekauni Karuwaj</v>
          </cell>
          <cell r="E577" t="str">
            <v>MPG</v>
          </cell>
          <cell r="F577" t="str">
            <v>Direct</v>
          </cell>
          <cell r="G577">
            <v>22.1</v>
          </cell>
          <cell r="H577">
            <v>783.72</v>
          </cell>
          <cell r="I577">
            <v>12</v>
          </cell>
          <cell r="J577">
            <v>443.53267199999999</v>
          </cell>
          <cell r="K577">
            <v>34.5</v>
          </cell>
          <cell r="L577">
            <v>1316.7321030468001</v>
          </cell>
          <cell r="M577">
            <v>46.5</v>
          </cell>
          <cell r="N577">
            <v>1760.2647750468002</v>
          </cell>
          <cell r="O577">
            <v>783.72</v>
          </cell>
          <cell r="P577">
            <v>0</v>
          </cell>
          <cell r="Q577">
            <v>0</v>
          </cell>
          <cell r="R577">
            <v>976.54477504680017</v>
          </cell>
          <cell r="S577">
            <v>0</v>
          </cell>
          <cell r="T577">
            <v>0</v>
          </cell>
        </row>
        <row r="578">
          <cell r="C578">
            <v>10140098</v>
          </cell>
          <cell r="D578" t="str">
            <v>Kulharia Agriculture Producer Company Limited</v>
          </cell>
          <cell r="E578" t="str">
            <v>MPG</v>
          </cell>
          <cell r="F578" t="str">
            <v>Direct</v>
          </cell>
          <cell r="G578">
            <v>1507.3</v>
          </cell>
          <cell r="H578">
            <v>58421.740000000005</v>
          </cell>
          <cell r="I578">
            <v>1463.2599999999998</v>
          </cell>
          <cell r="J578">
            <v>57923.312508643095</v>
          </cell>
          <cell r="K578">
            <v>12.879999999999997</v>
          </cell>
          <cell r="L578">
            <v>491.89072521600002</v>
          </cell>
          <cell r="M578">
            <v>1476.1399999999999</v>
          </cell>
          <cell r="N578">
            <v>58415.203233859094</v>
          </cell>
          <cell r="O578">
            <v>58415.203233859094</v>
          </cell>
          <cell r="P578">
            <v>0</v>
          </cell>
          <cell r="Q578">
            <v>491.89072521600002</v>
          </cell>
          <cell r="R578">
            <v>0</v>
          </cell>
          <cell r="S578">
            <v>15818</v>
          </cell>
          <cell r="T578">
            <v>0</v>
          </cell>
        </row>
        <row r="579">
          <cell r="C579">
            <v>10140099</v>
          </cell>
          <cell r="D579" t="str">
            <v>Gomukh Dhakaich</v>
          </cell>
          <cell r="E579" t="str">
            <v>MPG</v>
          </cell>
          <cell r="F579" t="str">
            <v>Direct</v>
          </cell>
          <cell r="G579">
            <v>202.2</v>
          </cell>
          <cell r="H579">
            <v>7110.12</v>
          </cell>
          <cell r="I579">
            <v>315.13000000000005</v>
          </cell>
          <cell r="J579">
            <v>10687.325945630402</v>
          </cell>
          <cell r="K579">
            <v>0</v>
          </cell>
          <cell r="L579">
            <v>0</v>
          </cell>
          <cell r="M579">
            <v>315.13000000000005</v>
          </cell>
          <cell r="N579">
            <v>10687.325945630402</v>
          </cell>
          <cell r="O579">
            <v>7110.12</v>
          </cell>
          <cell r="P579">
            <v>0</v>
          </cell>
          <cell r="Q579">
            <v>0</v>
          </cell>
          <cell r="R579">
            <v>3577.2059456304023</v>
          </cell>
          <cell r="S579">
            <v>0</v>
          </cell>
          <cell r="T579">
            <v>0</v>
          </cell>
        </row>
        <row r="580">
          <cell r="C580">
            <v>10140109</v>
          </cell>
          <cell r="D580" t="str">
            <v>Gomukh Kajipura Chandan</v>
          </cell>
          <cell r="E580" t="str">
            <v>vlc</v>
          </cell>
          <cell r="F580" t="str">
            <v>Indirect</v>
          </cell>
          <cell r="G580">
            <v>60.2</v>
          </cell>
          <cell r="H580">
            <v>2173.25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2173.25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</row>
        <row r="581">
          <cell r="C581">
            <v>10140120</v>
          </cell>
          <cell r="D581" t="str">
            <v>Gomukh Sikraul Lakh</v>
          </cell>
          <cell r="E581" t="str">
            <v>MPG</v>
          </cell>
          <cell r="F581" t="str">
            <v>Direct</v>
          </cell>
          <cell r="G581">
            <v>370.6</v>
          </cell>
          <cell r="H581">
            <v>14400.06</v>
          </cell>
          <cell r="I581">
            <v>366.15999999999997</v>
          </cell>
          <cell r="J581">
            <v>14215.000877352002</v>
          </cell>
          <cell r="K581">
            <v>4.9000000000000004</v>
          </cell>
          <cell r="L581">
            <v>183.56959961999999</v>
          </cell>
          <cell r="M581">
            <v>371.05999999999995</v>
          </cell>
          <cell r="N581">
            <v>14398.570476972001</v>
          </cell>
          <cell r="O581">
            <v>14398.570476972001</v>
          </cell>
          <cell r="P581">
            <v>0</v>
          </cell>
          <cell r="Q581">
            <v>183.56959961999999</v>
          </cell>
          <cell r="R581">
            <v>0</v>
          </cell>
          <cell r="S581">
            <v>0</v>
          </cell>
          <cell r="T581">
            <v>0</v>
          </cell>
        </row>
        <row r="582">
          <cell r="C582">
            <v>10140126</v>
          </cell>
          <cell r="D582" t="str">
            <v>Gomukh Dafadihari</v>
          </cell>
          <cell r="E582" t="str">
            <v>MPG</v>
          </cell>
          <cell r="F582" t="str">
            <v>Direct</v>
          </cell>
          <cell r="G582">
            <v>130.69999999999999</v>
          </cell>
          <cell r="H582">
            <v>4734.97</v>
          </cell>
          <cell r="I582">
            <v>136.96</v>
          </cell>
          <cell r="J582">
            <v>5128.4004934025397</v>
          </cell>
          <cell r="K582">
            <v>2.1999999999999997</v>
          </cell>
          <cell r="L582">
            <v>86.831981279999994</v>
          </cell>
          <cell r="M582">
            <v>139.16</v>
          </cell>
          <cell r="N582">
            <v>5215.2324746825398</v>
          </cell>
          <cell r="O582">
            <v>4734.97</v>
          </cell>
          <cell r="P582">
            <v>0</v>
          </cell>
          <cell r="Q582">
            <v>86.831981279999994</v>
          </cell>
          <cell r="R582">
            <v>480.26247468253951</v>
          </cell>
          <cell r="S582">
            <v>0</v>
          </cell>
          <cell r="T582">
            <v>0</v>
          </cell>
        </row>
        <row r="583">
          <cell r="C583">
            <v>10140129</v>
          </cell>
          <cell r="D583" t="str">
            <v>Gomukh Paharpur</v>
          </cell>
          <cell r="E583" t="str">
            <v>MPG</v>
          </cell>
          <cell r="F583" t="str">
            <v>Direct</v>
          </cell>
          <cell r="G583">
            <v>158.49999999999997</v>
          </cell>
          <cell r="H583">
            <v>5492.1100000000006</v>
          </cell>
          <cell r="I583">
            <v>158.5</v>
          </cell>
          <cell r="J583">
            <v>5481.7313760000006</v>
          </cell>
          <cell r="K583">
            <v>0</v>
          </cell>
          <cell r="L583">
            <v>0</v>
          </cell>
          <cell r="M583">
            <v>158.5</v>
          </cell>
          <cell r="N583">
            <v>5481.7313760000006</v>
          </cell>
          <cell r="O583">
            <v>5481.7313760000006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</row>
        <row r="584">
          <cell r="C584">
            <v>10140131</v>
          </cell>
          <cell r="D584" t="str">
            <v>Gomukh Basaon Kalan</v>
          </cell>
          <cell r="E584" t="str">
            <v>MPG</v>
          </cell>
          <cell r="F584" t="str">
            <v>Direct</v>
          </cell>
          <cell r="G584">
            <v>239.1</v>
          </cell>
          <cell r="H584">
            <v>8392.7099999999991</v>
          </cell>
          <cell r="I584">
            <v>217.60000000000002</v>
          </cell>
          <cell r="J584">
            <v>8533.4744761200018</v>
          </cell>
          <cell r="K584">
            <v>0</v>
          </cell>
          <cell r="L584">
            <v>0</v>
          </cell>
          <cell r="M584">
            <v>217.60000000000002</v>
          </cell>
          <cell r="N584">
            <v>8533.4744761200018</v>
          </cell>
          <cell r="O584">
            <v>8392.7099999999991</v>
          </cell>
          <cell r="P584">
            <v>0</v>
          </cell>
          <cell r="Q584">
            <v>0</v>
          </cell>
          <cell r="R584">
            <v>140.76447612000266</v>
          </cell>
          <cell r="S584">
            <v>0</v>
          </cell>
          <cell r="T584">
            <v>0</v>
          </cell>
        </row>
        <row r="585">
          <cell r="C585">
            <v>10140132</v>
          </cell>
          <cell r="D585" t="str">
            <v>Gomukh Mangolpur</v>
          </cell>
          <cell r="E585" t="str">
            <v>MPG</v>
          </cell>
          <cell r="F585" t="str">
            <v>Direct</v>
          </cell>
          <cell r="G585">
            <v>265.10000000000002</v>
          </cell>
          <cell r="H585">
            <v>9162.0800000000017</v>
          </cell>
          <cell r="I585">
            <v>264.10000000000002</v>
          </cell>
          <cell r="J585">
            <v>9269.6095051918201</v>
          </cell>
          <cell r="K585">
            <v>4.5999999999999996</v>
          </cell>
          <cell r="L585">
            <v>154.95976188000003</v>
          </cell>
          <cell r="M585">
            <v>268.70000000000005</v>
          </cell>
          <cell r="N585">
            <v>9424.5692670718199</v>
          </cell>
          <cell r="O585">
            <v>9162.0800000000017</v>
          </cell>
          <cell r="P585">
            <v>0</v>
          </cell>
          <cell r="Q585">
            <v>154.95976188000003</v>
          </cell>
          <cell r="R585">
            <v>262.48926707181818</v>
          </cell>
          <cell r="S585">
            <v>0</v>
          </cell>
          <cell r="T585">
            <v>0</v>
          </cell>
        </row>
        <row r="586">
          <cell r="C586">
            <v>10140135</v>
          </cell>
          <cell r="D586" t="str">
            <v>Gomukh Dhanipur</v>
          </cell>
          <cell r="E586" t="str">
            <v>MPG</v>
          </cell>
          <cell r="F586" t="str">
            <v>Direct</v>
          </cell>
          <cell r="G586">
            <v>275.10000000000002</v>
          </cell>
          <cell r="H586">
            <v>10056.810000000001</v>
          </cell>
          <cell r="I586">
            <v>282.5</v>
          </cell>
          <cell r="J586">
            <v>10403.055290639111</v>
          </cell>
          <cell r="K586">
            <v>0</v>
          </cell>
          <cell r="L586">
            <v>0</v>
          </cell>
          <cell r="M586">
            <v>282.5</v>
          </cell>
          <cell r="N586">
            <v>10403.055290639111</v>
          </cell>
          <cell r="O586">
            <v>10056.810000000001</v>
          </cell>
          <cell r="P586">
            <v>0</v>
          </cell>
          <cell r="Q586">
            <v>0</v>
          </cell>
          <cell r="R586">
            <v>346.24529063910995</v>
          </cell>
          <cell r="S586">
            <v>0</v>
          </cell>
          <cell r="T586">
            <v>0</v>
          </cell>
        </row>
        <row r="587">
          <cell r="C587">
            <v>10140137</v>
          </cell>
          <cell r="D587" t="str">
            <v>Gomukh Rakshanagar_tola</v>
          </cell>
          <cell r="E587" t="str">
            <v>MPG</v>
          </cell>
          <cell r="F587" t="str">
            <v>Direct</v>
          </cell>
          <cell r="G587">
            <v>523.40000000000009</v>
          </cell>
          <cell r="H587">
            <v>20937.21</v>
          </cell>
          <cell r="I587">
            <v>603</v>
          </cell>
          <cell r="J587">
            <v>24233.054405528499</v>
          </cell>
          <cell r="K587">
            <v>0</v>
          </cell>
          <cell r="L587">
            <v>0</v>
          </cell>
          <cell r="M587">
            <v>603</v>
          </cell>
          <cell r="N587">
            <v>24233.054405528499</v>
          </cell>
          <cell r="O587">
            <v>20937.21</v>
          </cell>
          <cell r="P587">
            <v>0</v>
          </cell>
          <cell r="Q587">
            <v>0</v>
          </cell>
          <cell r="R587">
            <v>3295.8444055284999</v>
          </cell>
          <cell r="S587">
            <v>0</v>
          </cell>
          <cell r="T587">
            <v>0</v>
          </cell>
        </row>
        <row r="588">
          <cell r="C588">
            <v>10140139</v>
          </cell>
          <cell r="D588" t="str">
            <v>Gomukh Nadaon</v>
          </cell>
          <cell r="E588" t="str">
            <v>MPG</v>
          </cell>
          <cell r="F588" t="str">
            <v>Direct</v>
          </cell>
          <cell r="G588">
            <v>106.2</v>
          </cell>
          <cell r="H588">
            <v>3277.08</v>
          </cell>
          <cell r="I588">
            <v>79.7</v>
          </cell>
          <cell r="J588">
            <v>3176.7740334000005</v>
          </cell>
          <cell r="K588">
            <v>2.4</v>
          </cell>
          <cell r="L588">
            <v>99.477892800000006</v>
          </cell>
          <cell r="M588">
            <v>82.100000000000009</v>
          </cell>
          <cell r="N588">
            <v>3276.2519262000005</v>
          </cell>
          <cell r="O588">
            <v>3276.2519262000005</v>
          </cell>
          <cell r="P588">
            <v>0</v>
          </cell>
          <cell r="Q588">
            <v>99.477892800000006</v>
          </cell>
          <cell r="R588">
            <v>0</v>
          </cell>
          <cell r="S588">
            <v>0</v>
          </cell>
          <cell r="T588">
            <v>0</v>
          </cell>
        </row>
        <row r="589">
          <cell r="C589">
            <v>10140141</v>
          </cell>
          <cell r="D589" t="str">
            <v>Gomukh Bimhnath Girdhar Baraw</v>
          </cell>
          <cell r="E589" t="str">
            <v>vlc</v>
          </cell>
          <cell r="F589" t="str">
            <v>Indirect</v>
          </cell>
          <cell r="G589">
            <v>417</v>
          </cell>
          <cell r="H589">
            <v>17264.03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17264.03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</row>
        <row r="590">
          <cell r="C590">
            <v>10140147</v>
          </cell>
          <cell r="D590" t="str">
            <v xml:space="preserve">Gomukh Mathuradera Upendra </v>
          </cell>
          <cell r="E590" t="str">
            <v>vlc</v>
          </cell>
          <cell r="F590" t="str">
            <v>Indirect</v>
          </cell>
          <cell r="G590">
            <v>171.89999999999998</v>
          </cell>
          <cell r="H590">
            <v>5977.4700000000012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5977.4700000000012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</row>
        <row r="591">
          <cell r="C591">
            <v>10140152</v>
          </cell>
          <cell r="D591" t="str">
            <v>Gomukh Badkagaon Yamunatola</v>
          </cell>
          <cell r="E591" t="str">
            <v>MPG</v>
          </cell>
          <cell r="F591" t="str">
            <v>Direct</v>
          </cell>
          <cell r="G591">
            <v>48.1</v>
          </cell>
          <cell r="H591">
            <v>1803.33</v>
          </cell>
          <cell r="I591">
            <v>48.800000000000004</v>
          </cell>
          <cell r="J591">
            <v>1793.8305807840002</v>
          </cell>
          <cell r="K591">
            <v>0</v>
          </cell>
          <cell r="L591">
            <v>0</v>
          </cell>
          <cell r="M591">
            <v>48.800000000000004</v>
          </cell>
          <cell r="N591">
            <v>1793.8305807840002</v>
          </cell>
          <cell r="O591">
            <v>1793.8305807840002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</row>
        <row r="592">
          <cell r="C592">
            <v>10140153</v>
          </cell>
          <cell r="D592" t="str">
            <v>Gomukh Bramhpur</v>
          </cell>
          <cell r="E592" t="str">
            <v>MPG</v>
          </cell>
          <cell r="F592" t="str">
            <v>Direct</v>
          </cell>
          <cell r="G592">
            <v>128.1</v>
          </cell>
          <cell r="H592">
            <v>4395.9400000000005</v>
          </cell>
          <cell r="I592">
            <v>134.35</v>
          </cell>
          <cell r="J592">
            <v>5399.7200700887406</v>
          </cell>
          <cell r="K592">
            <v>0</v>
          </cell>
          <cell r="L592">
            <v>0</v>
          </cell>
          <cell r="M592">
            <v>134.35</v>
          </cell>
          <cell r="N592">
            <v>5399.7200700887406</v>
          </cell>
          <cell r="O592">
            <v>4395.9400000000005</v>
          </cell>
          <cell r="P592">
            <v>0</v>
          </cell>
          <cell r="Q592">
            <v>0</v>
          </cell>
          <cell r="R592">
            <v>1003.7800700887401</v>
          </cell>
          <cell r="S592">
            <v>0</v>
          </cell>
          <cell r="T592">
            <v>0</v>
          </cell>
        </row>
        <row r="593">
          <cell r="C593">
            <v>10140156</v>
          </cell>
          <cell r="D593" t="str">
            <v>Gomukh Mashariya</v>
          </cell>
          <cell r="E593" t="str">
            <v>MPG</v>
          </cell>
          <cell r="F593" t="str">
            <v>Direct</v>
          </cell>
          <cell r="G593">
            <v>343.4</v>
          </cell>
          <cell r="H593">
            <v>15270.82</v>
          </cell>
          <cell r="I593">
            <v>334.09000000000003</v>
          </cell>
          <cell r="J593">
            <v>14926.693989448315</v>
          </cell>
          <cell r="K593">
            <v>8.01</v>
          </cell>
          <cell r="L593">
            <v>336.66441727300003</v>
          </cell>
          <cell r="M593">
            <v>342.1</v>
          </cell>
          <cell r="N593">
            <v>15263.358406721314</v>
          </cell>
          <cell r="O593">
            <v>15263.358406721314</v>
          </cell>
          <cell r="P593">
            <v>0</v>
          </cell>
          <cell r="Q593">
            <v>336.66441727300003</v>
          </cell>
          <cell r="R593">
            <v>0</v>
          </cell>
          <cell r="S593">
            <v>0</v>
          </cell>
          <cell r="T593">
            <v>0</v>
          </cell>
        </row>
        <row r="594">
          <cell r="C594">
            <v>10140157</v>
          </cell>
          <cell r="D594" t="str">
            <v>Gomukh Basawkala Sudhir Kumar</v>
          </cell>
          <cell r="E594" t="str">
            <v>vlc</v>
          </cell>
          <cell r="F594" t="str">
            <v>Indirect</v>
          </cell>
          <cell r="G594">
            <v>28</v>
          </cell>
          <cell r="H594">
            <v>1030.3700000000001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1030.3700000000001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</row>
        <row r="595">
          <cell r="C595">
            <v>10140166</v>
          </cell>
          <cell r="D595" t="str">
            <v>Gomukh KritSagar</v>
          </cell>
          <cell r="E595" t="str">
            <v>MPG</v>
          </cell>
          <cell r="F595" t="str">
            <v>Direct</v>
          </cell>
          <cell r="G595">
            <v>343.29999999999995</v>
          </cell>
          <cell r="H595">
            <v>13936.050000000001</v>
          </cell>
          <cell r="I595">
            <v>346</v>
          </cell>
          <cell r="J595">
            <v>13930.348212000001</v>
          </cell>
          <cell r="K595">
            <v>0</v>
          </cell>
          <cell r="L595">
            <v>0</v>
          </cell>
          <cell r="M595">
            <v>346</v>
          </cell>
          <cell r="N595">
            <v>13930.348212000001</v>
          </cell>
          <cell r="O595">
            <v>13930.348212000001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</row>
        <row r="596">
          <cell r="C596">
            <v>10140167</v>
          </cell>
          <cell r="D596" t="str">
            <v>Gomukh Navdera Jaipraksh</v>
          </cell>
          <cell r="E596" t="str">
            <v>vlc</v>
          </cell>
          <cell r="F596" t="str">
            <v>Indirect</v>
          </cell>
          <cell r="G596">
            <v>310.3</v>
          </cell>
          <cell r="H596">
            <v>12569.16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12569.16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</row>
        <row r="597">
          <cell r="C597">
            <v>10140170</v>
          </cell>
          <cell r="D597" t="str">
            <v>Gomukh Ataon</v>
          </cell>
          <cell r="E597" t="str">
            <v>MPG</v>
          </cell>
          <cell r="F597" t="str">
            <v>Direct</v>
          </cell>
          <cell r="G597">
            <v>633.79999999999995</v>
          </cell>
          <cell r="H597">
            <v>25574.55</v>
          </cell>
          <cell r="I597">
            <v>694.2600000000001</v>
          </cell>
          <cell r="J597">
            <v>29604.077576427539</v>
          </cell>
          <cell r="K597">
            <v>0</v>
          </cell>
          <cell r="L597">
            <v>0</v>
          </cell>
          <cell r="M597">
            <v>694.2600000000001</v>
          </cell>
          <cell r="N597">
            <v>29604.077576427539</v>
          </cell>
          <cell r="O597">
            <v>25574.55</v>
          </cell>
          <cell r="P597">
            <v>0</v>
          </cell>
          <cell r="Q597">
            <v>0</v>
          </cell>
          <cell r="R597">
            <v>4029.5275764275393</v>
          </cell>
          <cell r="S597">
            <v>0</v>
          </cell>
          <cell r="T597">
            <v>0</v>
          </cell>
        </row>
        <row r="598">
          <cell r="C598">
            <v>10140173</v>
          </cell>
          <cell r="D598" t="str">
            <v>Gumukh Gayghat</v>
          </cell>
          <cell r="E598" t="str">
            <v>MPG</v>
          </cell>
          <cell r="F598" t="str">
            <v>Direct</v>
          </cell>
          <cell r="G598">
            <v>838.5999999999998</v>
          </cell>
          <cell r="H598">
            <v>30589.39</v>
          </cell>
          <cell r="I598">
            <v>855.39</v>
          </cell>
          <cell r="J598">
            <v>35735.072657644807</v>
          </cell>
          <cell r="K598">
            <v>0.22</v>
          </cell>
          <cell r="L598">
            <v>7.8410265120000009</v>
          </cell>
          <cell r="M598">
            <v>855.61</v>
          </cell>
          <cell r="N598">
            <v>35742.913684156803</v>
          </cell>
          <cell r="O598">
            <v>30589.39</v>
          </cell>
          <cell r="P598">
            <v>0</v>
          </cell>
          <cell r="Q598">
            <v>7.8410265120000009</v>
          </cell>
          <cell r="R598">
            <v>5153.5236841568039</v>
          </cell>
          <cell r="S598">
            <v>0</v>
          </cell>
          <cell r="T598">
            <v>0</v>
          </cell>
        </row>
        <row r="599">
          <cell r="C599">
            <v>10140174</v>
          </cell>
          <cell r="D599" t="str">
            <v>Gomukh Shivpur</v>
          </cell>
          <cell r="E599" t="str">
            <v>MPG</v>
          </cell>
          <cell r="F599" t="str">
            <v>Direct</v>
          </cell>
          <cell r="G599">
            <v>48.1</v>
          </cell>
          <cell r="H599">
            <v>1909.5299999999997</v>
          </cell>
          <cell r="I599">
            <v>50</v>
          </cell>
          <cell r="J599">
            <v>1900.8534600000005</v>
          </cell>
          <cell r="K599">
            <v>0</v>
          </cell>
          <cell r="L599">
            <v>0</v>
          </cell>
          <cell r="M599">
            <v>50</v>
          </cell>
          <cell r="N599">
            <v>1900.8534600000005</v>
          </cell>
          <cell r="O599">
            <v>1900.8534600000005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</row>
        <row r="600">
          <cell r="C600">
            <v>10140176</v>
          </cell>
          <cell r="D600" t="str">
            <v>Gomukh Chakki Janardan Yadav</v>
          </cell>
          <cell r="E600" t="str">
            <v>vlc</v>
          </cell>
          <cell r="F600" t="str">
            <v>Indirect</v>
          </cell>
          <cell r="G600">
            <v>67.3</v>
          </cell>
          <cell r="H600">
            <v>2317.2200000000003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2317.2200000000003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</row>
        <row r="601">
          <cell r="C601">
            <v>10140179</v>
          </cell>
          <cell r="D601" t="str">
            <v>Gomukh Rajpur</v>
          </cell>
          <cell r="E601" t="str">
            <v>MPG</v>
          </cell>
          <cell r="F601" t="str">
            <v>Direct</v>
          </cell>
          <cell r="G601">
            <v>1170.0999999999999</v>
          </cell>
          <cell r="H601">
            <v>44348.160000000003</v>
          </cell>
          <cell r="I601">
            <v>1155.3799999999999</v>
          </cell>
          <cell r="J601">
            <v>43685.220667288711</v>
          </cell>
          <cell r="K601">
            <v>13.77</v>
          </cell>
          <cell r="L601">
            <v>530.69952909600011</v>
          </cell>
          <cell r="M601">
            <v>1169.1499999999999</v>
          </cell>
          <cell r="N601">
            <v>44215.920196384708</v>
          </cell>
          <cell r="O601">
            <v>44215.920196384708</v>
          </cell>
          <cell r="P601">
            <v>0</v>
          </cell>
          <cell r="Q601">
            <v>530.69952909600011</v>
          </cell>
          <cell r="R601">
            <v>0</v>
          </cell>
          <cell r="S601">
            <v>0</v>
          </cell>
          <cell r="T601">
            <v>0</v>
          </cell>
        </row>
        <row r="602">
          <cell r="C602">
            <v>10140180</v>
          </cell>
          <cell r="D602" t="str">
            <v>Gomukh Gangauli Dubha</v>
          </cell>
          <cell r="E602" t="str">
            <v>MPG</v>
          </cell>
          <cell r="F602" t="str">
            <v>Direct</v>
          </cell>
          <cell r="G602">
            <v>147</v>
          </cell>
          <cell r="H602">
            <v>5475.5499999999993</v>
          </cell>
          <cell r="I602">
            <v>150.5</v>
          </cell>
          <cell r="J602">
            <v>5544.72548052</v>
          </cell>
          <cell r="K602">
            <v>2.5</v>
          </cell>
          <cell r="L602">
            <v>93.4587918</v>
          </cell>
          <cell r="M602">
            <v>153</v>
          </cell>
          <cell r="N602">
            <v>5638.1842723199998</v>
          </cell>
          <cell r="O602">
            <v>5475.5499999999993</v>
          </cell>
          <cell r="P602">
            <v>0</v>
          </cell>
          <cell r="Q602">
            <v>93.4587918</v>
          </cell>
          <cell r="R602">
            <v>162.63427232000049</v>
          </cell>
          <cell r="S602">
            <v>2560</v>
          </cell>
          <cell r="T602">
            <v>0</v>
          </cell>
        </row>
        <row r="603">
          <cell r="C603">
            <v>10140181</v>
          </cell>
          <cell r="D603" t="str">
            <v>Tiyar A2 Milk Producer Company Limited</v>
          </cell>
          <cell r="E603" t="str">
            <v>vlc</v>
          </cell>
          <cell r="F603" t="str">
            <v>Indirect</v>
          </cell>
          <cell r="G603">
            <v>59.5</v>
          </cell>
          <cell r="H603">
            <v>2434.44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2434.44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</row>
        <row r="604">
          <cell r="C604">
            <v>10140185</v>
          </cell>
          <cell r="D604" t="str">
            <v>Gomukh Jagdishpur</v>
          </cell>
          <cell r="E604" t="str">
            <v>MPG</v>
          </cell>
          <cell r="F604" t="str">
            <v>Direct</v>
          </cell>
          <cell r="G604">
            <v>1412.6</v>
          </cell>
          <cell r="H604">
            <v>47337.770000000004</v>
          </cell>
          <cell r="I604">
            <v>1422</v>
          </cell>
          <cell r="J604">
            <v>47302.928402400001</v>
          </cell>
          <cell r="K604">
            <v>0</v>
          </cell>
          <cell r="L604">
            <v>0</v>
          </cell>
          <cell r="M604">
            <v>1422</v>
          </cell>
          <cell r="N604">
            <v>47302.928402400001</v>
          </cell>
          <cell r="O604">
            <v>47302.928402400001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</row>
        <row r="605">
          <cell r="C605">
            <v>10140194</v>
          </cell>
          <cell r="D605" t="str">
            <v>Gumukh Orap Khurd</v>
          </cell>
          <cell r="E605" t="str">
            <v>MPG</v>
          </cell>
          <cell r="F605" t="str">
            <v>Direct</v>
          </cell>
          <cell r="G605">
            <v>233.4</v>
          </cell>
          <cell r="H605">
            <v>7937.58</v>
          </cell>
          <cell r="I605">
            <v>232</v>
          </cell>
          <cell r="J605">
            <v>7931.8609920000017</v>
          </cell>
          <cell r="K605">
            <v>0</v>
          </cell>
          <cell r="L605">
            <v>0</v>
          </cell>
          <cell r="M605">
            <v>232</v>
          </cell>
          <cell r="N605">
            <v>7931.8609920000017</v>
          </cell>
          <cell r="O605">
            <v>7931.8609920000017</v>
          </cell>
          <cell r="P605">
            <v>0</v>
          </cell>
          <cell r="Q605">
            <v>0</v>
          </cell>
          <cell r="R605">
            <v>0</v>
          </cell>
          <cell r="S605">
            <v>541</v>
          </cell>
          <cell r="T605">
            <v>0</v>
          </cell>
        </row>
        <row r="606">
          <cell r="C606">
            <v>10140196</v>
          </cell>
          <cell r="D606" t="str">
            <v>Gomukh Daunpura Manendra</v>
          </cell>
          <cell r="E606" t="str">
            <v>vlc</v>
          </cell>
          <cell r="F606" t="str">
            <v>Indirect</v>
          </cell>
          <cell r="G606">
            <v>163.29999999999998</v>
          </cell>
          <cell r="H606">
            <v>6124.74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6124.74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</row>
        <row r="607">
          <cell r="C607">
            <v>10140197</v>
          </cell>
          <cell r="D607" t="str">
            <v>Gumukh Mathiyapur</v>
          </cell>
          <cell r="E607" t="str">
            <v>MPG</v>
          </cell>
          <cell r="F607" t="str">
            <v>Direct</v>
          </cell>
          <cell r="G607">
            <v>260.40000000000003</v>
          </cell>
          <cell r="H607">
            <v>10169.75</v>
          </cell>
          <cell r="I607">
            <v>253.86999999999998</v>
          </cell>
          <cell r="J607">
            <v>10151.043040908002</v>
          </cell>
          <cell r="K607">
            <v>0</v>
          </cell>
          <cell r="L607">
            <v>0</v>
          </cell>
          <cell r="M607">
            <v>253.86999999999998</v>
          </cell>
          <cell r="N607">
            <v>10151.043040908002</v>
          </cell>
          <cell r="O607">
            <v>10151.043040908002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</row>
        <row r="608">
          <cell r="C608">
            <v>10140198</v>
          </cell>
          <cell r="D608" t="str">
            <v>Gomukh Raghunathpur Dasrath</v>
          </cell>
          <cell r="E608" t="str">
            <v>vlc</v>
          </cell>
          <cell r="F608" t="str">
            <v>Indirect</v>
          </cell>
          <cell r="G608">
            <v>407.4</v>
          </cell>
          <cell r="H608">
            <v>15621.63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15621.63</v>
          </cell>
          <cell r="P608">
            <v>0</v>
          </cell>
          <cell r="Q608">
            <v>0</v>
          </cell>
          <cell r="R608">
            <v>0</v>
          </cell>
          <cell r="S608">
            <v>6400</v>
          </cell>
          <cell r="T608">
            <v>0</v>
          </cell>
        </row>
        <row r="609">
          <cell r="C609">
            <v>10140201</v>
          </cell>
          <cell r="D609" t="str">
            <v>Gomukh Lakshman Dera Raja</v>
          </cell>
          <cell r="E609" t="str">
            <v>vlc</v>
          </cell>
          <cell r="F609" t="str">
            <v>Indirect</v>
          </cell>
          <cell r="G609">
            <v>387.9</v>
          </cell>
          <cell r="H609">
            <v>12973.219999999998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12973.219999999998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</row>
        <row r="610">
          <cell r="C610">
            <v>10140204</v>
          </cell>
          <cell r="D610" t="str">
            <v xml:space="preserve">Gomukh Arion Govind </v>
          </cell>
          <cell r="E610" t="str">
            <v>vlc</v>
          </cell>
          <cell r="F610" t="str">
            <v>Indirect</v>
          </cell>
          <cell r="G610">
            <v>203.8</v>
          </cell>
          <cell r="H610">
            <v>7635.87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7635.87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</row>
        <row r="611">
          <cell r="C611">
            <v>10140205</v>
          </cell>
          <cell r="D611" t="str">
            <v>Gumukh Niyajipur Nakchhedi Pathak Dera</v>
          </cell>
          <cell r="E611" t="str">
            <v>MPG</v>
          </cell>
          <cell r="F611" t="str">
            <v>Direct</v>
          </cell>
          <cell r="G611">
            <v>268.7</v>
          </cell>
          <cell r="H611">
            <v>12117.300000000001</v>
          </cell>
          <cell r="I611">
            <v>290.2</v>
          </cell>
          <cell r="J611">
            <v>14961.337493344752</v>
          </cell>
          <cell r="K611">
            <v>0</v>
          </cell>
          <cell r="L611">
            <v>0</v>
          </cell>
          <cell r="M611">
            <v>290.2</v>
          </cell>
          <cell r="N611">
            <v>14961.337493344752</v>
          </cell>
          <cell r="O611">
            <v>12117.300000000001</v>
          </cell>
          <cell r="P611">
            <v>0</v>
          </cell>
          <cell r="Q611">
            <v>0</v>
          </cell>
          <cell r="R611">
            <v>2844.0374933447511</v>
          </cell>
          <cell r="S611">
            <v>0</v>
          </cell>
          <cell r="T611">
            <v>0</v>
          </cell>
        </row>
        <row r="612">
          <cell r="C612">
            <v>10140206</v>
          </cell>
          <cell r="D612" t="str">
            <v>Gumukh Basawkala Dahpura Tola</v>
          </cell>
          <cell r="E612" t="str">
            <v>MPG</v>
          </cell>
          <cell r="F612" t="str">
            <v>Direct</v>
          </cell>
          <cell r="G612">
            <v>417.1</v>
          </cell>
          <cell r="H612">
            <v>18159.590000000004</v>
          </cell>
          <cell r="I612">
            <v>412.42</v>
          </cell>
          <cell r="J612">
            <v>18113.237366837526</v>
          </cell>
          <cell r="K612">
            <v>0</v>
          </cell>
          <cell r="L612">
            <v>0</v>
          </cell>
          <cell r="M612">
            <v>412.42</v>
          </cell>
          <cell r="N612">
            <v>18113.237366837526</v>
          </cell>
          <cell r="O612">
            <v>18113.237366837526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</row>
        <row r="613">
          <cell r="C613">
            <v>10180001</v>
          </cell>
          <cell r="D613" t="str">
            <v>Gaachhi Tola</v>
          </cell>
          <cell r="E613" t="str">
            <v>vlc</v>
          </cell>
          <cell r="F613" t="str">
            <v>Indirect</v>
          </cell>
          <cell r="G613">
            <v>918.2</v>
          </cell>
          <cell r="H613">
            <v>38742.950000000004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38742.950000000004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</row>
        <row r="614">
          <cell r="C614">
            <v>10220001</v>
          </cell>
          <cell r="D614" t="str">
            <v>VISHWASHPUR</v>
          </cell>
          <cell r="E614" t="str">
            <v>RMC</v>
          </cell>
          <cell r="F614" t="str">
            <v>Direct</v>
          </cell>
          <cell r="G614">
            <v>528</v>
          </cell>
          <cell r="H614">
            <v>17635.2</v>
          </cell>
          <cell r="I614">
            <v>527.1</v>
          </cell>
          <cell r="J614">
            <v>18348.230222388003</v>
          </cell>
          <cell r="K614">
            <v>5.3</v>
          </cell>
          <cell r="L614">
            <v>184.30407864</v>
          </cell>
          <cell r="M614">
            <v>532.4</v>
          </cell>
          <cell r="N614">
            <v>18532.534301028005</v>
          </cell>
          <cell r="O614">
            <v>17635.2</v>
          </cell>
          <cell r="P614">
            <v>0</v>
          </cell>
          <cell r="Q614">
            <v>184.30407864</v>
          </cell>
          <cell r="R614">
            <v>897.33430102800412</v>
          </cell>
          <cell r="S614">
            <v>0</v>
          </cell>
          <cell r="T614">
            <v>0</v>
          </cell>
        </row>
        <row r="615">
          <cell r="C615">
            <v>10240001</v>
          </cell>
          <cell r="D615" t="str">
            <v>KUMARPUIR KATHARA</v>
          </cell>
          <cell r="E615" t="str">
            <v>RMC</v>
          </cell>
          <cell r="F615" t="str">
            <v>Direct</v>
          </cell>
          <cell r="G615">
            <v>1144</v>
          </cell>
          <cell r="H615">
            <v>39570.959999999999</v>
          </cell>
          <cell r="I615">
            <v>1151.9000000000001</v>
          </cell>
          <cell r="J615">
            <v>39813.575179326537</v>
          </cell>
          <cell r="K615">
            <v>15.299999999999999</v>
          </cell>
          <cell r="L615">
            <v>706.35282454168009</v>
          </cell>
          <cell r="M615">
            <v>1167.2</v>
          </cell>
          <cell r="N615">
            <v>40519.928003868219</v>
          </cell>
          <cell r="O615">
            <v>39570.959999999999</v>
          </cell>
          <cell r="P615">
            <v>0</v>
          </cell>
          <cell r="Q615">
            <v>706.35282454168009</v>
          </cell>
          <cell r="R615">
            <v>948.96800386821997</v>
          </cell>
          <cell r="S615">
            <v>0</v>
          </cell>
          <cell r="T615">
            <v>0</v>
          </cell>
        </row>
        <row r="616">
          <cell r="C616">
            <v>10250001</v>
          </cell>
          <cell r="D616" t="str">
            <v>KUDHIYA MPG</v>
          </cell>
          <cell r="E616" t="str">
            <v>RMC</v>
          </cell>
          <cell r="F616" t="str">
            <v>Direct</v>
          </cell>
          <cell r="G616">
            <v>326.10000000000002</v>
          </cell>
          <cell r="H616">
            <v>14729.05</v>
          </cell>
          <cell r="I616">
            <v>323.09999999999997</v>
          </cell>
          <cell r="J616">
            <v>14673.748654716701</v>
          </cell>
          <cell r="K616">
            <v>4</v>
          </cell>
          <cell r="L616">
            <v>155.23627680000004</v>
          </cell>
          <cell r="M616">
            <v>327.09999999999997</v>
          </cell>
          <cell r="N616">
            <v>14828.984931516701</v>
          </cell>
          <cell r="O616">
            <v>14729.05</v>
          </cell>
          <cell r="P616">
            <v>0</v>
          </cell>
          <cell r="Q616">
            <v>155.23627680000004</v>
          </cell>
          <cell r="R616">
            <v>99.934931516701909</v>
          </cell>
          <cell r="S616">
            <v>0</v>
          </cell>
          <cell r="T616">
            <v>0</v>
          </cell>
        </row>
        <row r="617">
          <cell r="C617">
            <v>10260001</v>
          </cell>
          <cell r="D617" t="str">
            <v>SHAHJADPUR MPG</v>
          </cell>
          <cell r="E617" t="str">
            <v>RMC</v>
          </cell>
          <cell r="F617" t="str">
            <v>Direct</v>
          </cell>
          <cell r="G617">
            <v>930.25</v>
          </cell>
          <cell r="H617">
            <v>34204.350000000006</v>
          </cell>
          <cell r="I617">
            <v>944.2</v>
          </cell>
          <cell r="J617">
            <v>41538.595484038087</v>
          </cell>
          <cell r="K617">
            <v>6.3</v>
          </cell>
          <cell r="L617">
            <v>280.99151541560002</v>
          </cell>
          <cell r="M617">
            <v>950.5</v>
          </cell>
          <cell r="N617">
            <v>41819.586999453684</v>
          </cell>
          <cell r="O617">
            <v>34204.350000000006</v>
          </cell>
          <cell r="P617">
            <v>0</v>
          </cell>
          <cell r="Q617">
            <v>280.99151541560002</v>
          </cell>
          <cell r="R617">
            <v>7615.2369994536784</v>
          </cell>
          <cell r="S617">
            <v>0</v>
          </cell>
          <cell r="T617">
            <v>0</v>
          </cell>
        </row>
        <row r="618">
          <cell r="C618">
            <v>10290001</v>
          </cell>
          <cell r="D618" t="str">
            <v>FARDA - 3</v>
          </cell>
          <cell r="E618" t="str">
            <v>RMC</v>
          </cell>
          <cell r="F618" t="str">
            <v>Direct</v>
          </cell>
          <cell r="G618">
            <v>1850.6999999999998</v>
          </cell>
          <cell r="H618">
            <v>64912.499999999993</v>
          </cell>
          <cell r="I618">
            <v>730.09999999999991</v>
          </cell>
          <cell r="J618">
            <v>25941.2120154</v>
          </cell>
          <cell r="K618">
            <v>1161.1000000000001</v>
          </cell>
          <cell r="L618">
            <v>40734.914782320011</v>
          </cell>
          <cell r="M618">
            <v>1891.2</v>
          </cell>
          <cell r="N618">
            <v>66676.126797720004</v>
          </cell>
          <cell r="O618">
            <v>64912.499999999993</v>
          </cell>
          <cell r="P618">
            <v>0</v>
          </cell>
          <cell r="Q618">
            <v>191.92059216000001</v>
          </cell>
          <cell r="R618">
            <v>1763.6267977200114</v>
          </cell>
          <cell r="S618">
            <v>0</v>
          </cell>
          <cell r="T618">
            <v>0</v>
          </cell>
        </row>
        <row r="619">
          <cell r="C619">
            <v>10300001</v>
          </cell>
          <cell r="D619" t="str">
            <v>CHANDANPURA</v>
          </cell>
          <cell r="E619" t="str">
            <v>vlc</v>
          </cell>
          <cell r="F619" t="str">
            <v>Indirect</v>
          </cell>
          <cell r="G619">
            <v>558.20000000000016</v>
          </cell>
          <cell r="H619">
            <v>31340.400000000005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31340.400000000005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</row>
        <row r="620">
          <cell r="C620">
            <v>10310001</v>
          </cell>
          <cell r="D620" t="str">
            <v>MANIKPUR</v>
          </cell>
          <cell r="E620" t="str">
            <v>RMC</v>
          </cell>
          <cell r="F620" t="str">
            <v>Direct</v>
          </cell>
          <cell r="G620">
            <v>768.5</v>
          </cell>
          <cell r="H620">
            <v>29932.869999999995</v>
          </cell>
          <cell r="I620">
            <v>9</v>
          </cell>
          <cell r="J620">
            <v>356.40997920000007</v>
          </cell>
          <cell r="K620">
            <v>770.2</v>
          </cell>
          <cell r="L620">
            <v>30146.2855452</v>
          </cell>
          <cell r="M620">
            <v>779.2</v>
          </cell>
          <cell r="N620">
            <v>30502.695524400002</v>
          </cell>
          <cell r="O620">
            <v>29932.869999999995</v>
          </cell>
          <cell r="P620">
            <v>0</v>
          </cell>
          <cell r="Q620">
            <v>204.80375520000004</v>
          </cell>
          <cell r="R620">
            <v>569.82552440000654</v>
          </cell>
          <cell r="S620">
            <v>0</v>
          </cell>
          <cell r="T620">
            <v>311.93</v>
          </cell>
        </row>
        <row r="621">
          <cell r="C621">
            <v>10320001</v>
          </cell>
          <cell r="D621" t="str">
            <v>JAKARPURA</v>
          </cell>
          <cell r="E621" t="str">
            <v>vlc</v>
          </cell>
          <cell r="F621" t="str">
            <v>Indirect</v>
          </cell>
          <cell r="G621">
            <v>2313.2000000000003</v>
          </cell>
          <cell r="H621">
            <v>87009.180000000008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87009.180000000008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</row>
        <row r="622">
          <cell r="C622">
            <v>10330001</v>
          </cell>
          <cell r="D622" t="str">
            <v>KISHANPUR</v>
          </cell>
          <cell r="E622" t="str">
            <v>vlc</v>
          </cell>
          <cell r="F622" t="str">
            <v>Indirect</v>
          </cell>
          <cell r="G622">
            <v>367.3</v>
          </cell>
          <cell r="H622">
            <v>12690.630000000001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12690.630000000001</v>
          </cell>
          <cell r="P622">
            <v>0</v>
          </cell>
          <cell r="Q622">
            <v>0</v>
          </cell>
          <cell r="R622">
            <v>0</v>
          </cell>
          <cell r="S622">
            <v>9580</v>
          </cell>
          <cell r="T622">
            <v>3110.8166322580632</v>
          </cell>
        </row>
        <row r="623">
          <cell r="C623">
            <v>10340001</v>
          </cell>
          <cell r="D623" t="str">
            <v>NANDPUR</v>
          </cell>
          <cell r="E623" t="str">
            <v>vlc</v>
          </cell>
          <cell r="F623" t="str">
            <v>Indirect</v>
          </cell>
          <cell r="G623">
            <v>1707.6000000000001</v>
          </cell>
          <cell r="H623">
            <v>62872.539999999994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62872.539999999994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</row>
        <row r="624">
          <cell r="C624">
            <v>10350001</v>
          </cell>
          <cell r="D624" t="str">
            <v>NOWAGADHI</v>
          </cell>
          <cell r="E624" t="str">
            <v>RMC</v>
          </cell>
          <cell r="F624" t="str">
            <v>Direct</v>
          </cell>
          <cell r="G624">
            <v>1867</v>
          </cell>
          <cell r="H624">
            <v>68493.440000000002</v>
          </cell>
          <cell r="I624">
            <v>1898.8999999999999</v>
          </cell>
          <cell r="J624">
            <v>69211.808271567264</v>
          </cell>
          <cell r="K624">
            <v>17.399999999999999</v>
          </cell>
          <cell r="L624">
            <v>686.76272279999989</v>
          </cell>
          <cell r="M624">
            <v>1916.3</v>
          </cell>
          <cell r="N624">
            <v>69898.57099436727</v>
          </cell>
          <cell r="O624">
            <v>68493.440000000002</v>
          </cell>
          <cell r="P624">
            <v>0</v>
          </cell>
          <cell r="Q624">
            <v>686.76272279999989</v>
          </cell>
          <cell r="R624">
            <v>1405.1309943672677</v>
          </cell>
          <cell r="S624">
            <v>0</v>
          </cell>
          <cell r="T624">
            <v>0</v>
          </cell>
        </row>
        <row r="625">
          <cell r="C625">
            <v>10360001</v>
          </cell>
          <cell r="D625" t="str">
            <v>MAHADAT PUR 2</v>
          </cell>
          <cell r="E625" t="str">
            <v>RMC</v>
          </cell>
          <cell r="F625" t="str">
            <v>Direct</v>
          </cell>
          <cell r="G625">
            <v>2500.6</v>
          </cell>
          <cell r="H625">
            <v>92858.589999999967</v>
          </cell>
          <cell r="I625">
            <v>2451.1</v>
          </cell>
          <cell r="J625">
            <v>91042.647110022823</v>
          </cell>
          <cell r="K625">
            <v>49.5</v>
          </cell>
          <cell r="L625">
            <v>1813.4955828000002</v>
          </cell>
          <cell r="M625">
            <v>2500.6</v>
          </cell>
          <cell r="N625">
            <v>92856.142692822817</v>
          </cell>
          <cell r="O625">
            <v>92856.142692822817</v>
          </cell>
          <cell r="P625">
            <v>0</v>
          </cell>
          <cell r="Q625">
            <v>1813.4955828000002</v>
          </cell>
          <cell r="R625">
            <v>0</v>
          </cell>
          <cell r="S625">
            <v>0</v>
          </cell>
          <cell r="T625">
            <v>0</v>
          </cell>
        </row>
        <row r="626">
          <cell r="C626">
            <v>10370001</v>
          </cell>
          <cell r="D626" t="str">
            <v>KATHELA TOLA TELDHI</v>
          </cell>
          <cell r="E626" t="str">
            <v>RMC</v>
          </cell>
          <cell r="F626" t="str">
            <v>Direct</v>
          </cell>
          <cell r="G626">
            <v>133</v>
          </cell>
          <cell r="H626">
            <v>4339.79</v>
          </cell>
          <cell r="I626">
            <v>133</v>
          </cell>
          <cell r="J626">
            <v>4339.9732899600012</v>
          </cell>
          <cell r="K626">
            <v>0</v>
          </cell>
          <cell r="L626">
            <v>0</v>
          </cell>
          <cell r="M626">
            <v>133</v>
          </cell>
          <cell r="N626">
            <v>4339.9732899600012</v>
          </cell>
          <cell r="O626">
            <v>4339.79</v>
          </cell>
          <cell r="P626">
            <v>0</v>
          </cell>
          <cell r="Q626">
            <v>0</v>
          </cell>
          <cell r="R626">
            <v>0.18328996000127518</v>
          </cell>
          <cell r="S626">
            <v>0</v>
          </cell>
          <cell r="T626">
            <v>4340</v>
          </cell>
        </row>
        <row r="627">
          <cell r="C627">
            <v>10380001</v>
          </cell>
          <cell r="D627" t="str">
            <v>SONBARSHA 1</v>
          </cell>
          <cell r="E627" t="str">
            <v>RMC</v>
          </cell>
          <cell r="F627" t="str">
            <v>Direct</v>
          </cell>
          <cell r="G627">
            <v>787</v>
          </cell>
          <cell r="H627">
            <v>27077.93</v>
          </cell>
          <cell r="I627">
            <v>779</v>
          </cell>
          <cell r="J627">
            <v>26799.594624000005</v>
          </cell>
          <cell r="K627">
            <v>8</v>
          </cell>
          <cell r="L627">
            <v>275.88844800000004</v>
          </cell>
          <cell r="M627">
            <v>787</v>
          </cell>
          <cell r="N627">
            <v>27075.483072000006</v>
          </cell>
          <cell r="O627">
            <v>27075.483072000006</v>
          </cell>
          <cell r="P627">
            <v>0</v>
          </cell>
          <cell r="Q627">
            <v>275.88844800000004</v>
          </cell>
          <cell r="R627">
            <v>0</v>
          </cell>
          <cell r="S627">
            <v>0</v>
          </cell>
          <cell r="T627">
            <v>5764.5</v>
          </cell>
        </row>
        <row r="628">
          <cell r="C628">
            <v>10390001</v>
          </cell>
          <cell r="D628" t="str">
            <v>GANOUL</v>
          </cell>
          <cell r="E628" t="str">
            <v>RMC</v>
          </cell>
          <cell r="F628" t="str">
            <v>Indirect</v>
          </cell>
          <cell r="G628">
            <v>622</v>
          </cell>
          <cell r="H628">
            <v>21306.58</v>
          </cell>
          <cell r="I628">
            <v>451</v>
          </cell>
          <cell r="J628">
            <v>15451.340256000003</v>
          </cell>
          <cell r="K628">
            <v>0</v>
          </cell>
          <cell r="L628">
            <v>0</v>
          </cell>
          <cell r="M628">
            <v>451</v>
          </cell>
          <cell r="N628">
            <v>15451.340256000003</v>
          </cell>
          <cell r="O628">
            <v>21306.58</v>
          </cell>
          <cell r="P628">
            <v>0</v>
          </cell>
          <cell r="Q628">
            <v>41.185267200000013</v>
          </cell>
          <cell r="R628">
            <v>0</v>
          </cell>
          <cell r="S628">
            <v>0</v>
          </cell>
          <cell r="T628">
            <v>0</v>
          </cell>
        </row>
        <row r="629">
          <cell r="C629">
            <v>10400001</v>
          </cell>
          <cell r="D629" t="str">
            <v>Gauripur</v>
          </cell>
          <cell r="E629" t="str">
            <v>RMC</v>
          </cell>
          <cell r="F629" t="str">
            <v>Direct</v>
          </cell>
          <cell r="G629">
            <v>1985</v>
          </cell>
          <cell r="H629">
            <v>67333.549999999988</v>
          </cell>
          <cell r="I629">
            <v>1977</v>
          </cell>
          <cell r="J629">
            <v>67065.479712</v>
          </cell>
          <cell r="K629">
            <v>8</v>
          </cell>
          <cell r="L629">
            <v>271.53244800000004</v>
          </cell>
          <cell r="M629">
            <v>1985</v>
          </cell>
          <cell r="N629">
            <v>67337.012159999998</v>
          </cell>
          <cell r="O629">
            <v>67333.549999999988</v>
          </cell>
          <cell r="P629">
            <v>0</v>
          </cell>
          <cell r="Q629">
            <v>271.53244800000004</v>
          </cell>
          <cell r="R629">
            <v>3.4621600000100443</v>
          </cell>
          <cell r="S629">
            <v>0</v>
          </cell>
          <cell r="T629">
            <v>11267.25</v>
          </cell>
        </row>
        <row r="630">
          <cell r="C630">
            <v>10410001</v>
          </cell>
          <cell r="D630" t="str">
            <v>Bhramarpur</v>
          </cell>
          <cell r="E630" t="str">
            <v>RMC</v>
          </cell>
          <cell r="F630" t="str">
            <v>Direct</v>
          </cell>
          <cell r="G630">
            <v>2741</v>
          </cell>
          <cell r="H630">
            <v>92974.39</v>
          </cell>
          <cell r="I630">
            <v>1490</v>
          </cell>
          <cell r="J630">
            <v>50545.693440000003</v>
          </cell>
          <cell r="K630">
            <v>1253</v>
          </cell>
          <cell r="L630">
            <v>42501.891168000002</v>
          </cell>
          <cell r="M630">
            <v>2743</v>
          </cell>
          <cell r="N630">
            <v>93047.584608000005</v>
          </cell>
          <cell r="O630">
            <v>92974.39</v>
          </cell>
          <cell r="P630">
            <v>0</v>
          </cell>
          <cell r="Q630">
            <v>203.55033600000004</v>
          </cell>
          <cell r="R630">
            <v>73.194608000005246</v>
          </cell>
          <cell r="S630">
            <v>0</v>
          </cell>
          <cell r="T630">
            <v>13980.396000000004</v>
          </cell>
        </row>
        <row r="631">
          <cell r="C631">
            <v>10440001</v>
          </cell>
          <cell r="D631" t="str">
            <v>Gomukh Sadananpur</v>
          </cell>
          <cell r="E631" t="str">
            <v>MPG</v>
          </cell>
          <cell r="F631" t="str">
            <v>Direct</v>
          </cell>
          <cell r="G631">
            <v>148.49999999999997</v>
          </cell>
          <cell r="H631">
            <v>5210.4500000000007</v>
          </cell>
          <cell r="I631">
            <v>266.2</v>
          </cell>
          <cell r="J631">
            <v>9745.1572600800009</v>
          </cell>
          <cell r="K631">
            <v>0</v>
          </cell>
          <cell r="L631">
            <v>0</v>
          </cell>
          <cell r="M631">
            <v>266.2</v>
          </cell>
          <cell r="N631">
            <v>9745.1572600800009</v>
          </cell>
          <cell r="O631">
            <v>5210.4500000000007</v>
          </cell>
          <cell r="P631">
            <v>0</v>
          </cell>
          <cell r="Q631">
            <v>0</v>
          </cell>
          <cell r="R631">
            <v>4534.7072600800002</v>
          </cell>
          <cell r="S631">
            <v>0</v>
          </cell>
          <cell r="T631">
            <v>114.03</v>
          </cell>
        </row>
        <row r="632">
          <cell r="C632">
            <v>10460001</v>
          </cell>
          <cell r="D632" t="str">
            <v>TILAKPUR  2</v>
          </cell>
          <cell r="E632" t="str">
            <v>RMC</v>
          </cell>
          <cell r="F632" t="str">
            <v>Direct</v>
          </cell>
          <cell r="G632">
            <v>168.85</v>
          </cell>
          <cell r="H632">
            <v>5885.0700000000006</v>
          </cell>
          <cell r="I632">
            <v>174.79999999999998</v>
          </cell>
          <cell r="J632">
            <v>6252.2033997060016</v>
          </cell>
          <cell r="K632">
            <v>1.3</v>
          </cell>
          <cell r="L632">
            <v>47.727189576000008</v>
          </cell>
          <cell r="M632">
            <v>176.1</v>
          </cell>
          <cell r="N632">
            <v>6299.9305892820021</v>
          </cell>
          <cell r="O632">
            <v>5885.0700000000006</v>
          </cell>
          <cell r="P632">
            <v>0</v>
          </cell>
          <cell r="Q632">
            <v>47.727189576000008</v>
          </cell>
          <cell r="R632">
            <v>414.86058928200146</v>
          </cell>
          <cell r="S632">
            <v>0</v>
          </cell>
          <cell r="T632">
            <v>0</v>
          </cell>
        </row>
        <row r="633">
          <cell r="C633">
            <v>10460002</v>
          </cell>
          <cell r="D633" t="str">
            <v>TILAKPUR</v>
          </cell>
          <cell r="E633" t="str">
            <v>MPG</v>
          </cell>
          <cell r="F633" t="str">
            <v>Direct</v>
          </cell>
          <cell r="G633">
            <v>500.15</v>
          </cell>
          <cell r="H633">
            <v>14825.130000000001</v>
          </cell>
          <cell r="I633">
            <v>418.4</v>
          </cell>
          <cell r="J633">
            <v>12816.806997258</v>
          </cell>
          <cell r="K633">
            <v>1.2</v>
          </cell>
          <cell r="L633">
            <v>37.411259886000011</v>
          </cell>
          <cell r="M633">
            <v>419.59999999999997</v>
          </cell>
          <cell r="N633">
            <v>12854.218257143999</v>
          </cell>
          <cell r="O633">
            <v>12854.218257143999</v>
          </cell>
          <cell r="P633">
            <v>0</v>
          </cell>
          <cell r="Q633">
            <v>37.411259886000011</v>
          </cell>
          <cell r="R633">
            <v>0</v>
          </cell>
          <cell r="S633">
            <v>0</v>
          </cell>
          <cell r="T633">
            <v>0</v>
          </cell>
        </row>
        <row r="634">
          <cell r="C634">
            <v>10480001</v>
          </cell>
          <cell r="D634" t="str">
            <v>Prasharpur Kadwa Gomukh</v>
          </cell>
          <cell r="E634" t="str">
            <v>MPG</v>
          </cell>
          <cell r="F634" t="str">
            <v>Direct</v>
          </cell>
          <cell r="G634">
            <v>348.69999999999993</v>
          </cell>
          <cell r="H634">
            <v>11524.149999999998</v>
          </cell>
          <cell r="I634">
            <v>346.79999999999995</v>
          </cell>
          <cell r="J634">
            <v>11792.527098264001</v>
          </cell>
          <cell r="K634">
            <v>3.4999999999999996</v>
          </cell>
          <cell r="L634">
            <v>119.45419417800002</v>
          </cell>
          <cell r="M634">
            <v>350.29999999999995</v>
          </cell>
          <cell r="N634">
            <v>11911.981292442002</v>
          </cell>
          <cell r="O634">
            <v>11524.149999999998</v>
          </cell>
          <cell r="P634">
            <v>0</v>
          </cell>
          <cell r="Q634">
            <v>119.45419417800002</v>
          </cell>
          <cell r="R634">
            <v>387.83129244200427</v>
          </cell>
          <cell r="S634">
            <v>0</v>
          </cell>
          <cell r="T634">
            <v>0</v>
          </cell>
        </row>
        <row r="635">
          <cell r="C635">
            <v>10480002</v>
          </cell>
          <cell r="D635" t="str">
            <v>Borwa Tola Gomukh</v>
          </cell>
          <cell r="E635" t="str">
            <v>vlc</v>
          </cell>
          <cell r="F635" t="str">
            <v>Indirect</v>
          </cell>
          <cell r="G635">
            <v>247.79999999999998</v>
          </cell>
          <cell r="H635">
            <v>8619.9500000000007</v>
          </cell>
          <cell r="I635">
            <v>247.90000000000003</v>
          </cell>
          <cell r="J635">
            <v>8629.2707048460015</v>
          </cell>
          <cell r="K635">
            <v>0</v>
          </cell>
          <cell r="L635">
            <v>0</v>
          </cell>
          <cell r="M635">
            <v>247.90000000000003</v>
          </cell>
          <cell r="N635">
            <v>8629.2707048460015</v>
          </cell>
          <cell r="O635">
            <v>8619.9500000000007</v>
          </cell>
          <cell r="P635">
            <v>0</v>
          </cell>
          <cell r="Q635">
            <v>0</v>
          </cell>
          <cell r="R635">
            <v>9.3207048460008082</v>
          </cell>
          <cell r="S635">
            <v>0</v>
          </cell>
          <cell r="T635">
            <v>0</v>
          </cell>
        </row>
        <row r="636">
          <cell r="C636">
            <v>10480003</v>
          </cell>
          <cell r="D636" t="str">
            <v>Sheela Devi</v>
          </cell>
          <cell r="E636" t="str">
            <v>vlc</v>
          </cell>
          <cell r="F636" t="str">
            <v>Indirect</v>
          </cell>
          <cell r="G636">
            <v>294</v>
          </cell>
          <cell r="H636">
            <v>9608.3700000000008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9608.3700000000008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9.2101935483871955</v>
          </cell>
        </row>
        <row r="637">
          <cell r="C637">
            <v>10480005</v>
          </cell>
          <cell r="D637" t="str">
            <v>Gomukh Vijay Lalganj</v>
          </cell>
          <cell r="E637" t="str">
            <v>MPG</v>
          </cell>
          <cell r="F637" t="str">
            <v>Direct</v>
          </cell>
          <cell r="G637">
            <v>337.09999999999997</v>
          </cell>
          <cell r="H637">
            <v>12845.880000000001</v>
          </cell>
          <cell r="I637">
            <v>336.5</v>
          </cell>
          <cell r="J637">
            <v>12924.799854120001</v>
          </cell>
          <cell r="K637">
            <v>1.3</v>
          </cell>
          <cell r="L637">
            <v>50.425408440000005</v>
          </cell>
          <cell r="M637">
            <v>337.8</v>
          </cell>
          <cell r="N637">
            <v>12975.225262560001</v>
          </cell>
          <cell r="O637">
            <v>12845.880000000001</v>
          </cell>
          <cell r="P637">
            <v>0</v>
          </cell>
          <cell r="Q637">
            <v>50.425408440000005</v>
          </cell>
          <cell r="R637">
            <v>129.34526256000026</v>
          </cell>
          <cell r="S637">
            <v>0</v>
          </cell>
          <cell r="T637">
            <v>0</v>
          </cell>
        </row>
        <row r="638">
          <cell r="C638">
            <v>10480008</v>
          </cell>
          <cell r="D638" t="str">
            <v>Gomukh Sarswati Nagar Nakdahri</v>
          </cell>
          <cell r="E638" t="str">
            <v>MPG</v>
          </cell>
          <cell r="F638" t="str">
            <v>Direct</v>
          </cell>
          <cell r="G638">
            <v>401.2</v>
          </cell>
          <cell r="H638">
            <v>15057.04</v>
          </cell>
          <cell r="I638">
            <v>268.34000000000003</v>
          </cell>
          <cell r="J638">
            <v>10576.141885216801</v>
          </cell>
          <cell r="K638">
            <v>141.27000000000001</v>
          </cell>
          <cell r="L638">
            <v>5705.5568057457604</v>
          </cell>
          <cell r="M638">
            <v>409.61</v>
          </cell>
          <cell r="N638">
            <v>16281.698690962561</v>
          </cell>
          <cell r="O638">
            <v>15057.04</v>
          </cell>
          <cell r="P638">
            <v>0</v>
          </cell>
          <cell r="Q638">
            <v>131.39508729600001</v>
          </cell>
          <cell r="R638">
            <v>1224.6586909625603</v>
          </cell>
          <cell r="S638">
            <v>0</v>
          </cell>
          <cell r="T638">
            <v>0</v>
          </cell>
        </row>
        <row r="639">
          <cell r="C639">
            <v>10480012</v>
          </cell>
          <cell r="D639" t="str">
            <v>Gomukh Krishna Dairy Tulsipur</v>
          </cell>
          <cell r="E639" t="str">
            <v>MPG</v>
          </cell>
          <cell r="F639" t="str">
            <v>Direct</v>
          </cell>
          <cell r="G639">
            <v>428.70000000000005</v>
          </cell>
          <cell r="H639">
            <v>14122.220000000003</v>
          </cell>
          <cell r="I639">
            <v>468.26000000000005</v>
          </cell>
          <cell r="J639">
            <v>18169.85455379666</v>
          </cell>
          <cell r="K639">
            <v>0</v>
          </cell>
          <cell r="L639">
            <v>0</v>
          </cell>
          <cell r="M639">
            <v>468.26000000000005</v>
          </cell>
          <cell r="N639">
            <v>18169.85455379666</v>
          </cell>
          <cell r="O639">
            <v>14122.220000000003</v>
          </cell>
          <cell r="P639">
            <v>0</v>
          </cell>
          <cell r="Q639">
            <v>0</v>
          </cell>
          <cell r="R639">
            <v>4047.6345537966572</v>
          </cell>
          <cell r="S639">
            <v>0</v>
          </cell>
          <cell r="T639">
            <v>0</v>
          </cell>
        </row>
        <row r="640">
          <cell r="C640">
            <v>10480016</v>
          </cell>
          <cell r="D640" t="str">
            <v>Gomukh Lauwalagam</v>
          </cell>
          <cell r="E640" t="str">
            <v>MPG</v>
          </cell>
          <cell r="F640" t="str">
            <v>Direct</v>
          </cell>
          <cell r="G640">
            <v>106.5</v>
          </cell>
          <cell r="H640">
            <v>3534.39</v>
          </cell>
          <cell r="I640">
            <v>113.8</v>
          </cell>
          <cell r="J640">
            <v>3925.4743206360008</v>
          </cell>
          <cell r="K640">
            <v>0</v>
          </cell>
          <cell r="L640">
            <v>0</v>
          </cell>
          <cell r="M640">
            <v>113.8</v>
          </cell>
          <cell r="N640">
            <v>3925.4743206360008</v>
          </cell>
          <cell r="O640">
            <v>3534.39</v>
          </cell>
          <cell r="P640">
            <v>0</v>
          </cell>
          <cell r="Q640">
            <v>0</v>
          </cell>
          <cell r="R640">
            <v>391.08432063600094</v>
          </cell>
          <cell r="S640">
            <v>0</v>
          </cell>
          <cell r="T640">
            <v>0</v>
          </cell>
        </row>
        <row r="641">
          <cell r="C641">
            <v>10480022</v>
          </cell>
          <cell r="D641" t="str">
            <v>Dhobina Basa</v>
          </cell>
          <cell r="E641" t="str">
            <v>MPG</v>
          </cell>
          <cell r="F641" t="str">
            <v>Direct</v>
          </cell>
          <cell r="G641">
            <v>575.19999999999993</v>
          </cell>
          <cell r="H641">
            <v>21398.270000000004</v>
          </cell>
          <cell r="I641">
            <v>254.59999999999997</v>
          </cell>
          <cell r="J641">
            <v>9801.1892563199999</v>
          </cell>
          <cell r="K641">
            <v>257.59999999999997</v>
          </cell>
          <cell r="L641">
            <v>9921.3253484400011</v>
          </cell>
          <cell r="M641">
            <v>512.19999999999993</v>
          </cell>
          <cell r="N641">
            <v>19722.514604759999</v>
          </cell>
          <cell r="O641">
            <v>19722.514604759999</v>
          </cell>
          <cell r="P641">
            <v>0</v>
          </cell>
          <cell r="Q641">
            <v>79.400288880000019</v>
          </cell>
          <cell r="R641">
            <v>0</v>
          </cell>
          <cell r="S641">
            <v>0</v>
          </cell>
          <cell r="T641">
            <v>0</v>
          </cell>
        </row>
        <row r="642">
          <cell r="C642">
            <v>10480023</v>
          </cell>
          <cell r="D642" t="str">
            <v>Gomukh Shreepur Madhay</v>
          </cell>
          <cell r="E642" t="str">
            <v>MPG</v>
          </cell>
          <cell r="F642" t="str">
            <v>Direct</v>
          </cell>
          <cell r="G642">
            <v>1283.6000000000004</v>
          </cell>
          <cell r="H642">
            <v>49979.18</v>
          </cell>
          <cell r="I642">
            <v>1244</v>
          </cell>
          <cell r="J642">
            <v>49253.058439200016</v>
          </cell>
          <cell r="K642">
            <v>40.500000000000007</v>
          </cell>
          <cell r="L642">
            <v>1595.1978306000001</v>
          </cell>
          <cell r="M642">
            <v>1284.5</v>
          </cell>
          <cell r="N642">
            <v>50848.256269800018</v>
          </cell>
          <cell r="O642">
            <v>49979.18</v>
          </cell>
          <cell r="P642">
            <v>0</v>
          </cell>
          <cell r="Q642">
            <v>1284.725277</v>
          </cell>
          <cell r="R642">
            <v>869.07626980001805</v>
          </cell>
          <cell r="S642">
            <v>0</v>
          </cell>
          <cell r="T642">
            <v>0</v>
          </cell>
        </row>
        <row r="643">
          <cell r="C643">
            <v>10480028</v>
          </cell>
          <cell r="D643" t="str">
            <v>Gomukh Dhoriya Dadpur -VLC</v>
          </cell>
          <cell r="E643" t="str">
            <v>vlc</v>
          </cell>
          <cell r="F643" t="str">
            <v>Indirect</v>
          </cell>
          <cell r="G643">
            <v>60.3</v>
          </cell>
          <cell r="H643">
            <v>2191.6799999999998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2191.6799999999998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</row>
        <row r="644">
          <cell r="C644">
            <v>10480033</v>
          </cell>
          <cell r="D644" t="str">
            <v>Gomukh Mohanpur  VLC</v>
          </cell>
          <cell r="E644" t="str">
            <v>vlc</v>
          </cell>
          <cell r="F644" t="str">
            <v>Indirect</v>
          </cell>
          <cell r="G644">
            <v>310.59999999999997</v>
          </cell>
          <cell r="H644">
            <v>10585.45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10585.45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</row>
        <row r="645">
          <cell r="C645">
            <v>10480034</v>
          </cell>
          <cell r="D645" t="str">
            <v>Gomukh Abhirampur VLC</v>
          </cell>
          <cell r="E645" t="str">
            <v>vlc</v>
          </cell>
          <cell r="F645" t="str">
            <v>Indirect</v>
          </cell>
          <cell r="G645">
            <v>254.6</v>
          </cell>
          <cell r="H645">
            <v>9492.65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9492.65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</row>
        <row r="646">
          <cell r="C646">
            <v>10480036</v>
          </cell>
          <cell r="D646" t="str">
            <v>Gomukh Pachgachhia Vlc</v>
          </cell>
          <cell r="E646" t="str">
            <v>vlc</v>
          </cell>
          <cell r="F646" t="str">
            <v>Indirect</v>
          </cell>
          <cell r="G646">
            <v>178.6</v>
          </cell>
          <cell r="H646">
            <v>6456.8700000000008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6456.8700000000008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</row>
        <row r="647">
          <cell r="C647">
            <v>10500001</v>
          </cell>
          <cell r="D647" t="str">
            <v>KUNTHA M</v>
          </cell>
          <cell r="E647" t="str">
            <v>RMC</v>
          </cell>
          <cell r="F647" t="str">
            <v>Direct</v>
          </cell>
          <cell r="G647">
            <v>647</v>
          </cell>
          <cell r="H647">
            <v>16912.580000000002</v>
          </cell>
          <cell r="I647">
            <v>683.80000000000018</v>
          </cell>
          <cell r="J647">
            <v>24935.2316928</v>
          </cell>
          <cell r="K647">
            <v>10.8</v>
          </cell>
          <cell r="L647">
            <v>415.01940480000007</v>
          </cell>
          <cell r="M647">
            <v>694.60000000000014</v>
          </cell>
          <cell r="N647">
            <v>25350.251097600001</v>
          </cell>
          <cell r="O647">
            <v>16912.580000000002</v>
          </cell>
          <cell r="P647">
            <v>0</v>
          </cell>
          <cell r="Q647">
            <v>415.01940480000007</v>
          </cell>
          <cell r="R647">
            <v>8437.6710975999995</v>
          </cell>
          <cell r="S647">
            <v>0</v>
          </cell>
          <cell r="T647">
            <v>0</v>
          </cell>
        </row>
        <row r="648">
          <cell r="C648">
            <v>10510001</v>
          </cell>
          <cell r="D648" t="str">
            <v>ARAK</v>
          </cell>
          <cell r="E648" t="str">
            <v>MPG</v>
          </cell>
          <cell r="F648" t="str">
            <v>Direct</v>
          </cell>
          <cell r="G648">
            <v>1978.4999999999993</v>
          </cell>
          <cell r="H648">
            <v>72921.320000000007</v>
          </cell>
          <cell r="I648">
            <v>1980.7</v>
          </cell>
          <cell r="J648">
            <v>74485.387175496304</v>
          </cell>
          <cell r="K648">
            <v>12.4</v>
          </cell>
          <cell r="L648">
            <v>611.02941950915999</v>
          </cell>
          <cell r="M648">
            <v>1993.1000000000001</v>
          </cell>
          <cell r="N648">
            <v>75096.416595005459</v>
          </cell>
          <cell r="O648">
            <v>72921.320000000007</v>
          </cell>
          <cell r="P648">
            <v>0</v>
          </cell>
          <cell r="Q648">
            <v>611.02941950915999</v>
          </cell>
          <cell r="R648">
            <v>2175.0965950054524</v>
          </cell>
          <cell r="S648">
            <v>0</v>
          </cell>
          <cell r="T648">
            <v>0</v>
          </cell>
        </row>
        <row r="649">
          <cell r="C649">
            <v>10510002</v>
          </cell>
          <cell r="D649" t="str">
            <v>Diyaman</v>
          </cell>
          <cell r="E649" t="str">
            <v>MPG</v>
          </cell>
          <cell r="F649" t="str">
            <v>Direct</v>
          </cell>
          <cell r="G649">
            <v>1687.8999999999999</v>
          </cell>
          <cell r="H649">
            <v>66944.39</v>
          </cell>
          <cell r="I649">
            <v>1673.7999999999997</v>
          </cell>
          <cell r="J649">
            <v>67687.316028920322</v>
          </cell>
          <cell r="K649">
            <v>6.57</v>
          </cell>
          <cell r="L649">
            <v>261.88866158400003</v>
          </cell>
          <cell r="M649">
            <v>1680.3699999999997</v>
          </cell>
          <cell r="N649">
            <v>67949.204690504324</v>
          </cell>
          <cell r="O649">
            <v>66944.39</v>
          </cell>
          <cell r="P649">
            <v>0</v>
          </cell>
          <cell r="Q649">
            <v>261.88866158400003</v>
          </cell>
          <cell r="R649">
            <v>1004.814690504325</v>
          </cell>
          <cell r="S649">
            <v>0</v>
          </cell>
          <cell r="T649">
            <v>0</v>
          </cell>
        </row>
        <row r="650">
          <cell r="C650">
            <v>10510004</v>
          </cell>
          <cell r="D650" t="str">
            <v>HENHA</v>
          </cell>
          <cell r="E650" t="str">
            <v>MPG</v>
          </cell>
          <cell r="F650" t="str">
            <v>Direct</v>
          </cell>
          <cell r="G650">
            <v>2142.6999999999998</v>
          </cell>
          <cell r="H650">
            <v>79455.37</v>
          </cell>
          <cell r="I650">
            <v>2279.3000000000002</v>
          </cell>
          <cell r="J650">
            <v>94747.857834168011</v>
          </cell>
          <cell r="K650">
            <v>26.099999999999998</v>
          </cell>
          <cell r="L650">
            <v>1457.7932097326002</v>
          </cell>
          <cell r="M650">
            <v>2305.4</v>
          </cell>
          <cell r="N650">
            <v>96205.651043900609</v>
          </cell>
          <cell r="O650">
            <v>79455.37</v>
          </cell>
          <cell r="P650">
            <v>0</v>
          </cell>
          <cell r="Q650">
            <v>1457.7932097326002</v>
          </cell>
          <cell r="R650">
            <v>16750.281043900613</v>
          </cell>
          <cell r="S650">
            <v>0</v>
          </cell>
          <cell r="T650">
            <v>0</v>
          </cell>
        </row>
        <row r="651">
          <cell r="C651">
            <v>10520006</v>
          </cell>
          <cell r="D651" t="str">
            <v>Suddh Dairy</v>
          </cell>
          <cell r="E651" t="str">
            <v>vlc</v>
          </cell>
          <cell r="F651" t="str">
            <v>Indirect</v>
          </cell>
          <cell r="G651">
            <v>19251</v>
          </cell>
          <cell r="H651">
            <v>666304.07999999996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666304.07999999996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</row>
        <row r="652">
          <cell r="C652">
            <v>10520010</v>
          </cell>
          <cell r="D652" t="str">
            <v>Anik Kumar</v>
          </cell>
          <cell r="E652" t="str">
            <v>vlc</v>
          </cell>
          <cell r="F652" t="str">
            <v>Indirect</v>
          </cell>
          <cell r="G652">
            <v>5394</v>
          </cell>
          <cell r="H652">
            <v>214252.78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214252.78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</row>
        <row r="653">
          <cell r="C653">
            <v>10520011</v>
          </cell>
          <cell r="D653" t="str">
            <v>Nand Kishor Kumar</v>
          </cell>
          <cell r="E653" t="str">
            <v>vlc</v>
          </cell>
          <cell r="F653" t="str">
            <v>Indirect</v>
          </cell>
          <cell r="G653">
            <v>4100</v>
          </cell>
          <cell r="H653">
            <v>127100.5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127100.5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</row>
        <row r="654">
          <cell r="C654">
            <v>10530001</v>
          </cell>
          <cell r="D654" t="str">
            <v>Gomukh CHANDAULI</v>
          </cell>
          <cell r="E654" t="str">
            <v>MPG</v>
          </cell>
          <cell r="F654" t="str">
            <v>Direct</v>
          </cell>
          <cell r="G654">
            <v>1110.5</v>
          </cell>
          <cell r="H654">
            <v>45784.079999999994</v>
          </cell>
          <cell r="I654">
            <v>1108.2499999999998</v>
          </cell>
          <cell r="J654">
            <v>46461.536710520886</v>
          </cell>
          <cell r="K654">
            <v>10.55</v>
          </cell>
          <cell r="L654">
            <v>438.05492953200002</v>
          </cell>
          <cell r="M654">
            <v>1118.7999999999997</v>
          </cell>
          <cell r="N654">
            <v>46899.591640052888</v>
          </cell>
          <cell r="O654">
            <v>45784.079999999994</v>
          </cell>
          <cell r="P654">
            <v>0</v>
          </cell>
          <cell r="Q654">
            <v>438.05492953200002</v>
          </cell>
          <cell r="R654">
            <v>1115.5116400528932</v>
          </cell>
          <cell r="S654">
            <v>0</v>
          </cell>
          <cell r="T654">
            <v>0</v>
          </cell>
        </row>
        <row r="655">
          <cell r="C655">
            <v>10530002</v>
          </cell>
          <cell r="D655" t="str">
            <v>GOMUKH HATHA</v>
          </cell>
          <cell r="E655" t="str">
            <v>MPG</v>
          </cell>
          <cell r="F655" t="str">
            <v>Direct</v>
          </cell>
          <cell r="G655">
            <v>1115.3499999999999</v>
          </cell>
          <cell r="H655">
            <v>46414.610000000008</v>
          </cell>
          <cell r="I655">
            <v>1122.1799999999998</v>
          </cell>
          <cell r="J655">
            <v>46574.946786094319</v>
          </cell>
          <cell r="K655">
            <v>12.66</v>
          </cell>
          <cell r="L655">
            <v>542.341549332</v>
          </cell>
          <cell r="M655">
            <v>1134.8399999999999</v>
          </cell>
          <cell r="N655">
            <v>47117.288335426318</v>
          </cell>
          <cell r="O655">
            <v>46414.610000000008</v>
          </cell>
          <cell r="P655">
            <v>0</v>
          </cell>
          <cell r="Q655">
            <v>542.341549332</v>
          </cell>
          <cell r="R655">
            <v>702.67833542630979</v>
          </cell>
          <cell r="S655">
            <v>15263</v>
          </cell>
          <cell r="T655">
            <v>0</v>
          </cell>
        </row>
        <row r="656">
          <cell r="C656">
            <v>10530003</v>
          </cell>
          <cell r="D656" t="str">
            <v>GOMUKH VADEYA</v>
          </cell>
          <cell r="E656" t="str">
            <v>MPG</v>
          </cell>
          <cell r="F656" t="str">
            <v>Direct</v>
          </cell>
          <cell r="G656">
            <v>532.85</v>
          </cell>
          <cell r="H656">
            <v>23289.940000000002</v>
          </cell>
          <cell r="I656">
            <v>534.70000000000005</v>
          </cell>
          <cell r="J656">
            <v>22591.579550988623</v>
          </cell>
          <cell r="K656">
            <v>8.82</v>
          </cell>
          <cell r="L656">
            <v>679.31125042237977</v>
          </cell>
          <cell r="M656">
            <v>543.5200000000001</v>
          </cell>
          <cell r="N656">
            <v>23270.890801411002</v>
          </cell>
          <cell r="O656">
            <v>23270.890801411002</v>
          </cell>
          <cell r="P656">
            <v>0</v>
          </cell>
          <cell r="Q656">
            <v>679.31125042237977</v>
          </cell>
          <cell r="R656">
            <v>0</v>
          </cell>
          <cell r="S656">
            <v>874</v>
          </cell>
          <cell r="T656">
            <v>28.325332258064165</v>
          </cell>
        </row>
        <row r="657">
          <cell r="C657">
            <v>10530005</v>
          </cell>
          <cell r="D657" t="str">
            <v>GOMUKH CHANDPURA</v>
          </cell>
          <cell r="E657" t="str">
            <v>MPG</v>
          </cell>
          <cell r="F657" t="str">
            <v>Direct</v>
          </cell>
          <cell r="G657">
            <v>358.94999999999993</v>
          </cell>
          <cell r="H657">
            <v>16600.120000000003</v>
          </cell>
          <cell r="I657">
            <v>356.66999999999996</v>
          </cell>
          <cell r="J657">
            <v>16469.605614634951</v>
          </cell>
          <cell r="K657">
            <v>7.0100000000000007</v>
          </cell>
          <cell r="L657">
            <v>311.94000461124006</v>
          </cell>
          <cell r="M657">
            <v>363.67999999999995</v>
          </cell>
          <cell r="N657">
            <v>16781.54561924619</v>
          </cell>
          <cell r="O657">
            <v>16600.120000000003</v>
          </cell>
          <cell r="P657">
            <v>0</v>
          </cell>
          <cell r="Q657">
            <v>311.94000461124006</v>
          </cell>
          <cell r="R657">
            <v>181.42561924618713</v>
          </cell>
          <cell r="S657">
            <v>2062</v>
          </cell>
          <cell r="T657">
            <v>98.719519354838397</v>
          </cell>
        </row>
        <row r="658">
          <cell r="C658">
            <v>10530006</v>
          </cell>
          <cell r="D658" t="str">
            <v>GOMUKH BARGAMA</v>
          </cell>
          <cell r="E658" t="str">
            <v>MPG</v>
          </cell>
          <cell r="F658" t="str">
            <v>Direct</v>
          </cell>
          <cell r="G658">
            <v>1117.6499999999999</v>
          </cell>
          <cell r="H658">
            <v>44370.15</v>
          </cell>
          <cell r="I658">
            <v>1107.6299999999999</v>
          </cell>
          <cell r="J658">
            <v>42480.868489719898</v>
          </cell>
          <cell r="K658">
            <v>45.760000000000005</v>
          </cell>
          <cell r="L658">
            <v>1880.9878444848002</v>
          </cell>
          <cell r="M658">
            <v>1153.3899999999999</v>
          </cell>
          <cell r="N658">
            <v>44361.856334204698</v>
          </cell>
          <cell r="O658">
            <v>44361.856334204698</v>
          </cell>
          <cell r="P658">
            <v>0</v>
          </cell>
          <cell r="Q658">
            <v>1880.9878444848002</v>
          </cell>
          <cell r="R658">
            <v>0</v>
          </cell>
          <cell r="S658">
            <v>0</v>
          </cell>
          <cell r="T658">
            <v>0</v>
          </cell>
        </row>
        <row r="659">
          <cell r="C659">
            <v>10530007</v>
          </cell>
          <cell r="D659" t="str">
            <v>Gomukh Gograha Tola</v>
          </cell>
          <cell r="E659" t="str">
            <v>MPG</v>
          </cell>
          <cell r="F659" t="str">
            <v>Direct</v>
          </cell>
          <cell r="G659">
            <v>418.40000000000009</v>
          </cell>
          <cell r="H659">
            <v>18516.859999999997</v>
          </cell>
          <cell r="I659">
            <v>416.84000000000003</v>
          </cell>
          <cell r="J659">
            <v>18621.991393513388</v>
          </cell>
          <cell r="K659">
            <v>2.14</v>
          </cell>
          <cell r="L659">
            <v>98.208036445200008</v>
          </cell>
          <cell r="M659">
            <v>418.98</v>
          </cell>
          <cell r="N659">
            <v>18720.199429958589</v>
          </cell>
          <cell r="O659">
            <v>18516.859999999997</v>
          </cell>
          <cell r="P659">
            <v>0</v>
          </cell>
          <cell r="Q659">
            <v>98.208036445200008</v>
          </cell>
          <cell r="R659">
            <v>203.33942995859252</v>
          </cell>
          <cell r="S659">
            <v>0</v>
          </cell>
          <cell r="T659">
            <v>0</v>
          </cell>
        </row>
        <row r="660">
          <cell r="C660">
            <v>10530008</v>
          </cell>
          <cell r="D660" t="str">
            <v>Gomukh Patsara</v>
          </cell>
          <cell r="E660" t="str">
            <v>MPG</v>
          </cell>
          <cell r="F660" t="str">
            <v>Direct</v>
          </cell>
          <cell r="G660">
            <v>370.4</v>
          </cell>
          <cell r="H660">
            <v>18212.36</v>
          </cell>
          <cell r="I660">
            <v>368.90999999999997</v>
          </cell>
          <cell r="J660">
            <v>18099.423088720789</v>
          </cell>
          <cell r="K660">
            <v>3.5</v>
          </cell>
          <cell r="L660">
            <v>153.0389880658</v>
          </cell>
          <cell r="M660">
            <v>372.40999999999997</v>
          </cell>
          <cell r="N660">
            <v>18252.462076786589</v>
          </cell>
          <cell r="O660">
            <v>18212.36</v>
          </cell>
          <cell r="P660">
            <v>0</v>
          </cell>
          <cell r="Q660">
            <v>153.0389880658</v>
          </cell>
          <cell r="R660">
            <v>40.102076786588441</v>
          </cell>
          <cell r="S660">
            <v>0</v>
          </cell>
          <cell r="T660">
            <v>0</v>
          </cell>
        </row>
        <row r="661">
          <cell r="C661">
            <v>10530009</v>
          </cell>
          <cell r="D661" t="str">
            <v>Gomukh Singhiya</v>
          </cell>
          <cell r="E661" t="str">
            <v>vlc</v>
          </cell>
          <cell r="F661" t="str">
            <v>Indirect</v>
          </cell>
          <cell r="G661">
            <v>8347.7999999999993</v>
          </cell>
          <cell r="H661">
            <v>322996.66000000003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322996.66000000003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</row>
        <row r="662">
          <cell r="C662">
            <v>10530010</v>
          </cell>
          <cell r="D662" t="str">
            <v xml:space="preserve">Gomukh BALHA </v>
          </cell>
          <cell r="E662" t="str">
            <v>vlc</v>
          </cell>
          <cell r="F662" t="str">
            <v>Indirect</v>
          </cell>
          <cell r="G662">
            <v>2985.2999999999997</v>
          </cell>
          <cell r="H662">
            <v>122059.58999999998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122059.58999999998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</row>
        <row r="663">
          <cell r="C663">
            <v>10530015</v>
          </cell>
          <cell r="D663" t="str">
            <v>Gomukh Madhopur</v>
          </cell>
          <cell r="E663" t="str">
            <v>vlc</v>
          </cell>
          <cell r="F663" t="str">
            <v>Indirect</v>
          </cell>
          <cell r="G663">
            <v>344.75</v>
          </cell>
          <cell r="H663">
            <v>13993.02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13993.02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298.626570967742</v>
          </cell>
        </row>
        <row r="664">
          <cell r="C664">
            <v>10530016</v>
          </cell>
          <cell r="D664" t="str">
            <v>Gomukh Kalyanpur East</v>
          </cell>
          <cell r="E664" t="str">
            <v>vlc</v>
          </cell>
          <cell r="F664" t="str">
            <v>Indirect</v>
          </cell>
          <cell r="G664">
            <v>303.2</v>
          </cell>
          <cell r="H664">
            <v>11811.100000000002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11811.100000000002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493.30853225806408</v>
          </cell>
        </row>
        <row r="665">
          <cell r="C665">
            <v>10530017</v>
          </cell>
          <cell r="D665" t="str">
            <v>Gomukh Bazidpur</v>
          </cell>
          <cell r="E665" t="str">
            <v>vlc</v>
          </cell>
          <cell r="F665" t="str">
            <v>Indirect</v>
          </cell>
          <cell r="G665">
            <v>1479</v>
          </cell>
          <cell r="H665">
            <v>62471.099999999977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62471.099999999977</v>
          </cell>
          <cell r="P665">
            <v>0</v>
          </cell>
          <cell r="Q665">
            <v>0</v>
          </cell>
          <cell r="R665">
            <v>0</v>
          </cell>
          <cell r="S665">
            <v>7500</v>
          </cell>
          <cell r="T665">
            <v>0</v>
          </cell>
        </row>
        <row r="666">
          <cell r="C666">
            <v>10530018</v>
          </cell>
          <cell r="D666" t="str">
            <v>Gomukh Belsandi</v>
          </cell>
          <cell r="E666" t="str">
            <v>vlc</v>
          </cell>
          <cell r="F666" t="str">
            <v>Indirect</v>
          </cell>
          <cell r="G666">
            <v>973.9000000000002</v>
          </cell>
          <cell r="H666">
            <v>41597.629999999997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41597.629999999997</v>
          </cell>
          <cell r="P666">
            <v>0</v>
          </cell>
          <cell r="Q666">
            <v>0</v>
          </cell>
          <cell r="R666">
            <v>0</v>
          </cell>
          <cell r="S666">
            <v>1350</v>
          </cell>
          <cell r="T666">
            <v>0</v>
          </cell>
        </row>
        <row r="667">
          <cell r="C667">
            <v>10530029</v>
          </cell>
          <cell r="D667" t="str">
            <v>Gomukh Belsandi East</v>
          </cell>
          <cell r="E667" t="str">
            <v>vlc</v>
          </cell>
          <cell r="F667" t="str">
            <v>Indirect</v>
          </cell>
          <cell r="G667">
            <v>1241.3499999999999</v>
          </cell>
          <cell r="H667">
            <v>50972.87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50972.87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</row>
        <row r="668">
          <cell r="C668">
            <v>10530030</v>
          </cell>
          <cell r="D668" t="str">
            <v>Gomukh Belsandi West Tola</v>
          </cell>
          <cell r="E668" t="str">
            <v>vlc</v>
          </cell>
          <cell r="F668" t="str">
            <v>Indirect</v>
          </cell>
          <cell r="G668">
            <v>218.20000000000002</v>
          </cell>
          <cell r="H668">
            <v>8275.18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8275.18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291.11587741935512</v>
          </cell>
        </row>
        <row r="669">
          <cell r="C669">
            <v>10530031</v>
          </cell>
          <cell r="D669" t="str">
            <v>Gomukh Gopalpur</v>
          </cell>
          <cell r="E669" t="str">
            <v>vlc</v>
          </cell>
          <cell r="F669" t="str">
            <v>Indirect</v>
          </cell>
          <cell r="G669">
            <v>1396.75</v>
          </cell>
          <cell r="H669">
            <v>59225.47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59225.47</v>
          </cell>
          <cell r="P669">
            <v>0</v>
          </cell>
          <cell r="Q669">
            <v>0</v>
          </cell>
          <cell r="R669">
            <v>0</v>
          </cell>
          <cell r="S669">
            <v>1500</v>
          </cell>
          <cell r="T669">
            <v>0</v>
          </cell>
        </row>
        <row r="670">
          <cell r="C670">
            <v>10530032</v>
          </cell>
          <cell r="D670" t="str">
            <v>Gomukh Bharav</v>
          </cell>
          <cell r="E670" t="str">
            <v>MPG</v>
          </cell>
          <cell r="F670" t="str">
            <v>Direct</v>
          </cell>
          <cell r="G670">
            <v>454.49999999999989</v>
          </cell>
          <cell r="H670">
            <v>23517.410000000003</v>
          </cell>
          <cell r="I670">
            <v>456.88000000000005</v>
          </cell>
          <cell r="J670">
            <v>23172.51078523164</v>
          </cell>
          <cell r="K670">
            <v>7.34</v>
          </cell>
          <cell r="L670">
            <v>339.41820916408005</v>
          </cell>
          <cell r="M670">
            <v>464.22</v>
          </cell>
          <cell r="N670">
            <v>23511.928994395719</v>
          </cell>
          <cell r="O670">
            <v>23511.928994395719</v>
          </cell>
          <cell r="P670">
            <v>0</v>
          </cell>
          <cell r="Q670">
            <v>339.41820916408005</v>
          </cell>
          <cell r="R670">
            <v>0</v>
          </cell>
          <cell r="S670">
            <v>1500</v>
          </cell>
          <cell r="T670">
            <v>0</v>
          </cell>
        </row>
        <row r="671">
          <cell r="C671">
            <v>10530033</v>
          </cell>
          <cell r="D671" t="str">
            <v>Gomukh Harpur</v>
          </cell>
          <cell r="E671" t="str">
            <v>MPG</v>
          </cell>
          <cell r="F671" t="str">
            <v>Direct</v>
          </cell>
          <cell r="G671">
            <v>938.19999999999993</v>
          </cell>
          <cell r="H671">
            <v>38381.990000000005</v>
          </cell>
          <cell r="I671">
            <v>929.9899999999999</v>
          </cell>
          <cell r="J671">
            <v>37767.969057426184</v>
          </cell>
          <cell r="K671">
            <v>13.709999999999999</v>
          </cell>
          <cell r="L671">
            <v>547.66442924820001</v>
          </cell>
          <cell r="M671">
            <v>943.69999999999993</v>
          </cell>
          <cell r="N671">
            <v>38315.633486674385</v>
          </cell>
          <cell r="O671">
            <v>38315.633486674385</v>
          </cell>
          <cell r="P671">
            <v>0</v>
          </cell>
          <cell r="Q671">
            <v>547.66442924820001</v>
          </cell>
          <cell r="R671">
            <v>0</v>
          </cell>
          <cell r="S671">
            <v>0</v>
          </cell>
          <cell r="T671">
            <v>0</v>
          </cell>
        </row>
        <row r="672">
          <cell r="C672">
            <v>10530034</v>
          </cell>
          <cell r="D672" t="str">
            <v>Gomukh Fulhatta</v>
          </cell>
          <cell r="E672" t="str">
            <v>MPG</v>
          </cell>
          <cell r="F672" t="str">
            <v>Direct</v>
          </cell>
          <cell r="G672">
            <v>856.74999999999989</v>
          </cell>
          <cell r="H672">
            <v>43941.419999999991</v>
          </cell>
          <cell r="I672">
            <v>868.51</v>
          </cell>
          <cell r="J672">
            <v>44068.738633959889</v>
          </cell>
          <cell r="K672">
            <v>0</v>
          </cell>
          <cell r="L672">
            <v>0</v>
          </cell>
          <cell r="M672">
            <v>868.51</v>
          </cell>
          <cell r="N672">
            <v>44068.738633959889</v>
          </cell>
          <cell r="O672">
            <v>43941.419999999991</v>
          </cell>
          <cell r="P672">
            <v>0</v>
          </cell>
          <cell r="Q672">
            <v>0</v>
          </cell>
          <cell r="R672">
            <v>127.31863395989785</v>
          </cell>
          <cell r="S672">
            <v>0</v>
          </cell>
          <cell r="T672">
            <v>0</v>
          </cell>
        </row>
        <row r="673">
          <cell r="C673">
            <v>10530035</v>
          </cell>
          <cell r="D673" t="str">
            <v>Gomukh Birauli Khurd</v>
          </cell>
          <cell r="E673" t="str">
            <v>MPG</v>
          </cell>
          <cell r="F673" t="str">
            <v>Direct</v>
          </cell>
          <cell r="G673">
            <v>507.44999999999993</v>
          </cell>
          <cell r="H673">
            <v>22094.400000000001</v>
          </cell>
          <cell r="I673">
            <v>523.09999999999991</v>
          </cell>
          <cell r="J673">
            <v>21442.256432516231</v>
          </cell>
          <cell r="K673">
            <v>14.589999999999998</v>
          </cell>
          <cell r="L673">
            <v>613.44358606221613</v>
          </cell>
          <cell r="M673">
            <v>537.68999999999994</v>
          </cell>
          <cell r="N673">
            <v>22055.700018578449</v>
          </cell>
          <cell r="O673">
            <v>22055.700018578449</v>
          </cell>
          <cell r="P673">
            <v>0</v>
          </cell>
          <cell r="Q673">
            <v>613.44358606221613</v>
          </cell>
          <cell r="R673">
            <v>0</v>
          </cell>
          <cell r="S673">
            <v>6882</v>
          </cell>
          <cell r="T673">
            <v>244.31533548387134</v>
          </cell>
        </row>
        <row r="674">
          <cell r="C674">
            <v>10530038</v>
          </cell>
          <cell r="D674" t="str">
            <v>Gomukh Bedauliya</v>
          </cell>
          <cell r="E674" t="str">
            <v>vlc</v>
          </cell>
          <cell r="F674" t="str">
            <v>Indirect</v>
          </cell>
          <cell r="G674">
            <v>502.84999999999997</v>
          </cell>
          <cell r="H674">
            <v>19767.069999999992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19767.069999999992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</row>
        <row r="675">
          <cell r="C675">
            <v>10530040</v>
          </cell>
          <cell r="D675" t="str">
            <v>Gomukh Khanua</v>
          </cell>
          <cell r="E675" t="str">
            <v>MPG</v>
          </cell>
          <cell r="F675" t="str">
            <v>Direct</v>
          </cell>
          <cell r="G675">
            <v>548.55000000000007</v>
          </cell>
          <cell r="H675">
            <v>23915.93</v>
          </cell>
          <cell r="I675">
            <v>535.07999999999993</v>
          </cell>
          <cell r="J675">
            <v>24051.992959026546</v>
          </cell>
          <cell r="K675">
            <v>6.02</v>
          </cell>
          <cell r="L675">
            <v>258.90100632000002</v>
          </cell>
          <cell r="M675">
            <v>541.09999999999991</v>
          </cell>
          <cell r="N675">
            <v>24310.893965346546</v>
          </cell>
          <cell r="O675">
            <v>23915.93</v>
          </cell>
          <cell r="P675">
            <v>0</v>
          </cell>
          <cell r="Q675">
            <v>258.90100632000002</v>
          </cell>
          <cell r="R675">
            <v>394.96396534654559</v>
          </cell>
          <cell r="S675">
            <v>2276</v>
          </cell>
          <cell r="T675">
            <v>0</v>
          </cell>
        </row>
        <row r="676">
          <cell r="C676">
            <v>10530041</v>
          </cell>
          <cell r="D676" t="str">
            <v>Gomukh Hiralalpur</v>
          </cell>
          <cell r="E676" t="str">
            <v>vlc</v>
          </cell>
          <cell r="F676" t="str">
            <v>Indirect</v>
          </cell>
          <cell r="G676">
            <v>2626.95</v>
          </cell>
          <cell r="H676">
            <v>105472.77000000002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105472.77000000002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</row>
        <row r="677">
          <cell r="C677">
            <v>10530044</v>
          </cell>
          <cell r="D677" t="str">
            <v>Gomukh Punas</v>
          </cell>
          <cell r="E677" t="str">
            <v>MPG</v>
          </cell>
          <cell r="F677" t="str">
            <v>Direct</v>
          </cell>
          <cell r="G677">
            <v>777.05</v>
          </cell>
          <cell r="H677">
            <v>34006.559999999998</v>
          </cell>
          <cell r="I677">
            <v>768.38999999999987</v>
          </cell>
          <cell r="J677">
            <v>33479.177795636038</v>
          </cell>
          <cell r="K677">
            <v>11.73</v>
          </cell>
          <cell r="L677">
            <v>493.188933996</v>
          </cell>
          <cell r="M677">
            <v>780.11999999999989</v>
          </cell>
          <cell r="N677">
            <v>33972.366729632042</v>
          </cell>
          <cell r="O677">
            <v>33972.366729632042</v>
          </cell>
          <cell r="P677">
            <v>0</v>
          </cell>
          <cell r="Q677">
            <v>493.188933996</v>
          </cell>
          <cell r="R677">
            <v>0</v>
          </cell>
          <cell r="S677">
            <v>0</v>
          </cell>
          <cell r="T677">
            <v>533.59714838709704</v>
          </cell>
        </row>
        <row r="678">
          <cell r="C678">
            <v>10530046</v>
          </cell>
          <cell r="D678" t="str">
            <v>Gomukh Loharkha</v>
          </cell>
          <cell r="E678" t="str">
            <v>MPG</v>
          </cell>
          <cell r="F678" t="str">
            <v>Direct</v>
          </cell>
          <cell r="G678">
            <v>425.95</v>
          </cell>
          <cell r="H678">
            <v>19473.02</v>
          </cell>
          <cell r="I678">
            <v>422.06</v>
          </cell>
          <cell r="J678">
            <v>19382.922376653001</v>
          </cell>
          <cell r="K678">
            <v>1.74</v>
          </cell>
          <cell r="L678">
            <v>85.22343681000001</v>
          </cell>
          <cell r="M678">
            <v>423.8</v>
          </cell>
          <cell r="N678">
            <v>19468.145813463001</v>
          </cell>
          <cell r="O678">
            <v>19468.145813463001</v>
          </cell>
          <cell r="P678">
            <v>0</v>
          </cell>
          <cell r="Q678">
            <v>85.22343681000001</v>
          </cell>
          <cell r="R678">
            <v>0</v>
          </cell>
          <cell r="S678">
            <v>0</v>
          </cell>
          <cell r="T678">
            <v>0</v>
          </cell>
        </row>
        <row r="679">
          <cell r="C679">
            <v>10530047</v>
          </cell>
          <cell r="D679" t="str">
            <v>Gomukh Dighra</v>
          </cell>
          <cell r="E679" t="str">
            <v>MPG</v>
          </cell>
          <cell r="F679" t="str">
            <v>Direct</v>
          </cell>
          <cell r="G679">
            <v>287.15000000000003</v>
          </cell>
          <cell r="H679">
            <v>9674.09</v>
          </cell>
          <cell r="I679">
            <v>287.19</v>
          </cell>
          <cell r="J679">
            <v>10086.466508137799</v>
          </cell>
          <cell r="K679">
            <v>1.32</v>
          </cell>
          <cell r="L679">
            <v>45.183500861399999</v>
          </cell>
          <cell r="M679">
            <v>288.51</v>
          </cell>
          <cell r="N679">
            <v>10131.650008999199</v>
          </cell>
          <cell r="O679">
            <v>9674.09</v>
          </cell>
          <cell r="P679">
            <v>0</v>
          </cell>
          <cell r="Q679">
            <v>45.183500861399999</v>
          </cell>
          <cell r="R679">
            <v>457.56000899919854</v>
          </cell>
          <cell r="S679">
            <v>0</v>
          </cell>
          <cell r="T679">
            <v>94.889912903225877</v>
          </cell>
        </row>
        <row r="680">
          <cell r="C680">
            <v>10530048</v>
          </cell>
          <cell r="D680" t="str">
            <v>Basuwari</v>
          </cell>
          <cell r="E680" t="str">
            <v>MPG</v>
          </cell>
          <cell r="F680" t="str">
            <v>Direct</v>
          </cell>
          <cell r="G680">
            <v>348.59999999999997</v>
          </cell>
          <cell r="H680">
            <v>12837.179999999998</v>
          </cell>
          <cell r="I680">
            <v>344.9199999999999</v>
          </cell>
          <cell r="J680">
            <v>12585.122812260184</v>
          </cell>
          <cell r="K680">
            <v>5.77</v>
          </cell>
          <cell r="L680">
            <v>227.89277617650603</v>
          </cell>
          <cell r="M680">
            <v>350.68999999999988</v>
          </cell>
          <cell r="N680">
            <v>12813.01558843669</v>
          </cell>
          <cell r="O680">
            <v>12813.01558843669</v>
          </cell>
          <cell r="P680">
            <v>0</v>
          </cell>
          <cell r="Q680">
            <v>227.89277617650603</v>
          </cell>
          <cell r="R680">
            <v>0</v>
          </cell>
          <cell r="S680">
            <v>0</v>
          </cell>
          <cell r="T680">
            <v>0</v>
          </cell>
        </row>
        <row r="681">
          <cell r="C681">
            <v>10530049</v>
          </cell>
          <cell r="D681" t="str">
            <v>Belsandi 3</v>
          </cell>
          <cell r="E681" t="str">
            <v>vlc</v>
          </cell>
          <cell r="F681" t="str">
            <v>Indirect</v>
          </cell>
          <cell r="G681">
            <v>1806.7999999999997</v>
          </cell>
          <cell r="H681">
            <v>68849.05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68849.05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</row>
        <row r="682">
          <cell r="C682">
            <v>10530050</v>
          </cell>
          <cell r="D682" t="str">
            <v>Gomukh Bhagwanpur</v>
          </cell>
          <cell r="E682" t="str">
            <v>vlc</v>
          </cell>
          <cell r="F682" t="str">
            <v>Indirect</v>
          </cell>
          <cell r="G682">
            <v>48.650000000000006</v>
          </cell>
          <cell r="H682">
            <v>2286.06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2286.06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408.58372258064514</v>
          </cell>
        </row>
        <row r="683">
          <cell r="C683">
            <v>10530055</v>
          </cell>
          <cell r="D683" t="str">
            <v>GOMUKH HARPUR W-13</v>
          </cell>
          <cell r="E683" t="str">
            <v>MPG</v>
          </cell>
          <cell r="F683" t="str">
            <v>Direct</v>
          </cell>
          <cell r="G683">
            <v>1924.8999999999999</v>
          </cell>
          <cell r="H683">
            <v>76006.280000000013</v>
          </cell>
          <cell r="I683">
            <v>1891.7700000000002</v>
          </cell>
          <cell r="J683">
            <v>74681.882705331562</v>
          </cell>
          <cell r="K683">
            <v>28.680000000000003</v>
          </cell>
          <cell r="L683">
            <v>1138.3862640480002</v>
          </cell>
          <cell r="M683">
            <v>1920.4500000000003</v>
          </cell>
          <cell r="N683">
            <v>75820.268969379569</v>
          </cell>
          <cell r="O683">
            <v>75820.268969379569</v>
          </cell>
          <cell r="P683">
            <v>0</v>
          </cell>
          <cell r="Q683">
            <v>1138.3862640480002</v>
          </cell>
          <cell r="R683">
            <v>0</v>
          </cell>
          <cell r="S683">
            <v>5243</v>
          </cell>
          <cell r="T683">
            <v>0</v>
          </cell>
        </row>
        <row r="684">
          <cell r="C684">
            <v>10530058</v>
          </cell>
          <cell r="D684" t="str">
            <v>Gomukh Ratwara</v>
          </cell>
          <cell r="E684" t="str">
            <v>MPG</v>
          </cell>
          <cell r="F684" t="str">
            <v>Direct</v>
          </cell>
          <cell r="G684">
            <v>168.8</v>
          </cell>
          <cell r="H684">
            <v>6244.94</v>
          </cell>
          <cell r="I684">
            <v>165.64</v>
          </cell>
          <cell r="J684">
            <v>6209.0161617330004</v>
          </cell>
          <cell r="K684">
            <v>0</v>
          </cell>
          <cell r="L684">
            <v>0</v>
          </cell>
          <cell r="M684">
            <v>165.64</v>
          </cell>
          <cell r="N684">
            <v>6209.0161617330004</v>
          </cell>
          <cell r="O684">
            <v>6209.0161617330004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</row>
        <row r="685">
          <cell r="C685">
            <v>10530059</v>
          </cell>
          <cell r="D685" t="str">
            <v>Gomukh Fulhara</v>
          </cell>
          <cell r="E685" t="str">
            <v>vlc</v>
          </cell>
          <cell r="F685" t="str">
            <v>Indirect</v>
          </cell>
          <cell r="G685">
            <v>1725.4499999999996</v>
          </cell>
          <cell r="H685">
            <v>81979.000000000015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81979.000000000015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</row>
        <row r="686">
          <cell r="C686">
            <v>10530060</v>
          </cell>
          <cell r="D686" t="str">
            <v>Gomukh Ranitola</v>
          </cell>
          <cell r="E686" t="str">
            <v>vlc</v>
          </cell>
          <cell r="F686" t="str">
            <v>Indirect</v>
          </cell>
          <cell r="G686">
            <v>477.25</v>
          </cell>
          <cell r="H686">
            <v>20125.480000000003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20125.480000000003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</row>
        <row r="687">
          <cell r="C687">
            <v>10530062</v>
          </cell>
          <cell r="D687" t="str">
            <v>Gomukh Malinagar East</v>
          </cell>
          <cell r="E687" t="str">
            <v>MPG</v>
          </cell>
          <cell r="F687" t="str">
            <v>Direct</v>
          </cell>
          <cell r="G687">
            <v>754.95000000000016</v>
          </cell>
          <cell r="H687">
            <v>31028.5</v>
          </cell>
          <cell r="I687">
            <v>755.99000000000012</v>
          </cell>
          <cell r="J687">
            <v>30889.631148361168</v>
          </cell>
          <cell r="K687">
            <v>4.4799999999999995</v>
          </cell>
          <cell r="L687">
            <v>185.66193800862004</v>
          </cell>
          <cell r="M687">
            <v>760.47000000000014</v>
          </cell>
          <cell r="N687">
            <v>31075.293086369787</v>
          </cell>
          <cell r="O687">
            <v>31028.5</v>
          </cell>
          <cell r="P687">
            <v>0</v>
          </cell>
          <cell r="Q687">
            <v>185.66193800862004</v>
          </cell>
          <cell r="R687">
            <v>46.793086369787488</v>
          </cell>
          <cell r="S687">
            <v>0</v>
          </cell>
          <cell r="T687">
            <v>0</v>
          </cell>
        </row>
        <row r="688">
          <cell r="C688">
            <v>10530063</v>
          </cell>
          <cell r="D688" t="str">
            <v>GOMUKH Singhiya Ward 11</v>
          </cell>
          <cell r="E688" t="str">
            <v>vlc</v>
          </cell>
          <cell r="F688" t="str">
            <v>Indirect</v>
          </cell>
          <cell r="G688">
            <v>107.30000000000001</v>
          </cell>
          <cell r="H688">
            <v>6061.6900000000005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6061.6900000000005</v>
          </cell>
          <cell r="P688">
            <v>0</v>
          </cell>
          <cell r="Q688">
            <v>0</v>
          </cell>
          <cell r="R688">
            <v>0</v>
          </cell>
          <cell r="S688">
            <v>3000</v>
          </cell>
          <cell r="T688">
            <v>595.2187258064514</v>
          </cell>
        </row>
        <row r="689">
          <cell r="C689">
            <v>10530064</v>
          </cell>
          <cell r="D689" t="str">
            <v>GOMUKH MANIYARPUR</v>
          </cell>
          <cell r="E689" t="str">
            <v>MPG</v>
          </cell>
          <cell r="F689" t="str">
            <v>Direct</v>
          </cell>
          <cell r="G689">
            <v>966.3</v>
          </cell>
          <cell r="H689">
            <v>40986.300000000003</v>
          </cell>
          <cell r="I689">
            <v>957.5200000000001</v>
          </cell>
          <cell r="J689">
            <v>40450.831841582301</v>
          </cell>
          <cell r="K689">
            <v>14.639999999999999</v>
          </cell>
          <cell r="L689">
            <v>629.27630686800001</v>
          </cell>
          <cell r="M689">
            <v>972.16000000000008</v>
          </cell>
          <cell r="N689">
            <v>41080.108148450301</v>
          </cell>
          <cell r="O689">
            <v>40986.300000000003</v>
          </cell>
          <cell r="P689">
            <v>0</v>
          </cell>
          <cell r="Q689">
            <v>629.27630686800001</v>
          </cell>
          <cell r="R689">
            <v>93.808148450298177</v>
          </cell>
          <cell r="S689">
            <v>7</v>
          </cell>
          <cell r="T689">
            <v>0</v>
          </cell>
        </row>
        <row r="690">
          <cell r="C690">
            <v>10530065</v>
          </cell>
          <cell r="D690" t="str">
            <v>GOMUKH DIGHRA W-6</v>
          </cell>
          <cell r="E690" t="str">
            <v>MPG</v>
          </cell>
          <cell r="F690" t="str">
            <v>Direct</v>
          </cell>
          <cell r="G690">
            <v>1267.2499999999998</v>
          </cell>
          <cell r="H690">
            <v>47350.14</v>
          </cell>
          <cell r="I690">
            <v>1263.32</v>
          </cell>
          <cell r="J690">
            <v>49027.714731940046</v>
          </cell>
          <cell r="K690">
            <v>8.6300000000000008</v>
          </cell>
          <cell r="L690">
            <v>361.22344911250008</v>
          </cell>
          <cell r="M690">
            <v>1271.95</v>
          </cell>
          <cell r="N690">
            <v>49388.938181052545</v>
          </cell>
          <cell r="O690">
            <v>47350.14</v>
          </cell>
          <cell r="P690">
            <v>0</v>
          </cell>
          <cell r="Q690">
            <v>361.22344911250008</v>
          </cell>
          <cell r="R690">
            <v>2038.7981810525453</v>
          </cell>
          <cell r="S690">
            <v>16263</v>
          </cell>
          <cell r="T690">
            <v>0</v>
          </cell>
        </row>
        <row r="691">
          <cell r="C691">
            <v>10530067</v>
          </cell>
          <cell r="D691" t="str">
            <v>GOMUKH BANDRA W-6</v>
          </cell>
          <cell r="E691" t="str">
            <v>MPG</v>
          </cell>
          <cell r="F691" t="str">
            <v>Direct</v>
          </cell>
          <cell r="G691">
            <v>549.6</v>
          </cell>
          <cell r="H691">
            <v>22512.560000000005</v>
          </cell>
          <cell r="I691">
            <v>556.37999999999988</v>
          </cell>
          <cell r="J691">
            <v>22178.826675229047</v>
          </cell>
          <cell r="K691">
            <v>8.18</v>
          </cell>
          <cell r="L691">
            <v>322.78840214940004</v>
          </cell>
          <cell r="M691">
            <v>564.55999999999983</v>
          </cell>
          <cell r="N691">
            <v>22501.615077378447</v>
          </cell>
          <cell r="O691">
            <v>22501.615077378447</v>
          </cell>
          <cell r="P691">
            <v>0</v>
          </cell>
          <cell r="Q691">
            <v>322.78840214940004</v>
          </cell>
          <cell r="R691">
            <v>0</v>
          </cell>
          <cell r="S691">
            <v>2535</v>
          </cell>
          <cell r="T691">
            <v>0</v>
          </cell>
        </row>
        <row r="692">
          <cell r="C692">
            <v>10530070</v>
          </cell>
          <cell r="D692" t="str">
            <v>GOMUKH PARAN 2</v>
          </cell>
          <cell r="E692" t="str">
            <v>MPG</v>
          </cell>
          <cell r="F692" t="str">
            <v>Direct</v>
          </cell>
          <cell r="G692">
            <v>134.75</v>
          </cell>
          <cell r="H692">
            <v>7185.24</v>
          </cell>
          <cell r="I692">
            <v>139.82</v>
          </cell>
          <cell r="J692">
            <v>7023.2246687107408</v>
          </cell>
          <cell r="K692">
            <v>3.15</v>
          </cell>
          <cell r="L692">
            <v>157.90380678089599</v>
          </cell>
          <cell r="M692">
            <v>142.97</v>
          </cell>
          <cell r="N692">
            <v>7181.1284754916369</v>
          </cell>
          <cell r="O692">
            <v>7181.1284754916369</v>
          </cell>
          <cell r="P692">
            <v>0</v>
          </cell>
          <cell r="Q692">
            <v>157.90380678089599</v>
          </cell>
          <cell r="R692">
            <v>0</v>
          </cell>
          <cell r="S692">
            <v>0</v>
          </cell>
          <cell r="T692">
            <v>0</v>
          </cell>
        </row>
        <row r="693">
          <cell r="C693">
            <v>10530071</v>
          </cell>
          <cell r="D693" t="str">
            <v>GOMUKH KHARAGPUR</v>
          </cell>
          <cell r="E693" t="str">
            <v>MPG</v>
          </cell>
          <cell r="F693" t="str">
            <v>Direct</v>
          </cell>
          <cell r="G693">
            <v>319.55</v>
          </cell>
          <cell r="H693">
            <v>16197.689999999999</v>
          </cell>
          <cell r="I693">
            <v>317.34000000000003</v>
          </cell>
          <cell r="J693">
            <v>16486.868718197304</v>
          </cell>
          <cell r="K693">
            <v>0</v>
          </cell>
          <cell r="L693">
            <v>0</v>
          </cell>
          <cell r="M693">
            <v>317.34000000000003</v>
          </cell>
          <cell r="N693">
            <v>16486.868718197304</v>
          </cell>
          <cell r="O693">
            <v>16197.689999999999</v>
          </cell>
          <cell r="P693">
            <v>0</v>
          </cell>
          <cell r="Q693">
            <v>0</v>
          </cell>
          <cell r="R693">
            <v>289.17871819730499</v>
          </cell>
          <cell r="S693">
            <v>0</v>
          </cell>
          <cell r="T693">
            <v>0</v>
          </cell>
        </row>
        <row r="694">
          <cell r="C694">
            <v>10530072</v>
          </cell>
          <cell r="D694" t="str">
            <v>KAMARGAMA</v>
          </cell>
          <cell r="E694" t="str">
            <v>vlc</v>
          </cell>
          <cell r="F694" t="str">
            <v>Indirect</v>
          </cell>
          <cell r="G694">
            <v>458.70000000000005</v>
          </cell>
          <cell r="H694">
            <v>26611.29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26611.29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</row>
        <row r="695">
          <cell r="C695">
            <v>10530074</v>
          </cell>
          <cell r="D695" t="str">
            <v>GOMUKH BALAHA W-9</v>
          </cell>
          <cell r="E695" t="str">
            <v>MPG</v>
          </cell>
          <cell r="F695" t="str">
            <v>Direct</v>
          </cell>
          <cell r="G695">
            <v>864.69999999999993</v>
          </cell>
          <cell r="H695">
            <v>32986.94</v>
          </cell>
          <cell r="I695">
            <v>853.2</v>
          </cell>
          <cell r="J695">
            <v>33076.675521883932</v>
          </cell>
          <cell r="K695">
            <v>11.95</v>
          </cell>
          <cell r="L695">
            <v>456.275341368</v>
          </cell>
          <cell r="M695">
            <v>865.15000000000009</v>
          </cell>
          <cell r="N695">
            <v>33532.950863251928</v>
          </cell>
          <cell r="O695">
            <v>32986.94</v>
          </cell>
          <cell r="P695">
            <v>0</v>
          </cell>
          <cell r="Q695">
            <v>456.275341368</v>
          </cell>
          <cell r="R695">
            <v>546.01086325192591</v>
          </cell>
          <cell r="S695">
            <v>3080</v>
          </cell>
          <cell r="T695">
            <v>0</v>
          </cell>
        </row>
        <row r="696">
          <cell r="C696">
            <v>10530076</v>
          </cell>
          <cell r="D696" t="str">
            <v>GOMUKH Madanpur W-3</v>
          </cell>
          <cell r="E696" t="str">
            <v>MPG</v>
          </cell>
          <cell r="F696" t="str">
            <v>Direct</v>
          </cell>
          <cell r="G696">
            <v>1795.45</v>
          </cell>
          <cell r="H696">
            <v>87948.400000000038</v>
          </cell>
          <cell r="I696">
            <v>1841.2899999999997</v>
          </cell>
          <cell r="J696">
            <v>86188.355088405064</v>
          </cell>
          <cell r="K696">
            <v>26.52</v>
          </cell>
          <cell r="L696">
            <v>1201.7695206492103</v>
          </cell>
          <cell r="M696">
            <v>1867.8099999999997</v>
          </cell>
          <cell r="N696">
            <v>87390.12460905427</v>
          </cell>
          <cell r="O696">
            <v>87390.12460905427</v>
          </cell>
          <cell r="P696">
            <v>0</v>
          </cell>
          <cell r="Q696">
            <v>1201.7695206492103</v>
          </cell>
          <cell r="R696">
            <v>0</v>
          </cell>
          <cell r="S696">
            <v>0</v>
          </cell>
          <cell r="T696">
            <v>0</v>
          </cell>
        </row>
        <row r="697">
          <cell r="C697">
            <v>10530077</v>
          </cell>
          <cell r="D697" t="str">
            <v>Gomukh Namapur East (08)</v>
          </cell>
          <cell r="E697" t="str">
            <v>vlc</v>
          </cell>
          <cell r="F697" t="str">
            <v>Indirect</v>
          </cell>
          <cell r="G697">
            <v>400</v>
          </cell>
          <cell r="H697">
            <v>14508.699999999999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14508.699999999999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</row>
        <row r="698">
          <cell r="C698">
            <v>10530078</v>
          </cell>
          <cell r="D698" t="str">
            <v>GOMUKH Kalaunjar</v>
          </cell>
          <cell r="E698" t="str">
            <v>MPG</v>
          </cell>
          <cell r="F698" t="str">
            <v>Direct</v>
          </cell>
          <cell r="G698">
            <v>467.4</v>
          </cell>
          <cell r="H698">
            <v>21070.859999999997</v>
          </cell>
          <cell r="I698">
            <v>470.61999999999989</v>
          </cell>
          <cell r="J698">
            <v>20103.728414651388</v>
          </cell>
          <cell r="K698">
            <v>22.520000000000003</v>
          </cell>
          <cell r="L698">
            <v>957.54215353120003</v>
          </cell>
          <cell r="M698">
            <v>493.13999999999987</v>
          </cell>
          <cell r="N698">
            <v>21061.27056818259</v>
          </cell>
          <cell r="O698">
            <v>21061.27056818259</v>
          </cell>
          <cell r="P698">
            <v>0</v>
          </cell>
          <cell r="Q698">
            <v>957.54215353120003</v>
          </cell>
          <cell r="R698">
            <v>0</v>
          </cell>
          <cell r="S698">
            <v>0</v>
          </cell>
          <cell r="T698">
            <v>0</v>
          </cell>
        </row>
        <row r="699">
          <cell r="C699">
            <v>10530079</v>
          </cell>
          <cell r="D699" t="str">
            <v>Jitwariya W-11</v>
          </cell>
          <cell r="E699" t="str">
            <v>vlc</v>
          </cell>
          <cell r="F699" t="str">
            <v>Indirect</v>
          </cell>
          <cell r="G699">
            <v>70.5</v>
          </cell>
          <cell r="H699">
            <v>2963.3900000000003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2963.3900000000003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157.1145387096775</v>
          </cell>
        </row>
        <row r="700">
          <cell r="C700">
            <v>10530080</v>
          </cell>
          <cell r="D700" t="str">
            <v>Pastara Lakshman</v>
          </cell>
          <cell r="E700" t="str">
            <v>vlc</v>
          </cell>
          <cell r="F700" t="str">
            <v>Indirect</v>
          </cell>
          <cell r="G700">
            <v>145.9</v>
          </cell>
          <cell r="H700">
            <v>4936.4400000000005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4936.4400000000005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321.71584838709703</v>
          </cell>
        </row>
        <row r="701">
          <cell r="C701">
            <v>10530081</v>
          </cell>
          <cell r="D701" t="str">
            <v>GOMUKH DADHIYA-2</v>
          </cell>
          <cell r="E701" t="str">
            <v>MPG</v>
          </cell>
          <cell r="F701" t="str">
            <v>Direct</v>
          </cell>
          <cell r="G701">
            <v>1529.95</v>
          </cell>
          <cell r="H701">
            <v>68574.48</v>
          </cell>
          <cell r="I701">
            <v>1536.8400000000001</v>
          </cell>
          <cell r="J701">
            <v>67578.712406357488</v>
          </cell>
          <cell r="K701">
            <v>22.810000000000002</v>
          </cell>
          <cell r="L701">
            <v>991.55841933149998</v>
          </cell>
          <cell r="M701">
            <v>1559.65</v>
          </cell>
          <cell r="N701">
            <v>68570.270825688989</v>
          </cell>
          <cell r="O701">
            <v>68570.270825688989</v>
          </cell>
          <cell r="P701">
            <v>0</v>
          </cell>
          <cell r="Q701">
            <v>991.55841933149998</v>
          </cell>
          <cell r="R701">
            <v>0</v>
          </cell>
          <cell r="S701">
            <v>0</v>
          </cell>
          <cell r="T701">
            <v>0</v>
          </cell>
        </row>
        <row r="702">
          <cell r="C702">
            <v>10530082</v>
          </cell>
          <cell r="D702" t="str">
            <v>GOMUKH PREMNAGAR</v>
          </cell>
          <cell r="E702" t="str">
            <v>MPG</v>
          </cell>
          <cell r="F702" t="str">
            <v>Direct</v>
          </cell>
          <cell r="G702">
            <v>1210.8999999999999</v>
          </cell>
          <cell r="H702">
            <v>48470.98</v>
          </cell>
          <cell r="I702">
            <v>1205.19</v>
          </cell>
          <cell r="J702">
            <v>47656.625796985871</v>
          </cell>
          <cell r="K702">
            <v>20.959999999999997</v>
          </cell>
          <cell r="L702">
            <v>810.73237845600011</v>
          </cell>
          <cell r="M702">
            <v>1226.1500000000001</v>
          </cell>
          <cell r="N702">
            <v>48467.35817544187</v>
          </cell>
          <cell r="O702">
            <v>48467.35817544187</v>
          </cell>
          <cell r="P702">
            <v>0</v>
          </cell>
          <cell r="Q702">
            <v>810.73237845600011</v>
          </cell>
          <cell r="R702">
            <v>0</v>
          </cell>
          <cell r="S702">
            <v>12844</v>
          </cell>
          <cell r="T702">
            <v>0</v>
          </cell>
        </row>
        <row r="703">
          <cell r="C703">
            <v>10530084</v>
          </cell>
          <cell r="D703" t="str">
            <v>GOMUKH JITWARIYA W-6</v>
          </cell>
          <cell r="E703" t="str">
            <v>MPG</v>
          </cell>
          <cell r="F703" t="str">
            <v>Direct</v>
          </cell>
          <cell r="G703">
            <v>1865.3999999999999</v>
          </cell>
          <cell r="H703">
            <v>76786.59</v>
          </cell>
          <cell r="I703">
            <v>1856.9799999999996</v>
          </cell>
          <cell r="J703">
            <v>75390.402189284549</v>
          </cell>
          <cell r="K703">
            <v>32.419999999999995</v>
          </cell>
          <cell r="L703">
            <v>1387.1039706711006</v>
          </cell>
          <cell r="M703">
            <v>1889.3999999999996</v>
          </cell>
          <cell r="N703">
            <v>76777.50615995565</v>
          </cell>
          <cell r="O703">
            <v>76777.50615995565</v>
          </cell>
          <cell r="P703">
            <v>0</v>
          </cell>
          <cell r="Q703">
            <v>1387.1039706711006</v>
          </cell>
          <cell r="R703">
            <v>0</v>
          </cell>
          <cell r="S703">
            <v>1927</v>
          </cell>
          <cell r="T703">
            <v>0</v>
          </cell>
        </row>
        <row r="704">
          <cell r="C704">
            <v>10530085</v>
          </cell>
          <cell r="D704" t="str">
            <v>GOMUKH SUSTA</v>
          </cell>
          <cell r="E704" t="str">
            <v>MPG</v>
          </cell>
          <cell r="F704" t="str">
            <v>Direct</v>
          </cell>
          <cell r="G704">
            <v>724.25</v>
          </cell>
          <cell r="H704">
            <v>32705.980000000003</v>
          </cell>
          <cell r="I704">
            <v>735.31999999999982</v>
          </cell>
          <cell r="J704">
            <v>32235.469325454545</v>
          </cell>
          <cell r="K704">
            <v>5.3</v>
          </cell>
          <cell r="L704">
            <v>460.71025235769986</v>
          </cell>
          <cell r="M704">
            <v>740.61999999999978</v>
          </cell>
          <cell r="N704">
            <v>32696.179577812247</v>
          </cell>
          <cell r="O704">
            <v>32696.179577812247</v>
          </cell>
          <cell r="P704">
            <v>0</v>
          </cell>
          <cell r="Q704">
            <v>460.71025235769986</v>
          </cell>
          <cell r="R704">
            <v>0</v>
          </cell>
          <cell r="S704">
            <v>12469</v>
          </cell>
          <cell r="T704">
            <v>0</v>
          </cell>
        </row>
        <row r="705">
          <cell r="C705">
            <v>10530089</v>
          </cell>
          <cell r="D705" t="str">
            <v>KHANPUR SOBHA</v>
          </cell>
          <cell r="E705" t="str">
            <v>vlc</v>
          </cell>
          <cell r="F705" t="str">
            <v>Indirect</v>
          </cell>
          <cell r="G705">
            <v>135.44999999999999</v>
          </cell>
          <cell r="H705">
            <v>5310.99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5310.99</v>
          </cell>
          <cell r="P705">
            <v>0</v>
          </cell>
          <cell r="Q705">
            <v>0</v>
          </cell>
          <cell r="R705">
            <v>0</v>
          </cell>
          <cell r="S705">
            <v>1350</v>
          </cell>
          <cell r="T705">
            <v>0</v>
          </cell>
        </row>
        <row r="706">
          <cell r="C706">
            <v>10530090</v>
          </cell>
          <cell r="D706" t="str">
            <v>BHATGAMA W-5</v>
          </cell>
          <cell r="E706" t="str">
            <v>vlc</v>
          </cell>
          <cell r="F706" t="str">
            <v>Indirect</v>
          </cell>
          <cell r="G706">
            <v>275.60999999999996</v>
          </cell>
          <cell r="H706">
            <v>10010.35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10010.35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</row>
        <row r="707">
          <cell r="C707">
            <v>10530091</v>
          </cell>
          <cell r="D707" t="str">
            <v>GOMUKH TOKE</v>
          </cell>
          <cell r="E707" t="str">
            <v>MPG</v>
          </cell>
          <cell r="F707" t="str">
            <v>Direct</v>
          </cell>
          <cell r="G707">
            <v>253.95</v>
          </cell>
          <cell r="H707">
            <v>12133.239999999998</v>
          </cell>
          <cell r="I707">
            <v>259.5</v>
          </cell>
          <cell r="J707">
            <v>11832.809513869253</v>
          </cell>
          <cell r="K707">
            <v>6.5999999999999988</v>
          </cell>
          <cell r="L707">
            <v>280.32339178795996</v>
          </cell>
          <cell r="M707">
            <v>266.10000000000002</v>
          </cell>
          <cell r="N707">
            <v>12113.132905657214</v>
          </cell>
          <cell r="O707">
            <v>12113.132905657214</v>
          </cell>
          <cell r="P707">
            <v>0</v>
          </cell>
          <cell r="Q707">
            <v>280.32339178795996</v>
          </cell>
          <cell r="R707">
            <v>0</v>
          </cell>
          <cell r="S707">
            <v>0</v>
          </cell>
          <cell r="T707">
            <v>81.680661290322533</v>
          </cell>
        </row>
        <row r="708">
          <cell r="C708">
            <v>10530092</v>
          </cell>
          <cell r="D708" t="str">
            <v>GOMUKH SHIVNAGAR</v>
          </cell>
          <cell r="E708" t="str">
            <v>MPG</v>
          </cell>
          <cell r="F708" t="str">
            <v>Direct</v>
          </cell>
          <cell r="G708">
            <v>1089.4499999999998</v>
          </cell>
          <cell r="H708">
            <v>42883.490000000005</v>
          </cell>
          <cell r="I708">
            <v>861</v>
          </cell>
          <cell r="J708">
            <v>33198.581183766553</v>
          </cell>
          <cell r="K708">
            <v>225.79999999999998</v>
          </cell>
          <cell r="L708">
            <v>9680.1698437480009</v>
          </cell>
          <cell r="M708">
            <v>1086.8</v>
          </cell>
          <cell r="N708">
            <v>42878.751027514554</v>
          </cell>
          <cell r="O708">
            <v>42878.751027514554</v>
          </cell>
          <cell r="P708">
            <v>0</v>
          </cell>
          <cell r="Q708">
            <v>845.18438490900019</v>
          </cell>
          <cell r="R708">
            <v>0</v>
          </cell>
          <cell r="S708">
            <v>5470</v>
          </cell>
          <cell r="T708">
            <v>0</v>
          </cell>
        </row>
        <row r="709">
          <cell r="C709">
            <v>10530093</v>
          </cell>
          <cell r="D709" t="str">
            <v>GOMUKH BAKHITIYARPUR</v>
          </cell>
          <cell r="E709" t="str">
            <v>MPG</v>
          </cell>
          <cell r="F709" t="str">
            <v>Direct</v>
          </cell>
          <cell r="G709">
            <v>1042.3</v>
          </cell>
          <cell r="H709">
            <v>46841.120000000003</v>
          </cell>
          <cell r="I709">
            <v>1027.9000000000001</v>
          </cell>
          <cell r="J709">
            <v>45698.499383020142</v>
          </cell>
          <cell r="K709">
            <v>27.4</v>
          </cell>
          <cell r="L709">
            <v>1131.69275208</v>
          </cell>
          <cell r="M709">
            <v>1055.3000000000002</v>
          </cell>
          <cell r="N709">
            <v>46830.192135100144</v>
          </cell>
          <cell r="O709">
            <v>46830.192135100144</v>
          </cell>
          <cell r="P709">
            <v>0</v>
          </cell>
          <cell r="Q709">
            <v>1131.69275208</v>
          </cell>
          <cell r="R709">
            <v>0</v>
          </cell>
          <cell r="S709">
            <v>6904</v>
          </cell>
          <cell r="T709">
            <v>0</v>
          </cell>
        </row>
        <row r="710">
          <cell r="C710">
            <v>10530096</v>
          </cell>
          <cell r="D710" t="str">
            <v>GOMUKH BHARJA</v>
          </cell>
          <cell r="E710" t="str">
            <v>MPG</v>
          </cell>
          <cell r="F710" t="str">
            <v>Direct</v>
          </cell>
          <cell r="G710">
            <v>340.65000000000003</v>
          </cell>
          <cell r="H710">
            <v>19365.410000000003</v>
          </cell>
          <cell r="I710">
            <v>358.70000000000005</v>
          </cell>
          <cell r="J710">
            <v>19765.3896762105</v>
          </cell>
          <cell r="K710">
            <v>0</v>
          </cell>
          <cell r="L710">
            <v>0</v>
          </cell>
          <cell r="M710">
            <v>358.70000000000005</v>
          </cell>
          <cell r="N710">
            <v>19765.3896762105</v>
          </cell>
          <cell r="O710">
            <v>19365.410000000003</v>
          </cell>
          <cell r="P710">
            <v>0</v>
          </cell>
          <cell r="Q710">
            <v>0</v>
          </cell>
          <cell r="R710">
            <v>399.97967621049611</v>
          </cell>
          <cell r="S710">
            <v>18323</v>
          </cell>
          <cell r="T710">
            <v>1042.1244290322584</v>
          </cell>
        </row>
        <row r="711">
          <cell r="C711">
            <v>10530097</v>
          </cell>
          <cell r="D711" t="str">
            <v>GOMUKH NAWABGANJ</v>
          </cell>
          <cell r="E711" t="str">
            <v>MPG</v>
          </cell>
          <cell r="F711" t="str">
            <v>Direct</v>
          </cell>
          <cell r="G711">
            <v>619.49999999999989</v>
          </cell>
          <cell r="H711">
            <v>26375.51</v>
          </cell>
          <cell r="I711">
            <v>615</v>
          </cell>
          <cell r="J711">
            <v>25812.185460769797</v>
          </cell>
          <cell r="K711">
            <v>11</v>
          </cell>
          <cell r="L711">
            <v>555.01192247688004</v>
          </cell>
          <cell r="M711">
            <v>626</v>
          </cell>
          <cell r="N711">
            <v>26367.197383246676</v>
          </cell>
          <cell r="O711">
            <v>26367.197383246676</v>
          </cell>
          <cell r="P711">
            <v>0</v>
          </cell>
          <cell r="Q711">
            <v>555.01192247688004</v>
          </cell>
          <cell r="R711">
            <v>0</v>
          </cell>
          <cell r="S711">
            <v>1500</v>
          </cell>
          <cell r="T711">
            <v>0</v>
          </cell>
        </row>
        <row r="712">
          <cell r="C712">
            <v>10530100</v>
          </cell>
          <cell r="D712" t="str">
            <v>GOMUKH CHAKKI</v>
          </cell>
          <cell r="E712" t="str">
            <v>MPG</v>
          </cell>
          <cell r="F712" t="str">
            <v>Direct</v>
          </cell>
          <cell r="G712">
            <v>262.65000000000003</v>
          </cell>
          <cell r="H712">
            <v>10552.960000000001</v>
          </cell>
          <cell r="I712">
            <v>254.99999999999997</v>
          </cell>
          <cell r="J712">
            <v>10580.21878047545</v>
          </cell>
          <cell r="K712">
            <v>3.25</v>
          </cell>
          <cell r="L712">
            <v>131.892487813</v>
          </cell>
          <cell r="M712">
            <v>258.25</v>
          </cell>
          <cell r="N712">
            <v>10712.11126828845</v>
          </cell>
          <cell r="O712">
            <v>10552.960000000001</v>
          </cell>
          <cell r="P712">
            <v>0</v>
          </cell>
          <cell r="Q712">
            <v>131.892487813</v>
          </cell>
          <cell r="R712">
            <v>159.1512682884495</v>
          </cell>
          <cell r="S712">
            <v>3350</v>
          </cell>
          <cell r="T712">
            <v>0</v>
          </cell>
        </row>
        <row r="713">
          <cell r="C713">
            <v>10530101</v>
          </cell>
          <cell r="D713" t="str">
            <v>GOMUKH LAKSHMAN NAGAR</v>
          </cell>
          <cell r="E713" t="str">
            <v>MPG</v>
          </cell>
          <cell r="F713" t="str">
            <v>Direct</v>
          </cell>
          <cell r="G713">
            <v>304.09999999999991</v>
          </cell>
          <cell r="H713">
            <v>13404.51</v>
          </cell>
          <cell r="I713">
            <v>299.99999999999994</v>
          </cell>
          <cell r="J713">
            <v>13282.839646635413</v>
          </cell>
          <cell r="K713">
            <v>2.8</v>
          </cell>
          <cell r="L713">
            <v>117.62741183625002</v>
          </cell>
          <cell r="M713">
            <v>302.79999999999995</v>
          </cell>
          <cell r="N713">
            <v>13400.467058471664</v>
          </cell>
          <cell r="O713">
            <v>13400.467058471664</v>
          </cell>
          <cell r="P713">
            <v>0</v>
          </cell>
          <cell r="Q713">
            <v>117.62741183625002</v>
          </cell>
          <cell r="R713">
            <v>0</v>
          </cell>
          <cell r="S713">
            <v>0</v>
          </cell>
          <cell r="T713">
            <v>0</v>
          </cell>
        </row>
        <row r="714">
          <cell r="C714">
            <v>10530102</v>
          </cell>
          <cell r="D714" t="str">
            <v>GOMUKH KOTHIYA</v>
          </cell>
          <cell r="E714" t="str">
            <v>MPG</v>
          </cell>
          <cell r="F714" t="str">
            <v>Direct</v>
          </cell>
          <cell r="G714">
            <v>93.949999999999974</v>
          </cell>
          <cell r="H714">
            <v>3892.1800000000003</v>
          </cell>
          <cell r="I714">
            <v>78.8</v>
          </cell>
          <cell r="J714">
            <v>2924.5975809623451</v>
          </cell>
          <cell r="K714">
            <v>0.2</v>
          </cell>
          <cell r="L714">
            <v>7.7142756240000017</v>
          </cell>
          <cell r="M714">
            <v>79</v>
          </cell>
          <cell r="N714">
            <v>2932.3118565863451</v>
          </cell>
          <cell r="O714">
            <v>2932.3118565863451</v>
          </cell>
          <cell r="P714">
            <v>0</v>
          </cell>
          <cell r="Q714">
            <v>7.7142756240000017</v>
          </cell>
          <cell r="R714">
            <v>0</v>
          </cell>
          <cell r="S714">
            <v>0</v>
          </cell>
          <cell r="T714">
            <v>0</v>
          </cell>
        </row>
        <row r="715">
          <cell r="C715">
            <v>10530103</v>
          </cell>
          <cell r="D715" t="str">
            <v>GOMUKH JHAHURI</v>
          </cell>
          <cell r="E715" t="str">
            <v>MPG</v>
          </cell>
          <cell r="F715" t="str">
            <v>Direct</v>
          </cell>
          <cell r="G715">
            <v>2307.7000000000003</v>
          </cell>
          <cell r="H715">
            <v>100492.76000000002</v>
          </cell>
          <cell r="I715">
            <v>2269.0000000000005</v>
          </cell>
          <cell r="J715">
            <v>99209.875874925448</v>
          </cell>
          <cell r="K715">
            <v>29.199999999999996</v>
          </cell>
          <cell r="L715">
            <v>1251.7182432900001</v>
          </cell>
          <cell r="M715">
            <v>2298.2000000000003</v>
          </cell>
          <cell r="N715">
            <v>100461.59411821545</v>
          </cell>
          <cell r="O715">
            <v>100461.59411821545</v>
          </cell>
          <cell r="P715">
            <v>0</v>
          </cell>
          <cell r="Q715">
            <v>1251.7182432900001</v>
          </cell>
          <cell r="R715">
            <v>0</v>
          </cell>
          <cell r="S715">
            <v>13500</v>
          </cell>
          <cell r="T715">
            <v>0</v>
          </cell>
        </row>
        <row r="716">
          <cell r="C716">
            <v>10530105</v>
          </cell>
          <cell r="D716" t="str">
            <v>GOMUKH Gopalpur Ward 1</v>
          </cell>
          <cell r="E716" t="str">
            <v>MPG</v>
          </cell>
          <cell r="F716" t="str">
            <v>Direct</v>
          </cell>
          <cell r="G716">
            <v>159.85</v>
          </cell>
          <cell r="H716">
            <v>6275.0300000000007</v>
          </cell>
          <cell r="I716">
            <v>160.66999999999999</v>
          </cell>
          <cell r="J716">
            <v>5983.2741153240004</v>
          </cell>
          <cell r="K716">
            <v>1.2000000000000002</v>
          </cell>
          <cell r="L716">
            <v>45.128176632000006</v>
          </cell>
          <cell r="M716">
            <v>161.86999999999998</v>
          </cell>
          <cell r="N716">
            <v>6028.4022919560002</v>
          </cell>
          <cell r="O716">
            <v>6028.4022919560002</v>
          </cell>
          <cell r="P716">
            <v>0</v>
          </cell>
          <cell r="Q716">
            <v>45.128176632000006</v>
          </cell>
          <cell r="R716">
            <v>0</v>
          </cell>
          <cell r="S716">
            <v>0</v>
          </cell>
          <cell r="T716">
            <v>0</v>
          </cell>
        </row>
        <row r="717">
          <cell r="C717">
            <v>10530106</v>
          </cell>
          <cell r="D717" t="str">
            <v>GOMUKH Keotsa</v>
          </cell>
          <cell r="E717" t="str">
            <v>MPG</v>
          </cell>
          <cell r="F717" t="str">
            <v>Direct</v>
          </cell>
          <cell r="G717">
            <v>418.3</v>
          </cell>
          <cell r="H717">
            <v>14815.300000000001</v>
          </cell>
          <cell r="I717">
            <v>412.96</v>
          </cell>
          <cell r="J717">
            <v>14742.103308912221</v>
          </cell>
          <cell r="K717">
            <v>5.63</v>
          </cell>
          <cell r="L717">
            <v>209.1094522308</v>
          </cell>
          <cell r="M717">
            <v>418.59</v>
          </cell>
          <cell r="N717">
            <v>14951.212761143021</v>
          </cell>
          <cell r="O717">
            <v>14815.300000000001</v>
          </cell>
          <cell r="P717">
            <v>0</v>
          </cell>
          <cell r="Q717">
            <v>209.1094522308</v>
          </cell>
          <cell r="R717">
            <v>135.91276114301945</v>
          </cell>
          <cell r="S717">
            <v>2700</v>
          </cell>
          <cell r="T717">
            <v>0</v>
          </cell>
        </row>
        <row r="718">
          <cell r="C718">
            <v>10530107</v>
          </cell>
          <cell r="D718" t="str">
            <v>Gomukh Namapur East</v>
          </cell>
          <cell r="E718" t="str">
            <v>vlc</v>
          </cell>
          <cell r="F718" t="str">
            <v>Indirect</v>
          </cell>
          <cell r="G718">
            <v>196.3</v>
          </cell>
          <cell r="H718">
            <v>10658.96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10658.96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</row>
        <row r="719">
          <cell r="C719">
            <v>10530108</v>
          </cell>
          <cell r="D719" t="str">
            <v>GOMUKH Waini</v>
          </cell>
          <cell r="E719" t="str">
            <v>MPG</v>
          </cell>
          <cell r="F719" t="str">
            <v>Direct</v>
          </cell>
          <cell r="G719">
            <v>204.20000000000005</v>
          </cell>
          <cell r="H719">
            <v>8261.369999999999</v>
          </cell>
          <cell r="I719">
            <v>210.51999999999998</v>
          </cell>
          <cell r="J719">
            <v>8066.9766462516009</v>
          </cell>
          <cell r="K719">
            <v>4.97</v>
          </cell>
          <cell r="L719">
            <v>184.12398132480004</v>
          </cell>
          <cell r="M719">
            <v>215.48999999999998</v>
          </cell>
          <cell r="N719">
            <v>8251.1006275764012</v>
          </cell>
          <cell r="O719">
            <v>8251.1006275764012</v>
          </cell>
          <cell r="P719">
            <v>0</v>
          </cell>
          <cell r="Q719">
            <v>184.12398132480004</v>
          </cell>
          <cell r="R719">
            <v>0</v>
          </cell>
          <cell r="S719">
            <v>0</v>
          </cell>
          <cell r="T719">
            <v>0</v>
          </cell>
        </row>
        <row r="720">
          <cell r="C720">
            <v>10530109</v>
          </cell>
          <cell r="D720" t="str">
            <v>GOMUKH SAKARI</v>
          </cell>
          <cell r="E720" t="str">
            <v>MPG</v>
          </cell>
          <cell r="F720" t="str">
            <v>Direct</v>
          </cell>
          <cell r="G720">
            <v>1524.8999999999996</v>
          </cell>
          <cell r="H720">
            <v>63629.469999999994</v>
          </cell>
          <cell r="I720">
            <v>1514.59</v>
          </cell>
          <cell r="J720">
            <v>63600.378444870628</v>
          </cell>
          <cell r="K720">
            <v>8.379999999999999</v>
          </cell>
          <cell r="L720">
            <v>363.67401007490008</v>
          </cell>
          <cell r="M720">
            <v>1522.97</v>
          </cell>
          <cell r="N720">
            <v>63964.052454945529</v>
          </cell>
          <cell r="O720">
            <v>63629.469999999994</v>
          </cell>
          <cell r="P720">
            <v>0</v>
          </cell>
          <cell r="Q720">
            <v>363.67401007490008</v>
          </cell>
          <cell r="R720">
            <v>334.58245494553557</v>
          </cell>
          <cell r="S720">
            <v>27882</v>
          </cell>
          <cell r="T720">
            <v>0</v>
          </cell>
        </row>
        <row r="721">
          <cell r="C721">
            <v>10530110</v>
          </cell>
          <cell r="D721" t="str">
            <v>GOMUKH DHOBGAMA</v>
          </cell>
          <cell r="E721" t="str">
            <v>MPG</v>
          </cell>
          <cell r="F721" t="str">
            <v>Direct</v>
          </cell>
          <cell r="G721">
            <v>717.69999999999982</v>
          </cell>
          <cell r="H721">
            <v>28659.190000000002</v>
          </cell>
          <cell r="I721">
            <v>695.44999999999982</v>
          </cell>
          <cell r="J721">
            <v>27202.761907930304</v>
          </cell>
          <cell r="K721">
            <v>34.809999999999988</v>
          </cell>
          <cell r="L721">
            <v>1393.8447849480003</v>
          </cell>
          <cell r="M721">
            <v>730.25999999999976</v>
          </cell>
          <cell r="N721">
            <v>28596.606692878304</v>
          </cell>
          <cell r="O721">
            <v>28596.606692878304</v>
          </cell>
          <cell r="P721">
            <v>0</v>
          </cell>
          <cell r="Q721">
            <v>1393.8447849480003</v>
          </cell>
          <cell r="R721">
            <v>0</v>
          </cell>
          <cell r="S721">
            <v>0</v>
          </cell>
          <cell r="T721">
            <v>0</v>
          </cell>
        </row>
        <row r="722">
          <cell r="C722">
            <v>10530111</v>
          </cell>
          <cell r="D722" t="str">
            <v>GOMUKH BHUSKOUL</v>
          </cell>
          <cell r="E722" t="str">
            <v>MPG</v>
          </cell>
          <cell r="F722" t="str">
            <v>Direct</v>
          </cell>
          <cell r="G722">
            <v>718.25</v>
          </cell>
          <cell r="H722">
            <v>29023.54</v>
          </cell>
          <cell r="I722">
            <v>709.45</v>
          </cell>
          <cell r="J722">
            <v>27860.066532678109</v>
          </cell>
          <cell r="K722">
            <v>12</v>
          </cell>
          <cell r="L722">
            <v>479.69605846800005</v>
          </cell>
          <cell r="M722">
            <v>721.45</v>
          </cell>
          <cell r="N722">
            <v>28339.762591146107</v>
          </cell>
          <cell r="O722">
            <v>28339.762591146107</v>
          </cell>
          <cell r="P722">
            <v>0</v>
          </cell>
          <cell r="Q722">
            <v>479.69605846800005</v>
          </cell>
          <cell r="R722">
            <v>0</v>
          </cell>
          <cell r="S722">
            <v>0</v>
          </cell>
          <cell r="T722">
            <v>0</v>
          </cell>
        </row>
        <row r="723">
          <cell r="C723">
            <v>10530112</v>
          </cell>
          <cell r="D723" t="str">
            <v>GOMUKH BIRSINGHPUR</v>
          </cell>
          <cell r="E723" t="str">
            <v>MPG</v>
          </cell>
          <cell r="F723" t="str">
            <v>Direct</v>
          </cell>
          <cell r="G723">
            <v>318.95000000000005</v>
          </cell>
          <cell r="H723">
            <v>12242.99</v>
          </cell>
          <cell r="I723">
            <v>323.71999999999991</v>
          </cell>
          <cell r="J723">
            <v>12541.896203644805</v>
          </cell>
          <cell r="K723">
            <v>0.05</v>
          </cell>
          <cell r="L723">
            <v>1.9866547800000003</v>
          </cell>
          <cell r="M723">
            <v>323.76999999999992</v>
          </cell>
          <cell r="N723">
            <v>12543.882858424804</v>
          </cell>
          <cell r="O723">
            <v>12242.99</v>
          </cell>
          <cell r="P723">
            <v>0</v>
          </cell>
          <cell r="Q723">
            <v>1.9866547800000003</v>
          </cell>
          <cell r="R723">
            <v>300.89285842480422</v>
          </cell>
          <cell r="S723">
            <v>0</v>
          </cell>
          <cell r="T723">
            <v>0</v>
          </cell>
        </row>
        <row r="724">
          <cell r="C724">
            <v>10530113</v>
          </cell>
          <cell r="D724" t="str">
            <v>GOMUKH GHOSRAWAN</v>
          </cell>
          <cell r="E724" t="str">
            <v>MPG</v>
          </cell>
          <cell r="F724" t="str">
            <v>Direct</v>
          </cell>
          <cell r="G724">
            <v>486.75</v>
          </cell>
          <cell r="H724">
            <v>18792.88</v>
          </cell>
          <cell r="I724">
            <v>491.28</v>
          </cell>
          <cell r="J724">
            <v>19498.614495669215</v>
          </cell>
          <cell r="K724">
            <v>3.9199999999999995</v>
          </cell>
          <cell r="L724">
            <v>154.0150265808</v>
          </cell>
          <cell r="M724">
            <v>495.2</v>
          </cell>
          <cell r="N724">
            <v>19652.629522250016</v>
          </cell>
          <cell r="O724">
            <v>18792.88</v>
          </cell>
          <cell r="P724">
            <v>0</v>
          </cell>
          <cell r="Q724">
            <v>154.0150265808</v>
          </cell>
          <cell r="R724">
            <v>859.74952225001471</v>
          </cell>
          <cell r="S724">
            <v>0</v>
          </cell>
          <cell r="T724">
            <v>0</v>
          </cell>
        </row>
        <row r="725">
          <cell r="C725">
            <v>10530115</v>
          </cell>
          <cell r="D725" t="str">
            <v>GOMUKH DHROOVGAMA W-12</v>
          </cell>
          <cell r="E725" t="str">
            <v>vlc</v>
          </cell>
          <cell r="F725" t="str">
            <v>Indirect</v>
          </cell>
          <cell r="G725">
            <v>319.34999999999997</v>
          </cell>
          <cell r="H725">
            <v>11987.01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11987.01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</row>
        <row r="726">
          <cell r="C726">
            <v>10540003</v>
          </cell>
          <cell r="D726" t="str">
            <v>GOMUKH ANANDPUR PARAS 2</v>
          </cell>
          <cell r="E726" t="str">
            <v>MPG</v>
          </cell>
          <cell r="F726" t="str">
            <v>Direct</v>
          </cell>
          <cell r="G726">
            <v>2753</v>
          </cell>
          <cell r="H726">
            <v>110028.71</v>
          </cell>
          <cell r="I726">
            <v>3238.1</v>
          </cell>
          <cell r="J726">
            <v>131473.49220323999</v>
          </cell>
          <cell r="K726">
            <v>0</v>
          </cell>
          <cell r="L726">
            <v>0</v>
          </cell>
          <cell r="M726">
            <v>3238.1</v>
          </cell>
          <cell r="N726">
            <v>131473.49220323999</v>
          </cell>
          <cell r="O726">
            <v>110028.71</v>
          </cell>
          <cell r="P726">
            <v>0</v>
          </cell>
          <cell r="Q726">
            <v>0</v>
          </cell>
          <cell r="R726">
            <v>21444.782203239985</v>
          </cell>
          <cell r="S726">
            <v>0</v>
          </cell>
          <cell r="T726">
            <v>0</v>
          </cell>
        </row>
        <row r="727">
          <cell r="C727">
            <v>10540005</v>
          </cell>
          <cell r="D727" t="str">
            <v>GOMUKH GADBANNI</v>
          </cell>
          <cell r="E727" t="str">
            <v>MPG</v>
          </cell>
          <cell r="F727" t="str">
            <v>Direct</v>
          </cell>
          <cell r="G727">
            <v>192.9</v>
          </cell>
          <cell r="H727">
            <v>7708.329999999999</v>
          </cell>
          <cell r="I727">
            <v>237.13999999999996</v>
          </cell>
          <cell r="J727">
            <v>9291.8596384548</v>
          </cell>
          <cell r="K727">
            <v>0</v>
          </cell>
          <cell r="L727">
            <v>0</v>
          </cell>
          <cell r="M727">
            <v>237.13999999999996</v>
          </cell>
          <cell r="N727">
            <v>9291.8596384548</v>
          </cell>
          <cell r="O727">
            <v>7708.329999999999</v>
          </cell>
          <cell r="P727">
            <v>0</v>
          </cell>
          <cell r="Q727">
            <v>0</v>
          </cell>
          <cell r="R727">
            <v>1583.529638454801</v>
          </cell>
          <cell r="S727">
            <v>0</v>
          </cell>
          <cell r="T727">
            <v>381.49</v>
          </cell>
        </row>
        <row r="728">
          <cell r="C728">
            <v>10540008</v>
          </cell>
          <cell r="D728" t="str">
            <v>GOMUKH PARRI</v>
          </cell>
          <cell r="E728" t="str">
            <v>MPG</v>
          </cell>
          <cell r="F728" t="str">
            <v>Direct</v>
          </cell>
          <cell r="G728">
            <v>175.3</v>
          </cell>
          <cell r="H728">
            <v>8376.7000000000007</v>
          </cell>
          <cell r="I728">
            <v>184.31</v>
          </cell>
          <cell r="J728">
            <v>9795.9823844753228</v>
          </cell>
          <cell r="K728">
            <v>0</v>
          </cell>
          <cell r="L728">
            <v>0</v>
          </cell>
          <cell r="M728">
            <v>184.31</v>
          </cell>
          <cell r="N728">
            <v>9795.9823844753228</v>
          </cell>
          <cell r="O728">
            <v>8376.7000000000007</v>
          </cell>
          <cell r="P728">
            <v>0</v>
          </cell>
          <cell r="Q728">
            <v>0</v>
          </cell>
          <cell r="R728">
            <v>1419.282384475322</v>
          </cell>
          <cell r="S728">
            <v>1350</v>
          </cell>
          <cell r="T728">
            <v>34.85</v>
          </cell>
        </row>
        <row r="729">
          <cell r="C729">
            <v>10540009</v>
          </cell>
          <cell r="D729" t="str">
            <v>GOMUKH BHIKHARI GHAT</v>
          </cell>
          <cell r="E729" t="str">
            <v>MPG</v>
          </cell>
          <cell r="F729" t="str">
            <v>Direct</v>
          </cell>
          <cell r="G729">
            <v>1086.7</v>
          </cell>
          <cell r="H729">
            <v>45631.16</v>
          </cell>
          <cell r="I729">
            <v>1089.1200000000003</v>
          </cell>
          <cell r="J729">
            <v>47540.181718127336</v>
          </cell>
          <cell r="K729">
            <v>0</v>
          </cell>
          <cell r="L729">
            <v>0</v>
          </cell>
          <cell r="M729">
            <v>1089.1200000000003</v>
          </cell>
          <cell r="N729">
            <v>47540.181718127336</v>
          </cell>
          <cell r="O729">
            <v>45631.16</v>
          </cell>
          <cell r="P729">
            <v>0</v>
          </cell>
          <cell r="Q729">
            <v>0</v>
          </cell>
          <cell r="R729">
            <v>1909.0217181273329</v>
          </cell>
          <cell r="S729">
            <v>0</v>
          </cell>
          <cell r="T729">
            <v>805.92</v>
          </cell>
        </row>
        <row r="730">
          <cell r="C730">
            <v>10540010</v>
          </cell>
          <cell r="D730" t="str">
            <v>Vikash Kumar</v>
          </cell>
          <cell r="E730" t="str">
            <v>vlc</v>
          </cell>
          <cell r="F730" t="str">
            <v>Indirect</v>
          </cell>
          <cell r="G730">
            <v>2576.5</v>
          </cell>
          <cell r="H730">
            <v>104785.76999999999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104785.76999999999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</row>
        <row r="731">
          <cell r="C731">
            <v>10540012</v>
          </cell>
          <cell r="D731" t="str">
            <v>Rajkishore Yadav</v>
          </cell>
          <cell r="E731" t="str">
            <v>vlc</v>
          </cell>
          <cell r="F731" t="str">
            <v>Indirect</v>
          </cell>
          <cell r="G731">
            <v>276</v>
          </cell>
          <cell r="H731">
            <v>9575.11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9575.11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</row>
        <row r="732">
          <cell r="C732">
            <v>10540014</v>
          </cell>
          <cell r="D732" t="str">
            <v>BHADAS VLC</v>
          </cell>
          <cell r="E732" t="str">
            <v>vlc</v>
          </cell>
          <cell r="F732" t="str">
            <v>Indirect</v>
          </cell>
          <cell r="G732">
            <v>76.2</v>
          </cell>
          <cell r="H732">
            <v>3084.92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3084.92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</row>
        <row r="733">
          <cell r="C733">
            <v>10540016</v>
          </cell>
          <cell r="D733" t="str">
            <v>GOMUKH BENHER</v>
          </cell>
          <cell r="E733" t="str">
            <v>MPG</v>
          </cell>
          <cell r="F733" t="str">
            <v>Direct</v>
          </cell>
          <cell r="G733">
            <v>276.8</v>
          </cell>
          <cell r="H733">
            <v>14468.999999999998</v>
          </cell>
          <cell r="I733">
            <v>279.53000000000003</v>
          </cell>
          <cell r="J733">
            <v>13942.908660859957</v>
          </cell>
          <cell r="K733">
            <v>0.72999999999999987</v>
          </cell>
          <cell r="L733">
            <v>36.594498448940001</v>
          </cell>
          <cell r="M733">
            <v>280.26000000000005</v>
          </cell>
          <cell r="N733">
            <v>13979.503159308897</v>
          </cell>
          <cell r="O733">
            <v>13979.503159308897</v>
          </cell>
          <cell r="P733">
            <v>0</v>
          </cell>
          <cell r="Q733">
            <v>36.594498448940001</v>
          </cell>
          <cell r="R733">
            <v>0</v>
          </cell>
          <cell r="S733">
            <v>0</v>
          </cell>
          <cell r="T733">
            <v>73.692833898304769</v>
          </cell>
        </row>
        <row r="734">
          <cell r="C734">
            <v>10540017</v>
          </cell>
          <cell r="D734" t="str">
            <v>GOMUKH LADORA</v>
          </cell>
          <cell r="E734" t="str">
            <v>MPG</v>
          </cell>
          <cell r="F734" t="str">
            <v>Direct</v>
          </cell>
          <cell r="G734">
            <v>753.8</v>
          </cell>
          <cell r="H734">
            <v>28542.259999999995</v>
          </cell>
          <cell r="I734">
            <v>813.34</v>
          </cell>
          <cell r="J734">
            <v>38003.033774275013</v>
          </cell>
          <cell r="K734">
            <v>0</v>
          </cell>
          <cell r="L734">
            <v>0</v>
          </cell>
          <cell r="M734">
            <v>813.34</v>
          </cell>
          <cell r="N734">
            <v>38003.033774275013</v>
          </cell>
          <cell r="O734">
            <v>28542.259999999995</v>
          </cell>
          <cell r="P734">
            <v>0</v>
          </cell>
          <cell r="Q734">
            <v>0</v>
          </cell>
          <cell r="R734">
            <v>9460.7737742750178</v>
          </cell>
          <cell r="S734">
            <v>0</v>
          </cell>
          <cell r="T734">
            <v>0</v>
          </cell>
        </row>
        <row r="735">
          <cell r="C735">
            <v>10540018</v>
          </cell>
          <cell r="D735" t="str">
            <v>GOMUKH SAHSI</v>
          </cell>
          <cell r="E735" t="str">
            <v>MPG</v>
          </cell>
          <cell r="F735" t="str">
            <v>Direct</v>
          </cell>
          <cell r="G735">
            <v>179.49999999999997</v>
          </cell>
          <cell r="H735">
            <v>8042.0400000000009</v>
          </cell>
          <cell r="I735">
            <v>203.61</v>
          </cell>
          <cell r="J735">
            <v>8759.294088955965</v>
          </cell>
          <cell r="K735">
            <v>0</v>
          </cell>
          <cell r="L735">
            <v>0</v>
          </cell>
          <cell r="M735">
            <v>203.61</v>
          </cell>
          <cell r="N735">
            <v>8759.294088955965</v>
          </cell>
          <cell r="O735">
            <v>8042.0400000000009</v>
          </cell>
          <cell r="P735">
            <v>0</v>
          </cell>
          <cell r="Q735">
            <v>0</v>
          </cell>
          <cell r="R735">
            <v>717.25408895596411</v>
          </cell>
          <cell r="S735">
            <v>0</v>
          </cell>
          <cell r="T735">
            <v>0</v>
          </cell>
        </row>
        <row r="736">
          <cell r="C736">
            <v>10540019</v>
          </cell>
          <cell r="D736" t="str">
            <v>Gomukh Chikni</v>
          </cell>
          <cell r="E736" t="str">
            <v>MPG</v>
          </cell>
          <cell r="F736" t="str">
            <v>Direct</v>
          </cell>
          <cell r="G736">
            <v>189.8</v>
          </cell>
          <cell r="H736">
            <v>7019.1100000000006</v>
          </cell>
          <cell r="I736">
            <v>190.28999999999996</v>
          </cell>
          <cell r="J736">
            <v>6922.4206201920006</v>
          </cell>
          <cell r="K736">
            <v>0</v>
          </cell>
          <cell r="L736">
            <v>0</v>
          </cell>
          <cell r="M736">
            <v>190.28999999999996</v>
          </cell>
          <cell r="N736">
            <v>6922.4206201920006</v>
          </cell>
          <cell r="O736">
            <v>6922.4206201920006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</row>
        <row r="737">
          <cell r="C737">
            <v>10540020</v>
          </cell>
          <cell r="D737" t="str">
            <v>GOMUKH BUDWA</v>
          </cell>
          <cell r="E737" t="str">
            <v>MPG</v>
          </cell>
          <cell r="F737" t="str">
            <v>Direct</v>
          </cell>
          <cell r="G737">
            <v>117.19999999999999</v>
          </cell>
          <cell r="H737">
            <v>4177.0599999999995</v>
          </cell>
          <cell r="I737">
            <v>123.41</v>
          </cell>
          <cell r="J737">
            <v>4343.9513077504453</v>
          </cell>
          <cell r="K737">
            <v>0</v>
          </cell>
          <cell r="L737">
            <v>0</v>
          </cell>
          <cell r="M737">
            <v>123.41</v>
          </cell>
          <cell r="N737">
            <v>4343.9513077504453</v>
          </cell>
          <cell r="O737">
            <v>4177.0599999999995</v>
          </cell>
          <cell r="P737">
            <v>0</v>
          </cell>
          <cell r="Q737">
            <v>0</v>
          </cell>
          <cell r="R737">
            <v>166.89130775044578</v>
          </cell>
          <cell r="S737">
            <v>0</v>
          </cell>
          <cell r="T737">
            <v>23.39</v>
          </cell>
        </row>
        <row r="738">
          <cell r="C738">
            <v>10540021</v>
          </cell>
          <cell r="D738" t="str">
            <v>GOMUKH GANGIYA</v>
          </cell>
          <cell r="E738" t="str">
            <v>MPG</v>
          </cell>
          <cell r="F738" t="str">
            <v>Indirect</v>
          </cell>
          <cell r="G738">
            <v>552.29999999999995</v>
          </cell>
          <cell r="H738">
            <v>20202.93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20202.93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</row>
        <row r="739">
          <cell r="C739">
            <v>10540026</v>
          </cell>
          <cell r="D739" t="str">
            <v>GOMUKH AMBA ICHARUA</v>
          </cell>
          <cell r="E739" t="str">
            <v>MPG</v>
          </cell>
          <cell r="F739" t="str">
            <v>Direct</v>
          </cell>
          <cell r="G739">
            <v>583.30000000000007</v>
          </cell>
          <cell r="H739">
            <v>23899.48</v>
          </cell>
          <cell r="I739">
            <v>663.16000000000008</v>
          </cell>
          <cell r="J739">
            <v>27298.851916921205</v>
          </cell>
          <cell r="K739">
            <v>450.56</v>
          </cell>
          <cell r="L739">
            <v>19369.447124138998</v>
          </cell>
          <cell r="M739">
            <v>1113.72</v>
          </cell>
          <cell r="N739">
            <v>46668.299041060207</v>
          </cell>
          <cell r="O739">
            <v>23899.48</v>
          </cell>
          <cell r="P739">
            <v>0</v>
          </cell>
          <cell r="Q739">
            <v>0</v>
          </cell>
          <cell r="R739">
            <v>22768.819041060207</v>
          </cell>
          <cell r="S739">
            <v>0</v>
          </cell>
          <cell r="T739">
            <v>0</v>
          </cell>
        </row>
        <row r="740">
          <cell r="C740">
            <v>10540027</v>
          </cell>
          <cell r="D740" t="str">
            <v>RAJAURA VLC</v>
          </cell>
          <cell r="E740" t="str">
            <v>vlc</v>
          </cell>
          <cell r="F740" t="str">
            <v>Indirect</v>
          </cell>
          <cell r="G740">
            <v>401.39999999999992</v>
          </cell>
          <cell r="H740">
            <v>15217.380000000001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15217.380000000001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</row>
        <row r="741">
          <cell r="C741">
            <v>10540032</v>
          </cell>
          <cell r="D741" t="str">
            <v>GOMUKH JWALAPUR</v>
          </cell>
          <cell r="E741" t="str">
            <v>MPG</v>
          </cell>
          <cell r="F741" t="str">
            <v>Direct</v>
          </cell>
          <cell r="G741">
            <v>202.3</v>
          </cell>
          <cell r="H741">
            <v>7552.93</v>
          </cell>
          <cell r="I741">
            <v>450</v>
          </cell>
          <cell r="J741">
            <v>18505.577574000003</v>
          </cell>
          <cell r="K741">
            <v>0</v>
          </cell>
          <cell r="L741">
            <v>0</v>
          </cell>
          <cell r="M741">
            <v>450</v>
          </cell>
          <cell r="N741">
            <v>18505.577574000003</v>
          </cell>
          <cell r="O741">
            <v>7552.93</v>
          </cell>
          <cell r="P741">
            <v>0</v>
          </cell>
          <cell r="Q741">
            <v>0</v>
          </cell>
          <cell r="R741">
            <v>10952.647574000002</v>
          </cell>
          <cell r="S741">
            <v>0</v>
          </cell>
          <cell r="T741">
            <v>0</v>
          </cell>
        </row>
        <row r="742">
          <cell r="C742">
            <v>10540034</v>
          </cell>
          <cell r="D742" t="str">
            <v>GOMUKH MATHURAPUR</v>
          </cell>
          <cell r="E742" t="str">
            <v>MPG</v>
          </cell>
          <cell r="F742" t="str">
            <v>Direct</v>
          </cell>
          <cell r="G742">
            <v>282.60000000000002</v>
          </cell>
          <cell r="H742">
            <v>10268.19</v>
          </cell>
          <cell r="I742">
            <v>385</v>
          </cell>
          <cell r="J742">
            <v>15720.311970000001</v>
          </cell>
          <cell r="K742">
            <v>0</v>
          </cell>
          <cell r="L742">
            <v>0</v>
          </cell>
          <cell r="M742">
            <v>385</v>
          </cell>
          <cell r="N742">
            <v>15720.311970000001</v>
          </cell>
          <cell r="O742">
            <v>10268.19</v>
          </cell>
          <cell r="P742">
            <v>0</v>
          </cell>
          <cell r="Q742">
            <v>0</v>
          </cell>
          <cell r="R742">
            <v>5452.1219700000001</v>
          </cell>
          <cell r="S742">
            <v>0</v>
          </cell>
          <cell r="T742">
            <v>0</v>
          </cell>
        </row>
        <row r="743">
          <cell r="C743">
            <v>10540039</v>
          </cell>
          <cell r="D743" t="str">
            <v>VLC Dhushmuri Bishanpur</v>
          </cell>
          <cell r="E743" t="str">
            <v>vlc</v>
          </cell>
          <cell r="F743" t="str">
            <v>Indirect</v>
          </cell>
          <cell r="G743">
            <v>605.90000000000009</v>
          </cell>
          <cell r="H743">
            <v>18954.030000000002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18954.030000000002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</row>
        <row r="744">
          <cell r="C744">
            <v>10540041</v>
          </cell>
          <cell r="D744" t="str">
            <v>Gomukh Darhi Mor</v>
          </cell>
          <cell r="E744" t="str">
            <v>MPG</v>
          </cell>
          <cell r="F744" t="str">
            <v>Indirect</v>
          </cell>
          <cell r="G744">
            <v>130.80000000000001</v>
          </cell>
          <cell r="H744">
            <v>4633.16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4633.16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92.503694117647058</v>
          </cell>
        </row>
        <row r="745">
          <cell r="C745">
            <v>10540042</v>
          </cell>
          <cell r="D745" t="str">
            <v>Gomukh Balaur</v>
          </cell>
          <cell r="E745" t="str">
            <v>MPG</v>
          </cell>
          <cell r="F745" t="str">
            <v>Direct</v>
          </cell>
          <cell r="G745">
            <v>1258.5000000000002</v>
          </cell>
          <cell r="H745">
            <v>57594.18</v>
          </cell>
          <cell r="I745">
            <v>1457.4099999999999</v>
          </cell>
          <cell r="J745">
            <v>85425.063854958018</v>
          </cell>
          <cell r="K745">
            <v>0</v>
          </cell>
          <cell r="L745">
            <v>0</v>
          </cell>
          <cell r="M745">
            <v>1457.4099999999999</v>
          </cell>
          <cell r="N745">
            <v>85425.063854958018</v>
          </cell>
          <cell r="O745">
            <v>57594.18</v>
          </cell>
          <cell r="P745">
            <v>0</v>
          </cell>
          <cell r="Q745">
            <v>0</v>
          </cell>
          <cell r="R745">
            <v>27830.883854958018</v>
          </cell>
          <cell r="S745">
            <v>0</v>
          </cell>
          <cell r="T745">
            <v>0</v>
          </cell>
        </row>
        <row r="746">
          <cell r="C746">
            <v>10540044</v>
          </cell>
          <cell r="D746" t="str">
            <v>Gomukh Hathwan - 2</v>
          </cell>
          <cell r="E746" t="str">
            <v>MPG</v>
          </cell>
          <cell r="F746" t="str">
            <v>Direct</v>
          </cell>
          <cell r="G746">
            <v>432.6</v>
          </cell>
          <cell r="H746">
            <v>15950.36</v>
          </cell>
          <cell r="I746">
            <v>580</v>
          </cell>
          <cell r="J746">
            <v>23806.839078000001</v>
          </cell>
          <cell r="K746">
            <v>0</v>
          </cell>
          <cell r="L746">
            <v>0</v>
          </cell>
          <cell r="M746">
            <v>580</v>
          </cell>
          <cell r="N746">
            <v>23806.839078000001</v>
          </cell>
          <cell r="O746">
            <v>15950.36</v>
          </cell>
          <cell r="P746">
            <v>0</v>
          </cell>
          <cell r="Q746">
            <v>0</v>
          </cell>
          <cell r="R746">
            <v>7856.4790780000003</v>
          </cell>
          <cell r="S746">
            <v>0</v>
          </cell>
          <cell r="T746">
            <v>0</v>
          </cell>
        </row>
        <row r="747">
          <cell r="C747">
            <v>10540045</v>
          </cell>
          <cell r="D747" t="str">
            <v>VLC Sunil Khas</v>
          </cell>
          <cell r="E747" t="str">
            <v>vlc</v>
          </cell>
          <cell r="F747" t="str">
            <v>Indirect</v>
          </cell>
          <cell r="G747">
            <v>472.5</v>
          </cell>
          <cell r="H747">
            <v>20595.060000000005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20595.060000000005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</row>
        <row r="748">
          <cell r="C748">
            <v>10540046</v>
          </cell>
          <cell r="D748" t="str">
            <v xml:space="preserve">Gomukh Hathwan </v>
          </cell>
          <cell r="E748" t="str">
            <v>MPG</v>
          </cell>
          <cell r="F748" t="str">
            <v>Direct</v>
          </cell>
          <cell r="G748">
            <v>259.7</v>
          </cell>
          <cell r="H748">
            <v>11740.91</v>
          </cell>
          <cell r="I748">
            <v>287.49</v>
          </cell>
          <cell r="J748">
            <v>16594.83968631411</v>
          </cell>
          <cell r="K748">
            <v>0</v>
          </cell>
          <cell r="L748">
            <v>0</v>
          </cell>
          <cell r="M748">
            <v>287.49</v>
          </cell>
          <cell r="N748">
            <v>16594.83968631411</v>
          </cell>
          <cell r="O748">
            <v>11740.91</v>
          </cell>
          <cell r="P748">
            <v>0</v>
          </cell>
          <cell r="Q748">
            <v>0</v>
          </cell>
          <cell r="R748">
            <v>4853.9296863141099</v>
          </cell>
          <cell r="S748">
            <v>0</v>
          </cell>
          <cell r="T748">
            <v>0</v>
          </cell>
        </row>
        <row r="749">
          <cell r="C749">
            <v>10540048</v>
          </cell>
          <cell r="D749" t="str">
            <v>Gomukh Rahul VLC</v>
          </cell>
          <cell r="E749" t="str">
            <v>vlc</v>
          </cell>
          <cell r="F749" t="str">
            <v>Indirect</v>
          </cell>
          <cell r="G749">
            <v>566.70000000000005</v>
          </cell>
          <cell r="H749">
            <v>23118.62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23118.62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</row>
        <row r="750">
          <cell r="C750">
            <v>10550001</v>
          </cell>
          <cell r="D750" t="str">
            <v>Balahpur-Anil Yadav</v>
          </cell>
          <cell r="E750" t="str">
            <v>vlc</v>
          </cell>
          <cell r="F750" t="str">
            <v>Indirect</v>
          </cell>
          <cell r="G750">
            <v>12115</v>
          </cell>
          <cell r="H750">
            <v>444287.83000000007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444287.83000000007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</row>
        <row r="751">
          <cell r="C751">
            <v>10550002</v>
          </cell>
          <cell r="D751" t="str">
            <v>Bagdobh</v>
          </cell>
          <cell r="E751" t="str">
            <v>vlc</v>
          </cell>
          <cell r="F751" t="str">
            <v>Indirect</v>
          </cell>
          <cell r="G751">
            <v>252.5</v>
          </cell>
          <cell r="H751">
            <v>9054.18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9054.18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</row>
        <row r="752">
          <cell r="C752">
            <v>10550005</v>
          </cell>
          <cell r="D752" t="str">
            <v>Gomukh Matihani</v>
          </cell>
          <cell r="E752" t="str">
            <v>MPG</v>
          </cell>
          <cell r="F752" t="str">
            <v>Direct</v>
          </cell>
          <cell r="G752">
            <v>194.90000000000003</v>
          </cell>
          <cell r="H752">
            <v>7284.5199999999995</v>
          </cell>
          <cell r="I752">
            <v>174.69</v>
          </cell>
          <cell r="J752">
            <v>6914.2676083272008</v>
          </cell>
          <cell r="K752">
            <v>21.81</v>
          </cell>
          <cell r="L752">
            <v>904.004487144</v>
          </cell>
          <cell r="M752">
            <v>196.5</v>
          </cell>
          <cell r="N752">
            <v>7818.2720954712004</v>
          </cell>
          <cell r="O752">
            <v>7284.5199999999995</v>
          </cell>
          <cell r="P752">
            <v>0</v>
          </cell>
          <cell r="Q752">
            <v>904.004487144</v>
          </cell>
          <cell r="R752">
            <v>533.75209547120085</v>
          </cell>
          <cell r="S752">
            <v>0</v>
          </cell>
          <cell r="T752">
            <v>0</v>
          </cell>
        </row>
        <row r="753">
          <cell r="C753">
            <v>10550007</v>
          </cell>
          <cell r="D753" t="str">
            <v>Jalalpur</v>
          </cell>
          <cell r="E753" t="str">
            <v>vlc</v>
          </cell>
          <cell r="F753" t="str">
            <v>Indirect</v>
          </cell>
          <cell r="G753">
            <v>1117.0999999999999</v>
          </cell>
          <cell r="H753">
            <v>40815.339999999997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40815.339999999997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</row>
        <row r="754">
          <cell r="C754">
            <v>10550009</v>
          </cell>
          <cell r="D754" t="str">
            <v>Chak</v>
          </cell>
          <cell r="E754" t="str">
            <v>vlc</v>
          </cell>
          <cell r="F754" t="str">
            <v>Indirect</v>
          </cell>
          <cell r="G754">
            <v>595.29999999999995</v>
          </cell>
          <cell r="H754">
            <v>22203.96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22203.96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</row>
        <row r="755">
          <cell r="C755">
            <v>10560001</v>
          </cell>
          <cell r="D755" t="str">
            <v>Gomukh Chautham(Mithun Kumar VLC)</v>
          </cell>
          <cell r="E755" t="str">
            <v>vlc</v>
          </cell>
          <cell r="F755" t="str">
            <v>Indirect</v>
          </cell>
          <cell r="G755">
            <v>1087.04</v>
          </cell>
          <cell r="H755">
            <v>40563.89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40563.89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5935.823016774194</v>
          </cell>
        </row>
        <row r="756">
          <cell r="C756">
            <v>10560002</v>
          </cell>
          <cell r="D756" t="str">
            <v>Gomukh Pansalwa</v>
          </cell>
          <cell r="E756" t="str">
            <v>vlc</v>
          </cell>
          <cell r="F756" t="str">
            <v>Indirect</v>
          </cell>
          <cell r="G756">
            <v>858.54</v>
          </cell>
          <cell r="H756">
            <v>31340.61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31340.61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</row>
        <row r="757">
          <cell r="C757">
            <v>10560004</v>
          </cell>
          <cell r="D757" t="str">
            <v>Gomukh Nawada</v>
          </cell>
          <cell r="E757" t="str">
            <v>MPG</v>
          </cell>
          <cell r="F757" t="str">
            <v>Direct</v>
          </cell>
          <cell r="G757">
            <v>917.66000000000008</v>
          </cell>
          <cell r="H757">
            <v>32120.75</v>
          </cell>
          <cell r="I757">
            <v>917.66</v>
          </cell>
          <cell r="J757">
            <v>32496.221988648005</v>
          </cell>
          <cell r="K757">
            <v>0</v>
          </cell>
          <cell r="L757">
            <v>0</v>
          </cell>
          <cell r="M757">
            <v>917.66</v>
          </cell>
          <cell r="N757">
            <v>32496.221988648005</v>
          </cell>
          <cell r="O757">
            <v>32120.75</v>
          </cell>
          <cell r="P757">
            <v>0</v>
          </cell>
          <cell r="Q757">
            <v>0</v>
          </cell>
          <cell r="R757">
            <v>375.47198864800521</v>
          </cell>
          <cell r="S757">
            <v>0</v>
          </cell>
          <cell r="T757">
            <v>0</v>
          </cell>
        </row>
        <row r="758">
          <cell r="C758">
            <v>10560005</v>
          </cell>
          <cell r="D758" t="str">
            <v>Gomukh Yadav Tol Kanauli</v>
          </cell>
          <cell r="E758" t="str">
            <v>MPG</v>
          </cell>
          <cell r="F758" t="str">
            <v>Direct</v>
          </cell>
          <cell r="G758">
            <v>2242.36</v>
          </cell>
          <cell r="H758">
            <v>90184.860000000015</v>
          </cell>
          <cell r="I758">
            <v>25.46</v>
          </cell>
          <cell r="J758">
            <v>1029.8968978319999</v>
          </cell>
          <cell r="K758">
            <v>2240</v>
          </cell>
          <cell r="L758">
            <v>90269.700008399988</v>
          </cell>
          <cell r="M758">
            <v>2265.46</v>
          </cell>
          <cell r="N758">
            <v>91299.596906231993</v>
          </cell>
          <cell r="O758">
            <v>90184.860000000015</v>
          </cell>
          <cell r="P758">
            <v>0</v>
          </cell>
          <cell r="Q758">
            <v>0</v>
          </cell>
          <cell r="R758">
            <v>1114.7369062319776</v>
          </cell>
          <cell r="S758">
            <v>0</v>
          </cell>
          <cell r="T758">
            <v>0</v>
          </cell>
        </row>
        <row r="759">
          <cell r="C759">
            <v>10560007</v>
          </cell>
          <cell r="D759" t="str">
            <v>Gomukh Hardia</v>
          </cell>
          <cell r="E759" t="str">
            <v>MPG</v>
          </cell>
          <cell r="F759" t="str">
            <v>Direct</v>
          </cell>
          <cell r="G759">
            <v>180.35999999999999</v>
          </cell>
          <cell r="H759">
            <v>8030.8600000000006</v>
          </cell>
          <cell r="I759">
            <v>180.36</v>
          </cell>
          <cell r="J759">
            <v>8094.761544672001</v>
          </cell>
          <cell r="K759">
            <v>0</v>
          </cell>
          <cell r="L759">
            <v>0</v>
          </cell>
          <cell r="M759">
            <v>180.36</v>
          </cell>
          <cell r="N759">
            <v>8094.761544672001</v>
          </cell>
          <cell r="O759">
            <v>8030.8600000000006</v>
          </cell>
          <cell r="P759">
            <v>0</v>
          </cell>
          <cell r="Q759">
            <v>0</v>
          </cell>
          <cell r="R759">
            <v>63.901544672000455</v>
          </cell>
          <cell r="S759">
            <v>0</v>
          </cell>
          <cell r="T759">
            <v>0</v>
          </cell>
        </row>
        <row r="760">
          <cell r="C760">
            <v>10560011</v>
          </cell>
          <cell r="D760" t="str">
            <v>Gomukh Ashatol Paharpur</v>
          </cell>
          <cell r="E760" t="str">
            <v>MPG</v>
          </cell>
          <cell r="F760" t="str">
            <v>Direct</v>
          </cell>
          <cell r="G760">
            <v>1834.04</v>
          </cell>
          <cell r="H760">
            <v>68652.429999999993</v>
          </cell>
          <cell r="I760">
            <v>1838.2400000000002</v>
          </cell>
          <cell r="J760">
            <v>72390.834630216661</v>
          </cell>
          <cell r="K760">
            <v>0</v>
          </cell>
          <cell r="L760">
            <v>0</v>
          </cell>
          <cell r="M760">
            <v>1838.2400000000002</v>
          </cell>
          <cell r="N760">
            <v>72390.834630216661</v>
          </cell>
          <cell r="O760">
            <v>68652.429999999993</v>
          </cell>
          <cell r="P760">
            <v>0</v>
          </cell>
          <cell r="Q760">
            <v>0</v>
          </cell>
          <cell r="R760">
            <v>3738.404630216668</v>
          </cell>
          <cell r="S760">
            <v>0</v>
          </cell>
          <cell r="T760">
            <v>0</v>
          </cell>
        </row>
        <row r="761">
          <cell r="C761">
            <v>10560012</v>
          </cell>
          <cell r="D761" t="str">
            <v>Gomukh Kharawa</v>
          </cell>
          <cell r="E761" t="str">
            <v>MPG</v>
          </cell>
          <cell r="F761" t="str">
            <v>Direct</v>
          </cell>
          <cell r="G761">
            <v>1048.8200000000002</v>
          </cell>
          <cell r="H761">
            <v>39050.380000000005</v>
          </cell>
          <cell r="I761">
            <v>1051.3900000000003</v>
          </cell>
          <cell r="J761">
            <v>39340.953600616805</v>
          </cell>
          <cell r="K761">
            <v>0</v>
          </cell>
          <cell r="L761">
            <v>0</v>
          </cell>
          <cell r="M761">
            <v>1051.3900000000003</v>
          </cell>
          <cell r="N761">
            <v>39340.953600616805</v>
          </cell>
          <cell r="O761">
            <v>39050.380000000005</v>
          </cell>
          <cell r="P761">
            <v>0</v>
          </cell>
          <cell r="Q761">
            <v>0</v>
          </cell>
          <cell r="R761">
            <v>290.57360061680083</v>
          </cell>
          <cell r="S761">
            <v>0</v>
          </cell>
          <cell r="T761">
            <v>0</v>
          </cell>
        </row>
        <row r="762">
          <cell r="C762">
            <v>10560015</v>
          </cell>
          <cell r="D762" t="str">
            <v>Gomukh Patel Nagar</v>
          </cell>
          <cell r="E762" t="str">
            <v>vlc</v>
          </cell>
          <cell r="F762" t="str">
            <v>Indirect</v>
          </cell>
          <cell r="G762">
            <v>795.07999999999993</v>
          </cell>
          <cell r="H762">
            <v>28914.44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28914.44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</row>
        <row r="763">
          <cell r="C763">
            <v>10560016</v>
          </cell>
          <cell r="D763" t="str">
            <v>Gomukh Pachout</v>
          </cell>
          <cell r="E763" t="str">
            <v>MPG</v>
          </cell>
          <cell r="F763" t="str">
            <v>Direct</v>
          </cell>
          <cell r="G763">
            <v>989.6</v>
          </cell>
          <cell r="H763">
            <v>37066.9</v>
          </cell>
          <cell r="I763">
            <v>989.6</v>
          </cell>
          <cell r="J763">
            <v>38666.761531200005</v>
          </cell>
          <cell r="K763">
            <v>0</v>
          </cell>
          <cell r="L763">
            <v>0</v>
          </cell>
          <cell r="M763">
            <v>989.6</v>
          </cell>
          <cell r="N763">
            <v>38666.761531200005</v>
          </cell>
          <cell r="O763">
            <v>37066.9</v>
          </cell>
          <cell r="P763">
            <v>0</v>
          </cell>
          <cell r="Q763">
            <v>0</v>
          </cell>
          <cell r="R763">
            <v>1599.8615312000038</v>
          </cell>
          <cell r="S763">
            <v>0</v>
          </cell>
          <cell r="T763">
            <v>0</v>
          </cell>
        </row>
        <row r="764">
          <cell r="C764">
            <v>10560017</v>
          </cell>
          <cell r="D764" t="str">
            <v>Gomukh Telihar</v>
          </cell>
          <cell r="E764" t="str">
            <v>MPG</v>
          </cell>
          <cell r="F764" t="str">
            <v>Direct</v>
          </cell>
          <cell r="G764">
            <v>1097.26</v>
          </cell>
          <cell r="H764">
            <v>41887.72</v>
          </cell>
          <cell r="I764">
            <v>1097.2599999999998</v>
          </cell>
          <cell r="J764">
            <v>43571.309083951332</v>
          </cell>
          <cell r="K764">
            <v>0</v>
          </cell>
          <cell r="L764">
            <v>0</v>
          </cell>
          <cell r="M764">
            <v>1097.2599999999998</v>
          </cell>
          <cell r="N764">
            <v>43571.309083951332</v>
          </cell>
          <cell r="O764">
            <v>41887.72</v>
          </cell>
          <cell r="P764">
            <v>0</v>
          </cell>
          <cell r="Q764">
            <v>0</v>
          </cell>
          <cell r="R764">
            <v>1683.5890839513304</v>
          </cell>
          <cell r="S764">
            <v>0</v>
          </cell>
          <cell r="T764">
            <v>0</v>
          </cell>
        </row>
        <row r="765">
          <cell r="C765">
            <v>10560019</v>
          </cell>
          <cell r="D765" t="str">
            <v>Gomukh Pansalba Ward No 05</v>
          </cell>
          <cell r="E765" t="str">
            <v>MPG</v>
          </cell>
          <cell r="F765" t="str">
            <v>Indirect</v>
          </cell>
          <cell r="G765">
            <v>1805.8200000000002</v>
          </cell>
          <cell r="H765">
            <v>64591.8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64591.8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</row>
        <row r="766">
          <cell r="C766">
            <v>10560022</v>
          </cell>
          <cell r="D766" t="str">
            <v xml:space="preserve">Gomukh Paharpur Jilebya </v>
          </cell>
          <cell r="E766" t="str">
            <v>MPG</v>
          </cell>
          <cell r="F766" t="str">
            <v>Direct</v>
          </cell>
          <cell r="G766">
            <v>2035.1400000000003</v>
          </cell>
          <cell r="H766">
            <v>86308.03</v>
          </cell>
          <cell r="I766">
            <v>2036.08</v>
          </cell>
          <cell r="J766">
            <v>85691.000494123204</v>
          </cell>
          <cell r="K766">
            <v>0</v>
          </cell>
          <cell r="L766">
            <v>0</v>
          </cell>
          <cell r="M766">
            <v>2036.08</v>
          </cell>
          <cell r="N766">
            <v>85691.000494123204</v>
          </cell>
          <cell r="O766">
            <v>85691.000494123204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</row>
        <row r="767">
          <cell r="C767">
            <v>10560025</v>
          </cell>
          <cell r="D767" t="str">
            <v>Gomukh Debka Vlc</v>
          </cell>
          <cell r="E767" t="str">
            <v>vlc</v>
          </cell>
          <cell r="F767" t="str">
            <v>Indirect</v>
          </cell>
          <cell r="G767">
            <v>132.82</v>
          </cell>
          <cell r="H767">
            <v>5624.7500000000009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5624.7500000000009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</row>
        <row r="768">
          <cell r="C768">
            <v>10560026</v>
          </cell>
          <cell r="D768" t="str">
            <v>Gomukh Azad Nagar</v>
          </cell>
          <cell r="E768" t="str">
            <v>MPG</v>
          </cell>
          <cell r="F768" t="str">
            <v>Direct</v>
          </cell>
          <cell r="G768">
            <v>1100.8000000000002</v>
          </cell>
          <cell r="H768">
            <v>41969.979999999996</v>
          </cell>
          <cell r="I768">
            <v>1101.1499999999999</v>
          </cell>
          <cell r="J768">
            <v>43108.657146024118</v>
          </cell>
          <cell r="K768">
            <v>0</v>
          </cell>
          <cell r="L768">
            <v>0</v>
          </cell>
          <cell r="M768">
            <v>1101.1499999999999</v>
          </cell>
          <cell r="N768">
            <v>43108.657146024118</v>
          </cell>
          <cell r="O768">
            <v>41969.979999999996</v>
          </cell>
          <cell r="P768">
            <v>0</v>
          </cell>
          <cell r="Q768">
            <v>0</v>
          </cell>
          <cell r="R768">
            <v>1138.6771460241216</v>
          </cell>
          <cell r="S768">
            <v>0</v>
          </cell>
          <cell r="T768">
            <v>0</v>
          </cell>
        </row>
        <row r="769">
          <cell r="C769">
            <v>10560027</v>
          </cell>
          <cell r="D769" t="str">
            <v>Gomukh Purani Hrdia</v>
          </cell>
          <cell r="E769" t="str">
            <v>MPG</v>
          </cell>
          <cell r="F769" t="str">
            <v>Direct</v>
          </cell>
          <cell r="G769">
            <v>278.8</v>
          </cell>
          <cell r="H769">
            <v>10760.7</v>
          </cell>
          <cell r="I769">
            <v>278.8</v>
          </cell>
          <cell r="J769">
            <v>10709.56369296</v>
          </cell>
          <cell r="K769">
            <v>0</v>
          </cell>
          <cell r="L769">
            <v>0</v>
          </cell>
          <cell r="M769">
            <v>278.8</v>
          </cell>
          <cell r="N769">
            <v>10709.56369296</v>
          </cell>
          <cell r="O769">
            <v>10709.56369296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</row>
        <row r="770">
          <cell r="C770">
            <v>10560028</v>
          </cell>
          <cell r="D770" t="str">
            <v>Gomukh Uttari Hardia</v>
          </cell>
          <cell r="E770" t="str">
            <v>MPG</v>
          </cell>
          <cell r="F770" t="str">
            <v>Direct</v>
          </cell>
          <cell r="G770">
            <v>371.78</v>
          </cell>
          <cell r="H770">
            <v>15161.69</v>
          </cell>
          <cell r="I770">
            <v>371.78</v>
          </cell>
          <cell r="J770">
            <v>15164.574869664002</v>
          </cell>
          <cell r="K770">
            <v>0</v>
          </cell>
          <cell r="L770">
            <v>0</v>
          </cell>
          <cell r="M770">
            <v>371.78</v>
          </cell>
          <cell r="N770">
            <v>15164.574869664002</v>
          </cell>
          <cell r="O770">
            <v>15161.69</v>
          </cell>
          <cell r="P770">
            <v>0</v>
          </cell>
          <cell r="Q770">
            <v>0</v>
          </cell>
          <cell r="R770">
            <v>2.8848696640015987</v>
          </cell>
          <cell r="S770">
            <v>0</v>
          </cell>
          <cell r="T770">
            <v>0</v>
          </cell>
        </row>
        <row r="771">
          <cell r="C771">
            <v>10560029</v>
          </cell>
          <cell r="D771" t="str">
            <v>Gomukh Murli</v>
          </cell>
          <cell r="E771" t="str">
            <v>MPG</v>
          </cell>
          <cell r="F771" t="str">
            <v>Direct</v>
          </cell>
          <cell r="G771">
            <v>151.12</v>
          </cell>
          <cell r="H771">
            <v>6477.47</v>
          </cell>
          <cell r="I771">
            <v>162.29</v>
          </cell>
          <cell r="J771">
            <v>7631.8982696515377</v>
          </cell>
          <cell r="K771">
            <v>0</v>
          </cell>
          <cell r="L771">
            <v>0</v>
          </cell>
          <cell r="M771">
            <v>162.29</v>
          </cell>
          <cell r="N771">
            <v>7631.8982696515377</v>
          </cell>
          <cell r="O771">
            <v>6477.47</v>
          </cell>
          <cell r="P771">
            <v>0</v>
          </cell>
          <cell r="Q771">
            <v>0</v>
          </cell>
          <cell r="R771">
            <v>1154.4282696515374</v>
          </cell>
          <cell r="S771">
            <v>0</v>
          </cell>
          <cell r="T771">
            <v>0</v>
          </cell>
        </row>
        <row r="772">
          <cell r="C772">
            <v>10560031</v>
          </cell>
          <cell r="D772" t="str">
            <v>Gomukh Nirpur Keshv Nagar</v>
          </cell>
          <cell r="E772" t="str">
            <v>MPG</v>
          </cell>
          <cell r="F772" t="str">
            <v>Direct</v>
          </cell>
          <cell r="G772">
            <v>583.33999999999992</v>
          </cell>
          <cell r="H772">
            <v>20976.369999999995</v>
          </cell>
          <cell r="I772">
            <v>583.34</v>
          </cell>
          <cell r="J772">
            <v>20975.931904831203</v>
          </cell>
          <cell r="K772">
            <v>0</v>
          </cell>
          <cell r="L772">
            <v>0</v>
          </cell>
          <cell r="M772">
            <v>583.34</v>
          </cell>
          <cell r="N772">
            <v>20975.931904831203</v>
          </cell>
          <cell r="O772">
            <v>20975.931904831203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</row>
        <row r="773">
          <cell r="C773">
            <v>10560033</v>
          </cell>
          <cell r="D773" t="str">
            <v>Gomukh Thuthi Vlc</v>
          </cell>
          <cell r="E773" t="str">
            <v>vlc</v>
          </cell>
          <cell r="F773" t="str">
            <v>Direct</v>
          </cell>
          <cell r="G773">
            <v>184.64</v>
          </cell>
          <cell r="H773">
            <v>7445.76</v>
          </cell>
          <cell r="I773">
            <v>184.64</v>
          </cell>
          <cell r="J773">
            <v>7409.4362115840004</v>
          </cell>
          <cell r="K773">
            <v>0</v>
          </cell>
          <cell r="L773">
            <v>0</v>
          </cell>
          <cell r="M773">
            <v>184.64</v>
          </cell>
          <cell r="N773">
            <v>7409.4362115840004</v>
          </cell>
          <cell r="O773">
            <v>7409.4362115840004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</row>
        <row r="774">
          <cell r="C774">
            <v>10560034</v>
          </cell>
          <cell r="D774" t="str">
            <v>Gomukh Nawadai Vlc</v>
          </cell>
          <cell r="E774" t="str">
            <v>vlc</v>
          </cell>
          <cell r="F774" t="str">
            <v>Indirect</v>
          </cell>
          <cell r="G774">
            <v>290.67999999999995</v>
          </cell>
          <cell r="H774">
            <v>10289.17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10289.17</v>
          </cell>
          <cell r="P774">
            <v>0</v>
          </cell>
          <cell r="Q774">
            <v>0</v>
          </cell>
          <cell r="R774">
            <v>0</v>
          </cell>
          <cell r="S774">
            <v>1300</v>
          </cell>
          <cell r="T774">
            <v>0</v>
          </cell>
        </row>
        <row r="775">
          <cell r="C775">
            <v>10560035</v>
          </cell>
          <cell r="D775" t="str">
            <v>Gomukh Kharra Basa</v>
          </cell>
          <cell r="E775" t="str">
            <v>MPG</v>
          </cell>
          <cell r="F775" t="str">
            <v>Direct</v>
          </cell>
          <cell r="G775">
            <v>229.72</v>
          </cell>
          <cell r="H775">
            <v>8737.83</v>
          </cell>
          <cell r="I775">
            <v>232.17999999999995</v>
          </cell>
          <cell r="J775">
            <v>8912.4979002839991</v>
          </cell>
          <cell r="K775">
            <v>0</v>
          </cell>
          <cell r="L775">
            <v>0</v>
          </cell>
          <cell r="M775">
            <v>232.17999999999995</v>
          </cell>
          <cell r="N775">
            <v>8912.4979002839991</v>
          </cell>
          <cell r="O775">
            <v>8737.83</v>
          </cell>
          <cell r="P775">
            <v>0</v>
          </cell>
          <cell r="Q775">
            <v>0</v>
          </cell>
          <cell r="R775">
            <v>174.66790028399919</v>
          </cell>
          <cell r="S775">
            <v>0</v>
          </cell>
          <cell r="T775">
            <v>0</v>
          </cell>
        </row>
        <row r="776">
          <cell r="C776">
            <v>10560036</v>
          </cell>
          <cell r="D776" t="str">
            <v>Gomukh Bangalia</v>
          </cell>
          <cell r="E776" t="str">
            <v>MPG</v>
          </cell>
          <cell r="F776" t="str">
            <v>Direct</v>
          </cell>
          <cell r="G776">
            <v>323.71999999999997</v>
          </cell>
          <cell r="H776">
            <v>14776.1</v>
          </cell>
          <cell r="I776">
            <v>365.98999999999995</v>
          </cell>
          <cell r="J776">
            <v>17852.130171540401</v>
          </cell>
          <cell r="K776">
            <v>0</v>
          </cell>
          <cell r="L776">
            <v>0</v>
          </cell>
          <cell r="M776">
            <v>365.98999999999995</v>
          </cell>
          <cell r="N776">
            <v>17852.130171540401</v>
          </cell>
          <cell r="O776">
            <v>14776.1</v>
          </cell>
          <cell r="P776">
            <v>0</v>
          </cell>
          <cell r="Q776">
            <v>0</v>
          </cell>
          <cell r="R776">
            <v>3076.0301715404003</v>
          </cell>
          <cell r="S776">
            <v>0</v>
          </cell>
          <cell r="T776">
            <v>0</v>
          </cell>
        </row>
        <row r="777">
          <cell r="C777">
            <v>10560037</v>
          </cell>
          <cell r="D777" t="str">
            <v>Gomukh Soharba Purvi</v>
          </cell>
          <cell r="E777" t="str">
            <v>MPG</v>
          </cell>
          <cell r="F777" t="str">
            <v>Direct</v>
          </cell>
          <cell r="G777">
            <v>240.82</v>
          </cell>
          <cell r="H777">
            <v>9250.9499999999989</v>
          </cell>
          <cell r="I777">
            <v>240.82000000000002</v>
          </cell>
          <cell r="J777">
            <v>9298.8707063472011</v>
          </cell>
          <cell r="K777">
            <v>0</v>
          </cell>
          <cell r="L777">
            <v>0</v>
          </cell>
          <cell r="M777">
            <v>240.82000000000002</v>
          </cell>
          <cell r="N777">
            <v>9298.8707063472011</v>
          </cell>
          <cell r="O777">
            <v>9250.9499999999989</v>
          </cell>
          <cell r="P777">
            <v>0</v>
          </cell>
          <cell r="Q777">
            <v>0</v>
          </cell>
          <cell r="R777">
            <v>47.920706347202213</v>
          </cell>
          <cell r="S777">
            <v>0</v>
          </cell>
          <cell r="T777">
            <v>0</v>
          </cell>
        </row>
        <row r="778">
          <cell r="C778">
            <v>10570001</v>
          </cell>
          <cell r="D778" t="str">
            <v>Karian</v>
          </cell>
          <cell r="E778" t="str">
            <v>MPG</v>
          </cell>
          <cell r="F778" t="str">
            <v>Direct</v>
          </cell>
          <cell r="G778">
            <v>72.2</v>
          </cell>
          <cell r="H778">
            <v>3083.69</v>
          </cell>
          <cell r="I778">
            <v>72.199999999999989</v>
          </cell>
          <cell r="J778">
            <v>3095.8765143063001</v>
          </cell>
          <cell r="K778">
            <v>0</v>
          </cell>
          <cell r="L778">
            <v>0</v>
          </cell>
          <cell r="M778">
            <v>72.199999999999989</v>
          </cell>
          <cell r="N778">
            <v>3095.8765143063001</v>
          </cell>
          <cell r="O778">
            <v>3083.69</v>
          </cell>
          <cell r="P778">
            <v>0</v>
          </cell>
          <cell r="Q778">
            <v>0</v>
          </cell>
          <cell r="R778">
            <v>12.186514306300069</v>
          </cell>
          <cell r="S778">
            <v>0</v>
          </cell>
          <cell r="T778">
            <v>84.32662372881353</v>
          </cell>
        </row>
        <row r="779">
          <cell r="C779">
            <v>10570003</v>
          </cell>
          <cell r="D779" t="str">
            <v>Teghara</v>
          </cell>
          <cell r="E779" t="str">
            <v>MPG</v>
          </cell>
          <cell r="F779" t="str">
            <v>Direct</v>
          </cell>
          <cell r="G779">
            <v>218.29999999999998</v>
          </cell>
          <cell r="H779">
            <v>8518.73</v>
          </cell>
          <cell r="I779">
            <v>192.3</v>
          </cell>
          <cell r="J779">
            <v>7476.8326491126008</v>
          </cell>
          <cell r="K779">
            <v>26.200000000000003</v>
          </cell>
          <cell r="L779">
            <v>1045.0205528399999</v>
          </cell>
          <cell r="M779">
            <v>218.5</v>
          </cell>
          <cell r="N779">
            <v>8521.853201952601</v>
          </cell>
          <cell r="O779">
            <v>8518.73</v>
          </cell>
          <cell r="P779">
            <v>0</v>
          </cell>
          <cell r="Q779">
            <v>0</v>
          </cell>
          <cell r="R779">
            <v>3.1232019526014483</v>
          </cell>
          <cell r="S779">
            <v>0</v>
          </cell>
          <cell r="T779">
            <v>0</v>
          </cell>
        </row>
        <row r="780">
          <cell r="C780">
            <v>10570007</v>
          </cell>
          <cell r="D780" t="str">
            <v>Basantpur</v>
          </cell>
          <cell r="E780" t="str">
            <v>MPG</v>
          </cell>
          <cell r="F780" t="str">
            <v>Direct</v>
          </cell>
          <cell r="G780">
            <v>904.9</v>
          </cell>
          <cell r="H780">
            <v>43196.67</v>
          </cell>
          <cell r="I780">
            <v>904.89999999999986</v>
          </cell>
          <cell r="J780">
            <v>43172.382222824104</v>
          </cell>
          <cell r="K780">
            <v>0</v>
          </cell>
          <cell r="L780">
            <v>0</v>
          </cell>
          <cell r="M780">
            <v>904.89999999999986</v>
          </cell>
          <cell r="N780">
            <v>43172.382222824104</v>
          </cell>
          <cell r="O780">
            <v>43172.382222824104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380.28194360655806</v>
          </cell>
        </row>
        <row r="781">
          <cell r="C781">
            <v>10570008</v>
          </cell>
          <cell r="D781" t="str">
            <v>Chakoti</v>
          </cell>
          <cell r="E781" t="str">
            <v>MPG</v>
          </cell>
          <cell r="F781" t="str">
            <v>Direct</v>
          </cell>
          <cell r="G781">
            <v>1393.7</v>
          </cell>
          <cell r="H781">
            <v>52604.470000000008</v>
          </cell>
          <cell r="I781">
            <v>92.40000000000002</v>
          </cell>
          <cell r="J781">
            <v>3450.5463966886009</v>
          </cell>
          <cell r="K781">
            <v>1299.3000000000004</v>
          </cell>
          <cell r="L781">
            <v>48890.146101883998</v>
          </cell>
          <cell r="M781">
            <v>1391.7000000000005</v>
          </cell>
          <cell r="N781">
            <v>52340.6924985726</v>
          </cell>
          <cell r="O781">
            <v>52340.6924985726</v>
          </cell>
          <cell r="P781">
            <v>0</v>
          </cell>
          <cell r="Q781">
            <v>743.94543736722017</v>
          </cell>
          <cell r="R781">
            <v>0</v>
          </cell>
          <cell r="S781">
            <v>0</v>
          </cell>
          <cell r="T781">
            <v>0</v>
          </cell>
        </row>
        <row r="782">
          <cell r="C782">
            <v>10570009</v>
          </cell>
          <cell r="D782" t="str">
            <v>Nathudawar</v>
          </cell>
          <cell r="E782" t="str">
            <v>MPG</v>
          </cell>
          <cell r="F782" t="str">
            <v>Direct</v>
          </cell>
          <cell r="G782">
            <v>618.4</v>
          </cell>
          <cell r="H782">
            <v>24144.01</v>
          </cell>
          <cell r="I782">
            <v>529.70000000000005</v>
          </cell>
          <cell r="J782">
            <v>20660.424546888004</v>
          </cell>
          <cell r="K782">
            <v>88.7</v>
          </cell>
          <cell r="L782">
            <v>3449.0577246839998</v>
          </cell>
          <cell r="M782">
            <v>618.40000000000009</v>
          </cell>
          <cell r="N782">
            <v>24109.482271572004</v>
          </cell>
          <cell r="O782">
            <v>24109.482271572004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</row>
        <row r="783">
          <cell r="C783">
            <v>10570010</v>
          </cell>
          <cell r="D783" t="str">
            <v>Purnahi</v>
          </cell>
          <cell r="E783" t="str">
            <v>vlc</v>
          </cell>
          <cell r="F783" t="str">
            <v>Indirect</v>
          </cell>
          <cell r="G783">
            <v>1008.8</v>
          </cell>
          <cell r="H783">
            <v>34097.29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34097.29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</row>
        <row r="784">
          <cell r="C784">
            <v>10570013</v>
          </cell>
          <cell r="D784" t="str">
            <v xml:space="preserve">Baghopur </v>
          </cell>
          <cell r="E784" t="str">
            <v>vlc</v>
          </cell>
          <cell r="F784" t="str">
            <v>Indirect</v>
          </cell>
          <cell r="G784">
            <v>470.1</v>
          </cell>
          <cell r="H784">
            <v>18282.120000000003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18282.120000000003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</row>
        <row r="785">
          <cell r="C785">
            <v>10570015</v>
          </cell>
          <cell r="D785" t="str">
            <v>Sadipur Bathnaha</v>
          </cell>
          <cell r="E785" t="str">
            <v>vlc</v>
          </cell>
          <cell r="F785" t="str">
            <v>Indirect</v>
          </cell>
          <cell r="G785">
            <v>69.2</v>
          </cell>
          <cell r="H785">
            <v>2612.3000000000002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2612.3000000000002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1064.7561870967743</v>
          </cell>
        </row>
        <row r="786">
          <cell r="C786">
            <v>10570016</v>
          </cell>
          <cell r="D786" t="str">
            <v>PARORIYA</v>
          </cell>
          <cell r="E786" t="str">
            <v>vlc</v>
          </cell>
          <cell r="F786" t="str">
            <v>Indirect</v>
          </cell>
          <cell r="G786">
            <v>499.09999999999991</v>
          </cell>
          <cell r="H786">
            <v>16086.630000000001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16086.630000000001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</row>
        <row r="787">
          <cell r="C787">
            <v>10570017</v>
          </cell>
          <cell r="D787" t="str">
            <v>Dewanpur</v>
          </cell>
          <cell r="E787" t="str">
            <v>MPG</v>
          </cell>
          <cell r="F787" t="str">
            <v>Direct</v>
          </cell>
          <cell r="G787">
            <v>114.10000000000001</v>
          </cell>
          <cell r="H787">
            <v>5089.38</v>
          </cell>
          <cell r="I787">
            <v>79.800000000000011</v>
          </cell>
          <cell r="J787">
            <v>3580.3871785440006</v>
          </cell>
          <cell r="K787">
            <v>34.200000000000003</v>
          </cell>
          <cell r="L787">
            <v>1538.3521172306</v>
          </cell>
          <cell r="M787">
            <v>114.00000000000001</v>
          </cell>
          <cell r="N787">
            <v>5118.7392957746006</v>
          </cell>
          <cell r="O787">
            <v>5089.38</v>
          </cell>
          <cell r="P787">
            <v>0</v>
          </cell>
          <cell r="Q787">
            <v>0</v>
          </cell>
          <cell r="R787">
            <v>29.359295774600469</v>
          </cell>
          <cell r="S787">
            <v>0</v>
          </cell>
          <cell r="T787">
            <v>59.880350163934452</v>
          </cell>
        </row>
        <row r="788">
          <cell r="C788">
            <v>10570018</v>
          </cell>
          <cell r="D788" t="str">
            <v>Gohi</v>
          </cell>
          <cell r="E788" t="str">
            <v>MPG</v>
          </cell>
          <cell r="F788" t="str">
            <v>Direct</v>
          </cell>
          <cell r="G788">
            <v>389.4</v>
          </cell>
          <cell r="H788">
            <v>15583.76</v>
          </cell>
          <cell r="I788">
            <v>81.499999999999972</v>
          </cell>
          <cell r="J788">
            <v>3343.9023177120002</v>
          </cell>
          <cell r="K788">
            <v>307.90000000000003</v>
          </cell>
          <cell r="L788">
            <v>12201.500863567002</v>
          </cell>
          <cell r="M788">
            <v>389.4</v>
          </cell>
          <cell r="N788">
            <v>15545.403181279002</v>
          </cell>
          <cell r="O788">
            <v>15545.403181279002</v>
          </cell>
          <cell r="P788">
            <v>0</v>
          </cell>
          <cell r="Q788">
            <v>277.59052728</v>
          </cell>
          <cell r="R788">
            <v>0</v>
          </cell>
          <cell r="S788">
            <v>0</v>
          </cell>
          <cell r="T788">
            <v>0</v>
          </cell>
        </row>
        <row r="789">
          <cell r="C789">
            <v>10570019</v>
          </cell>
          <cell r="D789" t="str">
            <v>Matua</v>
          </cell>
          <cell r="E789" t="str">
            <v>MPG</v>
          </cell>
          <cell r="F789" t="str">
            <v>Direct</v>
          </cell>
          <cell r="G789">
            <v>647.70000000000016</v>
          </cell>
          <cell r="H789">
            <v>27193.83</v>
          </cell>
          <cell r="I789">
            <v>166.7</v>
          </cell>
          <cell r="J789">
            <v>8078.9958714817994</v>
          </cell>
          <cell r="K789">
            <v>480.9</v>
          </cell>
          <cell r="L789">
            <v>19126.910420808901</v>
          </cell>
          <cell r="M789">
            <v>647.59999999999991</v>
          </cell>
          <cell r="N789">
            <v>27205.9062922907</v>
          </cell>
          <cell r="O789">
            <v>27193.83</v>
          </cell>
          <cell r="P789">
            <v>0</v>
          </cell>
          <cell r="Q789">
            <v>109.41420616889999</v>
          </cell>
          <cell r="R789">
            <v>12.076292290697893</v>
          </cell>
          <cell r="S789">
            <v>0</v>
          </cell>
          <cell r="T789">
            <v>0</v>
          </cell>
        </row>
        <row r="790">
          <cell r="C790">
            <v>10570020</v>
          </cell>
          <cell r="D790" t="str">
            <v>Ratni Chouk</v>
          </cell>
          <cell r="E790" t="str">
            <v>MPG</v>
          </cell>
          <cell r="F790" t="str">
            <v>Direct</v>
          </cell>
          <cell r="G790">
            <v>855.30000000000007</v>
          </cell>
          <cell r="H790">
            <v>37101.640000000007</v>
          </cell>
          <cell r="I790">
            <v>855.40000000000009</v>
          </cell>
          <cell r="J790">
            <v>37104.762647160009</v>
          </cell>
          <cell r="K790">
            <v>0</v>
          </cell>
          <cell r="L790">
            <v>0</v>
          </cell>
          <cell r="M790">
            <v>855.40000000000009</v>
          </cell>
          <cell r="N790">
            <v>37104.762647160009</v>
          </cell>
          <cell r="O790">
            <v>37101.640000000007</v>
          </cell>
          <cell r="P790">
            <v>0</v>
          </cell>
          <cell r="Q790">
            <v>0</v>
          </cell>
          <cell r="R790">
            <v>3.1226471600020886</v>
          </cell>
          <cell r="S790">
            <v>0</v>
          </cell>
          <cell r="T790">
            <v>0</v>
          </cell>
        </row>
        <row r="791">
          <cell r="C791">
            <v>10570021</v>
          </cell>
          <cell r="D791" t="str">
            <v>Balahi 2</v>
          </cell>
          <cell r="E791" t="str">
            <v>MPG</v>
          </cell>
          <cell r="F791" t="str">
            <v>Direct</v>
          </cell>
          <cell r="G791">
            <v>655.70000000000016</v>
          </cell>
          <cell r="H791">
            <v>23041.989999999998</v>
          </cell>
          <cell r="I791">
            <v>599</v>
          </cell>
          <cell r="J791">
            <v>22278.837783925672</v>
          </cell>
          <cell r="K791">
            <v>59.9</v>
          </cell>
          <cell r="L791">
            <v>2101.9196606760001</v>
          </cell>
          <cell r="M791">
            <v>658.9</v>
          </cell>
          <cell r="N791">
            <v>24380.757444601673</v>
          </cell>
          <cell r="O791">
            <v>23041.989999999998</v>
          </cell>
          <cell r="P791">
            <v>0</v>
          </cell>
          <cell r="Q791">
            <v>75.936299075999997</v>
          </cell>
          <cell r="R791">
            <v>1338.7674446016754</v>
          </cell>
          <cell r="S791">
            <v>0</v>
          </cell>
          <cell r="T791">
            <v>0</v>
          </cell>
        </row>
        <row r="792">
          <cell r="C792">
            <v>10570022</v>
          </cell>
          <cell r="D792" t="str">
            <v>Chandauli</v>
          </cell>
          <cell r="E792" t="str">
            <v>vlc</v>
          </cell>
          <cell r="F792" t="str">
            <v>Indirect</v>
          </cell>
          <cell r="G792">
            <v>484.9</v>
          </cell>
          <cell r="H792">
            <v>22534.91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22534.91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</row>
        <row r="793">
          <cell r="C793">
            <v>10570024</v>
          </cell>
          <cell r="D793" t="str">
            <v>Gulabi Choak</v>
          </cell>
          <cell r="E793" t="str">
            <v>vlc</v>
          </cell>
          <cell r="F793" t="str">
            <v>Indirect</v>
          </cell>
          <cell r="G793">
            <v>816.80000000000007</v>
          </cell>
          <cell r="H793">
            <v>29801.230000000003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29801.230000000003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</row>
        <row r="794">
          <cell r="C794">
            <v>10570025</v>
          </cell>
          <cell r="D794" t="str">
            <v>Satmalpur</v>
          </cell>
          <cell r="E794" t="str">
            <v>vlc</v>
          </cell>
          <cell r="F794" t="str">
            <v>Indirect</v>
          </cell>
          <cell r="G794">
            <v>1284.7</v>
          </cell>
          <cell r="H794">
            <v>49490.369999999995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49490.369999999995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</row>
        <row r="795">
          <cell r="C795">
            <v>10570026</v>
          </cell>
          <cell r="D795" t="str">
            <v>Chhatnesar</v>
          </cell>
          <cell r="E795" t="str">
            <v>vlc</v>
          </cell>
          <cell r="F795" t="str">
            <v>Indirect</v>
          </cell>
          <cell r="G795">
            <v>350.7</v>
          </cell>
          <cell r="H795">
            <v>13108.569999999998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13108.569999999998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</row>
        <row r="796">
          <cell r="C796">
            <v>10570028</v>
          </cell>
          <cell r="D796" t="str">
            <v>Chhatnesar 2</v>
          </cell>
          <cell r="E796" t="str">
            <v>MPG</v>
          </cell>
          <cell r="F796" t="str">
            <v>Direct</v>
          </cell>
          <cell r="G796">
            <v>289.8</v>
          </cell>
          <cell r="H796">
            <v>10403.75</v>
          </cell>
          <cell r="I796">
            <v>259.09999999999997</v>
          </cell>
          <cell r="J796">
            <v>9603.7886289708003</v>
          </cell>
          <cell r="K796">
            <v>21</v>
          </cell>
          <cell r="L796">
            <v>856.57128480000017</v>
          </cell>
          <cell r="M796">
            <v>280.09999999999997</v>
          </cell>
          <cell r="N796">
            <v>10460.359913770801</v>
          </cell>
          <cell r="O796">
            <v>10403.75</v>
          </cell>
          <cell r="P796">
            <v>0</v>
          </cell>
          <cell r="Q796">
            <v>0</v>
          </cell>
          <cell r="R796">
            <v>56.609913770800631</v>
          </cell>
          <cell r="S796">
            <v>0</v>
          </cell>
          <cell r="T796">
            <v>0</v>
          </cell>
        </row>
        <row r="797">
          <cell r="C797">
            <v>10570029</v>
          </cell>
          <cell r="D797" t="str">
            <v>Hajpurwa</v>
          </cell>
          <cell r="E797" t="str">
            <v>MPG</v>
          </cell>
          <cell r="F797" t="str">
            <v>Direct</v>
          </cell>
          <cell r="G797">
            <v>162.09999999999997</v>
          </cell>
          <cell r="H797">
            <v>6670.5</v>
          </cell>
          <cell r="I797">
            <v>162.09999999999997</v>
          </cell>
          <cell r="J797">
            <v>6684.9663597419994</v>
          </cell>
          <cell r="K797">
            <v>0</v>
          </cell>
          <cell r="L797">
            <v>0</v>
          </cell>
          <cell r="M797">
            <v>162.09999999999997</v>
          </cell>
          <cell r="N797">
            <v>6684.9663597419994</v>
          </cell>
          <cell r="O797">
            <v>6670.5</v>
          </cell>
          <cell r="P797">
            <v>0</v>
          </cell>
          <cell r="Q797">
            <v>0</v>
          </cell>
          <cell r="R797">
            <v>14.46635974199944</v>
          </cell>
          <cell r="S797">
            <v>0</v>
          </cell>
          <cell r="T797">
            <v>96.481957377049127</v>
          </cell>
        </row>
        <row r="798">
          <cell r="C798">
            <v>10570030</v>
          </cell>
          <cell r="D798" t="str">
            <v>Shekhopur</v>
          </cell>
          <cell r="E798" t="str">
            <v>MPG</v>
          </cell>
          <cell r="F798" t="str">
            <v>Direct</v>
          </cell>
          <cell r="G798">
            <v>291.5</v>
          </cell>
          <cell r="H798">
            <v>10417.640000000003</v>
          </cell>
          <cell r="I798">
            <v>291.5</v>
          </cell>
          <cell r="J798">
            <v>10417.574297988</v>
          </cell>
          <cell r="K798">
            <v>0</v>
          </cell>
          <cell r="L798">
            <v>0</v>
          </cell>
          <cell r="M798">
            <v>291.5</v>
          </cell>
          <cell r="N798">
            <v>10417.574297988</v>
          </cell>
          <cell r="O798">
            <v>10417.574297988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144.18547868852465</v>
          </cell>
        </row>
        <row r="799">
          <cell r="C799">
            <v>10570031</v>
          </cell>
          <cell r="D799" t="str">
            <v>Dharampur</v>
          </cell>
          <cell r="E799" t="str">
            <v>MPG</v>
          </cell>
          <cell r="F799" t="str">
            <v>Direct</v>
          </cell>
          <cell r="G799">
            <v>163.5</v>
          </cell>
          <cell r="H799">
            <v>6522.6000000000013</v>
          </cell>
          <cell r="I799">
            <v>162.59999999999997</v>
          </cell>
          <cell r="J799">
            <v>6434.6178626550009</v>
          </cell>
          <cell r="K799">
            <v>0.5</v>
          </cell>
          <cell r="L799">
            <v>19.430951759999999</v>
          </cell>
          <cell r="M799">
            <v>163.09999999999997</v>
          </cell>
          <cell r="N799">
            <v>6454.0488144150013</v>
          </cell>
          <cell r="O799">
            <v>6454.0488144150013</v>
          </cell>
          <cell r="P799">
            <v>0</v>
          </cell>
          <cell r="Q799">
            <v>19.430951759999999</v>
          </cell>
          <cell r="R799">
            <v>0</v>
          </cell>
          <cell r="S799">
            <v>0</v>
          </cell>
          <cell r="T799">
            <v>0</v>
          </cell>
        </row>
        <row r="800">
          <cell r="C800">
            <v>10570033</v>
          </cell>
          <cell r="D800" t="str">
            <v>Chatnesar Pachiam</v>
          </cell>
          <cell r="E800" t="str">
            <v>vlc</v>
          </cell>
          <cell r="F800" t="str">
            <v>Indirect</v>
          </cell>
          <cell r="G800">
            <v>140.60000000000002</v>
          </cell>
          <cell r="H800">
            <v>5469.3600000000006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5469.3600000000006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162.1990838709678</v>
          </cell>
        </row>
        <row r="801">
          <cell r="C801">
            <v>10570036</v>
          </cell>
          <cell r="D801" t="str">
            <v>Hajpurwa Pachim</v>
          </cell>
          <cell r="E801" t="str">
            <v>MPG</v>
          </cell>
          <cell r="F801" t="str">
            <v>Direct</v>
          </cell>
          <cell r="G801">
            <v>321.09999999999997</v>
          </cell>
          <cell r="H801">
            <v>13106.749999999998</v>
          </cell>
          <cell r="I801">
            <v>320.60000000000008</v>
          </cell>
          <cell r="J801">
            <v>13126.915469206489</v>
          </cell>
          <cell r="K801">
            <v>0</v>
          </cell>
          <cell r="L801">
            <v>0</v>
          </cell>
          <cell r="M801">
            <v>320.60000000000008</v>
          </cell>
          <cell r="N801">
            <v>13126.915469206489</v>
          </cell>
          <cell r="O801">
            <v>13106.749999999998</v>
          </cell>
          <cell r="P801">
            <v>0</v>
          </cell>
          <cell r="Q801">
            <v>0</v>
          </cell>
          <cell r="R801">
            <v>20.165469206491252</v>
          </cell>
          <cell r="S801">
            <v>0</v>
          </cell>
          <cell r="T801">
            <v>0</v>
          </cell>
        </row>
        <row r="802">
          <cell r="C802">
            <v>10570037</v>
          </cell>
          <cell r="D802" t="str">
            <v>Almasnagar</v>
          </cell>
          <cell r="E802" t="str">
            <v>vlc</v>
          </cell>
          <cell r="F802" t="str">
            <v>Indirect</v>
          </cell>
          <cell r="G802">
            <v>342.50000000000006</v>
          </cell>
          <cell r="H802">
            <v>11587.3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11587.3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</row>
        <row r="803">
          <cell r="C803">
            <v>10570038</v>
          </cell>
          <cell r="D803" t="str">
            <v>Kadarchak</v>
          </cell>
          <cell r="E803" t="str">
            <v>vlc</v>
          </cell>
          <cell r="F803" t="str">
            <v>Indirect</v>
          </cell>
          <cell r="G803">
            <v>87.199999999999989</v>
          </cell>
          <cell r="H803">
            <v>3225.88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3225.88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</row>
        <row r="804">
          <cell r="C804">
            <v>10570042</v>
          </cell>
          <cell r="D804" t="str">
            <v>Rahua</v>
          </cell>
          <cell r="E804" t="str">
            <v>MPG</v>
          </cell>
          <cell r="F804" t="str">
            <v>Direct</v>
          </cell>
          <cell r="G804">
            <v>155.5</v>
          </cell>
          <cell r="H804">
            <v>6430.82</v>
          </cell>
          <cell r="I804">
            <v>155.50000000000003</v>
          </cell>
          <cell r="J804">
            <v>6430.3910373914996</v>
          </cell>
          <cell r="K804">
            <v>0</v>
          </cell>
          <cell r="L804">
            <v>0</v>
          </cell>
          <cell r="M804">
            <v>155.50000000000003</v>
          </cell>
          <cell r="N804">
            <v>6430.3910373914996</v>
          </cell>
          <cell r="O804">
            <v>6430.3910373914996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</row>
        <row r="805">
          <cell r="C805">
            <v>10570044</v>
          </cell>
          <cell r="D805" t="str">
            <v>Dagrua</v>
          </cell>
          <cell r="E805" t="str">
            <v>MPG</v>
          </cell>
          <cell r="F805" t="str">
            <v>Direct</v>
          </cell>
          <cell r="G805">
            <v>91.5</v>
          </cell>
          <cell r="H805">
            <v>4065.3</v>
          </cell>
          <cell r="I805">
            <v>83.6</v>
          </cell>
          <cell r="J805">
            <v>3700.3404072000008</v>
          </cell>
          <cell r="K805">
            <v>0</v>
          </cell>
          <cell r="L805">
            <v>0</v>
          </cell>
          <cell r="M805">
            <v>83.6</v>
          </cell>
          <cell r="N805">
            <v>3700.3404072000008</v>
          </cell>
          <cell r="O805">
            <v>3700.3404072000008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</row>
        <row r="806">
          <cell r="C806">
            <v>10570045</v>
          </cell>
          <cell r="D806" t="str">
            <v>Buzurgdoar</v>
          </cell>
          <cell r="E806" t="str">
            <v>MPG</v>
          </cell>
          <cell r="F806" t="str">
            <v>Direct</v>
          </cell>
          <cell r="G806">
            <v>1243.6000000000001</v>
          </cell>
          <cell r="H806">
            <v>47186.689999999995</v>
          </cell>
          <cell r="I806">
            <v>1243.4000000000001</v>
          </cell>
          <cell r="J806">
            <v>47382.256692633018</v>
          </cell>
          <cell r="K806">
            <v>0</v>
          </cell>
          <cell r="L806">
            <v>0</v>
          </cell>
          <cell r="M806">
            <v>1243.4000000000001</v>
          </cell>
          <cell r="N806">
            <v>47382.256692633018</v>
          </cell>
          <cell r="O806">
            <v>47186.689999999995</v>
          </cell>
          <cell r="P806">
            <v>0</v>
          </cell>
          <cell r="Q806">
            <v>0</v>
          </cell>
          <cell r="R806">
            <v>195.56669263302319</v>
          </cell>
          <cell r="S806">
            <v>0</v>
          </cell>
          <cell r="T806">
            <v>0</v>
          </cell>
        </row>
        <row r="807">
          <cell r="C807">
            <v>10570046</v>
          </cell>
          <cell r="D807" t="str">
            <v>Patpara</v>
          </cell>
          <cell r="E807" t="str">
            <v>vlc</v>
          </cell>
          <cell r="F807" t="str">
            <v>Indirect</v>
          </cell>
          <cell r="G807">
            <v>414.00000000000006</v>
          </cell>
          <cell r="H807">
            <v>14226.529999999999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14226.529999999999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</row>
        <row r="808">
          <cell r="C808">
            <v>10570047</v>
          </cell>
          <cell r="D808" t="str">
            <v>Kamopur</v>
          </cell>
          <cell r="E808" t="str">
            <v>MPG</v>
          </cell>
          <cell r="F808" t="str">
            <v>Direct</v>
          </cell>
          <cell r="G808">
            <v>377</v>
          </cell>
          <cell r="H808">
            <v>14675.28</v>
          </cell>
          <cell r="I808">
            <v>299.60000000000002</v>
          </cell>
          <cell r="J808">
            <v>10815.149860586202</v>
          </cell>
          <cell r="K808">
            <v>77.40000000000002</v>
          </cell>
          <cell r="L808">
            <v>3798.3907268808748</v>
          </cell>
          <cell r="M808">
            <v>377.00000000000006</v>
          </cell>
          <cell r="N808">
            <v>14613.540587467076</v>
          </cell>
          <cell r="O808">
            <v>14613.540587467076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</row>
        <row r="809">
          <cell r="C809">
            <v>10570049</v>
          </cell>
          <cell r="D809" t="str">
            <v>Kussaiya</v>
          </cell>
          <cell r="E809" t="str">
            <v>MPG</v>
          </cell>
          <cell r="F809" t="str">
            <v>Direct</v>
          </cell>
          <cell r="G809">
            <v>244.4</v>
          </cell>
          <cell r="H809">
            <v>12659.029999999999</v>
          </cell>
          <cell r="I809">
            <v>243.49999999999994</v>
          </cell>
          <cell r="J809">
            <v>12755.714549359291</v>
          </cell>
          <cell r="K809">
            <v>0</v>
          </cell>
          <cell r="L809">
            <v>0</v>
          </cell>
          <cell r="M809">
            <v>243.49999999999994</v>
          </cell>
          <cell r="N809">
            <v>12755.714549359291</v>
          </cell>
          <cell r="O809">
            <v>12659.029999999999</v>
          </cell>
          <cell r="P809">
            <v>0</v>
          </cell>
          <cell r="Q809">
            <v>0</v>
          </cell>
          <cell r="R809">
            <v>96.68454935929185</v>
          </cell>
          <cell r="S809">
            <v>0</v>
          </cell>
          <cell r="T809">
            <v>0</v>
          </cell>
        </row>
        <row r="810">
          <cell r="C810">
            <v>10570053</v>
          </cell>
          <cell r="D810" t="str">
            <v>Kanu Bisanpur</v>
          </cell>
          <cell r="E810" t="str">
            <v>vlc</v>
          </cell>
          <cell r="F810" t="str">
            <v>Indirect</v>
          </cell>
          <cell r="G810">
            <v>280.7</v>
          </cell>
          <cell r="H810">
            <v>10687.810000000001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10687.810000000001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</row>
        <row r="811">
          <cell r="C811">
            <v>10570055</v>
          </cell>
          <cell r="D811" t="str">
            <v>Raini 2</v>
          </cell>
          <cell r="E811" t="str">
            <v>MPG</v>
          </cell>
          <cell r="F811" t="str">
            <v>Direct</v>
          </cell>
          <cell r="G811">
            <v>168.7</v>
          </cell>
          <cell r="H811">
            <v>6796.7899999999991</v>
          </cell>
          <cell r="I811">
            <v>167.79999999999998</v>
          </cell>
          <cell r="J811">
            <v>6858.9193834587195</v>
          </cell>
          <cell r="K811">
            <v>0</v>
          </cell>
          <cell r="L811">
            <v>0</v>
          </cell>
          <cell r="M811">
            <v>167.79999999999998</v>
          </cell>
          <cell r="N811">
            <v>6858.9193834587195</v>
          </cell>
          <cell r="O811">
            <v>6796.7899999999991</v>
          </cell>
          <cell r="P811">
            <v>0</v>
          </cell>
          <cell r="Q811">
            <v>0</v>
          </cell>
          <cell r="R811">
            <v>62.12938345872044</v>
          </cell>
          <cell r="S811">
            <v>0</v>
          </cell>
          <cell r="T811">
            <v>0</v>
          </cell>
        </row>
        <row r="812">
          <cell r="C812">
            <v>10570056</v>
          </cell>
          <cell r="D812" t="str">
            <v>Hasauli</v>
          </cell>
          <cell r="E812" t="str">
            <v>vlc</v>
          </cell>
          <cell r="F812" t="str">
            <v>Indirect</v>
          </cell>
          <cell r="G812">
            <v>75.599999999999994</v>
          </cell>
          <cell r="H812">
            <v>2662.65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2662.65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</row>
        <row r="813">
          <cell r="C813">
            <v>10570057</v>
          </cell>
          <cell r="D813" t="str">
            <v>Kusiya 2</v>
          </cell>
          <cell r="E813" t="str">
            <v>vlc</v>
          </cell>
          <cell r="F813" t="str">
            <v>Indirect</v>
          </cell>
          <cell r="G813">
            <v>251</v>
          </cell>
          <cell r="H813">
            <v>9103.8499999999985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9103.8499999999985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</row>
        <row r="814">
          <cell r="C814">
            <v>10570058</v>
          </cell>
          <cell r="D814" t="str">
            <v>Babupur</v>
          </cell>
          <cell r="E814" t="str">
            <v>vlc</v>
          </cell>
          <cell r="F814" t="str">
            <v>Indirect</v>
          </cell>
          <cell r="G814">
            <v>260.7</v>
          </cell>
          <cell r="H814">
            <v>9422.7100000000009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9422.7100000000009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</row>
        <row r="815">
          <cell r="C815">
            <v>10570059</v>
          </cell>
          <cell r="D815" t="str">
            <v>Rahua 2</v>
          </cell>
          <cell r="E815" t="str">
            <v>vlc</v>
          </cell>
          <cell r="F815" t="str">
            <v>Indirect</v>
          </cell>
          <cell r="G815">
            <v>1554</v>
          </cell>
          <cell r="H815">
            <v>66602.070000000007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66602.070000000007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</row>
        <row r="816">
          <cell r="C816">
            <v>10570060</v>
          </cell>
          <cell r="D816" t="str">
            <v>Madhopur</v>
          </cell>
          <cell r="E816" t="str">
            <v>vlc</v>
          </cell>
          <cell r="F816" t="str">
            <v>Indirect</v>
          </cell>
          <cell r="G816">
            <v>271.39999999999998</v>
          </cell>
          <cell r="H816">
            <v>10739.16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10739.16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</row>
        <row r="817">
          <cell r="C817">
            <v>10570062</v>
          </cell>
          <cell r="D817" t="str">
            <v>Ekdara</v>
          </cell>
          <cell r="E817" t="str">
            <v>vlc</v>
          </cell>
          <cell r="F817" t="str">
            <v>Indirect</v>
          </cell>
          <cell r="G817">
            <v>237.9</v>
          </cell>
          <cell r="H817">
            <v>8416.9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8416.9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</row>
        <row r="818">
          <cell r="C818">
            <v>10580001</v>
          </cell>
          <cell r="D818" t="str">
            <v>Mahuli</v>
          </cell>
          <cell r="E818" t="str">
            <v>MPG</v>
          </cell>
          <cell r="F818" t="str">
            <v>Direct</v>
          </cell>
          <cell r="G818">
            <v>312.60000000000002</v>
          </cell>
          <cell r="H818">
            <v>12726.71</v>
          </cell>
          <cell r="I818">
            <v>297.2</v>
          </cell>
          <cell r="J818">
            <v>12140.7591557878</v>
          </cell>
          <cell r="K818">
            <v>9.1</v>
          </cell>
          <cell r="L818">
            <v>369.13494420000001</v>
          </cell>
          <cell r="M818">
            <v>306.3</v>
          </cell>
          <cell r="N818">
            <v>12509.8940999878</v>
          </cell>
          <cell r="O818">
            <v>12509.8940999878</v>
          </cell>
          <cell r="P818">
            <v>0</v>
          </cell>
          <cell r="Q818">
            <v>369.13494420000001</v>
          </cell>
          <cell r="R818">
            <v>0</v>
          </cell>
          <cell r="S818">
            <v>0</v>
          </cell>
          <cell r="T818">
            <v>0</v>
          </cell>
        </row>
        <row r="819">
          <cell r="C819">
            <v>10580002</v>
          </cell>
          <cell r="D819" t="str">
            <v>Sakhwa Ghat</v>
          </cell>
          <cell r="E819" t="str">
            <v>MPG</v>
          </cell>
          <cell r="F819" t="str">
            <v>Direct</v>
          </cell>
          <cell r="G819">
            <v>383.49999999999994</v>
          </cell>
          <cell r="H819">
            <v>15099.51</v>
          </cell>
          <cell r="I819">
            <v>377.60000000000008</v>
          </cell>
          <cell r="J819">
            <v>15538.337030467841</v>
          </cell>
          <cell r="K819">
            <v>8</v>
          </cell>
          <cell r="L819">
            <v>319.95021168000005</v>
          </cell>
          <cell r="M819">
            <v>385.60000000000008</v>
          </cell>
          <cell r="N819">
            <v>15858.287242147841</v>
          </cell>
          <cell r="O819">
            <v>15099.51</v>
          </cell>
          <cell r="P819">
            <v>0</v>
          </cell>
          <cell r="Q819">
            <v>319.95021168000005</v>
          </cell>
          <cell r="R819">
            <v>758.7772421478403</v>
          </cell>
          <cell r="S819">
            <v>0</v>
          </cell>
          <cell r="T819">
            <v>0</v>
          </cell>
        </row>
        <row r="820">
          <cell r="C820">
            <v>10580004</v>
          </cell>
          <cell r="D820" t="str">
            <v>Patiya</v>
          </cell>
          <cell r="E820" t="str">
            <v>MPG</v>
          </cell>
          <cell r="F820" t="str">
            <v>Direct</v>
          </cell>
          <cell r="G820">
            <v>277.60000000000002</v>
          </cell>
          <cell r="H820">
            <v>10197.209999999999</v>
          </cell>
          <cell r="I820">
            <v>262.8</v>
          </cell>
          <cell r="J820">
            <v>10653.504715978599</v>
          </cell>
          <cell r="K820">
            <v>3.3</v>
          </cell>
          <cell r="L820">
            <v>127.27687125720001</v>
          </cell>
          <cell r="M820">
            <v>266.10000000000002</v>
          </cell>
          <cell r="N820">
            <v>10780.781587235799</v>
          </cell>
          <cell r="O820">
            <v>10197.209999999999</v>
          </cell>
          <cell r="P820">
            <v>0</v>
          </cell>
          <cell r="Q820">
            <v>127.27687125720001</v>
          </cell>
          <cell r="R820">
            <v>583.5715872357996</v>
          </cell>
          <cell r="S820">
            <v>0</v>
          </cell>
          <cell r="T820">
            <v>0</v>
          </cell>
        </row>
        <row r="821">
          <cell r="C821">
            <v>10580005</v>
          </cell>
          <cell r="D821" t="str">
            <v>Kasiya</v>
          </cell>
          <cell r="E821" t="str">
            <v>MPG</v>
          </cell>
          <cell r="F821" t="str">
            <v>Direct</v>
          </cell>
          <cell r="G821">
            <v>441.80000000000007</v>
          </cell>
          <cell r="H821">
            <v>16478.98</v>
          </cell>
          <cell r="I821">
            <v>465.9</v>
          </cell>
          <cell r="J821">
            <v>18632.059515710498</v>
          </cell>
          <cell r="K821">
            <v>3.2</v>
          </cell>
          <cell r="L821">
            <v>124.468889292</v>
          </cell>
          <cell r="M821">
            <v>469.09999999999997</v>
          </cell>
          <cell r="N821">
            <v>18756.528405002497</v>
          </cell>
          <cell r="O821">
            <v>16478.98</v>
          </cell>
          <cell r="P821">
            <v>0</v>
          </cell>
          <cell r="Q821">
            <v>124.468889292</v>
          </cell>
          <cell r="R821">
            <v>2277.548405002497</v>
          </cell>
          <cell r="S821">
            <v>0</v>
          </cell>
          <cell r="T821">
            <v>0</v>
          </cell>
        </row>
        <row r="822">
          <cell r="C822">
            <v>10580007</v>
          </cell>
          <cell r="D822" t="str">
            <v>Belshandi</v>
          </cell>
          <cell r="E822" t="str">
            <v>MPG</v>
          </cell>
          <cell r="F822" t="str">
            <v>Direct</v>
          </cell>
          <cell r="G822">
            <v>156.6</v>
          </cell>
          <cell r="H822">
            <v>5712.9900000000007</v>
          </cell>
          <cell r="I822">
            <v>140.59999999999997</v>
          </cell>
          <cell r="J822">
            <v>5466.3645400983469</v>
          </cell>
          <cell r="K822">
            <v>4.4000000000000004</v>
          </cell>
          <cell r="L822">
            <v>226.30914424142003</v>
          </cell>
          <cell r="M822">
            <v>144.99999999999997</v>
          </cell>
          <cell r="N822">
            <v>5692.6736843397666</v>
          </cell>
          <cell r="O822">
            <v>5692.6736843397666</v>
          </cell>
          <cell r="P822">
            <v>0</v>
          </cell>
          <cell r="Q822">
            <v>226.30914424142003</v>
          </cell>
          <cell r="R822">
            <v>0</v>
          </cell>
          <cell r="S822">
            <v>0</v>
          </cell>
          <cell r="T822">
            <v>0</v>
          </cell>
        </row>
        <row r="823">
          <cell r="C823">
            <v>10580009</v>
          </cell>
          <cell r="D823" t="str">
            <v>Belshandi-2</v>
          </cell>
          <cell r="E823" t="str">
            <v>MPG</v>
          </cell>
          <cell r="F823" t="str">
            <v>Direct</v>
          </cell>
          <cell r="G823">
            <v>120</v>
          </cell>
          <cell r="H823">
            <v>5401.8799999999992</v>
          </cell>
          <cell r="I823">
            <v>124.1</v>
          </cell>
          <cell r="J823">
            <v>5645.0699143300999</v>
          </cell>
          <cell r="K823">
            <v>0</v>
          </cell>
          <cell r="L823">
            <v>0</v>
          </cell>
          <cell r="M823">
            <v>124.1</v>
          </cell>
          <cell r="N823">
            <v>5645.0699143300999</v>
          </cell>
          <cell r="O823">
            <v>5401.8799999999992</v>
          </cell>
          <cell r="P823">
            <v>0</v>
          </cell>
          <cell r="Q823">
            <v>0</v>
          </cell>
          <cell r="R823">
            <v>243.18991433010069</v>
          </cell>
          <cell r="S823">
            <v>0</v>
          </cell>
          <cell r="T823">
            <v>626.41000000000008</v>
          </cell>
        </row>
        <row r="824">
          <cell r="C824">
            <v>10580010</v>
          </cell>
          <cell r="D824" t="str">
            <v>Godah</v>
          </cell>
          <cell r="E824" t="str">
            <v>MPG</v>
          </cell>
          <cell r="F824" t="str">
            <v>Direct</v>
          </cell>
          <cell r="G824">
            <v>300.2</v>
          </cell>
          <cell r="H824">
            <v>11136.689999999999</v>
          </cell>
          <cell r="I824">
            <v>335.1</v>
          </cell>
          <cell r="J824">
            <v>13043.076169518001</v>
          </cell>
          <cell r="K824">
            <v>0</v>
          </cell>
          <cell r="L824">
            <v>0</v>
          </cell>
          <cell r="M824">
            <v>335.1</v>
          </cell>
          <cell r="N824">
            <v>13043.076169518001</v>
          </cell>
          <cell r="O824">
            <v>11136.689999999999</v>
          </cell>
          <cell r="P824">
            <v>0</v>
          </cell>
          <cell r="Q824">
            <v>0</v>
          </cell>
          <cell r="R824">
            <v>1906.3861695180021</v>
          </cell>
          <cell r="S824">
            <v>0</v>
          </cell>
          <cell r="T824">
            <v>0</v>
          </cell>
        </row>
        <row r="825">
          <cell r="C825">
            <v>10580012</v>
          </cell>
          <cell r="D825" t="str">
            <v>Ballahpur</v>
          </cell>
          <cell r="E825" t="str">
            <v>MPG</v>
          </cell>
          <cell r="F825" t="str">
            <v>Direct</v>
          </cell>
          <cell r="G825">
            <v>76.499999999999986</v>
          </cell>
          <cell r="H825">
            <v>2809.12</v>
          </cell>
          <cell r="I825">
            <v>61.34</v>
          </cell>
          <cell r="J825">
            <v>2372.1127155390391</v>
          </cell>
          <cell r="K825">
            <v>0</v>
          </cell>
          <cell r="L825">
            <v>0</v>
          </cell>
          <cell r="M825">
            <v>61.34</v>
          </cell>
          <cell r="N825">
            <v>2372.1127155390391</v>
          </cell>
          <cell r="O825">
            <v>2372.1127155390391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16.596496551724073</v>
          </cell>
        </row>
        <row r="826">
          <cell r="C826">
            <v>10580013</v>
          </cell>
          <cell r="D826" t="str">
            <v>Laxmipur-VLC</v>
          </cell>
          <cell r="E826" t="str">
            <v>vlc</v>
          </cell>
          <cell r="F826" t="str">
            <v>Indirect</v>
          </cell>
          <cell r="G826">
            <v>163.60000000000002</v>
          </cell>
          <cell r="H826">
            <v>5662.58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5662.58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</row>
        <row r="827">
          <cell r="C827">
            <v>10580015</v>
          </cell>
          <cell r="D827" t="str">
            <v>Birpur</v>
          </cell>
          <cell r="E827" t="str">
            <v>MPG</v>
          </cell>
          <cell r="F827" t="str">
            <v>Direct</v>
          </cell>
          <cell r="G827">
            <v>384.20000000000005</v>
          </cell>
          <cell r="H827">
            <v>12741.449999999997</v>
          </cell>
          <cell r="I827">
            <v>359.64</v>
          </cell>
          <cell r="J827">
            <v>12692.358687333601</v>
          </cell>
          <cell r="K827">
            <v>0</v>
          </cell>
          <cell r="L827">
            <v>0</v>
          </cell>
          <cell r="M827">
            <v>359.64</v>
          </cell>
          <cell r="N827">
            <v>12692.358687333601</v>
          </cell>
          <cell r="O827">
            <v>12692.358687333601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</row>
        <row r="828">
          <cell r="C828">
            <v>10580017</v>
          </cell>
          <cell r="D828" t="str">
            <v>Ahilwar</v>
          </cell>
          <cell r="E828" t="str">
            <v>MPG</v>
          </cell>
          <cell r="F828" t="str">
            <v>Direct</v>
          </cell>
          <cell r="G828">
            <v>1113.2</v>
          </cell>
          <cell r="H828">
            <v>48073.37</v>
          </cell>
          <cell r="I828">
            <v>1107.8</v>
          </cell>
          <cell r="J828">
            <v>48609.7566993492</v>
          </cell>
          <cell r="K828">
            <v>5.3</v>
          </cell>
          <cell r="L828">
            <v>210.58519680000001</v>
          </cell>
          <cell r="M828">
            <v>1113.0999999999999</v>
          </cell>
          <cell r="N828">
            <v>48820.341896149199</v>
          </cell>
          <cell r="O828">
            <v>48073.37</v>
          </cell>
          <cell r="P828">
            <v>0</v>
          </cell>
          <cell r="Q828">
            <v>210.58519680000001</v>
          </cell>
          <cell r="R828">
            <v>746.97189614919625</v>
          </cell>
          <cell r="S828">
            <v>0</v>
          </cell>
          <cell r="T828">
            <v>0</v>
          </cell>
        </row>
        <row r="829">
          <cell r="C829">
            <v>10580018</v>
          </cell>
          <cell r="D829" t="str">
            <v>Paridah</v>
          </cell>
          <cell r="E829" t="str">
            <v>MPG</v>
          </cell>
          <cell r="F829" t="str">
            <v>Direct</v>
          </cell>
          <cell r="G829">
            <v>183.1</v>
          </cell>
          <cell r="H829">
            <v>7951.66</v>
          </cell>
          <cell r="I829">
            <v>187.29999999999998</v>
          </cell>
          <cell r="J829">
            <v>8374.8762626796397</v>
          </cell>
          <cell r="K829">
            <v>0</v>
          </cell>
          <cell r="L829">
            <v>0</v>
          </cell>
          <cell r="M829">
            <v>187.29999999999998</v>
          </cell>
          <cell r="N829">
            <v>8374.8762626796397</v>
          </cell>
          <cell r="O829">
            <v>7951.66</v>
          </cell>
          <cell r="P829">
            <v>0</v>
          </cell>
          <cell r="Q829">
            <v>0</v>
          </cell>
          <cell r="R829">
            <v>423.21626267963984</v>
          </cell>
          <cell r="S829">
            <v>0</v>
          </cell>
          <cell r="T829">
            <v>152.31</v>
          </cell>
        </row>
        <row r="830">
          <cell r="C830">
            <v>10580019</v>
          </cell>
          <cell r="D830" t="str">
            <v>Pansalla</v>
          </cell>
          <cell r="E830" t="str">
            <v>MPG</v>
          </cell>
          <cell r="F830" t="str">
            <v>Direct</v>
          </cell>
          <cell r="G830">
            <v>290.89999999999998</v>
          </cell>
          <cell r="H830">
            <v>9758</v>
          </cell>
          <cell r="I830">
            <v>338.99999999999994</v>
          </cell>
          <cell r="J830">
            <v>12109.510168866</v>
          </cell>
          <cell r="K830">
            <v>0</v>
          </cell>
          <cell r="L830">
            <v>0</v>
          </cell>
          <cell r="M830">
            <v>338.99999999999994</v>
          </cell>
          <cell r="N830">
            <v>12109.510168866</v>
          </cell>
          <cell r="O830">
            <v>9758</v>
          </cell>
          <cell r="P830">
            <v>0</v>
          </cell>
          <cell r="Q830">
            <v>0</v>
          </cell>
          <cell r="R830">
            <v>2351.5101688659997</v>
          </cell>
          <cell r="S830">
            <v>0</v>
          </cell>
          <cell r="T830">
            <v>0</v>
          </cell>
        </row>
        <row r="831">
          <cell r="C831">
            <v>10580022</v>
          </cell>
          <cell r="D831" t="str">
            <v>KOLAWARI</v>
          </cell>
          <cell r="E831" t="str">
            <v>MPG</v>
          </cell>
          <cell r="F831" t="str">
            <v>Direct</v>
          </cell>
          <cell r="G831">
            <v>236.1</v>
          </cell>
          <cell r="H831">
            <v>11438.999999999998</v>
          </cell>
          <cell r="I831">
            <v>238.5</v>
          </cell>
          <cell r="J831">
            <v>11497.710185466956</v>
          </cell>
          <cell r="K831">
            <v>0</v>
          </cell>
          <cell r="L831">
            <v>0</v>
          </cell>
          <cell r="M831">
            <v>238.5</v>
          </cell>
          <cell r="N831">
            <v>11497.710185466956</v>
          </cell>
          <cell r="O831">
            <v>11438.999999999998</v>
          </cell>
          <cell r="P831">
            <v>0</v>
          </cell>
          <cell r="Q831">
            <v>0</v>
          </cell>
          <cell r="R831">
            <v>58.710185466958137</v>
          </cell>
          <cell r="S831">
            <v>0</v>
          </cell>
          <cell r="T831">
            <v>0</v>
          </cell>
        </row>
        <row r="832">
          <cell r="C832">
            <v>10580023</v>
          </cell>
          <cell r="D832" t="str">
            <v>MALDAH</v>
          </cell>
          <cell r="E832" t="str">
            <v>vlc</v>
          </cell>
          <cell r="F832" t="str">
            <v>Indirect</v>
          </cell>
          <cell r="G832">
            <v>803.4</v>
          </cell>
          <cell r="H832">
            <v>31474.620000000003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31474.620000000003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</row>
        <row r="833">
          <cell r="C833">
            <v>10580024</v>
          </cell>
          <cell r="D833" t="str">
            <v>KARANCHI</v>
          </cell>
          <cell r="E833" t="str">
            <v>MPG</v>
          </cell>
          <cell r="F833" t="str">
            <v>Direct</v>
          </cell>
          <cell r="G833">
            <v>143.29999999999998</v>
          </cell>
          <cell r="H833">
            <v>5620.58</v>
          </cell>
          <cell r="I833">
            <v>142.69999999999999</v>
          </cell>
          <cell r="J833">
            <v>5620.5129245957996</v>
          </cell>
          <cell r="K833">
            <v>0</v>
          </cell>
          <cell r="L833">
            <v>0</v>
          </cell>
          <cell r="M833">
            <v>142.69999999999999</v>
          </cell>
          <cell r="N833">
            <v>5620.5129245957996</v>
          </cell>
          <cell r="O833">
            <v>5620.5129245957996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</row>
        <row r="834">
          <cell r="C834">
            <v>10580025</v>
          </cell>
          <cell r="D834" t="str">
            <v>MARTHUA</v>
          </cell>
          <cell r="E834" t="str">
            <v>MPG</v>
          </cell>
          <cell r="F834" t="str">
            <v>Direct</v>
          </cell>
          <cell r="G834">
            <v>354.50000000000006</v>
          </cell>
          <cell r="H834">
            <v>14995.140000000001</v>
          </cell>
          <cell r="I834">
            <v>388.51</v>
          </cell>
          <cell r="J834">
            <v>16632.863829499238</v>
          </cell>
          <cell r="K834">
            <v>0</v>
          </cell>
          <cell r="L834">
            <v>0</v>
          </cell>
          <cell r="M834">
            <v>388.51</v>
          </cell>
          <cell r="N834">
            <v>16632.863829499238</v>
          </cell>
          <cell r="O834">
            <v>14995.140000000001</v>
          </cell>
          <cell r="P834">
            <v>0</v>
          </cell>
          <cell r="Q834">
            <v>0</v>
          </cell>
          <cell r="R834">
            <v>1637.7238294992367</v>
          </cell>
          <cell r="S834">
            <v>0</v>
          </cell>
          <cell r="T834">
            <v>0</v>
          </cell>
        </row>
        <row r="835">
          <cell r="C835">
            <v>10580026</v>
          </cell>
          <cell r="D835" t="str">
            <v xml:space="preserve">GARHPURA </v>
          </cell>
          <cell r="E835" t="str">
            <v>MPG</v>
          </cell>
          <cell r="F835" t="str">
            <v>Direct</v>
          </cell>
          <cell r="G835">
            <v>185.10000000000002</v>
          </cell>
          <cell r="H835">
            <v>6261.86</v>
          </cell>
          <cell r="I835">
            <v>205.61000000000004</v>
          </cell>
          <cell r="J835">
            <v>7185.0616723116</v>
          </cell>
          <cell r="K835">
            <v>0</v>
          </cell>
          <cell r="L835">
            <v>0</v>
          </cell>
          <cell r="M835">
            <v>205.61000000000004</v>
          </cell>
          <cell r="N835">
            <v>7185.0616723116</v>
          </cell>
          <cell r="O835">
            <v>6261.86</v>
          </cell>
          <cell r="P835">
            <v>0</v>
          </cell>
          <cell r="Q835">
            <v>0</v>
          </cell>
          <cell r="R835">
            <v>923.2016723116003</v>
          </cell>
          <cell r="S835">
            <v>0</v>
          </cell>
          <cell r="T835">
            <v>0</v>
          </cell>
        </row>
        <row r="836">
          <cell r="C836">
            <v>10580027</v>
          </cell>
          <cell r="D836" t="str">
            <v>KOKANI</v>
          </cell>
          <cell r="E836" t="str">
            <v>MPG</v>
          </cell>
          <cell r="F836" t="str">
            <v>Direct</v>
          </cell>
          <cell r="G836">
            <v>129.60000000000002</v>
          </cell>
          <cell r="H836">
            <v>4695.3999999999996</v>
          </cell>
          <cell r="I836">
            <v>126.57000000000001</v>
          </cell>
          <cell r="J836">
            <v>4779.0215720280012</v>
          </cell>
          <cell r="K836">
            <v>0</v>
          </cell>
          <cell r="L836">
            <v>0</v>
          </cell>
          <cell r="M836">
            <v>126.57000000000001</v>
          </cell>
          <cell r="N836">
            <v>4779.0215720280012</v>
          </cell>
          <cell r="O836">
            <v>4695.3999999999996</v>
          </cell>
          <cell r="P836">
            <v>0</v>
          </cell>
          <cell r="Q836">
            <v>0</v>
          </cell>
          <cell r="R836">
            <v>83.621572028001538</v>
          </cell>
          <cell r="S836">
            <v>0</v>
          </cell>
          <cell r="T836">
            <v>0</v>
          </cell>
        </row>
        <row r="837">
          <cell r="C837">
            <v>10580028</v>
          </cell>
          <cell r="D837" t="str">
            <v xml:space="preserve">DURGAPUR </v>
          </cell>
          <cell r="E837" t="str">
            <v>MPG</v>
          </cell>
          <cell r="F837" t="str">
            <v>Direct</v>
          </cell>
          <cell r="G837">
            <v>339.6</v>
          </cell>
          <cell r="H837">
            <v>14219.54</v>
          </cell>
          <cell r="I837">
            <v>327.30000000000007</v>
          </cell>
          <cell r="J837">
            <v>14225.52605638885</v>
          </cell>
          <cell r="K837">
            <v>0</v>
          </cell>
          <cell r="L837">
            <v>0</v>
          </cell>
          <cell r="M837">
            <v>327.30000000000007</v>
          </cell>
          <cell r="N837">
            <v>14225.52605638885</v>
          </cell>
          <cell r="O837">
            <v>14219.54</v>
          </cell>
          <cell r="P837">
            <v>0</v>
          </cell>
          <cell r="Q837">
            <v>0</v>
          </cell>
          <cell r="R837">
            <v>5.9860563888487377</v>
          </cell>
          <cell r="S837">
            <v>0</v>
          </cell>
          <cell r="T837">
            <v>0</v>
          </cell>
        </row>
        <row r="838">
          <cell r="C838">
            <v>10580029</v>
          </cell>
          <cell r="D838" t="str">
            <v>Chandauli</v>
          </cell>
          <cell r="E838" t="str">
            <v>MPG</v>
          </cell>
          <cell r="F838" t="str">
            <v>Direct</v>
          </cell>
          <cell r="G838">
            <v>194.39999999999995</v>
          </cell>
          <cell r="H838">
            <v>8324.8499999999985</v>
          </cell>
          <cell r="I838">
            <v>196.90000000000003</v>
          </cell>
          <cell r="J838">
            <v>9004.1458231764009</v>
          </cell>
          <cell r="K838">
            <v>0</v>
          </cell>
          <cell r="L838">
            <v>0</v>
          </cell>
          <cell r="M838">
            <v>196.90000000000003</v>
          </cell>
          <cell r="N838">
            <v>9004.1458231764009</v>
          </cell>
          <cell r="O838">
            <v>8324.8499999999985</v>
          </cell>
          <cell r="P838">
            <v>0</v>
          </cell>
          <cell r="Q838">
            <v>0</v>
          </cell>
          <cell r="R838">
            <v>679.29582317640234</v>
          </cell>
          <cell r="S838">
            <v>0</v>
          </cell>
          <cell r="T838">
            <v>0</v>
          </cell>
        </row>
        <row r="839">
          <cell r="C839">
            <v>10580030</v>
          </cell>
          <cell r="D839" t="str">
            <v>Girdharpur</v>
          </cell>
          <cell r="E839" t="str">
            <v>MPG</v>
          </cell>
          <cell r="F839" t="str">
            <v>Direct</v>
          </cell>
          <cell r="G839">
            <v>498.59999999999997</v>
          </cell>
          <cell r="H839">
            <v>17248.870000000003</v>
          </cell>
          <cell r="I839">
            <v>501</v>
          </cell>
          <cell r="J839">
            <v>17689.235935734003</v>
          </cell>
          <cell r="K839">
            <v>0</v>
          </cell>
          <cell r="L839">
            <v>0</v>
          </cell>
          <cell r="M839">
            <v>501</v>
          </cell>
          <cell r="N839">
            <v>17689.235935734003</v>
          </cell>
          <cell r="O839">
            <v>17248.870000000003</v>
          </cell>
          <cell r="P839">
            <v>0</v>
          </cell>
          <cell r="Q839">
            <v>0</v>
          </cell>
          <cell r="R839">
            <v>440.36593573400023</v>
          </cell>
          <cell r="S839">
            <v>0</v>
          </cell>
          <cell r="T839">
            <v>0</v>
          </cell>
        </row>
        <row r="840">
          <cell r="C840">
            <v>10590001</v>
          </cell>
          <cell r="D840" t="str">
            <v>MISHRBIGHA</v>
          </cell>
          <cell r="E840" t="str">
            <v>MPG</v>
          </cell>
          <cell r="F840" t="str">
            <v>Direct</v>
          </cell>
          <cell r="G840">
            <v>765.3</v>
          </cell>
          <cell r="H840">
            <v>39366.86</v>
          </cell>
          <cell r="I840">
            <v>840.61000000000013</v>
          </cell>
          <cell r="J840">
            <v>45321.720202443081</v>
          </cell>
          <cell r="K840">
            <v>0.1</v>
          </cell>
          <cell r="L840">
            <v>7.070866478000001</v>
          </cell>
          <cell r="M840">
            <v>840.71000000000015</v>
          </cell>
          <cell r="N840">
            <v>45328.791068921084</v>
          </cell>
          <cell r="O840">
            <v>39366.86</v>
          </cell>
          <cell r="P840">
            <v>0</v>
          </cell>
          <cell r="Q840">
            <v>7.070866478000001</v>
          </cell>
          <cell r="R840">
            <v>5961.9310689210834</v>
          </cell>
          <cell r="S840">
            <v>0</v>
          </cell>
          <cell r="T840">
            <v>0</v>
          </cell>
        </row>
        <row r="841">
          <cell r="C841">
            <v>10590002</v>
          </cell>
          <cell r="D841" t="str">
            <v>DIGHOI</v>
          </cell>
          <cell r="E841" t="str">
            <v>MPG</v>
          </cell>
          <cell r="F841" t="str">
            <v>Direct</v>
          </cell>
          <cell r="G841">
            <v>152.6</v>
          </cell>
          <cell r="H841">
            <v>9296.7400000000016</v>
          </cell>
          <cell r="I841">
            <v>153.07000000000002</v>
          </cell>
          <cell r="J841">
            <v>9551.9312270881983</v>
          </cell>
          <cell r="K841">
            <v>0</v>
          </cell>
          <cell r="L841">
            <v>0</v>
          </cell>
          <cell r="M841">
            <v>153.07000000000002</v>
          </cell>
          <cell r="N841">
            <v>9551.9312270881983</v>
          </cell>
          <cell r="O841">
            <v>9296.7400000000016</v>
          </cell>
          <cell r="P841">
            <v>0</v>
          </cell>
          <cell r="Q841">
            <v>0</v>
          </cell>
          <cell r="R841">
            <v>255.19122708819668</v>
          </cell>
          <cell r="S841">
            <v>0</v>
          </cell>
          <cell r="T841">
            <v>45.241587096774026</v>
          </cell>
        </row>
        <row r="842">
          <cell r="C842">
            <v>10590004</v>
          </cell>
          <cell r="D842" t="str">
            <v>PRATAPUR</v>
          </cell>
          <cell r="E842" t="str">
            <v>MPG</v>
          </cell>
          <cell r="F842" t="str">
            <v>Direct</v>
          </cell>
          <cell r="G842">
            <v>964.00000000000011</v>
          </cell>
          <cell r="H842">
            <v>35916.740000000005</v>
          </cell>
          <cell r="I842">
            <v>999.2600000000001</v>
          </cell>
          <cell r="J842">
            <v>35857.044595468804</v>
          </cell>
          <cell r="K842">
            <v>0</v>
          </cell>
          <cell r="L842">
            <v>0</v>
          </cell>
          <cell r="M842">
            <v>999.2600000000001</v>
          </cell>
          <cell r="N842">
            <v>35857.044595468804</v>
          </cell>
          <cell r="O842">
            <v>35857.044595468804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</row>
        <row r="843">
          <cell r="C843">
            <v>10590006</v>
          </cell>
          <cell r="D843" t="str">
            <v>GOPALPUR</v>
          </cell>
          <cell r="E843" t="str">
            <v>MPG</v>
          </cell>
          <cell r="F843" t="str">
            <v>Direct</v>
          </cell>
          <cell r="G843">
            <v>351.6</v>
          </cell>
          <cell r="H843">
            <v>15216.81</v>
          </cell>
          <cell r="I843">
            <v>358.70000000000005</v>
          </cell>
          <cell r="J843">
            <v>15242.724304834999</v>
          </cell>
          <cell r="K843">
            <v>0</v>
          </cell>
          <cell r="L843">
            <v>0</v>
          </cell>
          <cell r="M843">
            <v>358.70000000000005</v>
          </cell>
          <cell r="N843">
            <v>15242.724304834999</v>
          </cell>
          <cell r="O843">
            <v>15216.81</v>
          </cell>
          <cell r="P843">
            <v>0</v>
          </cell>
          <cell r="Q843">
            <v>0</v>
          </cell>
          <cell r="R843">
            <v>25.914304834999712</v>
          </cell>
          <cell r="S843">
            <v>0</v>
          </cell>
          <cell r="T843">
            <v>82.957529032258336</v>
          </cell>
        </row>
        <row r="844">
          <cell r="C844">
            <v>10590008</v>
          </cell>
          <cell r="D844" t="str">
            <v>NARMDA</v>
          </cell>
          <cell r="E844" t="str">
            <v>MPG</v>
          </cell>
          <cell r="F844" t="str">
            <v>Direct</v>
          </cell>
          <cell r="G844">
            <v>306</v>
          </cell>
          <cell r="H844">
            <v>13360.589999999998</v>
          </cell>
          <cell r="I844">
            <v>307.79999999999995</v>
          </cell>
          <cell r="J844">
            <v>13475.554200134999</v>
          </cell>
          <cell r="K844">
            <v>0</v>
          </cell>
          <cell r="L844">
            <v>0</v>
          </cell>
          <cell r="M844">
            <v>307.79999999999995</v>
          </cell>
          <cell r="N844">
            <v>13475.554200134999</v>
          </cell>
          <cell r="O844">
            <v>13360.589999999998</v>
          </cell>
          <cell r="P844">
            <v>0</v>
          </cell>
          <cell r="Q844">
            <v>0</v>
          </cell>
          <cell r="R844">
            <v>114.96420013500028</v>
          </cell>
          <cell r="S844">
            <v>0</v>
          </cell>
          <cell r="T844">
            <v>0</v>
          </cell>
        </row>
        <row r="845">
          <cell r="C845">
            <v>10590010</v>
          </cell>
          <cell r="D845" t="str">
            <v>AMRATH</v>
          </cell>
          <cell r="E845" t="str">
            <v>MPG</v>
          </cell>
          <cell r="F845" t="str">
            <v>Direct</v>
          </cell>
          <cell r="G845">
            <v>1221.3</v>
          </cell>
          <cell r="H845">
            <v>59091.07</v>
          </cell>
          <cell r="I845">
            <v>1222.9000000000001</v>
          </cell>
          <cell r="J845">
            <v>58582.112412026196</v>
          </cell>
          <cell r="K845">
            <v>0</v>
          </cell>
          <cell r="L845">
            <v>0</v>
          </cell>
          <cell r="M845">
            <v>1222.9000000000001</v>
          </cell>
          <cell r="N845">
            <v>58582.112412026196</v>
          </cell>
          <cell r="O845">
            <v>58582.112412026196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</row>
        <row r="846">
          <cell r="C846">
            <v>10590011</v>
          </cell>
          <cell r="D846" t="str">
            <v>PUTERIA</v>
          </cell>
          <cell r="E846" t="str">
            <v>MPG</v>
          </cell>
          <cell r="F846" t="str">
            <v>Direct</v>
          </cell>
          <cell r="G846">
            <v>670.60000000000014</v>
          </cell>
          <cell r="H846">
            <v>25726.579999999998</v>
          </cell>
          <cell r="I846">
            <v>650.02</v>
          </cell>
          <cell r="J846">
            <v>25847.839117014792</v>
          </cell>
          <cell r="K846">
            <v>0</v>
          </cell>
          <cell r="L846">
            <v>0</v>
          </cell>
          <cell r="M846">
            <v>650.02</v>
          </cell>
          <cell r="N846">
            <v>25847.839117014792</v>
          </cell>
          <cell r="O846">
            <v>25726.579999999998</v>
          </cell>
          <cell r="P846">
            <v>0</v>
          </cell>
          <cell r="Q846">
            <v>0</v>
          </cell>
          <cell r="R846">
            <v>121.25911701479345</v>
          </cell>
          <cell r="S846">
            <v>0</v>
          </cell>
          <cell r="T846">
            <v>0</v>
          </cell>
        </row>
        <row r="847">
          <cell r="C847">
            <v>10590012</v>
          </cell>
          <cell r="D847" t="str">
            <v>LAKHAPUR</v>
          </cell>
          <cell r="E847" t="str">
            <v>MPG</v>
          </cell>
          <cell r="F847" t="str">
            <v>Direct</v>
          </cell>
          <cell r="G847">
            <v>543.99999999999989</v>
          </cell>
          <cell r="H847">
            <v>22343.430000000008</v>
          </cell>
          <cell r="I847">
            <v>544</v>
          </cell>
          <cell r="J847">
            <v>22343.028281338899</v>
          </cell>
          <cell r="K847">
            <v>0</v>
          </cell>
          <cell r="L847">
            <v>0</v>
          </cell>
          <cell r="M847">
            <v>544</v>
          </cell>
          <cell r="N847">
            <v>22343.028281338899</v>
          </cell>
          <cell r="O847">
            <v>22343.028281338899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</row>
        <row r="848">
          <cell r="C848">
            <v>10590013</v>
          </cell>
          <cell r="D848" t="str">
            <v>BARIYARPUR</v>
          </cell>
          <cell r="E848" t="str">
            <v>MPG</v>
          </cell>
          <cell r="F848" t="str">
            <v>Direct</v>
          </cell>
          <cell r="G848">
            <v>318.90000000000003</v>
          </cell>
          <cell r="H848">
            <v>14046.060000000001</v>
          </cell>
          <cell r="I848">
            <v>318.3</v>
          </cell>
          <cell r="J848">
            <v>14077.208095186003</v>
          </cell>
          <cell r="K848">
            <v>0</v>
          </cell>
          <cell r="L848">
            <v>0</v>
          </cell>
          <cell r="M848">
            <v>318.3</v>
          </cell>
          <cell r="N848">
            <v>14077.208095186003</v>
          </cell>
          <cell r="O848">
            <v>14046.060000000001</v>
          </cell>
          <cell r="P848">
            <v>0</v>
          </cell>
          <cell r="Q848">
            <v>0</v>
          </cell>
          <cell r="R848">
            <v>31.148095186001228</v>
          </cell>
          <cell r="S848">
            <v>0</v>
          </cell>
          <cell r="T848">
            <v>0</v>
          </cell>
        </row>
        <row r="849">
          <cell r="C849">
            <v>10590014</v>
          </cell>
          <cell r="D849" t="str">
            <v>BAGWANA</v>
          </cell>
          <cell r="E849" t="str">
            <v>MPG</v>
          </cell>
          <cell r="F849" t="str">
            <v>Direct</v>
          </cell>
          <cell r="G849">
            <v>395.6</v>
          </cell>
          <cell r="H849">
            <v>17183.099999999999</v>
          </cell>
          <cell r="I849">
            <v>394.7</v>
          </cell>
          <cell r="J849">
            <v>16807.31063502</v>
          </cell>
          <cell r="K849">
            <v>0</v>
          </cell>
          <cell r="L849">
            <v>0</v>
          </cell>
          <cell r="M849">
            <v>394.7</v>
          </cell>
          <cell r="N849">
            <v>16807.31063502</v>
          </cell>
          <cell r="O849">
            <v>16807.31063502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</row>
        <row r="850">
          <cell r="C850">
            <v>10590015</v>
          </cell>
          <cell r="D850" t="str">
            <v>REWATA</v>
          </cell>
          <cell r="E850" t="str">
            <v>MPG</v>
          </cell>
          <cell r="F850" t="str">
            <v>Direct</v>
          </cell>
          <cell r="G850">
            <v>32.400000000000006</v>
          </cell>
          <cell r="H850">
            <v>1593.0100000000002</v>
          </cell>
          <cell r="I850">
            <v>33.4</v>
          </cell>
          <cell r="J850">
            <v>1594.9044064176001</v>
          </cell>
          <cell r="K850">
            <v>0</v>
          </cell>
          <cell r="L850">
            <v>0</v>
          </cell>
          <cell r="M850">
            <v>33.4</v>
          </cell>
          <cell r="N850">
            <v>1594.9044064176001</v>
          </cell>
          <cell r="O850">
            <v>1593.0100000000002</v>
          </cell>
          <cell r="P850">
            <v>0</v>
          </cell>
          <cell r="Q850">
            <v>0</v>
          </cell>
          <cell r="R850">
            <v>1.8944064175998392</v>
          </cell>
          <cell r="S850">
            <v>0</v>
          </cell>
          <cell r="T850">
            <v>0</v>
          </cell>
        </row>
        <row r="851">
          <cell r="C851">
            <v>10590016</v>
          </cell>
          <cell r="D851" t="str">
            <v>GOMUKH DAND</v>
          </cell>
          <cell r="E851" t="str">
            <v>vlc</v>
          </cell>
          <cell r="F851" t="str">
            <v>Indirect</v>
          </cell>
          <cell r="G851">
            <v>266.09999999999997</v>
          </cell>
          <cell r="H851">
            <v>10751.78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10751.78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</row>
        <row r="852">
          <cell r="C852">
            <v>10600001</v>
          </cell>
          <cell r="D852" t="str">
            <v>Gomukh Karisath</v>
          </cell>
          <cell r="E852" t="str">
            <v>MPG</v>
          </cell>
          <cell r="F852" t="str">
            <v>Direct</v>
          </cell>
          <cell r="G852">
            <v>380.90000000000003</v>
          </cell>
          <cell r="H852">
            <v>13414.810000000001</v>
          </cell>
          <cell r="I852">
            <v>366.83</v>
          </cell>
          <cell r="J852">
            <v>13703.262962796003</v>
          </cell>
          <cell r="K852">
            <v>0</v>
          </cell>
          <cell r="L852">
            <v>0</v>
          </cell>
          <cell r="M852">
            <v>366.83</v>
          </cell>
          <cell r="N852">
            <v>13703.262962796003</v>
          </cell>
          <cell r="O852">
            <v>13414.810000000001</v>
          </cell>
          <cell r="P852">
            <v>0</v>
          </cell>
          <cell r="Q852">
            <v>0</v>
          </cell>
          <cell r="R852">
            <v>288.45296279600188</v>
          </cell>
          <cell r="S852">
            <v>10859</v>
          </cell>
          <cell r="T852">
            <v>0</v>
          </cell>
        </row>
        <row r="853">
          <cell r="C853">
            <v>10600002</v>
          </cell>
          <cell r="D853" t="str">
            <v>Gomukh Ama</v>
          </cell>
          <cell r="E853" t="str">
            <v>MPG</v>
          </cell>
          <cell r="F853" t="str">
            <v>Direct</v>
          </cell>
          <cell r="G853">
            <v>318.60000000000002</v>
          </cell>
          <cell r="H853">
            <v>11213.6</v>
          </cell>
          <cell r="I853">
            <v>319</v>
          </cell>
          <cell r="J853">
            <v>11158.956864000002</v>
          </cell>
          <cell r="K853">
            <v>0</v>
          </cell>
          <cell r="L853">
            <v>0</v>
          </cell>
          <cell r="M853">
            <v>319</v>
          </cell>
          <cell r="N853">
            <v>11158.956864000002</v>
          </cell>
          <cell r="O853">
            <v>11158.956864000002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</row>
        <row r="854">
          <cell r="C854">
            <v>10600004</v>
          </cell>
          <cell r="D854" t="str">
            <v>Gomukh Pawat</v>
          </cell>
          <cell r="E854" t="str">
            <v>MPG</v>
          </cell>
          <cell r="F854" t="str">
            <v>Direct</v>
          </cell>
          <cell r="G854">
            <v>127.2</v>
          </cell>
          <cell r="H854">
            <v>4636.28</v>
          </cell>
          <cell r="I854">
            <v>138.01000000000002</v>
          </cell>
          <cell r="J854">
            <v>5909.6106017637003</v>
          </cell>
          <cell r="K854">
            <v>0</v>
          </cell>
          <cell r="L854">
            <v>0</v>
          </cell>
          <cell r="M854">
            <v>138.01000000000002</v>
          </cell>
          <cell r="N854">
            <v>5909.6106017637003</v>
          </cell>
          <cell r="O854">
            <v>4636.28</v>
          </cell>
          <cell r="P854">
            <v>0</v>
          </cell>
          <cell r="Q854">
            <v>0</v>
          </cell>
          <cell r="R854">
            <v>1273.3306017637005</v>
          </cell>
          <cell r="S854">
            <v>4636</v>
          </cell>
          <cell r="T854">
            <v>0</v>
          </cell>
        </row>
        <row r="855">
          <cell r="C855">
            <v>10600005</v>
          </cell>
          <cell r="D855" t="str">
            <v>Gomukh Barja</v>
          </cell>
          <cell r="E855" t="str">
            <v>MPG</v>
          </cell>
          <cell r="F855" t="str">
            <v>Direct</v>
          </cell>
          <cell r="G855">
            <v>183.6</v>
          </cell>
          <cell r="H855">
            <v>6887.73</v>
          </cell>
          <cell r="I855">
            <v>185</v>
          </cell>
          <cell r="J855">
            <v>6886.6378020000011</v>
          </cell>
          <cell r="K855">
            <v>0</v>
          </cell>
          <cell r="L855">
            <v>0</v>
          </cell>
          <cell r="M855">
            <v>185</v>
          </cell>
          <cell r="N855">
            <v>6886.6378020000011</v>
          </cell>
          <cell r="O855">
            <v>6886.6378020000011</v>
          </cell>
          <cell r="P855">
            <v>0</v>
          </cell>
          <cell r="Q855">
            <v>0</v>
          </cell>
          <cell r="R855">
            <v>0</v>
          </cell>
          <cell r="S855">
            <v>5120</v>
          </cell>
          <cell r="T855">
            <v>0</v>
          </cell>
        </row>
        <row r="856">
          <cell r="C856">
            <v>10600006</v>
          </cell>
          <cell r="D856" t="str">
            <v>Gomukh Charghat</v>
          </cell>
          <cell r="E856" t="str">
            <v>MPG</v>
          </cell>
          <cell r="F856" t="str">
            <v>Direct</v>
          </cell>
          <cell r="G856">
            <v>109.89999999999999</v>
          </cell>
          <cell r="H856">
            <v>4152.7900000000009</v>
          </cell>
          <cell r="I856">
            <v>115.61</v>
          </cell>
          <cell r="J856">
            <v>4390.8555695400009</v>
          </cell>
          <cell r="K856">
            <v>0</v>
          </cell>
          <cell r="L856">
            <v>0</v>
          </cell>
          <cell r="M856">
            <v>115.61</v>
          </cell>
          <cell r="N856">
            <v>4390.8555695400009</v>
          </cell>
          <cell r="O856">
            <v>4152.7900000000009</v>
          </cell>
          <cell r="P856">
            <v>0</v>
          </cell>
          <cell r="Q856">
            <v>0</v>
          </cell>
          <cell r="R856">
            <v>238.06556954000007</v>
          </cell>
          <cell r="S856">
            <v>0</v>
          </cell>
          <cell r="T856">
            <v>0</v>
          </cell>
        </row>
        <row r="857">
          <cell r="C857">
            <v>10600008</v>
          </cell>
          <cell r="D857" t="str">
            <v>Gomukh Ramdihra</v>
          </cell>
          <cell r="E857" t="str">
            <v>MPG</v>
          </cell>
          <cell r="F857" t="str">
            <v>Direct</v>
          </cell>
          <cell r="G857">
            <v>143.69999999999999</v>
          </cell>
          <cell r="H857">
            <v>4810.79</v>
          </cell>
          <cell r="I857">
            <v>144</v>
          </cell>
          <cell r="J857">
            <v>4752.1520640000008</v>
          </cell>
          <cell r="K857">
            <v>0</v>
          </cell>
          <cell r="L857">
            <v>0</v>
          </cell>
          <cell r="M857">
            <v>144</v>
          </cell>
          <cell r="N857">
            <v>4752.1520640000008</v>
          </cell>
          <cell r="O857">
            <v>4752.1520640000008</v>
          </cell>
          <cell r="P857">
            <v>0</v>
          </cell>
          <cell r="Q857">
            <v>0</v>
          </cell>
          <cell r="R857">
            <v>0</v>
          </cell>
          <cell r="S857">
            <v>4752</v>
          </cell>
          <cell r="T857">
            <v>0</v>
          </cell>
        </row>
        <row r="858">
          <cell r="C858">
            <v>10600009</v>
          </cell>
          <cell r="D858" t="str">
            <v>Gomukh Bara</v>
          </cell>
          <cell r="E858" t="str">
            <v>MPG</v>
          </cell>
          <cell r="F858" t="str">
            <v>Direct</v>
          </cell>
          <cell r="G858">
            <v>433.4</v>
          </cell>
          <cell r="H858">
            <v>15659.909999999998</v>
          </cell>
          <cell r="I858">
            <v>478.66</v>
          </cell>
          <cell r="J858">
            <v>19956.7136912571</v>
          </cell>
          <cell r="K858">
            <v>0</v>
          </cell>
          <cell r="L858">
            <v>0</v>
          </cell>
          <cell r="M858">
            <v>478.66</v>
          </cell>
          <cell r="N858">
            <v>19956.7136912571</v>
          </cell>
          <cell r="O858">
            <v>15659.909999999998</v>
          </cell>
          <cell r="P858">
            <v>0</v>
          </cell>
          <cell r="Q858">
            <v>0</v>
          </cell>
          <cell r="R858">
            <v>4296.8036912571024</v>
          </cell>
          <cell r="S858">
            <v>0</v>
          </cell>
          <cell r="T858">
            <v>0</v>
          </cell>
        </row>
        <row r="859">
          <cell r="C859">
            <v>10600012</v>
          </cell>
          <cell r="D859" t="str">
            <v>Gumukh Khajuriya</v>
          </cell>
          <cell r="E859" t="str">
            <v>MPG</v>
          </cell>
          <cell r="F859" t="str">
            <v>Direct</v>
          </cell>
          <cell r="G859">
            <v>458.1</v>
          </cell>
          <cell r="H859">
            <v>16093.11</v>
          </cell>
          <cell r="I859">
            <v>459.4</v>
          </cell>
          <cell r="J859">
            <v>16073.610216444</v>
          </cell>
          <cell r="K859">
            <v>0</v>
          </cell>
          <cell r="L859">
            <v>0</v>
          </cell>
          <cell r="M859">
            <v>459.4</v>
          </cell>
          <cell r="N859">
            <v>16073.610216444</v>
          </cell>
          <cell r="O859">
            <v>16073.610216444</v>
          </cell>
          <cell r="P859">
            <v>0</v>
          </cell>
          <cell r="Q859">
            <v>0</v>
          </cell>
          <cell r="R859">
            <v>0</v>
          </cell>
          <cell r="S859">
            <v>2600</v>
          </cell>
          <cell r="T859">
            <v>0</v>
          </cell>
        </row>
        <row r="860">
          <cell r="C860">
            <v>10600013</v>
          </cell>
          <cell r="D860" t="str">
            <v>Gomukh Chhotaki Hardiya</v>
          </cell>
          <cell r="E860" t="str">
            <v>MPG</v>
          </cell>
          <cell r="F860" t="str">
            <v>Direct</v>
          </cell>
          <cell r="G860">
            <v>267.8</v>
          </cell>
          <cell r="H860">
            <v>11654.23</v>
          </cell>
          <cell r="I860">
            <v>366.44999999999993</v>
          </cell>
          <cell r="J860">
            <v>17630.596607855317</v>
          </cell>
          <cell r="K860">
            <v>0.61</v>
          </cell>
          <cell r="L860">
            <v>34.126761990600002</v>
          </cell>
          <cell r="M860">
            <v>367.05999999999995</v>
          </cell>
          <cell r="N860">
            <v>17664.723369845917</v>
          </cell>
          <cell r="O860">
            <v>11654.23</v>
          </cell>
          <cell r="P860">
            <v>0</v>
          </cell>
          <cell r="Q860">
            <v>34.126761990600002</v>
          </cell>
          <cell r="R860">
            <v>6010.4933698459172</v>
          </cell>
          <cell r="S860">
            <v>2600</v>
          </cell>
          <cell r="T860">
            <v>0</v>
          </cell>
        </row>
        <row r="861">
          <cell r="C861">
            <v>10610001</v>
          </cell>
          <cell r="D861" t="str">
            <v>GOMUKH BHATOLIYA</v>
          </cell>
          <cell r="E861" t="str">
            <v>MPG</v>
          </cell>
          <cell r="F861" t="str">
            <v>Direct</v>
          </cell>
          <cell r="G861">
            <v>872.69999999999993</v>
          </cell>
          <cell r="H861">
            <v>38723.260000000009</v>
          </cell>
          <cell r="I861">
            <v>851.00000000000011</v>
          </cell>
          <cell r="J861">
            <v>38998.262705100009</v>
          </cell>
          <cell r="K861">
            <v>6.5999999999999988</v>
          </cell>
          <cell r="L861">
            <v>300.61764013200002</v>
          </cell>
          <cell r="M861">
            <v>857.60000000000014</v>
          </cell>
          <cell r="N861">
            <v>39298.880345232006</v>
          </cell>
          <cell r="O861">
            <v>38723.260000000009</v>
          </cell>
          <cell r="P861">
            <v>0</v>
          </cell>
          <cell r="Q861">
            <v>300.61764013200002</v>
          </cell>
          <cell r="R861">
            <v>575.62034523199691</v>
          </cell>
          <cell r="S861">
            <v>0</v>
          </cell>
          <cell r="T861">
            <v>0</v>
          </cell>
        </row>
        <row r="862">
          <cell r="C862">
            <v>10610002</v>
          </cell>
          <cell r="D862" t="str">
            <v>GOMUKH CHEHRAKALA</v>
          </cell>
          <cell r="E862" t="str">
            <v>MPG</v>
          </cell>
          <cell r="F862" t="str">
            <v>Direct</v>
          </cell>
          <cell r="G862">
            <v>321.49999999999994</v>
          </cell>
          <cell r="H862">
            <v>15013.240000000002</v>
          </cell>
          <cell r="I862">
            <v>339.09999999999997</v>
          </cell>
          <cell r="J862">
            <v>15716.469823054602</v>
          </cell>
          <cell r="K862">
            <v>0</v>
          </cell>
          <cell r="L862">
            <v>0</v>
          </cell>
          <cell r="M862">
            <v>339.09999999999997</v>
          </cell>
          <cell r="N862">
            <v>15716.469823054602</v>
          </cell>
          <cell r="O862">
            <v>15013.240000000002</v>
          </cell>
          <cell r="P862">
            <v>0</v>
          </cell>
          <cell r="Q862">
            <v>0</v>
          </cell>
          <cell r="R862">
            <v>703.22982305460027</v>
          </cell>
          <cell r="S862">
            <v>0</v>
          </cell>
          <cell r="T862">
            <v>0</v>
          </cell>
        </row>
        <row r="863">
          <cell r="C863">
            <v>10610003</v>
          </cell>
          <cell r="D863" t="str">
            <v>GOMUKH KHAJECHAND</v>
          </cell>
          <cell r="E863" t="str">
            <v>MPG</v>
          </cell>
          <cell r="F863" t="str">
            <v>Direct</v>
          </cell>
          <cell r="G863">
            <v>497.3</v>
          </cell>
          <cell r="H863">
            <v>20102.57</v>
          </cell>
          <cell r="I863">
            <v>495.09999999999997</v>
          </cell>
          <cell r="J863">
            <v>19613.048477909004</v>
          </cell>
          <cell r="K863">
            <v>0</v>
          </cell>
          <cell r="L863">
            <v>0</v>
          </cell>
          <cell r="M863">
            <v>495.09999999999997</v>
          </cell>
          <cell r="N863">
            <v>19613.048477909004</v>
          </cell>
          <cell r="O863">
            <v>19613.048477909004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</row>
        <row r="864">
          <cell r="C864">
            <v>10610004</v>
          </cell>
          <cell r="D864" t="str">
            <v>GOMUKH SALEMPUR</v>
          </cell>
          <cell r="E864" t="str">
            <v>MPG</v>
          </cell>
          <cell r="F864" t="str">
            <v>Direct</v>
          </cell>
          <cell r="G864">
            <v>164.8</v>
          </cell>
          <cell r="H864">
            <v>6838.16</v>
          </cell>
          <cell r="I864">
            <v>144.80000000000001</v>
          </cell>
          <cell r="J864">
            <v>6121.4726975081003</v>
          </cell>
          <cell r="K864">
            <v>6.5000000000000018</v>
          </cell>
          <cell r="L864">
            <v>236.46089689200005</v>
          </cell>
          <cell r="M864">
            <v>151.30000000000001</v>
          </cell>
          <cell r="N864">
            <v>6357.9335944001004</v>
          </cell>
          <cell r="O864">
            <v>6357.9335944001004</v>
          </cell>
          <cell r="P864">
            <v>0</v>
          </cell>
          <cell r="Q864">
            <v>236.46089689200005</v>
          </cell>
          <cell r="R864">
            <v>0</v>
          </cell>
          <cell r="S864">
            <v>0</v>
          </cell>
          <cell r="T864">
            <v>0</v>
          </cell>
        </row>
        <row r="865">
          <cell r="C865">
            <v>10610005</v>
          </cell>
          <cell r="D865" t="str">
            <v>Gomukh Paharpur</v>
          </cell>
          <cell r="E865" t="str">
            <v>MPG</v>
          </cell>
          <cell r="F865" t="str">
            <v>Direct</v>
          </cell>
          <cell r="G865">
            <v>388.4</v>
          </cell>
          <cell r="H865">
            <v>16501.149999999998</v>
          </cell>
          <cell r="I865">
            <v>394.39999999999992</v>
          </cell>
          <cell r="J865">
            <v>17275.433861350899</v>
          </cell>
          <cell r="K865">
            <v>0</v>
          </cell>
          <cell r="L865">
            <v>0</v>
          </cell>
          <cell r="M865">
            <v>394.39999999999992</v>
          </cell>
          <cell r="N865">
            <v>17275.433861350899</v>
          </cell>
          <cell r="O865">
            <v>16501.149999999998</v>
          </cell>
          <cell r="P865">
            <v>0</v>
          </cell>
          <cell r="Q865">
            <v>0</v>
          </cell>
          <cell r="R865">
            <v>774.28386135090113</v>
          </cell>
          <cell r="S865">
            <v>0</v>
          </cell>
          <cell r="T865">
            <v>0</v>
          </cell>
        </row>
        <row r="866">
          <cell r="C866">
            <v>10610006</v>
          </cell>
          <cell r="D866" t="str">
            <v>GOMUKH PREMRAJ</v>
          </cell>
          <cell r="E866" t="str">
            <v>MPG</v>
          </cell>
          <cell r="F866" t="str">
            <v>Direct</v>
          </cell>
          <cell r="G866">
            <v>414.7</v>
          </cell>
          <cell r="H866">
            <v>19681.420000000002</v>
          </cell>
          <cell r="I866">
            <v>399.3</v>
          </cell>
          <cell r="J866">
            <v>18776.554401020196</v>
          </cell>
          <cell r="K866">
            <v>2.4</v>
          </cell>
          <cell r="L866">
            <v>103.99220766000002</v>
          </cell>
          <cell r="M866">
            <v>401.7</v>
          </cell>
          <cell r="N866">
            <v>18880.546608680197</v>
          </cell>
          <cell r="O866">
            <v>18880.546608680197</v>
          </cell>
          <cell r="P866">
            <v>0</v>
          </cell>
          <cell r="Q866">
            <v>103.99220766000002</v>
          </cell>
          <cell r="R866">
            <v>0</v>
          </cell>
          <cell r="S866">
            <v>0</v>
          </cell>
          <cell r="T866">
            <v>0</v>
          </cell>
        </row>
        <row r="867">
          <cell r="C867">
            <v>10610007</v>
          </cell>
          <cell r="D867" t="str">
            <v>GOMUKH MAGURAHI</v>
          </cell>
          <cell r="E867" t="str">
            <v>MPG</v>
          </cell>
          <cell r="F867" t="str">
            <v>Direct</v>
          </cell>
          <cell r="G867">
            <v>284</v>
          </cell>
          <cell r="H867">
            <v>14674.699999999999</v>
          </cell>
          <cell r="I867">
            <v>280</v>
          </cell>
          <cell r="J867">
            <v>14289.602486548298</v>
          </cell>
          <cell r="K867">
            <v>5.6</v>
          </cell>
          <cell r="L867">
            <v>290.70650683644004</v>
          </cell>
          <cell r="M867">
            <v>285.60000000000002</v>
          </cell>
          <cell r="N867">
            <v>14580.308993384739</v>
          </cell>
          <cell r="O867">
            <v>14580.308993384739</v>
          </cell>
          <cell r="P867">
            <v>0</v>
          </cell>
          <cell r="Q867">
            <v>290.70650683644004</v>
          </cell>
          <cell r="R867">
            <v>0</v>
          </cell>
          <cell r="S867">
            <v>0</v>
          </cell>
          <cell r="T867">
            <v>0</v>
          </cell>
        </row>
        <row r="868">
          <cell r="C868">
            <v>10610008</v>
          </cell>
          <cell r="D868" t="str">
            <v>GOMUKH GANGATI</v>
          </cell>
          <cell r="E868" t="str">
            <v>MPG</v>
          </cell>
          <cell r="F868" t="str">
            <v>Direct</v>
          </cell>
          <cell r="G868">
            <v>496.99999999999994</v>
          </cell>
          <cell r="H868">
            <v>21845.450000000004</v>
          </cell>
          <cell r="I868">
            <v>547.79999999999995</v>
          </cell>
          <cell r="J868">
            <v>23781.660732380009</v>
          </cell>
          <cell r="K868">
            <v>0</v>
          </cell>
          <cell r="L868">
            <v>0</v>
          </cell>
          <cell r="M868">
            <v>547.79999999999995</v>
          </cell>
          <cell r="N868">
            <v>23781.660732380009</v>
          </cell>
          <cell r="O868">
            <v>21845.450000000004</v>
          </cell>
          <cell r="P868">
            <v>0</v>
          </cell>
          <cell r="Q868">
            <v>0</v>
          </cell>
          <cell r="R868">
            <v>1936.2107323800046</v>
          </cell>
          <cell r="S868">
            <v>0</v>
          </cell>
          <cell r="T868">
            <v>0</v>
          </cell>
        </row>
        <row r="869">
          <cell r="C869">
            <v>10610009</v>
          </cell>
          <cell r="D869" t="str">
            <v>GOMUKH Khanpatti</v>
          </cell>
          <cell r="E869" t="str">
            <v>MPG</v>
          </cell>
          <cell r="F869" t="str">
            <v>Direct</v>
          </cell>
          <cell r="G869">
            <v>971.19999999999993</v>
          </cell>
          <cell r="H869">
            <v>42662.009999999995</v>
          </cell>
          <cell r="I869">
            <v>984.1999999999997</v>
          </cell>
          <cell r="J869">
            <v>42963.572928833084</v>
          </cell>
          <cell r="K869">
            <v>3.5</v>
          </cell>
          <cell r="L869">
            <v>136.39139078400004</v>
          </cell>
          <cell r="M869">
            <v>987.6999999999997</v>
          </cell>
          <cell r="N869">
            <v>43099.964319617087</v>
          </cell>
          <cell r="O869">
            <v>42662.009999999995</v>
          </cell>
          <cell r="P869">
            <v>0</v>
          </cell>
          <cell r="Q869">
            <v>136.39139078400004</v>
          </cell>
          <cell r="R869">
            <v>437.95431961709255</v>
          </cell>
          <cell r="S869">
            <v>2600</v>
          </cell>
          <cell r="T869">
            <v>0</v>
          </cell>
        </row>
        <row r="870">
          <cell r="C870">
            <v>10610010</v>
          </cell>
          <cell r="D870" t="str">
            <v>GOMUKH Bhagwatpur</v>
          </cell>
          <cell r="E870" t="str">
            <v>MPG</v>
          </cell>
          <cell r="F870" t="str">
            <v>Direct</v>
          </cell>
          <cell r="G870">
            <v>277.59999999999997</v>
          </cell>
          <cell r="H870">
            <v>12543.469999999998</v>
          </cell>
          <cell r="I870">
            <v>288.3</v>
          </cell>
          <cell r="J870">
            <v>13404.58327699883</v>
          </cell>
          <cell r="K870">
            <v>0</v>
          </cell>
          <cell r="L870">
            <v>0</v>
          </cell>
          <cell r="M870">
            <v>288.3</v>
          </cell>
          <cell r="N870">
            <v>13404.58327699883</v>
          </cell>
          <cell r="O870">
            <v>12543.469999999998</v>
          </cell>
          <cell r="P870">
            <v>0</v>
          </cell>
          <cell r="Q870">
            <v>0</v>
          </cell>
          <cell r="R870">
            <v>861.11327699883259</v>
          </cell>
          <cell r="S870">
            <v>0</v>
          </cell>
          <cell r="T870">
            <v>51.62772000000011</v>
          </cell>
        </row>
        <row r="871">
          <cell r="C871">
            <v>10610011</v>
          </cell>
          <cell r="D871" t="str">
            <v>GOMUKH JIRWARA</v>
          </cell>
          <cell r="E871" t="str">
            <v>vlc</v>
          </cell>
          <cell r="F871" t="str">
            <v>Indirect</v>
          </cell>
          <cell r="G871">
            <v>413.6</v>
          </cell>
          <cell r="H871">
            <v>16828.53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16828.53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</row>
        <row r="872">
          <cell r="C872">
            <v>10610013</v>
          </cell>
          <cell r="D872" t="str">
            <v>GOMUKH Karhatiya</v>
          </cell>
          <cell r="E872" t="str">
            <v>vlc</v>
          </cell>
          <cell r="F872" t="str">
            <v>Indirect</v>
          </cell>
          <cell r="G872">
            <v>250.89999999999998</v>
          </cell>
          <cell r="H872">
            <v>8811.9399999999987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8811.9399999999987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</row>
        <row r="873">
          <cell r="C873">
            <v>10610015</v>
          </cell>
          <cell r="D873" t="str">
            <v>Gomukh Karhatiya Bujurg</v>
          </cell>
          <cell r="E873" t="str">
            <v>vlc</v>
          </cell>
          <cell r="F873" t="str">
            <v>Indirect</v>
          </cell>
          <cell r="G873">
            <v>284</v>
          </cell>
          <cell r="H873">
            <v>10389.85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10389.85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</row>
        <row r="874">
          <cell r="C874">
            <v>10610017</v>
          </cell>
          <cell r="D874" t="str">
            <v>GOMUKH Bheraukhara</v>
          </cell>
          <cell r="E874" t="str">
            <v>MPG</v>
          </cell>
          <cell r="F874" t="str">
            <v>Direct</v>
          </cell>
          <cell r="G874">
            <v>161.1</v>
          </cell>
          <cell r="H874">
            <v>6269.5999999999995</v>
          </cell>
          <cell r="I874">
            <v>158.4</v>
          </cell>
          <cell r="J874">
            <v>6540.3918554580005</v>
          </cell>
          <cell r="K874">
            <v>0</v>
          </cell>
          <cell r="L874">
            <v>0</v>
          </cell>
          <cell r="M874">
            <v>158.4</v>
          </cell>
          <cell r="N874">
            <v>6540.3918554580005</v>
          </cell>
          <cell r="O874">
            <v>6269.5999999999995</v>
          </cell>
          <cell r="P874">
            <v>0</v>
          </cell>
          <cell r="Q874">
            <v>0</v>
          </cell>
          <cell r="R874">
            <v>270.79185545800101</v>
          </cell>
          <cell r="S874">
            <v>0</v>
          </cell>
          <cell r="T874">
            <v>0</v>
          </cell>
        </row>
        <row r="875">
          <cell r="C875">
            <v>10610018</v>
          </cell>
          <cell r="D875" t="str">
            <v>GOMUKH SUPOLTARIYA</v>
          </cell>
          <cell r="E875" t="str">
            <v>MPG</v>
          </cell>
          <cell r="F875" t="str">
            <v>Direct</v>
          </cell>
          <cell r="G875">
            <v>424.6</v>
          </cell>
          <cell r="H875">
            <v>20400.95</v>
          </cell>
          <cell r="I875">
            <v>431.50000000000006</v>
          </cell>
          <cell r="J875">
            <v>19236.084336462904</v>
          </cell>
          <cell r="K875">
            <v>0</v>
          </cell>
          <cell r="L875">
            <v>0</v>
          </cell>
          <cell r="M875">
            <v>431.50000000000006</v>
          </cell>
          <cell r="N875">
            <v>19236.084336462904</v>
          </cell>
          <cell r="O875">
            <v>19236.084336462904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</row>
        <row r="876">
          <cell r="C876">
            <v>10610019</v>
          </cell>
          <cell r="D876" t="str">
            <v>GOMUKH Shravanapatti</v>
          </cell>
          <cell r="E876" t="str">
            <v>MPG</v>
          </cell>
          <cell r="F876" t="str">
            <v>Direct</v>
          </cell>
          <cell r="G876">
            <v>167.3</v>
          </cell>
          <cell r="H876">
            <v>7872.4500000000007</v>
          </cell>
          <cell r="I876">
            <v>185.89999999999998</v>
          </cell>
          <cell r="J876">
            <v>8624.5690026512493</v>
          </cell>
          <cell r="K876">
            <v>0</v>
          </cell>
          <cell r="L876">
            <v>0</v>
          </cell>
          <cell r="M876">
            <v>185.89999999999998</v>
          </cell>
          <cell r="N876">
            <v>8624.5690026512493</v>
          </cell>
          <cell r="O876">
            <v>7872.4500000000007</v>
          </cell>
          <cell r="P876">
            <v>0</v>
          </cell>
          <cell r="Q876">
            <v>0</v>
          </cell>
          <cell r="R876">
            <v>752.11900265124859</v>
          </cell>
          <cell r="S876">
            <v>0</v>
          </cell>
          <cell r="T876">
            <v>0</v>
          </cell>
        </row>
        <row r="877">
          <cell r="C877">
            <v>10610020</v>
          </cell>
          <cell r="D877" t="str">
            <v>GOMUKH Jilwara</v>
          </cell>
          <cell r="E877" t="str">
            <v>MPG</v>
          </cell>
          <cell r="F877" t="str">
            <v>Direct</v>
          </cell>
          <cell r="G877">
            <v>371.19999999999993</v>
          </cell>
          <cell r="H877">
            <v>14964.29</v>
          </cell>
          <cell r="I877">
            <v>401</v>
          </cell>
          <cell r="J877">
            <v>16570.714745143199</v>
          </cell>
          <cell r="K877">
            <v>0</v>
          </cell>
          <cell r="L877">
            <v>0</v>
          </cell>
          <cell r="M877">
            <v>401</v>
          </cell>
          <cell r="N877">
            <v>16570.714745143199</v>
          </cell>
          <cell r="O877">
            <v>14964.29</v>
          </cell>
          <cell r="P877">
            <v>0</v>
          </cell>
          <cell r="Q877">
            <v>0</v>
          </cell>
          <cell r="R877">
            <v>1606.4247451431984</v>
          </cell>
          <cell r="S877">
            <v>0</v>
          </cell>
          <cell r="T877">
            <v>0</v>
          </cell>
        </row>
        <row r="878">
          <cell r="C878">
            <v>10610022</v>
          </cell>
          <cell r="D878" t="str">
            <v>GOMUKH ABBUCHAK</v>
          </cell>
          <cell r="E878" t="str">
            <v>MPG</v>
          </cell>
          <cell r="F878" t="str">
            <v>Direct</v>
          </cell>
          <cell r="G878">
            <v>173</v>
          </cell>
          <cell r="H878">
            <v>7106.3099999999995</v>
          </cell>
          <cell r="I878">
            <v>173.89999999999992</v>
          </cell>
          <cell r="J878">
            <v>7496.5809796221019</v>
          </cell>
          <cell r="K878">
            <v>0</v>
          </cell>
          <cell r="L878">
            <v>0</v>
          </cell>
          <cell r="M878">
            <v>173.89999999999992</v>
          </cell>
          <cell r="N878">
            <v>7496.5809796221019</v>
          </cell>
          <cell r="O878">
            <v>7106.3099999999995</v>
          </cell>
          <cell r="P878">
            <v>0</v>
          </cell>
          <cell r="Q878">
            <v>0</v>
          </cell>
          <cell r="R878">
            <v>390.27097962210246</v>
          </cell>
          <cell r="S878">
            <v>0</v>
          </cell>
          <cell r="T878">
            <v>0</v>
          </cell>
        </row>
        <row r="879">
          <cell r="C879">
            <v>10610024</v>
          </cell>
          <cell r="D879" t="str">
            <v>GOMUKH KAILA JALALPUR</v>
          </cell>
          <cell r="E879" t="str">
            <v>MPG</v>
          </cell>
          <cell r="F879" t="str">
            <v>Direct</v>
          </cell>
          <cell r="G879">
            <v>224.99999999999997</v>
          </cell>
          <cell r="H879">
            <v>8434.4599999999991</v>
          </cell>
          <cell r="I879">
            <v>218.1</v>
          </cell>
          <cell r="J879">
            <v>8381.12570056</v>
          </cell>
          <cell r="K879">
            <v>2.5</v>
          </cell>
          <cell r="L879">
            <v>99.543981239999994</v>
          </cell>
          <cell r="M879">
            <v>220.6</v>
          </cell>
          <cell r="N879">
            <v>8480.6696818</v>
          </cell>
          <cell r="O879">
            <v>8434.4599999999991</v>
          </cell>
          <cell r="P879">
            <v>0</v>
          </cell>
          <cell r="Q879">
            <v>99.543981239999994</v>
          </cell>
          <cell r="R879">
            <v>46.209681800000908</v>
          </cell>
          <cell r="S879">
            <v>0</v>
          </cell>
          <cell r="T879">
            <v>0</v>
          </cell>
        </row>
        <row r="880">
          <cell r="C880">
            <v>10610025</v>
          </cell>
          <cell r="D880" t="str">
            <v>Gomukh Dumari</v>
          </cell>
          <cell r="E880" t="str">
            <v>vlc</v>
          </cell>
          <cell r="F880" t="str">
            <v>Indirect</v>
          </cell>
          <cell r="G880">
            <v>37.1</v>
          </cell>
          <cell r="H880">
            <v>1461.03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1461.03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</row>
        <row r="881">
          <cell r="C881">
            <v>10610026</v>
          </cell>
          <cell r="D881" t="str">
            <v>Gomukh Jhitkahi East</v>
          </cell>
          <cell r="E881" t="str">
            <v>MPG</v>
          </cell>
          <cell r="F881" t="str">
            <v>Direct</v>
          </cell>
          <cell r="G881">
            <v>59.6</v>
          </cell>
          <cell r="H881">
            <v>3819.7200000000012</v>
          </cell>
          <cell r="I881">
            <v>62.600000000000009</v>
          </cell>
          <cell r="J881">
            <v>4117.1373060162005</v>
          </cell>
          <cell r="K881">
            <v>0</v>
          </cell>
          <cell r="L881">
            <v>0</v>
          </cell>
          <cell r="M881">
            <v>62.600000000000009</v>
          </cell>
          <cell r="N881">
            <v>4117.1373060162005</v>
          </cell>
          <cell r="O881">
            <v>3819.7200000000012</v>
          </cell>
          <cell r="P881">
            <v>0</v>
          </cell>
          <cell r="Q881">
            <v>0</v>
          </cell>
          <cell r="R881">
            <v>297.41730601619929</v>
          </cell>
          <cell r="S881">
            <v>0</v>
          </cell>
          <cell r="T881">
            <v>0</v>
          </cell>
        </row>
        <row r="882">
          <cell r="C882">
            <v>10610027</v>
          </cell>
          <cell r="D882" t="str">
            <v>GOMUKH UPHRAUL</v>
          </cell>
          <cell r="E882" t="str">
            <v>vlc</v>
          </cell>
          <cell r="F882" t="str">
            <v>Indirect</v>
          </cell>
          <cell r="G882">
            <v>1518.1</v>
          </cell>
          <cell r="H882">
            <v>51179.29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51179.29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</row>
        <row r="883">
          <cell r="C883">
            <v>10610028</v>
          </cell>
          <cell r="D883" t="str">
            <v>GOMUKH SHERPUR</v>
          </cell>
          <cell r="E883" t="str">
            <v>vlc</v>
          </cell>
          <cell r="F883" t="str">
            <v>Indirect</v>
          </cell>
          <cell r="G883">
            <v>196.60000000000002</v>
          </cell>
          <cell r="H883">
            <v>7092.6400000000012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7092.6400000000012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</row>
        <row r="884">
          <cell r="C884">
            <v>10610034</v>
          </cell>
          <cell r="D884" t="str">
            <v>GOMUKH PACHAI</v>
          </cell>
          <cell r="E884" t="str">
            <v>vlc</v>
          </cell>
          <cell r="F884" t="str">
            <v>Indirect</v>
          </cell>
          <cell r="G884">
            <v>312.3</v>
          </cell>
          <cell r="H884">
            <v>11953.640000000001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11953.640000000001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</row>
        <row r="885">
          <cell r="C885">
            <v>10610035</v>
          </cell>
          <cell r="D885" t="str">
            <v>GOMUKH GARAHI</v>
          </cell>
          <cell r="E885" t="str">
            <v>vlc</v>
          </cell>
          <cell r="F885" t="str">
            <v>Indirect</v>
          </cell>
          <cell r="G885">
            <v>347.7</v>
          </cell>
          <cell r="H885">
            <v>10391.17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10391.17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</row>
        <row r="886">
          <cell r="C886">
            <v>10610036</v>
          </cell>
          <cell r="D886" t="str">
            <v>GOMUKH BAIKUNTHPUR</v>
          </cell>
          <cell r="E886" t="str">
            <v>vlc</v>
          </cell>
          <cell r="F886" t="str">
            <v>Indirect</v>
          </cell>
          <cell r="G886">
            <v>18.5</v>
          </cell>
          <cell r="H886">
            <v>686.17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686.17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</row>
        <row r="887">
          <cell r="C887">
            <v>10610038</v>
          </cell>
          <cell r="D887" t="str">
            <v>GOMUKH BAHASHI</v>
          </cell>
          <cell r="E887" t="str">
            <v>vlc</v>
          </cell>
          <cell r="F887" t="str">
            <v>Indirect</v>
          </cell>
          <cell r="G887">
            <v>1136.4000000000001</v>
          </cell>
          <cell r="H887">
            <v>39960.799999999996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39960.799999999996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</row>
        <row r="888">
          <cell r="C888">
            <v>10610039</v>
          </cell>
          <cell r="D888" t="str">
            <v>GOMUKH BAKHRI</v>
          </cell>
          <cell r="E888" t="str">
            <v>vlc</v>
          </cell>
          <cell r="F888" t="str">
            <v>Indirect</v>
          </cell>
          <cell r="G888">
            <v>768.4</v>
          </cell>
          <cell r="H888">
            <v>28187.77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28187.77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</row>
        <row r="889">
          <cell r="C889">
            <v>10610044</v>
          </cell>
          <cell r="D889" t="str">
            <v>GOMUKH BABA CHAUK</v>
          </cell>
          <cell r="E889" t="str">
            <v>vlc</v>
          </cell>
          <cell r="F889" t="str">
            <v>Indirect</v>
          </cell>
          <cell r="G889">
            <v>49.3</v>
          </cell>
          <cell r="H889">
            <v>1741.74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1741.74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</row>
        <row r="890">
          <cell r="C890">
            <v>10610045</v>
          </cell>
          <cell r="D890" t="str">
            <v>GOMUKH KHARIKA</v>
          </cell>
          <cell r="E890" t="str">
            <v>vlc</v>
          </cell>
          <cell r="F890" t="str">
            <v>Indirect</v>
          </cell>
          <cell r="G890">
            <v>470.00000000000006</v>
          </cell>
          <cell r="H890">
            <v>16838.29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16838.29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</row>
        <row r="891">
          <cell r="C891">
            <v>10610046</v>
          </cell>
          <cell r="D891" t="str">
            <v>GOMUKH KALYANPUR</v>
          </cell>
          <cell r="E891" t="str">
            <v>vlc</v>
          </cell>
          <cell r="F891" t="str">
            <v>Indirect</v>
          </cell>
          <cell r="G891">
            <v>246.20000000000002</v>
          </cell>
          <cell r="H891">
            <v>8721.7000000000007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8721.7000000000007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</row>
        <row r="892">
          <cell r="C892">
            <v>10610050</v>
          </cell>
          <cell r="D892" t="str">
            <v>GOMUKH HARPUR RAJESH</v>
          </cell>
          <cell r="E892" t="str">
            <v>vlc</v>
          </cell>
          <cell r="F892" t="str">
            <v>Indirect</v>
          </cell>
          <cell r="G892">
            <v>132.19999999999999</v>
          </cell>
          <cell r="H892">
            <v>5455.44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5455.44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</row>
        <row r="893">
          <cell r="C893">
            <v>10610051</v>
          </cell>
          <cell r="D893" t="str">
            <v>GOMUKH SANICHAR HATT</v>
          </cell>
          <cell r="E893" t="str">
            <v>vlc</v>
          </cell>
          <cell r="F893" t="str">
            <v>Indirect</v>
          </cell>
          <cell r="G893">
            <v>102.19999999999999</v>
          </cell>
          <cell r="H893">
            <v>3736.7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3736.7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</row>
        <row r="894">
          <cell r="C894">
            <v>10610052</v>
          </cell>
          <cell r="D894" t="str">
            <v>GOMUKH SAHARIYA</v>
          </cell>
          <cell r="E894" t="str">
            <v>vlc</v>
          </cell>
          <cell r="F894" t="str">
            <v>Indirect</v>
          </cell>
          <cell r="G894">
            <v>580.20000000000005</v>
          </cell>
          <cell r="H894">
            <v>23008.23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23008.23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</row>
        <row r="895">
          <cell r="C895">
            <v>10630001</v>
          </cell>
          <cell r="D895" t="str">
            <v>Madhuvan</v>
          </cell>
          <cell r="E895" t="str">
            <v>MPG</v>
          </cell>
          <cell r="F895" t="str">
            <v>Direct</v>
          </cell>
          <cell r="G895">
            <v>0.01</v>
          </cell>
          <cell r="H895">
            <v>0.33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</row>
        <row r="896">
          <cell r="C896">
            <v>10630002</v>
          </cell>
          <cell r="D896" t="str">
            <v>Karua</v>
          </cell>
          <cell r="E896" t="str">
            <v>MPG</v>
          </cell>
          <cell r="F896" t="str">
            <v>Direct</v>
          </cell>
          <cell r="G896">
            <v>139.00000000000003</v>
          </cell>
          <cell r="H896">
            <v>5836.5999999999995</v>
          </cell>
          <cell r="I896">
            <v>139.1</v>
          </cell>
          <cell r="J896">
            <v>5814.4117925904002</v>
          </cell>
          <cell r="K896">
            <v>0</v>
          </cell>
          <cell r="L896">
            <v>0</v>
          </cell>
          <cell r="M896">
            <v>139.1</v>
          </cell>
          <cell r="N896">
            <v>5814.4117925904002</v>
          </cell>
          <cell r="O896">
            <v>5814.4117925904002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</row>
        <row r="897">
          <cell r="C897">
            <v>10630003</v>
          </cell>
          <cell r="D897" t="str">
            <v>Erout</v>
          </cell>
          <cell r="E897" t="str">
            <v>MPG</v>
          </cell>
          <cell r="F897" t="str">
            <v>Direct</v>
          </cell>
          <cell r="G897">
            <v>136.4</v>
          </cell>
          <cell r="H897">
            <v>6817.43</v>
          </cell>
          <cell r="I897">
            <v>138.9</v>
          </cell>
          <cell r="J897">
            <v>6801.1767750306408</v>
          </cell>
          <cell r="K897">
            <v>0.2</v>
          </cell>
          <cell r="L897">
            <v>9.9717518263500011</v>
          </cell>
          <cell r="M897">
            <v>139.1</v>
          </cell>
          <cell r="N897">
            <v>6811.1485268569904</v>
          </cell>
          <cell r="O897">
            <v>6811.1485268569904</v>
          </cell>
          <cell r="P897">
            <v>0</v>
          </cell>
          <cell r="Q897">
            <v>9.9717518263500011</v>
          </cell>
          <cell r="R897">
            <v>0</v>
          </cell>
          <cell r="S897">
            <v>0</v>
          </cell>
          <cell r="T897">
            <v>0</v>
          </cell>
        </row>
        <row r="898">
          <cell r="C898">
            <v>10630004</v>
          </cell>
          <cell r="D898" t="str">
            <v>Murli</v>
          </cell>
          <cell r="E898" t="str">
            <v>MPG</v>
          </cell>
          <cell r="F898" t="str">
            <v>Direct</v>
          </cell>
          <cell r="G898">
            <v>119.89999999999999</v>
          </cell>
          <cell r="H898">
            <v>6356.3200000000006</v>
          </cell>
          <cell r="I898">
            <v>116.10000000000001</v>
          </cell>
          <cell r="J898">
            <v>6379.8721724499383</v>
          </cell>
          <cell r="K898">
            <v>0.8</v>
          </cell>
          <cell r="L898">
            <v>42.493174166880003</v>
          </cell>
          <cell r="M898">
            <v>116.9</v>
          </cell>
          <cell r="N898">
            <v>6422.365346616818</v>
          </cell>
          <cell r="O898">
            <v>6356.3200000000006</v>
          </cell>
          <cell r="P898">
            <v>0</v>
          </cell>
          <cell r="Q898">
            <v>42.493174166880003</v>
          </cell>
          <cell r="R898">
            <v>66.045346616817369</v>
          </cell>
          <cell r="S898">
            <v>0</v>
          </cell>
          <cell r="T898">
            <v>0</v>
          </cell>
        </row>
        <row r="899">
          <cell r="C899">
            <v>10630007</v>
          </cell>
          <cell r="D899" t="str">
            <v>Mahespur</v>
          </cell>
          <cell r="E899" t="str">
            <v>MPG</v>
          </cell>
          <cell r="F899" t="str">
            <v>Direct</v>
          </cell>
          <cell r="G899">
            <v>75.299999999999983</v>
          </cell>
          <cell r="H899">
            <v>3497.05</v>
          </cell>
          <cell r="I899">
            <v>75.900000000000006</v>
          </cell>
          <cell r="J899">
            <v>3493.2187423633995</v>
          </cell>
          <cell r="K899">
            <v>0</v>
          </cell>
          <cell r="L899">
            <v>0</v>
          </cell>
          <cell r="M899">
            <v>75.900000000000006</v>
          </cell>
          <cell r="N899">
            <v>3493.2187423633995</v>
          </cell>
          <cell r="O899">
            <v>3493.2187423633995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</row>
        <row r="900">
          <cell r="C900">
            <v>10630008</v>
          </cell>
          <cell r="D900" t="str">
            <v>Raj Nagar</v>
          </cell>
          <cell r="E900" t="str">
            <v>MPG</v>
          </cell>
          <cell r="F900" t="str">
            <v>Direct</v>
          </cell>
          <cell r="G900">
            <v>685.6</v>
          </cell>
          <cell r="H900">
            <v>26065.899999999994</v>
          </cell>
          <cell r="I900">
            <v>685.6</v>
          </cell>
          <cell r="J900">
            <v>26067.319013538003</v>
          </cell>
          <cell r="K900">
            <v>0</v>
          </cell>
          <cell r="L900">
            <v>0</v>
          </cell>
          <cell r="M900">
            <v>685.6</v>
          </cell>
          <cell r="N900">
            <v>26067.319013538003</v>
          </cell>
          <cell r="O900">
            <v>26065.899999999994</v>
          </cell>
          <cell r="P900">
            <v>0</v>
          </cell>
          <cell r="Q900">
            <v>0</v>
          </cell>
          <cell r="R900">
            <v>1.4190135380085849</v>
          </cell>
          <cell r="S900">
            <v>0</v>
          </cell>
          <cell r="T900">
            <v>0</v>
          </cell>
        </row>
        <row r="901">
          <cell r="C901">
            <v>10630009</v>
          </cell>
          <cell r="D901" t="str">
            <v>Nauapokhar</v>
          </cell>
          <cell r="E901" t="str">
            <v>MPG</v>
          </cell>
          <cell r="F901" t="str">
            <v>Direct</v>
          </cell>
          <cell r="G901">
            <v>224.70000000000002</v>
          </cell>
          <cell r="H901">
            <v>10615.84</v>
          </cell>
          <cell r="I901">
            <v>230.10000000000002</v>
          </cell>
          <cell r="J901">
            <v>10555.718663840114</v>
          </cell>
          <cell r="K901">
            <v>1.3</v>
          </cell>
          <cell r="L901">
            <v>61.732916446100006</v>
          </cell>
          <cell r="M901">
            <v>231.40000000000003</v>
          </cell>
          <cell r="N901">
            <v>10617.451580286215</v>
          </cell>
          <cell r="O901">
            <v>10615.84</v>
          </cell>
          <cell r="P901">
            <v>0</v>
          </cell>
          <cell r="Q901">
            <v>61.732916446100006</v>
          </cell>
          <cell r="R901">
            <v>1.6115802862150304</v>
          </cell>
          <cell r="S901">
            <v>0</v>
          </cell>
          <cell r="T901">
            <v>0</v>
          </cell>
        </row>
        <row r="902">
          <cell r="C902">
            <v>10630010</v>
          </cell>
          <cell r="D902" t="str">
            <v>Erout 2</v>
          </cell>
          <cell r="E902" t="str">
            <v>vlc</v>
          </cell>
          <cell r="F902" t="str">
            <v>Indirect</v>
          </cell>
          <cell r="G902">
            <v>278.89999999999998</v>
          </cell>
          <cell r="H902">
            <v>10690.220000000001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10690.220000000001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</row>
        <row r="903">
          <cell r="C903">
            <v>10630011</v>
          </cell>
          <cell r="D903" t="str">
            <v>Parsuram</v>
          </cell>
          <cell r="E903" t="str">
            <v>vlc</v>
          </cell>
          <cell r="F903" t="str">
            <v>Indirect</v>
          </cell>
          <cell r="G903">
            <v>152.70000000000002</v>
          </cell>
          <cell r="H903">
            <v>4837.97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4837.97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</row>
        <row r="904">
          <cell r="C904">
            <v>10630012</v>
          </cell>
          <cell r="D904" t="str">
            <v>Gudarghat</v>
          </cell>
          <cell r="E904" t="str">
            <v>vlc</v>
          </cell>
          <cell r="F904" t="str">
            <v>Indirect</v>
          </cell>
          <cell r="G904">
            <v>346.2</v>
          </cell>
          <cell r="H904">
            <v>12949.270000000002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12949.270000000002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</row>
        <row r="905">
          <cell r="C905">
            <v>10630013</v>
          </cell>
          <cell r="D905" t="str">
            <v>Siripur Gohar</v>
          </cell>
          <cell r="E905" t="str">
            <v>MPG</v>
          </cell>
          <cell r="F905" t="str">
            <v>Direct</v>
          </cell>
          <cell r="G905">
            <v>332.1</v>
          </cell>
          <cell r="H905">
            <v>12073.19</v>
          </cell>
          <cell r="I905">
            <v>332.09999999999997</v>
          </cell>
          <cell r="J905">
            <v>12073.613205060001</v>
          </cell>
          <cell r="K905">
            <v>0</v>
          </cell>
          <cell r="L905">
            <v>0</v>
          </cell>
          <cell r="M905">
            <v>332.09999999999997</v>
          </cell>
          <cell r="N905">
            <v>12073.613205060001</v>
          </cell>
          <cell r="O905">
            <v>12073.19</v>
          </cell>
          <cell r="P905">
            <v>0</v>
          </cell>
          <cell r="Q905">
            <v>0</v>
          </cell>
          <cell r="R905">
            <v>0.42320506000032765</v>
          </cell>
          <cell r="S905">
            <v>0</v>
          </cell>
          <cell r="T905">
            <v>0</v>
          </cell>
        </row>
        <row r="906">
          <cell r="C906">
            <v>10630014</v>
          </cell>
          <cell r="D906" t="str">
            <v>Sedukha</v>
          </cell>
          <cell r="E906" t="str">
            <v>MPG</v>
          </cell>
          <cell r="F906" t="str">
            <v>Direct</v>
          </cell>
          <cell r="G906">
            <v>157.29999999999998</v>
          </cell>
          <cell r="H906">
            <v>5790.34</v>
          </cell>
          <cell r="I906">
            <v>157</v>
          </cell>
          <cell r="J906">
            <v>5776.9781335200005</v>
          </cell>
          <cell r="K906">
            <v>0.30000000000000004</v>
          </cell>
          <cell r="L906">
            <v>10.787359572000003</v>
          </cell>
          <cell r="M906">
            <v>157.30000000000001</v>
          </cell>
          <cell r="N906">
            <v>5787.7654930920007</v>
          </cell>
          <cell r="O906">
            <v>5787.7654930920007</v>
          </cell>
          <cell r="P906">
            <v>0</v>
          </cell>
          <cell r="Q906">
            <v>10.787359572000003</v>
          </cell>
          <cell r="R906">
            <v>0</v>
          </cell>
          <cell r="S906">
            <v>0</v>
          </cell>
          <cell r="T906">
            <v>0</v>
          </cell>
        </row>
        <row r="907">
          <cell r="C907">
            <v>10630015</v>
          </cell>
          <cell r="D907" t="str">
            <v>Maheshwara</v>
          </cell>
          <cell r="E907" t="str">
            <v>MPG</v>
          </cell>
          <cell r="F907" t="str">
            <v>Direct</v>
          </cell>
          <cell r="G907">
            <v>191.10000000000002</v>
          </cell>
          <cell r="H907">
            <v>7021.73</v>
          </cell>
          <cell r="I907">
            <v>191.10000000000002</v>
          </cell>
          <cell r="J907">
            <v>7020.6669648720017</v>
          </cell>
          <cell r="K907">
            <v>0</v>
          </cell>
          <cell r="L907">
            <v>0</v>
          </cell>
          <cell r="M907">
            <v>191.10000000000002</v>
          </cell>
          <cell r="N907">
            <v>7020.6669648720017</v>
          </cell>
          <cell r="O907">
            <v>7020.6669648720017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</row>
        <row r="908">
          <cell r="C908">
            <v>10630016</v>
          </cell>
          <cell r="D908" t="str">
            <v>Madhuban 2</v>
          </cell>
          <cell r="E908" t="str">
            <v>vlc</v>
          </cell>
          <cell r="F908" t="str">
            <v>Indirect</v>
          </cell>
          <cell r="G908">
            <v>329.69999999999993</v>
          </cell>
          <cell r="H908">
            <v>11680.77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11680.77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</row>
        <row r="909">
          <cell r="C909">
            <v>10630017</v>
          </cell>
          <cell r="D909" t="str">
            <v>Yadav Jee</v>
          </cell>
          <cell r="E909" t="str">
            <v>vlc</v>
          </cell>
          <cell r="F909" t="str">
            <v>Indirect</v>
          </cell>
          <cell r="G909">
            <v>62.9</v>
          </cell>
          <cell r="H909">
            <v>2070.4700000000003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2070.4700000000003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</row>
        <row r="910">
          <cell r="C910">
            <v>10630018</v>
          </cell>
          <cell r="D910" t="str">
            <v>Durgaashtan 2</v>
          </cell>
          <cell r="E910" t="str">
            <v>vlc</v>
          </cell>
          <cell r="F910" t="str">
            <v>Indirect</v>
          </cell>
          <cell r="G910">
            <v>297.5</v>
          </cell>
          <cell r="H910">
            <v>11157.949999999999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11157.949999999999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</row>
        <row r="911">
          <cell r="C911">
            <v>10630019</v>
          </cell>
          <cell r="D911" t="str">
            <v xml:space="preserve">Durgaashtan </v>
          </cell>
          <cell r="E911" t="str">
            <v>vlc</v>
          </cell>
          <cell r="F911" t="str">
            <v>Indirect</v>
          </cell>
          <cell r="G911">
            <v>278.10000000000002</v>
          </cell>
          <cell r="H911">
            <v>10583.369999999999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10583.369999999999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</row>
        <row r="912">
          <cell r="C912">
            <v>10640001</v>
          </cell>
          <cell r="D912" t="str">
            <v xml:space="preserve">DUMRA </v>
          </cell>
          <cell r="E912" t="str">
            <v>MPG</v>
          </cell>
          <cell r="F912" t="str">
            <v>Direct</v>
          </cell>
          <cell r="G912">
            <v>761.10999999999979</v>
          </cell>
          <cell r="H912">
            <v>29573.45</v>
          </cell>
          <cell r="I912">
            <v>764.6</v>
          </cell>
          <cell r="J912">
            <v>29175.125932136809</v>
          </cell>
          <cell r="K912">
            <v>8.9</v>
          </cell>
          <cell r="L912">
            <v>331.13172708000002</v>
          </cell>
          <cell r="M912">
            <v>773.5</v>
          </cell>
          <cell r="N912">
            <v>29506.257659216808</v>
          </cell>
          <cell r="O912">
            <v>29506.257659216808</v>
          </cell>
          <cell r="P912">
            <v>0</v>
          </cell>
          <cell r="Q912">
            <v>331.13172708000002</v>
          </cell>
          <cell r="R912">
            <v>0</v>
          </cell>
          <cell r="S912">
            <v>0</v>
          </cell>
          <cell r="T912">
            <v>0</v>
          </cell>
        </row>
        <row r="913">
          <cell r="C913">
            <v>10640002</v>
          </cell>
          <cell r="D913" t="str">
            <v>DIHA</v>
          </cell>
          <cell r="E913" t="str">
            <v>MPG</v>
          </cell>
          <cell r="F913" t="str">
            <v>Direct</v>
          </cell>
          <cell r="G913">
            <v>8.34</v>
          </cell>
          <cell r="H913">
            <v>280.02</v>
          </cell>
          <cell r="I913">
            <v>10.1</v>
          </cell>
          <cell r="J913">
            <v>339.00053220000001</v>
          </cell>
          <cell r="K913">
            <v>0</v>
          </cell>
          <cell r="L913">
            <v>0</v>
          </cell>
          <cell r="M913">
            <v>10.1</v>
          </cell>
          <cell r="N913">
            <v>339.00053220000001</v>
          </cell>
          <cell r="O913">
            <v>280.02</v>
          </cell>
          <cell r="P913">
            <v>0</v>
          </cell>
          <cell r="Q913">
            <v>0</v>
          </cell>
          <cell r="R913">
            <v>58.980532200000027</v>
          </cell>
          <cell r="S913">
            <v>0</v>
          </cell>
          <cell r="T913">
            <v>0</v>
          </cell>
        </row>
        <row r="914">
          <cell r="C914">
            <v>10640003</v>
          </cell>
          <cell r="D914" t="str">
            <v>BALHA</v>
          </cell>
          <cell r="E914" t="str">
            <v>MPG</v>
          </cell>
          <cell r="F914" t="str">
            <v>Direct</v>
          </cell>
          <cell r="G914">
            <v>886.02000000000021</v>
          </cell>
          <cell r="H914">
            <v>36498.390000000007</v>
          </cell>
          <cell r="I914">
            <v>874.7</v>
          </cell>
          <cell r="J914">
            <v>35848.066897065881</v>
          </cell>
          <cell r="K914">
            <v>10.9</v>
          </cell>
          <cell r="L914">
            <v>428.96693109600005</v>
          </cell>
          <cell r="M914">
            <v>885.6</v>
          </cell>
          <cell r="N914">
            <v>36277.033828161882</v>
          </cell>
          <cell r="O914">
            <v>36277.033828161882</v>
          </cell>
          <cell r="P914">
            <v>0</v>
          </cell>
          <cell r="Q914">
            <v>428.96693109600005</v>
          </cell>
          <cell r="R914">
            <v>0</v>
          </cell>
          <cell r="S914">
            <v>0</v>
          </cell>
          <cell r="T914">
            <v>0</v>
          </cell>
        </row>
        <row r="915">
          <cell r="C915">
            <v>10640004</v>
          </cell>
          <cell r="D915" t="str">
            <v>BHARIHAR</v>
          </cell>
          <cell r="E915" t="str">
            <v>MPG</v>
          </cell>
          <cell r="F915" t="str">
            <v>Direct</v>
          </cell>
          <cell r="G915">
            <v>132.29</v>
          </cell>
          <cell r="H915">
            <v>5183.9799999999996</v>
          </cell>
          <cell r="I915">
            <v>131.14999999999998</v>
          </cell>
          <cell r="J915">
            <v>5196.2477272200013</v>
          </cell>
          <cell r="K915">
            <v>0.49999999999999994</v>
          </cell>
          <cell r="L915">
            <v>19.576161000000003</v>
          </cell>
          <cell r="M915">
            <v>131.64999999999998</v>
          </cell>
          <cell r="N915">
            <v>5215.8238882200012</v>
          </cell>
          <cell r="O915">
            <v>5183.9799999999996</v>
          </cell>
          <cell r="P915">
            <v>0</v>
          </cell>
          <cell r="Q915">
            <v>19.576161000000003</v>
          </cell>
          <cell r="R915">
            <v>31.843888220001645</v>
          </cell>
          <cell r="S915">
            <v>0</v>
          </cell>
          <cell r="T915">
            <v>0</v>
          </cell>
        </row>
        <row r="916">
          <cell r="C916">
            <v>10640005</v>
          </cell>
          <cell r="D916" t="str">
            <v>BARA</v>
          </cell>
          <cell r="E916" t="str">
            <v>MPG</v>
          </cell>
          <cell r="F916" t="str">
            <v>Direct</v>
          </cell>
          <cell r="G916">
            <v>202.3</v>
          </cell>
          <cell r="H916">
            <v>8851.4500000000007</v>
          </cell>
          <cell r="I916">
            <v>200.64999999999995</v>
          </cell>
          <cell r="J916">
            <v>8777.6663270549998</v>
          </cell>
          <cell r="K916">
            <v>0.89999999999999991</v>
          </cell>
          <cell r="L916">
            <v>40.524950959000009</v>
          </cell>
          <cell r="M916">
            <v>201.54999999999995</v>
          </cell>
          <cell r="N916">
            <v>8818.1912780139992</v>
          </cell>
          <cell r="O916">
            <v>8818.1912780139992</v>
          </cell>
          <cell r="P916">
            <v>0</v>
          </cell>
          <cell r="Q916">
            <v>40.524950959000009</v>
          </cell>
          <cell r="R916">
            <v>0</v>
          </cell>
          <cell r="S916">
            <v>0</v>
          </cell>
          <cell r="T916">
            <v>0</v>
          </cell>
        </row>
        <row r="917">
          <cell r="C917">
            <v>10640006</v>
          </cell>
          <cell r="D917" t="str">
            <v>KABILASHI</v>
          </cell>
          <cell r="E917" t="str">
            <v>MPG</v>
          </cell>
          <cell r="F917" t="str">
            <v>Direct</v>
          </cell>
          <cell r="G917">
            <v>126.11</v>
          </cell>
          <cell r="H917">
            <v>6757.4399999999987</v>
          </cell>
          <cell r="I917">
            <v>95.1</v>
          </cell>
          <cell r="J917">
            <v>5288.0718603406012</v>
          </cell>
          <cell r="K917">
            <v>30.6</v>
          </cell>
          <cell r="L917">
            <v>1629.7713284808001</v>
          </cell>
          <cell r="M917">
            <v>125.69999999999999</v>
          </cell>
          <cell r="N917">
            <v>6917.8431888214018</v>
          </cell>
          <cell r="O917">
            <v>6757.4399999999987</v>
          </cell>
          <cell r="P917">
            <v>0</v>
          </cell>
          <cell r="Q917">
            <v>213.64185906800003</v>
          </cell>
          <cell r="R917">
            <v>160.40318882140309</v>
          </cell>
          <cell r="S917">
            <v>0</v>
          </cell>
          <cell r="T917">
            <v>0</v>
          </cell>
        </row>
        <row r="918">
          <cell r="C918">
            <v>10640007</v>
          </cell>
          <cell r="D918" t="str">
            <v>SULTANPUR</v>
          </cell>
          <cell r="E918" t="str">
            <v>vlc</v>
          </cell>
          <cell r="F918" t="str">
            <v>Indirect</v>
          </cell>
          <cell r="G918">
            <v>199.24</v>
          </cell>
          <cell r="H918">
            <v>8630.35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8630.35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</row>
        <row r="919">
          <cell r="C919">
            <v>10640008</v>
          </cell>
          <cell r="D919" t="str">
            <v>BHUSNA</v>
          </cell>
          <cell r="E919" t="str">
            <v>MPG</v>
          </cell>
          <cell r="F919" t="str">
            <v>Direct</v>
          </cell>
          <cell r="G919">
            <v>101.58999999999999</v>
          </cell>
          <cell r="H919">
            <v>4663.4700000000012</v>
          </cell>
          <cell r="I919">
            <v>100.9</v>
          </cell>
          <cell r="J919">
            <v>4631.7318946410005</v>
          </cell>
          <cell r="K919">
            <v>0</v>
          </cell>
          <cell r="L919">
            <v>0</v>
          </cell>
          <cell r="M919">
            <v>100.9</v>
          </cell>
          <cell r="N919">
            <v>4631.7318946410005</v>
          </cell>
          <cell r="O919">
            <v>4631.7318946410005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</row>
        <row r="920">
          <cell r="C920">
            <v>10640009</v>
          </cell>
          <cell r="D920" t="str">
            <v>SUKUMARPUR</v>
          </cell>
          <cell r="E920" t="str">
            <v>MPG</v>
          </cell>
          <cell r="F920" t="str">
            <v>Direct</v>
          </cell>
          <cell r="G920">
            <v>337.87</v>
          </cell>
          <cell r="H920">
            <v>15049.600000000002</v>
          </cell>
          <cell r="I920">
            <v>338.5</v>
          </cell>
          <cell r="J920">
            <v>14963.650185048404</v>
          </cell>
          <cell r="K920">
            <v>0</v>
          </cell>
          <cell r="L920">
            <v>0</v>
          </cell>
          <cell r="M920">
            <v>338.5</v>
          </cell>
          <cell r="N920">
            <v>14963.650185048404</v>
          </cell>
          <cell r="O920">
            <v>14963.650185048404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</row>
        <row r="921">
          <cell r="C921">
            <v>10640010</v>
          </cell>
          <cell r="D921" t="str">
            <v>SISAUNA VLC</v>
          </cell>
          <cell r="E921" t="str">
            <v>vlc</v>
          </cell>
          <cell r="F921" t="str">
            <v>Indirect</v>
          </cell>
          <cell r="G921">
            <v>132.22999999999999</v>
          </cell>
          <cell r="H921">
            <v>5272.16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5272.16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</row>
        <row r="922">
          <cell r="C922">
            <v>10640011</v>
          </cell>
          <cell r="D922" t="str">
            <v xml:space="preserve">Aditya Bishwas </v>
          </cell>
          <cell r="E922" t="str">
            <v>vlc</v>
          </cell>
          <cell r="F922" t="str">
            <v>Indirect</v>
          </cell>
          <cell r="G922">
            <v>210.85999999999996</v>
          </cell>
          <cell r="H922">
            <v>9393.869999999999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9393.869999999999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</row>
        <row r="923">
          <cell r="C923">
            <v>10650001</v>
          </cell>
          <cell r="D923" t="str">
            <v>Gomukh Vijaiya</v>
          </cell>
          <cell r="E923" t="str">
            <v>MPG</v>
          </cell>
          <cell r="F923" t="str">
            <v>Direct</v>
          </cell>
          <cell r="G923">
            <v>97.2</v>
          </cell>
          <cell r="H923">
            <v>3976.26</v>
          </cell>
          <cell r="I923">
            <v>99</v>
          </cell>
          <cell r="J923">
            <v>4528.3661496320001</v>
          </cell>
          <cell r="K923">
            <v>0</v>
          </cell>
          <cell r="L923">
            <v>0</v>
          </cell>
          <cell r="M923">
            <v>99</v>
          </cell>
          <cell r="N923">
            <v>4528.3661496320001</v>
          </cell>
          <cell r="O923">
            <v>3976.26</v>
          </cell>
          <cell r="P923">
            <v>0</v>
          </cell>
          <cell r="Q923">
            <v>0</v>
          </cell>
          <cell r="R923">
            <v>552.10614963199987</v>
          </cell>
          <cell r="S923">
            <v>0</v>
          </cell>
          <cell r="T923">
            <v>0</v>
          </cell>
        </row>
        <row r="924">
          <cell r="C924">
            <v>10650003</v>
          </cell>
          <cell r="D924" t="str">
            <v>Gomukh Gangauli</v>
          </cell>
          <cell r="E924" t="str">
            <v>MPG</v>
          </cell>
          <cell r="F924" t="str">
            <v>Direct</v>
          </cell>
          <cell r="G924">
            <v>1116.8000000000002</v>
          </cell>
          <cell r="H924">
            <v>44479.83</v>
          </cell>
          <cell r="I924">
            <v>1136.3</v>
          </cell>
          <cell r="J924">
            <v>45698.253138402841</v>
          </cell>
          <cell r="K924">
            <v>0</v>
          </cell>
          <cell r="L924">
            <v>0</v>
          </cell>
          <cell r="M924">
            <v>1136.3</v>
          </cell>
          <cell r="N924">
            <v>45698.253138402841</v>
          </cell>
          <cell r="O924">
            <v>44479.83</v>
          </cell>
          <cell r="P924">
            <v>0</v>
          </cell>
          <cell r="Q924">
            <v>0</v>
          </cell>
          <cell r="R924">
            <v>1218.423138402839</v>
          </cell>
          <cell r="S924">
            <v>0</v>
          </cell>
          <cell r="T924">
            <v>0</v>
          </cell>
        </row>
        <row r="925">
          <cell r="C925">
            <v>10650004</v>
          </cell>
          <cell r="D925" t="str">
            <v>Gomukh KARRAKH</v>
          </cell>
          <cell r="E925" t="str">
            <v>MPG</v>
          </cell>
          <cell r="F925" t="str">
            <v>Direct</v>
          </cell>
          <cell r="G925">
            <v>405.3</v>
          </cell>
          <cell r="H925">
            <v>15558.81</v>
          </cell>
          <cell r="I925">
            <v>419.60000000000008</v>
          </cell>
          <cell r="J925">
            <v>16198.454167831116</v>
          </cell>
          <cell r="K925">
            <v>0</v>
          </cell>
          <cell r="L925">
            <v>0</v>
          </cell>
          <cell r="M925">
            <v>419.60000000000008</v>
          </cell>
          <cell r="N925">
            <v>16198.454167831116</v>
          </cell>
          <cell r="O925">
            <v>15558.81</v>
          </cell>
          <cell r="P925">
            <v>0</v>
          </cell>
          <cell r="Q925">
            <v>0</v>
          </cell>
          <cell r="R925">
            <v>639.64416783111665</v>
          </cell>
          <cell r="S925">
            <v>0</v>
          </cell>
          <cell r="T925">
            <v>0</v>
          </cell>
        </row>
        <row r="926">
          <cell r="C926">
            <v>10650006</v>
          </cell>
          <cell r="D926" t="str">
            <v>MANDA</v>
          </cell>
          <cell r="E926" t="str">
            <v>vlc</v>
          </cell>
          <cell r="F926" t="str">
            <v>Indirect</v>
          </cell>
          <cell r="G926">
            <v>239.2</v>
          </cell>
          <cell r="H926">
            <v>8985.65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8985.65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</row>
        <row r="927">
          <cell r="C927">
            <v>10650008</v>
          </cell>
          <cell r="D927" t="str">
            <v>HAWASPUR</v>
          </cell>
          <cell r="E927" t="str">
            <v>vlc</v>
          </cell>
          <cell r="F927" t="str">
            <v>Indirect</v>
          </cell>
          <cell r="G927">
            <v>47.400000000000006</v>
          </cell>
          <cell r="H927">
            <v>1522.29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1522.29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</row>
        <row r="928">
          <cell r="C928">
            <v>10650011</v>
          </cell>
          <cell r="D928" t="str">
            <v>Gomukh Manda</v>
          </cell>
          <cell r="E928" t="str">
            <v>MPG</v>
          </cell>
          <cell r="F928" t="str">
            <v>Direct</v>
          </cell>
          <cell r="G928">
            <v>388.40000000000003</v>
          </cell>
          <cell r="H928">
            <v>15213.420000000002</v>
          </cell>
          <cell r="I928">
            <v>368.30000000000007</v>
          </cell>
          <cell r="J928">
            <v>14393.62484208</v>
          </cell>
          <cell r="K928">
            <v>0</v>
          </cell>
          <cell r="L928">
            <v>0</v>
          </cell>
          <cell r="M928">
            <v>368.30000000000007</v>
          </cell>
          <cell r="N928">
            <v>14393.62484208</v>
          </cell>
          <cell r="O928">
            <v>14393.62484208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</row>
      </sheetData>
      <sheetData sheetId="3">
        <row r="2">
          <cell r="A2" t="str">
            <v>ID</v>
          </cell>
          <cell r="B2" t="str">
            <v>MCC Name</v>
          </cell>
          <cell r="C2" t="str">
            <v>BMC Area</v>
          </cell>
          <cell r="D2" t="str">
            <v>MPG/RMC Name</v>
          </cell>
          <cell r="E2" t="str">
            <v>Code</v>
          </cell>
          <cell r="F2" t="str">
            <v>Farmers Code</v>
          </cell>
          <cell r="G2" t="str">
            <v>No of Shift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L2" t="str">
            <v>Milk Short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A3" t="str">
            <v>100100130001</v>
          </cell>
          <cell r="B3" t="str">
            <v>Majhaul</v>
          </cell>
          <cell r="C3" t="str">
            <v>Majhaul</v>
          </cell>
          <cell r="D3" t="str">
            <v>Gomukh Kumbhi</v>
          </cell>
          <cell r="E3">
            <v>10010013</v>
          </cell>
          <cell r="F3" t="str">
            <v>0001</v>
          </cell>
          <cell r="G3">
            <v>14</v>
          </cell>
          <cell r="H3">
            <v>6.1800000000000006</v>
          </cell>
          <cell r="I3">
            <v>231.61210500511999</v>
          </cell>
          <cell r="J3">
            <v>0</v>
          </cell>
          <cell r="K3">
            <v>231.61210500511999</v>
          </cell>
          <cell r="L3">
            <v>0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A4" t="str">
            <v>100100130002</v>
          </cell>
          <cell r="B4" t="str">
            <v>Majhaul</v>
          </cell>
          <cell r="C4" t="str">
            <v>Majhaul</v>
          </cell>
          <cell r="D4" t="str">
            <v>Gomukh Kumbhi</v>
          </cell>
          <cell r="E4">
            <v>10010013</v>
          </cell>
          <cell r="F4" t="str">
            <v>0002</v>
          </cell>
          <cell r="G4">
            <v>11</v>
          </cell>
          <cell r="H4">
            <v>24.519999999999996</v>
          </cell>
          <cell r="I4">
            <v>1202.0339608025799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P4">
            <v>1202</v>
          </cell>
          <cell r="V4" t="str">
            <v>Available</v>
          </cell>
        </row>
        <row r="5">
          <cell r="A5" t="str">
            <v>100100130005</v>
          </cell>
          <cell r="B5" t="str">
            <v>Majhaul</v>
          </cell>
          <cell r="C5" t="str">
            <v>Majhaul</v>
          </cell>
          <cell r="D5" t="str">
            <v>Gomukh Kumbhi</v>
          </cell>
          <cell r="E5">
            <v>10010013</v>
          </cell>
          <cell r="F5" t="str">
            <v>0005</v>
          </cell>
          <cell r="G5">
            <v>14</v>
          </cell>
          <cell r="H5">
            <v>135.31000000000003</v>
          </cell>
          <cell r="I5">
            <v>5100.7215778200007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P5">
            <v>5101</v>
          </cell>
          <cell r="V5" t="str">
            <v>Available</v>
          </cell>
        </row>
        <row r="6">
          <cell r="A6" t="str">
            <v>100100130013</v>
          </cell>
          <cell r="B6" t="str">
            <v>Majhaul</v>
          </cell>
          <cell r="C6" t="str">
            <v>Majhaul</v>
          </cell>
          <cell r="D6" t="str">
            <v>Gomukh Kumbhi</v>
          </cell>
          <cell r="E6">
            <v>10010013</v>
          </cell>
          <cell r="F6" t="str">
            <v>0013</v>
          </cell>
          <cell r="G6">
            <v>14</v>
          </cell>
          <cell r="H6">
            <v>89.570000000000022</v>
          </cell>
          <cell r="I6">
            <v>3703.7213886212999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P6">
            <v>3704</v>
          </cell>
          <cell r="V6" t="str">
            <v>Available</v>
          </cell>
        </row>
        <row r="7">
          <cell r="A7" t="str">
            <v>100100130015</v>
          </cell>
          <cell r="B7" t="str">
            <v>Majhaul</v>
          </cell>
          <cell r="C7" t="str">
            <v>Majhaul</v>
          </cell>
          <cell r="D7" t="str">
            <v>Gomukh Kumbhi</v>
          </cell>
          <cell r="E7">
            <v>10010013</v>
          </cell>
          <cell r="F7" t="str">
            <v>0015</v>
          </cell>
          <cell r="G7">
            <v>12</v>
          </cell>
          <cell r="H7">
            <v>25.21</v>
          </cell>
          <cell r="I7">
            <v>1135.7862512735001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P7">
            <v>1136</v>
          </cell>
          <cell r="V7" t="str">
            <v>Available</v>
          </cell>
        </row>
        <row r="8">
          <cell r="A8" t="str">
            <v>100100130016</v>
          </cell>
          <cell r="B8" t="str">
            <v>Majhaul</v>
          </cell>
          <cell r="C8" t="str">
            <v>Majhaul</v>
          </cell>
          <cell r="D8" t="str">
            <v>Gomukh Kumbhi</v>
          </cell>
          <cell r="E8">
            <v>10010013</v>
          </cell>
          <cell r="F8" t="str">
            <v>0016</v>
          </cell>
          <cell r="G8">
            <v>7</v>
          </cell>
          <cell r="H8">
            <v>31.960000000000004</v>
          </cell>
          <cell r="I8">
            <v>1127.546346564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P8">
            <v>1128</v>
          </cell>
          <cell r="V8" t="str">
            <v>Available</v>
          </cell>
        </row>
        <row r="9">
          <cell r="A9" t="str">
            <v>100100130028</v>
          </cell>
          <cell r="B9" t="str">
            <v>Majhaul</v>
          </cell>
          <cell r="C9" t="str">
            <v>Majhaul</v>
          </cell>
          <cell r="D9" t="str">
            <v>Gomukh Kumbhi</v>
          </cell>
          <cell r="E9">
            <v>10010013</v>
          </cell>
          <cell r="F9" t="str">
            <v>0028</v>
          </cell>
          <cell r="G9">
            <v>4</v>
          </cell>
          <cell r="H9">
            <v>11.44</v>
          </cell>
          <cell r="I9">
            <v>413.38788282000007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P9">
            <v>413</v>
          </cell>
          <cell r="V9" t="str">
            <v>Available</v>
          </cell>
        </row>
        <row r="10">
          <cell r="A10" t="str">
            <v>100100130034</v>
          </cell>
          <cell r="B10" t="str">
            <v>Majhaul</v>
          </cell>
          <cell r="C10" t="str">
            <v>Majhaul</v>
          </cell>
          <cell r="D10" t="str">
            <v>Gomukh Kumbhi</v>
          </cell>
          <cell r="E10">
            <v>10010013</v>
          </cell>
          <cell r="F10" t="str">
            <v>0034</v>
          </cell>
          <cell r="G10">
            <v>8</v>
          </cell>
          <cell r="H10">
            <v>21.229999999999997</v>
          </cell>
          <cell r="I10">
            <v>709.56993888000011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710</v>
          </cell>
          <cell r="V10" t="str">
            <v>Available</v>
          </cell>
        </row>
        <row r="11">
          <cell r="A11" t="str">
            <v>100100130039</v>
          </cell>
          <cell r="B11" t="str">
            <v>Majhaul</v>
          </cell>
          <cell r="C11" t="str">
            <v>Majhaul</v>
          </cell>
          <cell r="D11" t="str">
            <v>Gomukh Kumbhi</v>
          </cell>
          <cell r="E11">
            <v>10010013</v>
          </cell>
          <cell r="F11" t="str">
            <v>0039</v>
          </cell>
          <cell r="G11">
            <v>14</v>
          </cell>
          <cell r="H11">
            <v>77.970000000000013</v>
          </cell>
          <cell r="I11">
            <v>2702.9023223400004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P11">
            <v>2703</v>
          </cell>
          <cell r="V11" t="str">
            <v>Available</v>
          </cell>
        </row>
        <row r="12">
          <cell r="A12" t="str">
            <v>100100130043</v>
          </cell>
          <cell r="B12" t="str">
            <v>Majhaul</v>
          </cell>
          <cell r="C12" t="str">
            <v>Majhaul</v>
          </cell>
          <cell r="D12" t="str">
            <v>Gomukh Kumbhi</v>
          </cell>
          <cell r="E12">
            <v>10010013</v>
          </cell>
          <cell r="F12" t="str">
            <v>0043</v>
          </cell>
          <cell r="G12">
            <v>8</v>
          </cell>
          <cell r="H12">
            <v>17.86</v>
          </cell>
          <cell r="I12">
            <v>619.12627013159999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P12">
            <v>619</v>
          </cell>
          <cell r="V12" t="str">
            <v>Available</v>
          </cell>
        </row>
        <row r="13">
          <cell r="A13" t="str">
            <v>100100130047</v>
          </cell>
          <cell r="B13" t="str">
            <v>Majhaul</v>
          </cell>
          <cell r="C13" t="str">
            <v>Majhaul</v>
          </cell>
          <cell r="D13" t="str">
            <v>Gomukh Kumbhi</v>
          </cell>
          <cell r="E13">
            <v>10010013</v>
          </cell>
          <cell r="F13" t="str">
            <v>0047</v>
          </cell>
          <cell r="G13">
            <v>14</v>
          </cell>
          <cell r="H13">
            <v>35.78</v>
          </cell>
          <cell r="I13">
            <v>1319.6493092970002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P13">
            <v>1320</v>
          </cell>
          <cell r="V13" t="str">
            <v>Available</v>
          </cell>
        </row>
        <row r="14">
          <cell r="A14" t="str">
            <v>100100130056</v>
          </cell>
          <cell r="B14" t="str">
            <v>Majhaul</v>
          </cell>
          <cell r="C14" t="str">
            <v>Majhaul</v>
          </cell>
          <cell r="D14" t="str">
            <v>Gomukh Kumbhi</v>
          </cell>
          <cell r="E14">
            <v>10010013</v>
          </cell>
          <cell r="F14" t="str">
            <v>0056</v>
          </cell>
          <cell r="G14">
            <v>10</v>
          </cell>
          <cell r="H14">
            <v>17.59</v>
          </cell>
          <cell r="I14">
            <v>619.06782762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P14">
            <v>619</v>
          </cell>
          <cell r="V14" t="str">
            <v>Available</v>
          </cell>
        </row>
        <row r="15">
          <cell r="A15" t="str">
            <v>100100130058</v>
          </cell>
          <cell r="B15" t="str">
            <v>Majhaul</v>
          </cell>
          <cell r="C15" t="str">
            <v>Majhaul</v>
          </cell>
          <cell r="D15" t="str">
            <v>Gomukh Kumbhi</v>
          </cell>
          <cell r="E15">
            <v>10010013</v>
          </cell>
          <cell r="F15" t="str">
            <v>0058</v>
          </cell>
          <cell r="G15">
            <v>14</v>
          </cell>
          <cell r="H15">
            <v>50.53</v>
          </cell>
          <cell r="I15">
            <v>1698.5224622520002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P15">
            <v>1699</v>
          </cell>
          <cell r="V15" t="str">
            <v>Available</v>
          </cell>
        </row>
        <row r="16">
          <cell r="A16" t="str">
            <v>100100130062</v>
          </cell>
          <cell r="B16" t="str">
            <v>Majhaul</v>
          </cell>
          <cell r="C16" t="str">
            <v>Majhaul</v>
          </cell>
          <cell r="D16" t="str">
            <v>Gomukh Kumbhi</v>
          </cell>
          <cell r="E16">
            <v>10010013</v>
          </cell>
          <cell r="F16" t="str">
            <v>0062</v>
          </cell>
          <cell r="G16">
            <v>14</v>
          </cell>
          <cell r="H16">
            <v>77.75</v>
          </cell>
          <cell r="I16">
            <v>2686.4377155000006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2686</v>
          </cell>
          <cell r="V16" t="str">
            <v>Available</v>
          </cell>
        </row>
        <row r="17">
          <cell r="A17" t="str">
            <v>100100130074</v>
          </cell>
          <cell r="B17" t="str">
            <v>Majhaul</v>
          </cell>
          <cell r="C17" t="str">
            <v>Majhaul</v>
          </cell>
          <cell r="D17" t="str">
            <v>Gomukh Kumbhi</v>
          </cell>
          <cell r="E17">
            <v>10010013</v>
          </cell>
          <cell r="F17" t="str">
            <v>0074</v>
          </cell>
          <cell r="G17">
            <v>7</v>
          </cell>
          <cell r="H17">
            <v>17.13</v>
          </cell>
          <cell r="I17">
            <v>903.90720668334006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P17">
            <v>904</v>
          </cell>
          <cell r="V17" t="str">
            <v>Available</v>
          </cell>
        </row>
        <row r="18">
          <cell r="A18" t="str">
            <v>100100130076</v>
          </cell>
          <cell r="B18" t="str">
            <v>Majhaul</v>
          </cell>
          <cell r="C18" t="str">
            <v>Majhaul</v>
          </cell>
          <cell r="D18" t="str">
            <v>Gomukh Kumbhi</v>
          </cell>
          <cell r="E18">
            <v>10010013</v>
          </cell>
          <cell r="F18" t="str">
            <v>0076</v>
          </cell>
          <cell r="G18">
            <v>5</v>
          </cell>
          <cell r="H18">
            <v>8.19</v>
          </cell>
          <cell r="I18">
            <v>292.79574918000003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P18">
            <v>293</v>
          </cell>
          <cell r="V18" t="str">
            <v>Available</v>
          </cell>
        </row>
        <row r="19">
          <cell r="A19" t="str">
            <v>100100130077</v>
          </cell>
          <cell r="B19" t="str">
            <v>Majhaul</v>
          </cell>
          <cell r="C19" t="str">
            <v>Majhaul</v>
          </cell>
          <cell r="D19" t="str">
            <v>Gomukh Kumbhi</v>
          </cell>
          <cell r="E19">
            <v>10010013</v>
          </cell>
          <cell r="F19" t="str">
            <v>0077</v>
          </cell>
          <cell r="G19">
            <v>14</v>
          </cell>
          <cell r="H19">
            <v>48.720000000000013</v>
          </cell>
          <cell r="I19">
            <v>1950.7448199611001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P19">
            <v>1951</v>
          </cell>
          <cell r="V19" t="str">
            <v>Available</v>
          </cell>
        </row>
        <row r="20">
          <cell r="A20" t="str">
            <v>100100130079</v>
          </cell>
          <cell r="B20" t="str">
            <v>Majhaul</v>
          </cell>
          <cell r="C20" t="str">
            <v>Majhaul</v>
          </cell>
          <cell r="D20" t="str">
            <v>Gomukh Kumbhi</v>
          </cell>
          <cell r="E20">
            <v>10010013</v>
          </cell>
          <cell r="F20" t="str">
            <v>0079</v>
          </cell>
          <cell r="G20">
            <v>5</v>
          </cell>
          <cell r="H20">
            <v>10.330000000000002</v>
          </cell>
          <cell r="I20">
            <v>614.19862082816007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P20">
            <v>614</v>
          </cell>
          <cell r="V20" t="str">
            <v>Available</v>
          </cell>
        </row>
        <row r="21">
          <cell r="A21" t="str">
            <v>100100130081</v>
          </cell>
          <cell r="B21" t="str">
            <v>Majhaul</v>
          </cell>
          <cell r="C21" t="str">
            <v>Majhaul</v>
          </cell>
          <cell r="D21" t="str">
            <v>Gomukh Kumbhi</v>
          </cell>
          <cell r="E21">
            <v>10010013</v>
          </cell>
          <cell r="F21" t="str">
            <v>0081</v>
          </cell>
          <cell r="G21">
            <v>13</v>
          </cell>
          <cell r="H21">
            <v>53.15</v>
          </cell>
          <cell r="I21">
            <v>1914.87820986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P21">
            <v>1915</v>
          </cell>
          <cell r="V21" t="str">
            <v>Available</v>
          </cell>
        </row>
        <row r="22">
          <cell r="A22" t="str">
            <v>100100170002</v>
          </cell>
          <cell r="B22" t="str">
            <v>Teghra</v>
          </cell>
          <cell r="C22" t="str">
            <v>Teghra</v>
          </cell>
          <cell r="D22" t="str">
            <v>Gomukh Amba</v>
          </cell>
          <cell r="E22">
            <v>10010017</v>
          </cell>
          <cell r="F22" t="str">
            <v>0002</v>
          </cell>
          <cell r="G22">
            <v>1</v>
          </cell>
          <cell r="H22">
            <v>49</v>
          </cell>
          <cell r="I22">
            <v>1715.3615278800003</v>
          </cell>
          <cell r="J22">
            <v>0</v>
          </cell>
          <cell r="K22">
            <v>0</v>
          </cell>
          <cell r="L22">
            <v>6</v>
          </cell>
          <cell r="M22">
            <v>0</v>
          </cell>
          <cell r="P22">
            <v>1637</v>
          </cell>
          <cell r="V22" t="str">
            <v>Available</v>
          </cell>
        </row>
        <row r="23">
          <cell r="A23" t="str">
            <v>100100190001</v>
          </cell>
          <cell r="B23" t="str">
            <v>Majhaul</v>
          </cell>
          <cell r="C23" t="str">
            <v>Majhaul</v>
          </cell>
          <cell r="D23" t="str">
            <v xml:space="preserve">Gomukh Jagdar                                                                                       </v>
          </cell>
          <cell r="E23">
            <v>10010019</v>
          </cell>
          <cell r="F23" t="str">
            <v>0001</v>
          </cell>
          <cell r="G23">
            <v>13</v>
          </cell>
          <cell r="H23">
            <v>13.07</v>
          </cell>
          <cell r="I23">
            <v>497.65694536800009</v>
          </cell>
          <cell r="J23">
            <v>0</v>
          </cell>
          <cell r="K23">
            <v>497.65694536800009</v>
          </cell>
          <cell r="L23">
            <v>0</v>
          </cell>
          <cell r="M23">
            <v>0</v>
          </cell>
          <cell r="P23">
            <v>0</v>
          </cell>
          <cell r="V23" t="str">
            <v>Not Available</v>
          </cell>
        </row>
        <row r="24">
          <cell r="A24" t="str">
            <v>100100190004</v>
          </cell>
          <cell r="B24" t="str">
            <v>Majhaul</v>
          </cell>
          <cell r="C24" t="str">
            <v>Majhaul</v>
          </cell>
          <cell r="D24" t="str">
            <v xml:space="preserve">Gomukh Jagdar                                                                                       </v>
          </cell>
          <cell r="E24">
            <v>10010019</v>
          </cell>
          <cell r="F24" t="str">
            <v>0004</v>
          </cell>
          <cell r="G24">
            <v>11</v>
          </cell>
          <cell r="H24">
            <v>88.97</v>
          </cell>
          <cell r="I24">
            <v>3461.0962708080006</v>
          </cell>
          <cell r="J24">
            <v>0</v>
          </cell>
          <cell r="K24">
            <v>0</v>
          </cell>
          <cell r="L24">
            <v>70</v>
          </cell>
          <cell r="M24">
            <v>0</v>
          </cell>
          <cell r="P24">
            <v>3391</v>
          </cell>
          <cell r="V24" t="str">
            <v>Available</v>
          </cell>
        </row>
        <row r="25">
          <cell r="A25" t="str">
            <v>100100190007</v>
          </cell>
          <cell r="B25" t="str">
            <v>Majhaul</v>
          </cell>
          <cell r="C25" t="str">
            <v>Majhaul</v>
          </cell>
          <cell r="D25" t="str">
            <v xml:space="preserve">Gomukh Jagdar                                                                                       </v>
          </cell>
          <cell r="E25">
            <v>10010019</v>
          </cell>
          <cell r="F25" t="str">
            <v>0007</v>
          </cell>
          <cell r="G25">
            <v>13</v>
          </cell>
          <cell r="H25">
            <v>83.7</v>
          </cell>
          <cell r="I25">
            <v>3209.6300544000001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P25">
            <v>3210</v>
          </cell>
          <cell r="V25" t="str">
            <v>Available</v>
          </cell>
        </row>
        <row r="26">
          <cell r="A26" t="str">
            <v>100100190012</v>
          </cell>
          <cell r="B26" t="str">
            <v>Majhaul</v>
          </cell>
          <cell r="C26" t="str">
            <v>Majhaul</v>
          </cell>
          <cell r="D26" t="str">
            <v xml:space="preserve">Gomukh Jagdar                                                                                       </v>
          </cell>
          <cell r="E26">
            <v>10010019</v>
          </cell>
          <cell r="F26" t="str">
            <v>0012</v>
          </cell>
          <cell r="G26">
            <v>14</v>
          </cell>
          <cell r="H26">
            <v>38.270000000000003</v>
          </cell>
          <cell r="I26">
            <v>1470.0923554679998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P26">
            <v>1470</v>
          </cell>
          <cell r="V26" t="str">
            <v>Available</v>
          </cell>
        </row>
        <row r="27">
          <cell r="A27" t="str">
            <v>100100190017</v>
          </cell>
          <cell r="B27" t="str">
            <v>Majhaul</v>
          </cell>
          <cell r="C27" t="str">
            <v>Majhaul</v>
          </cell>
          <cell r="D27" t="str">
            <v xml:space="preserve">Gomukh Jagdar                                                                                       </v>
          </cell>
          <cell r="E27">
            <v>10010019</v>
          </cell>
          <cell r="F27" t="str">
            <v>0017</v>
          </cell>
          <cell r="G27">
            <v>1</v>
          </cell>
          <cell r="H27">
            <v>2.02</v>
          </cell>
          <cell r="I27">
            <v>79.994239776000015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P27">
            <v>80</v>
          </cell>
          <cell r="V27" t="str">
            <v>Available</v>
          </cell>
        </row>
        <row r="28">
          <cell r="A28" t="str">
            <v>100100190019</v>
          </cell>
          <cell r="B28" t="str">
            <v>Majhaul</v>
          </cell>
          <cell r="C28" t="str">
            <v>Majhaul</v>
          </cell>
          <cell r="D28" t="str">
            <v xml:space="preserve">Gomukh Jagdar                                                                                       </v>
          </cell>
          <cell r="E28">
            <v>10010019</v>
          </cell>
          <cell r="F28" t="str">
            <v>0019</v>
          </cell>
          <cell r="G28">
            <v>6</v>
          </cell>
          <cell r="H28">
            <v>10.59</v>
          </cell>
          <cell r="I28">
            <v>854.02781533990003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P28">
            <v>854</v>
          </cell>
          <cell r="V28" t="str">
            <v>Available</v>
          </cell>
        </row>
        <row r="29">
          <cell r="A29" t="str">
            <v>100100190025</v>
          </cell>
          <cell r="B29" t="str">
            <v>Majhaul</v>
          </cell>
          <cell r="C29" t="str">
            <v>Majhaul</v>
          </cell>
          <cell r="D29" t="str">
            <v xml:space="preserve">Gomukh Jagdar                                                                                       </v>
          </cell>
          <cell r="E29">
            <v>10010019</v>
          </cell>
          <cell r="F29" t="str">
            <v>0025</v>
          </cell>
          <cell r="G29">
            <v>12</v>
          </cell>
          <cell r="H29">
            <v>19.259999999999998</v>
          </cell>
          <cell r="I29">
            <v>780.16536971999994</v>
          </cell>
          <cell r="J29">
            <v>0</v>
          </cell>
          <cell r="K29">
            <v>0</v>
          </cell>
          <cell r="L29">
            <v>65</v>
          </cell>
          <cell r="M29">
            <v>0</v>
          </cell>
          <cell r="P29">
            <v>715</v>
          </cell>
          <cell r="V29" t="str">
            <v>Available</v>
          </cell>
        </row>
        <row r="30">
          <cell r="A30" t="str">
            <v>100100190030</v>
          </cell>
          <cell r="B30" t="str">
            <v>Majhaul</v>
          </cell>
          <cell r="C30" t="str">
            <v>Majhaul</v>
          </cell>
          <cell r="D30" t="str">
            <v xml:space="preserve">Gomukh Jagdar                                                                                       </v>
          </cell>
          <cell r="E30">
            <v>10010019</v>
          </cell>
          <cell r="F30" t="str">
            <v>0030</v>
          </cell>
          <cell r="G30">
            <v>14</v>
          </cell>
          <cell r="H30">
            <v>281.77</v>
          </cell>
          <cell r="I30">
            <v>10771.215306984001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P30">
            <v>10771</v>
          </cell>
          <cell r="V30" t="str">
            <v>Available</v>
          </cell>
        </row>
        <row r="31">
          <cell r="A31" t="str">
            <v>100100190033</v>
          </cell>
          <cell r="B31" t="str">
            <v>Majhaul</v>
          </cell>
          <cell r="C31" t="str">
            <v>Majhaul</v>
          </cell>
          <cell r="D31" t="str">
            <v xml:space="preserve">Gomukh Jagdar                                                                                       </v>
          </cell>
          <cell r="E31">
            <v>10010019</v>
          </cell>
          <cell r="F31" t="str">
            <v>0033</v>
          </cell>
          <cell r="G31">
            <v>1</v>
          </cell>
          <cell r="H31">
            <v>5.57</v>
          </cell>
          <cell r="I31">
            <v>315.94036701370004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P31">
            <v>316</v>
          </cell>
          <cell r="V31" t="str">
            <v>Available</v>
          </cell>
        </row>
        <row r="32">
          <cell r="A32" t="str">
            <v>100100190037</v>
          </cell>
          <cell r="B32" t="str">
            <v>Majhaul</v>
          </cell>
          <cell r="C32" t="str">
            <v>Majhaul</v>
          </cell>
          <cell r="D32" t="str">
            <v xml:space="preserve">Gomukh Jagdar                                                                                       </v>
          </cell>
          <cell r="E32">
            <v>10010019</v>
          </cell>
          <cell r="F32" t="str">
            <v>0037</v>
          </cell>
          <cell r="G32">
            <v>13</v>
          </cell>
          <cell r="H32">
            <v>78.460000000000008</v>
          </cell>
          <cell r="I32">
            <v>4476.0775662545902</v>
          </cell>
          <cell r="J32">
            <v>0</v>
          </cell>
          <cell r="K32">
            <v>0</v>
          </cell>
          <cell r="L32">
            <v>70</v>
          </cell>
          <cell r="M32">
            <v>0</v>
          </cell>
          <cell r="P32">
            <v>4406</v>
          </cell>
          <cell r="V32" t="str">
            <v>Available</v>
          </cell>
        </row>
        <row r="33">
          <cell r="A33" t="str">
            <v>100100190048</v>
          </cell>
          <cell r="B33" t="str">
            <v>Majhaul</v>
          </cell>
          <cell r="C33" t="str">
            <v>Majhaul</v>
          </cell>
          <cell r="D33" t="str">
            <v xml:space="preserve">Gomukh Jagdar                                                                                       </v>
          </cell>
          <cell r="E33">
            <v>10010019</v>
          </cell>
          <cell r="F33" t="str">
            <v>0048</v>
          </cell>
          <cell r="G33">
            <v>13</v>
          </cell>
          <cell r="H33">
            <v>36.36</v>
          </cell>
          <cell r="I33">
            <v>1449.89926682535</v>
          </cell>
          <cell r="J33">
            <v>0</v>
          </cell>
          <cell r="K33">
            <v>0</v>
          </cell>
          <cell r="L33">
            <v>70</v>
          </cell>
          <cell r="M33">
            <v>0</v>
          </cell>
          <cell r="P33">
            <v>1380</v>
          </cell>
          <cell r="V33" t="str">
            <v>Available</v>
          </cell>
        </row>
        <row r="34">
          <cell r="A34" t="str">
            <v>100100190049</v>
          </cell>
          <cell r="B34" t="str">
            <v>Majhaul</v>
          </cell>
          <cell r="C34" t="str">
            <v>Majhaul</v>
          </cell>
          <cell r="D34" t="str">
            <v xml:space="preserve">Gomukh Jagdar                                                                                       </v>
          </cell>
          <cell r="E34">
            <v>10010019</v>
          </cell>
          <cell r="F34" t="str">
            <v>0049</v>
          </cell>
          <cell r="G34">
            <v>11</v>
          </cell>
          <cell r="H34">
            <v>24.240000000000002</v>
          </cell>
          <cell r="I34">
            <v>851.13518274180001</v>
          </cell>
          <cell r="J34">
            <v>0</v>
          </cell>
          <cell r="K34">
            <v>0</v>
          </cell>
          <cell r="L34">
            <v>70</v>
          </cell>
          <cell r="M34">
            <v>0</v>
          </cell>
          <cell r="P34">
            <v>781</v>
          </cell>
          <cell r="V34" t="str">
            <v>Available</v>
          </cell>
        </row>
        <row r="35">
          <cell r="A35" t="str">
            <v>100100190053</v>
          </cell>
          <cell r="B35" t="str">
            <v>Majhaul</v>
          </cell>
          <cell r="C35" t="str">
            <v>Majhaul</v>
          </cell>
          <cell r="D35" t="str">
            <v xml:space="preserve">Gomukh Jagdar                                                                                       </v>
          </cell>
          <cell r="E35">
            <v>10010019</v>
          </cell>
          <cell r="F35" t="str">
            <v>0053</v>
          </cell>
          <cell r="G35">
            <v>14</v>
          </cell>
          <cell r="H35">
            <v>62.45</v>
          </cell>
          <cell r="I35">
            <v>2331.7097744160005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P35">
            <v>2332</v>
          </cell>
          <cell r="V35" t="str">
            <v>Available</v>
          </cell>
        </row>
        <row r="36">
          <cell r="A36" t="str">
            <v>100100380001</v>
          </cell>
          <cell r="B36" t="str">
            <v>Hasanpur</v>
          </cell>
          <cell r="C36" t="str">
            <v>Hasanpur</v>
          </cell>
          <cell r="D36" t="str">
            <v>Gomukh Goriyari</v>
          </cell>
          <cell r="E36">
            <v>10010038</v>
          </cell>
          <cell r="F36" t="str">
            <v>0001</v>
          </cell>
          <cell r="G36">
            <v>1</v>
          </cell>
          <cell r="H36">
            <v>5</v>
          </cell>
          <cell r="I36">
            <v>184.80527999999998</v>
          </cell>
          <cell r="J36">
            <v>0</v>
          </cell>
          <cell r="K36">
            <v>184.80527999999998</v>
          </cell>
          <cell r="L36">
            <v>0</v>
          </cell>
          <cell r="M36">
            <v>0</v>
          </cell>
          <cell r="P36">
            <v>0</v>
          </cell>
          <cell r="V36" t="str">
            <v>Not Available</v>
          </cell>
        </row>
        <row r="37">
          <cell r="A37" t="str">
            <v>100100380002</v>
          </cell>
          <cell r="B37" t="str">
            <v>Hasanpur</v>
          </cell>
          <cell r="C37" t="str">
            <v>Hasanpur</v>
          </cell>
          <cell r="D37" t="str">
            <v>Gomukh Goriyari</v>
          </cell>
          <cell r="E37">
            <v>10010038</v>
          </cell>
          <cell r="F37" t="str">
            <v>0002</v>
          </cell>
          <cell r="G37">
            <v>14</v>
          </cell>
          <cell r="H37">
            <v>280</v>
          </cell>
          <cell r="I37">
            <v>11051.350200000001</v>
          </cell>
          <cell r="J37">
            <v>0</v>
          </cell>
          <cell r="K37">
            <v>0</v>
          </cell>
          <cell r="L37">
            <v>411</v>
          </cell>
          <cell r="M37">
            <v>10640</v>
          </cell>
          <cell r="P37">
            <v>0</v>
          </cell>
          <cell r="V37" t="str">
            <v>Available</v>
          </cell>
        </row>
        <row r="38">
          <cell r="A38" t="str">
            <v>100100380021</v>
          </cell>
          <cell r="B38" t="str">
            <v>Hasanpur</v>
          </cell>
          <cell r="C38" t="str">
            <v>Hasanpur</v>
          </cell>
          <cell r="D38" t="str">
            <v>Gomukh Goriyari</v>
          </cell>
          <cell r="E38">
            <v>10010038</v>
          </cell>
          <cell r="F38" t="str">
            <v>0021</v>
          </cell>
          <cell r="G38">
            <v>14</v>
          </cell>
          <cell r="H38">
            <v>280</v>
          </cell>
          <cell r="I38">
            <v>10974.786768</v>
          </cell>
          <cell r="J38">
            <v>0</v>
          </cell>
          <cell r="K38">
            <v>0</v>
          </cell>
          <cell r="L38">
            <v>0</v>
          </cell>
          <cell r="M38">
            <v>1860</v>
          </cell>
          <cell r="P38">
            <v>9115</v>
          </cell>
          <cell r="V38" t="str">
            <v>Available</v>
          </cell>
        </row>
        <row r="39">
          <cell r="A39" t="str">
            <v>100100380022</v>
          </cell>
          <cell r="B39" t="str">
            <v>Hasanpur</v>
          </cell>
          <cell r="C39" t="str">
            <v>Hasanpur</v>
          </cell>
          <cell r="D39" t="str">
            <v>Gomukh Goriyari</v>
          </cell>
          <cell r="E39">
            <v>10010038</v>
          </cell>
          <cell r="F39" t="str">
            <v>0022</v>
          </cell>
          <cell r="G39">
            <v>14</v>
          </cell>
          <cell r="H39">
            <v>280</v>
          </cell>
          <cell r="I39">
            <v>10974.786768000002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P39">
            <v>10975</v>
          </cell>
          <cell r="V39" t="str">
            <v>Available</v>
          </cell>
        </row>
        <row r="40">
          <cell r="A40" t="str">
            <v>100100380023</v>
          </cell>
          <cell r="B40" t="str">
            <v>Hasanpur</v>
          </cell>
          <cell r="C40" t="str">
            <v>Hasanpur</v>
          </cell>
          <cell r="D40" t="str">
            <v>Gomukh Goriyari</v>
          </cell>
          <cell r="E40">
            <v>10010038</v>
          </cell>
          <cell r="F40" t="str">
            <v>0023</v>
          </cell>
          <cell r="G40">
            <v>12</v>
          </cell>
          <cell r="H40">
            <v>191.20000000000002</v>
          </cell>
          <cell r="I40">
            <v>7345.2836595600011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P40">
            <v>7345</v>
          </cell>
          <cell r="V40" t="str">
            <v>Not Available</v>
          </cell>
        </row>
        <row r="41">
          <cell r="A41" t="str">
            <v>100100380024</v>
          </cell>
          <cell r="B41" t="str">
            <v>Hasanpur</v>
          </cell>
          <cell r="C41" t="str">
            <v>Hasanpur</v>
          </cell>
          <cell r="D41" t="str">
            <v>Gomukh Goriyari</v>
          </cell>
          <cell r="E41">
            <v>10010038</v>
          </cell>
          <cell r="F41" t="str">
            <v>0024</v>
          </cell>
          <cell r="G41">
            <v>9</v>
          </cell>
          <cell r="H41">
            <v>68.599999999999994</v>
          </cell>
          <cell r="I41">
            <v>2683.6747264800006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P41">
            <v>2684</v>
          </cell>
          <cell r="V41" t="str">
            <v>Not Available</v>
          </cell>
        </row>
        <row r="42">
          <cell r="A42" t="str">
            <v>100100380025</v>
          </cell>
          <cell r="B42" t="str">
            <v>Hasanpur</v>
          </cell>
          <cell r="C42" t="str">
            <v>Hasanpur</v>
          </cell>
          <cell r="D42" t="str">
            <v>Gomukh Goriyari</v>
          </cell>
          <cell r="E42">
            <v>10010038</v>
          </cell>
          <cell r="F42" t="str">
            <v>0025</v>
          </cell>
          <cell r="G42">
            <v>4</v>
          </cell>
          <cell r="H42">
            <v>36.700000000000003</v>
          </cell>
          <cell r="I42">
            <v>1389.6176144399999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P42">
            <v>1390</v>
          </cell>
          <cell r="V42" t="str">
            <v>Not Available</v>
          </cell>
        </row>
        <row r="43">
          <cell r="A43" t="str">
            <v>100100380026</v>
          </cell>
          <cell r="B43" t="str">
            <v>Hasanpur</v>
          </cell>
          <cell r="C43" t="str">
            <v>Hasanpur</v>
          </cell>
          <cell r="D43" t="str">
            <v>Gomukh Goriyari</v>
          </cell>
          <cell r="E43">
            <v>10010038</v>
          </cell>
          <cell r="F43" t="str">
            <v>0026</v>
          </cell>
          <cell r="G43">
            <v>1</v>
          </cell>
          <cell r="H43">
            <v>20</v>
          </cell>
          <cell r="I43">
            <v>821.06164799999999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P43">
            <v>821</v>
          </cell>
          <cell r="V43" t="str">
            <v>Not Available</v>
          </cell>
        </row>
        <row r="44">
          <cell r="A44" t="str">
            <v>100100550002</v>
          </cell>
          <cell r="B44" t="str">
            <v>Majhaul</v>
          </cell>
          <cell r="C44" t="str">
            <v>Majhaul</v>
          </cell>
          <cell r="D44" t="str">
            <v xml:space="preserve">GOMUKH BIRPUR PASCHIM                                                                               </v>
          </cell>
          <cell r="E44">
            <v>10010055</v>
          </cell>
          <cell r="F44" t="str">
            <v>0002</v>
          </cell>
          <cell r="G44">
            <v>11</v>
          </cell>
          <cell r="H44">
            <v>107.5</v>
          </cell>
          <cell r="I44">
            <v>4311.5040896400005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P44">
            <v>4312</v>
          </cell>
          <cell r="V44" t="str">
            <v>Available</v>
          </cell>
        </row>
        <row r="45">
          <cell r="A45" t="str">
            <v>100100550003</v>
          </cell>
          <cell r="B45" t="str">
            <v>Majhaul</v>
          </cell>
          <cell r="C45" t="str">
            <v>Majhaul</v>
          </cell>
          <cell r="D45" t="str">
            <v xml:space="preserve">GOMUKH BIRPUR PASCHIM                                                                               </v>
          </cell>
          <cell r="E45">
            <v>10010055</v>
          </cell>
          <cell r="F45" t="str">
            <v>0003</v>
          </cell>
          <cell r="G45">
            <v>3</v>
          </cell>
          <cell r="H45">
            <v>30</v>
          </cell>
          <cell r="I45">
            <v>1185.3931320000002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P45">
            <v>1185</v>
          </cell>
          <cell r="V45" t="str">
            <v>Available</v>
          </cell>
        </row>
        <row r="46">
          <cell r="A46" t="str">
            <v>100100760002</v>
          </cell>
          <cell r="B46" t="str">
            <v>Majhaul</v>
          </cell>
          <cell r="C46" t="str">
            <v>Majhaul</v>
          </cell>
          <cell r="D46" t="str">
            <v>Gomukh Bhith-02</v>
          </cell>
          <cell r="E46">
            <v>10010076</v>
          </cell>
          <cell r="F46" t="str">
            <v>0002</v>
          </cell>
          <cell r="G46">
            <v>3</v>
          </cell>
          <cell r="H46">
            <v>17.510000000000002</v>
          </cell>
          <cell r="I46">
            <v>664.42302630000006</v>
          </cell>
          <cell r="J46">
            <v>0</v>
          </cell>
          <cell r="K46">
            <v>0</v>
          </cell>
          <cell r="L46">
            <v>555</v>
          </cell>
          <cell r="M46">
            <v>0</v>
          </cell>
          <cell r="P46">
            <v>1</v>
          </cell>
          <cell r="V46" t="str">
            <v>Available</v>
          </cell>
        </row>
        <row r="47">
          <cell r="A47" t="str">
            <v>100100760010</v>
          </cell>
          <cell r="B47" t="str">
            <v>Majhaul</v>
          </cell>
          <cell r="C47" t="str">
            <v>Majhaul</v>
          </cell>
          <cell r="D47" t="str">
            <v>Gomukh Bhith-02</v>
          </cell>
          <cell r="E47">
            <v>10010076</v>
          </cell>
          <cell r="F47" t="str">
            <v>0010</v>
          </cell>
          <cell r="G47">
            <v>1</v>
          </cell>
          <cell r="H47">
            <v>50</v>
          </cell>
          <cell r="I47">
            <v>2072.4561000000003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P47">
            <v>2072</v>
          </cell>
          <cell r="V47" t="str">
            <v>Not Available</v>
          </cell>
        </row>
        <row r="48">
          <cell r="A48" t="str">
            <v>100100760011</v>
          </cell>
          <cell r="B48" t="str">
            <v>Majhaul</v>
          </cell>
          <cell r="C48" t="str">
            <v>Majhaul</v>
          </cell>
          <cell r="D48" t="str">
            <v>Gomukh Bhith-02</v>
          </cell>
          <cell r="E48">
            <v>10010076</v>
          </cell>
          <cell r="F48" t="str">
            <v>0011</v>
          </cell>
          <cell r="G48">
            <v>1</v>
          </cell>
          <cell r="H48">
            <v>50</v>
          </cell>
          <cell r="I48">
            <v>2072.4561000000003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P48">
            <v>1572</v>
          </cell>
          <cell r="V48" t="str">
            <v>Not Available</v>
          </cell>
        </row>
        <row r="49">
          <cell r="A49" t="str">
            <v>100100760012</v>
          </cell>
          <cell r="B49" t="str">
            <v>Majhaul</v>
          </cell>
          <cell r="C49" t="str">
            <v>Majhaul</v>
          </cell>
          <cell r="D49" t="str">
            <v>Gomukh Bhith-02</v>
          </cell>
          <cell r="E49">
            <v>10010076</v>
          </cell>
          <cell r="F49" t="str">
            <v>0012</v>
          </cell>
          <cell r="G49">
            <v>1</v>
          </cell>
          <cell r="H49">
            <v>50</v>
          </cell>
          <cell r="I49">
            <v>2072.4561000000003</v>
          </cell>
          <cell r="J49">
            <v>0</v>
          </cell>
          <cell r="K49">
            <v>0</v>
          </cell>
          <cell r="L49">
            <v>1</v>
          </cell>
          <cell r="M49">
            <v>0</v>
          </cell>
          <cell r="P49">
            <v>1655</v>
          </cell>
          <cell r="V49" t="str">
            <v>Not Available</v>
          </cell>
        </row>
        <row r="50">
          <cell r="A50" t="str">
            <v>100100820002</v>
          </cell>
          <cell r="B50" t="str">
            <v>Majhaul</v>
          </cell>
          <cell r="C50" t="str">
            <v>Majhaul</v>
          </cell>
          <cell r="D50" t="str">
            <v>Gomukh Sharmatola Sahuri</v>
          </cell>
          <cell r="E50">
            <v>10010082</v>
          </cell>
          <cell r="F50" t="str">
            <v>0002</v>
          </cell>
          <cell r="G50">
            <v>1</v>
          </cell>
          <cell r="H50">
            <v>0.44</v>
          </cell>
          <cell r="I50">
            <v>16.030550448000003</v>
          </cell>
          <cell r="J50">
            <v>0</v>
          </cell>
          <cell r="K50">
            <v>0</v>
          </cell>
          <cell r="L50">
            <v>16</v>
          </cell>
          <cell r="M50">
            <v>0</v>
          </cell>
          <cell r="P50">
            <v>0</v>
          </cell>
          <cell r="V50" t="str">
            <v>Available</v>
          </cell>
        </row>
        <row r="51">
          <cell r="A51" t="str">
            <v>100100820008</v>
          </cell>
          <cell r="B51" t="str">
            <v>Majhaul</v>
          </cell>
          <cell r="C51" t="str">
            <v>Majhaul</v>
          </cell>
          <cell r="D51" t="str">
            <v>Gomukh Sharmatola Sahuri</v>
          </cell>
          <cell r="E51">
            <v>10010082</v>
          </cell>
          <cell r="F51" t="str">
            <v>0008</v>
          </cell>
          <cell r="G51">
            <v>13</v>
          </cell>
          <cell r="H51">
            <v>292.15999999999997</v>
          </cell>
          <cell r="I51">
            <v>11415.7626118272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P51">
            <v>11416</v>
          </cell>
          <cell r="V51" t="str">
            <v>Available</v>
          </cell>
        </row>
        <row r="52">
          <cell r="A52" t="str">
            <v>100100820010</v>
          </cell>
          <cell r="B52" t="str">
            <v>Majhaul</v>
          </cell>
          <cell r="C52" t="str">
            <v>Majhaul</v>
          </cell>
          <cell r="D52" t="str">
            <v>Gomukh Sharmatola Sahuri</v>
          </cell>
          <cell r="E52">
            <v>10010082</v>
          </cell>
          <cell r="F52" t="str">
            <v>0010</v>
          </cell>
          <cell r="G52">
            <v>14</v>
          </cell>
          <cell r="H52">
            <v>89.7</v>
          </cell>
          <cell r="I52">
            <v>3523.4634832452002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P52">
            <v>3523</v>
          </cell>
          <cell r="V52" t="str">
            <v>Available</v>
          </cell>
        </row>
        <row r="53">
          <cell r="A53" t="str">
            <v>100100820012</v>
          </cell>
          <cell r="B53" t="str">
            <v>Majhaul</v>
          </cell>
          <cell r="C53" t="str">
            <v>Majhaul</v>
          </cell>
          <cell r="D53" t="str">
            <v>Gomukh Sharmatola Sahuri</v>
          </cell>
          <cell r="E53">
            <v>10010082</v>
          </cell>
          <cell r="F53" t="str">
            <v>0012</v>
          </cell>
          <cell r="G53">
            <v>13</v>
          </cell>
          <cell r="H53">
            <v>280.2</v>
          </cell>
          <cell r="I53">
            <v>10454.528949480002</v>
          </cell>
          <cell r="J53">
            <v>0</v>
          </cell>
          <cell r="K53">
            <v>0</v>
          </cell>
          <cell r="L53">
            <v>519</v>
          </cell>
          <cell r="M53">
            <v>0</v>
          </cell>
          <cell r="P53">
            <v>9936</v>
          </cell>
          <cell r="V53" t="str">
            <v>Available</v>
          </cell>
        </row>
        <row r="54">
          <cell r="A54" t="str">
            <v>100100820016</v>
          </cell>
          <cell r="B54" t="str">
            <v>Majhaul</v>
          </cell>
          <cell r="C54" t="str">
            <v>Majhaul</v>
          </cell>
          <cell r="D54" t="str">
            <v>Gomukh Sharmatola Sahuri</v>
          </cell>
          <cell r="E54">
            <v>10010082</v>
          </cell>
          <cell r="F54" t="str">
            <v>0016</v>
          </cell>
          <cell r="G54">
            <v>13</v>
          </cell>
          <cell r="H54">
            <v>311.14</v>
          </cell>
          <cell r="I54">
            <v>11505.165897456001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P54">
            <v>11505</v>
          </cell>
          <cell r="V54" t="str">
            <v>Available</v>
          </cell>
        </row>
        <row r="55">
          <cell r="A55" t="str">
            <v>100100820021</v>
          </cell>
          <cell r="B55" t="str">
            <v>Majhaul</v>
          </cell>
          <cell r="C55" t="str">
            <v>Majhaul</v>
          </cell>
          <cell r="D55" t="str">
            <v>Gomukh Sharmatola Sahuri</v>
          </cell>
          <cell r="E55">
            <v>10010082</v>
          </cell>
          <cell r="F55" t="str">
            <v>0021</v>
          </cell>
          <cell r="G55">
            <v>9</v>
          </cell>
          <cell r="H55">
            <v>41.96</v>
          </cell>
          <cell r="I55">
            <v>1817.9181846097999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P55">
            <v>1818</v>
          </cell>
          <cell r="V55" t="str">
            <v>Not Available</v>
          </cell>
        </row>
        <row r="56">
          <cell r="A56" t="str">
            <v>100100820024</v>
          </cell>
          <cell r="B56" t="str">
            <v>Majhaul</v>
          </cell>
          <cell r="C56" t="str">
            <v>Majhaul</v>
          </cell>
          <cell r="D56" t="str">
            <v>Gomukh Sharmatola Sahuri</v>
          </cell>
          <cell r="E56">
            <v>10010082</v>
          </cell>
          <cell r="F56" t="str">
            <v>0024</v>
          </cell>
          <cell r="G56">
            <v>8</v>
          </cell>
          <cell r="H56">
            <v>9.3999999999999986</v>
          </cell>
          <cell r="I56">
            <v>484.64273620600011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P56">
            <v>485</v>
          </cell>
          <cell r="V56" t="str">
            <v>Available</v>
          </cell>
        </row>
        <row r="57">
          <cell r="A57" t="str">
            <v>100100820025</v>
          </cell>
          <cell r="B57" t="str">
            <v>Majhaul</v>
          </cell>
          <cell r="C57" t="str">
            <v>Majhaul</v>
          </cell>
          <cell r="D57" t="str">
            <v>Gomukh Sharmatola Sahuri</v>
          </cell>
          <cell r="E57">
            <v>10010082</v>
          </cell>
          <cell r="F57" t="str">
            <v>0025</v>
          </cell>
          <cell r="G57">
            <v>3</v>
          </cell>
          <cell r="H57">
            <v>5.98</v>
          </cell>
          <cell r="I57">
            <v>291.26547625320006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P57">
            <v>291</v>
          </cell>
          <cell r="V57" t="str">
            <v>Available</v>
          </cell>
        </row>
        <row r="58">
          <cell r="A58" t="str">
            <v>100100820029</v>
          </cell>
          <cell r="B58" t="str">
            <v>Majhaul</v>
          </cell>
          <cell r="C58" t="str">
            <v>Majhaul</v>
          </cell>
          <cell r="D58" t="str">
            <v>Gomukh Sharmatola Sahuri</v>
          </cell>
          <cell r="E58">
            <v>10010082</v>
          </cell>
          <cell r="F58" t="str">
            <v>0029</v>
          </cell>
          <cell r="G58">
            <v>3</v>
          </cell>
          <cell r="H58">
            <v>5.32</v>
          </cell>
          <cell r="I58">
            <v>244.26342352920003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P58">
            <v>244</v>
          </cell>
          <cell r="V58" t="str">
            <v>Available</v>
          </cell>
        </row>
        <row r="59">
          <cell r="A59" t="str">
            <v>100100820030</v>
          </cell>
          <cell r="B59" t="str">
            <v>Majhaul</v>
          </cell>
          <cell r="C59" t="str">
            <v>Majhaul</v>
          </cell>
          <cell r="D59" t="str">
            <v>Gomukh Sharmatola Sahuri</v>
          </cell>
          <cell r="E59">
            <v>10010082</v>
          </cell>
          <cell r="F59" t="str">
            <v>0030</v>
          </cell>
          <cell r="G59">
            <v>7</v>
          </cell>
          <cell r="H59">
            <v>20.54</v>
          </cell>
          <cell r="I59">
            <v>794.7999409680001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P59">
            <v>795</v>
          </cell>
          <cell r="V59" t="str">
            <v>Available</v>
          </cell>
        </row>
        <row r="60">
          <cell r="A60" t="str">
            <v>100100860001</v>
          </cell>
          <cell r="B60" t="str">
            <v>Hasanpur</v>
          </cell>
          <cell r="C60" t="str">
            <v>Hasanpur</v>
          </cell>
          <cell r="D60" t="str">
            <v>Gomukh Garhi Bisanpur</v>
          </cell>
          <cell r="E60">
            <v>10010086</v>
          </cell>
          <cell r="F60" t="str">
            <v>0001</v>
          </cell>
          <cell r="G60">
            <v>14</v>
          </cell>
          <cell r="H60">
            <v>2.9199999999999995</v>
          </cell>
          <cell r="I60">
            <v>126.86744996722999</v>
          </cell>
          <cell r="J60">
            <v>0</v>
          </cell>
          <cell r="K60">
            <v>126.86744996722999</v>
          </cell>
          <cell r="L60">
            <v>0</v>
          </cell>
          <cell r="M60">
            <v>0</v>
          </cell>
          <cell r="P60">
            <v>0</v>
          </cell>
          <cell r="V60" t="str">
            <v>Not Available</v>
          </cell>
        </row>
        <row r="61">
          <cell r="A61" t="str">
            <v>100100860003</v>
          </cell>
          <cell r="B61" t="str">
            <v>Hasanpur</v>
          </cell>
          <cell r="C61" t="str">
            <v>Hasanpur</v>
          </cell>
          <cell r="D61" t="str">
            <v>Gomukh Garhi Bisanpur</v>
          </cell>
          <cell r="E61">
            <v>10010086</v>
          </cell>
          <cell r="F61" t="str">
            <v>0003</v>
          </cell>
          <cell r="G61">
            <v>14</v>
          </cell>
          <cell r="H61">
            <v>66.569999999999993</v>
          </cell>
          <cell r="I61">
            <v>2648.7880754980288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P61">
            <v>2649</v>
          </cell>
          <cell r="V61" t="str">
            <v>Available</v>
          </cell>
        </row>
        <row r="62">
          <cell r="A62" t="str">
            <v>100100860005</v>
          </cell>
          <cell r="B62" t="str">
            <v>Hasanpur</v>
          </cell>
          <cell r="C62" t="str">
            <v>Hasanpur</v>
          </cell>
          <cell r="D62" t="str">
            <v>Gomukh Garhi Bisanpur</v>
          </cell>
          <cell r="E62">
            <v>10010086</v>
          </cell>
          <cell r="F62" t="str">
            <v>0005</v>
          </cell>
          <cell r="G62">
            <v>7</v>
          </cell>
          <cell r="H62">
            <v>9.08</v>
          </cell>
          <cell r="I62">
            <v>691.47457122576009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P62">
            <v>691</v>
          </cell>
          <cell r="V62" t="str">
            <v>Available</v>
          </cell>
        </row>
        <row r="63">
          <cell r="A63" t="str">
            <v>100100860010</v>
          </cell>
          <cell r="B63" t="str">
            <v>Hasanpur</v>
          </cell>
          <cell r="C63" t="str">
            <v>Hasanpur</v>
          </cell>
          <cell r="D63" t="str">
            <v>Gomukh Garhi Bisanpur</v>
          </cell>
          <cell r="E63">
            <v>10010086</v>
          </cell>
          <cell r="F63" t="str">
            <v>0010</v>
          </cell>
          <cell r="G63">
            <v>6</v>
          </cell>
          <cell r="H63">
            <v>28.66</v>
          </cell>
          <cell r="I63">
            <v>1348.7424469290372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P63">
            <v>1349</v>
          </cell>
          <cell r="V63" t="str">
            <v>Available</v>
          </cell>
        </row>
        <row r="64">
          <cell r="A64" t="str">
            <v>100100860011</v>
          </cell>
          <cell r="B64" t="str">
            <v>Hasanpur</v>
          </cell>
          <cell r="C64" t="str">
            <v>Hasanpur</v>
          </cell>
          <cell r="D64" t="str">
            <v>Gomukh Garhi Bisanpur</v>
          </cell>
          <cell r="E64">
            <v>10010086</v>
          </cell>
          <cell r="F64" t="str">
            <v>0011</v>
          </cell>
          <cell r="G64">
            <v>9</v>
          </cell>
          <cell r="H64">
            <v>25.770000000000003</v>
          </cell>
          <cell r="I64">
            <v>930.16279903140003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P64">
            <v>930</v>
          </cell>
          <cell r="V64" t="str">
            <v>Available</v>
          </cell>
        </row>
        <row r="65">
          <cell r="A65" t="str">
            <v>100100860018</v>
          </cell>
          <cell r="B65" t="str">
            <v>Hasanpur</v>
          </cell>
          <cell r="C65" t="str">
            <v>Hasanpur</v>
          </cell>
          <cell r="D65" t="str">
            <v>Gomukh Garhi Bisanpur</v>
          </cell>
          <cell r="E65">
            <v>10010086</v>
          </cell>
          <cell r="F65" t="str">
            <v>0018</v>
          </cell>
          <cell r="G65">
            <v>4</v>
          </cell>
          <cell r="H65">
            <v>6.42</v>
          </cell>
          <cell r="I65">
            <v>255.20917577760002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P65">
            <v>255</v>
          </cell>
          <cell r="V65" t="str">
            <v>Available</v>
          </cell>
        </row>
        <row r="66">
          <cell r="A66" t="str">
            <v>100100860019</v>
          </cell>
          <cell r="B66" t="str">
            <v>Hasanpur</v>
          </cell>
          <cell r="C66" t="str">
            <v>Hasanpur</v>
          </cell>
          <cell r="D66" t="str">
            <v>Gomukh Garhi Bisanpur</v>
          </cell>
          <cell r="E66">
            <v>10010086</v>
          </cell>
          <cell r="F66" t="str">
            <v>0019</v>
          </cell>
          <cell r="G66">
            <v>5</v>
          </cell>
          <cell r="H66">
            <v>5.31</v>
          </cell>
          <cell r="I66">
            <v>176.10404545800006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P66">
            <v>176</v>
          </cell>
          <cell r="V66" t="str">
            <v>Available</v>
          </cell>
        </row>
        <row r="67">
          <cell r="A67" t="str">
            <v>100100860020</v>
          </cell>
          <cell r="B67" t="str">
            <v>Hasanpur</v>
          </cell>
          <cell r="C67" t="str">
            <v>Hasanpur</v>
          </cell>
          <cell r="D67" t="str">
            <v>Gomukh Garhi Bisanpur</v>
          </cell>
          <cell r="E67">
            <v>10010086</v>
          </cell>
          <cell r="F67" t="str">
            <v>0020</v>
          </cell>
          <cell r="G67">
            <v>11</v>
          </cell>
          <cell r="H67">
            <v>26.97</v>
          </cell>
          <cell r="I67">
            <v>1243.7057690216104</v>
          </cell>
          <cell r="J67">
            <v>0</v>
          </cell>
          <cell r="K67">
            <v>0</v>
          </cell>
          <cell r="L67">
            <v>719</v>
          </cell>
          <cell r="M67">
            <v>0</v>
          </cell>
          <cell r="P67">
            <v>525</v>
          </cell>
          <cell r="V67" t="str">
            <v>Available</v>
          </cell>
        </row>
        <row r="68">
          <cell r="A68" t="str">
            <v>100100890001</v>
          </cell>
          <cell r="B68" t="str">
            <v>Hasanpur</v>
          </cell>
          <cell r="C68" t="str">
            <v>Hasanpur</v>
          </cell>
          <cell r="D68" t="str">
            <v>Gomukh Barkurwa</v>
          </cell>
          <cell r="E68">
            <v>10010089</v>
          </cell>
          <cell r="F68" t="str">
            <v>0001</v>
          </cell>
          <cell r="G68">
            <v>9</v>
          </cell>
          <cell r="H68">
            <v>6.8999999999999995</v>
          </cell>
          <cell r="I68">
            <v>272.05421760000002</v>
          </cell>
          <cell r="J68">
            <v>0</v>
          </cell>
          <cell r="K68">
            <v>272.05421760000002</v>
          </cell>
          <cell r="L68">
            <v>0</v>
          </cell>
          <cell r="M68">
            <v>0</v>
          </cell>
          <cell r="P68">
            <v>0</v>
          </cell>
          <cell r="V68" t="str">
            <v>Not Available</v>
          </cell>
        </row>
        <row r="69">
          <cell r="A69" t="str">
            <v>100100890002</v>
          </cell>
          <cell r="B69" t="str">
            <v>Hasanpur</v>
          </cell>
          <cell r="C69" t="str">
            <v>Hasanpur</v>
          </cell>
          <cell r="D69" t="str">
            <v>Gomukh Barkurwa</v>
          </cell>
          <cell r="E69">
            <v>10010089</v>
          </cell>
          <cell r="F69" t="str">
            <v>0002</v>
          </cell>
          <cell r="G69">
            <v>14</v>
          </cell>
          <cell r="H69">
            <v>161.38</v>
          </cell>
          <cell r="I69">
            <v>6031.1357979840004</v>
          </cell>
          <cell r="J69">
            <v>0</v>
          </cell>
          <cell r="K69">
            <v>0</v>
          </cell>
          <cell r="L69">
            <v>736</v>
          </cell>
          <cell r="M69">
            <v>0</v>
          </cell>
          <cell r="P69">
            <v>5295</v>
          </cell>
          <cell r="V69" t="str">
            <v>Available</v>
          </cell>
        </row>
        <row r="70">
          <cell r="A70" t="str">
            <v>100100890006</v>
          </cell>
          <cell r="B70" t="str">
            <v>Hasanpur</v>
          </cell>
          <cell r="C70" t="str">
            <v>Hasanpur</v>
          </cell>
          <cell r="D70" t="str">
            <v>Gomukh Barkurwa</v>
          </cell>
          <cell r="E70">
            <v>10010089</v>
          </cell>
          <cell r="F70" t="str">
            <v>0006</v>
          </cell>
          <cell r="G70">
            <v>1</v>
          </cell>
          <cell r="H70">
            <v>2</v>
          </cell>
          <cell r="I70">
            <v>86.06616480000001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P70">
            <v>86</v>
          </cell>
          <cell r="V70" t="str">
            <v>Not Available</v>
          </cell>
        </row>
        <row r="71">
          <cell r="A71" t="str">
            <v>100100890007</v>
          </cell>
          <cell r="B71" t="str">
            <v>Hasanpur</v>
          </cell>
          <cell r="C71" t="str">
            <v>Hasanpur</v>
          </cell>
          <cell r="D71" t="str">
            <v>Gomukh Barkurwa</v>
          </cell>
          <cell r="E71">
            <v>10010089</v>
          </cell>
          <cell r="F71" t="str">
            <v>0007</v>
          </cell>
          <cell r="G71">
            <v>4</v>
          </cell>
          <cell r="H71">
            <v>11.76</v>
          </cell>
          <cell r="I71">
            <v>376.46705250000002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P71">
            <v>376</v>
          </cell>
          <cell r="V71" t="str">
            <v>Not Available</v>
          </cell>
        </row>
        <row r="72">
          <cell r="A72" t="str">
            <v>100100890008</v>
          </cell>
          <cell r="B72" t="str">
            <v>Hasanpur</v>
          </cell>
          <cell r="C72" t="str">
            <v>Hasanpur</v>
          </cell>
          <cell r="D72" t="str">
            <v>Gomukh Barkurwa</v>
          </cell>
          <cell r="E72">
            <v>10010089</v>
          </cell>
          <cell r="F72" t="str">
            <v>0008</v>
          </cell>
          <cell r="G72">
            <v>4</v>
          </cell>
          <cell r="H72">
            <v>5.660000000000001</v>
          </cell>
          <cell r="I72">
            <v>267.00803634191806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P72">
            <v>267</v>
          </cell>
          <cell r="V72" t="str">
            <v>Not Available</v>
          </cell>
        </row>
        <row r="73">
          <cell r="A73" t="str">
            <v>100100890010</v>
          </cell>
          <cell r="B73" t="str">
            <v>Hasanpur</v>
          </cell>
          <cell r="C73" t="str">
            <v>Hasanpur</v>
          </cell>
          <cell r="D73" t="str">
            <v>Gomukh Barkurwa</v>
          </cell>
          <cell r="E73">
            <v>10010089</v>
          </cell>
          <cell r="F73" t="str">
            <v>0010</v>
          </cell>
          <cell r="G73">
            <v>4</v>
          </cell>
          <cell r="H73">
            <v>15.1</v>
          </cell>
          <cell r="I73">
            <v>513.37194084000009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P73">
            <v>513</v>
          </cell>
          <cell r="V73" t="str">
            <v>Not Available</v>
          </cell>
        </row>
        <row r="74">
          <cell r="A74" t="str">
            <v>100100890011</v>
          </cell>
          <cell r="B74" t="str">
            <v>Hasanpur</v>
          </cell>
          <cell r="C74" t="str">
            <v>Hasanpur</v>
          </cell>
          <cell r="D74" t="str">
            <v>Gomukh Barkurwa</v>
          </cell>
          <cell r="E74">
            <v>10010089</v>
          </cell>
          <cell r="F74" t="str">
            <v>0011</v>
          </cell>
          <cell r="G74">
            <v>5</v>
          </cell>
          <cell r="H74">
            <v>23.700000000000003</v>
          </cell>
          <cell r="I74">
            <v>800.72622919080015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P74">
            <v>801</v>
          </cell>
          <cell r="V74" t="str">
            <v>Not Available</v>
          </cell>
        </row>
        <row r="75">
          <cell r="A75" t="str">
            <v>100100890013</v>
          </cell>
          <cell r="B75" t="str">
            <v>Hasanpur</v>
          </cell>
          <cell r="C75" t="str">
            <v>Hasanpur</v>
          </cell>
          <cell r="D75" t="str">
            <v>Gomukh Barkurwa</v>
          </cell>
          <cell r="E75">
            <v>10010089</v>
          </cell>
          <cell r="F75" t="str">
            <v>0013</v>
          </cell>
          <cell r="G75">
            <v>2</v>
          </cell>
          <cell r="H75">
            <v>4.6999999999999993</v>
          </cell>
          <cell r="I75">
            <v>160.596257184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P75">
            <v>161</v>
          </cell>
          <cell r="V75" t="str">
            <v>Not Available</v>
          </cell>
        </row>
        <row r="76">
          <cell r="A76" t="str">
            <v>100100890015</v>
          </cell>
          <cell r="B76" t="str">
            <v>Hasanpur</v>
          </cell>
          <cell r="C76" t="str">
            <v>Hasanpur</v>
          </cell>
          <cell r="D76" t="str">
            <v>Gomukh Barkurwa</v>
          </cell>
          <cell r="E76">
            <v>10010089</v>
          </cell>
          <cell r="F76" t="str">
            <v>0015</v>
          </cell>
          <cell r="G76">
            <v>7</v>
          </cell>
          <cell r="H76">
            <v>10.360000000000001</v>
          </cell>
          <cell r="I76">
            <v>629.32056428780004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P76">
            <v>629</v>
          </cell>
          <cell r="V76" t="str">
            <v>Not Available</v>
          </cell>
        </row>
        <row r="77">
          <cell r="A77" t="str">
            <v>100100890016</v>
          </cell>
          <cell r="B77" t="str">
            <v>Hasanpur</v>
          </cell>
          <cell r="C77" t="str">
            <v>Hasanpur</v>
          </cell>
          <cell r="D77" t="str">
            <v>Gomukh Barkurwa</v>
          </cell>
          <cell r="E77">
            <v>10010089</v>
          </cell>
          <cell r="F77" t="str">
            <v>0016</v>
          </cell>
          <cell r="G77">
            <v>8</v>
          </cell>
          <cell r="H77">
            <v>35.58</v>
          </cell>
          <cell r="I77">
            <v>1376.7724072080005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P77">
            <v>1377</v>
          </cell>
          <cell r="V77" t="str">
            <v>Not Available</v>
          </cell>
        </row>
        <row r="78">
          <cell r="A78" t="str">
            <v>100100890018</v>
          </cell>
          <cell r="B78" t="str">
            <v>Hasanpur</v>
          </cell>
          <cell r="C78" t="str">
            <v>Hasanpur</v>
          </cell>
          <cell r="D78" t="str">
            <v>Gomukh Barkurwa</v>
          </cell>
          <cell r="E78">
            <v>10010089</v>
          </cell>
          <cell r="F78" t="str">
            <v>0018</v>
          </cell>
          <cell r="G78">
            <v>7</v>
          </cell>
          <cell r="H78">
            <v>15.06</v>
          </cell>
          <cell r="I78">
            <v>715.88246605970005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P78">
            <v>716</v>
          </cell>
          <cell r="V78" t="str">
            <v>Not Available</v>
          </cell>
        </row>
        <row r="79">
          <cell r="A79" t="str">
            <v>100100890021</v>
          </cell>
          <cell r="B79" t="str">
            <v>Hasanpur</v>
          </cell>
          <cell r="C79" t="str">
            <v>Hasanpur</v>
          </cell>
          <cell r="D79" t="str">
            <v>Gomukh Barkurwa</v>
          </cell>
          <cell r="E79">
            <v>10010089</v>
          </cell>
          <cell r="F79" t="str">
            <v>0021</v>
          </cell>
          <cell r="G79">
            <v>8</v>
          </cell>
          <cell r="H79">
            <v>48.22</v>
          </cell>
          <cell r="I79">
            <v>1743.0663008880001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P79">
            <v>1743</v>
          </cell>
          <cell r="V79" t="str">
            <v>Not Available</v>
          </cell>
        </row>
        <row r="80">
          <cell r="A80" t="str">
            <v>100100890022</v>
          </cell>
          <cell r="B80" t="str">
            <v>Hasanpur</v>
          </cell>
          <cell r="C80" t="str">
            <v>Hasanpur</v>
          </cell>
          <cell r="D80" t="str">
            <v>Gomukh Barkurwa</v>
          </cell>
          <cell r="E80">
            <v>10010089</v>
          </cell>
          <cell r="F80" t="str">
            <v>0022</v>
          </cell>
          <cell r="G80">
            <v>4</v>
          </cell>
          <cell r="H80">
            <v>30.7</v>
          </cell>
          <cell r="I80">
            <v>1160.9807679360001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P80">
            <v>1161</v>
          </cell>
          <cell r="V80" t="str">
            <v>Not Available</v>
          </cell>
        </row>
        <row r="81">
          <cell r="A81" t="str">
            <v>100100890024</v>
          </cell>
          <cell r="B81" t="str">
            <v>Hasanpur</v>
          </cell>
          <cell r="C81" t="str">
            <v>Hasanpur</v>
          </cell>
          <cell r="D81" t="str">
            <v>Gomukh Barkurwa</v>
          </cell>
          <cell r="E81">
            <v>10010089</v>
          </cell>
          <cell r="F81" t="str">
            <v>0024</v>
          </cell>
          <cell r="G81">
            <v>6</v>
          </cell>
          <cell r="H81">
            <v>12.16</v>
          </cell>
          <cell r="I81">
            <v>500.03462678400007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P81">
            <v>500</v>
          </cell>
          <cell r="V81" t="str">
            <v>Not Available</v>
          </cell>
        </row>
        <row r="82">
          <cell r="A82" t="str">
            <v>100100890028</v>
          </cell>
          <cell r="B82" t="str">
            <v>Hasanpur</v>
          </cell>
          <cell r="C82" t="str">
            <v>Hasanpur</v>
          </cell>
          <cell r="D82" t="str">
            <v>Gomukh Barkurwa</v>
          </cell>
          <cell r="E82">
            <v>10010089</v>
          </cell>
          <cell r="F82" t="str">
            <v>0028</v>
          </cell>
          <cell r="G82">
            <v>5</v>
          </cell>
          <cell r="H82">
            <v>10.16</v>
          </cell>
          <cell r="I82">
            <v>463.28609707218004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P82">
            <v>463</v>
          </cell>
          <cell r="V82" t="str">
            <v>Not Available</v>
          </cell>
        </row>
        <row r="83">
          <cell r="A83" t="str">
            <v>100100890034</v>
          </cell>
          <cell r="B83" t="str">
            <v>Hasanpur</v>
          </cell>
          <cell r="C83" t="str">
            <v>Hasanpur</v>
          </cell>
          <cell r="D83" t="str">
            <v>Gomukh Barkurwa</v>
          </cell>
          <cell r="E83">
            <v>10010089</v>
          </cell>
          <cell r="F83" t="str">
            <v>0034</v>
          </cell>
          <cell r="G83">
            <v>1</v>
          </cell>
          <cell r="H83">
            <v>11.82</v>
          </cell>
          <cell r="I83">
            <v>464.96446999200015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P83">
            <v>465</v>
          </cell>
          <cell r="V83" t="str">
            <v>Available</v>
          </cell>
        </row>
        <row r="84">
          <cell r="A84" t="str">
            <v>100100950001</v>
          </cell>
          <cell r="B84" t="str">
            <v>Hasanpur</v>
          </cell>
          <cell r="C84" t="str">
            <v>Hasanpur</v>
          </cell>
          <cell r="D84" t="str">
            <v>Gomukh Goha-02</v>
          </cell>
          <cell r="E84">
            <v>10010095</v>
          </cell>
          <cell r="F84" t="str">
            <v>0001</v>
          </cell>
          <cell r="G84">
            <v>1</v>
          </cell>
          <cell r="H84">
            <v>5</v>
          </cell>
          <cell r="I84">
            <v>193.38560999999999</v>
          </cell>
          <cell r="J84">
            <v>0</v>
          </cell>
          <cell r="K84">
            <v>193.38560999999999</v>
          </cell>
          <cell r="L84">
            <v>0</v>
          </cell>
          <cell r="M84">
            <v>0</v>
          </cell>
          <cell r="P84">
            <v>0</v>
          </cell>
          <cell r="V84" t="str">
            <v>Not Available</v>
          </cell>
        </row>
        <row r="85">
          <cell r="A85" t="str">
            <v>100100950002</v>
          </cell>
          <cell r="B85" t="str">
            <v>Hasanpur</v>
          </cell>
          <cell r="C85" t="str">
            <v>Hasanpur</v>
          </cell>
          <cell r="D85" t="str">
            <v>Gomukh Goha-02</v>
          </cell>
          <cell r="E85">
            <v>10010095</v>
          </cell>
          <cell r="F85" t="str">
            <v>0002</v>
          </cell>
          <cell r="G85">
            <v>14</v>
          </cell>
          <cell r="H85">
            <v>265.8</v>
          </cell>
          <cell r="I85">
            <v>10360.3406397298</v>
          </cell>
          <cell r="J85">
            <v>0</v>
          </cell>
          <cell r="K85">
            <v>0</v>
          </cell>
          <cell r="L85">
            <v>171</v>
          </cell>
          <cell r="M85">
            <v>0</v>
          </cell>
          <cell r="P85">
            <v>10189</v>
          </cell>
          <cell r="V85" t="str">
            <v>Available</v>
          </cell>
        </row>
        <row r="86">
          <cell r="A86" t="str">
            <v>100100950003</v>
          </cell>
          <cell r="B86" t="str">
            <v>Hasanpur</v>
          </cell>
          <cell r="C86" t="str">
            <v>Hasanpur</v>
          </cell>
          <cell r="D86" t="str">
            <v>Gomukh Goha-02</v>
          </cell>
          <cell r="E86">
            <v>10010095</v>
          </cell>
          <cell r="F86" t="str">
            <v>0003</v>
          </cell>
          <cell r="G86">
            <v>13</v>
          </cell>
          <cell r="H86">
            <v>120.9</v>
          </cell>
          <cell r="I86">
            <v>4669.88596272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P86">
            <v>4670</v>
          </cell>
          <cell r="V86" t="str">
            <v>Available</v>
          </cell>
        </row>
        <row r="87">
          <cell r="A87" t="str">
            <v>100100970001</v>
          </cell>
          <cell r="B87" t="str">
            <v>Majhaul</v>
          </cell>
          <cell r="C87" t="str">
            <v>Majhaul</v>
          </cell>
          <cell r="D87" t="str">
            <v>Gomukh Cheria Bariarpur</v>
          </cell>
          <cell r="E87">
            <v>10010097</v>
          </cell>
          <cell r="F87" t="str">
            <v>0001</v>
          </cell>
          <cell r="G87">
            <v>14</v>
          </cell>
          <cell r="H87">
            <v>1.6200000000000003</v>
          </cell>
          <cell r="I87">
            <v>58.057293987000008</v>
          </cell>
          <cell r="J87">
            <v>0</v>
          </cell>
          <cell r="K87">
            <v>58.057293987000008</v>
          </cell>
          <cell r="L87">
            <v>0</v>
          </cell>
          <cell r="M87">
            <v>0</v>
          </cell>
          <cell r="P87">
            <v>0</v>
          </cell>
          <cell r="V87" t="str">
            <v>Not Available</v>
          </cell>
        </row>
        <row r="88">
          <cell r="A88" t="str">
            <v>100100970002</v>
          </cell>
          <cell r="B88" t="str">
            <v>Majhaul</v>
          </cell>
          <cell r="C88" t="str">
            <v>Majhaul</v>
          </cell>
          <cell r="D88" t="str">
            <v>Gomukh Cheria Bariarpur</v>
          </cell>
          <cell r="E88">
            <v>10010097</v>
          </cell>
          <cell r="F88" t="str">
            <v>0002</v>
          </cell>
          <cell r="G88">
            <v>14</v>
          </cell>
          <cell r="H88">
            <v>1107.1099999999999</v>
          </cell>
          <cell r="I88">
            <v>39530.765968056003</v>
          </cell>
          <cell r="J88">
            <v>0</v>
          </cell>
          <cell r="K88">
            <v>0</v>
          </cell>
          <cell r="L88">
            <v>5203</v>
          </cell>
          <cell r="M88">
            <v>0</v>
          </cell>
          <cell r="P88">
            <v>34328</v>
          </cell>
          <cell r="V88" t="str">
            <v>Available</v>
          </cell>
        </row>
        <row r="89">
          <cell r="A89" t="str">
            <v>100100970003</v>
          </cell>
          <cell r="B89" t="str">
            <v>Majhaul</v>
          </cell>
          <cell r="C89" t="str">
            <v>Majhaul</v>
          </cell>
          <cell r="D89" t="str">
            <v>Gomukh Cheria Bariarpur</v>
          </cell>
          <cell r="E89">
            <v>10010097</v>
          </cell>
          <cell r="F89" t="str">
            <v>0003</v>
          </cell>
          <cell r="G89">
            <v>3</v>
          </cell>
          <cell r="H89">
            <v>4.88</v>
          </cell>
          <cell r="I89">
            <v>219.91810186935004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P89">
            <v>220</v>
          </cell>
          <cell r="V89" t="str">
            <v>Available</v>
          </cell>
        </row>
        <row r="90">
          <cell r="A90" t="str">
            <v>100100970005</v>
          </cell>
          <cell r="B90" t="str">
            <v>Majhaul</v>
          </cell>
          <cell r="C90" t="str">
            <v>Majhaul</v>
          </cell>
          <cell r="D90" t="str">
            <v>Gomukh Cheria Bariarpur</v>
          </cell>
          <cell r="E90">
            <v>10010097</v>
          </cell>
          <cell r="F90" t="str">
            <v>0005</v>
          </cell>
          <cell r="G90">
            <v>5</v>
          </cell>
          <cell r="H90">
            <v>34.260000000000005</v>
          </cell>
          <cell r="I90">
            <v>1242.4685256720004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P90">
            <v>1242</v>
          </cell>
          <cell r="V90" t="str">
            <v>Available</v>
          </cell>
        </row>
        <row r="91">
          <cell r="A91" t="str">
            <v>100100970008</v>
          </cell>
          <cell r="B91" t="str">
            <v>Majhaul</v>
          </cell>
          <cell r="C91" t="str">
            <v>Majhaul</v>
          </cell>
          <cell r="D91" t="str">
            <v>Gomukh Cheria Bariarpur</v>
          </cell>
          <cell r="E91">
            <v>10010097</v>
          </cell>
          <cell r="F91" t="str">
            <v>0008</v>
          </cell>
          <cell r="G91">
            <v>6</v>
          </cell>
          <cell r="H91">
            <v>19.409999999999997</v>
          </cell>
          <cell r="I91">
            <v>674.79682208400004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P91">
            <v>675</v>
          </cell>
          <cell r="V91" t="str">
            <v>Available</v>
          </cell>
        </row>
        <row r="92">
          <cell r="A92" t="str">
            <v>100100970011</v>
          </cell>
          <cell r="B92" t="str">
            <v>Majhaul</v>
          </cell>
          <cell r="C92" t="str">
            <v>Majhaul</v>
          </cell>
          <cell r="D92" t="str">
            <v>Gomukh Cheria Bariarpur</v>
          </cell>
          <cell r="E92">
            <v>10010097</v>
          </cell>
          <cell r="F92" t="str">
            <v>0011</v>
          </cell>
          <cell r="G92">
            <v>4</v>
          </cell>
          <cell r="H92">
            <v>21.43</v>
          </cell>
          <cell r="I92">
            <v>800.75499028320007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P92">
            <v>801</v>
          </cell>
          <cell r="V92" t="str">
            <v>Available</v>
          </cell>
        </row>
        <row r="93">
          <cell r="A93" t="str">
            <v>100100970013</v>
          </cell>
          <cell r="B93" t="str">
            <v>Majhaul</v>
          </cell>
          <cell r="C93" t="str">
            <v>Majhaul</v>
          </cell>
          <cell r="D93" t="str">
            <v>Gomukh Cheria Bariarpur</v>
          </cell>
          <cell r="E93">
            <v>10010097</v>
          </cell>
          <cell r="F93" t="str">
            <v>0013</v>
          </cell>
          <cell r="G93">
            <v>14</v>
          </cell>
          <cell r="H93">
            <v>44.16</v>
          </cell>
          <cell r="I93">
            <v>1834.1125589160004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P93">
            <v>1834</v>
          </cell>
          <cell r="V93" t="str">
            <v>Available</v>
          </cell>
        </row>
        <row r="94">
          <cell r="A94" t="str">
            <v>100100970014</v>
          </cell>
          <cell r="B94" t="str">
            <v>Majhaul</v>
          </cell>
          <cell r="C94" t="str">
            <v>Majhaul</v>
          </cell>
          <cell r="D94" t="str">
            <v>Gomukh Cheria Bariarpur</v>
          </cell>
          <cell r="E94">
            <v>10010097</v>
          </cell>
          <cell r="F94" t="str">
            <v>0014</v>
          </cell>
          <cell r="G94">
            <v>12</v>
          </cell>
          <cell r="H94">
            <v>159.67000000000002</v>
          </cell>
          <cell r="I94">
            <v>5770.2876462000004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P94">
            <v>5770</v>
          </cell>
          <cell r="V94" t="str">
            <v>Available</v>
          </cell>
        </row>
        <row r="95">
          <cell r="A95" t="str">
            <v>100100970015</v>
          </cell>
          <cell r="B95" t="str">
            <v>Majhaul</v>
          </cell>
          <cell r="C95" t="str">
            <v>Majhaul</v>
          </cell>
          <cell r="D95" t="str">
            <v>Gomukh Cheria Bariarpur</v>
          </cell>
          <cell r="E95">
            <v>10010097</v>
          </cell>
          <cell r="F95" t="str">
            <v>0015</v>
          </cell>
          <cell r="G95">
            <v>8</v>
          </cell>
          <cell r="H95">
            <v>35.080000000000005</v>
          </cell>
          <cell r="I95">
            <v>1282.7061150552001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P95">
            <v>1283</v>
          </cell>
          <cell r="V95" t="str">
            <v>Available</v>
          </cell>
        </row>
        <row r="96">
          <cell r="A96" t="str">
            <v>100100970016</v>
          </cell>
          <cell r="B96" t="str">
            <v>Majhaul</v>
          </cell>
          <cell r="C96" t="str">
            <v>Majhaul</v>
          </cell>
          <cell r="D96" t="str">
            <v>Gomukh Cheria Bariarpur</v>
          </cell>
          <cell r="E96">
            <v>10010097</v>
          </cell>
          <cell r="F96" t="str">
            <v>0016</v>
          </cell>
          <cell r="G96">
            <v>13</v>
          </cell>
          <cell r="H96">
            <v>47.07</v>
          </cell>
          <cell r="I96">
            <v>1730.951119452747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P96">
            <v>1731</v>
          </cell>
          <cell r="V96" t="str">
            <v>Available</v>
          </cell>
        </row>
        <row r="97">
          <cell r="A97" t="str">
            <v>100100970017</v>
          </cell>
          <cell r="B97" t="str">
            <v>Majhaul</v>
          </cell>
          <cell r="C97" t="str">
            <v>Majhaul</v>
          </cell>
          <cell r="D97" t="str">
            <v>Gomukh Cheria Bariarpur</v>
          </cell>
          <cell r="E97">
            <v>10010097</v>
          </cell>
          <cell r="F97" t="str">
            <v>0017</v>
          </cell>
          <cell r="G97">
            <v>13</v>
          </cell>
          <cell r="H97">
            <v>46.7</v>
          </cell>
          <cell r="I97">
            <v>1748.4464364840005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P97">
            <v>1748</v>
          </cell>
          <cell r="V97" t="str">
            <v>Available</v>
          </cell>
        </row>
        <row r="98">
          <cell r="A98" t="str">
            <v>100100980001</v>
          </cell>
          <cell r="B98" t="str">
            <v>Hasanpur</v>
          </cell>
          <cell r="C98" t="str">
            <v>Hasanpur</v>
          </cell>
          <cell r="D98" t="str">
            <v>Gomukh Rahul Nagar</v>
          </cell>
          <cell r="E98">
            <v>10010098</v>
          </cell>
          <cell r="F98" t="str">
            <v>0001</v>
          </cell>
          <cell r="G98">
            <v>14</v>
          </cell>
          <cell r="H98">
            <v>5.5600000000000005</v>
          </cell>
          <cell r="I98">
            <v>244.47607634220003</v>
          </cell>
          <cell r="J98">
            <v>0</v>
          </cell>
          <cell r="K98">
            <v>244.47607634220003</v>
          </cell>
          <cell r="L98">
            <v>0</v>
          </cell>
          <cell r="M98">
            <v>0</v>
          </cell>
          <cell r="P98">
            <v>0</v>
          </cell>
          <cell r="V98" t="str">
            <v>Not Available</v>
          </cell>
        </row>
        <row r="99">
          <cell r="A99" t="str">
            <v>100100980002</v>
          </cell>
          <cell r="B99" t="str">
            <v>Hasanpur</v>
          </cell>
          <cell r="C99" t="str">
            <v>Hasanpur</v>
          </cell>
          <cell r="D99" t="str">
            <v>Gomukh Rahul Nagar</v>
          </cell>
          <cell r="E99">
            <v>10010098</v>
          </cell>
          <cell r="F99" t="str">
            <v>0002</v>
          </cell>
          <cell r="G99">
            <v>14</v>
          </cell>
          <cell r="H99">
            <v>38.74</v>
          </cell>
          <cell r="I99">
            <v>1558.429375212</v>
          </cell>
          <cell r="J99">
            <v>0</v>
          </cell>
          <cell r="K99">
            <v>0</v>
          </cell>
          <cell r="L99">
            <v>1333</v>
          </cell>
          <cell r="M99">
            <v>0</v>
          </cell>
          <cell r="P99">
            <v>225</v>
          </cell>
          <cell r="V99" t="str">
            <v>Available</v>
          </cell>
        </row>
        <row r="100">
          <cell r="A100" t="str">
            <v>100100980003</v>
          </cell>
          <cell r="B100" t="str">
            <v>Hasanpur</v>
          </cell>
          <cell r="C100" t="str">
            <v>Hasanpur</v>
          </cell>
          <cell r="D100" t="str">
            <v>Gomukh Rahul Nagar</v>
          </cell>
          <cell r="E100">
            <v>10010098</v>
          </cell>
          <cell r="F100" t="str">
            <v>0003</v>
          </cell>
          <cell r="G100">
            <v>14</v>
          </cell>
          <cell r="H100">
            <v>69.42</v>
          </cell>
          <cell r="I100">
            <v>3733.6614006109003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P100">
            <v>3734</v>
          </cell>
          <cell r="V100" t="str">
            <v>Available</v>
          </cell>
        </row>
        <row r="101">
          <cell r="A101" t="str">
            <v>100100980004</v>
          </cell>
          <cell r="B101" t="str">
            <v>Hasanpur</v>
          </cell>
          <cell r="C101" t="str">
            <v>Hasanpur</v>
          </cell>
          <cell r="D101" t="str">
            <v>Gomukh Rahul Nagar</v>
          </cell>
          <cell r="E101">
            <v>10010098</v>
          </cell>
          <cell r="F101" t="str">
            <v>0004</v>
          </cell>
          <cell r="G101">
            <v>3</v>
          </cell>
          <cell r="H101">
            <v>3.02</v>
          </cell>
          <cell r="I101">
            <v>125.87329735200004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P101">
            <v>126</v>
          </cell>
          <cell r="V101" t="str">
            <v>Available</v>
          </cell>
        </row>
        <row r="102">
          <cell r="A102" t="str">
            <v>100100980014</v>
          </cell>
          <cell r="B102" t="str">
            <v>Hasanpur</v>
          </cell>
          <cell r="C102" t="str">
            <v>Hasanpur</v>
          </cell>
          <cell r="D102" t="str">
            <v>Gomukh Rahul Nagar</v>
          </cell>
          <cell r="E102">
            <v>10010098</v>
          </cell>
          <cell r="F102" t="str">
            <v>0014</v>
          </cell>
          <cell r="G102">
            <v>13</v>
          </cell>
          <cell r="H102">
            <v>79.079999999999984</v>
          </cell>
          <cell r="I102">
            <v>3204.4802592681999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P102">
            <v>3204</v>
          </cell>
          <cell r="V102" t="str">
            <v>Available</v>
          </cell>
        </row>
        <row r="103">
          <cell r="A103" t="str">
            <v>100100980015</v>
          </cell>
          <cell r="B103" t="str">
            <v>Hasanpur</v>
          </cell>
          <cell r="C103" t="str">
            <v>Hasanpur</v>
          </cell>
          <cell r="D103" t="str">
            <v>Gomukh Rahul Nagar</v>
          </cell>
          <cell r="E103">
            <v>10010098</v>
          </cell>
          <cell r="F103" t="str">
            <v>0015</v>
          </cell>
          <cell r="G103">
            <v>1</v>
          </cell>
          <cell r="H103">
            <v>1.22</v>
          </cell>
          <cell r="I103">
            <v>76.784480877600004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P103">
            <v>77</v>
          </cell>
          <cell r="V103" t="str">
            <v>Not Available</v>
          </cell>
        </row>
        <row r="104">
          <cell r="A104" t="str">
            <v>100100980017</v>
          </cell>
          <cell r="B104" t="str">
            <v>Hasanpur</v>
          </cell>
          <cell r="C104" t="str">
            <v>Hasanpur</v>
          </cell>
          <cell r="D104" t="str">
            <v>Gomukh Rahul Nagar</v>
          </cell>
          <cell r="E104">
            <v>10010098</v>
          </cell>
          <cell r="F104" t="str">
            <v>0017</v>
          </cell>
          <cell r="G104">
            <v>14</v>
          </cell>
          <cell r="H104">
            <v>57.02</v>
          </cell>
          <cell r="I104">
            <v>2498.2241948346004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P104">
            <v>2498</v>
          </cell>
          <cell r="V104" t="str">
            <v>Available</v>
          </cell>
        </row>
        <row r="105">
          <cell r="A105" t="str">
            <v>100100980019</v>
          </cell>
          <cell r="B105" t="str">
            <v>Hasanpur</v>
          </cell>
          <cell r="C105" t="str">
            <v>Hasanpur</v>
          </cell>
          <cell r="D105" t="str">
            <v>Gomukh Rahul Nagar</v>
          </cell>
          <cell r="E105">
            <v>10010098</v>
          </cell>
          <cell r="F105" t="str">
            <v>0019</v>
          </cell>
          <cell r="G105">
            <v>14</v>
          </cell>
          <cell r="H105">
            <v>44.48</v>
          </cell>
          <cell r="I105">
            <v>1966.1726479054003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P105">
            <v>1966</v>
          </cell>
          <cell r="V105" t="str">
            <v>Available</v>
          </cell>
        </row>
        <row r="106">
          <cell r="A106" t="str">
            <v>100100990002</v>
          </cell>
          <cell r="B106" t="str">
            <v>Hasanpur</v>
          </cell>
          <cell r="C106" t="str">
            <v>Hasanpur</v>
          </cell>
          <cell r="D106" t="str">
            <v>Gomukh Bagraha-01</v>
          </cell>
          <cell r="E106">
            <v>10010099</v>
          </cell>
          <cell r="F106" t="str">
            <v>0002</v>
          </cell>
          <cell r="G106">
            <v>7</v>
          </cell>
          <cell r="H106">
            <v>152.19999999999999</v>
          </cell>
          <cell r="I106">
            <v>6031.5796332</v>
          </cell>
          <cell r="J106">
            <v>0</v>
          </cell>
          <cell r="K106">
            <v>0</v>
          </cell>
          <cell r="L106">
            <v>239</v>
          </cell>
          <cell r="M106">
            <v>0</v>
          </cell>
          <cell r="P106">
            <v>5706</v>
          </cell>
          <cell r="V106" t="str">
            <v>Available</v>
          </cell>
        </row>
        <row r="107">
          <cell r="A107" t="str">
            <v>100101030002</v>
          </cell>
          <cell r="B107" t="str">
            <v>Hasanpur</v>
          </cell>
          <cell r="C107" t="str">
            <v>Hasanpur</v>
          </cell>
          <cell r="D107" t="str">
            <v>Gomukh Shobhaipura</v>
          </cell>
          <cell r="E107">
            <v>10010103</v>
          </cell>
          <cell r="F107" t="str">
            <v>0002</v>
          </cell>
          <cell r="G107">
            <v>3</v>
          </cell>
          <cell r="H107">
            <v>20.100000000000001</v>
          </cell>
          <cell r="I107">
            <v>747.16891662599994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P107">
            <v>614</v>
          </cell>
          <cell r="V107" t="str">
            <v>Available</v>
          </cell>
        </row>
        <row r="108">
          <cell r="A108" t="str">
            <v>100101080001</v>
          </cell>
          <cell r="B108" t="str">
            <v>Majhaul</v>
          </cell>
          <cell r="C108" t="str">
            <v>Majhaul</v>
          </cell>
          <cell r="D108" t="str">
            <v>Gomukh Pirauna</v>
          </cell>
          <cell r="E108">
            <v>10010108</v>
          </cell>
          <cell r="F108" t="str">
            <v>0001</v>
          </cell>
          <cell r="G108">
            <v>10</v>
          </cell>
          <cell r="H108">
            <v>2.1399999999999997</v>
          </cell>
          <cell r="I108">
            <v>81.961154352000023</v>
          </cell>
          <cell r="J108">
            <v>0</v>
          </cell>
          <cell r="K108">
            <v>81.961154352000023</v>
          </cell>
          <cell r="L108">
            <v>0</v>
          </cell>
          <cell r="M108">
            <v>0</v>
          </cell>
          <cell r="P108">
            <v>0</v>
          </cell>
          <cell r="V108" t="str">
            <v>Not Available</v>
          </cell>
        </row>
        <row r="109">
          <cell r="A109" t="str">
            <v>100101080003</v>
          </cell>
          <cell r="B109" t="str">
            <v>Majhaul</v>
          </cell>
          <cell r="C109" t="str">
            <v>Majhaul</v>
          </cell>
          <cell r="D109" t="str">
            <v>Gomukh Pirauna</v>
          </cell>
          <cell r="E109">
            <v>10010108</v>
          </cell>
          <cell r="F109" t="str">
            <v>0003</v>
          </cell>
          <cell r="G109">
            <v>14</v>
          </cell>
          <cell r="H109">
            <v>130.57999999999998</v>
          </cell>
          <cell r="I109">
            <v>4910.599608789601</v>
          </cell>
          <cell r="J109">
            <v>0</v>
          </cell>
          <cell r="K109">
            <v>0</v>
          </cell>
          <cell r="L109">
            <v>797</v>
          </cell>
          <cell r="M109">
            <v>0</v>
          </cell>
          <cell r="P109">
            <v>3961</v>
          </cell>
          <cell r="V109" t="str">
            <v>Available</v>
          </cell>
        </row>
        <row r="110">
          <cell r="A110" t="str">
            <v>100101130001</v>
          </cell>
          <cell r="B110" t="str">
            <v>Majhaul</v>
          </cell>
          <cell r="C110" t="str">
            <v>Majhaul</v>
          </cell>
          <cell r="D110" t="str">
            <v>Gomukh Basahi</v>
          </cell>
          <cell r="E110">
            <v>10010113</v>
          </cell>
          <cell r="F110" t="str">
            <v>0001</v>
          </cell>
          <cell r="G110">
            <v>8</v>
          </cell>
          <cell r="H110">
            <v>5.9</v>
          </cell>
          <cell r="I110">
            <v>240.12262579200004</v>
          </cell>
          <cell r="J110">
            <v>0</v>
          </cell>
          <cell r="K110">
            <v>240.12262579200004</v>
          </cell>
          <cell r="L110">
            <v>0</v>
          </cell>
          <cell r="M110">
            <v>0</v>
          </cell>
          <cell r="P110">
            <v>0</v>
          </cell>
          <cell r="V110" t="str">
            <v>Not Available</v>
          </cell>
        </row>
        <row r="111">
          <cell r="A111" t="str">
            <v>100101130002</v>
          </cell>
          <cell r="B111" t="str">
            <v>Majhaul</v>
          </cell>
          <cell r="C111" t="str">
            <v>Majhaul</v>
          </cell>
          <cell r="D111" t="str">
            <v>Gomukh Basahi</v>
          </cell>
          <cell r="E111">
            <v>10010113</v>
          </cell>
          <cell r="F111" t="str">
            <v>0002</v>
          </cell>
          <cell r="G111">
            <v>14</v>
          </cell>
          <cell r="H111">
            <v>70.63</v>
          </cell>
          <cell r="I111">
            <v>3990.7340057144802</v>
          </cell>
          <cell r="J111">
            <v>0</v>
          </cell>
          <cell r="K111">
            <v>0</v>
          </cell>
          <cell r="L111">
            <v>1385</v>
          </cell>
          <cell r="M111">
            <v>0</v>
          </cell>
          <cell r="P111">
            <v>2606</v>
          </cell>
          <cell r="V111" t="str">
            <v>Available</v>
          </cell>
        </row>
        <row r="112">
          <cell r="A112" t="str">
            <v>100101130003</v>
          </cell>
          <cell r="B112" t="str">
            <v>Majhaul</v>
          </cell>
          <cell r="C112" t="str">
            <v>Majhaul</v>
          </cell>
          <cell r="D112" t="str">
            <v>Gomukh Basahi</v>
          </cell>
          <cell r="E112">
            <v>10010113</v>
          </cell>
          <cell r="F112" t="str">
            <v>0003</v>
          </cell>
          <cell r="G112">
            <v>7</v>
          </cell>
          <cell r="H112">
            <v>12.83</v>
          </cell>
          <cell r="I112">
            <v>386.27402360580004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P112">
            <v>386</v>
          </cell>
          <cell r="V112" t="str">
            <v>Available</v>
          </cell>
        </row>
        <row r="113">
          <cell r="A113" t="str">
            <v>100101130004</v>
          </cell>
          <cell r="B113" t="str">
            <v>Majhaul</v>
          </cell>
          <cell r="C113" t="str">
            <v>Majhaul</v>
          </cell>
          <cell r="D113" t="str">
            <v>Gomukh Basahi</v>
          </cell>
          <cell r="E113">
            <v>10010113</v>
          </cell>
          <cell r="F113" t="str">
            <v>0004</v>
          </cell>
          <cell r="G113">
            <v>13</v>
          </cell>
          <cell r="H113">
            <v>60.54</v>
          </cell>
          <cell r="I113">
            <v>2250.1618274520001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P113">
            <v>2250</v>
          </cell>
          <cell r="V113" t="str">
            <v>Available</v>
          </cell>
        </row>
        <row r="114">
          <cell r="A114" t="str">
            <v>100101130005</v>
          </cell>
          <cell r="B114" t="str">
            <v>Majhaul</v>
          </cell>
          <cell r="C114" t="str">
            <v>Majhaul</v>
          </cell>
          <cell r="D114" t="str">
            <v>Gomukh Basahi</v>
          </cell>
          <cell r="E114">
            <v>10010113</v>
          </cell>
          <cell r="F114" t="str">
            <v>0005</v>
          </cell>
          <cell r="G114">
            <v>8</v>
          </cell>
          <cell r="H114">
            <v>18.489999999999998</v>
          </cell>
          <cell r="I114">
            <v>732.43854881760012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P114">
            <v>732</v>
          </cell>
          <cell r="V114" t="str">
            <v>Available</v>
          </cell>
        </row>
        <row r="115">
          <cell r="A115" t="str">
            <v>100101130008</v>
          </cell>
          <cell r="B115" t="str">
            <v>Majhaul</v>
          </cell>
          <cell r="C115" t="str">
            <v>Majhaul</v>
          </cell>
          <cell r="D115" t="str">
            <v>Gomukh Basahi</v>
          </cell>
          <cell r="E115">
            <v>10010113</v>
          </cell>
          <cell r="F115" t="str">
            <v>0008</v>
          </cell>
          <cell r="G115">
            <v>14</v>
          </cell>
          <cell r="H115">
            <v>31.11</v>
          </cell>
          <cell r="I115">
            <v>1097.7333651702002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P115">
            <v>1098</v>
          </cell>
          <cell r="V115" t="str">
            <v>Available</v>
          </cell>
        </row>
        <row r="116">
          <cell r="A116" t="str">
            <v>100101130010</v>
          </cell>
          <cell r="B116" t="str">
            <v>Majhaul</v>
          </cell>
          <cell r="C116" t="str">
            <v>Majhaul</v>
          </cell>
          <cell r="D116" t="str">
            <v>Gomukh Basahi</v>
          </cell>
          <cell r="E116">
            <v>10010113</v>
          </cell>
          <cell r="F116" t="str">
            <v>0010</v>
          </cell>
          <cell r="G116">
            <v>4</v>
          </cell>
          <cell r="H116">
            <v>6.11</v>
          </cell>
          <cell r="I116">
            <v>228.14625002400004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P116">
            <v>228</v>
          </cell>
          <cell r="V116" t="str">
            <v>Available</v>
          </cell>
        </row>
        <row r="117">
          <cell r="A117" t="str">
            <v>100101130014</v>
          </cell>
          <cell r="B117" t="str">
            <v>Majhaul</v>
          </cell>
          <cell r="C117" t="str">
            <v>Majhaul</v>
          </cell>
          <cell r="D117" t="str">
            <v>Gomukh Basahi</v>
          </cell>
          <cell r="E117">
            <v>10010113</v>
          </cell>
          <cell r="F117" t="str">
            <v>0014</v>
          </cell>
          <cell r="G117">
            <v>14</v>
          </cell>
          <cell r="H117">
            <v>66.680000000000007</v>
          </cell>
          <cell r="I117">
            <v>2543.8175363682008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P117">
            <v>2544</v>
          </cell>
          <cell r="V117" t="str">
            <v>Available</v>
          </cell>
        </row>
        <row r="118">
          <cell r="A118" t="str">
            <v>100101130020</v>
          </cell>
          <cell r="B118" t="str">
            <v>Majhaul</v>
          </cell>
          <cell r="C118" t="str">
            <v>Majhaul</v>
          </cell>
          <cell r="D118" t="str">
            <v>Gomukh Basahi</v>
          </cell>
          <cell r="E118">
            <v>10010113</v>
          </cell>
          <cell r="F118" t="str">
            <v>0020</v>
          </cell>
          <cell r="G118">
            <v>14</v>
          </cell>
          <cell r="H118">
            <v>68.94</v>
          </cell>
          <cell r="I118">
            <v>2337.5106315396001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P118">
            <v>2338</v>
          </cell>
          <cell r="V118" t="str">
            <v>Available</v>
          </cell>
        </row>
        <row r="119">
          <cell r="A119" t="str">
            <v>100101130028</v>
          </cell>
          <cell r="B119" t="str">
            <v>Majhaul</v>
          </cell>
          <cell r="C119" t="str">
            <v>Majhaul</v>
          </cell>
          <cell r="D119" t="str">
            <v>Gomukh Basahi</v>
          </cell>
          <cell r="E119">
            <v>10010113</v>
          </cell>
          <cell r="F119" t="str">
            <v>0028</v>
          </cell>
          <cell r="G119">
            <v>7</v>
          </cell>
          <cell r="H119">
            <v>24.7</v>
          </cell>
          <cell r="I119">
            <v>888.60880666800006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P119">
            <v>889</v>
          </cell>
          <cell r="V119" t="str">
            <v>Available</v>
          </cell>
        </row>
        <row r="120">
          <cell r="A120" t="str">
            <v>100101130048</v>
          </cell>
          <cell r="B120" t="str">
            <v>Majhaul</v>
          </cell>
          <cell r="C120" t="str">
            <v>Majhaul</v>
          </cell>
          <cell r="D120" t="str">
            <v>Gomukh Basahi</v>
          </cell>
          <cell r="E120">
            <v>10010113</v>
          </cell>
          <cell r="F120" t="str">
            <v>0048</v>
          </cell>
          <cell r="G120">
            <v>14</v>
          </cell>
          <cell r="H120">
            <v>150.65</v>
          </cell>
          <cell r="I120">
            <v>5097.5197439166004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P120">
            <v>5098</v>
          </cell>
          <cell r="V120" t="str">
            <v>Available</v>
          </cell>
        </row>
        <row r="121">
          <cell r="A121" t="str">
            <v>100101130049</v>
          </cell>
          <cell r="B121" t="str">
            <v>Majhaul</v>
          </cell>
          <cell r="C121" t="str">
            <v>Majhaul</v>
          </cell>
          <cell r="D121" t="str">
            <v>Gomukh Basahi</v>
          </cell>
          <cell r="E121">
            <v>10010113</v>
          </cell>
          <cell r="F121" t="str">
            <v>0049</v>
          </cell>
          <cell r="G121">
            <v>3</v>
          </cell>
          <cell r="H121">
            <v>18.419999999999998</v>
          </cell>
          <cell r="I121">
            <v>883.97894998236006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P121">
            <v>884</v>
          </cell>
          <cell r="V121" t="str">
            <v>Available</v>
          </cell>
        </row>
        <row r="122">
          <cell r="A122" t="str">
            <v>100101130056</v>
          </cell>
          <cell r="B122" t="str">
            <v>Majhaul</v>
          </cell>
          <cell r="C122" t="str">
            <v>Majhaul</v>
          </cell>
          <cell r="D122" t="str">
            <v>Gomukh Basahi</v>
          </cell>
          <cell r="E122">
            <v>10010113</v>
          </cell>
          <cell r="F122" t="str">
            <v>0056</v>
          </cell>
          <cell r="G122">
            <v>12</v>
          </cell>
          <cell r="H122">
            <v>35.730000000000004</v>
          </cell>
          <cell r="I122">
            <v>1441.5613566384002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P122">
            <v>1442</v>
          </cell>
          <cell r="V122" t="str">
            <v>Available</v>
          </cell>
        </row>
        <row r="123">
          <cell r="A123" t="str">
            <v>100101130059</v>
          </cell>
          <cell r="B123" t="str">
            <v>Majhaul</v>
          </cell>
          <cell r="C123" t="str">
            <v>Majhaul</v>
          </cell>
          <cell r="D123" t="str">
            <v>Gomukh Basahi</v>
          </cell>
          <cell r="E123">
            <v>10010113</v>
          </cell>
          <cell r="F123" t="str">
            <v>0059</v>
          </cell>
          <cell r="G123">
            <v>7</v>
          </cell>
          <cell r="H123">
            <v>15.47</v>
          </cell>
          <cell r="I123">
            <v>664.61600343600014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P123">
            <v>665</v>
          </cell>
          <cell r="V123" t="str">
            <v>Available</v>
          </cell>
        </row>
        <row r="124">
          <cell r="A124" t="str">
            <v>100101130061</v>
          </cell>
          <cell r="B124" t="str">
            <v>Majhaul</v>
          </cell>
          <cell r="C124" t="str">
            <v>Majhaul</v>
          </cell>
          <cell r="D124" t="str">
            <v>Gomukh Basahi</v>
          </cell>
          <cell r="E124">
            <v>10010113</v>
          </cell>
          <cell r="F124" t="str">
            <v>0061</v>
          </cell>
          <cell r="G124">
            <v>6</v>
          </cell>
          <cell r="H124">
            <v>18.14</v>
          </cell>
          <cell r="I124">
            <v>759.70887448332019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P124">
            <v>760</v>
          </cell>
          <cell r="V124" t="str">
            <v>Available</v>
          </cell>
        </row>
        <row r="125">
          <cell r="A125" t="str">
            <v>100101130065</v>
          </cell>
          <cell r="B125" t="str">
            <v>Majhaul</v>
          </cell>
          <cell r="C125" t="str">
            <v>Majhaul</v>
          </cell>
          <cell r="D125" t="str">
            <v>Gomukh Basahi</v>
          </cell>
          <cell r="E125">
            <v>10010113</v>
          </cell>
          <cell r="F125" t="str">
            <v>0065</v>
          </cell>
          <cell r="G125">
            <v>8</v>
          </cell>
          <cell r="H125">
            <v>13.2</v>
          </cell>
          <cell r="I125">
            <v>499.00231586699999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P125">
            <v>499</v>
          </cell>
          <cell r="V125" t="str">
            <v>Available</v>
          </cell>
        </row>
        <row r="126">
          <cell r="A126" t="str">
            <v>100101130067</v>
          </cell>
          <cell r="B126" t="str">
            <v>Majhaul</v>
          </cell>
          <cell r="C126" t="str">
            <v>Majhaul</v>
          </cell>
          <cell r="D126" t="str">
            <v>Gomukh Basahi</v>
          </cell>
          <cell r="E126">
            <v>10010113</v>
          </cell>
          <cell r="F126" t="str">
            <v>0067</v>
          </cell>
          <cell r="G126">
            <v>7</v>
          </cell>
          <cell r="H126">
            <v>14.450000000000001</v>
          </cell>
          <cell r="I126">
            <v>509.20196104800004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P126">
            <v>509</v>
          </cell>
          <cell r="V126" t="str">
            <v>Available</v>
          </cell>
        </row>
        <row r="127">
          <cell r="A127" t="str">
            <v>100101130069</v>
          </cell>
          <cell r="B127" t="str">
            <v>Majhaul</v>
          </cell>
          <cell r="C127" t="str">
            <v>Majhaul</v>
          </cell>
          <cell r="D127" t="str">
            <v>Gomukh Basahi</v>
          </cell>
          <cell r="E127">
            <v>10010113</v>
          </cell>
          <cell r="F127" t="str">
            <v>0069</v>
          </cell>
          <cell r="G127">
            <v>2</v>
          </cell>
          <cell r="H127">
            <v>5.71</v>
          </cell>
          <cell r="I127">
            <v>473.52709747589995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P127">
            <v>474</v>
          </cell>
          <cell r="V127" t="str">
            <v>Available</v>
          </cell>
        </row>
        <row r="128">
          <cell r="A128" t="str">
            <v>100101130072</v>
          </cell>
          <cell r="B128" t="str">
            <v>Majhaul</v>
          </cell>
          <cell r="C128" t="str">
            <v>Majhaul</v>
          </cell>
          <cell r="D128" t="str">
            <v>Gomukh Basahi</v>
          </cell>
          <cell r="E128">
            <v>10010113</v>
          </cell>
          <cell r="F128" t="str">
            <v>0072</v>
          </cell>
          <cell r="G128">
            <v>7</v>
          </cell>
          <cell r="H128">
            <v>35.409999999999997</v>
          </cell>
          <cell r="I128">
            <v>2404.4026184232002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P128">
            <v>2404</v>
          </cell>
          <cell r="V128" t="str">
            <v>Available</v>
          </cell>
        </row>
        <row r="129">
          <cell r="A129" t="str">
            <v>100101130074</v>
          </cell>
          <cell r="B129" t="str">
            <v>Majhaul</v>
          </cell>
          <cell r="C129" t="str">
            <v>Majhaul</v>
          </cell>
          <cell r="D129" t="str">
            <v>Gomukh Basahi</v>
          </cell>
          <cell r="E129">
            <v>10010113</v>
          </cell>
          <cell r="F129" t="str">
            <v>0074</v>
          </cell>
          <cell r="G129">
            <v>12</v>
          </cell>
          <cell r="H129">
            <v>35.08</v>
          </cell>
          <cell r="I129">
            <v>2158.5311670463002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P129">
            <v>2159</v>
          </cell>
          <cell r="V129" t="str">
            <v>Available</v>
          </cell>
        </row>
        <row r="130">
          <cell r="A130" t="str">
            <v>100101130075</v>
          </cell>
          <cell r="B130" t="str">
            <v>Majhaul</v>
          </cell>
          <cell r="C130" t="str">
            <v>Majhaul</v>
          </cell>
          <cell r="D130" t="str">
            <v>Gomukh Basahi</v>
          </cell>
          <cell r="E130">
            <v>10010113</v>
          </cell>
          <cell r="F130" t="str">
            <v>0075</v>
          </cell>
          <cell r="G130">
            <v>5</v>
          </cell>
          <cell r="H130">
            <v>7.5</v>
          </cell>
          <cell r="I130">
            <v>376.74700145064003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P130">
            <v>377</v>
          </cell>
          <cell r="V130" t="str">
            <v>Available</v>
          </cell>
        </row>
        <row r="131">
          <cell r="A131" t="str">
            <v>100101130076</v>
          </cell>
          <cell r="B131" t="str">
            <v>Majhaul</v>
          </cell>
          <cell r="C131" t="str">
            <v>Majhaul</v>
          </cell>
          <cell r="D131" t="str">
            <v>Gomukh Basahi</v>
          </cell>
          <cell r="E131">
            <v>10010113</v>
          </cell>
          <cell r="F131" t="str">
            <v>0076</v>
          </cell>
          <cell r="G131">
            <v>14</v>
          </cell>
          <cell r="H131">
            <v>74.08</v>
          </cell>
          <cell r="I131">
            <v>2474.0934510600005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P131">
            <v>2474</v>
          </cell>
          <cell r="V131" t="str">
            <v>Available</v>
          </cell>
        </row>
        <row r="132">
          <cell r="A132" t="str">
            <v>100101130077</v>
          </cell>
          <cell r="B132" t="str">
            <v>Majhaul</v>
          </cell>
          <cell r="C132" t="str">
            <v>Majhaul</v>
          </cell>
          <cell r="D132" t="str">
            <v>Gomukh Basahi</v>
          </cell>
          <cell r="E132">
            <v>10010113</v>
          </cell>
          <cell r="F132" t="str">
            <v>0077</v>
          </cell>
          <cell r="G132">
            <v>7</v>
          </cell>
          <cell r="H132">
            <v>36.54</v>
          </cell>
          <cell r="I132">
            <v>1391.8170425543999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P132">
            <v>1392</v>
          </cell>
          <cell r="V132" t="str">
            <v>Available</v>
          </cell>
        </row>
        <row r="133">
          <cell r="A133" t="str">
            <v>100101210001</v>
          </cell>
          <cell r="B133" t="str">
            <v>Majhaul</v>
          </cell>
          <cell r="C133" t="str">
            <v>Majhaul</v>
          </cell>
          <cell r="D133" t="str">
            <v>Gomukh Sawantpur</v>
          </cell>
          <cell r="E133">
            <v>10010121</v>
          </cell>
          <cell r="F133" t="str">
            <v>0001</v>
          </cell>
          <cell r="G133">
            <v>14</v>
          </cell>
          <cell r="H133">
            <v>5.64</v>
          </cell>
          <cell r="I133">
            <v>206.27000483760003</v>
          </cell>
          <cell r="J133">
            <v>0</v>
          </cell>
          <cell r="K133">
            <v>206.27000483760003</v>
          </cell>
          <cell r="L133">
            <v>0</v>
          </cell>
          <cell r="M133">
            <v>0</v>
          </cell>
          <cell r="P133">
            <v>0</v>
          </cell>
          <cell r="V133" t="str">
            <v>Not Available</v>
          </cell>
        </row>
        <row r="134">
          <cell r="A134" t="str">
            <v>100101210002</v>
          </cell>
          <cell r="B134" t="str">
            <v>Majhaul</v>
          </cell>
          <cell r="C134" t="str">
            <v>Majhaul</v>
          </cell>
          <cell r="D134" t="str">
            <v>Gomukh Sawantpur</v>
          </cell>
          <cell r="E134">
            <v>10010121</v>
          </cell>
          <cell r="F134" t="str">
            <v>0002</v>
          </cell>
          <cell r="G134">
            <v>9</v>
          </cell>
          <cell r="H134">
            <v>233.91</v>
          </cell>
          <cell r="I134">
            <v>8431.9130625840007</v>
          </cell>
          <cell r="J134">
            <v>0</v>
          </cell>
          <cell r="K134">
            <v>0</v>
          </cell>
          <cell r="L134">
            <v>706</v>
          </cell>
          <cell r="M134">
            <v>0</v>
          </cell>
          <cell r="P134">
            <v>7671</v>
          </cell>
          <cell r="V134" t="str">
            <v>Available</v>
          </cell>
        </row>
        <row r="135">
          <cell r="A135" t="str">
            <v>100101210004</v>
          </cell>
          <cell r="B135" t="str">
            <v>Majhaul</v>
          </cell>
          <cell r="C135" t="str">
            <v>Majhaul</v>
          </cell>
          <cell r="D135" t="str">
            <v>Gomukh Sawantpur</v>
          </cell>
          <cell r="E135">
            <v>10010121</v>
          </cell>
          <cell r="F135" t="str">
            <v>0004</v>
          </cell>
          <cell r="G135">
            <v>6</v>
          </cell>
          <cell r="H135">
            <v>127.77000000000001</v>
          </cell>
          <cell r="I135">
            <v>4702.5506136708009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P135">
            <v>4703</v>
          </cell>
          <cell r="V135" t="str">
            <v>Available</v>
          </cell>
        </row>
        <row r="136">
          <cell r="A136" t="str">
            <v>100101210006</v>
          </cell>
          <cell r="B136" t="str">
            <v>Majhaul</v>
          </cell>
          <cell r="C136" t="str">
            <v>Majhaul</v>
          </cell>
          <cell r="D136" t="str">
            <v>Gomukh Sawantpur</v>
          </cell>
          <cell r="E136">
            <v>10010121</v>
          </cell>
          <cell r="F136" t="str">
            <v>0006</v>
          </cell>
          <cell r="G136">
            <v>10</v>
          </cell>
          <cell r="H136">
            <v>71.31</v>
          </cell>
          <cell r="I136">
            <v>2677.1831121222003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P136">
            <v>2677</v>
          </cell>
          <cell r="V136" t="str">
            <v>Available</v>
          </cell>
        </row>
        <row r="137">
          <cell r="A137" t="str">
            <v>100101210007</v>
          </cell>
          <cell r="B137" t="str">
            <v>Majhaul</v>
          </cell>
          <cell r="C137" t="str">
            <v>Majhaul</v>
          </cell>
          <cell r="D137" t="str">
            <v>Gomukh Sawantpur</v>
          </cell>
          <cell r="E137">
            <v>10010121</v>
          </cell>
          <cell r="F137" t="str">
            <v>0007</v>
          </cell>
          <cell r="G137">
            <v>10</v>
          </cell>
          <cell r="H137">
            <v>96.24</v>
          </cell>
          <cell r="I137">
            <v>3468.2829797880004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P137">
            <v>3468</v>
          </cell>
          <cell r="V137" t="str">
            <v>Available</v>
          </cell>
        </row>
        <row r="138">
          <cell r="A138" t="str">
            <v>100101210013</v>
          </cell>
          <cell r="B138" t="str">
            <v>Majhaul</v>
          </cell>
          <cell r="C138" t="str">
            <v>Majhaul</v>
          </cell>
          <cell r="D138" t="str">
            <v>Gomukh Sawantpur</v>
          </cell>
          <cell r="E138">
            <v>10010121</v>
          </cell>
          <cell r="F138" t="str">
            <v>0013</v>
          </cell>
          <cell r="G138">
            <v>11</v>
          </cell>
          <cell r="H138">
            <v>28.19</v>
          </cell>
          <cell r="I138">
            <v>1054.6488823662003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P138">
            <v>1055</v>
          </cell>
          <cell r="V138" t="str">
            <v>Available</v>
          </cell>
        </row>
        <row r="139">
          <cell r="A139" t="str">
            <v>100101210014</v>
          </cell>
          <cell r="B139" t="str">
            <v>Majhaul</v>
          </cell>
          <cell r="C139" t="str">
            <v>Majhaul</v>
          </cell>
          <cell r="D139" t="str">
            <v>Gomukh Sawantpur</v>
          </cell>
          <cell r="E139">
            <v>10010121</v>
          </cell>
          <cell r="F139" t="str">
            <v>0014</v>
          </cell>
          <cell r="G139">
            <v>14</v>
          </cell>
          <cell r="H139">
            <v>96.31</v>
          </cell>
          <cell r="I139">
            <v>3782.1426865200006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P139">
            <v>3782</v>
          </cell>
          <cell r="V139" t="str">
            <v>Available</v>
          </cell>
        </row>
        <row r="140">
          <cell r="A140" t="str">
            <v>100101210017</v>
          </cell>
          <cell r="B140" t="str">
            <v>Majhaul</v>
          </cell>
          <cell r="C140" t="str">
            <v>Majhaul</v>
          </cell>
          <cell r="D140" t="str">
            <v>Gomukh Sawantpur</v>
          </cell>
          <cell r="E140">
            <v>10010121</v>
          </cell>
          <cell r="F140" t="str">
            <v>0017</v>
          </cell>
          <cell r="G140">
            <v>13</v>
          </cell>
          <cell r="H140">
            <v>78.089999999999989</v>
          </cell>
          <cell r="I140">
            <v>3160.2451161599997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P140">
            <v>3160</v>
          </cell>
          <cell r="V140" t="str">
            <v>Available</v>
          </cell>
        </row>
        <row r="141">
          <cell r="A141" t="str">
            <v>100101210018</v>
          </cell>
          <cell r="B141" t="str">
            <v>Majhaul</v>
          </cell>
          <cell r="C141" t="str">
            <v>Majhaul</v>
          </cell>
          <cell r="D141" t="str">
            <v>Gomukh Sawantpur</v>
          </cell>
          <cell r="E141">
            <v>10010121</v>
          </cell>
          <cell r="F141" t="str">
            <v>0018</v>
          </cell>
          <cell r="G141">
            <v>14</v>
          </cell>
          <cell r="H141">
            <v>68.239999999999995</v>
          </cell>
          <cell r="I141">
            <v>2749.2842863087603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P141">
            <v>2749</v>
          </cell>
          <cell r="V141" t="str">
            <v>Available</v>
          </cell>
        </row>
        <row r="142">
          <cell r="A142" t="str">
            <v>100101210019</v>
          </cell>
          <cell r="B142" t="str">
            <v>Majhaul</v>
          </cell>
          <cell r="C142" t="str">
            <v>Majhaul</v>
          </cell>
          <cell r="D142" t="str">
            <v>Gomukh Sawantpur</v>
          </cell>
          <cell r="E142">
            <v>10010121</v>
          </cell>
          <cell r="F142" t="str">
            <v>0019</v>
          </cell>
          <cell r="G142">
            <v>12</v>
          </cell>
          <cell r="H142">
            <v>49.93</v>
          </cell>
          <cell r="I142">
            <v>1681.5198160332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P142">
            <v>1682</v>
          </cell>
          <cell r="V142" t="str">
            <v>Available</v>
          </cell>
        </row>
        <row r="143">
          <cell r="A143" t="str">
            <v>100101210021</v>
          </cell>
          <cell r="B143" t="str">
            <v>Majhaul</v>
          </cell>
          <cell r="C143" t="str">
            <v>Majhaul</v>
          </cell>
          <cell r="D143" t="str">
            <v>Gomukh Sawantpur</v>
          </cell>
          <cell r="E143">
            <v>10010121</v>
          </cell>
          <cell r="F143" t="str">
            <v>0021</v>
          </cell>
          <cell r="G143">
            <v>12</v>
          </cell>
          <cell r="H143">
            <v>40.300000000000004</v>
          </cell>
          <cell r="I143">
            <v>1494.3275546760003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P143">
            <v>1494</v>
          </cell>
          <cell r="V143" t="str">
            <v>Available</v>
          </cell>
        </row>
        <row r="144">
          <cell r="A144" t="str">
            <v>100101280002</v>
          </cell>
          <cell r="B144" t="str">
            <v>Majhaul</v>
          </cell>
          <cell r="C144" t="str">
            <v>Majhaul</v>
          </cell>
          <cell r="D144" t="str">
            <v>Gomukh Aure Bikrampur</v>
          </cell>
          <cell r="E144">
            <v>10010128</v>
          </cell>
          <cell r="F144" t="str">
            <v>0002</v>
          </cell>
          <cell r="G144">
            <v>14</v>
          </cell>
          <cell r="H144">
            <v>402.89</v>
          </cell>
          <cell r="I144">
            <v>17699.0603419402</v>
          </cell>
          <cell r="J144">
            <v>0</v>
          </cell>
          <cell r="K144">
            <v>0</v>
          </cell>
          <cell r="L144">
            <v>4030</v>
          </cell>
          <cell r="M144">
            <v>0</v>
          </cell>
          <cell r="P144">
            <v>13669</v>
          </cell>
          <cell r="V144" t="str">
            <v>Available</v>
          </cell>
        </row>
        <row r="145">
          <cell r="A145" t="str">
            <v>100101280014</v>
          </cell>
          <cell r="B145" t="str">
            <v>Majhaul</v>
          </cell>
          <cell r="C145" t="str">
            <v>Majhaul</v>
          </cell>
          <cell r="D145" t="str">
            <v>Gomukh Aure Bikrampur</v>
          </cell>
          <cell r="E145">
            <v>10010128</v>
          </cell>
          <cell r="F145" t="str">
            <v>0014</v>
          </cell>
          <cell r="G145">
            <v>14</v>
          </cell>
          <cell r="H145">
            <v>317.47000000000003</v>
          </cell>
          <cell r="I145">
            <v>13353.905365899003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P145">
            <v>13354</v>
          </cell>
          <cell r="V145" t="str">
            <v>Available</v>
          </cell>
        </row>
        <row r="146">
          <cell r="A146" t="str">
            <v>100101280015</v>
          </cell>
          <cell r="B146" t="str">
            <v>Majhaul</v>
          </cell>
          <cell r="C146" t="str">
            <v>Majhaul</v>
          </cell>
          <cell r="D146" t="str">
            <v>Gomukh Aure Bikrampur</v>
          </cell>
          <cell r="E146">
            <v>10010128</v>
          </cell>
          <cell r="F146" t="str">
            <v>0015</v>
          </cell>
          <cell r="G146">
            <v>14</v>
          </cell>
          <cell r="H146">
            <v>384.51</v>
          </cell>
          <cell r="I146">
            <v>15322.5618016521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P146">
            <v>15323</v>
          </cell>
          <cell r="V146" t="str">
            <v>Available</v>
          </cell>
        </row>
        <row r="147">
          <cell r="A147" t="str">
            <v>100101280016</v>
          </cell>
          <cell r="B147" t="str">
            <v>Majhaul</v>
          </cell>
          <cell r="C147" t="str">
            <v>Majhaul</v>
          </cell>
          <cell r="D147" t="str">
            <v>Gomukh Aure Bikrampur</v>
          </cell>
          <cell r="E147">
            <v>10010128</v>
          </cell>
          <cell r="F147" t="str">
            <v>0016</v>
          </cell>
          <cell r="G147">
            <v>6</v>
          </cell>
          <cell r="H147">
            <v>78.38000000000001</v>
          </cell>
          <cell r="I147">
            <v>3111.2365842360005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P147">
            <v>3111</v>
          </cell>
          <cell r="V147" t="str">
            <v>Available</v>
          </cell>
        </row>
        <row r="148">
          <cell r="A148" t="str">
            <v>100101280018</v>
          </cell>
          <cell r="B148" t="str">
            <v>Majhaul</v>
          </cell>
          <cell r="C148" t="str">
            <v>Majhaul</v>
          </cell>
          <cell r="D148" t="str">
            <v>Gomukh Aure Bikrampur</v>
          </cell>
          <cell r="E148">
            <v>10010128</v>
          </cell>
          <cell r="F148" t="str">
            <v>0018</v>
          </cell>
          <cell r="G148">
            <v>9</v>
          </cell>
          <cell r="H148">
            <v>157.66</v>
          </cell>
          <cell r="I148">
            <v>7757.6751244604993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P148">
            <v>7758</v>
          </cell>
          <cell r="V148" t="str">
            <v>Available</v>
          </cell>
        </row>
        <row r="149">
          <cell r="A149" t="str">
            <v>100101400002</v>
          </cell>
          <cell r="B149" t="str">
            <v>Majhaul</v>
          </cell>
          <cell r="C149" t="str">
            <v>Majhaul</v>
          </cell>
          <cell r="D149" t="str">
            <v>Shri Bhairav Laxmipur</v>
          </cell>
          <cell r="E149">
            <v>10010140</v>
          </cell>
          <cell r="F149" t="str">
            <v>0002</v>
          </cell>
          <cell r="G149">
            <v>11</v>
          </cell>
          <cell r="H149">
            <v>50.230000000000004</v>
          </cell>
          <cell r="I149">
            <v>1883.5382559134862</v>
          </cell>
          <cell r="J149">
            <v>0</v>
          </cell>
          <cell r="K149">
            <v>0</v>
          </cell>
          <cell r="L149">
            <v>1270</v>
          </cell>
          <cell r="M149">
            <v>0</v>
          </cell>
          <cell r="P149">
            <v>550</v>
          </cell>
          <cell r="V149" t="str">
            <v>Available</v>
          </cell>
        </row>
        <row r="150">
          <cell r="A150" t="str">
            <v>100101400003</v>
          </cell>
          <cell r="B150" t="str">
            <v>Majhaul</v>
          </cell>
          <cell r="C150" t="str">
            <v>Majhaul</v>
          </cell>
          <cell r="D150" t="str">
            <v>Shri Bhairav Laxmipur</v>
          </cell>
          <cell r="E150">
            <v>10010140</v>
          </cell>
          <cell r="F150" t="str">
            <v>0003</v>
          </cell>
          <cell r="G150">
            <v>1</v>
          </cell>
          <cell r="H150">
            <v>3.28</v>
          </cell>
          <cell r="I150">
            <v>124.54310805314398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P150">
            <v>125</v>
          </cell>
          <cell r="V150" t="str">
            <v>Available</v>
          </cell>
        </row>
        <row r="151">
          <cell r="A151" t="str">
            <v>100101400004</v>
          </cell>
          <cell r="B151" t="str">
            <v>Majhaul</v>
          </cell>
          <cell r="C151" t="str">
            <v>Majhaul</v>
          </cell>
          <cell r="D151" t="str">
            <v>Shri Bhairav Laxmipur</v>
          </cell>
          <cell r="E151">
            <v>10010140</v>
          </cell>
          <cell r="F151" t="str">
            <v>0004</v>
          </cell>
          <cell r="G151">
            <v>6</v>
          </cell>
          <cell r="H151">
            <v>7.17</v>
          </cell>
          <cell r="I151">
            <v>266.04414540000005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P151">
            <v>266</v>
          </cell>
          <cell r="V151" t="str">
            <v>Available</v>
          </cell>
        </row>
        <row r="152">
          <cell r="A152" t="str">
            <v>100101400005</v>
          </cell>
          <cell r="B152" t="str">
            <v>Majhaul</v>
          </cell>
          <cell r="C152" t="str">
            <v>Majhaul</v>
          </cell>
          <cell r="D152" t="str">
            <v>Shri Bhairav Laxmipur</v>
          </cell>
          <cell r="E152">
            <v>10010140</v>
          </cell>
          <cell r="F152" t="str">
            <v>0005</v>
          </cell>
          <cell r="G152">
            <v>3</v>
          </cell>
          <cell r="H152">
            <v>11.899999999999999</v>
          </cell>
          <cell r="I152">
            <v>445.06412676000008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P152">
            <v>445</v>
          </cell>
          <cell r="V152" t="str">
            <v>Available</v>
          </cell>
        </row>
        <row r="153">
          <cell r="A153" t="str">
            <v>100101400006</v>
          </cell>
          <cell r="B153" t="str">
            <v>Majhaul</v>
          </cell>
          <cell r="C153" t="str">
            <v>Majhaul</v>
          </cell>
          <cell r="D153" t="str">
            <v>Shri Bhairav Laxmipur</v>
          </cell>
          <cell r="E153">
            <v>10010140</v>
          </cell>
          <cell r="F153" t="str">
            <v>0006</v>
          </cell>
          <cell r="G153">
            <v>4</v>
          </cell>
          <cell r="H153">
            <v>3.19</v>
          </cell>
          <cell r="I153">
            <v>123.78384018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P153">
            <v>124</v>
          </cell>
          <cell r="V153" t="str">
            <v>Available</v>
          </cell>
        </row>
        <row r="154">
          <cell r="A154" t="str">
            <v>100101400007</v>
          </cell>
          <cell r="B154" t="str">
            <v>Majhaul</v>
          </cell>
          <cell r="C154" t="str">
            <v>Majhaul</v>
          </cell>
          <cell r="D154" t="str">
            <v>Shri Bhairav Laxmipur</v>
          </cell>
          <cell r="E154">
            <v>10010140</v>
          </cell>
          <cell r="F154" t="str">
            <v>0007</v>
          </cell>
          <cell r="G154">
            <v>14</v>
          </cell>
          <cell r="H154">
            <v>105</v>
          </cell>
          <cell r="I154">
            <v>3927.4571397600007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P154">
            <v>3927</v>
          </cell>
          <cell r="V154" t="str">
            <v>Available</v>
          </cell>
        </row>
        <row r="155">
          <cell r="A155" t="str">
            <v>100101400012</v>
          </cell>
          <cell r="B155" t="str">
            <v>Majhaul</v>
          </cell>
          <cell r="C155" t="str">
            <v>Majhaul</v>
          </cell>
          <cell r="D155" t="str">
            <v>Shri Bhairav Laxmipur</v>
          </cell>
          <cell r="E155">
            <v>10010140</v>
          </cell>
          <cell r="F155" t="str">
            <v>0012</v>
          </cell>
          <cell r="G155">
            <v>7</v>
          </cell>
          <cell r="H155">
            <v>17.3</v>
          </cell>
          <cell r="I155">
            <v>648.8250793200001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P155">
            <v>649</v>
          </cell>
          <cell r="V155" t="str">
            <v>Available</v>
          </cell>
        </row>
        <row r="156">
          <cell r="A156" t="str">
            <v>100101400013</v>
          </cell>
          <cell r="B156" t="str">
            <v>Majhaul</v>
          </cell>
          <cell r="C156" t="str">
            <v>Majhaul</v>
          </cell>
          <cell r="D156" t="str">
            <v>Shri Bhairav Laxmipur</v>
          </cell>
          <cell r="E156">
            <v>10010140</v>
          </cell>
          <cell r="F156" t="str">
            <v>0013</v>
          </cell>
          <cell r="G156">
            <v>14</v>
          </cell>
          <cell r="H156">
            <v>68.08</v>
          </cell>
          <cell r="I156">
            <v>3123.1418001499705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P156">
            <v>3123</v>
          </cell>
          <cell r="V156" t="str">
            <v>Available</v>
          </cell>
        </row>
        <row r="157">
          <cell r="A157" t="str">
            <v>100101410002</v>
          </cell>
          <cell r="B157" t="str">
            <v>Majhaul</v>
          </cell>
          <cell r="C157" t="str">
            <v>Majhaul</v>
          </cell>
          <cell r="D157" t="str">
            <v>Goapalpur</v>
          </cell>
          <cell r="E157">
            <v>10010141</v>
          </cell>
          <cell r="F157" t="str">
            <v>0002</v>
          </cell>
          <cell r="G157">
            <v>4</v>
          </cell>
          <cell r="H157">
            <v>4.3600000000000003</v>
          </cell>
          <cell r="I157">
            <v>169.54020626400003</v>
          </cell>
          <cell r="J157">
            <v>0</v>
          </cell>
          <cell r="K157">
            <v>0</v>
          </cell>
          <cell r="L157">
            <v>170</v>
          </cell>
          <cell r="M157">
            <v>0</v>
          </cell>
          <cell r="P157">
            <v>0</v>
          </cell>
          <cell r="V157" t="str">
            <v>Available</v>
          </cell>
        </row>
        <row r="158">
          <cell r="A158" t="str">
            <v>100101410004</v>
          </cell>
          <cell r="B158" t="str">
            <v>Majhaul</v>
          </cell>
          <cell r="C158" t="str">
            <v>Majhaul</v>
          </cell>
          <cell r="D158" t="str">
            <v>Goapalpur</v>
          </cell>
          <cell r="E158">
            <v>10010141</v>
          </cell>
          <cell r="F158" t="str">
            <v>0004</v>
          </cell>
          <cell r="G158">
            <v>1</v>
          </cell>
          <cell r="H158">
            <v>1.97</v>
          </cell>
          <cell r="I158">
            <v>69.458635600200012</v>
          </cell>
          <cell r="J158">
            <v>0</v>
          </cell>
          <cell r="K158">
            <v>0</v>
          </cell>
          <cell r="L158">
            <v>69</v>
          </cell>
          <cell r="M158">
            <v>0</v>
          </cell>
          <cell r="P158">
            <v>0</v>
          </cell>
          <cell r="V158" t="str">
            <v>Available</v>
          </cell>
        </row>
        <row r="159">
          <cell r="A159" t="str">
            <v>100101410005</v>
          </cell>
          <cell r="B159" t="str">
            <v>Majhaul</v>
          </cell>
          <cell r="C159" t="str">
            <v>Majhaul</v>
          </cell>
          <cell r="D159" t="str">
            <v>Goapalpur</v>
          </cell>
          <cell r="E159">
            <v>10010141</v>
          </cell>
          <cell r="F159" t="str">
            <v>0005</v>
          </cell>
          <cell r="G159">
            <v>12</v>
          </cell>
          <cell r="H159">
            <v>25.9</v>
          </cell>
          <cell r="I159">
            <v>1041.2036541064829</v>
          </cell>
          <cell r="J159">
            <v>0</v>
          </cell>
          <cell r="K159">
            <v>0</v>
          </cell>
          <cell r="L159">
            <v>396</v>
          </cell>
          <cell r="M159">
            <v>0</v>
          </cell>
          <cell r="P159">
            <v>527</v>
          </cell>
          <cell r="V159" t="str">
            <v>Available</v>
          </cell>
        </row>
        <row r="160">
          <cell r="A160" t="str">
            <v>100101410006</v>
          </cell>
          <cell r="B160" t="str">
            <v>Majhaul</v>
          </cell>
          <cell r="C160" t="str">
            <v>Majhaul</v>
          </cell>
          <cell r="D160" t="str">
            <v>Goapalpur</v>
          </cell>
          <cell r="E160">
            <v>10010141</v>
          </cell>
          <cell r="F160" t="str">
            <v>0006</v>
          </cell>
          <cell r="G160">
            <v>9</v>
          </cell>
          <cell r="H160">
            <v>22.11</v>
          </cell>
          <cell r="I160">
            <v>870.84143519073609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P160">
            <v>871</v>
          </cell>
          <cell r="V160" t="str">
            <v>Available</v>
          </cell>
        </row>
        <row r="161">
          <cell r="A161" t="str">
            <v>100101410007</v>
          </cell>
          <cell r="B161" t="str">
            <v>Majhaul</v>
          </cell>
          <cell r="C161" t="str">
            <v>Majhaul</v>
          </cell>
          <cell r="D161" t="str">
            <v>Goapalpur</v>
          </cell>
          <cell r="E161">
            <v>10010141</v>
          </cell>
          <cell r="F161" t="str">
            <v>0007</v>
          </cell>
          <cell r="G161">
            <v>9</v>
          </cell>
          <cell r="H161">
            <v>11.44</v>
          </cell>
          <cell r="I161">
            <v>490.4128299515001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P161">
            <v>490</v>
          </cell>
          <cell r="V161" t="str">
            <v>Available</v>
          </cell>
        </row>
        <row r="162">
          <cell r="A162" t="str">
            <v>100101410008</v>
          </cell>
          <cell r="B162" t="str">
            <v>Majhaul</v>
          </cell>
          <cell r="C162" t="str">
            <v>Majhaul</v>
          </cell>
          <cell r="D162" t="str">
            <v>Goapalpur</v>
          </cell>
          <cell r="E162">
            <v>10010141</v>
          </cell>
          <cell r="F162" t="str">
            <v>0008</v>
          </cell>
          <cell r="G162">
            <v>6</v>
          </cell>
          <cell r="H162">
            <v>8.9499999999999993</v>
          </cell>
          <cell r="I162">
            <v>331.24191756480002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P162">
            <v>331</v>
          </cell>
          <cell r="V162" t="str">
            <v>Available</v>
          </cell>
        </row>
        <row r="163">
          <cell r="A163" t="str">
            <v>100101410012</v>
          </cell>
          <cell r="B163" t="str">
            <v>Majhaul</v>
          </cell>
          <cell r="C163" t="str">
            <v>Majhaul</v>
          </cell>
          <cell r="D163" t="str">
            <v>Goapalpur</v>
          </cell>
          <cell r="E163">
            <v>10010141</v>
          </cell>
          <cell r="F163" t="str">
            <v>0012</v>
          </cell>
          <cell r="G163">
            <v>6</v>
          </cell>
          <cell r="H163">
            <v>9.59</v>
          </cell>
          <cell r="I163">
            <v>404.422037449122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P163">
            <v>404</v>
          </cell>
          <cell r="V163" t="str">
            <v>Available</v>
          </cell>
        </row>
        <row r="164">
          <cell r="A164" t="str">
            <v>100101410014</v>
          </cell>
          <cell r="B164" t="str">
            <v>Majhaul</v>
          </cell>
          <cell r="C164" t="str">
            <v>Majhaul</v>
          </cell>
          <cell r="D164" t="str">
            <v>Goapalpur</v>
          </cell>
          <cell r="E164">
            <v>10010141</v>
          </cell>
          <cell r="F164" t="str">
            <v>0014</v>
          </cell>
          <cell r="G164">
            <v>13</v>
          </cell>
          <cell r="H164">
            <v>28.58</v>
          </cell>
          <cell r="I164">
            <v>1068.9142367376003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P164">
            <v>1069</v>
          </cell>
          <cell r="V164" t="str">
            <v>Available</v>
          </cell>
        </row>
        <row r="165">
          <cell r="A165" t="str">
            <v>100101410015</v>
          </cell>
          <cell r="B165" t="str">
            <v>Majhaul</v>
          </cell>
          <cell r="C165" t="str">
            <v>Majhaul</v>
          </cell>
          <cell r="D165" t="str">
            <v>Goapalpur</v>
          </cell>
          <cell r="E165">
            <v>10010141</v>
          </cell>
          <cell r="F165" t="str">
            <v>0015</v>
          </cell>
          <cell r="G165">
            <v>13</v>
          </cell>
          <cell r="H165">
            <v>28.4</v>
          </cell>
          <cell r="I165">
            <v>1017.6459527916002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P165">
            <v>1018</v>
          </cell>
          <cell r="V165" t="str">
            <v>Available</v>
          </cell>
        </row>
        <row r="166">
          <cell r="A166" t="str">
            <v>100101430002</v>
          </cell>
          <cell r="B166" t="str">
            <v>Majhaul</v>
          </cell>
          <cell r="C166" t="str">
            <v>Majhaul</v>
          </cell>
          <cell r="D166" t="str">
            <v>Gomukh Akaha</v>
          </cell>
          <cell r="E166">
            <v>10010143</v>
          </cell>
          <cell r="F166" t="str">
            <v>0002</v>
          </cell>
          <cell r="G166">
            <v>1</v>
          </cell>
          <cell r="H166">
            <v>3.03</v>
          </cell>
          <cell r="I166">
            <v>132.79011966000002</v>
          </cell>
          <cell r="J166">
            <v>0</v>
          </cell>
          <cell r="K166">
            <v>0</v>
          </cell>
          <cell r="L166">
            <v>133</v>
          </cell>
          <cell r="M166">
            <v>0</v>
          </cell>
          <cell r="P166">
            <v>0</v>
          </cell>
          <cell r="V166" t="str">
            <v>Available</v>
          </cell>
        </row>
        <row r="167">
          <cell r="A167" t="str">
            <v>100101430003</v>
          </cell>
          <cell r="B167" t="str">
            <v>Majhaul</v>
          </cell>
          <cell r="C167" t="str">
            <v>Majhaul</v>
          </cell>
          <cell r="D167" t="str">
            <v>Gomukh Akaha</v>
          </cell>
          <cell r="E167">
            <v>10010143</v>
          </cell>
          <cell r="F167" t="str">
            <v>0003</v>
          </cell>
          <cell r="G167">
            <v>13</v>
          </cell>
          <cell r="H167">
            <v>54.61</v>
          </cell>
          <cell r="I167">
            <v>2100.5370274284005</v>
          </cell>
          <cell r="J167">
            <v>0</v>
          </cell>
          <cell r="K167">
            <v>0</v>
          </cell>
          <cell r="L167">
            <v>218</v>
          </cell>
          <cell r="M167">
            <v>0</v>
          </cell>
          <cell r="P167">
            <v>1883</v>
          </cell>
          <cell r="V167" t="str">
            <v>Available</v>
          </cell>
        </row>
        <row r="168">
          <cell r="A168" t="str">
            <v>100101430007</v>
          </cell>
          <cell r="B168" t="str">
            <v>Majhaul</v>
          </cell>
          <cell r="C168" t="str">
            <v>Majhaul</v>
          </cell>
          <cell r="D168" t="str">
            <v>Gomukh Akaha</v>
          </cell>
          <cell r="E168">
            <v>10010143</v>
          </cell>
          <cell r="F168" t="str">
            <v>0007</v>
          </cell>
          <cell r="G168">
            <v>13</v>
          </cell>
          <cell r="H168">
            <v>52.149999999999991</v>
          </cell>
          <cell r="I168">
            <v>1914.9053647680005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P168">
            <v>1915</v>
          </cell>
          <cell r="V168" t="str">
            <v>Available</v>
          </cell>
        </row>
        <row r="169">
          <cell r="A169" t="str">
            <v>100101440003</v>
          </cell>
          <cell r="B169" t="str">
            <v>Majhaul</v>
          </cell>
          <cell r="C169" t="str">
            <v>Majhaul</v>
          </cell>
          <cell r="D169" t="str">
            <v>Gomukh Rajakpur</v>
          </cell>
          <cell r="E169">
            <v>10010144</v>
          </cell>
          <cell r="F169" t="str">
            <v>0003</v>
          </cell>
          <cell r="G169">
            <v>11</v>
          </cell>
          <cell r="H169">
            <v>37.1</v>
          </cell>
          <cell r="I169">
            <v>1303.7773320000001</v>
          </cell>
          <cell r="J169">
            <v>0</v>
          </cell>
          <cell r="K169">
            <v>0</v>
          </cell>
          <cell r="L169">
            <v>242</v>
          </cell>
          <cell r="M169">
            <v>0</v>
          </cell>
          <cell r="P169">
            <v>1062</v>
          </cell>
          <cell r="V169" t="str">
            <v>Available</v>
          </cell>
        </row>
        <row r="170">
          <cell r="A170" t="str">
            <v>100101450001</v>
          </cell>
          <cell r="B170" t="str">
            <v>Majhaul</v>
          </cell>
          <cell r="C170" t="str">
            <v>Majhaul</v>
          </cell>
          <cell r="D170" t="str">
            <v>Gomukh Mohanpur</v>
          </cell>
          <cell r="E170">
            <v>10010145</v>
          </cell>
          <cell r="F170" t="str">
            <v>0001</v>
          </cell>
          <cell r="G170">
            <v>9</v>
          </cell>
          <cell r="H170">
            <v>2.88</v>
          </cell>
          <cell r="I170">
            <v>106.20646728120001</v>
          </cell>
          <cell r="J170">
            <v>0</v>
          </cell>
          <cell r="K170">
            <v>106.20646728120001</v>
          </cell>
          <cell r="L170">
            <v>0</v>
          </cell>
          <cell r="M170">
            <v>0</v>
          </cell>
          <cell r="P170">
            <v>0</v>
          </cell>
          <cell r="V170" t="str">
            <v>Not Available</v>
          </cell>
        </row>
        <row r="171">
          <cell r="A171" t="str">
            <v>100101450002</v>
          </cell>
          <cell r="B171" t="str">
            <v>Majhaul</v>
          </cell>
          <cell r="C171" t="str">
            <v>Majhaul</v>
          </cell>
          <cell r="D171" t="str">
            <v>Gomukh Mohanpur</v>
          </cell>
          <cell r="E171">
            <v>10010145</v>
          </cell>
          <cell r="F171" t="str">
            <v>0002</v>
          </cell>
          <cell r="G171">
            <v>14</v>
          </cell>
          <cell r="H171">
            <v>50.160000000000004</v>
          </cell>
          <cell r="I171">
            <v>2136.4239485533403</v>
          </cell>
          <cell r="J171">
            <v>0</v>
          </cell>
          <cell r="K171">
            <v>0</v>
          </cell>
          <cell r="L171">
            <v>17</v>
          </cell>
          <cell r="M171">
            <v>0</v>
          </cell>
          <cell r="P171">
            <v>2119</v>
          </cell>
          <cell r="V171" t="str">
            <v>Available</v>
          </cell>
        </row>
        <row r="172">
          <cell r="A172" t="str">
            <v>100101450003</v>
          </cell>
          <cell r="B172" t="str">
            <v>Majhaul</v>
          </cell>
          <cell r="C172" t="str">
            <v>Majhaul</v>
          </cell>
          <cell r="D172" t="str">
            <v>Gomukh Mohanpur</v>
          </cell>
          <cell r="E172">
            <v>10010145</v>
          </cell>
          <cell r="F172" t="str">
            <v>0003</v>
          </cell>
          <cell r="G172">
            <v>14</v>
          </cell>
          <cell r="H172">
            <v>57.21</v>
          </cell>
          <cell r="I172">
            <v>2135.4336298746002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P172">
            <v>2135</v>
          </cell>
          <cell r="V172" t="str">
            <v>Available</v>
          </cell>
        </row>
        <row r="173">
          <cell r="A173" t="str">
            <v>100101450005</v>
          </cell>
          <cell r="B173" t="str">
            <v>Majhaul</v>
          </cell>
          <cell r="C173" t="str">
            <v>Majhaul</v>
          </cell>
          <cell r="D173" t="str">
            <v>Gomukh Mohanpur</v>
          </cell>
          <cell r="E173">
            <v>10010145</v>
          </cell>
          <cell r="F173" t="str">
            <v>0005</v>
          </cell>
          <cell r="G173">
            <v>7</v>
          </cell>
          <cell r="H173">
            <v>15.629999999999999</v>
          </cell>
          <cell r="I173">
            <v>555.9566575266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P173">
            <v>556</v>
          </cell>
          <cell r="V173" t="str">
            <v>Available</v>
          </cell>
        </row>
        <row r="174">
          <cell r="A174" t="str">
            <v>100101450006</v>
          </cell>
          <cell r="B174" t="str">
            <v>Majhaul</v>
          </cell>
          <cell r="C174" t="str">
            <v>Majhaul</v>
          </cell>
          <cell r="D174" t="str">
            <v>Gomukh Mohanpur</v>
          </cell>
          <cell r="E174">
            <v>10010145</v>
          </cell>
          <cell r="F174" t="str">
            <v>0006</v>
          </cell>
          <cell r="G174">
            <v>7</v>
          </cell>
          <cell r="H174">
            <v>7.4099999999999993</v>
          </cell>
          <cell r="I174">
            <v>285.01041333600006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P174">
            <v>285</v>
          </cell>
          <cell r="V174" t="str">
            <v>Available</v>
          </cell>
        </row>
        <row r="175">
          <cell r="A175" t="str">
            <v>100101450012</v>
          </cell>
          <cell r="B175" t="str">
            <v>Majhaul</v>
          </cell>
          <cell r="C175" t="str">
            <v>Majhaul</v>
          </cell>
          <cell r="D175" t="str">
            <v>Gomukh Mohanpur</v>
          </cell>
          <cell r="E175">
            <v>10010145</v>
          </cell>
          <cell r="F175" t="str">
            <v>0012</v>
          </cell>
          <cell r="G175">
            <v>12</v>
          </cell>
          <cell r="H175">
            <v>40.679999999999993</v>
          </cell>
          <cell r="I175">
            <v>1462.8949646652002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P175">
            <v>1463</v>
          </cell>
          <cell r="V175" t="str">
            <v>Available</v>
          </cell>
        </row>
        <row r="176">
          <cell r="A176" t="str">
            <v>100101450013</v>
          </cell>
          <cell r="B176" t="str">
            <v>Majhaul</v>
          </cell>
          <cell r="C176" t="str">
            <v>Majhaul</v>
          </cell>
          <cell r="D176" t="str">
            <v>Gomukh Mohanpur</v>
          </cell>
          <cell r="E176">
            <v>10010145</v>
          </cell>
          <cell r="F176" t="str">
            <v>0013</v>
          </cell>
          <cell r="G176">
            <v>14</v>
          </cell>
          <cell r="H176">
            <v>39.409999999999989</v>
          </cell>
          <cell r="I176">
            <v>1533.3159824730001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P176">
            <v>1533</v>
          </cell>
          <cell r="V176" t="str">
            <v>Available</v>
          </cell>
        </row>
        <row r="177">
          <cell r="A177" t="str">
            <v>100101450014</v>
          </cell>
          <cell r="B177" t="str">
            <v>Majhaul</v>
          </cell>
          <cell r="C177" t="str">
            <v>Majhaul</v>
          </cell>
          <cell r="D177" t="str">
            <v>Gomukh Mohanpur</v>
          </cell>
          <cell r="E177">
            <v>10010145</v>
          </cell>
          <cell r="F177" t="str">
            <v>0014</v>
          </cell>
          <cell r="G177">
            <v>7</v>
          </cell>
          <cell r="H177">
            <v>30.42</v>
          </cell>
          <cell r="I177">
            <v>1243.53749124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P177">
            <v>1244</v>
          </cell>
          <cell r="V177" t="str">
            <v>Available</v>
          </cell>
        </row>
        <row r="178">
          <cell r="A178" t="str">
            <v>100101450016</v>
          </cell>
          <cell r="B178" t="str">
            <v>Majhaul</v>
          </cell>
          <cell r="C178" t="str">
            <v>Majhaul</v>
          </cell>
          <cell r="D178" t="str">
            <v>Gomukh Mohanpur</v>
          </cell>
          <cell r="E178">
            <v>10010145</v>
          </cell>
          <cell r="F178" t="str">
            <v>0016</v>
          </cell>
          <cell r="G178">
            <v>13</v>
          </cell>
          <cell r="H178">
            <v>46.250000000000007</v>
          </cell>
          <cell r="I178">
            <v>1560.0617127018002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P178">
            <v>1560</v>
          </cell>
          <cell r="V178" t="str">
            <v>Available</v>
          </cell>
        </row>
        <row r="179">
          <cell r="A179" t="str">
            <v>100101450017</v>
          </cell>
          <cell r="B179" t="str">
            <v>Majhaul</v>
          </cell>
          <cell r="C179" t="str">
            <v>Majhaul</v>
          </cell>
          <cell r="D179" t="str">
            <v>Gomukh Mohanpur</v>
          </cell>
          <cell r="E179">
            <v>10010145</v>
          </cell>
          <cell r="F179" t="str">
            <v>0017</v>
          </cell>
          <cell r="G179">
            <v>11</v>
          </cell>
          <cell r="H179">
            <v>17.080000000000002</v>
          </cell>
          <cell r="I179">
            <v>619.24752711359997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P179">
            <v>619</v>
          </cell>
          <cell r="V179" t="str">
            <v>Available</v>
          </cell>
        </row>
        <row r="180">
          <cell r="A180" t="str">
            <v>100101460001</v>
          </cell>
          <cell r="B180" t="str">
            <v>Majhaul</v>
          </cell>
          <cell r="C180" t="str">
            <v>Majhaul</v>
          </cell>
          <cell r="D180" t="str">
            <v>Gomukh Chakka</v>
          </cell>
          <cell r="E180">
            <v>10010146</v>
          </cell>
          <cell r="F180" t="str">
            <v>0001</v>
          </cell>
          <cell r="G180">
            <v>1</v>
          </cell>
          <cell r="H180">
            <v>0.14000000000000001</v>
          </cell>
          <cell r="I180">
            <v>5.3039170800000006</v>
          </cell>
          <cell r="J180">
            <v>0</v>
          </cell>
          <cell r="K180">
            <v>5.3039170800000006</v>
          </cell>
          <cell r="L180">
            <v>0</v>
          </cell>
          <cell r="M180">
            <v>0</v>
          </cell>
          <cell r="P180">
            <v>0</v>
          </cell>
          <cell r="V180" t="str">
            <v>Not Available</v>
          </cell>
        </row>
        <row r="181">
          <cell r="A181" t="str">
            <v>100101460002</v>
          </cell>
          <cell r="B181" t="str">
            <v>Majhaul</v>
          </cell>
          <cell r="C181" t="str">
            <v>Majhaul</v>
          </cell>
          <cell r="D181" t="str">
            <v>Gomukh Chakka</v>
          </cell>
          <cell r="E181">
            <v>10010146</v>
          </cell>
          <cell r="F181" t="str">
            <v>0002</v>
          </cell>
          <cell r="G181">
            <v>14</v>
          </cell>
          <cell r="H181">
            <v>83.52000000000001</v>
          </cell>
          <cell r="I181">
            <v>3416.0807998363625</v>
          </cell>
          <cell r="J181">
            <v>0</v>
          </cell>
          <cell r="K181">
            <v>0</v>
          </cell>
          <cell r="L181">
            <v>59</v>
          </cell>
          <cell r="M181">
            <v>0</v>
          </cell>
          <cell r="P181">
            <v>3357</v>
          </cell>
          <cell r="V181" t="str">
            <v>Available</v>
          </cell>
        </row>
        <row r="182">
          <cell r="A182" t="str">
            <v>100101460004</v>
          </cell>
          <cell r="B182" t="str">
            <v>Majhaul</v>
          </cell>
          <cell r="C182" t="str">
            <v>Majhaul</v>
          </cell>
          <cell r="D182" t="str">
            <v>Gomukh Chakka</v>
          </cell>
          <cell r="E182">
            <v>10010146</v>
          </cell>
          <cell r="F182" t="str">
            <v>0004</v>
          </cell>
          <cell r="G182">
            <v>14</v>
          </cell>
          <cell r="H182">
            <v>46.660000000000004</v>
          </cell>
          <cell r="I182">
            <v>1780.6333174675203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P182">
            <v>1781</v>
          </cell>
          <cell r="V182" t="str">
            <v>Available</v>
          </cell>
        </row>
        <row r="183">
          <cell r="A183" t="str">
            <v>100101460005</v>
          </cell>
          <cell r="B183" t="str">
            <v>Majhaul</v>
          </cell>
          <cell r="C183" t="str">
            <v>Majhaul</v>
          </cell>
          <cell r="D183" t="str">
            <v>Gomukh Chakka</v>
          </cell>
          <cell r="E183">
            <v>10010146</v>
          </cell>
          <cell r="F183" t="str">
            <v>0005</v>
          </cell>
          <cell r="G183">
            <v>12</v>
          </cell>
          <cell r="H183">
            <v>21.719999999999995</v>
          </cell>
          <cell r="I183">
            <v>823.57472973599999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P183">
            <v>824</v>
          </cell>
          <cell r="V183" t="str">
            <v>Available</v>
          </cell>
        </row>
        <row r="184">
          <cell r="A184" t="str">
            <v>100101460008</v>
          </cell>
          <cell r="B184" t="str">
            <v>Majhaul</v>
          </cell>
          <cell r="C184" t="str">
            <v>Majhaul</v>
          </cell>
          <cell r="D184" t="str">
            <v>Gomukh Chakka</v>
          </cell>
          <cell r="E184">
            <v>10010146</v>
          </cell>
          <cell r="F184" t="str">
            <v>0008</v>
          </cell>
          <cell r="G184">
            <v>13</v>
          </cell>
          <cell r="H184">
            <v>35.140000000000008</v>
          </cell>
          <cell r="I184">
            <v>1146.7970612603999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P184">
            <v>1147</v>
          </cell>
          <cell r="V184" t="str">
            <v>Available</v>
          </cell>
        </row>
        <row r="185">
          <cell r="A185" t="str">
            <v>100101480001</v>
          </cell>
          <cell r="B185" t="str">
            <v>Majhaul</v>
          </cell>
          <cell r="C185" t="str">
            <v>Majhaul</v>
          </cell>
          <cell r="D185" t="str">
            <v>Gomukh Meghaul-02</v>
          </cell>
          <cell r="E185">
            <v>10010148</v>
          </cell>
          <cell r="F185" t="str">
            <v>0001</v>
          </cell>
          <cell r="G185">
            <v>7</v>
          </cell>
          <cell r="H185">
            <v>3.15</v>
          </cell>
          <cell r="I185">
            <v>121.66658776800001</v>
          </cell>
          <cell r="J185">
            <v>0</v>
          </cell>
          <cell r="K185">
            <v>121.66658776800001</v>
          </cell>
          <cell r="L185">
            <v>0</v>
          </cell>
          <cell r="M185">
            <v>0</v>
          </cell>
          <cell r="P185">
            <v>0</v>
          </cell>
          <cell r="V185" t="str">
            <v>Not Available</v>
          </cell>
        </row>
        <row r="186">
          <cell r="A186" t="str">
            <v>100101480002</v>
          </cell>
          <cell r="B186" t="str">
            <v>Majhaul</v>
          </cell>
          <cell r="C186" t="str">
            <v>Majhaul</v>
          </cell>
          <cell r="D186" t="str">
            <v>Gomukh Meghaul-02</v>
          </cell>
          <cell r="E186">
            <v>10010148</v>
          </cell>
          <cell r="F186" t="str">
            <v>0002</v>
          </cell>
          <cell r="G186">
            <v>14</v>
          </cell>
          <cell r="H186">
            <v>137.81</v>
          </cell>
          <cell r="I186">
            <v>5264.3719557000013</v>
          </cell>
          <cell r="J186">
            <v>0</v>
          </cell>
          <cell r="K186">
            <v>0</v>
          </cell>
          <cell r="L186">
            <v>190</v>
          </cell>
          <cell r="M186">
            <v>0</v>
          </cell>
          <cell r="P186">
            <v>5074</v>
          </cell>
          <cell r="V186" t="str">
            <v>Available</v>
          </cell>
        </row>
        <row r="187">
          <cell r="A187" t="str">
            <v>100101480003</v>
          </cell>
          <cell r="B187" t="str">
            <v>Majhaul</v>
          </cell>
          <cell r="C187" t="str">
            <v>Majhaul</v>
          </cell>
          <cell r="D187" t="str">
            <v>Gomukh Meghaul-02</v>
          </cell>
          <cell r="E187">
            <v>10010148</v>
          </cell>
          <cell r="F187" t="str">
            <v>0003</v>
          </cell>
          <cell r="G187">
            <v>7</v>
          </cell>
          <cell r="H187">
            <v>38.869999999999997</v>
          </cell>
          <cell r="I187">
            <v>1612.3414849421999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P187">
            <v>1612</v>
          </cell>
          <cell r="V187" t="str">
            <v>Available</v>
          </cell>
        </row>
        <row r="188">
          <cell r="A188" t="str">
            <v>100101480004</v>
          </cell>
          <cell r="B188" t="str">
            <v>Majhaul</v>
          </cell>
          <cell r="C188" t="str">
            <v>Majhaul</v>
          </cell>
          <cell r="D188" t="str">
            <v>Gomukh Meghaul-02</v>
          </cell>
          <cell r="E188">
            <v>10010148</v>
          </cell>
          <cell r="F188" t="str">
            <v>0004</v>
          </cell>
          <cell r="G188">
            <v>9</v>
          </cell>
          <cell r="H188">
            <v>59.140000000000008</v>
          </cell>
          <cell r="I188">
            <v>2133.3516482519999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P188">
            <v>2133</v>
          </cell>
          <cell r="V188" t="str">
            <v>Available</v>
          </cell>
        </row>
        <row r="189">
          <cell r="A189" t="str">
            <v>100101480006</v>
          </cell>
          <cell r="B189" t="str">
            <v>Majhaul</v>
          </cell>
          <cell r="C189" t="str">
            <v>Majhaul</v>
          </cell>
          <cell r="D189" t="str">
            <v>Gomukh Meghaul-02</v>
          </cell>
          <cell r="E189">
            <v>10010148</v>
          </cell>
          <cell r="F189" t="str">
            <v>0006</v>
          </cell>
          <cell r="G189">
            <v>7</v>
          </cell>
          <cell r="H189">
            <v>33.69</v>
          </cell>
          <cell r="I189">
            <v>1323.1841400162002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P189">
            <v>1323</v>
          </cell>
          <cell r="V189" t="str">
            <v>Available</v>
          </cell>
        </row>
        <row r="190">
          <cell r="A190" t="str">
            <v>100101480007</v>
          </cell>
          <cell r="B190" t="str">
            <v>Majhaul</v>
          </cell>
          <cell r="C190" t="str">
            <v>Majhaul</v>
          </cell>
          <cell r="D190" t="str">
            <v>Gomukh Meghaul-02</v>
          </cell>
          <cell r="E190">
            <v>10010148</v>
          </cell>
          <cell r="F190" t="str">
            <v>0007</v>
          </cell>
          <cell r="G190">
            <v>13</v>
          </cell>
          <cell r="H190">
            <v>40.999999999999993</v>
          </cell>
          <cell r="I190">
            <v>1405.1735082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P190">
            <v>1405</v>
          </cell>
          <cell r="V190" t="str">
            <v>Available</v>
          </cell>
        </row>
        <row r="191">
          <cell r="A191" t="str">
            <v>100101480008</v>
          </cell>
          <cell r="B191" t="str">
            <v>Majhaul</v>
          </cell>
          <cell r="C191" t="str">
            <v>Majhaul</v>
          </cell>
          <cell r="D191" t="str">
            <v>Gomukh Meghaul-02</v>
          </cell>
          <cell r="E191">
            <v>10010148</v>
          </cell>
          <cell r="F191" t="str">
            <v>0008</v>
          </cell>
          <cell r="G191">
            <v>1</v>
          </cell>
          <cell r="H191">
            <v>1.3</v>
          </cell>
          <cell r="I191">
            <v>55.428258600000007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P191">
            <v>55</v>
          </cell>
          <cell r="V191" t="str">
            <v>Available</v>
          </cell>
        </row>
        <row r="192">
          <cell r="A192" t="str">
            <v>100101490002</v>
          </cell>
          <cell r="B192" t="str">
            <v>Majhaul</v>
          </cell>
          <cell r="C192" t="str">
            <v>Majhaul</v>
          </cell>
          <cell r="D192" t="str">
            <v>Gomukh Meida</v>
          </cell>
          <cell r="E192">
            <v>10010149</v>
          </cell>
          <cell r="F192" t="str">
            <v>0002</v>
          </cell>
          <cell r="G192">
            <v>14</v>
          </cell>
          <cell r="H192">
            <v>313.5</v>
          </cell>
          <cell r="I192">
            <v>12011.78673684</v>
          </cell>
          <cell r="J192">
            <v>0</v>
          </cell>
          <cell r="K192">
            <v>0</v>
          </cell>
          <cell r="L192">
            <v>1012</v>
          </cell>
          <cell r="M192">
            <v>0</v>
          </cell>
          <cell r="P192">
            <v>11000</v>
          </cell>
          <cell r="V192" t="str">
            <v>Available</v>
          </cell>
        </row>
        <row r="193">
          <cell r="A193" t="str">
            <v>100200020001</v>
          </cell>
          <cell r="B193" t="str">
            <v>Laldiyara</v>
          </cell>
          <cell r="C193" t="str">
            <v>Laldiyara</v>
          </cell>
          <cell r="D193" t="str">
            <v>PIPARIYA DIH -2</v>
          </cell>
          <cell r="E193">
            <v>10020002</v>
          </cell>
          <cell r="F193" t="str">
            <v>0001</v>
          </cell>
          <cell r="G193">
            <v>14</v>
          </cell>
          <cell r="H193">
            <v>25.700000000000003</v>
          </cell>
          <cell r="I193">
            <v>1114.74848034</v>
          </cell>
          <cell r="J193">
            <v>0</v>
          </cell>
          <cell r="K193">
            <v>1114.74848034</v>
          </cell>
          <cell r="L193">
            <v>0</v>
          </cell>
          <cell r="M193">
            <v>0</v>
          </cell>
          <cell r="P193">
            <v>0</v>
          </cell>
          <cell r="V193" t="str">
            <v>Not Available</v>
          </cell>
        </row>
        <row r="194">
          <cell r="A194" t="str">
            <v>100200020002</v>
          </cell>
          <cell r="B194" t="str">
            <v>Laldiyara</v>
          </cell>
          <cell r="C194" t="str">
            <v>Laldiyara</v>
          </cell>
          <cell r="D194" t="str">
            <v>PIPARIYA DIH -2</v>
          </cell>
          <cell r="E194">
            <v>10020002</v>
          </cell>
          <cell r="F194" t="str">
            <v>0002</v>
          </cell>
          <cell r="G194">
            <v>14</v>
          </cell>
          <cell r="H194">
            <v>551.20000000000005</v>
          </cell>
          <cell r="I194">
            <v>21452.762757954002</v>
          </cell>
          <cell r="J194">
            <v>0</v>
          </cell>
          <cell r="K194">
            <v>0</v>
          </cell>
          <cell r="L194">
            <v>2288</v>
          </cell>
          <cell r="M194">
            <v>0</v>
          </cell>
          <cell r="P194">
            <v>19165</v>
          </cell>
          <cell r="V194" t="str">
            <v>Available</v>
          </cell>
        </row>
        <row r="195">
          <cell r="A195" t="str">
            <v>100200020003</v>
          </cell>
          <cell r="B195" t="str">
            <v>Laldiyara</v>
          </cell>
          <cell r="C195" t="str">
            <v>Laldiyara</v>
          </cell>
          <cell r="D195" t="str">
            <v>PIPARIYA DIH -2</v>
          </cell>
          <cell r="E195">
            <v>10020002</v>
          </cell>
          <cell r="F195" t="str">
            <v>0003</v>
          </cell>
          <cell r="G195">
            <v>9</v>
          </cell>
          <cell r="H195">
            <v>24.8</v>
          </cell>
          <cell r="I195">
            <v>978.93892205999998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P195">
            <v>979</v>
          </cell>
          <cell r="V195" t="str">
            <v>Available</v>
          </cell>
        </row>
        <row r="196">
          <cell r="A196" t="str">
            <v>100200020011</v>
          </cell>
          <cell r="B196" t="str">
            <v>Laldiyara</v>
          </cell>
          <cell r="C196" t="str">
            <v>Laldiyara</v>
          </cell>
          <cell r="D196" t="str">
            <v>PIPARIYA DIH -2</v>
          </cell>
          <cell r="E196">
            <v>10020002</v>
          </cell>
          <cell r="F196" t="str">
            <v>0011</v>
          </cell>
          <cell r="G196">
            <v>14</v>
          </cell>
          <cell r="H196">
            <v>550.79999999999995</v>
          </cell>
          <cell r="I196">
            <v>21407.341127039999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P196">
            <v>21407</v>
          </cell>
          <cell r="V196" t="str">
            <v>Available</v>
          </cell>
        </row>
        <row r="197">
          <cell r="A197" t="str">
            <v>100200020023</v>
          </cell>
          <cell r="B197" t="str">
            <v>Laldiyara</v>
          </cell>
          <cell r="C197" t="str">
            <v>Laldiyara</v>
          </cell>
          <cell r="D197" t="str">
            <v>PIPARIYA DIH -2</v>
          </cell>
          <cell r="E197">
            <v>10020002</v>
          </cell>
          <cell r="F197" t="str">
            <v>0023</v>
          </cell>
          <cell r="G197">
            <v>13</v>
          </cell>
          <cell r="H197">
            <v>79.399999999999991</v>
          </cell>
          <cell r="I197">
            <v>3442.4510335829996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P197">
            <v>3442</v>
          </cell>
          <cell r="V197" t="str">
            <v>Available</v>
          </cell>
        </row>
        <row r="198">
          <cell r="A198" t="str">
            <v>100200020030</v>
          </cell>
          <cell r="B198" t="str">
            <v>Laldiyara</v>
          </cell>
          <cell r="C198" t="str">
            <v>Laldiyara</v>
          </cell>
          <cell r="D198" t="str">
            <v>PIPARIYA DIH -2</v>
          </cell>
          <cell r="E198">
            <v>10020002</v>
          </cell>
          <cell r="F198" t="str">
            <v>0030</v>
          </cell>
          <cell r="G198">
            <v>2</v>
          </cell>
          <cell r="H198">
            <v>3.8</v>
          </cell>
          <cell r="I198">
            <v>158.73426360000002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P198">
            <v>159</v>
          </cell>
          <cell r="V198" t="str">
            <v>Available</v>
          </cell>
        </row>
        <row r="199">
          <cell r="A199" t="str">
            <v>100200020034</v>
          </cell>
          <cell r="B199" t="str">
            <v>Laldiyara</v>
          </cell>
          <cell r="C199" t="str">
            <v>Laldiyara</v>
          </cell>
          <cell r="D199" t="str">
            <v>PIPARIYA DIH -2</v>
          </cell>
          <cell r="E199">
            <v>10020002</v>
          </cell>
          <cell r="F199" t="str">
            <v>0034</v>
          </cell>
          <cell r="G199">
            <v>11</v>
          </cell>
          <cell r="H199">
            <v>30.900000000000002</v>
          </cell>
          <cell r="I199">
            <v>2002.6813438870004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P199">
            <v>2003</v>
          </cell>
          <cell r="V199" t="str">
            <v>Available</v>
          </cell>
        </row>
        <row r="200">
          <cell r="A200" t="str">
            <v>100200020046</v>
          </cell>
          <cell r="B200" t="str">
            <v>Laldiyara</v>
          </cell>
          <cell r="C200" t="str">
            <v>Laldiyara</v>
          </cell>
          <cell r="D200" t="str">
            <v>PIPARIYA DIH -2</v>
          </cell>
          <cell r="E200">
            <v>10020002</v>
          </cell>
          <cell r="F200" t="str">
            <v>0046</v>
          </cell>
          <cell r="G200">
            <v>10</v>
          </cell>
          <cell r="H200">
            <v>21.4</v>
          </cell>
          <cell r="I200">
            <v>1494.6634190030004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P200">
            <v>1495</v>
          </cell>
          <cell r="V200" t="str">
            <v>Available</v>
          </cell>
        </row>
        <row r="201">
          <cell r="A201" t="str">
            <v>100200020050</v>
          </cell>
          <cell r="B201" t="str">
            <v>Laldiyara</v>
          </cell>
          <cell r="C201" t="str">
            <v>Laldiyara</v>
          </cell>
          <cell r="D201" t="str">
            <v>PIPARIYA DIH -2</v>
          </cell>
          <cell r="E201">
            <v>10020002</v>
          </cell>
          <cell r="F201" t="str">
            <v>0050</v>
          </cell>
          <cell r="G201">
            <v>6</v>
          </cell>
          <cell r="H201">
            <v>7</v>
          </cell>
          <cell r="I201">
            <v>493.37463855600004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P201">
            <v>493</v>
          </cell>
          <cell r="V201" t="str">
            <v>Available</v>
          </cell>
        </row>
        <row r="202">
          <cell r="A202" t="str">
            <v>100200020056</v>
          </cell>
          <cell r="B202" t="str">
            <v>Laldiyara</v>
          </cell>
          <cell r="C202" t="str">
            <v>Laldiyara</v>
          </cell>
          <cell r="D202" t="str">
            <v>PIPARIYA DIH -2</v>
          </cell>
          <cell r="E202">
            <v>10020002</v>
          </cell>
          <cell r="F202" t="str">
            <v>0056</v>
          </cell>
          <cell r="G202">
            <v>14</v>
          </cell>
          <cell r="H202">
            <v>113.49999999999999</v>
          </cell>
          <cell r="I202">
            <v>7193.383914263999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P202">
            <v>7193</v>
          </cell>
          <cell r="V202" t="str">
            <v>Available</v>
          </cell>
        </row>
        <row r="203">
          <cell r="A203" t="str">
            <v>100200020076</v>
          </cell>
          <cell r="B203" t="str">
            <v>Laldiyara</v>
          </cell>
          <cell r="C203" t="str">
            <v>Laldiyara</v>
          </cell>
          <cell r="D203" t="str">
            <v>PIPARIYA DIH -2</v>
          </cell>
          <cell r="E203">
            <v>10020002</v>
          </cell>
          <cell r="F203" t="str">
            <v>0076</v>
          </cell>
          <cell r="G203">
            <v>14</v>
          </cell>
          <cell r="H203">
            <v>742</v>
          </cell>
          <cell r="I203">
            <v>35012.254634502002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P203">
            <v>35012</v>
          </cell>
          <cell r="V203" t="str">
            <v>Not Available</v>
          </cell>
        </row>
        <row r="204">
          <cell r="A204" t="str">
            <v>100200020077</v>
          </cell>
          <cell r="B204" t="str">
            <v>Laldiyara</v>
          </cell>
          <cell r="C204" t="str">
            <v>Laldiyara</v>
          </cell>
          <cell r="D204" t="str">
            <v>PIPARIYA DIH -2</v>
          </cell>
          <cell r="E204">
            <v>10020002</v>
          </cell>
          <cell r="F204" t="str">
            <v>0077</v>
          </cell>
          <cell r="G204">
            <v>14</v>
          </cell>
          <cell r="H204">
            <v>456</v>
          </cell>
          <cell r="I204">
            <v>22436.464566588002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P204">
            <v>22436</v>
          </cell>
          <cell r="V204" t="str">
            <v>Not Available</v>
          </cell>
        </row>
        <row r="205">
          <cell r="A205" t="str">
            <v>100200040002</v>
          </cell>
          <cell r="B205" t="str">
            <v>Laldiyara</v>
          </cell>
          <cell r="C205" t="str">
            <v>Laldiyara</v>
          </cell>
          <cell r="D205" t="str">
            <v>LAL DIYARA -1</v>
          </cell>
          <cell r="E205">
            <v>10020004</v>
          </cell>
          <cell r="F205" t="str">
            <v>0002</v>
          </cell>
          <cell r="G205">
            <v>1</v>
          </cell>
          <cell r="H205">
            <v>98</v>
          </cell>
          <cell r="I205">
            <v>3622.1834880000001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P205">
            <v>3622</v>
          </cell>
          <cell r="V205" t="str">
            <v>Available</v>
          </cell>
        </row>
        <row r="206">
          <cell r="A206" t="str">
            <v>100200040003</v>
          </cell>
          <cell r="B206" t="str">
            <v>Laldiyara</v>
          </cell>
          <cell r="C206" t="str">
            <v>Laldiyara</v>
          </cell>
          <cell r="D206" t="str">
            <v>LAL DIYARA -1</v>
          </cell>
          <cell r="E206">
            <v>10020004</v>
          </cell>
          <cell r="F206" t="str">
            <v>0003</v>
          </cell>
          <cell r="G206">
            <v>12</v>
          </cell>
          <cell r="H206">
            <v>494.3</v>
          </cell>
          <cell r="I206">
            <v>18826.593956280005</v>
          </cell>
          <cell r="J206">
            <v>0</v>
          </cell>
          <cell r="K206">
            <v>0</v>
          </cell>
          <cell r="L206">
            <v>0</v>
          </cell>
          <cell r="M206">
            <v>2600</v>
          </cell>
          <cell r="P206">
            <v>16227</v>
          </cell>
          <cell r="V206" t="str">
            <v>Available</v>
          </cell>
        </row>
        <row r="207">
          <cell r="A207" t="str">
            <v>100200100001</v>
          </cell>
          <cell r="B207" t="str">
            <v>Laldiyara</v>
          </cell>
          <cell r="C207" t="str">
            <v>Laldiyara</v>
          </cell>
          <cell r="D207" t="str">
            <v>GOMUKH RAHATPUR</v>
          </cell>
          <cell r="E207">
            <v>10020010</v>
          </cell>
          <cell r="F207" t="str">
            <v>0001</v>
          </cell>
          <cell r="G207">
            <v>7</v>
          </cell>
          <cell r="H207">
            <v>1.4</v>
          </cell>
          <cell r="I207">
            <v>50.795078400000008</v>
          </cell>
          <cell r="J207">
            <v>0</v>
          </cell>
          <cell r="K207">
            <v>50.795078400000008</v>
          </cell>
          <cell r="L207">
            <v>0</v>
          </cell>
          <cell r="M207">
            <v>0</v>
          </cell>
          <cell r="P207">
            <v>0</v>
          </cell>
          <cell r="V207" t="str">
            <v>Not Available</v>
          </cell>
        </row>
        <row r="208">
          <cell r="A208" t="str">
            <v>100200100002</v>
          </cell>
          <cell r="B208" t="str">
            <v>Laldiyara</v>
          </cell>
          <cell r="C208" t="str">
            <v>Laldiyara</v>
          </cell>
          <cell r="D208" t="str">
            <v>GOMUKH RAHATPUR</v>
          </cell>
          <cell r="E208">
            <v>10020010</v>
          </cell>
          <cell r="F208" t="str">
            <v>0002</v>
          </cell>
          <cell r="G208">
            <v>6</v>
          </cell>
          <cell r="H208">
            <v>114.89999999999998</v>
          </cell>
          <cell r="I208">
            <v>4272.4074531600008</v>
          </cell>
          <cell r="J208">
            <v>0</v>
          </cell>
          <cell r="K208">
            <v>0</v>
          </cell>
          <cell r="L208">
            <v>1450</v>
          </cell>
          <cell r="M208">
            <v>0</v>
          </cell>
          <cell r="P208">
            <v>2822</v>
          </cell>
          <cell r="V208" t="str">
            <v>Available</v>
          </cell>
        </row>
        <row r="209">
          <cell r="A209" t="str">
            <v>100200100004</v>
          </cell>
          <cell r="B209" t="str">
            <v>Laldiyara</v>
          </cell>
          <cell r="C209" t="str">
            <v>Laldiyara</v>
          </cell>
          <cell r="D209" t="str">
            <v>GOMUKH RAHATPUR</v>
          </cell>
          <cell r="E209">
            <v>10020010</v>
          </cell>
          <cell r="F209" t="str">
            <v>0004</v>
          </cell>
          <cell r="G209">
            <v>7</v>
          </cell>
          <cell r="H209">
            <v>130.30000000000001</v>
          </cell>
          <cell r="I209">
            <v>4770.4863175200007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P209">
            <v>4770</v>
          </cell>
          <cell r="V209" t="str">
            <v>Available</v>
          </cell>
        </row>
        <row r="210">
          <cell r="A210" t="str">
            <v>100200100029</v>
          </cell>
          <cell r="B210" t="str">
            <v>Laldiyara</v>
          </cell>
          <cell r="C210" t="str">
            <v>Laldiyara</v>
          </cell>
          <cell r="D210" t="str">
            <v>GOMUKH RAHATPUR</v>
          </cell>
          <cell r="E210">
            <v>10020010</v>
          </cell>
          <cell r="F210" t="str">
            <v>0029</v>
          </cell>
          <cell r="G210">
            <v>7</v>
          </cell>
          <cell r="H210">
            <v>193.6</v>
          </cell>
          <cell r="I210">
            <v>7580.3215949999994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P210">
            <v>7580</v>
          </cell>
          <cell r="V210" t="str">
            <v>Available</v>
          </cell>
        </row>
        <row r="211">
          <cell r="A211" t="str">
            <v>100200170001</v>
          </cell>
          <cell r="B211" t="str">
            <v>Laldiyara</v>
          </cell>
          <cell r="C211" t="str">
            <v>Laldiyara</v>
          </cell>
          <cell r="D211" t="str">
            <v>GOMUKH RAMCHANDARPUR II</v>
          </cell>
          <cell r="E211">
            <v>10020017</v>
          </cell>
          <cell r="F211" t="str">
            <v>0001</v>
          </cell>
          <cell r="G211">
            <v>2</v>
          </cell>
          <cell r="H211">
            <v>3.2</v>
          </cell>
          <cell r="I211">
            <v>136.82150856000001</v>
          </cell>
          <cell r="J211">
            <v>0</v>
          </cell>
          <cell r="K211">
            <v>136.82150856000001</v>
          </cell>
          <cell r="L211">
            <v>0</v>
          </cell>
          <cell r="M211">
            <v>0</v>
          </cell>
          <cell r="P211">
            <v>0</v>
          </cell>
          <cell r="V211" t="str">
            <v>Not Available</v>
          </cell>
        </row>
        <row r="212">
          <cell r="A212" t="str">
            <v>100200170002</v>
          </cell>
          <cell r="B212" t="str">
            <v>Laldiyara</v>
          </cell>
          <cell r="C212" t="str">
            <v>Laldiyara</v>
          </cell>
          <cell r="D212" t="str">
            <v>GOMUKH RAMCHANDARPUR II</v>
          </cell>
          <cell r="E212">
            <v>10020017</v>
          </cell>
          <cell r="F212" t="str">
            <v>0002</v>
          </cell>
          <cell r="G212">
            <v>2</v>
          </cell>
          <cell r="H212">
            <v>1154.5</v>
          </cell>
          <cell r="I212">
            <v>30022.323883200006</v>
          </cell>
          <cell r="J212">
            <v>0</v>
          </cell>
          <cell r="K212">
            <v>0</v>
          </cell>
          <cell r="L212">
            <v>405</v>
          </cell>
          <cell r="M212">
            <v>0</v>
          </cell>
          <cell r="P212">
            <v>25288</v>
          </cell>
          <cell r="V212" t="str">
            <v>Available</v>
          </cell>
        </row>
        <row r="213">
          <cell r="A213" t="str">
            <v>100200170008</v>
          </cell>
          <cell r="B213" t="str">
            <v>Laldiyara</v>
          </cell>
          <cell r="C213" t="str">
            <v>Laldiyara</v>
          </cell>
          <cell r="D213" t="str">
            <v>GOMUKH RAMCHANDARPUR II</v>
          </cell>
          <cell r="E213">
            <v>10020017</v>
          </cell>
          <cell r="F213" t="str">
            <v>0008</v>
          </cell>
          <cell r="G213">
            <v>3</v>
          </cell>
          <cell r="H213">
            <v>43.4</v>
          </cell>
          <cell r="I213">
            <v>1611.8212968000003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P213">
            <v>1612</v>
          </cell>
          <cell r="V213" t="str">
            <v>Available</v>
          </cell>
        </row>
        <row r="214">
          <cell r="A214" t="str">
            <v>100200170009</v>
          </cell>
          <cell r="B214" t="str">
            <v>Laldiyara</v>
          </cell>
          <cell r="C214" t="str">
            <v>Laldiyara</v>
          </cell>
          <cell r="D214" t="str">
            <v>GOMUKH RAMCHANDARPUR II</v>
          </cell>
          <cell r="E214">
            <v>10020017</v>
          </cell>
          <cell r="F214" t="str">
            <v>0009</v>
          </cell>
          <cell r="G214">
            <v>13</v>
          </cell>
          <cell r="H214">
            <v>30.299999999999997</v>
          </cell>
          <cell r="I214">
            <v>2093.1201213150002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P214">
            <v>2093</v>
          </cell>
          <cell r="V214" t="str">
            <v>Available</v>
          </cell>
        </row>
        <row r="215">
          <cell r="A215" t="str">
            <v>100200170010</v>
          </cell>
          <cell r="B215" t="str">
            <v>Laldiyara</v>
          </cell>
          <cell r="C215" t="str">
            <v>Laldiyara</v>
          </cell>
          <cell r="D215" t="str">
            <v>GOMUKH RAMCHANDARPUR II</v>
          </cell>
          <cell r="E215">
            <v>10020017</v>
          </cell>
          <cell r="F215" t="str">
            <v>0010</v>
          </cell>
          <cell r="G215">
            <v>6</v>
          </cell>
          <cell r="H215">
            <v>6.5</v>
          </cell>
          <cell r="I215">
            <v>309.76012313010006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P215">
            <v>310</v>
          </cell>
          <cell r="V215" t="str">
            <v>Available</v>
          </cell>
        </row>
        <row r="216">
          <cell r="A216" t="str">
            <v>100200170012</v>
          </cell>
          <cell r="B216" t="str">
            <v>Laldiyara</v>
          </cell>
          <cell r="C216" t="str">
            <v>Laldiyara</v>
          </cell>
          <cell r="D216" t="str">
            <v>GOMUKH RAMCHANDARPUR II</v>
          </cell>
          <cell r="E216">
            <v>10020017</v>
          </cell>
          <cell r="F216" t="str">
            <v>0012</v>
          </cell>
          <cell r="G216">
            <v>13</v>
          </cell>
          <cell r="H216">
            <v>45.699999999999996</v>
          </cell>
          <cell r="I216">
            <v>1882.6744226400001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P216">
            <v>1883</v>
          </cell>
          <cell r="V216" t="str">
            <v>Available</v>
          </cell>
        </row>
        <row r="217">
          <cell r="A217" t="str">
            <v>100200170018</v>
          </cell>
          <cell r="B217" t="str">
            <v>Laldiyara</v>
          </cell>
          <cell r="C217" t="str">
            <v>Laldiyara</v>
          </cell>
          <cell r="D217" t="str">
            <v>GOMUKH RAMCHANDARPUR II</v>
          </cell>
          <cell r="E217">
            <v>10020017</v>
          </cell>
          <cell r="F217" t="str">
            <v>0018</v>
          </cell>
          <cell r="G217">
            <v>11</v>
          </cell>
          <cell r="H217">
            <v>35</v>
          </cell>
          <cell r="I217">
            <v>1333.8055486799999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P217">
            <v>1334</v>
          </cell>
          <cell r="V217" t="str">
            <v>Available</v>
          </cell>
        </row>
        <row r="218">
          <cell r="A218" t="str">
            <v>100200170020</v>
          </cell>
          <cell r="B218" t="str">
            <v>Laldiyara</v>
          </cell>
          <cell r="C218" t="str">
            <v>Laldiyara</v>
          </cell>
          <cell r="D218" t="str">
            <v>GOMUKH RAMCHANDARPUR II</v>
          </cell>
          <cell r="E218">
            <v>10020017</v>
          </cell>
          <cell r="F218" t="str">
            <v>0020</v>
          </cell>
          <cell r="G218">
            <v>2</v>
          </cell>
          <cell r="H218">
            <v>3.5</v>
          </cell>
          <cell r="I218">
            <v>202.801189185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P218">
            <v>203</v>
          </cell>
          <cell r="V218" t="str">
            <v>Available</v>
          </cell>
        </row>
        <row r="219">
          <cell r="A219" t="str">
            <v>100200170024</v>
          </cell>
          <cell r="B219" t="str">
            <v>Laldiyara</v>
          </cell>
          <cell r="C219" t="str">
            <v>Laldiyara</v>
          </cell>
          <cell r="D219" t="str">
            <v>GOMUKH RAMCHANDARPUR II</v>
          </cell>
          <cell r="E219">
            <v>10020017</v>
          </cell>
          <cell r="F219" t="str">
            <v>0024</v>
          </cell>
          <cell r="G219">
            <v>8</v>
          </cell>
          <cell r="H219">
            <v>14.9</v>
          </cell>
          <cell r="I219">
            <v>1017.8877412909999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P219">
            <v>1018</v>
          </cell>
          <cell r="V219" t="str">
            <v>Available</v>
          </cell>
        </row>
        <row r="220">
          <cell r="A220" t="str">
            <v>100200170048</v>
          </cell>
          <cell r="B220" t="str">
            <v>Laldiyara</v>
          </cell>
          <cell r="C220" t="str">
            <v>Laldiyara</v>
          </cell>
          <cell r="D220" t="str">
            <v>GOMUKH RAMCHANDARPUR II</v>
          </cell>
          <cell r="E220">
            <v>10020017</v>
          </cell>
          <cell r="F220" t="str">
            <v>0048</v>
          </cell>
          <cell r="G220">
            <v>12</v>
          </cell>
          <cell r="H220">
            <v>60.300000000000004</v>
          </cell>
          <cell r="I220">
            <v>3356.1869564512003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P220">
            <v>3356</v>
          </cell>
          <cell r="V220" t="str">
            <v>Available</v>
          </cell>
        </row>
        <row r="221">
          <cell r="A221" t="str">
            <v>100200170050</v>
          </cell>
          <cell r="B221" t="str">
            <v>Laldiyara</v>
          </cell>
          <cell r="C221" t="str">
            <v>Laldiyara</v>
          </cell>
          <cell r="D221" t="str">
            <v>GOMUKH RAMCHANDARPUR II</v>
          </cell>
          <cell r="E221">
            <v>10020017</v>
          </cell>
          <cell r="F221" t="str">
            <v>0050</v>
          </cell>
          <cell r="G221">
            <v>13</v>
          </cell>
          <cell r="H221">
            <v>63.8</v>
          </cell>
          <cell r="I221">
            <v>3666.4341477770004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P221">
            <v>3666</v>
          </cell>
          <cell r="V221" t="str">
            <v>Available</v>
          </cell>
        </row>
        <row r="222">
          <cell r="A222" t="str">
            <v>100200170054</v>
          </cell>
          <cell r="B222" t="str">
            <v>Laldiyara</v>
          </cell>
          <cell r="C222" t="str">
            <v>Laldiyara</v>
          </cell>
          <cell r="D222" t="str">
            <v>GOMUKH RAMCHANDARPUR II</v>
          </cell>
          <cell r="E222">
            <v>10020017</v>
          </cell>
          <cell r="F222" t="str">
            <v>0054</v>
          </cell>
          <cell r="G222">
            <v>5</v>
          </cell>
          <cell r="H222">
            <v>14.299999999999999</v>
          </cell>
          <cell r="I222">
            <v>550.56156012000008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P222">
            <v>551</v>
          </cell>
          <cell r="V222" t="str">
            <v>Available</v>
          </cell>
        </row>
        <row r="223">
          <cell r="A223" t="str">
            <v>100200170065</v>
          </cell>
          <cell r="B223" t="str">
            <v>Laldiyara</v>
          </cell>
          <cell r="C223" t="str">
            <v>Laldiyara</v>
          </cell>
          <cell r="D223" t="str">
            <v>GOMUKH RAMCHANDARPUR II</v>
          </cell>
          <cell r="E223">
            <v>10020017</v>
          </cell>
          <cell r="F223" t="str">
            <v>0065</v>
          </cell>
          <cell r="G223">
            <v>12</v>
          </cell>
          <cell r="H223">
            <v>44.1</v>
          </cell>
          <cell r="I223">
            <v>2476.2928702691001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P223">
            <v>2476</v>
          </cell>
          <cell r="V223" t="str">
            <v>Available</v>
          </cell>
        </row>
        <row r="224">
          <cell r="A224" t="str">
            <v>100200170069</v>
          </cell>
          <cell r="B224" t="str">
            <v>Laldiyara</v>
          </cell>
          <cell r="C224" t="str">
            <v>Laldiyara</v>
          </cell>
          <cell r="D224" t="str">
            <v>GOMUKH RAMCHANDARPUR II</v>
          </cell>
          <cell r="E224">
            <v>10020017</v>
          </cell>
          <cell r="F224" t="str">
            <v>0069</v>
          </cell>
          <cell r="G224">
            <v>13</v>
          </cell>
          <cell r="H224">
            <v>37.099999999999994</v>
          </cell>
          <cell r="I224">
            <v>1508.9732262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P224">
            <v>1509</v>
          </cell>
          <cell r="V224" t="str">
            <v>Available</v>
          </cell>
        </row>
        <row r="225">
          <cell r="A225" t="str">
            <v>100200170075</v>
          </cell>
          <cell r="B225" t="str">
            <v>Laldiyara</v>
          </cell>
          <cell r="C225" t="str">
            <v>Laldiyara</v>
          </cell>
          <cell r="D225" t="str">
            <v>GOMUKH RAMCHANDARPUR II</v>
          </cell>
          <cell r="E225">
            <v>10020017</v>
          </cell>
          <cell r="F225" t="str">
            <v>0075</v>
          </cell>
          <cell r="G225">
            <v>12</v>
          </cell>
          <cell r="H225">
            <v>39.600000000000009</v>
          </cell>
          <cell r="I225">
            <v>1477.3217184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P225">
            <v>1477</v>
          </cell>
          <cell r="V225" t="str">
            <v>Available</v>
          </cell>
        </row>
        <row r="226">
          <cell r="A226" t="str">
            <v>100200170076</v>
          </cell>
          <cell r="B226" t="str">
            <v>Laldiyara</v>
          </cell>
          <cell r="C226" t="str">
            <v>Laldiyara</v>
          </cell>
          <cell r="D226" t="str">
            <v>GOMUKH RAMCHANDARPUR II</v>
          </cell>
          <cell r="E226">
            <v>10020017</v>
          </cell>
          <cell r="F226" t="str">
            <v>0076</v>
          </cell>
          <cell r="G226">
            <v>3</v>
          </cell>
          <cell r="H226">
            <v>13</v>
          </cell>
          <cell r="I226">
            <v>482.2104078000001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P226">
            <v>482</v>
          </cell>
          <cell r="V226" t="str">
            <v>Available</v>
          </cell>
        </row>
        <row r="227">
          <cell r="A227" t="str">
            <v>100200170084</v>
          </cell>
          <cell r="B227" t="str">
            <v>Laldiyara</v>
          </cell>
          <cell r="C227" t="str">
            <v>Laldiyara</v>
          </cell>
          <cell r="D227" t="str">
            <v>GOMUKH RAMCHANDARPUR II</v>
          </cell>
          <cell r="E227">
            <v>10020017</v>
          </cell>
          <cell r="F227" t="str">
            <v>0084</v>
          </cell>
          <cell r="G227">
            <v>11</v>
          </cell>
          <cell r="H227">
            <v>37.5</v>
          </cell>
          <cell r="I227">
            <v>1392.8917899600003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P227">
            <v>1393</v>
          </cell>
          <cell r="V227" t="str">
            <v>Available</v>
          </cell>
        </row>
        <row r="228">
          <cell r="A228" t="str">
            <v>100200170085</v>
          </cell>
          <cell r="B228" t="str">
            <v>Laldiyara</v>
          </cell>
          <cell r="C228" t="str">
            <v>Laldiyara</v>
          </cell>
          <cell r="D228" t="str">
            <v>GOMUKH RAMCHANDARPUR II</v>
          </cell>
          <cell r="E228">
            <v>10020017</v>
          </cell>
          <cell r="F228" t="str">
            <v>0085</v>
          </cell>
          <cell r="G228">
            <v>1</v>
          </cell>
          <cell r="H228">
            <v>1.9</v>
          </cell>
          <cell r="I228">
            <v>78.000931800000004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P228">
            <v>78</v>
          </cell>
          <cell r="V228" t="str">
            <v>Available</v>
          </cell>
        </row>
        <row r="229">
          <cell r="A229" t="str">
            <v>100200170088</v>
          </cell>
          <cell r="B229" t="str">
            <v>Laldiyara</v>
          </cell>
          <cell r="C229" t="str">
            <v>Laldiyara</v>
          </cell>
          <cell r="D229" t="str">
            <v>GOMUKH RAMCHANDARPUR II</v>
          </cell>
          <cell r="E229">
            <v>10020017</v>
          </cell>
          <cell r="F229" t="str">
            <v>0088</v>
          </cell>
          <cell r="G229">
            <v>7</v>
          </cell>
          <cell r="H229">
            <v>26.4</v>
          </cell>
          <cell r="I229">
            <v>1043.0536485600003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P229">
            <v>1043</v>
          </cell>
          <cell r="V229" t="str">
            <v>Available</v>
          </cell>
        </row>
        <row r="230">
          <cell r="A230" t="str">
            <v>100200170091</v>
          </cell>
          <cell r="B230" t="str">
            <v>Laldiyara</v>
          </cell>
          <cell r="C230" t="str">
            <v>Laldiyara</v>
          </cell>
          <cell r="D230" t="str">
            <v>GOMUKH RAMCHANDARPUR II</v>
          </cell>
          <cell r="E230">
            <v>10020017</v>
          </cell>
          <cell r="F230" t="str">
            <v>0091</v>
          </cell>
          <cell r="G230">
            <v>12</v>
          </cell>
          <cell r="H230">
            <v>41.800000000000004</v>
          </cell>
          <cell r="I230">
            <v>1590.7769143200003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P230">
            <v>1591</v>
          </cell>
          <cell r="V230" t="str">
            <v>Available</v>
          </cell>
        </row>
        <row r="231">
          <cell r="A231" t="str">
            <v>100200170113</v>
          </cell>
          <cell r="B231" t="str">
            <v>Laldiyara</v>
          </cell>
          <cell r="C231" t="str">
            <v>Laldiyara</v>
          </cell>
          <cell r="D231" t="str">
            <v>GOMUKH RAMCHANDARPUR II</v>
          </cell>
          <cell r="E231">
            <v>10020017</v>
          </cell>
          <cell r="F231" t="str">
            <v>0113</v>
          </cell>
          <cell r="G231">
            <v>12</v>
          </cell>
          <cell r="H231">
            <v>68.599999999999994</v>
          </cell>
          <cell r="I231">
            <v>2581.0193574000004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P231">
            <v>2581</v>
          </cell>
          <cell r="V231" t="str">
            <v>Available</v>
          </cell>
        </row>
        <row r="232">
          <cell r="A232" t="str">
            <v>100200170116</v>
          </cell>
          <cell r="B232" t="str">
            <v>Laldiyara</v>
          </cell>
          <cell r="C232" t="str">
            <v>Laldiyara</v>
          </cell>
          <cell r="D232" t="str">
            <v>GOMUKH RAMCHANDARPUR II</v>
          </cell>
          <cell r="E232">
            <v>10020017</v>
          </cell>
          <cell r="F232" t="str">
            <v>0116</v>
          </cell>
          <cell r="G232">
            <v>10</v>
          </cell>
          <cell r="H232">
            <v>16.5</v>
          </cell>
          <cell r="I232">
            <v>1227.2361878090001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P232">
            <v>1227</v>
          </cell>
          <cell r="V232" t="str">
            <v>Available</v>
          </cell>
        </row>
        <row r="233">
          <cell r="A233" t="str">
            <v>100200170120</v>
          </cell>
          <cell r="B233" t="str">
            <v>Laldiyara</v>
          </cell>
          <cell r="C233" t="str">
            <v>Laldiyara</v>
          </cell>
          <cell r="D233" t="str">
            <v>GOMUKH RAMCHANDARPUR II</v>
          </cell>
          <cell r="E233">
            <v>10020017</v>
          </cell>
          <cell r="F233" t="str">
            <v>0120</v>
          </cell>
          <cell r="G233">
            <v>13</v>
          </cell>
          <cell r="H233">
            <v>215.3</v>
          </cell>
          <cell r="I233">
            <v>8755.062366600001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P233">
            <v>8755</v>
          </cell>
          <cell r="V233" t="str">
            <v>Available</v>
          </cell>
        </row>
        <row r="234">
          <cell r="A234" t="str">
            <v>100200170122</v>
          </cell>
          <cell r="B234" t="str">
            <v>Laldiyara</v>
          </cell>
          <cell r="C234" t="str">
            <v>Laldiyara</v>
          </cell>
          <cell r="D234" t="str">
            <v>GOMUKH RAMCHANDARPUR II</v>
          </cell>
          <cell r="E234">
            <v>10020017</v>
          </cell>
          <cell r="F234" t="str">
            <v>0122</v>
          </cell>
          <cell r="G234">
            <v>2</v>
          </cell>
          <cell r="H234">
            <v>5.1999999999999993</v>
          </cell>
          <cell r="I234">
            <v>312.90427064999994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P234">
            <v>313</v>
          </cell>
          <cell r="V234" t="str">
            <v>Available</v>
          </cell>
        </row>
        <row r="235">
          <cell r="A235" t="str">
            <v>100200170123</v>
          </cell>
          <cell r="B235" t="str">
            <v>Laldiyara</v>
          </cell>
          <cell r="C235" t="str">
            <v>Laldiyara</v>
          </cell>
          <cell r="D235" t="str">
            <v>GOMUKH RAMCHANDARPUR II</v>
          </cell>
          <cell r="E235">
            <v>10020017</v>
          </cell>
          <cell r="F235" t="str">
            <v>0123</v>
          </cell>
          <cell r="G235">
            <v>6</v>
          </cell>
          <cell r="H235">
            <v>15.600000000000001</v>
          </cell>
          <cell r="I235">
            <v>586.09741212000006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P235">
            <v>586</v>
          </cell>
          <cell r="V235" t="str">
            <v>Available</v>
          </cell>
        </row>
        <row r="236">
          <cell r="A236" t="str">
            <v>100200170124</v>
          </cell>
          <cell r="B236" t="str">
            <v>Laldiyara</v>
          </cell>
          <cell r="C236" t="str">
            <v>Laldiyara</v>
          </cell>
          <cell r="D236" t="str">
            <v>GOMUKH RAMCHANDARPUR II</v>
          </cell>
          <cell r="E236">
            <v>10020017</v>
          </cell>
          <cell r="F236" t="str">
            <v>0124</v>
          </cell>
          <cell r="G236">
            <v>6</v>
          </cell>
          <cell r="H236">
            <v>21.5</v>
          </cell>
          <cell r="I236">
            <v>899.51172299999996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P236">
            <v>900</v>
          </cell>
          <cell r="V236" t="str">
            <v>Available</v>
          </cell>
        </row>
        <row r="237">
          <cell r="A237" t="str">
            <v>100200170142</v>
          </cell>
          <cell r="B237" t="str">
            <v>Laldiyara</v>
          </cell>
          <cell r="C237" t="str">
            <v>Laldiyara</v>
          </cell>
          <cell r="D237" t="str">
            <v>GOMUKH RAMCHANDARPUR II</v>
          </cell>
          <cell r="E237">
            <v>10020017</v>
          </cell>
          <cell r="F237" t="str">
            <v>0142</v>
          </cell>
          <cell r="G237">
            <v>8</v>
          </cell>
          <cell r="H237">
            <v>16.100000000000001</v>
          </cell>
          <cell r="I237">
            <v>654.98641296000005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P237">
            <v>655</v>
          </cell>
          <cell r="V237" t="str">
            <v>Available</v>
          </cell>
        </row>
        <row r="238">
          <cell r="A238" t="str">
            <v>100200170155</v>
          </cell>
          <cell r="B238" t="str">
            <v>Laldiyara</v>
          </cell>
          <cell r="C238" t="str">
            <v>Laldiyara</v>
          </cell>
          <cell r="D238" t="str">
            <v>GOMUKH RAMCHANDARPUR II</v>
          </cell>
          <cell r="E238">
            <v>10020017</v>
          </cell>
          <cell r="F238" t="str">
            <v>0155</v>
          </cell>
          <cell r="G238">
            <v>12</v>
          </cell>
          <cell r="H238">
            <v>82.6</v>
          </cell>
          <cell r="I238">
            <v>3491.9173430460005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P238">
            <v>3492</v>
          </cell>
          <cell r="V238" t="str">
            <v>Available</v>
          </cell>
        </row>
        <row r="239">
          <cell r="A239" t="str">
            <v>100200170159</v>
          </cell>
          <cell r="B239" t="str">
            <v>Laldiyara</v>
          </cell>
          <cell r="C239" t="str">
            <v>Laldiyara</v>
          </cell>
          <cell r="D239" t="str">
            <v>GOMUKH RAMCHANDARPUR II</v>
          </cell>
          <cell r="E239">
            <v>10020017</v>
          </cell>
          <cell r="F239" t="str">
            <v>0159</v>
          </cell>
          <cell r="G239">
            <v>4</v>
          </cell>
          <cell r="H239">
            <v>6.6999999999999993</v>
          </cell>
          <cell r="I239">
            <v>449.11517350399998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P239">
            <v>449</v>
          </cell>
          <cell r="V239" t="str">
            <v>Available</v>
          </cell>
        </row>
        <row r="240">
          <cell r="A240" t="str">
            <v>100200170162</v>
          </cell>
          <cell r="B240" t="str">
            <v>Laldiyara</v>
          </cell>
          <cell r="C240" t="str">
            <v>Laldiyara</v>
          </cell>
          <cell r="D240" t="str">
            <v>GOMUKH RAMCHANDARPUR II</v>
          </cell>
          <cell r="E240">
            <v>10020017</v>
          </cell>
          <cell r="F240" t="str">
            <v>0162</v>
          </cell>
          <cell r="G240">
            <v>13</v>
          </cell>
          <cell r="H240">
            <v>27.199999999999996</v>
          </cell>
          <cell r="I240">
            <v>1022.2769026799999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P240">
            <v>1022</v>
          </cell>
          <cell r="V240" t="str">
            <v>Available</v>
          </cell>
        </row>
        <row r="241">
          <cell r="A241" t="str">
            <v>100200170165</v>
          </cell>
          <cell r="B241" t="str">
            <v>Laldiyara</v>
          </cell>
          <cell r="C241" t="str">
            <v>Laldiyara</v>
          </cell>
          <cell r="D241" t="str">
            <v>GOMUKH RAMCHANDARPUR II</v>
          </cell>
          <cell r="E241">
            <v>10020017</v>
          </cell>
          <cell r="F241" t="str">
            <v>0165</v>
          </cell>
          <cell r="G241">
            <v>12</v>
          </cell>
          <cell r="H241">
            <v>31.199999999999996</v>
          </cell>
          <cell r="I241">
            <v>1213.9976494800001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P241">
            <v>1214</v>
          </cell>
          <cell r="V241" t="str">
            <v>Available</v>
          </cell>
        </row>
        <row r="242">
          <cell r="A242" t="str">
            <v>100200170173</v>
          </cell>
          <cell r="B242" t="str">
            <v>Laldiyara</v>
          </cell>
          <cell r="C242" t="str">
            <v>Laldiyara</v>
          </cell>
          <cell r="D242" t="str">
            <v>GOMUKH RAMCHANDARPUR II</v>
          </cell>
          <cell r="E242">
            <v>10020017</v>
          </cell>
          <cell r="F242" t="str">
            <v>0173</v>
          </cell>
          <cell r="G242">
            <v>12</v>
          </cell>
          <cell r="H242">
            <v>16.199999999999996</v>
          </cell>
          <cell r="I242">
            <v>771.18321311520003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P242">
            <v>771</v>
          </cell>
          <cell r="V242" t="str">
            <v>Available</v>
          </cell>
        </row>
        <row r="243">
          <cell r="A243" t="str">
            <v>100200170176</v>
          </cell>
          <cell r="B243" t="str">
            <v>Laldiyara</v>
          </cell>
          <cell r="C243" t="str">
            <v>Laldiyara</v>
          </cell>
          <cell r="D243" t="str">
            <v>GOMUKH RAMCHANDARPUR II</v>
          </cell>
          <cell r="E243">
            <v>10020017</v>
          </cell>
          <cell r="F243" t="str">
            <v>0176</v>
          </cell>
          <cell r="G243">
            <v>7</v>
          </cell>
          <cell r="H243">
            <v>14.700000000000001</v>
          </cell>
          <cell r="I243">
            <v>645.98494752000011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P243">
            <v>646</v>
          </cell>
          <cell r="V243" t="str">
            <v>Available</v>
          </cell>
        </row>
        <row r="244">
          <cell r="A244" t="str">
            <v>100200170177</v>
          </cell>
          <cell r="B244" t="str">
            <v>Laldiyara</v>
          </cell>
          <cell r="C244" t="str">
            <v>Laldiyara</v>
          </cell>
          <cell r="D244" t="str">
            <v>GOMUKH RAMCHANDARPUR II</v>
          </cell>
          <cell r="E244">
            <v>10020017</v>
          </cell>
          <cell r="F244" t="str">
            <v>0177</v>
          </cell>
          <cell r="G244">
            <v>13</v>
          </cell>
          <cell r="H244">
            <v>20</v>
          </cell>
          <cell r="I244">
            <v>748.39637663999997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P244">
            <v>748</v>
          </cell>
          <cell r="V244" t="str">
            <v>Available</v>
          </cell>
        </row>
        <row r="245">
          <cell r="A245" t="str">
            <v>100200170184</v>
          </cell>
          <cell r="B245" t="str">
            <v>Laldiyara</v>
          </cell>
          <cell r="C245" t="str">
            <v>Laldiyara</v>
          </cell>
          <cell r="D245" t="str">
            <v>GOMUKH RAMCHANDARPUR II</v>
          </cell>
          <cell r="E245">
            <v>10020017</v>
          </cell>
          <cell r="F245" t="str">
            <v>0184</v>
          </cell>
          <cell r="G245">
            <v>12</v>
          </cell>
          <cell r="H245">
            <v>29.3</v>
          </cell>
          <cell r="I245">
            <v>1191.8831412509999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P245">
            <v>1192</v>
          </cell>
          <cell r="V245" t="str">
            <v>Available</v>
          </cell>
        </row>
        <row r="246">
          <cell r="A246" t="str">
            <v>100200170190</v>
          </cell>
          <cell r="B246" t="str">
            <v>Laldiyara</v>
          </cell>
          <cell r="C246" t="str">
            <v>Laldiyara</v>
          </cell>
          <cell r="D246" t="str">
            <v>GOMUKH RAMCHANDARPUR II</v>
          </cell>
          <cell r="E246">
            <v>10020017</v>
          </cell>
          <cell r="F246" t="str">
            <v>0190</v>
          </cell>
          <cell r="G246">
            <v>2</v>
          </cell>
          <cell r="H246">
            <v>4</v>
          </cell>
          <cell r="I246">
            <v>231.94088343000001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P246">
            <v>232</v>
          </cell>
          <cell r="V246" t="str">
            <v>Available</v>
          </cell>
        </row>
        <row r="247">
          <cell r="A247" t="str">
            <v>100200170192</v>
          </cell>
          <cell r="B247" t="str">
            <v>Laldiyara</v>
          </cell>
          <cell r="C247" t="str">
            <v>Laldiyara</v>
          </cell>
          <cell r="D247" t="str">
            <v>GOMUKH RAMCHANDARPUR II</v>
          </cell>
          <cell r="E247">
            <v>10020017</v>
          </cell>
          <cell r="F247" t="str">
            <v>0192</v>
          </cell>
          <cell r="G247">
            <v>9</v>
          </cell>
          <cell r="H247">
            <v>33.200000000000003</v>
          </cell>
          <cell r="I247">
            <v>1467.1046618212999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P247">
            <v>1467</v>
          </cell>
          <cell r="V247" t="str">
            <v>Available</v>
          </cell>
        </row>
        <row r="248">
          <cell r="A248" t="str">
            <v>100200170204</v>
          </cell>
          <cell r="B248" t="str">
            <v>Laldiyara</v>
          </cell>
          <cell r="C248" t="str">
            <v>Laldiyara</v>
          </cell>
          <cell r="D248" t="str">
            <v>GOMUKH RAMCHANDARPUR II</v>
          </cell>
          <cell r="E248">
            <v>10020017</v>
          </cell>
          <cell r="F248" t="str">
            <v>0204</v>
          </cell>
          <cell r="G248">
            <v>3</v>
          </cell>
          <cell r="H248">
            <v>8.6999999999999993</v>
          </cell>
          <cell r="I248">
            <v>326.19488220000005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P248">
            <v>326</v>
          </cell>
          <cell r="V248" t="str">
            <v>Available</v>
          </cell>
        </row>
        <row r="249">
          <cell r="A249" t="str">
            <v>100200170226</v>
          </cell>
          <cell r="B249" t="str">
            <v>Laldiyara</v>
          </cell>
          <cell r="C249" t="str">
            <v>Laldiyara</v>
          </cell>
          <cell r="D249" t="str">
            <v>GOMUKH RAMCHANDARPUR II</v>
          </cell>
          <cell r="E249">
            <v>10020017</v>
          </cell>
          <cell r="F249" t="str">
            <v>0226</v>
          </cell>
          <cell r="G249">
            <v>2</v>
          </cell>
          <cell r="H249">
            <v>6.1999999999999993</v>
          </cell>
          <cell r="I249">
            <v>402.18243764199997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P249">
            <v>402</v>
          </cell>
          <cell r="V249" t="str">
            <v>Available</v>
          </cell>
        </row>
        <row r="250">
          <cell r="A250" t="str">
            <v>100200170228</v>
          </cell>
          <cell r="B250" t="str">
            <v>Laldiyara</v>
          </cell>
          <cell r="C250" t="str">
            <v>Laldiyara</v>
          </cell>
          <cell r="D250" t="str">
            <v>GOMUKH RAMCHANDARPUR II</v>
          </cell>
          <cell r="E250">
            <v>10020017</v>
          </cell>
          <cell r="F250" t="str">
            <v>0228</v>
          </cell>
          <cell r="G250">
            <v>10</v>
          </cell>
          <cell r="H250">
            <v>16.700000000000003</v>
          </cell>
          <cell r="I250">
            <v>739.50870990070007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P250">
            <v>740</v>
          </cell>
          <cell r="V250" t="str">
            <v>Available</v>
          </cell>
        </row>
        <row r="251">
          <cell r="A251" t="str">
            <v>100200170229</v>
          </cell>
          <cell r="B251" t="str">
            <v>Laldiyara</v>
          </cell>
          <cell r="C251" t="str">
            <v>Laldiyara</v>
          </cell>
          <cell r="D251" t="str">
            <v>GOMUKH RAMCHANDARPUR II</v>
          </cell>
          <cell r="E251">
            <v>10020017</v>
          </cell>
          <cell r="F251" t="str">
            <v>0229</v>
          </cell>
          <cell r="G251">
            <v>6</v>
          </cell>
          <cell r="H251">
            <v>18.799999999999997</v>
          </cell>
          <cell r="I251">
            <v>723.51232272000016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P251">
            <v>724</v>
          </cell>
          <cell r="V251" t="str">
            <v>Available</v>
          </cell>
        </row>
        <row r="252">
          <cell r="A252" t="str">
            <v>100200170240</v>
          </cell>
          <cell r="B252" t="str">
            <v>Laldiyara</v>
          </cell>
          <cell r="C252" t="str">
            <v>Laldiyara</v>
          </cell>
          <cell r="D252" t="str">
            <v>GOMUKH RAMCHANDARPUR II</v>
          </cell>
          <cell r="E252">
            <v>10020017</v>
          </cell>
          <cell r="F252" t="str">
            <v>0240</v>
          </cell>
          <cell r="G252">
            <v>13</v>
          </cell>
          <cell r="H252">
            <v>78.5</v>
          </cell>
          <cell r="I252">
            <v>3276.2488770000004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P252">
            <v>3276</v>
          </cell>
          <cell r="V252" t="str">
            <v>Available</v>
          </cell>
        </row>
        <row r="253">
          <cell r="A253" t="str">
            <v>100200170242</v>
          </cell>
          <cell r="B253" t="str">
            <v>Laldiyara</v>
          </cell>
          <cell r="C253" t="str">
            <v>Laldiyara</v>
          </cell>
          <cell r="D253" t="str">
            <v>GOMUKH RAMCHANDARPUR II</v>
          </cell>
          <cell r="E253">
            <v>10020017</v>
          </cell>
          <cell r="F253" t="str">
            <v>0242</v>
          </cell>
          <cell r="G253">
            <v>13</v>
          </cell>
          <cell r="H253">
            <v>38.400000000000006</v>
          </cell>
          <cell r="I253">
            <v>1883.6555412030002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P253">
            <v>1884</v>
          </cell>
          <cell r="V253" t="str">
            <v>Available</v>
          </cell>
        </row>
        <row r="254">
          <cell r="A254" t="str">
            <v>100200170254</v>
          </cell>
          <cell r="B254" t="str">
            <v>Laldiyara</v>
          </cell>
          <cell r="C254" t="str">
            <v>Laldiyara</v>
          </cell>
          <cell r="D254" t="str">
            <v>GOMUKH RAMCHANDARPUR II</v>
          </cell>
          <cell r="E254">
            <v>10020017</v>
          </cell>
          <cell r="F254" t="str">
            <v>0254</v>
          </cell>
          <cell r="G254">
            <v>3</v>
          </cell>
          <cell r="H254">
            <v>7.3000000000000007</v>
          </cell>
          <cell r="I254">
            <v>271.42643088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P254">
            <v>271</v>
          </cell>
          <cell r="V254" t="str">
            <v>Available</v>
          </cell>
        </row>
        <row r="255">
          <cell r="A255" t="str">
            <v>100200170260</v>
          </cell>
          <cell r="B255" t="str">
            <v>Laldiyara</v>
          </cell>
          <cell r="C255" t="str">
            <v>Laldiyara</v>
          </cell>
          <cell r="D255" t="str">
            <v>GOMUKH RAMCHANDARPUR II</v>
          </cell>
          <cell r="E255">
            <v>10020017</v>
          </cell>
          <cell r="F255" t="str">
            <v>0260</v>
          </cell>
          <cell r="G255">
            <v>12</v>
          </cell>
          <cell r="H255">
            <v>55.3</v>
          </cell>
          <cell r="I255">
            <v>2808.7601209760005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P255">
            <v>2809</v>
          </cell>
          <cell r="V255" t="str">
            <v>Available</v>
          </cell>
        </row>
        <row r="256">
          <cell r="A256" t="str">
            <v>100200170266</v>
          </cell>
          <cell r="B256" t="str">
            <v>Laldiyara</v>
          </cell>
          <cell r="C256" t="str">
            <v>Laldiyara</v>
          </cell>
          <cell r="D256" t="str">
            <v>GOMUKH RAMCHANDARPUR II</v>
          </cell>
          <cell r="E256">
            <v>10020017</v>
          </cell>
          <cell r="F256" t="str">
            <v>0266</v>
          </cell>
          <cell r="G256">
            <v>11</v>
          </cell>
          <cell r="H256">
            <v>25.300000000000004</v>
          </cell>
          <cell r="I256">
            <v>1000.8116474400001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P256">
            <v>1001</v>
          </cell>
          <cell r="V256" t="str">
            <v>Available</v>
          </cell>
        </row>
        <row r="257">
          <cell r="A257" t="str">
            <v>100200210001</v>
          </cell>
          <cell r="B257" t="str">
            <v>Laldiyara</v>
          </cell>
          <cell r="C257" t="str">
            <v>Laldiyara</v>
          </cell>
          <cell r="D257" t="str">
            <v>MOHANPUR</v>
          </cell>
          <cell r="E257">
            <v>10020021</v>
          </cell>
          <cell r="F257" t="str">
            <v>0001</v>
          </cell>
          <cell r="G257">
            <v>5</v>
          </cell>
          <cell r="H257">
            <v>14.7</v>
          </cell>
          <cell r="I257">
            <v>633.5899297200001</v>
          </cell>
          <cell r="J257">
            <v>0</v>
          </cell>
          <cell r="K257">
            <v>633.5899297200001</v>
          </cell>
          <cell r="L257">
            <v>0</v>
          </cell>
          <cell r="M257">
            <v>0</v>
          </cell>
          <cell r="P257">
            <v>0</v>
          </cell>
          <cell r="V257" t="str">
            <v>Not Available</v>
          </cell>
        </row>
        <row r="258">
          <cell r="A258" t="str">
            <v>100200210002</v>
          </cell>
          <cell r="B258" t="str">
            <v>Laldiyara</v>
          </cell>
          <cell r="C258" t="str">
            <v>Laldiyara</v>
          </cell>
          <cell r="D258" t="str">
            <v>MOHANPUR</v>
          </cell>
          <cell r="E258">
            <v>10020021</v>
          </cell>
          <cell r="F258" t="str">
            <v>0002</v>
          </cell>
          <cell r="G258">
            <v>11</v>
          </cell>
          <cell r="H258">
            <v>131.4</v>
          </cell>
          <cell r="I258">
            <v>6194.6002849799997</v>
          </cell>
          <cell r="J258">
            <v>0</v>
          </cell>
          <cell r="K258">
            <v>0</v>
          </cell>
          <cell r="L258">
            <v>6195</v>
          </cell>
          <cell r="M258">
            <v>0</v>
          </cell>
          <cell r="P258">
            <v>0</v>
          </cell>
          <cell r="V258" t="str">
            <v>Available</v>
          </cell>
        </row>
        <row r="259">
          <cell r="A259" t="str">
            <v>100200210003</v>
          </cell>
          <cell r="B259" t="str">
            <v>Laldiyara</v>
          </cell>
          <cell r="C259" t="str">
            <v>Laldiyara</v>
          </cell>
          <cell r="D259" t="str">
            <v>MOHANPUR</v>
          </cell>
          <cell r="E259">
            <v>10020021</v>
          </cell>
          <cell r="F259" t="str">
            <v>0003</v>
          </cell>
          <cell r="G259">
            <v>13</v>
          </cell>
          <cell r="H259">
            <v>98.200000000000017</v>
          </cell>
          <cell r="I259">
            <v>4792.2125945995112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P259">
            <v>4792</v>
          </cell>
          <cell r="V259" t="str">
            <v>Available</v>
          </cell>
        </row>
        <row r="260">
          <cell r="A260" t="str">
            <v>100200210011</v>
          </cell>
          <cell r="B260" t="str">
            <v>Laldiyara</v>
          </cell>
          <cell r="C260" t="str">
            <v>Laldiyara</v>
          </cell>
          <cell r="D260" t="str">
            <v>MOHANPUR</v>
          </cell>
          <cell r="E260">
            <v>10020021</v>
          </cell>
          <cell r="F260" t="str">
            <v>0011</v>
          </cell>
          <cell r="G260">
            <v>6</v>
          </cell>
          <cell r="H260">
            <v>135.4</v>
          </cell>
          <cell r="I260">
            <v>5984.2937586196012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P260">
            <v>5984</v>
          </cell>
          <cell r="V260" t="str">
            <v>Available</v>
          </cell>
        </row>
        <row r="261">
          <cell r="A261" t="str">
            <v>100200210016</v>
          </cell>
          <cell r="B261" t="str">
            <v>Laldiyara</v>
          </cell>
          <cell r="C261" t="str">
            <v>Laldiyara</v>
          </cell>
          <cell r="D261" t="str">
            <v>MOHANPUR</v>
          </cell>
          <cell r="E261">
            <v>10020021</v>
          </cell>
          <cell r="F261" t="str">
            <v>0016</v>
          </cell>
          <cell r="G261">
            <v>14</v>
          </cell>
          <cell r="H261">
            <v>166.89999999999998</v>
          </cell>
          <cell r="I261">
            <v>6919.9175034000018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P261">
            <v>6920</v>
          </cell>
          <cell r="V261" t="str">
            <v>Available</v>
          </cell>
        </row>
        <row r="262">
          <cell r="A262" t="str">
            <v>100200210018</v>
          </cell>
          <cell r="B262" t="str">
            <v>Laldiyara</v>
          </cell>
          <cell r="C262" t="str">
            <v>Laldiyara</v>
          </cell>
          <cell r="D262" t="str">
            <v>MOHANPUR</v>
          </cell>
          <cell r="E262">
            <v>10020021</v>
          </cell>
          <cell r="F262" t="str">
            <v>0018</v>
          </cell>
          <cell r="G262">
            <v>14</v>
          </cell>
          <cell r="H262">
            <v>132.79999999999998</v>
          </cell>
          <cell r="I262">
            <v>5347.3361317200006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P262">
            <v>5347</v>
          </cell>
          <cell r="V262" t="str">
            <v>Available</v>
          </cell>
        </row>
        <row r="263">
          <cell r="A263" t="str">
            <v>100200210019</v>
          </cell>
          <cell r="B263" t="str">
            <v>Laldiyara</v>
          </cell>
          <cell r="C263" t="str">
            <v>Laldiyara</v>
          </cell>
          <cell r="D263" t="str">
            <v>MOHANPUR</v>
          </cell>
          <cell r="E263">
            <v>10020021</v>
          </cell>
          <cell r="F263" t="str">
            <v>0019</v>
          </cell>
          <cell r="G263">
            <v>7</v>
          </cell>
          <cell r="H263">
            <v>164.8</v>
          </cell>
          <cell r="I263">
            <v>7389.9366295055988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P263">
            <v>7390</v>
          </cell>
          <cell r="V263" t="str">
            <v>Available</v>
          </cell>
        </row>
        <row r="264">
          <cell r="A264" t="str">
            <v>100200210022</v>
          </cell>
          <cell r="B264" t="str">
            <v>Laldiyara</v>
          </cell>
          <cell r="C264" t="str">
            <v>Laldiyara</v>
          </cell>
          <cell r="D264" t="str">
            <v>MOHANPUR</v>
          </cell>
          <cell r="E264">
            <v>10020021</v>
          </cell>
          <cell r="F264" t="str">
            <v>0022</v>
          </cell>
          <cell r="G264">
            <v>4</v>
          </cell>
          <cell r="H264">
            <v>98.8</v>
          </cell>
          <cell r="I264">
            <v>4245.0850579493999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P264">
            <v>4245</v>
          </cell>
          <cell r="V264" t="str">
            <v>Available</v>
          </cell>
        </row>
        <row r="265">
          <cell r="A265" t="str">
            <v>100200210025</v>
          </cell>
          <cell r="B265" t="str">
            <v>Laldiyara</v>
          </cell>
          <cell r="C265" t="str">
            <v>Laldiyara</v>
          </cell>
          <cell r="D265" t="str">
            <v>MOHANPUR</v>
          </cell>
          <cell r="E265">
            <v>10020021</v>
          </cell>
          <cell r="F265" t="str">
            <v>0025</v>
          </cell>
          <cell r="G265">
            <v>4</v>
          </cell>
          <cell r="H265">
            <v>81</v>
          </cell>
          <cell r="I265">
            <v>3698.1814743320001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P265">
            <v>3698</v>
          </cell>
          <cell r="V265" t="str">
            <v>Available</v>
          </cell>
        </row>
        <row r="266">
          <cell r="A266" t="str">
            <v>100200210026</v>
          </cell>
          <cell r="B266" t="str">
            <v>Laldiyara</v>
          </cell>
          <cell r="C266" t="str">
            <v>Laldiyara</v>
          </cell>
          <cell r="D266" t="str">
            <v>MOHANPUR</v>
          </cell>
          <cell r="E266">
            <v>10020021</v>
          </cell>
          <cell r="F266" t="str">
            <v>0026</v>
          </cell>
          <cell r="G266">
            <v>14</v>
          </cell>
          <cell r="H266">
            <v>158.4</v>
          </cell>
          <cell r="I266">
            <v>8492.0582838713908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P266">
            <v>8492</v>
          </cell>
          <cell r="V266" t="str">
            <v>Available</v>
          </cell>
        </row>
        <row r="267">
          <cell r="A267" t="str">
            <v>100200210027</v>
          </cell>
          <cell r="B267" t="str">
            <v>Laldiyara</v>
          </cell>
          <cell r="C267" t="str">
            <v>Laldiyara</v>
          </cell>
          <cell r="D267" t="str">
            <v>MOHANPUR</v>
          </cell>
          <cell r="E267">
            <v>10020021</v>
          </cell>
          <cell r="F267" t="str">
            <v>0027</v>
          </cell>
          <cell r="G267">
            <v>5</v>
          </cell>
          <cell r="H267">
            <v>120.60000000000002</v>
          </cell>
          <cell r="I267">
            <v>5530.5625217409006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P267">
            <v>5531</v>
          </cell>
          <cell r="V267" t="str">
            <v>Available</v>
          </cell>
        </row>
        <row r="268">
          <cell r="A268" t="str">
            <v>100200210028</v>
          </cell>
          <cell r="B268" t="str">
            <v>Laldiyara</v>
          </cell>
          <cell r="C268" t="str">
            <v>Laldiyara</v>
          </cell>
          <cell r="D268" t="str">
            <v>MOHANPUR</v>
          </cell>
          <cell r="E268">
            <v>10020021</v>
          </cell>
          <cell r="F268" t="str">
            <v>0028</v>
          </cell>
          <cell r="G268">
            <v>4</v>
          </cell>
          <cell r="H268">
            <v>80.599999999999994</v>
          </cell>
          <cell r="I268">
            <v>3486.5716339464002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P268">
            <v>3487</v>
          </cell>
          <cell r="V268" t="str">
            <v>Available</v>
          </cell>
        </row>
        <row r="269">
          <cell r="A269" t="str">
            <v>100200210037</v>
          </cell>
          <cell r="B269" t="str">
            <v>Laldiyara</v>
          </cell>
          <cell r="C269" t="str">
            <v>Laldiyara</v>
          </cell>
          <cell r="D269" t="str">
            <v>MOHANPUR</v>
          </cell>
          <cell r="E269">
            <v>10020021</v>
          </cell>
          <cell r="F269" t="str">
            <v>0037</v>
          </cell>
          <cell r="G269">
            <v>5</v>
          </cell>
          <cell r="H269">
            <v>92.2</v>
          </cell>
          <cell r="I269">
            <v>3949.1638013630004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P269">
            <v>3949</v>
          </cell>
          <cell r="V269" t="str">
            <v>Available</v>
          </cell>
        </row>
        <row r="270">
          <cell r="A270" t="str">
            <v>100200210041</v>
          </cell>
          <cell r="B270" t="str">
            <v>Laldiyara</v>
          </cell>
          <cell r="C270" t="str">
            <v>Laldiyara</v>
          </cell>
          <cell r="D270" t="str">
            <v>MOHANPUR</v>
          </cell>
          <cell r="E270">
            <v>10020021</v>
          </cell>
          <cell r="F270" t="str">
            <v>0041</v>
          </cell>
          <cell r="G270">
            <v>11</v>
          </cell>
          <cell r="H270">
            <v>29.099999999999998</v>
          </cell>
          <cell r="I270">
            <v>1545.8647812789004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P270">
            <v>1546</v>
          </cell>
          <cell r="V270" t="str">
            <v>Available</v>
          </cell>
        </row>
        <row r="271">
          <cell r="A271" t="str">
            <v>100200210061</v>
          </cell>
          <cell r="B271" t="str">
            <v>Laldiyara</v>
          </cell>
          <cell r="C271" t="str">
            <v>Laldiyara</v>
          </cell>
          <cell r="D271" t="str">
            <v>MOHANPUR</v>
          </cell>
          <cell r="E271">
            <v>10020021</v>
          </cell>
          <cell r="F271" t="str">
            <v>0061</v>
          </cell>
          <cell r="G271">
            <v>5</v>
          </cell>
          <cell r="H271">
            <v>116.2</v>
          </cell>
          <cell r="I271">
            <v>5058.7287273500006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P271">
            <v>5059</v>
          </cell>
          <cell r="V271" t="str">
            <v>Available</v>
          </cell>
        </row>
        <row r="272">
          <cell r="A272" t="str">
            <v>100200210062</v>
          </cell>
          <cell r="B272" t="str">
            <v>Laldiyara</v>
          </cell>
          <cell r="C272" t="str">
            <v>Laldiyara</v>
          </cell>
          <cell r="D272" t="str">
            <v>MOHANPUR</v>
          </cell>
          <cell r="E272">
            <v>10020021</v>
          </cell>
          <cell r="F272" t="str">
            <v>0062</v>
          </cell>
          <cell r="G272">
            <v>14</v>
          </cell>
          <cell r="H272">
            <v>47.399999999999991</v>
          </cell>
          <cell r="I272">
            <v>2006.43900336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P272">
            <v>2006</v>
          </cell>
          <cell r="V272" t="str">
            <v>Available</v>
          </cell>
        </row>
        <row r="273">
          <cell r="A273" t="str">
            <v>100200210065</v>
          </cell>
          <cell r="B273" t="str">
            <v>Laldiyara</v>
          </cell>
          <cell r="C273" t="str">
            <v>Laldiyara</v>
          </cell>
          <cell r="D273" t="str">
            <v>MOHANPUR</v>
          </cell>
          <cell r="E273">
            <v>10020021</v>
          </cell>
          <cell r="F273" t="str">
            <v>0065</v>
          </cell>
          <cell r="G273">
            <v>5</v>
          </cell>
          <cell r="H273">
            <v>14.6</v>
          </cell>
          <cell r="I273">
            <v>796.33277619520004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P273">
            <v>796</v>
          </cell>
          <cell r="V273" t="str">
            <v>Available</v>
          </cell>
        </row>
        <row r="274">
          <cell r="A274" t="str">
            <v>100200210072</v>
          </cell>
          <cell r="B274" t="str">
            <v>Laldiyara</v>
          </cell>
          <cell r="C274" t="str">
            <v>Laldiyara</v>
          </cell>
          <cell r="D274" t="str">
            <v>MOHANPUR</v>
          </cell>
          <cell r="E274">
            <v>10020021</v>
          </cell>
          <cell r="F274" t="str">
            <v>0072</v>
          </cell>
          <cell r="G274">
            <v>5</v>
          </cell>
          <cell r="H274">
            <v>119.9</v>
          </cell>
          <cell r="I274">
            <v>4939.3310973350999</v>
          </cell>
          <cell r="J274">
            <v>0</v>
          </cell>
          <cell r="K274">
            <v>0</v>
          </cell>
          <cell r="L274">
            <v>2242</v>
          </cell>
          <cell r="M274">
            <v>0</v>
          </cell>
          <cell r="P274">
            <v>2697</v>
          </cell>
          <cell r="V274" t="str">
            <v>Available</v>
          </cell>
        </row>
        <row r="275">
          <cell r="A275" t="str">
            <v>100200210078</v>
          </cell>
          <cell r="B275" t="str">
            <v>Laldiyara</v>
          </cell>
          <cell r="C275" t="str">
            <v>Laldiyara</v>
          </cell>
          <cell r="D275" t="str">
            <v>MOHANPUR</v>
          </cell>
          <cell r="E275">
            <v>10020021</v>
          </cell>
          <cell r="F275" t="str">
            <v>0078</v>
          </cell>
          <cell r="G275">
            <v>4</v>
          </cell>
          <cell r="H275">
            <v>95.800000000000011</v>
          </cell>
          <cell r="I275">
            <v>4000.5185859029002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P275">
            <v>4001</v>
          </cell>
          <cell r="V275" t="str">
            <v>Available</v>
          </cell>
        </row>
        <row r="276">
          <cell r="A276" t="str">
            <v>100200210080</v>
          </cell>
          <cell r="B276" t="str">
            <v>Laldiyara</v>
          </cell>
          <cell r="C276" t="str">
            <v>Laldiyara</v>
          </cell>
          <cell r="D276" t="str">
            <v>MOHANPUR</v>
          </cell>
          <cell r="E276">
            <v>10020021</v>
          </cell>
          <cell r="F276" t="str">
            <v>0080</v>
          </cell>
          <cell r="G276">
            <v>6</v>
          </cell>
          <cell r="H276">
            <v>136.9</v>
          </cell>
          <cell r="I276">
            <v>5907.7673727593992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P276">
            <v>821</v>
          </cell>
          <cell r="V276" t="str">
            <v>Available</v>
          </cell>
        </row>
        <row r="277">
          <cell r="A277" t="str">
            <v>100200210101</v>
          </cell>
          <cell r="B277" t="str">
            <v>Laldiyara</v>
          </cell>
          <cell r="C277" t="str">
            <v>Laldiyara</v>
          </cell>
          <cell r="D277" t="str">
            <v>MOHANPUR</v>
          </cell>
          <cell r="E277">
            <v>10020021</v>
          </cell>
          <cell r="F277" t="str">
            <v>0101</v>
          </cell>
          <cell r="G277">
            <v>3</v>
          </cell>
          <cell r="H277">
            <v>23.9</v>
          </cell>
          <cell r="I277">
            <v>918.42947460000005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P277">
            <v>918</v>
          </cell>
          <cell r="V277" t="str">
            <v>Not Available</v>
          </cell>
        </row>
        <row r="278">
          <cell r="A278" t="str">
            <v>100200210102</v>
          </cell>
          <cell r="B278" t="str">
            <v>Laldiyara</v>
          </cell>
          <cell r="C278" t="str">
            <v>Laldiyara</v>
          </cell>
          <cell r="D278" t="str">
            <v>MOHANPUR</v>
          </cell>
          <cell r="E278">
            <v>10020021</v>
          </cell>
          <cell r="F278" t="str">
            <v>0102</v>
          </cell>
          <cell r="G278">
            <v>3</v>
          </cell>
          <cell r="H278">
            <v>33.200000000000003</v>
          </cell>
          <cell r="I278">
            <v>1281.2417838000001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P278">
            <v>1281</v>
          </cell>
          <cell r="V278" t="str">
            <v>Not Available</v>
          </cell>
        </row>
        <row r="279">
          <cell r="A279" t="str">
            <v>100200210104</v>
          </cell>
          <cell r="B279" t="str">
            <v>Laldiyara</v>
          </cell>
          <cell r="C279" t="str">
            <v>Laldiyara</v>
          </cell>
          <cell r="D279" t="str">
            <v>MOHANPUR</v>
          </cell>
          <cell r="E279">
            <v>10020021</v>
          </cell>
          <cell r="F279" t="str">
            <v>0104</v>
          </cell>
          <cell r="G279">
            <v>3</v>
          </cell>
          <cell r="H279">
            <v>19.200000000000003</v>
          </cell>
          <cell r="I279">
            <v>737.13540780000005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P279">
            <v>737</v>
          </cell>
          <cell r="V279" t="str">
            <v>Not Available</v>
          </cell>
        </row>
        <row r="280">
          <cell r="A280" t="str">
            <v>100200210105</v>
          </cell>
          <cell r="B280" t="str">
            <v>Laldiyara</v>
          </cell>
          <cell r="C280" t="str">
            <v>Laldiyara</v>
          </cell>
          <cell r="D280" t="str">
            <v>MOHANPUR</v>
          </cell>
          <cell r="E280">
            <v>10020021</v>
          </cell>
          <cell r="F280" t="str">
            <v>0105</v>
          </cell>
          <cell r="G280">
            <v>1</v>
          </cell>
          <cell r="H280">
            <v>8.9</v>
          </cell>
          <cell r="I280">
            <v>433.06916094539997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P280">
            <v>433</v>
          </cell>
          <cell r="V280" t="str">
            <v>Not Available</v>
          </cell>
        </row>
        <row r="281">
          <cell r="A281" t="str">
            <v>100200210113</v>
          </cell>
          <cell r="B281" t="str">
            <v>Laldiyara</v>
          </cell>
          <cell r="C281" t="str">
            <v>Laldiyara</v>
          </cell>
          <cell r="D281" t="str">
            <v>MOHANPUR</v>
          </cell>
          <cell r="E281">
            <v>10020021</v>
          </cell>
          <cell r="F281" t="str">
            <v>0113</v>
          </cell>
          <cell r="G281">
            <v>2</v>
          </cell>
          <cell r="H281">
            <v>11.4</v>
          </cell>
          <cell r="I281">
            <v>484.49210832000006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P281">
            <v>484</v>
          </cell>
          <cell r="V281" t="str">
            <v>Not Available</v>
          </cell>
        </row>
        <row r="282">
          <cell r="A282" t="str">
            <v>100200210114</v>
          </cell>
          <cell r="B282" t="str">
            <v>Laldiyara</v>
          </cell>
          <cell r="C282" t="str">
            <v>Laldiyara</v>
          </cell>
          <cell r="D282" t="str">
            <v>MOHANPUR</v>
          </cell>
          <cell r="E282">
            <v>10020021</v>
          </cell>
          <cell r="F282" t="str">
            <v>0114</v>
          </cell>
          <cell r="G282">
            <v>2</v>
          </cell>
          <cell r="H282">
            <v>11.3</v>
          </cell>
          <cell r="I282">
            <v>543.31890473520002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P282">
            <v>543</v>
          </cell>
          <cell r="V282" t="str">
            <v>Not Available</v>
          </cell>
        </row>
        <row r="283">
          <cell r="A283" t="str">
            <v>100200210115</v>
          </cell>
          <cell r="B283" t="str">
            <v>Laldiyara</v>
          </cell>
          <cell r="C283" t="str">
            <v>Laldiyara</v>
          </cell>
          <cell r="D283" t="str">
            <v>MOHANPUR</v>
          </cell>
          <cell r="E283">
            <v>10020021</v>
          </cell>
          <cell r="F283" t="str">
            <v>0115</v>
          </cell>
          <cell r="G283">
            <v>4</v>
          </cell>
          <cell r="H283">
            <v>19.5</v>
          </cell>
          <cell r="I283">
            <v>959.09650699500003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P283">
            <v>959</v>
          </cell>
          <cell r="V283" t="str">
            <v>Not Available</v>
          </cell>
        </row>
        <row r="284">
          <cell r="A284" t="str">
            <v>100200230001</v>
          </cell>
          <cell r="B284" t="str">
            <v>Laldiyara</v>
          </cell>
          <cell r="C284" t="str">
            <v>Laldiyara</v>
          </cell>
          <cell r="D284" t="str">
            <v>Juwas</v>
          </cell>
          <cell r="E284">
            <v>10020023</v>
          </cell>
          <cell r="F284" t="str">
            <v>0001</v>
          </cell>
          <cell r="G284">
            <v>12</v>
          </cell>
          <cell r="H284">
            <v>7.8</v>
          </cell>
          <cell r="I284">
            <v>292.45441500000004</v>
          </cell>
          <cell r="J284">
            <v>0</v>
          </cell>
          <cell r="K284">
            <v>292.45441500000004</v>
          </cell>
          <cell r="L284">
            <v>0</v>
          </cell>
          <cell r="M284">
            <v>0</v>
          </cell>
          <cell r="P284">
            <v>0</v>
          </cell>
          <cell r="V284" t="str">
            <v>Not Available</v>
          </cell>
        </row>
        <row r="285">
          <cell r="A285" t="str">
            <v>100200230002</v>
          </cell>
          <cell r="B285" t="str">
            <v>Laldiyara</v>
          </cell>
          <cell r="C285" t="str">
            <v>Laldiyara</v>
          </cell>
          <cell r="D285" t="str">
            <v>Juwas</v>
          </cell>
          <cell r="E285">
            <v>10020023</v>
          </cell>
          <cell r="F285" t="str">
            <v>0002</v>
          </cell>
          <cell r="G285">
            <v>10</v>
          </cell>
          <cell r="H285">
            <v>124.4</v>
          </cell>
          <cell r="I285">
            <v>4581.6360289920003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P285">
            <v>4582</v>
          </cell>
          <cell r="V285" t="str">
            <v>Available</v>
          </cell>
        </row>
        <row r="286">
          <cell r="A286" t="str">
            <v>100200230006</v>
          </cell>
          <cell r="B286" t="str">
            <v>Laldiyara</v>
          </cell>
          <cell r="C286" t="str">
            <v>Laldiyara</v>
          </cell>
          <cell r="D286" t="str">
            <v>Juwas</v>
          </cell>
          <cell r="E286">
            <v>10020023</v>
          </cell>
          <cell r="F286" t="str">
            <v>0006</v>
          </cell>
          <cell r="G286">
            <v>4</v>
          </cell>
          <cell r="H286">
            <v>8.8000000000000007</v>
          </cell>
          <cell r="I286">
            <v>281.41628842800003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P286">
            <v>281</v>
          </cell>
          <cell r="V286" t="str">
            <v>Available</v>
          </cell>
        </row>
        <row r="287">
          <cell r="A287" t="str">
            <v>100200230011</v>
          </cell>
          <cell r="B287" t="str">
            <v>Laldiyara</v>
          </cell>
          <cell r="C287" t="str">
            <v>Laldiyara</v>
          </cell>
          <cell r="D287" t="str">
            <v>Juwas</v>
          </cell>
          <cell r="E287">
            <v>10020023</v>
          </cell>
          <cell r="F287" t="str">
            <v>0011</v>
          </cell>
          <cell r="G287">
            <v>6</v>
          </cell>
          <cell r="H287">
            <v>13.499999999999998</v>
          </cell>
          <cell r="I287">
            <v>566.53274700000009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P287">
            <v>567</v>
          </cell>
          <cell r="V287" t="str">
            <v>Available</v>
          </cell>
        </row>
        <row r="288">
          <cell r="A288" t="str">
            <v>100200230017</v>
          </cell>
          <cell r="B288" t="str">
            <v>Laldiyara</v>
          </cell>
          <cell r="C288" t="str">
            <v>Laldiyara</v>
          </cell>
          <cell r="D288" t="str">
            <v>Juwas</v>
          </cell>
          <cell r="E288">
            <v>10020023</v>
          </cell>
          <cell r="F288" t="str">
            <v>0017</v>
          </cell>
          <cell r="G288">
            <v>2</v>
          </cell>
          <cell r="H288">
            <v>4.0999999999999996</v>
          </cell>
          <cell r="I288">
            <v>158.10083388000004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P288">
            <v>158</v>
          </cell>
          <cell r="V288" t="str">
            <v>Available</v>
          </cell>
        </row>
        <row r="289">
          <cell r="A289" t="str">
            <v>100200230018</v>
          </cell>
          <cell r="B289" t="str">
            <v>Laldiyara</v>
          </cell>
          <cell r="C289" t="str">
            <v>Laldiyara</v>
          </cell>
          <cell r="D289" t="str">
            <v>Juwas</v>
          </cell>
          <cell r="E289">
            <v>10020023</v>
          </cell>
          <cell r="F289" t="str">
            <v>0018</v>
          </cell>
          <cell r="G289">
            <v>10</v>
          </cell>
          <cell r="H289">
            <v>54.9</v>
          </cell>
          <cell r="I289">
            <v>1936.2770883720002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P289">
            <v>1936</v>
          </cell>
          <cell r="V289" t="str">
            <v>Available</v>
          </cell>
        </row>
        <row r="290">
          <cell r="A290" t="str">
            <v>100200230020</v>
          </cell>
          <cell r="B290" t="str">
            <v>Laldiyara</v>
          </cell>
          <cell r="C290" t="str">
            <v>Laldiyara</v>
          </cell>
          <cell r="D290" t="str">
            <v>Juwas</v>
          </cell>
          <cell r="E290">
            <v>10020023</v>
          </cell>
          <cell r="F290" t="str">
            <v>0020</v>
          </cell>
          <cell r="G290">
            <v>6</v>
          </cell>
          <cell r="H290">
            <v>9.5</v>
          </cell>
          <cell r="I290">
            <v>321.36668863200003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P290">
            <v>321</v>
          </cell>
          <cell r="V290" t="str">
            <v>Available</v>
          </cell>
        </row>
        <row r="291">
          <cell r="A291" t="str">
            <v>100200230025</v>
          </cell>
          <cell r="B291" t="str">
            <v>Laldiyara</v>
          </cell>
          <cell r="C291" t="str">
            <v>Laldiyara</v>
          </cell>
          <cell r="D291" t="str">
            <v>Juwas</v>
          </cell>
          <cell r="E291">
            <v>10020023</v>
          </cell>
          <cell r="F291" t="str">
            <v>0025</v>
          </cell>
          <cell r="G291">
            <v>6</v>
          </cell>
          <cell r="H291">
            <v>16.100000000000001</v>
          </cell>
          <cell r="I291">
            <v>686.69547408000017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P291">
            <v>687</v>
          </cell>
          <cell r="V291" t="str">
            <v>Available</v>
          </cell>
        </row>
        <row r="292">
          <cell r="A292" t="str">
            <v>100200230030</v>
          </cell>
          <cell r="B292" t="str">
            <v>Laldiyara</v>
          </cell>
          <cell r="C292" t="str">
            <v>Laldiyara</v>
          </cell>
          <cell r="D292" t="str">
            <v>Juwas</v>
          </cell>
          <cell r="E292">
            <v>10020023</v>
          </cell>
          <cell r="F292" t="str">
            <v>0030</v>
          </cell>
          <cell r="G292">
            <v>3</v>
          </cell>
          <cell r="H292">
            <v>3.6</v>
          </cell>
          <cell r="I292">
            <v>134.68357980000002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P292">
            <v>135</v>
          </cell>
          <cell r="V292" t="str">
            <v>Available</v>
          </cell>
        </row>
        <row r="293">
          <cell r="A293" t="str">
            <v>100200230035</v>
          </cell>
          <cell r="B293" t="str">
            <v>Laldiyara</v>
          </cell>
          <cell r="C293" t="str">
            <v>Laldiyara</v>
          </cell>
          <cell r="D293" t="str">
            <v>Juwas</v>
          </cell>
          <cell r="E293">
            <v>10020023</v>
          </cell>
          <cell r="F293" t="str">
            <v>0035</v>
          </cell>
          <cell r="G293">
            <v>12</v>
          </cell>
          <cell r="H293">
            <v>23.900000000000006</v>
          </cell>
          <cell r="I293">
            <v>915.22459333800009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P293">
            <v>915</v>
          </cell>
          <cell r="V293" t="str">
            <v>Available</v>
          </cell>
        </row>
        <row r="294">
          <cell r="A294" t="str">
            <v>100200230038</v>
          </cell>
          <cell r="B294" t="str">
            <v>Laldiyara</v>
          </cell>
          <cell r="C294" t="str">
            <v>Laldiyara</v>
          </cell>
          <cell r="D294" t="str">
            <v>Juwas</v>
          </cell>
          <cell r="E294">
            <v>10020023</v>
          </cell>
          <cell r="F294" t="str">
            <v>0038</v>
          </cell>
          <cell r="G294">
            <v>5</v>
          </cell>
          <cell r="H294">
            <v>19.100000000000001</v>
          </cell>
          <cell r="I294">
            <v>778.68943020000006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P294">
            <v>779</v>
          </cell>
          <cell r="V294" t="str">
            <v>Available</v>
          </cell>
        </row>
        <row r="295">
          <cell r="A295" t="str">
            <v>100200230041</v>
          </cell>
          <cell r="B295" t="str">
            <v>Laldiyara</v>
          </cell>
          <cell r="C295" t="str">
            <v>Laldiyara</v>
          </cell>
          <cell r="D295" t="str">
            <v>Juwas</v>
          </cell>
          <cell r="E295">
            <v>10020023</v>
          </cell>
          <cell r="F295" t="str">
            <v>0041</v>
          </cell>
          <cell r="G295">
            <v>4</v>
          </cell>
          <cell r="H295">
            <v>13.399999999999999</v>
          </cell>
          <cell r="I295">
            <v>508.46571072000006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P295">
            <v>508</v>
          </cell>
          <cell r="V295" t="str">
            <v>Available</v>
          </cell>
        </row>
        <row r="296">
          <cell r="A296" t="str">
            <v>100200230042</v>
          </cell>
          <cell r="B296" t="str">
            <v>Laldiyara</v>
          </cell>
          <cell r="C296" t="str">
            <v>Laldiyara</v>
          </cell>
          <cell r="D296" t="str">
            <v>Juwas</v>
          </cell>
          <cell r="E296">
            <v>10020023</v>
          </cell>
          <cell r="F296" t="str">
            <v>0042</v>
          </cell>
          <cell r="G296">
            <v>6</v>
          </cell>
          <cell r="H296">
            <v>16.5</v>
          </cell>
          <cell r="I296">
            <v>672.65087472000005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P296">
            <v>673</v>
          </cell>
          <cell r="V296" t="str">
            <v>Available</v>
          </cell>
        </row>
        <row r="297">
          <cell r="A297" t="str">
            <v>100200230046</v>
          </cell>
          <cell r="B297" t="str">
            <v>Laldiyara</v>
          </cell>
          <cell r="C297" t="str">
            <v>Laldiyara</v>
          </cell>
          <cell r="D297" t="str">
            <v>Juwas</v>
          </cell>
          <cell r="E297">
            <v>10020023</v>
          </cell>
          <cell r="F297" t="str">
            <v>0046</v>
          </cell>
          <cell r="G297">
            <v>2</v>
          </cell>
          <cell r="H297">
            <v>5.5</v>
          </cell>
          <cell r="I297">
            <v>211.417371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P297">
            <v>211</v>
          </cell>
          <cell r="V297" t="str">
            <v>Available</v>
          </cell>
        </row>
        <row r="298">
          <cell r="A298" t="str">
            <v>100200230070</v>
          </cell>
          <cell r="B298" t="str">
            <v>Laldiyara</v>
          </cell>
          <cell r="C298" t="str">
            <v>Laldiyara</v>
          </cell>
          <cell r="D298" t="str">
            <v>Juwas</v>
          </cell>
          <cell r="E298">
            <v>10020023</v>
          </cell>
          <cell r="F298" t="str">
            <v>0070</v>
          </cell>
          <cell r="G298">
            <v>12</v>
          </cell>
          <cell r="H298">
            <v>37.300000000000004</v>
          </cell>
          <cell r="I298">
            <v>1360.7412465240002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P298">
            <v>1361</v>
          </cell>
          <cell r="V298" t="str">
            <v>Available</v>
          </cell>
        </row>
        <row r="299">
          <cell r="A299" t="str">
            <v>100200230082</v>
          </cell>
          <cell r="B299" t="str">
            <v>Laldiyara</v>
          </cell>
          <cell r="C299" t="str">
            <v>Laldiyara</v>
          </cell>
          <cell r="D299" t="str">
            <v>Juwas</v>
          </cell>
          <cell r="E299">
            <v>10020023</v>
          </cell>
          <cell r="F299" t="str">
            <v>0082</v>
          </cell>
          <cell r="G299">
            <v>7</v>
          </cell>
          <cell r="H299">
            <v>29.200000000000003</v>
          </cell>
          <cell r="I299">
            <v>1192.9083880467601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P299">
            <v>1193</v>
          </cell>
          <cell r="V299" t="str">
            <v>Available</v>
          </cell>
        </row>
        <row r="300">
          <cell r="A300" t="str">
            <v>100200230086</v>
          </cell>
          <cell r="B300" t="str">
            <v>Laldiyara</v>
          </cell>
          <cell r="C300" t="str">
            <v>Laldiyara</v>
          </cell>
          <cell r="D300" t="str">
            <v>Juwas</v>
          </cell>
          <cell r="E300">
            <v>10020023</v>
          </cell>
          <cell r="F300" t="str">
            <v>0086</v>
          </cell>
          <cell r="G300">
            <v>6</v>
          </cell>
          <cell r="H300">
            <v>23.1</v>
          </cell>
          <cell r="I300">
            <v>793.26388211400013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P300">
            <v>793</v>
          </cell>
          <cell r="V300" t="str">
            <v>Available</v>
          </cell>
        </row>
        <row r="301">
          <cell r="A301" t="str">
            <v>100200230090</v>
          </cell>
          <cell r="B301" t="str">
            <v>Laldiyara</v>
          </cell>
          <cell r="C301" t="str">
            <v>Laldiyara</v>
          </cell>
          <cell r="D301" t="str">
            <v>Juwas</v>
          </cell>
          <cell r="E301">
            <v>10020023</v>
          </cell>
          <cell r="F301" t="str">
            <v>0090</v>
          </cell>
          <cell r="G301">
            <v>3</v>
          </cell>
          <cell r="H301">
            <v>5.8</v>
          </cell>
          <cell r="I301">
            <v>224.6173776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P301">
            <v>225</v>
          </cell>
          <cell r="V301" t="str">
            <v>Available</v>
          </cell>
        </row>
        <row r="302">
          <cell r="A302" t="str">
            <v>100200230094</v>
          </cell>
          <cell r="B302" t="str">
            <v>Laldiyara</v>
          </cell>
          <cell r="C302" t="str">
            <v>Laldiyara</v>
          </cell>
          <cell r="D302" t="str">
            <v>Juwas</v>
          </cell>
          <cell r="E302">
            <v>10020023</v>
          </cell>
          <cell r="F302" t="str">
            <v>0094</v>
          </cell>
          <cell r="G302">
            <v>6</v>
          </cell>
          <cell r="H302">
            <v>14.200000000000001</v>
          </cell>
          <cell r="I302">
            <v>519.72581628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P302">
            <v>520</v>
          </cell>
          <cell r="V302" t="str">
            <v>Available</v>
          </cell>
        </row>
        <row r="303">
          <cell r="A303" t="str">
            <v>100200230103</v>
          </cell>
          <cell r="B303" t="str">
            <v>Laldiyara</v>
          </cell>
          <cell r="C303" t="str">
            <v>Laldiyara</v>
          </cell>
          <cell r="D303" t="str">
            <v>Juwas</v>
          </cell>
          <cell r="E303">
            <v>10020023</v>
          </cell>
          <cell r="F303" t="str">
            <v>0103</v>
          </cell>
          <cell r="G303">
            <v>2</v>
          </cell>
          <cell r="H303">
            <v>4.5</v>
          </cell>
          <cell r="I303">
            <v>159.55324704000003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P303">
            <v>160</v>
          </cell>
          <cell r="V303" t="str">
            <v>Available</v>
          </cell>
        </row>
        <row r="304">
          <cell r="A304" t="str">
            <v>100200230113</v>
          </cell>
          <cell r="B304" t="str">
            <v>Laldiyara</v>
          </cell>
          <cell r="C304" t="str">
            <v>Laldiyara</v>
          </cell>
          <cell r="D304" t="str">
            <v>Juwas</v>
          </cell>
          <cell r="E304">
            <v>10020023</v>
          </cell>
          <cell r="F304" t="str">
            <v>0113</v>
          </cell>
          <cell r="G304">
            <v>13</v>
          </cell>
          <cell r="H304">
            <v>270.5</v>
          </cell>
          <cell r="I304">
            <v>10361.352573000002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P304">
            <v>10361</v>
          </cell>
          <cell r="V304" t="str">
            <v>Available</v>
          </cell>
        </row>
        <row r="305">
          <cell r="A305" t="str">
            <v>100200230114</v>
          </cell>
          <cell r="B305" t="str">
            <v>Laldiyara</v>
          </cell>
          <cell r="C305" t="str">
            <v>Laldiyara</v>
          </cell>
          <cell r="D305" t="str">
            <v>Juwas</v>
          </cell>
          <cell r="E305">
            <v>10020023</v>
          </cell>
          <cell r="F305" t="str">
            <v>0114</v>
          </cell>
          <cell r="G305">
            <v>6</v>
          </cell>
          <cell r="H305">
            <v>13.4</v>
          </cell>
          <cell r="I305">
            <v>476.41576752000009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P305">
            <v>476</v>
          </cell>
          <cell r="V305" t="str">
            <v>Available</v>
          </cell>
        </row>
        <row r="306">
          <cell r="A306" t="str">
            <v>100200230122</v>
          </cell>
          <cell r="B306" t="str">
            <v>Laldiyara</v>
          </cell>
          <cell r="C306" t="str">
            <v>Laldiyara</v>
          </cell>
          <cell r="D306" t="str">
            <v>Juwas</v>
          </cell>
          <cell r="E306">
            <v>10020023</v>
          </cell>
          <cell r="F306" t="str">
            <v>0122</v>
          </cell>
          <cell r="G306">
            <v>7</v>
          </cell>
          <cell r="H306">
            <v>11.499999999999998</v>
          </cell>
          <cell r="I306">
            <v>454.95073403999999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P306">
            <v>455</v>
          </cell>
          <cell r="V306" t="str">
            <v>Available</v>
          </cell>
        </row>
        <row r="307">
          <cell r="A307" t="str">
            <v>100200230126</v>
          </cell>
          <cell r="B307" t="str">
            <v>Laldiyara</v>
          </cell>
          <cell r="C307" t="str">
            <v>Laldiyara</v>
          </cell>
          <cell r="D307" t="str">
            <v>Juwas</v>
          </cell>
          <cell r="E307">
            <v>10020023</v>
          </cell>
          <cell r="F307" t="str">
            <v>0126</v>
          </cell>
          <cell r="G307">
            <v>3</v>
          </cell>
          <cell r="H307">
            <v>5.5</v>
          </cell>
          <cell r="I307">
            <v>196.36165989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P307">
            <v>196</v>
          </cell>
          <cell r="V307" t="str">
            <v>Available</v>
          </cell>
        </row>
        <row r="308">
          <cell r="A308" t="str">
            <v>100200230134</v>
          </cell>
          <cell r="B308" t="str">
            <v>Laldiyara</v>
          </cell>
          <cell r="C308" t="str">
            <v>Laldiyara</v>
          </cell>
          <cell r="D308" t="str">
            <v>Juwas</v>
          </cell>
          <cell r="E308">
            <v>10020023</v>
          </cell>
          <cell r="F308" t="str">
            <v>0134</v>
          </cell>
          <cell r="G308">
            <v>12</v>
          </cell>
          <cell r="H308">
            <v>90.199999999999989</v>
          </cell>
          <cell r="I308">
            <v>3372.4216112399999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P308">
            <v>3372</v>
          </cell>
          <cell r="V308" t="str">
            <v>Available</v>
          </cell>
        </row>
        <row r="309">
          <cell r="A309" t="str">
            <v>100200230137</v>
          </cell>
          <cell r="B309" t="str">
            <v>Laldiyara</v>
          </cell>
          <cell r="C309" t="str">
            <v>Laldiyara</v>
          </cell>
          <cell r="D309" t="str">
            <v>Juwas</v>
          </cell>
          <cell r="E309">
            <v>10020023</v>
          </cell>
          <cell r="F309" t="str">
            <v>0137</v>
          </cell>
          <cell r="G309">
            <v>9</v>
          </cell>
          <cell r="H309">
            <v>25.5</v>
          </cell>
          <cell r="I309">
            <v>861.80816205000008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P309">
            <v>862</v>
          </cell>
          <cell r="V309" t="str">
            <v>Available</v>
          </cell>
        </row>
        <row r="310">
          <cell r="A310" t="str">
            <v>100200240002</v>
          </cell>
          <cell r="B310" t="str">
            <v>Laldiyara</v>
          </cell>
          <cell r="C310" t="str">
            <v>Laldiyara</v>
          </cell>
          <cell r="D310" t="str">
            <v>Morwariya</v>
          </cell>
          <cell r="E310">
            <v>10020024</v>
          </cell>
          <cell r="F310" t="str">
            <v>0002</v>
          </cell>
          <cell r="G310">
            <v>3</v>
          </cell>
          <cell r="H310">
            <v>34</v>
          </cell>
          <cell r="I310">
            <v>1574.380325952</v>
          </cell>
          <cell r="J310">
            <v>0</v>
          </cell>
          <cell r="K310">
            <v>0</v>
          </cell>
          <cell r="L310">
            <v>956</v>
          </cell>
          <cell r="M310">
            <v>0</v>
          </cell>
          <cell r="P310">
            <v>618</v>
          </cell>
          <cell r="V310" t="str">
            <v>Available</v>
          </cell>
        </row>
        <row r="311">
          <cell r="A311" t="str">
            <v>100200240003</v>
          </cell>
          <cell r="B311" t="str">
            <v>Laldiyara</v>
          </cell>
          <cell r="C311" t="str">
            <v>Laldiyara</v>
          </cell>
          <cell r="D311" t="str">
            <v>Morwariya</v>
          </cell>
          <cell r="E311">
            <v>10020024</v>
          </cell>
          <cell r="F311" t="str">
            <v>0003</v>
          </cell>
          <cell r="G311">
            <v>6</v>
          </cell>
          <cell r="H311">
            <v>8.81</v>
          </cell>
          <cell r="I311">
            <v>460.13083140200013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P311">
            <v>460</v>
          </cell>
          <cell r="V311" t="str">
            <v>Available</v>
          </cell>
        </row>
        <row r="312">
          <cell r="A312" t="str">
            <v>100200240008</v>
          </cell>
          <cell r="B312" t="str">
            <v>Laldiyara</v>
          </cell>
          <cell r="C312" t="str">
            <v>Laldiyara</v>
          </cell>
          <cell r="D312" t="str">
            <v>Morwariya</v>
          </cell>
          <cell r="E312">
            <v>10020024</v>
          </cell>
          <cell r="F312" t="str">
            <v>0008</v>
          </cell>
          <cell r="G312">
            <v>13</v>
          </cell>
          <cell r="H312">
            <v>39.21</v>
          </cell>
          <cell r="I312">
            <v>1491.057416376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P312">
            <v>1491</v>
          </cell>
          <cell r="V312" t="str">
            <v>Available</v>
          </cell>
        </row>
        <row r="313">
          <cell r="A313" t="str">
            <v>100200240012</v>
          </cell>
          <cell r="B313" t="str">
            <v>Laldiyara</v>
          </cell>
          <cell r="C313" t="str">
            <v>Laldiyara</v>
          </cell>
          <cell r="D313" t="str">
            <v>Morwariya</v>
          </cell>
          <cell r="E313">
            <v>10020024</v>
          </cell>
          <cell r="F313" t="str">
            <v>0012</v>
          </cell>
          <cell r="G313">
            <v>8</v>
          </cell>
          <cell r="H313">
            <v>17.96</v>
          </cell>
          <cell r="I313">
            <v>965.60466992639977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P313">
            <v>966</v>
          </cell>
          <cell r="V313" t="str">
            <v>Available</v>
          </cell>
        </row>
        <row r="314">
          <cell r="A314" t="str">
            <v>100200240013</v>
          </cell>
          <cell r="B314" t="str">
            <v>Laldiyara</v>
          </cell>
          <cell r="C314" t="str">
            <v>Laldiyara</v>
          </cell>
          <cell r="D314" t="str">
            <v>Morwariya</v>
          </cell>
          <cell r="E314">
            <v>10020024</v>
          </cell>
          <cell r="F314" t="str">
            <v>0013</v>
          </cell>
          <cell r="G314">
            <v>1</v>
          </cell>
          <cell r="H314">
            <v>2.16</v>
          </cell>
          <cell r="I314">
            <v>84.11276649600002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P314">
            <v>84</v>
          </cell>
          <cell r="V314" t="str">
            <v>Available</v>
          </cell>
        </row>
        <row r="315">
          <cell r="A315" t="str">
            <v>100200240014</v>
          </cell>
          <cell r="B315" t="str">
            <v>Laldiyara</v>
          </cell>
          <cell r="C315" t="str">
            <v>Laldiyara</v>
          </cell>
          <cell r="D315" t="str">
            <v>Morwariya</v>
          </cell>
          <cell r="E315">
            <v>10020024</v>
          </cell>
          <cell r="F315" t="str">
            <v>0014</v>
          </cell>
          <cell r="G315">
            <v>14</v>
          </cell>
          <cell r="H315">
            <v>57.279999999999987</v>
          </cell>
          <cell r="I315">
            <v>2222.9857520640007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P315">
            <v>2223</v>
          </cell>
          <cell r="V315" t="str">
            <v>Available</v>
          </cell>
        </row>
        <row r="316">
          <cell r="A316" t="str">
            <v>100200240016</v>
          </cell>
          <cell r="B316" t="str">
            <v>Laldiyara</v>
          </cell>
          <cell r="C316" t="str">
            <v>Laldiyara</v>
          </cell>
          <cell r="D316" t="str">
            <v>Morwariya</v>
          </cell>
          <cell r="E316">
            <v>10020024</v>
          </cell>
          <cell r="F316" t="str">
            <v>0016</v>
          </cell>
          <cell r="G316">
            <v>14</v>
          </cell>
          <cell r="H316">
            <v>130.73999999999998</v>
          </cell>
          <cell r="I316">
            <v>6828.3206467080017</v>
          </cell>
          <cell r="J316">
            <v>0</v>
          </cell>
          <cell r="K316">
            <v>0</v>
          </cell>
          <cell r="L316">
            <v>0</v>
          </cell>
          <cell r="M316">
            <v>3750</v>
          </cell>
          <cell r="P316">
            <v>3078</v>
          </cell>
          <cell r="V316" t="str">
            <v>Available</v>
          </cell>
        </row>
        <row r="317">
          <cell r="A317" t="str">
            <v>100200240018</v>
          </cell>
          <cell r="B317" t="str">
            <v>Laldiyara</v>
          </cell>
          <cell r="C317" t="str">
            <v>Laldiyara</v>
          </cell>
          <cell r="D317" t="str">
            <v>Morwariya</v>
          </cell>
          <cell r="E317">
            <v>10020024</v>
          </cell>
          <cell r="F317" t="str">
            <v>0018</v>
          </cell>
          <cell r="G317">
            <v>14</v>
          </cell>
          <cell r="H317">
            <v>51.370000000000005</v>
          </cell>
          <cell r="I317">
            <v>1955.7742390559999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P317">
            <v>1956</v>
          </cell>
          <cell r="V317" t="str">
            <v>Available</v>
          </cell>
        </row>
        <row r="318">
          <cell r="A318" t="str">
            <v>100200240024</v>
          </cell>
          <cell r="B318" t="str">
            <v>Laldiyara</v>
          </cell>
          <cell r="C318" t="str">
            <v>Laldiyara</v>
          </cell>
          <cell r="D318" t="str">
            <v>Morwariya</v>
          </cell>
          <cell r="E318">
            <v>10020024</v>
          </cell>
          <cell r="F318" t="str">
            <v>0024</v>
          </cell>
          <cell r="G318">
            <v>8</v>
          </cell>
          <cell r="H318">
            <v>10.280000000000001</v>
          </cell>
          <cell r="I318">
            <v>398.00723846400001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P318">
            <v>398</v>
          </cell>
          <cell r="V318" t="str">
            <v>Available</v>
          </cell>
        </row>
        <row r="319">
          <cell r="A319" t="str">
            <v>100200240025</v>
          </cell>
          <cell r="B319" t="str">
            <v>Laldiyara</v>
          </cell>
          <cell r="C319" t="str">
            <v>Laldiyara</v>
          </cell>
          <cell r="D319" t="str">
            <v>Morwariya</v>
          </cell>
          <cell r="E319">
            <v>10020024</v>
          </cell>
          <cell r="F319" t="str">
            <v>0025</v>
          </cell>
          <cell r="G319">
            <v>14</v>
          </cell>
          <cell r="H319">
            <v>31.060000000000002</v>
          </cell>
          <cell r="I319">
            <v>1242.8699073120004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P319">
            <v>1243</v>
          </cell>
          <cell r="V319" t="str">
            <v>Available</v>
          </cell>
        </row>
        <row r="320">
          <cell r="A320" t="str">
            <v>100200240026</v>
          </cell>
          <cell r="B320" t="str">
            <v>Laldiyara</v>
          </cell>
          <cell r="C320" t="str">
            <v>Laldiyara</v>
          </cell>
          <cell r="D320" t="str">
            <v>Morwariya</v>
          </cell>
          <cell r="E320">
            <v>10020024</v>
          </cell>
          <cell r="F320" t="str">
            <v>0026</v>
          </cell>
          <cell r="G320">
            <v>14</v>
          </cell>
          <cell r="H320">
            <v>20.5</v>
          </cell>
          <cell r="I320">
            <v>781.0746372000001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P320">
            <v>781</v>
          </cell>
          <cell r="V320" t="str">
            <v>Available</v>
          </cell>
        </row>
        <row r="321">
          <cell r="A321" t="str">
            <v>100200240029</v>
          </cell>
          <cell r="B321" t="str">
            <v>Laldiyara</v>
          </cell>
          <cell r="C321" t="str">
            <v>Laldiyara</v>
          </cell>
          <cell r="D321" t="str">
            <v>Morwariya</v>
          </cell>
          <cell r="E321">
            <v>10020024</v>
          </cell>
          <cell r="F321" t="str">
            <v>0029</v>
          </cell>
          <cell r="G321">
            <v>10</v>
          </cell>
          <cell r="H321">
            <v>25.460000000000004</v>
          </cell>
          <cell r="I321">
            <v>967.91559004800001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P321">
            <v>968</v>
          </cell>
          <cell r="V321" t="str">
            <v>Available</v>
          </cell>
        </row>
        <row r="322">
          <cell r="A322" t="str">
            <v>100200240030</v>
          </cell>
          <cell r="B322" t="str">
            <v>Laldiyara</v>
          </cell>
          <cell r="C322" t="str">
            <v>Laldiyara</v>
          </cell>
          <cell r="D322" t="str">
            <v>Morwariya</v>
          </cell>
          <cell r="E322">
            <v>10020024</v>
          </cell>
          <cell r="F322" t="str">
            <v>0030</v>
          </cell>
          <cell r="G322">
            <v>14</v>
          </cell>
          <cell r="H322">
            <v>100.1</v>
          </cell>
          <cell r="I322">
            <v>3942.1067723844008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P322">
            <v>3942</v>
          </cell>
          <cell r="V322" t="str">
            <v>Available</v>
          </cell>
        </row>
        <row r="323">
          <cell r="A323" t="str">
            <v>100200240031</v>
          </cell>
          <cell r="B323" t="str">
            <v>Laldiyara</v>
          </cell>
          <cell r="C323" t="str">
            <v>Laldiyara</v>
          </cell>
          <cell r="D323" t="str">
            <v>Morwariya</v>
          </cell>
          <cell r="E323">
            <v>10020024</v>
          </cell>
          <cell r="F323" t="str">
            <v>0031</v>
          </cell>
          <cell r="G323">
            <v>14</v>
          </cell>
          <cell r="H323">
            <v>52.310000000000009</v>
          </cell>
          <cell r="I323">
            <v>1988.6749613280003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P323">
            <v>1989</v>
          </cell>
          <cell r="V323" t="str">
            <v>Available</v>
          </cell>
        </row>
        <row r="324">
          <cell r="A324" t="str">
            <v>100200240032</v>
          </cell>
          <cell r="B324" t="str">
            <v>Laldiyara</v>
          </cell>
          <cell r="C324" t="str">
            <v>Laldiyara</v>
          </cell>
          <cell r="D324" t="str">
            <v>Morwariya</v>
          </cell>
          <cell r="E324">
            <v>10020024</v>
          </cell>
          <cell r="F324" t="str">
            <v>0032</v>
          </cell>
          <cell r="G324">
            <v>14</v>
          </cell>
          <cell r="H324">
            <v>45.260000000000005</v>
          </cell>
          <cell r="I324">
            <v>1724.6301842880002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P324">
            <v>1725</v>
          </cell>
          <cell r="V324" t="str">
            <v>Available</v>
          </cell>
        </row>
        <row r="325">
          <cell r="A325" t="str">
            <v>100200240035</v>
          </cell>
          <cell r="B325" t="str">
            <v>Laldiyara</v>
          </cell>
          <cell r="C325" t="str">
            <v>Laldiyara</v>
          </cell>
          <cell r="D325" t="str">
            <v>Morwariya</v>
          </cell>
          <cell r="E325">
            <v>10020024</v>
          </cell>
          <cell r="F325" t="str">
            <v>0035</v>
          </cell>
          <cell r="G325">
            <v>14</v>
          </cell>
          <cell r="H325">
            <v>143.13</v>
          </cell>
          <cell r="I325">
            <v>5554.7477425440002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P325">
            <v>5555</v>
          </cell>
          <cell r="V325" t="str">
            <v>Available</v>
          </cell>
        </row>
        <row r="326">
          <cell r="A326" t="str">
            <v>100200240041</v>
          </cell>
          <cell r="B326" t="str">
            <v>Laldiyara</v>
          </cell>
          <cell r="C326" t="str">
            <v>Laldiyara</v>
          </cell>
          <cell r="D326" t="str">
            <v>Morwariya</v>
          </cell>
          <cell r="E326">
            <v>10020024</v>
          </cell>
          <cell r="F326" t="str">
            <v>0041</v>
          </cell>
          <cell r="G326">
            <v>13</v>
          </cell>
          <cell r="H326">
            <v>35.83</v>
          </cell>
          <cell r="I326">
            <v>1362.1530083040002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P326">
            <v>1362</v>
          </cell>
          <cell r="V326" t="str">
            <v>Available</v>
          </cell>
        </row>
        <row r="327">
          <cell r="A327" t="str">
            <v>100200240046</v>
          </cell>
          <cell r="B327" t="str">
            <v>Laldiyara</v>
          </cell>
          <cell r="C327" t="str">
            <v>Laldiyara</v>
          </cell>
          <cell r="D327" t="str">
            <v>Morwariya</v>
          </cell>
          <cell r="E327">
            <v>10020024</v>
          </cell>
          <cell r="F327" t="str">
            <v>0046</v>
          </cell>
          <cell r="G327">
            <v>14</v>
          </cell>
          <cell r="H327">
            <v>35.07</v>
          </cell>
          <cell r="I327">
            <v>1334.8281656160002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P327">
            <v>1335</v>
          </cell>
          <cell r="V327" t="str">
            <v>Available</v>
          </cell>
        </row>
        <row r="328">
          <cell r="A328" t="str">
            <v>100200240047</v>
          </cell>
          <cell r="B328" t="str">
            <v>Laldiyara</v>
          </cell>
          <cell r="C328" t="str">
            <v>Laldiyara</v>
          </cell>
          <cell r="D328" t="str">
            <v>Morwariya</v>
          </cell>
          <cell r="E328">
            <v>10020024</v>
          </cell>
          <cell r="F328" t="str">
            <v>0047</v>
          </cell>
          <cell r="G328">
            <v>14</v>
          </cell>
          <cell r="H328">
            <v>100.05</v>
          </cell>
          <cell r="I328">
            <v>3803.6117354399994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P328">
            <v>3804</v>
          </cell>
          <cell r="V328" t="str">
            <v>Available</v>
          </cell>
        </row>
        <row r="329">
          <cell r="A329" t="str">
            <v>100200240058</v>
          </cell>
          <cell r="B329" t="str">
            <v>Laldiyara</v>
          </cell>
          <cell r="C329" t="str">
            <v>Laldiyara</v>
          </cell>
          <cell r="D329" t="str">
            <v>Morwariya</v>
          </cell>
          <cell r="E329">
            <v>10020024</v>
          </cell>
          <cell r="F329" t="str">
            <v>0058</v>
          </cell>
          <cell r="G329">
            <v>11</v>
          </cell>
          <cell r="H329">
            <v>34.69</v>
          </cell>
          <cell r="I329">
            <v>1335.2475042720002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P329">
            <v>1335</v>
          </cell>
          <cell r="V329" t="str">
            <v>Available</v>
          </cell>
        </row>
        <row r="330">
          <cell r="A330" t="str">
            <v>100200240065</v>
          </cell>
          <cell r="B330" t="str">
            <v>Laldiyara</v>
          </cell>
          <cell r="C330" t="str">
            <v>Laldiyara</v>
          </cell>
          <cell r="D330" t="str">
            <v>Morwariya</v>
          </cell>
          <cell r="E330">
            <v>10020024</v>
          </cell>
          <cell r="F330" t="str">
            <v>0065</v>
          </cell>
          <cell r="G330">
            <v>13</v>
          </cell>
          <cell r="H330">
            <v>85.82</v>
          </cell>
          <cell r="I330">
            <v>3262.6282772160002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P330">
            <v>3263</v>
          </cell>
          <cell r="V330" t="str">
            <v>Available</v>
          </cell>
        </row>
        <row r="331">
          <cell r="A331" t="str">
            <v>100200240066</v>
          </cell>
          <cell r="B331" t="str">
            <v>Laldiyara</v>
          </cell>
          <cell r="C331" t="str">
            <v>Laldiyara</v>
          </cell>
          <cell r="D331" t="str">
            <v>Morwariya</v>
          </cell>
          <cell r="E331">
            <v>10020024</v>
          </cell>
          <cell r="F331" t="str">
            <v>0066</v>
          </cell>
          <cell r="G331">
            <v>1</v>
          </cell>
          <cell r="H331">
            <v>1.97</v>
          </cell>
          <cell r="I331">
            <v>74.893704335999999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P331">
            <v>75</v>
          </cell>
          <cell r="V331" t="str">
            <v>Available</v>
          </cell>
        </row>
        <row r="332">
          <cell r="A332" t="str">
            <v>100200240067</v>
          </cell>
          <cell r="B332" t="str">
            <v>Laldiyara</v>
          </cell>
          <cell r="C332" t="str">
            <v>Laldiyara</v>
          </cell>
          <cell r="D332" t="str">
            <v>Morwariya</v>
          </cell>
          <cell r="E332">
            <v>10020024</v>
          </cell>
          <cell r="F332" t="str">
            <v>0067</v>
          </cell>
          <cell r="G332">
            <v>13</v>
          </cell>
          <cell r="H332">
            <v>50.310000000000009</v>
          </cell>
          <cell r="I332">
            <v>1952.4862637280003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P332">
            <v>1952</v>
          </cell>
          <cell r="V332" t="str">
            <v>Available</v>
          </cell>
        </row>
        <row r="333">
          <cell r="A333" t="str">
            <v>100200240068</v>
          </cell>
          <cell r="B333" t="str">
            <v>Laldiyara</v>
          </cell>
          <cell r="C333" t="str">
            <v>Laldiyara</v>
          </cell>
          <cell r="D333" t="str">
            <v>Morwariya</v>
          </cell>
          <cell r="E333">
            <v>10020024</v>
          </cell>
          <cell r="F333" t="str">
            <v>0068</v>
          </cell>
          <cell r="G333">
            <v>1</v>
          </cell>
          <cell r="H333">
            <v>2.8</v>
          </cell>
          <cell r="I333">
            <v>106.44790464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P333">
            <v>106</v>
          </cell>
          <cell r="V333" t="str">
            <v>Available</v>
          </cell>
        </row>
        <row r="334">
          <cell r="A334" t="str">
            <v>100200240069</v>
          </cell>
          <cell r="B334" t="str">
            <v>Laldiyara</v>
          </cell>
          <cell r="C334" t="str">
            <v>Laldiyara</v>
          </cell>
          <cell r="D334" t="str">
            <v>Morwariya</v>
          </cell>
          <cell r="E334">
            <v>10020024</v>
          </cell>
          <cell r="F334" t="str">
            <v>0069</v>
          </cell>
          <cell r="G334">
            <v>7</v>
          </cell>
          <cell r="H334">
            <v>44.65</v>
          </cell>
          <cell r="I334">
            <v>1727.2827079200001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P334">
            <v>1727</v>
          </cell>
          <cell r="V334" t="str">
            <v>Available</v>
          </cell>
        </row>
        <row r="335">
          <cell r="A335" t="str">
            <v>100200240070</v>
          </cell>
          <cell r="B335" t="str">
            <v>Laldiyara</v>
          </cell>
          <cell r="C335" t="str">
            <v>Laldiyara</v>
          </cell>
          <cell r="D335" t="str">
            <v>Morwariya</v>
          </cell>
          <cell r="E335">
            <v>10020024</v>
          </cell>
          <cell r="F335" t="str">
            <v>0070</v>
          </cell>
          <cell r="G335">
            <v>14</v>
          </cell>
          <cell r="H335">
            <v>118.8</v>
          </cell>
          <cell r="I335">
            <v>4516.432525440001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P335">
            <v>4516</v>
          </cell>
          <cell r="V335" t="str">
            <v>Available</v>
          </cell>
        </row>
        <row r="336">
          <cell r="A336" t="str">
            <v>100200240072</v>
          </cell>
          <cell r="B336" t="str">
            <v>Laldiyara</v>
          </cell>
          <cell r="C336" t="str">
            <v>Laldiyara</v>
          </cell>
          <cell r="D336" t="str">
            <v>Morwariya</v>
          </cell>
          <cell r="E336">
            <v>10020024</v>
          </cell>
          <cell r="F336" t="str">
            <v>0072</v>
          </cell>
          <cell r="G336">
            <v>13</v>
          </cell>
          <cell r="H336">
            <v>42.12</v>
          </cell>
          <cell r="I336">
            <v>1603.6645426560001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P336">
            <v>1604</v>
          </cell>
          <cell r="V336" t="str">
            <v>Available</v>
          </cell>
        </row>
        <row r="337">
          <cell r="A337" t="str">
            <v>100200240073</v>
          </cell>
          <cell r="B337" t="str">
            <v>Laldiyara</v>
          </cell>
          <cell r="C337" t="str">
            <v>Laldiyara</v>
          </cell>
          <cell r="D337" t="str">
            <v>Morwariya</v>
          </cell>
          <cell r="E337">
            <v>10020024</v>
          </cell>
          <cell r="F337" t="str">
            <v>0073</v>
          </cell>
          <cell r="G337">
            <v>3</v>
          </cell>
          <cell r="H337">
            <v>8</v>
          </cell>
          <cell r="I337">
            <v>516.22099088000004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P337">
            <v>516</v>
          </cell>
          <cell r="V337" t="str">
            <v>Available</v>
          </cell>
        </row>
        <row r="338">
          <cell r="A338" t="str">
            <v>100200240074</v>
          </cell>
          <cell r="B338" t="str">
            <v>Laldiyara</v>
          </cell>
          <cell r="C338" t="str">
            <v>Laldiyara</v>
          </cell>
          <cell r="D338" t="str">
            <v>Morwariya</v>
          </cell>
          <cell r="E338">
            <v>10020024</v>
          </cell>
          <cell r="F338" t="str">
            <v>0074</v>
          </cell>
          <cell r="G338">
            <v>14</v>
          </cell>
          <cell r="H338">
            <v>65.88</v>
          </cell>
          <cell r="I338">
            <v>2556.7440877439999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P338">
            <v>2557</v>
          </cell>
          <cell r="V338" t="str">
            <v>Available</v>
          </cell>
        </row>
        <row r="339">
          <cell r="A339" t="str">
            <v>100200240075</v>
          </cell>
          <cell r="B339" t="str">
            <v>Laldiyara</v>
          </cell>
          <cell r="C339" t="str">
            <v>Laldiyara</v>
          </cell>
          <cell r="D339" t="str">
            <v>Morwariya</v>
          </cell>
          <cell r="E339">
            <v>10020024</v>
          </cell>
          <cell r="F339" t="str">
            <v>0075</v>
          </cell>
          <cell r="G339">
            <v>14</v>
          </cell>
          <cell r="H339">
            <v>122.17</v>
          </cell>
          <cell r="I339">
            <v>4780.8905300640017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P339">
            <v>4781</v>
          </cell>
          <cell r="V339" t="str">
            <v>Available</v>
          </cell>
        </row>
        <row r="340">
          <cell r="A340" t="str">
            <v>100200240076</v>
          </cell>
          <cell r="B340" t="str">
            <v>Laldiyara</v>
          </cell>
          <cell r="C340" t="str">
            <v>Laldiyara</v>
          </cell>
          <cell r="D340" t="str">
            <v>Morwariya</v>
          </cell>
          <cell r="E340">
            <v>10020024</v>
          </cell>
          <cell r="F340" t="str">
            <v>0076</v>
          </cell>
          <cell r="G340">
            <v>11</v>
          </cell>
          <cell r="H340">
            <v>39.22</v>
          </cell>
          <cell r="I340">
            <v>2015.0628389790004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P340">
            <v>2015</v>
          </cell>
          <cell r="V340" t="str">
            <v>Available</v>
          </cell>
        </row>
        <row r="341">
          <cell r="A341" t="str">
            <v>100200240078</v>
          </cell>
          <cell r="B341" t="str">
            <v>Laldiyara</v>
          </cell>
          <cell r="C341" t="str">
            <v>Laldiyara</v>
          </cell>
          <cell r="D341" t="str">
            <v>Morwariya</v>
          </cell>
          <cell r="E341">
            <v>10020024</v>
          </cell>
          <cell r="F341" t="str">
            <v>0078</v>
          </cell>
          <cell r="G341">
            <v>10</v>
          </cell>
          <cell r="H341">
            <v>22.07</v>
          </cell>
          <cell r="I341">
            <v>853.86779121600023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P341">
            <v>854</v>
          </cell>
          <cell r="V341" t="str">
            <v>Available</v>
          </cell>
        </row>
        <row r="342">
          <cell r="A342" t="str">
            <v>100200240080</v>
          </cell>
          <cell r="B342" t="str">
            <v>Laldiyara</v>
          </cell>
          <cell r="C342" t="str">
            <v>Laldiyara</v>
          </cell>
          <cell r="D342" t="str">
            <v>Morwariya</v>
          </cell>
          <cell r="E342">
            <v>10020024</v>
          </cell>
          <cell r="F342" t="str">
            <v>0080</v>
          </cell>
          <cell r="G342">
            <v>13</v>
          </cell>
          <cell r="H342">
            <v>40.39</v>
          </cell>
          <cell r="I342">
            <v>1535.5110244320003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P342">
            <v>1536</v>
          </cell>
          <cell r="V342" t="str">
            <v>Available</v>
          </cell>
        </row>
        <row r="343">
          <cell r="A343" t="str">
            <v>100200240081</v>
          </cell>
          <cell r="B343" t="str">
            <v>Laldiyara</v>
          </cell>
          <cell r="C343" t="str">
            <v>Laldiyara</v>
          </cell>
          <cell r="D343" t="str">
            <v>Morwariya</v>
          </cell>
          <cell r="E343">
            <v>10020024</v>
          </cell>
          <cell r="F343" t="str">
            <v>0081</v>
          </cell>
          <cell r="G343">
            <v>6</v>
          </cell>
          <cell r="H343">
            <v>13.06</v>
          </cell>
          <cell r="I343">
            <v>587.99589513720002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P343">
            <v>588</v>
          </cell>
          <cell r="V343" t="str">
            <v>Available</v>
          </cell>
        </row>
        <row r="344">
          <cell r="A344" t="str">
            <v>100200240083</v>
          </cell>
          <cell r="B344" t="str">
            <v>Laldiyara</v>
          </cell>
          <cell r="C344" t="str">
            <v>Laldiyara</v>
          </cell>
          <cell r="D344" t="str">
            <v>Morwariya</v>
          </cell>
          <cell r="E344">
            <v>10020024</v>
          </cell>
          <cell r="F344" t="str">
            <v>0083</v>
          </cell>
          <cell r="G344">
            <v>10</v>
          </cell>
          <cell r="H344">
            <v>24.359999999999996</v>
          </cell>
          <cell r="I344">
            <v>945.38989036800012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P344">
            <v>945</v>
          </cell>
          <cell r="V344" t="str">
            <v>Available</v>
          </cell>
        </row>
        <row r="345">
          <cell r="A345" t="str">
            <v>100200240088</v>
          </cell>
          <cell r="B345" t="str">
            <v>Laldiyara</v>
          </cell>
          <cell r="C345" t="str">
            <v>Laldiyara</v>
          </cell>
          <cell r="D345" t="str">
            <v>Morwariya</v>
          </cell>
          <cell r="E345">
            <v>10020024</v>
          </cell>
          <cell r="F345" t="str">
            <v>0088</v>
          </cell>
          <cell r="G345">
            <v>14</v>
          </cell>
          <cell r="H345">
            <v>43.95</v>
          </cell>
          <cell r="I345">
            <v>1671.5383660800003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P345">
            <v>1672</v>
          </cell>
          <cell r="V345" t="str">
            <v>Available</v>
          </cell>
        </row>
        <row r="346">
          <cell r="A346" t="str">
            <v>100200240089</v>
          </cell>
          <cell r="B346" t="str">
            <v>Laldiyara</v>
          </cell>
          <cell r="C346" t="str">
            <v>Laldiyara</v>
          </cell>
          <cell r="D346" t="str">
            <v>Morwariya</v>
          </cell>
          <cell r="E346">
            <v>10020024</v>
          </cell>
          <cell r="F346" t="str">
            <v>0089</v>
          </cell>
          <cell r="G346">
            <v>14</v>
          </cell>
          <cell r="H346">
            <v>39.770000000000003</v>
          </cell>
          <cell r="I346">
            <v>1543.4382569760003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P346">
            <v>1543</v>
          </cell>
          <cell r="V346" t="str">
            <v>Available</v>
          </cell>
        </row>
        <row r="347">
          <cell r="A347" t="str">
            <v>100200240091</v>
          </cell>
          <cell r="B347" t="str">
            <v>Laldiyara</v>
          </cell>
          <cell r="C347" t="str">
            <v>Laldiyara</v>
          </cell>
          <cell r="D347" t="str">
            <v>Morwariya</v>
          </cell>
          <cell r="E347">
            <v>10020024</v>
          </cell>
          <cell r="F347" t="str">
            <v>0091</v>
          </cell>
          <cell r="G347">
            <v>13</v>
          </cell>
          <cell r="H347">
            <v>28.169999999999998</v>
          </cell>
          <cell r="I347">
            <v>1436.4523573840002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P347">
            <v>1436</v>
          </cell>
          <cell r="V347" t="str">
            <v>Available</v>
          </cell>
        </row>
        <row r="348">
          <cell r="A348" t="str">
            <v>100200240092</v>
          </cell>
          <cell r="B348" t="str">
            <v>Laldiyara</v>
          </cell>
          <cell r="C348" t="str">
            <v>Laldiyara</v>
          </cell>
          <cell r="D348" t="str">
            <v>Morwariya</v>
          </cell>
          <cell r="E348">
            <v>10020024</v>
          </cell>
          <cell r="F348" t="str">
            <v>0092</v>
          </cell>
          <cell r="G348">
            <v>13</v>
          </cell>
          <cell r="H348">
            <v>52.85</v>
          </cell>
          <cell r="I348">
            <v>2110.1089600800001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P348">
            <v>2110</v>
          </cell>
          <cell r="V348" t="str">
            <v>Available</v>
          </cell>
        </row>
        <row r="349">
          <cell r="A349" t="str">
            <v>100200240095</v>
          </cell>
          <cell r="B349" t="str">
            <v>Laldiyara</v>
          </cell>
          <cell r="C349" t="str">
            <v>Laldiyara</v>
          </cell>
          <cell r="D349" t="str">
            <v>Morwariya</v>
          </cell>
          <cell r="E349">
            <v>10020024</v>
          </cell>
          <cell r="F349" t="str">
            <v>0095</v>
          </cell>
          <cell r="G349">
            <v>13</v>
          </cell>
          <cell r="H349">
            <v>69.989999999999995</v>
          </cell>
          <cell r="I349">
            <v>3709.1890188459006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P349">
            <v>3709</v>
          </cell>
          <cell r="V349" t="str">
            <v>Available</v>
          </cell>
        </row>
        <row r="350">
          <cell r="A350" t="str">
            <v>100200240100</v>
          </cell>
          <cell r="B350" t="str">
            <v>Laldiyara</v>
          </cell>
          <cell r="C350" t="str">
            <v>Laldiyara</v>
          </cell>
          <cell r="D350" t="str">
            <v>Morwariya</v>
          </cell>
          <cell r="E350">
            <v>10020024</v>
          </cell>
          <cell r="F350" t="str">
            <v>0100</v>
          </cell>
          <cell r="G350">
            <v>14</v>
          </cell>
          <cell r="H350">
            <v>95.429999999999978</v>
          </cell>
          <cell r="I350">
            <v>3703.5532527840005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P350">
            <v>3704</v>
          </cell>
          <cell r="V350" t="str">
            <v>Available</v>
          </cell>
        </row>
        <row r="351">
          <cell r="A351" t="str">
            <v>100200240102</v>
          </cell>
          <cell r="B351" t="str">
            <v>Laldiyara</v>
          </cell>
          <cell r="C351" t="str">
            <v>Laldiyara</v>
          </cell>
          <cell r="D351" t="str">
            <v>Morwariya</v>
          </cell>
          <cell r="E351">
            <v>10020024</v>
          </cell>
          <cell r="F351" t="str">
            <v>0102</v>
          </cell>
          <cell r="G351">
            <v>13</v>
          </cell>
          <cell r="H351">
            <v>34.15</v>
          </cell>
          <cell r="I351">
            <v>1323.5173855200001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P351">
            <v>1324</v>
          </cell>
          <cell r="V351" t="str">
            <v>Available</v>
          </cell>
        </row>
        <row r="352">
          <cell r="A352" t="str">
            <v>100200240103</v>
          </cell>
          <cell r="B352" t="str">
            <v>Laldiyara</v>
          </cell>
          <cell r="C352" t="str">
            <v>Laldiyara</v>
          </cell>
          <cell r="D352" t="str">
            <v>Morwariya</v>
          </cell>
          <cell r="E352">
            <v>10020024</v>
          </cell>
          <cell r="F352" t="str">
            <v>0103</v>
          </cell>
          <cell r="G352">
            <v>12</v>
          </cell>
          <cell r="H352">
            <v>44.059999999999995</v>
          </cell>
          <cell r="I352">
            <v>2047.9409984917004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P352">
            <v>2048</v>
          </cell>
          <cell r="V352" t="str">
            <v>Available</v>
          </cell>
        </row>
        <row r="353">
          <cell r="A353" t="str">
            <v>100200240105</v>
          </cell>
          <cell r="B353" t="str">
            <v>Laldiyara</v>
          </cell>
          <cell r="C353" t="str">
            <v>Laldiyara</v>
          </cell>
          <cell r="D353" t="str">
            <v>Morwariya</v>
          </cell>
          <cell r="E353">
            <v>10020024</v>
          </cell>
          <cell r="F353" t="str">
            <v>0105</v>
          </cell>
          <cell r="G353">
            <v>14</v>
          </cell>
          <cell r="H353">
            <v>97.450000000000017</v>
          </cell>
          <cell r="I353">
            <v>3788.51729256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P353">
            <v>3789</v>
          </cell>
          <cell r="V353" t="str">
            <v>Available</v>
          </cell>
        </row>
        <row r="354">
          <cell r="A354" t="str">
            <v>100200240107</v>
          </cell>
          <cell r="B354" t="str">
            <v>Laldiyara</v>
          </cell>
          <cell r="C354" t="str">
            <v>Laldiyara</v>
          </cell>
          <cell r="D354" t="str">
            <v>Morwariya</v>
          </cell>
          <cell r="E354">
            <v>10020024</v>
          </cell>
          <cell r="F354" t="str">
            <v>0107</v>
          </cell>
          <cell r="G354">
            <v>14</v>
          </cell>
          <cell r="H354">
            <v>46.31</v>
          </cell>
          <cell r="I354">
            <v>1797.8728996800003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P354">
            <v>1798</v>
          </cell>
          <cell r="V354" t="str">
            <v>Available</v>
          </cell>
        </row>
        <row r="355">
          <cell r="A355" t="str">
            <v>100200240112</v>
          </cell>
          <cell r="B355" t="str">
            <v>Laldiyara</v>
          </cell>
          <cell r="C355" t="str">
            <v>Laldiyara</v>
          </cell>
          <cell r="D355" t="str">
            <v>Morwariya</v>
          </cell>
          <cell r="E355">
            <v>10020024</v>
          </cell>
          <cell r="F355" t="str">
            <v>0112</v>
          </cell>
          <cell r="G355">
            <v>14</v>
          </cell>
          <cell r="H355">
            <v>60.09</v>
          </cell>
          <cell r="I355">
            <v>2284.4480677920001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P355">
            <v>2284</v>
          </cell>
          <cell r="V355" t="str">
            <v>Available</v>
          </cell>
        </row>
        <row r="356">
          <cell r="A356" t="str">
            <v>100200240118</v>
          </cell>
          <cell r="B356" t="str">
            <v>Laldiyara</v>
          </cell>
          <cell r="C356" t="str">
            <v>Laldiyara</v>
          </cell>
          <cell r="D356" t="str">
            <v>Morwariya</v>
          </cell>
          <cell r="E356">
            <v>10020024</v>
          </cell>
          <cell r="F356" t="str">
            <v>0118</v>
          </cell>
          <cell r="G356">
            <v>6</v>
          </cell>
          <cell r="H356">
            <v>23.91</v>
          </cell>
          <cell r="I356">
            <v>1267.1340111530999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P356">
            <v>1267</v>
          </cell>
          <cell r="V356" t="str">
            <v>Available</v>
          </cell>
        </row>
        <row r="357">
          <cell r="A357" t="str">
            <v>100200240120</v>
          </cell>
          <cell r="B357" t="str">
            <v>Laldiyara</v>
          </cell>
          <cell r="C357" t="str">
            <v>Laldiyara</v>
          </cell>
          <cell r="D357" t="str">
            <v>Morwariya</v>
          </cell>
          <cell r="E357">
            <v>10020024</v>
          </cell>
          <cell r="F357" t="str">
            <v>0120</v>
          </cell>
          <cell r="G357">
            <v>14</v>
          </cell>
          <cell r="H357">
            <v>79.539999999999992</v>
          </cell>
          <cell r="I357">
            <v>3585.1196204952003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P357">
            <v>3585</v>
          </cell>
          <cell r="V357" t="str">
            <v>Available</v>
          </cell>
        </row>
        <row r="358">
          <cell r="A358" t="str">
            <v>100200240123</v>
          </cell>
          <cell r="B358" t="str">
            <v>Laldiyara</v>
          </cell>
          <cell r="C358" t="str">
            <v>Laldiyara</v>
          </cell>
          <cell r="D358" t="str">
            <v>Morwariya</v>
          </cell>
          <cell r="E358">
            <v>10020024</v>
          </cell>
          <cell r="F358" t="str">
            <v>0123</v>
          </cell>
          <cell r="G358">
            <v>14</v>
          </cell>
          <cell r="H358">
            <v>96.449999999999989</v>
          </cell>
          <cell r="I358">
            <v>3740.4457437600004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P358">
            <v>3740</v>
          </cell>
          <cell r="V358" t="str">
            <v>Available</v>
          </cell>
        </row>
        <row r="359">
          <cell r="A359" t="str">
            <v>100200240129</v>
          </cell>
          <cell r="B359" t="str">
            <v>Laldiyara</v>
          </cell>
          <cell r="C359" t="str">
            <v>Laldiyara</v>
          </cell>
          <cell r="D359" t="str">
            <v>Morwariya</v>
          </cell>
          <cell r="E359">
            <v>10020024</v>
          </cell>
          <cell r="F359" t="str">
            <v>0129</v>
          </cell>
          <cell r="G359">
            <v>14</v>
          </cell>
          <cell r="H359">
            <v>160.61000000000001</v>
          </cell>
          <cell r="I359">
            <v>6105.9278443680005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P359">
            <v>6106</v>
          </cell>
          <cell r="V359" t="str">
            <v>Available</v>
          </cell>
        </row>
        <row r="360">
          <cell r="A360" t="str">
            <v>100200240131</v>
          </cell>
          <cell r="B360" t="str">
            <v>Laldiyara</v>
          </cell>
          <cell r="C360" t="str">
            <v>Laldiyara</v>
          </cell>
          <cell r="D360" t="str">
            <v>Morwariya</v>
          </cell>
          <cell r="E360">
            <v>10020024</v>
          </cell>
          <cell r="F360" t="str">
            <v>0131</v>
          </cell>
          <cell r="G360">
            <v>14</v>
          </cell>
          <cell r="H360">
            <v>17.55</v>
          </cell>
          <cell r="I360">
            <v>669.13273943999991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P360">
            <v>669</v>
          </cell>
          <cell r="V360" t="str">
            <v>Available</v>
          </cell>
        </row>
        <row r="361">
          <cell r="A361" t="str">
            <v>100200240133</v>
          </cell>
          <cell r="B361" t="str">
            <v>Laldiyara</v>
          </cell>
          <cell r="C361" t="str">
            <v>Laldiyara</v>
          </cell>
          <cell r="D361" t="str">
            <v>Morwariya</v>
          </cell>
          <cell r="E361">
            <v>10020024</v>
          </cell>
          <cell r="F361" t="str">
            <v>0133</v>
          </cell>
          <cell r="G361">
            <v>12</v>
          </cell>
          <cell r="H361">
            <v>59.919999999999995</v>
          </cell>
          <cell r="I361">
            <v>2325.4417992960007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P361">
            <v>2325</v>
          </cell>
          <cell r="V361" t="str">
            <v>Available</v>
          </cell>
        </row>
        <row r="362">
          <cell r="A362" t="str">
            <v>100200240135</v>
          </cell>
          <cell r="B362" t="str">
            <v>Laldiyara</v>
          </cell>
          <cell r="C362" t="str">
            <v>Laldiyara</v>
          </cell>
          <cell r="D362" t="str">
            <v>Morwariya</v>
          </cell>
          <cell r="E362">
            <v>10020024</v>
          </cell>
          <cell r="F362" t="str">
            <v>0135</v>
          </cell>
          <cell r="G362">
            <v>14</v>
          </cell>
          <cell r="H362">
            <v>55.82</v>
          </cell>
          <cell r="I362">
            <v>2166.3244532160006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P362">
            <v>2166</v>
          </cell>
          <cell r="V362" t="str">
            <v>Available</v>
          </cell>
        </row>
        <row r="363">
          <cell r="A363" t="str">
            <v>100200240136</v>
          </cell>
          <cell r="B363" t="str">
            <v>Laldiyara</v>
          </cell>
          <cell r="C363" t="str">
            <v>Laldiyara</v>
          </cell>
          <cell r="D363" t="str">
            <v>Morwariya</v>
          </cell>
          <cell r="E363">
            <v>10020024</v>
          </cell>
          <cell r="F363" t="str">
            <v>0136</v>
          </cell>
          <cell r="G363">
            <v>6</v>
          </cell>
          <cell r="H363">
            <v>12.57</v>
          </cell>
          <cell r="I363">
            <v>485.86633761600001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P363">
            <v>486</v>
          </cell>
          <cell r="V363" t="str">
            <v>Available</v>
          </cell>
        </row>
        <row r="364">
          <cell r="A364" t="str">
            <v>100200240142</v>
          </cell>
          <cell r="B364" t="str">
            <v>Laldiyara</v>
          </cell>
          <cell r="C364" t="str">
            <v>Laldiyara</v>
          </cell>
          <cell r="D364" t="str">
            <v>Morwariya</v>
          </cell>
          <cell r="E364">
            <v>10020024</v>
          </cell>
          <cell r="F364" t="str">
            <v>0142</v>
          </cell>
          <cell r="G364">
            <v>14</v>
          </cell>
          <cell r="H364">
            <v>31.220000000000002</v>
          </cell>
          <cell r="I364">
            <v>1211.6203767360003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P364">
            <v>1212</v>
          </cell>
          <cell r="V364" t="str">
            <v>Available</v>
          </cell>
        </row>
        <row r="365">
          <cell r="A365" t="str">
            <v>100200240148</v>
          </cell>
          <cell r="B365" t="str">
            <v>Laldiyara</v>
          </cell>
          <cell r="C365" t="str">
            <v>Laldiyara</v>
          </cell>
          <cell r="D365" t="str">
            <v>Morwariya</v>
          </cell>
          <cell r="E365">
            <v>10020024</v>
          </cell>
          <cell r="F365" t="str">
            <v>0148</v>
          </cell>
          <cell r="G365">
            <v>7</v>
          </cell>
          <cell r="H365">
            <v>29.330000000000002</v>
          </cell>
          <cell r="I365">
            <v>1570.1816934446999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P365">
            <v>1570</v>
          </cell>
          <cell r="V365" t="str">
            <v>Available</v>
          </cell>
        </row>
        <row r="366">
          <cell r="A366" t="str">
            <v>100200240150</v>
          </cell>
          <cell r="B366" t="str">
            <v>Laldiyara</v>
          </cell>
          <cell r="C366" t="str">
            <v>Laldiyara</v>
          </cell>
          <cell r="D366" t="str">
            <v>Morwariya</v>
          </cell>
          <cell r="E366">
            <v>10020024</v>
          </cell>
          <cell r="F366" t="str">
            <v>0150</v>
          </cell>
          <cell r="G366">
            <v>12</v>
          </cell>
          <cell r="H366">
            <v>39.040000000000006</v>
          </cell>
          <cell r="I366">
            <v>1484.1879275520002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P366">
            <v>1484</v>
          </cell>
          <cell r="V366" t="str">
            <v>Available</v>
          </cell>
        </row>
        <row r="367">
          <cell r="A367" t="str">
            <v>100200240151</v>
          </cell>
          <cell r="B367" t="str">
            <v>Laldiyara</v>
          </cell>
          <cell r="C367" t="str">
            <v>Laldiyara</v>
          </cell>
          <cell r="D367" t="str">
            <v>Morwariya</v>
          </cell>
          <cell r="E367">
            <v>10020024</v>
          </cell>
          <cell r="F367" t="str">
            <v>0151</v>
          </cell>
          <cell r="G367">
            <v>14</v>
          </cell>
          <cell r="H367">
            <v>74.710000000000022</v>
          </cell>
          <cell r="I367">
            <v>3481.5499214672518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P367">
            <v>3482</v>
          </cell>
          <cell r="V367" t="str">
            <v>Available</v>
          </cell>
        </row>
        <row r="368">
          <cell r="A368" t="str">
            <v>100200240155</v>
          </cell>
          <cell r="B368" t="str">
            <v>Laldiyara</v>
          </cell>
          <cell r="C368" t="str">
            <v>Laldiyara</v>
          </cell>
          <cell r="D368" t="str">
            <v>Morwariya</v>
          </cell>
          <cell r="E368">
            <v>10020024</v>
          </cell>
          <cell r="F368" t="str">
            <v>0155</v>
          </cell>
          <cell r="G368">
            <v>6</v>
          </cell>
          <cell r="H368">
            <v>10.99</v>
          </cell>
          <cell r="I368">
            <v>440.18337646800006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P368">
            <v>440</v>
          </cell>
          <cell r="V368" t="str">
            <v>Available</v>
          </cell>
        </row>
        <row r="369">
          <cell r="A369" t="str">
            <v>100200240157</v>
          </cell>
          <cell r="B369" t="str">
            <v>Laldiyara</v>
          </cell>
          <cell r="C369" t="str">
            <v>Laldiyara</v>
          </cell>
          <cell r="D369" t="str">
            <v>Morwariya</v>
          </cell>
          <cell r="E369">
            <v>10020024</v>
          </cell>
          <cell r="F369" t="str">
            <v>0157</v>
          </cell>
          <cell r="G369">
            <v>13</v>
          </cell>
          <cell r="H369">
            <v>33.6</v>
          </cell>
          <cell r="I369">
            <v>1290.9655756800003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P369">
            <v>1291</v>
          </cell>
          <cell r="V369" t="str">
            <v>Available</v>
          </cell>
        </row>
        <row r="370">
          <cell r="A370" t="str">
            <v>100200240159</v>
          </cell>
          <cell r="B370" t="str">
            <v>Laldiyara</v>
          </cell>
          <cell r="C370" t="str">
            <v>Laldiyara</v>
          </cell>
          <cell r="D370" t="str">
            <v>Morwariya</v>
          </cell>
          <cell r="E370">
            <v>10020024</v>
          </cell>
          <cell r="F370" t="str">
            <v>0159</v>
          </cell>
          <cell r="G370">
            <v>13</v>
          </cell>
          <cell r="H370">
            <v>53.759999999999991</v>
          </cell>
          <cell r="I370">
            <v>2086.3776890880004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P370">
            <v>2086</v>
          </cell>
          <cell r="V370" t="str">
            <v>Available</v>
          </cell>
        </row>
        <row r="371">
          <cell r="A371" t="str">
            <v>100200240161</v>
          </cell>
          <cell r="B371" t="str">
            <v>Laldiyara</v>
          </cell>
          <cell r="C371" t="str">
            <v>Laldiyara</v>
          </cell>
          <cell r="D371" t="str">
            <v>Morwariya</v>
          </cell>
          <cell r="E371">
            <v>10020024</v>
          </cell>
          <cell r="F371" t="str">
            <v>0161</v>
          </cell>
          <cell r="G371">
            <v>6</v>
          </cell>
          <cell r="H371">
            <v>12.250000000000002</v>
          </cell>
          <cell r="I371">
            <v>479.21321448000009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P371">
            <v>479</v>
          </cell>
          <cell r="V371" t="str">
            <v>Available</v>
          </cell>
        </row>
        <row r="372">
          <cell r="A372" t="str">
            <v>100200240164</v>
          </cell>
          <cell r="B372" t="str">
            <v>Laldiyara</v>
          </cell>
          <cell r="C372" t="str">
            <v>Laldiyara</v>
          </cell>
          <cell r="D372" t="str">
            <v>Morwariya</v>
          </cell>
          <cell r="E372">
            <v>10020024</v>
          </cell>
          <cell r="F372" t="str">
            <v>0164</v>
          </cell>
          <cell r="G372">
            <v>8</v>
          </cell>
          <cell r="H372">
            <v>9.93</v>
          </cell>
          <cell r="I372">
            <v>382.19061038400002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P372">
            <v>382</v>
          </cell>
          <cell r="V372" t="str">
            <v>Available</v>
          </cell>
        </row>
        <row r="373">
          <cell r="A373" t="str">
            <v>100200240168</v>
          </cell>
          <cell r="B373" t="str">
            <v>Laldiyara</v>
          </cell>
          <cell r="C373" t="str">
            <v>Laldiyara</v>
          </cell>
          <cell r="D373" t="str">
            <v>Morwariya</v>
          </cell>
          <cell r="E373">
            <v>10020024</v>
          </cell>
          <cell r="F373" t="str">
            <v>0168</v>
          </cell>
          <cell r="G373">
            <v>13</v>
          </cell>
          <cell r="H373">
            <v>46.55</v>
          </cell>
          <cell r="I373">
            <v>1807.4623282392001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P373">
            <v>1807</v>
          </cell>
          <cell r="V373" t="str">
            <v>Available</v>
          </cell>
        </row>
        <row r="374">
          <cell r="A374" t="str">
            <v>100200240169</v>
          </cell>
          <cell r="B374" t="str">
            <v>Laldiyara</v>
          </cell>
          <cell r="C374" t="str">
            <v>Laldiyara</v>
          </cell>
          <cell r="D374" t="str">
            <v>Morwariya</v>
          </cell>
          <cell r="E374">
            <v>10020024</v>
          </cell>
          <cell r="F374" t="str">
            <v>0169</v>
          </cell>
          <cell r="G374">
            <v>12</v>
          </cell>
          <cell r="H374">
            <v>29.63</v>
          </cell>
          <cell r="I374">
            <v>1570.2710476983002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P374">
            <v>1570</v>
          </cell>
          <cell r="V374" t="str">
            <v>Available</v>
          </cell>
        </row>
        <row r="375">
          <cell r="A375" t="str">
            <v>100200240172</v>
          </cell>
          <cell r="B375" t="str">
            <v>Laldiyara</v>
          </cell>
          <cell r="C375" t="str">
            <v>Laldiyara</v>
          </cell>
          <cell r="D375" t="str">
            <v>Morwariya</v>
          </cell>
          <cell r="E375">
            <v>10020024</v>
          </cell>
          <cell r="F375" t="str">
            <v>0172</v>
          </cell>
          <cell r="G375">
            <v>11</v>
          </cell>
          <cell r="H375">
            <v>47.510000000000005</v>
          </cell>
          <cell r="I375">
            <v>1806.1928390880003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P375">
            <v>1806</v>
          </cell>
          <cell r="V375" t="str">
            <v>Available</v>
          </cell>
        </row>
        <row r="376">
          <cell r="A376" t="str">
            <v>100200240173</v>
          </cell>
          <cell r="B376" t="str">
            <v>Laldiyara</v>
          </cell>
          <cell r="C376" t="str">
            <v>Laldiyara</v>
          </cell>
          <cell r="D376" t="str">
            <v>Morwariya</v>
          </cell>
          <cell r="E376">
            <v>10020024</v>
          </cell>
          <cell r="F376" t="str">
            <v>0173</v>
          </cell>
          <cell r="G376">
            <v>14</v>
          </cell>
          <cell r="H376">
            <v>41.36</v>
          </cell>
          <cell r="I376">
            <v>1602.4519399680003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P376">
            <v>1602</v>
          </cell>
          <cell r="V376" t="str">
            <v>Available</v>
          </cell>
        </row>
        <row r="377">
          <cell r="A377" t="str">
            <v>100200240174</v>
          </cell>
          <cell r="B377" t="str">
            <v>Laldiyara</v>
          </cell>
          <cell r="C377" t="str">
            <v>Laldiyara</v>
          </cell>
          <cell r="D377" t="str">
            <v>Morwariya</v>
          </cell>
          <cell r="E377">
            <v>10020024</v>
          </cell>
          <cell r="F377" t="str">
            <v>0174</v>
          </cell>
          <cell r="G377">
            <v>11</v>
          </cell>
          <cell r="H377">
            <v>21.77</v>
          </cell>
          <cell r="I377">
            <v>827.63245857599998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P377">
            <v>828</v>
          </cell>
          <cell r="V377" t="str">
            <v>Available</v>
          </cell>
        </row>
        <row r="378">
          <cell r="A378" t="str">
            <v>100200240175</v>
          </cell>
          <cell r="B378" t="str">
            <v>Laldiyara</v>
          </cell>
          <cell r="C378" t="str">
            <v>Laldiyara</v>
          </cell>
          <cell r="D378" t="str">
            <v>Morwariya</v>
          </cell>
          <cell r="E378">
            <v>10020024</v>
          </cell>
          <cell r="F378" t="str">
            <v>0175</v>
          </cell>
          <cell r="G378">
            <v>7</v>
          </cell>
          <cell r="H378">
            <v>15.219999999999999</v>
          </cell>
          <cell r="I378">
            <v>590.67463593600007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P378">
            <v>591</v>
          </cell>
          <cell r="V378" t="str">
            <v>Available</v>
          </cell>
        </row>
        <row r="379">
          <cell r="A379" t="str">
            <v>100200240176</v>
          </cell>
          <cell r="B379" t="str">
            <v>Laldiyara</v>
          </cell>
          <cell r="C379" t="str">
            <v>Laldiyara</v>
          </cell>
          <cell r="D379" t="str">
            <v>Morwariya</v>
          </cell>
          <cell r="E379">
            <v>10020024</v>
          </cell>
          <cell r="F379" t="str">
            <v>0176</v>
          </cell>
          <cell r="G379">
            <v>7</v>
          </cell>
          <cell r="H379">
            <v>16.47</v>
          </cell>
          <cell r="I379">
            <v>639.18602193600009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P379">
            <v>639</v>
          </cell>
          <cell r="V379" t="str">
            <v>Available</v>
          </cell>
        </row>
        <row r="380">
          <cell r="A380" t="str">
            <v>100200240177</v>
          </cell>
          <cell r="B380" t="str">
            <v>Laldiyara</v>
          </cell>
          <cell r="C380" t="str">
            <v>Laldiyara</v>
          </cell>
          <cell r="D380" t="str">
            <v>Morwariya</v>
          </cell>
          <cell r="E380">
            <v>10020024</v>
          </cell>
          <cell r="F380" t="str">
            <v>0177</v>
          </cell>
          <cell r="G380">
            <v>2</v>
          </cell>
          <cell r="H380">
            <v>5.21</v>
          </cell>
          <cell r="I380">
            <v>198.069136848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P380">
            <v>198</v>
          </cell>
          <cell r="V380" t="str">
            <v>Available</v>
          </cell>
        </row>
        <row r="381">
          <cell r="A381" t="str">
            <v>100200240179</v>
          </cell>
          <cell r="B381" t="str">
            <v>Laldiyara</v>
          </cell>
          <cell r="C381" t="str">
            <v>Laldiyara</v>
          </cell>
          <cell r="D381" t="str">
            <v>Morwariya</v>
          </cell>
          <cell r="E381">
            <v>10020024</v>
          </cell>
          <cell r="F381" t="str">
            <v>0179</v>
          </cell>
          <cell r="G381">
            <v>8</v>
          </cell>
          <cell r="H381">
            <v>23.54</v>
          </cell>
          <cell r="I381">
            <v>941.53194115200017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P381">
            <v>942</v>
          </cell>
          <cell r="V381" t="str">
            <v>Available</v>
          </cell>
        </row>
        <row r="382">
          <cell r="A382" t="str">
            <v>100200240181</v>
          </cell>
          <cell r="B382" t="str">
            <v>Laldiyara</v>
          </cell>
          <cell r="C382" t="str">
            <v>Laldiyara</v>
          </cell>
          <cell r="D382" t="str">
            <v>Morwariya</v>
          </cell>
          <cell r="E382">
            <v>10020024</v>
          </cell>
          <cell r="F382" t="str">
            <v>0181</v>
          </cell>
          <cell r="G382">
            <v>14</v>
          </cell>
          <cell r="H382">
            <v>30.85</v>
          </cell>
          <cell r="I382">
            <v>1609.2313534362002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P382">
            <v>1609</v>
          </cell>
          <cell r="V382" t="str">
            <v>Available</v>
          </cell>
        </row>
        <row r="383">
          <cell r="A383" t="str">
            <v>100200240183</v>
          </cell>
          <cell r="B383" t="str">
            <v>Laldiyara</v>
          </cell>
          <cell r="C383" t="str">
            <v>Laldiyara</v>
          </cell>
          <cell r="D383" t="str">
            <v>Morwariya</v>
          </cell>
          <cell r="E383">
            <v>10020024</v>
          </cell>
          <cell r="F383" t="str">
            <v>0183</v>
          </cell>
          <cell r="G383">
            <v>7</v>
          </cell>
          <cell r="H383">
            <v>16.619999999999997</v>
          </cell>
          <cell r="I383">
            <v>631.84434825599999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P383">
            <v>632</v>
          </cell>
          <cell r="V383" t="str">
            <v>Available</v>
          </cell>
        </row>
        <row r="384">
          <cell r="A384" t="str">
            <v>100200250001</v>
          </cell>
          <cell r="B384" t="str">
            <v>Laldiyara</v>
          </cell>
          <cell r="C384" t="str">
            <v>Laldiyara</v>
          </cell>
          <cell r="D384" t="str">
            <v>Dumri 2</v>
          </cell>
          <cell r="E384">
            <v>10020025</v>
          </cell>
          <cell r="F384" t="str">
            <v>0001</v>
          </cell>
          <cell r="G384">
            <v>10</v>
          </cell>
          <cell r="H384">
            <v>6.5600000000000005</v>
          </cell>
          <cell r="I384">
            <v>248.40335718000003</v>
          </cell>
          <cell r="J384">
            <v>0</v>
          </cell>
          <cell r="K384">
            <v>248.40335718000003</v>
          </cell>
          <cell r="L384">
            <v>0</v>
          </cell>
          <cell r="M384">
            <v>0</v>
          </cell>
          <cell r="P384">
            <v>0</v>
          </cell>
          <cell r="V384" t="str">
            <v>Not Available</v>
          </cell>
        </row>
        <row r="385">
          <cell r="A385" t="str">
            <v>100200250002</v>
          </cell>
          <cell r="B385" t="str">
            <v>Laldiyara</v>
          </cell>
          <cell r="C385" t="str">
            <v>Laldiyara</v>
          </cell>
          <cell r="D385" t="str">
            <v>Dumri 2</v>
          </cell>
          <cell r="E385">
            <v>10020025</v>
          </cell>
          <cell r="F385" t="str">
            <v>0002</v>
          </cell>
          <cell r="G385">
            <v>13</v>
          </cell>
          <cell r="H385">
            <v>207.61</v>
          </cell>
          <cell r="I385">
            <v>7759.6875671832013</v>
          </cell>
          <cell r="J385">
            <v>0</v>
          </cell>
          <cell r="K385">
            <v>0</v>
          </cell>
          <cell r="L385">
            <v>94</v>
          </cell>
          <cell r="M385">
            <v>0</v>
          </cell>
          <cell r="P385">
            <v>7666</v>
          </cell>
          <cell r="V385" t="str">
            <v>Available</v>
          </cell>
        </row>
        <row r="386">
          <cell r="A386" t="str">
            <v>100200250016</v>
          </cell>
          <cell r="B386" t="str">
            <v>Laldiyara</v>
          </cell>
          <cell r="C386" t="str">
            <v>Laldiyara</v>
          </cell>
          <cell r="D386" t="str">
            <v>Dumri 2</v>
          </cell>
          <cell r="E386">
            <v>10020025</v>
          </cell>
          <cell r="F386" t="str">
            <v>0016</v>
          </cell>
          <cell r="G386">
            <v>14</v>
          </cell>
          <cell r="H386">
            <v>49.39</v>
          </cell>
          <cell r="I386">
            <v>1909.2959186400003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P386">
            <v>1909</v>
          </cell>
          <cell r="V386" t="str">
            <v>Available</v>
          </cell>
        </row>
        <row r="387">
          <cell r="A387" t="str">
            <v>100200250022</v>
          </cell>
          <cell r="B387" t="str">
            <v>Laldiyara</v>
          </cell>
          <cell r="C387" t="str">
            <v>Laldiyara</v>
          </cell>
          <cell r="D387" t="str">
            <v>Dumri 2</v>
          </cell>
          <cell r="E387">
            <v>10020025</v>
          </cell>
          <cell r="F387" t="str">
            <v>0022</v>
          </cell>
          <cell r="G387">
            <v>7</v>
          </cell>
          <cell r="H387">
            <v>28.59</v>
          </cell>
          <cell r="I387">
            <v>1167.6737179800002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P387">
            <v>1168</v>
          </cell>
          <cell r="V387" t="str">
            <v>Available</v>
          </cell>
        </row>
        <row r="388">
          <cell r="A388" t="str">
            <v>100200250025</v>
          </cell>
          <cell r="B388" t="str">
            <v>Laldiyara</v>
          </cell>
          <cell r="C388" t="str">
            <v>Laldiyara</v>
          </cell>
          <cell r="D388" t="str">
            <v>Dumri 2</v>
          </cell>
          <cell r="E388">
            <v>10020025</v>
          </cell>
          <cell r="F388" t="str">
            <v>0025</v>
          </cell>
          <cell r="G388">
            <v>4</v>
          </cell>
          <cell r="H388">
            <v>43.98</v>
          </cell>
          <cell r="I388">
            <v>1639.7405830080004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P388">
            <v>1640</v>
          </cell>
          <cell r="V388" t="str">
            <v>Available</v>
          </cell>
        </row>
        <row r="389">
          <cell r="A389" t="str">
            <v>100200250043</v>
          </cell>
          <cell r="B389" t="str">
            <v>Laldiyara</v>
          </cell>
          <cell r="C389" t="str">
            <v>Laldiyara</v>
          </cell>
          <cell r="D389" t="str">
            <v>Dumri 2</v>
          </cell>
          <cell r="E389">
            <v>10020025</v>
          </cell>
          <cell r="F389" t="str">
            <v>0043</v>
          </cell>
          <cell r="G389">
            <v>9</v>
          </cell>
          <cell r="H389">
            <v>62.440000000000005</v>
          </cell>
          <cell r="I389">
            <v>2295.6669272988001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P389">
            <v>2296</v>
          </cell>
          <cell r="V389" t="str">
            <v>Available</v>
          </cell>
        </row>
        <row r="390">
          <cell r="A390" t="str">
            <v>100200250044</v>
          </cell>
          <cell r="B390" t="str">
            <v>Laldiyara</v>
          </cell>
          <cell r="C390" t="str">
            <v>Laldiyara</v>
          </cell>
          <cell r="D390" t="str">
            <v>Dumri 2</v>
          </cell>
          <cell r="E390">
            <v>10020025</v>
          </cell>
          <cell r="F390" t="str">
            <v>0044</v>
          </cell>
          <cell r="G390">
            <v>13</v>
          </cell>
          <cell r="H390">
            <v>34.739999999999995</v>
          </cell>
          <cell r="I390">
            <v>1224.9996243408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P390">
            <v>1225</v>
          </cell>
          <cell r="V390" t="str">
            <v>Available</v>
          </cell>
        </row>
        <row r="391">
          <cell r="A391" t="str">
            <v>100200250050</v>
          </cell>
          <cell r="B391" t="str">
            <v>Laldiyara</v>
          </cell>
          <cell r="C391" t="str">
            <v>Laldiyara</v>
          </cell>
          <cell r="D391" t="str">
            <v>Dumri 2</v>
          </cell>
          <cell r="E391">
            <v>10020025</v>
          </cell>
          <cell r="F391" t="str">
            <v>0050</v>
          </cell>
          <cell r="G391">
            <v>14</v>
          </cell>
          <cell r="H391">
            <v>356.63999999999993</v>
          </cell>
          <cell r="I391">
            <v>13495.304696543999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P391">
            <v>13495</v>
          </cell>
          <cell r="V391" t="str">
            <v>Available</v>
          </cell>
        </row>
        <row r="392">
          <cell r="A392" t="str">
            <v>100200250056</v>
          </cell>
          <cell r="B392" t="str">
            <v>Laldiyara</v>
          </cell>
          <cell r="C392" t="str">
            <v>Laldiyara</v>
          </cell>
          <cell r="D392" t="str">
            <v>Dumri 2</v>
          </cell>
          <cell r="E392">
            <v>10020025</v>
          </cell>
          <cell r="F392" t="str">
            <v>0056</v>
          </cell>
          <cell r="G392">
            <v>7</v>
          </cell>
          <cell r="H392">
            <v>17.66</v>
          </cell>
          <cell r="I392">
            <v>654.06181856400008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P392">
            <v>654</v>
          </cell>
          <cell r="V392" t="str">
            <v>Available</v>
          </cell>
        </row>
        <row r="393">
          <cell r="A393" t="str">
            <v>100200250069</v>
          </cell>
          <cell r="B393" t="str">
            <v>Laldiyara</v>
          </cell>
          <cell r="C393" t="str">
            <v>Laldiyara</v>
          </cell>
          <cell r="D393" t="str">
            <v>Dumri 2</v>
          </cell>
          <cell r="E393">
            <v>10020025</v>
          </cell>
          <cell r="F393" t="str">
            <v>0069</v>
          </cell>
          <cell r="G393">
            <v>3</v>
          </cell>
          <cell r="H393">
            <v>5.76</v>
          </cell>
          <cell r="I393">
            <v>235.933810596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P393">
            <v>236</v>
          </cell>
          <cell r="V393" t="str">
            <v>Available</v>
          </cell>
        </row>
        <row r="394">
          <cell r="A394" t="str">
            <v>100200250077</v>
          </cell>
          <cell r="B394" t="str">
            <v>Laldiyara</v>
          </cell>
          <cell r="C394" t="str">
            <v>Laldiyara</v>
          </cell>
          <cell r="D394" t="str">
            <v>Dumri 2</v>
          </cell>
          <cell r="E394">
            <v>10020025</v>
          </cell>
          <cell r="F394" t="str">
            <v>0077</v>
          </cell>
          <cell r="G394">
            <v>6</v>
          </cell>
          <cell r="H394">
            <v>16.88</v>
          </cell>
          <cell r="I394">
            <v>1186.7093532631002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P394">
            <v>1187</v>
          </cell>
          <cell r="V394" t="str">
            <v>Available</v>
          </cell>
        </row>
        <row r="395">
          <cell r="A395" t="str">
            <v>100200250087</v>
          </cell>
          <cell r="B395" t="str">
            <v>Laldiyara</v>
          </cell>
          <cell r="C395" t="str">
            <v>Laldiyara</v>
          </cell>
          <cell r="D395" t="str">
            <v>Dumri 2</v>
          </cell>
          <cell r="E395">
            <v>10020025</v>
          </cell>
          <cell r="F395" t="str">
            <v>0087</v>
          </cell>
          <cell r="G395">
            <v>12</v>
          </cell>
          <cell r="H395">
            <v>31.590000000000007</v>
          </cell>
          <cell r="I395">
            <v>1155.1123493910002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P395">
            <v>1155</v>
          </cell>
          <cell r="V395" t="str">
            <v>Available</v>
          </cell>
        </row>
        <row r="396">
          <cell r="A396" t="str">
            <v>100200250089</v>
          </cell>
          <cell r="B396" t="str">
            <v>Laldiyara</v>
          </cell>
          <cell r="C396" t="str">
            <v>Laldiyara</v>
          </cell>
          <cell r="D396" t="str">
            <v>Dumri 2</v>
          </cell>
          <cell r="E396">
            <v>10020025</v>
          </cell>
          <cell r="F396" t="str">
            <v>0089</v>
          </cell>
          <cell r="G396">
            <v>1</v>
          </cell>
          <cell r="H396">
            <v>1.4</v>
          </cell>
          <cell r="I396">
            <v>53.593515359999998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P396">
            <v>54</v>
          </cell>
          <cell r="V396" t="str">
            <v>Available</v>
          </cell>
        </row>
        <row r="397">
          <cell r="A397" t="str">
            <v>100200250097</v>
          </cell>
          <cell r="B397" t="str">
            <v>Laldiyara</v>
          </cell>
          <cell r="C397" t="str">
            <v>Laldiyara</v>
          </cell>
          <cell r="D397" t="str">
            <v>Dumri 2</v>
          </cell>
          <cell r="E397">
            <v>10020025</v>
          </cell>
          <cell r="F397" t="str">
            <v>0097</v>
          </cell>
          <cell r="G397">
            <v>7</v>
          </cell>
          <cell r="H397">
            <v>26.450000000000003</v>
          </cell>
          <cell r="I397">
            <v>977.60507644800009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P397">
            <v>978</v>
          </cell>
          <cell r="V397" t="str">
            <v>Available</v>
          </cell>
        </row>
        <row r="398">
          <cell r="A398" t="str">
            <v>100200250099</v>
          </cell>
          <cell r="B398" t="str">
            <v>Laldiyara</v>
          </cell>
          <cell r="C398" t="str">
            <v>Laldiyara</v>
          </cell>
          <cell r="D398" t="str">
            <v>Dumri 2</v>
          </cell>
          <cell r="E398">
            <v>10020025</v>
          </cell>
          <cell r="F398" t="str">
            <v>0099</v>
          </cell>
          <cell r="G398">
            <v>14</v>
          </cell>
          <cell r="H398">
            <v>63.980000000000011</v>
          </cell>
          <cell r="I398">
            <v>2369.3100940080003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P398">
            <v>2369</v>
          </cell>
          <cell r="V398" t="str">
            <v>Available</v>
          </cell>
        </row>
        <row r="399">
          <cell r="A399" t="str">
            <v>100200250100</v>
          </cell>
          <cell r="B399" t="str">
            <v>Laldiyara</v>
          </cell>
          <cell r="C399" t="str">
            <v>Laldiyara</v>
          </cell>
          <cell r="D399" t="str">
            <v>Dumri 2</v>
          </cell>
          <cell r="E399">
            <v>10020025</v>
          </cell>
          <cell r="F399" t="str">
            <v>0100</v>
          </cell>
          <cell r="G399">
            <v>13</v>
          </cell>
          <cell r="H399">
            <v>59.84</v>
          </cell>
          <cell r="I399">
            <v>2374.4235643920001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P399">
            <v>2374</v>
          </cell>
          <cell r="V399" t="str">
            <v>Available</v>
          </cell>
        </row>
        <row r="400">
          <cell r="A400" t="str">
            <v>100200260001</v>
          </cell>
          <cell r="B400" t="str">
            <v>Laldiyara</v>
          </cell>
          <cell r="C400" t="str">
            <v>Laldiyara</v>
          </cell>
          <cell r="D400" t="str">
            <v>Gomukh Jhakhaur</v>
          </cell>
          <cell r="E400">
            <v>10020026</v>
          </cell>
          <cell r="F400" t="str">
            <v>0001</v>
          </cell>
          <cell r="G400">
            <v>9</v>
          </cell>
          <cell r="H400">
            <v>1.7599999999999998</v>
          </cell>
          <cell r="I400">
            <v>61.667002188000012</v>
          </cell>
          <cell r="J400">
            <v>0</v>
          </cell>
          <cell r="K400">
            <v>61.667002188000012</v>
          </cell>
          <cell r="L400">
            <v>0</v>
          </cell>
          <cell r="M400">
            <v>0</v>
          </cell>
          <cell r="P400">
            <v>0</v>
          </cell>
          <cell r="V400" t="str">
            <v>Not Available</v>
          </cell>
        </row>
        <row r="401">
          <cell r="A401" t="str">
            <v>100200260002</v>
          </cell>
          <cell r="B401" t="str">
            <v>Laldiyara</v>
          </cell>
          <cell r="C401" t="str">
            <v>Laldiyara</v>
          </cell>
          <cell r="D401" t="str">
            <v>Gomukh Jhakhaur</v>
          </cell>
          <cell r="E401">
            <v>10020026</v>
          </cell>
          <cell r="F401" t="str">
            <v>0002</v>
          </cell>
          <cell r="G401">
            <v>13</v>
          </cell>
          <cell r="H401">
            <v>637.65999999999985</v>
          </cell>
          <cell r="I401">
            <v>26050.929050995972</v>
          </cell>
          <cell r="J401">
            <v>0</v>
          </cell>
          <cell r="K401">
            <v>0</v>
          </cell>
          <cell r="L401">
            <v>111</v>
          </cell>
          <cell r="M401">
            <v>0</v>
          </cell>
          <cell r="P401">
            <v>25940</v>
          </cell>
          <cell r="V401" t="str">
            <v>Available</v>
          </cell>
        </row>
        <row r="402">
          <cell r="A402" t="str">
            <v>100200260007</v>
          </cell>
          <cell r="B402" t="str">
            <v>Laldiyara</v>
          </cell>
          <cell r="C402" t="str">
            <v>Laldiyara</v>
          </cell>
          <cell r="D402" t="str">
            <v>Gomukh Jhakhaur</v>
          </cell>
          <cell r="E402">
            <v>10020026</v>
          </cell>
          <cell r="F402" t="str">
            <v>0007</v>
          </cell>
          <cell r="G402">
            <v>11</v>
          </cell>
          <cell r="H402">
            <v>56.419999999999995</v>
          </cell>
          <cell r="I402">
            <v>2112.8431547519999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P402">
            <v>2113</v>
          </cell>
          <cell r="V402" t="str">
            <v>Available</v>
          </cell>
        </row>
        <row r="403">
          <cell r="A403" t="str">
            <v>100200260029</v>
          </cell>
          <cell r="B403" t="str">
            <v>Laldiyara</v>
          </cell>
          <cell r="C403" t="str">
            <v>Laldiyara</v>
          </cell>
          <cell r="D403" t="str">
            <v>Gomukh Jhakhaur</v>
          </cell>
          <cell r="E403">
            <v>10020026</v>
          </cell>
          <cell r="F403" t="str">
            <v>0029</v>
          </cell>
          <cell r="G403">
            <v>8</v>
          </cell>
          <cell r="H403">
            <v>23.570000000000004</v>
          </cell>
          <cell r="I403">
            <v>800.63445924000007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P403">
            <v>801</v>
          </cell>
          <cell r="V403" t="str">
            <v>Available</v>
          </cell>
        </row>
        <row r="404">
          <cell r="A404" t="str">
            <v>100200260030</v>
          </cell>
          <cell r="B404" t="str">
            <v>Laldiyara</v>
          </cell>
          <cell r="C404" t="str">
            <v>Laldiyara</v>
          </cell>
          <cell r="D404" t="str">
            <v>Gomukh Jhakhaur</v>
          </cell>
          <cell r="E404">
            <v>10020026</v>
          </cell>
          <cell r="F404" t="str">
            <v>0030</v>
          </cell>
          <cell r="G404">
            <v>5</v>
          </cell>
          <cell r="H404">
            <v>33.58</v>
          </cell>
          <cell r="I404">
            <v>1412.1787574030404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P404">
            <v>1412</v>
          </cell>
          <cell r="V404" t="str">
            <v>Available</v>
          </cell>
        </row>
        <row r="405">
          <cell r="A405" t="str">
            <v>100200270002</v>
          </cell>
          <cell r="B405" t="str">
            <v>Laldiyara</v>
          </cell>
          <cell r="C405" t="str">
            <v>Laldiyara</v>
          </cell>
          <cell r="D405" t="str">
            <v>Gomukh Repura</v>
          </cell>
          <cell r="E405">
            <v>10020027</v>
          </cell>
          <cell r="F405" t="str">
            <v>0002</v>
          </cell>
          <cell r="G405">
            <v>13</v>
          </cell>
          <cell r="H405">
            <v>507.59999999999997</v>
          </cell>
          <cell r="I405">
            <v>19145.435518440001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P405">
            <v>19145</v>
          </cell>
          <cell r="V405" t="str">
            <v>Available</v>
          </cell>
        </row>
        <row r="406">
          <cell r="A406" t="str">
            <v>100200290001</v>
          </cell>
          <cell r="B406" t="str">
            <v>Laldiyara</v>
          </cell>
          <cell r="C406" t="str">
            <v>Laldiyara</v>
          </cell>
          <cell r="D406" t="str">
            <v>Gomukh Virupur</v>
          </cell>
          <cell r="E406">
            <v>10020029</v>
          </cell>
          <cell r="F406" t="str">
            <v>0001</v>
          </cell>
          <cell r="G406">
            <v>11</v>
          </cell>
          <cell r="H406">
            <v>2.5700000000000003</v>
          </cell>
          <cell r="I406">
            <v>96.836671800000019</v>
          </cell>
          <cell r="J406">
            <v>0</v>
          </cell>
          <cell r="K406">
            <v>96.836671800000019</v>
          </cell>
          <cell r="L406">
            <v>0</v>
          </cell>
          <cell r="M406">
            <v>0</v>
          </cell>
          <cell r="P406">
            <v>0</v>
          </cell>
          <cell r="V406" t="str">
            <v>Not Available</v>
          </cell>
        </row>
        <row r="407">
          <cell r="A407" t="str">
            <v>100200290003</v>
          </cell>
          <cell r="B407" t="str">
            <v>Laldiyara</v>
          </cell>
          <cell r="C407" t="str">
            <v>Laldiyara</v>
          </cell>
          <cell r="D407" t="str">
            <v>Gomukh Virupur</v>
          </cell>
          <cell r="E407">
            <v>10020029</v>
          </cell>
          <cell r="F407" t="str">
            <v>0003</v>
          </cell>
          <cell r="G407">
            <v>12</v>
          </cell>
          <cell r="H407">
            <v>169.97999999999996</v>
          </cell>
          <cell r="I407">
            <v>6807.5555898239991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P407">
            <v>6808</v>
          </cell>
          <cell r="V407" t="str">
            <v>Available</v>
          </cell>
        </row>
        <row r="408">
          <cell r="A408" t="str">
            <v>100200290029</v>
          </cell>
          <cell r="B408" t="str">
            <v>Laldiyara</v>
          </cell>
          <cell r="C408" t="str">
            <v>Laldiyara</v>
          </cell>
          <cell r="D408" t="str">
            <v>Gomukh Virupur</v>
          </cell>
          <cell r="E408">
            <v>10020029</v>
          </cell>
          <cell r="F408" t="str">
            <v>0029</v>
          </cell>
          <cell r="G408">
            <v>14</v>
          </cell>
          <cell r="H408">
            <v>74.67</v>
          </cell>
          <cell r="I408">
            <v>3083.8386696480002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P408">
            <v>3084</v>
          </cell>
          <cell r="V408" t="str">
            <v>Available</v>
          </cell>
        </row>
        <row r="409">
          <cell r="A409" t="str">
            <v>100200290030</v>
          </cell>
          <cell r="B409" t="str">
            <v>Laldiyara</v>
          </cell>
          <cell r="C409" t="str">
            <v>Laldiyara</v>
          </cell>
          <cell r="D409" t="str">
            <v>Gomukh Virupur</v>
          </cell>
          <cell r="E409">
            <v>10020029</v>
          </cell>
          <cell r="F409" t="str">
            <v>0030</v>
          </cell>
          <cell r="G409">
            <v>13</v>
          </cell>
          <cell r="H409">
            <v>46.37</v>
          </cell>
          <cell r="I409">
            <v>1650.8357146512003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P409">
            <v>1651</v>
          </cell>
          <cell r="V409" t="str">
            <v>Available</v>
          </cell>
        </row>
        <row r="410">
          <cell r="A410" t="str">
            <v>100200290034</v>
          </cell>
          <cell r="B410" t="str">
            <v>Laldiyara</v>
          </cell>
          <cell r="C410" t="str">
            <v>Laldiyara</v>
          </cell>
          <cell r="D410" t="str">
            <v>Gomukh Virupur</v>
          </cell>
          <cell r="E410">
            <v>10020029</v>
          </cell>
          <cell r="F410" t="str">
            <v>0034</v>
          </cell>
          <cell r="G410">
            <v>14</v>
          </cell>
          <cell r="H410">
            <v>64.669999999999987</v>
          </cell>
          <cell r="I410">
            <v>2308.7209214520003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P410">
            <v>2309</v>
          </cell>
          <cell r="V410" t="str">
            <v>Available</v>
          </cell>
        </row>
        <row r="411">
          <cell r="A411" t="str">
            <v>100200290038</v>
          </cell>
          <cell r="B411" t="str">
            <v>Laldiyara</v>
          </cell>
          <cell r="C411" t="str">
            <v>Laldiyara</v>
          </cell>
          <cell r="D411" t="str">
            <v>Gomukh Virupur</v>
          </cell>
          <cell r="E411">
            <v>10020029</v>
          </cell>
          <cell r="F411" t="str">
            <v>0038</v>
          </cell>
          <cell r="G411">
            <v>4</v>
          </cell>
          <cell r="H411">
            <v>10.379999999999999</v>
          </cell>
          <cell r="I411">
            <v>383.32457091720005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P411">
            <v>383</v>
          </cell>
          <cell r="V411" t="str">
            <v>Available</v>
          </cell>
        </row>
        <row r="412">
          <cell r="A412" t="str">
            <v>100200320001</v>
          </cell>
          <cell r="B412" t="str">
            <v>Laldiyara</v>
          </cell>
          <cell r="C412" t="str">
            <v>Laldiyara</v>
          </cell>
          <cell r="D412" t="str">
            <v xml:space="preserve">Gomukh Diyarapipariya                                                                               </v>
          </cell>
          <cell r="E412">
            <v>10020032</v>
          </cell>
          <cell r="F412" t="str">
            <v>0001</v>
          </cell>
          <cell r="G412">
            <v>13</v>
          </cell>
          <cell r="H412">
            <v>10.17</v>
          </cell>
          <cell r="I412">
            <v>449.25392621224705</v>
          </cell>
          <cell r="J412">
            <v>0</v>
          </cell>
          <cell r="K412">
            <v>449.25392621224705</v>
          </cell>
          <cell r="L412">
            <v>0</v>
          </cell>
          <cell r="M412">
            <v>0</v>
          </cell>
          <cell r="P412">
            <v>0</v>
          </cell>
          <cell r="V412" t="str">
            <v>Not Available</v>
          </cell>
        </row>
        <row r="413">
          <cell r="A413" t="str">
            <v>100200320002</v>
          </cell>
          <cell r="B413" t="str">
            <v>Laldiyara</v>
          </cell>
          <cell r="C413" t="str">
            <v>Laldiyara</v>
          </cell>
          <cell r="D413" t="str">
            <v xml:space="preserve">Gomukh Diyarapipariya                                                                               </v>
          </cell>
          <cell r="E413">
            <v>10020032</v>
          </cell>
          <cell r="F413" t="str">
            <v>0002</v>
          </cell>
          <cell r="G413">
            <v>14</v>
          </cell>
          <cell r="H413">
            <v>196.41999999999996</v>
          </cell>
          <cell r="I413">
            <v>8594.300693718902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P413">
            <v>8594</v>
          </cell>
          <cell r="V413" t="str">
            <v>Available</v>
          </cell>
        </row>
        <row r="414">
          <cell r="A414" t="str">
            <v>100200320005</v>
          </cell>
          <cell r="B414" t="str">
            <v>Laldiyara</v>
          </cell>
          <cell r="C414" t="str">
            <v>Laldiyara</v>
          </cell>
          <cell r="D414" t="str">
            <v xml:space="preserve">Gomukh Diyarapipariya                                                                               </v>
          </cell>
          <cell r="E414">
            <v>10020032</v>
          </cell>
          <cell r="F414" t="str">
            <v>0005</v>
          </cell>
          <cell r="G414">
            <v>12</v>
          </cell>
          <cell r="H414">
            <v>19.920000000000002</v>
          </cell>
          <cell r="I414">
            <v>790.68714104159994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P414">
            <v>791</v>
          </cell>
          <cell r="V414" t="str">
            <v>Available</v>
          </cell>
        </row>
        <row r="415">
          <cell r="A415" t="str">
            <v>100200320008</v>
          </cell>
          <cell r="B415" t="str">
            <v>Laldiyara</v>
          </cell>
          <cell r="C415" t="str">
            <v>Laldiyara</v>
          </cell>
          <cell r="D415" t="str">
            <v xml:space="preserve">Gomukh Diyarapipariya                                                                               </v>
          </cell>
          <cell r="E415">
            <v>10020032</v>
          </cell>
          <cell r="F415" t="str">
            <v>0008</v>
          </cell>
          <cell r="G415">
            <v>13</v>
          </cell>
          <cell r="H415">
            <v>42.89</v>
          </cell>
          <cell r="I415">
            <v>1803.7345366123513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P415">
            <v>1804</v>
          </cell>
          <cell r="V415" t="str">
            <v>Available</v>
          </cell>
        </row>
        <row r="416">
          <cell r="A416" t="str">
            <v>100200320009</v>
          </cell>
          <cell r="B416" t="str">
            <v>Laldiyara</v>
          </cell>
          <cell r="C416" t="str">
            <v>Laldiyara</v>
          </cell>
          <cell r="D416" t="str">
            <v xml:space="preserve">Gomukh Diyarapipariya                                                                               </v>
          </cell>
          <cell r="E416">
            <v>10020032</v>
          </cell>
          <cell r="F416" t="str">
            <v>0009</v>
          </cell>
          <cell r="G416">
            <v>13</v>
          </cell>
          <cell r="H416">
            <v>64.170000000000016</v>
          </cell>
          <cell r="I416">
            <v>2283.2176220172005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P416">
            <v>2283</v>
          </cell>
          <cell r="V416" t="str">
            <v>Available</v>
          </cell>
        </row>
        <row r="417">
          <cell r="A417" t="str">
            <v>100200320010</v>
          </cell>
          <cell r="B417" t="str">
            <v>Laldiyara</v>
          </cell>
          <cell r="C417" t="str">
            <v>Laldiyara</v>
          </cell>
          <cell r="D417" t="str">
            <v xml:space="preserve">Gomukh Diyarapipariya                                                                               </v>
          </cell>
          <cell r="E417">
            <v>10020032</v>
          </cell>
          <cell r="F417" t="str">
            <v>0010</v>
          </cell>
          <cell r="G417">
            <v>8</v>
          </cell>
          <cell r="H417">
            <v>13.44</v>
          </cell>
          <cell r="I417">
            <v>561.83837280120008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P417">
            <v>562</v>
          </cell>
          <cell r="V417" t="str">
            <v>Available</v>
          </cell>
        </row>
        <row r="418">
          <cell r="A418" t="str">
            <v>100200320014</v>
          </cell>
          <cell r="B418" t="str">
            <v>Laldiyara</v>
          </cell>
          <cell r="C418" t="str">
            <v>Laldiyara</v>
          </cell>
          <cell r="D418" t="str">
            <v xml:space="preserve">Gomukh Diyarapipariya                                                                               </v>
          </cell>
          <cell r="E418">
            <v>10020032</v>
          </cell>
          <cell r="F418" t="str">
            <v>0014</v>
          </cell>
          <cell r="G418">
            <v>6</v>
          </cell>
          <cell r="H418">
            <v>9.7999999999999989</v>
          </cell>
          <cell r="I418">
            <v>465.21392972850498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P418">
            <v>465</v>
          </cell>
          <cell r="V418" t="str">
            <v>Available</v>
          </cell>
        </row>
        <row r="419">
          <cell r="A419" t="str">
            <v>100200320016</v>
          </cell>
          <cell r="B419" t="str">
            <v>Laldiyara</v>
          </cell>
          <cell r="C419" t="str">
            <v>Laldiyara</v>
          </cell>
          <cell r="D419" t="str">
            <v xml:space="preserve">Gomukh Diyarapipariya                                                                               </v>
          </cell>
          <cell r="E419">
            <v>10020032</v>
          </cell>
          <cell r="F419" t="str">
            <v>0016</v>
          </cell>
          <cell r="G419">
            <v>14</v>
          </cell>
          <cell r="H419">
            <v>27.9</v>
          </cell>
          <cell r="I419">
            <v>1095.672765924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P419">
            <v>1096</v>
          </cell>
          <cell r="V419" t="str">
            <v>Available</v>
          </cell>
        </row>
        <row r="420">
          <cell r="A420" t="str">
            <v>100200320020</v>
          </cell>
          <cell r="B420" t="str">
            <v>Laldiyara</v>
          </cell>
          <cell r="C420" t="str">
            <v>Laldiyara</v>
          </cell>
          <cell r="D420" t="str">
            <v xml:space="preserve">Gomukh Diyarapipariya                                                                               </v>
          </cell>
          <cell r="E420">
            <v>10020032</v>
          </cell>
          <cell r="F420" t="str">
            <v>0020</v>
          </cell>
          <cell r="G420">
            <v>6</v>
          </cell>
          <cell r="H420">
            <v>19.989999999999998</v>
          </cell>
          <cell r="I420">
            <v>1244.1308924723003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P420">
            <v>1244</v>
          </cell>
          <cell r="V420" t="str">
            <v>Available</v>
          </cell>
        </row>
        <row r="421">
          <cell r="A421" t="str">
            <v>100200320024</v>
          </cell>
          <cell r="B421" t="str">
            <v>Laldiyara</v>
          </cell>
          <cell r="C421" t="str">
            <v>Laldiyara</v>
          </cell>
          <cell r="D421" t="str">
            <v xml:space="preserve">Gomukh Diyarapipariya                                                                               </v>
          </cell>
          <cell r="E421">
            <v>10020032</v>
          </cell>
          <cell r="F421" t="str">
            <v>0024</v>
          </cell>
          <cell r="G421">
            <v>7</v>
          </cell>
          <cell r="H421">
            <v>16.310000000000002</v>
          </cell>
          <cell r="I421">
            <v>556.9542150282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P421">
            <v>557</v>
          </cell>
          <cell r="V421" t="str">
            <v>Available</v>
          </cell>
        </row>
        <row r="422">
          <cell r="A422" t="str">
            <v>100200320026</v>
          </cell>
          <cell r="B422" t="str">
            <v>Laldiyara</v>
          </cell>
          <cell r="C422" t="str">
            <v>Laldiyara</v>
          </cell>
          <cell r="D422" t="str">
            <v xml:space="preserve">Gomukh Diyarapipariya                                                                               </v>
          </cell>
          <cell r="E422">
            <v>10020032</v>
          </cell>
          <cell r="F422" t="str">
            <v>0026</v>
          </cell>
          <cell r="G422">
            <v>11</v>
          </cell>
          <cell r="H422">
            <v>12.02</v>
          </cell>
          <cell r="I422">
            <v>490.07632457519998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P422">
            <v>490</v>
          </cell>
          <cell r="V422" t="str">
            <v>Available</v>
          </cell>
        </row>
        <row r="423">
          <cell r="A423" t="str">
            <v>100200320048</v>
          </cell>
          <cell r="B423" t="str">
            <v>Laldiyara</v>
          </cell>
          <cell r="C423" t="str">
            <v>Laldiyara</v>
          </cell>
          <cell r="D423" t="str">
            <v xml:space="preserve">Gomukh Diyarapipariya                                                                               </v>
          </cell>
          <cell r="E423">
            <v>10020032</v>
          </cell>
          <cell r="F423" t="str">
            <v>0048</v>
          </cell>
          <cell r="G423">
            <v>1</v>
          </cell>
          <cell r="H423">
            <v>11.55</v>
          </cell>
          <cell r="I423">
            <v>600.73256006609995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P423">
            <v>601</v>
          </cell>
          <cell r="V423" t="str">
            <v>Available</v>
          </cell>
        </row>
        <row r="424">
          <cell r="A424" t="str">
            <v>100200320050</v>
          </cell>
          <cell r="B424" t="str">
            <v>Laldiyara</v>
          </cell>
          <cell r="C424" t="str">
            <v>Laldiyara</v>
          </cell>
          <cell r="D424" t="str">
            <v xml:space="preserve">Gomukh Diyarapipariya                                                                               </v>
          </cell>
          <cell r="E424">
            <v>10020032</v>
          </cell>
          <cell r="F424" t="str">
            <v>0050</v>
          </cell>
          <cell r="G424">
            <v>13</v>
          </cell>
          <cell r="H424">
            <v>43.959999999999994</v>
          </cell>
          <cell r="I424">
            <v>1758.2878717074002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P424">
            <v>1758</v>
          </cell>
          <cell r="V424" t="str">
            <v>Available</v>
          </cell>
        </row>
        <row r="425">
          <cell r="A425" t="str">
            <v>100200320054</v>
          </cell>
          <cell r="B425" t="str">
            <v>Laldiyara</v>
          </cell>
          <cell r="C425" t="str">
            <v>Laldiyara</v>
          </cell>
          <cell r="D425" t="str">
            <v xml:space="preserve">Gomukh Diyarapipariya                                                                               </v>
          </cell>
          <cell r="E425">
            <v>10020032</v>
          </cell>
          <cell r="F425" t="str">
            <v>0054</v>
          </cell>
          <cell r="G425">
            <v>7</v>
          </cell>
          <cell r="H425">
            <v>8.86</v>
          </cell>
          <cell r="I425">
            <v>423.56731741926006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P425">
            <v>424</v>
          </cell>
          <cell r="V425" t="str">
            <v>Available</v>
          </cell>
        </row>
        <row r="426">
          <cell r="A426" t="str">
            <v>100200320062</v>
          </cell>
          <cell r="B426" t="str">
            <v>Laldiyara</v>
          </cell>
          <cell r="C426" t="str">
            <v>Laldiyara</v>
          </cell>
          <cell r="D426" t="str">
            <v xml:space="preserve">Gomukh Diyarapipariya                                                                               </v>
          </cell>
          <cell r="E426">
            <v>10020032</v>
          </cell>
          <cell r="F426" t="str">
            <v>0062</v>
          </cell>
          <cell r="G426">
            <v>14</v>
          </cell>
          <cell r="H426">
            <v>213.54</v>
          </cell>
          <cell r="I426">
            <v>9071.6528993940028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P426">
            <v>9072</v>
          </cell>
          <cell r="V426" t="str">
            <v>Available</v>
          </cell>
        </row>
        <row r="427">
          <cell r="A427" t="str">
            <v>100200320063</v>
          </cell>
          <cell r="B427" t="str">
            <v>Laldiyara</v>
          </cell>
          <cell r="C427" t="str">
            <v>Laldiyara</v>
          </cell>
          <cell r="D427" t="str">
            <v xml:space="preserve">Gomukh Diyarapipariya                                                                               </v>
          </cell>
          <cell r="E427">
            <v>10020032</v>
          </cell>
          <cell r="F427" t="str">
            <v>0063</v>
          </cell>
          <cell r="G427">
            <v>14</v>
          </cell>
          <cell r="H427">
            <v>73.009999999999991</v>
          </cell>
          <cell r="I427">
            <v>2870.868767164201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P427">
            <v>2871</v>
          </cell>
          <cell r="V427" t="str">
            <v>Available</v>
          </cell>
        </row>
        <row r="428">
          <cell r="A428" t="str">
            <v>100200320072</v>
          </cell>
          <cell r="B428" t="str">
            <v>Laldiyara</v>
          </cell>
          <cell r="C428" t="str">
            <v>Laldiyara</v>
          </cell>
          <cell r="D428" t="str">
            <v xml:space="preserve">Gomukh Diyarapipariya                                                                               </v>
          </cell>
          <cell r="E428">
            <v>10020032</v>
          </cell>
          <cell r="F428" t="str">
            <v>0072</v>
          </cell>
          <cell r="G428">
            <v>14</v>
          </cell>
          <cell r="H428">
            <v>31.369999999999997</v>
          </cell>
          <cell r="I428">
            <v>1191.8372653044003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P428">
            <v>1192</v>
          </cell>
          <cell r="V428" t="str">
            <v>Available</v>
          </cell>
        </row>
        <row r="429">
          <cell r="A429" t="str">
            <v>100200320082</v>
          </cell>
          <cell r="B429" t="str">
            <v>Laldiyara</v>
          </cell>
          <cell r="C429" t="str">
            <v>Laldiyara</v>
          </cell>
          <cell r="D429" t="str">
            <v xml:space="preserve">Gomukh Diyarapipariya                                                                               </v>
          </cell>
          <cell r="E429">
            <v>10020032</v>
          </cell>
          <cell r="F429" t="str">
            <v>0082</v>
          </cell>
          <cell r="G429">
            <v>14</v>
          </cell>
          <cell r="H429">
            <v>56.489999999999988</v>
          </cell>
          <cell r="I429">
            <v>2693.0534742345003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P429">
            <v>2693</v>
          </cell>
          <cell r="V429" t="str">
            <v>Available</v>
          </cell>
        </row>
        <row r="430">
          <cell r="A430" t="str">
            <v>100200340001</v>
          </cell>
          <cell r="B430" t="str">
            <v>Laldiyara</v>
          </cell>
          <cell r="C430" t="str">
            <v>Laldiyara</v>
          </cell>
          <cell r="D430" t="str">
            <v>TAJPUR</v>
          </cell>
          <cell r="E430">
            <v>10020034</v>
          </cell>
          <cell r="F430" t="str">
            <v>0001</v>
          </cell>
          <cell r="G430">
            <v>14</v>
          </cell>
          <cell r="H430">
            <v>11.440000000000001</v>
          </cell>
          <cell r="I430">
            <v>433.54148745600008</v>
          </cell>
          <cell r="J430">
            <v>0</v>
          </cell>
          <cell r="K430">
            <v>433.54148745600008</v>
          </cell>
          <cell r="L430">
            <v>0</v>
          </cell>
          <cell r="M430">
            <v>0</v>
          </cell>
          <cell r="P430">
            <v>0</v>
          </cell>
          <cell r="V430" t="str">
            <v>Not Available</v>
          </cell>
        </row>
        <row r="431">
          <cell r="A431" t="str">
            <v>100200340002</v>
          </cell>
          <cell r="B431" t="str">
            <v>Laldiyara</v>
          </cell>
          <cell r="C431" t="str">
            <v>Laldiyara</v>
          </cell>
          <cell r="D431" t="str">
            <v>TAJPUR</v>
          </cell>
          <cell r="E431">
            <v>10020034</v>
          </cell>
          <cell r="F431" t="str">
            <v>0002</v>
          </cell>
          <cell r="G431">
            <v>11</v>
          </cell>
          <cell r="H431">
            <v>102.30000000000001</v>
          </cell>
          <cell r="I431">
            <v>4137.6619997013013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P431">
            <v>4138</v>
          </cell>
          <cell r="V431" t="str">
            <v>Available</v>
          </cell>
        </row>
        <row r="432">
          <cell r="A432" t="str">
            <v>100200340005</v>
          </cell>
          <cell r="B432" t="str">
            <v>Laldiyara</v>
          </cell>
          <cell r="C432" t="str">
            <v>Laldiyara</v>
          </cell>
          <cell r="D432" t="str">
            <v>TAJPUR</v>
          </cell>
          <cell r="E432">
            <v>10020034</v>
          </cell>
          <cell r="F432" t="str">
            <v>0005</v>
          </cell>
          <cell r="G432">
            <v>7</v>
          </cell>
          <cell r="H432">
            <v>47.249999999999993</v>
          </cell>
          <cell r="I432">
            <v>1752.6294011160005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P432">
            <v>1753</v>
          </cell>
          <cell r="V432" t="str">
            <v>Available</v>
          </cell>
        </row>
        <row r="433">
          <cell r="A433" t="str">
            <v>100200340006</v>
          </cell>
          <cell r="B433" t="str">
            <v>Laldiyara</v>
          </cell>
          <cell r="C433" t="str">
            <v>Laldiyara</v>
          </cell>
          <cell r="D433" t="str">
            <v>TAJPUR</v>
          </cell>
          <cell r="E433">
            <v>10020034</v>
          </cell>
          <cell r="F433" t="str">
            <v>0006</v>
          </cell>
          <cell r="G433">
            <v>12</v>
          </cell>
          <cell r="H433">
            <v>29.21</v>
          </cell>
          <cell r="I433">
            <v>1767.3070527341702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P433">
            <v>1767</v>
          </cell>
          <cell r="V433" t="str">
            <v>Available</v>
          </cell>
        </row>
        <row r="434">
          <cell r="A434" t="str">
            <v>100200340019</v>
          </cell>
          <cell r="B434" t="str">
            <v>Laldiyara</v>
          </cell>
          <cell r="C434" t="str">
            <v>Laldiyara</v>
          </cell>
          <cell r="D434" t="str">
            <v>TAJPUR</v>
          </cell>
          <cell r="E434">
            <v>10020034</v>
          </cell>
          <cell r="F434" t="str">
            <v>0019</v>
          </cell>
          <cell r="G434">
            <v>1</v>
          </cell>
          <cell r="H434">
            <v>1.72</v>
          </cell>
          <cell r="I434">
            <v>82.408751423320012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P434">
            <v>82</v>
          </cell>
          <cell r="V434" t="str">
            <v>Available</v>
          </cell>
        </row>
        <row r="435">
          <cell r="A435" t="str">
            <v>100200340022</v>
          </cell>
          <cell r="B435" t="str">
            <v>Laldiyara</v>
          </cell>
          <cell r="C435" t="str">
            <v>Laldiyara</v>
          </cell>
          <cell r="D435" t="str">
            <v>TAJPUR</v>
          </cell>
          <cell r="E435">
            <v>10020034</v>
          </cell>
          <cell r="F435" t="str">
            <v>0022</v>
          </cell>
          <cell r="G435">
            <v>10</v>
          </cell>
          <cell r="H435">
            <v>46.58</v>
          </cell>
          <cell r="I435">
            <v>1664.5405260924003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P435">
            <v>1665</v>
          </cell>
          <cell r="V435" t="str">
            <v>Available</v>
          </cell>
        </row>
        <row r="436">
          <cell r="A436" t="str">
            <v>100200340025</v>
          </cell>
          <cell r="B436" t="str">
            <v>Laldiyara</v>
          </cell>
          <cell r="C436" t="str">
            <v>Laldiyara</v>
          </cell>
          <cell r="D436" t="str">
            <v>TAJPUR</v>
          </cell>
          <cell r="E436">
            <v>10020034</v>
          </cell>
          <cell r="F436" t="str">
            <v>0025</v>
          </cell>
          <cell r="G436">
            <v>4</v>
          </cell>
          <cell r="H436">
            <v>15.950000000000001</v>
          </cell>
          <cell r="I436">
            <v>560.57091631200001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P436">
            <v>561</v>
          </cell>
          <cell r="V436" t="str">
            <v>Available</v>
          </cell>
        </row>
        <row r="437">
          <cell r="A437" t="str">
            <v>100200340032</v>
          </cell>
          <cell r="B437" t="str">
            <v>Laldiyara</v>
          </cell>
          <cell r="C437" t="str">
            <v>Laldiyara</v>
          </cell>
          <cell r="D437" t="str">
            <v>TAJPUR</v>
          </cell>
          <cell r="E437">
            <v>10020034</v>
          </cell>
          <cell r="F437" t="str">
            <v>0032</v>
          </cell>
          <cell r="G437">
            <v>8</v>
          </cell>
          <cell r="H437">
            <v>24.83</v>
          </cell>
          <cell r="I437">
            <v>1082.6057373936001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P437">
            <v>1083</v>
          </cell>
          <cell r="V437" t="str">
            <v>Available</v>
          </cell>
        </row>
        <row r="438">
          <cell r="A438" t="str">
            <v>100200340035</v>
          </cell>
          <cell r="B438" t="str">
            <v>Laldiyara</v>
          </cell>
          <cell r="C438" t="str">
            <v>Laldiyara</v>
          </cell>
          <cell r="D438" t="str">
            <v>TAJPUR</v>
          </cell>
          <cell r="E438">
            <v>10020034</v>
          </cell>
          <cell r="F438" t="str">
            <v>0035</v>
          </cell>
          <cell r="G438">
            <v>4</v>
          </cell>
          <cell r="H438">
            <v>10.91</v>
          </cell>
          <cell r="I438">
            <v>405.38951976599998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P438">
            <v>405</v>
          </cell>
          <cell r="V438" t="str">
            <v>Available</v>
          </cell>
        </row>
        <row r="439">
          <cell r="A439" t="str">
            <v>100200340036</v>
          </cell>
          <cell r="B439" t="str">
            <v>Laldiyara</v>
          </cell>
          <cell r="C439" t="str">
            <v>Laldiyara</v>
          </cell>
          <cell r="D439" t="str">
            <v>TAJPUR</v>
          </cell>
          <cell r="E439">
            <v>10020034</v>
          </cell>
          <cell r="F439" t="str">
            <v>0036</v>
          </cell>
          <cell r="G439">
            <v>1</v>
          </cell>
          <cell r="H439">
            <v>3.41</v>
          </cell>
          <cell r="I439">
            <v>118.02479938920003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P439">
            <v>118</v>
          </cell>
          <cell r="V439" t="str">
            <v>Available</v>
          </cell>
        </row>
        <row r="440">
          <cell r="A440" t="str">
            <v>100200340048</v>
          </cell>
          <cell r="B440" t="str">
            <v>Laldiyara</v>
          </cell>
          <cell r="C440" t="str">
            <v>Laldiyara</v>
          </cell>
          <cell r="D440" t="str">
            <v>TAJPUR</v>
          </cell>
          <cell r="E440">
            <v>10020034</v>
          </cell>
          <cell r="F440" t="str">
            <v>0048</v>
          </cell>
          <cell r="G440">
            <v>14</v>
          </cell>
          <cell r="H440">
            <v>24.52</v>
          </cell>
          <cell r="I440">
            <v>1007.1413114400001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P440">
            <v>1007</v>
          </cell>
          <cell r="V440" t="str">
            <v>Available</v>
          </cell>
        </row>
        <row r="441">
          <cell r="A441" t="str">
            <v>100200340052</v>
          </cell>
          <cell r="B441" t="str">
            <v>Laldiyara</v>
          </cell>
          <cell r="C441" t="str">
            <v>Laldiyara</v>
          </cell>
          <cell r="D441" t="str">
            <v>TAJPUR</v>
          </cell>
          <cell r="E441">
            <v>10020034</v>
          </cell>
          <cell r="F441" t="str">
            <v>0052</v>
          </cell>
          <cell r="G441">
            <v>2</v>
          </cell>
          <cell r="H441">
            <v>2.89</v>
          </cell>
          <cell r="I441">
            <v>102.56848628400002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P441">
            <v>103</v>
          </cell>
          <cell r="V441" t="str">
            <v>Available</v>
          </cell>
        </row>
        <row r="442">
          <cell r="A442" t="str">
            <v>100200340053</v>
          </cell>
          <cell r="B442" t="str">
            <v>Laldiyara</v>
          </cell>
          <cell r="C442" t="str">
            <v>Laldiyara</v>
          </cell>
          <cell r="D442" t="str">
            <v>TAJPUR</v>
          </cell>
          <cell r="E442">
            <v>10020034</v>
          </cell>
          <cell r="F442" t="str">
            <v>0053</v>
          </cell>
          <cell r="G442">
            <v>5</v>
          </cell>
          <cell r="H442">
            <v>21.95</v>
          </cell>
          <cell r="I442">
            <v>626.15286657000013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P442">
            <v>626</v>
          </cell>
          <cell r="V442" t="str">
            <v>Available</v>
          </cell>
        </row>
        <row r="443">
          <cell r="A443" t="str">
            <v>100200340055</v>
          </cell>
          <cell r="B443" t="str">
            <v>Laldiyara</v>
          </cell>
          <cell r="C443" t="str">
            <v>Laldiyara</v>
          </cell>
          <cell r="D443" t="str">
            <v>TAJPUR</v>
          </cell>
          <cell r="E443">
            <v>10020034</v>
          </cell>
          <cell r="F443" t="str">
            <v>0055</v>
          </cell>
          <cell r="G443">
            <v>9</v>
          </cell>
          <cell r="H443">
            <v>31.189999999999998</v>
          </cell>
          <cell r="I443">
            <v>1221.9588713376002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P443">
            <v>1222</v>
          </cell>
          <cell r="V443" t="str">
            <v>Available</v>
          </cell>
        </row>
        <row r="444">
          <cell r="A444" t="str">
            <v>100200340060</v>
          </cell>
          <cell r="B444" t="str">
            <v>Laldiyara</v>
          </cell>
          <cell r="C444" t="str">
            <v>Laldiyara</v>
          </cell>
          <cell r="D444" t="str">
            <v>TAJPUR</v>
          </cell>
          <cell r="E444">
            <v>10020034</v>
          </cell>
          <cell r="F444" t="str">
            <v>0060</v>
          </cell>
          <cell r="G444">
            <v>14</v>
          </cell>
          <cell r="H444">
            <v>76.819999999999993</v>
          </cell>
          <cell r="I444">
            <v>3036.4444123200001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P444">
            <v>3036</v>
          </cell>
          <cell r="V444" t="str">
            <v>Available</v>
          </cell>
        </row>
        <row r="445">
          <cell r="A445" t="str">
            <v>100200340063</v>
          </cell>
          <cell r="B445" t="str">
            <v>Laldiyara</v>
          </cell>
          <cell r="C445" t="str">
            <v>Laldiyara</v>
          </cell>
          <cell r="D445" t="str">
            <v>TAJPUR</v>
          </cell>
          <cell r="E445">
            <v>10020034</v>
          </cell>
          <cell r="F445" t="str">
            <v>0063</v>
          </cell>
          <cell r="G445">
            <v>4</v>
          </cell>
          <cell r="H445">
            <v>8.66</v>
          </cell>
          <cell r="I445">
            <v>363.44924668800002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P445">
            <v>363</v>
          </cell>
          <cell r="V445" t="str">
            <v>Available</v>
          </cell>
        </row>
        <row r="446">
          <cell r="A446" t="str">
            <v>100200340068</v>
          </cell>
          <cell r="B446" t="str">
            <v>Laldiyara</v>
          </cell>
          <cell r="C446" t="str">
            <v>Laldiyara</v>
          </cell>
          <cell r="D446" t="str">
            <v>TAJPUR</v>
          </cell>
          <cell r="E446">
            <v>10020034</v>
          </cell>
          <cell r="F446" t="str">
            <v>0068</v>
          </cell>
          <cell r="G446">
            <v>5</v>
          </cell>
          <cell r="H446">
            <v>9.0399999999999991</v>
          </cell>
          <cell r="I446">
            <v>297.00736043220002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P446">
            <v>297</v>
          </cell>
          <cell r="V446" t="str">
            <v>Available</v>
          </cell>
        </row>
        <row r="447">
          <cell r="A447" t="str">
            <v>100200340073</v>
          </cell>
          <cell r="B447" t="str">
            <v>Laldiyara</v>
          </cell>
          <cell r="C447" t="str">
            <v>Laldiyara</v>
          </cell>
          <cell r="D447" t="str">
            <v>TAJPUR</v>
          </cell>
          <cell r="E447">
            <v>10020034</v>
          </cell>
          <cell r="F447" t="str">
            <v>0073</v>
          </cell>
          <cell r="G447">
            <v>4</v>
          </cell>
          <cell r="H447">
            <v>9.73</v>
          </cell>
          <cell r="I447">
            <v>342.58100263200009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P447">
            <v>343</v>
          </cell>
          <cell r="V447" t="str">
            <v>Available</v>
          </cell>
        </row>
        <row r="448">
          <cell r="A448" t="str">
            <v>100200340079</v>
          </cell>
          <cell r="B448" t="str">
            <v>Laldiyara</v>
          </cell>
          <cell r="C448" t="str">
            <v>Laldiyara</v>
          </cell>
          <cell r="D448" t="str">
            <v>TAJPUR</v>
          </cell>
          <cell r="E448">
            <v>10020034</v>
          </cell>
          <cell r="F448" t="str">
            <v>0079</v>
          </cell>
          <cell r="G448">
            <v>14</v>
          </cell>
          <cell r="H448">
            <v>75.56</v>
          </cell>
          <cell r="I448">
            <v>3077.6476183200002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P448">
            <v>3078</v>
          </cell>
          <cell r="V448" t="str">
            <v>Available</v>
          </cell>
        </row>
        <row r="449">
          <cell r="A449" t="str">
            <v>100200340084</v>
          </cell>
          <cell r="B449" t="str">
            <v>Laldiyara</v>
          </cell>
          <cell r="C449" t="str">
            <v>Laldiyara</v>
          </cell>
          <cell r="D449" t="str">
            <v>TAJPUR</v>
          </cell>
          <cell r="E449">
            <v>10020034</v>
          </cell>
          <cell r="F449" t="str">
            <v>0084</v>
          </cell>
          <cell r="G449">
            <v>3</v>
          </cell>
          <cell r="H449">
            <v>10.01</v>
          </cell>
          <cell r="I449">
            <v>346.5509749812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P449">
            <v>347</v>
          </cell>
          <cell r="V449" t="str">
            <v>Available</v>
          </cell>
        </row>
        <row r="450">
          <cell r="A450" t="str">
            <v>100200340088</v>
          </cell>
          <cell r="B450" t="str">
            <v>Laldiyara</v>
          </cell>
          <cell r="C450" t="str">
            <v>Laldiyara</v>
          </cell>
          <cell r="D450" t="str">
            <v>TAJPUR</v>
          </cell>
          <cell r="E450">
            <v>10020034</v>
          </cell>
          <cell r="F450" t="str">
            <v>0088</v>
          </cell>
          <cell r="G450">
            <v>13</v>
          </cell>
          <cell r="H450">
            <v>59.33</v>
          </cell>
          <cell r="I450">
            <v>2317.9810824720003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P450">
            <v>2318</v>
          </cell>
          <cell r="V450" t="str">
            <v>Available</v>
          </cell>
        </row>
        <row r="451">
          <cell r="A451" t="str">
            <v>100200340091</v>
          </cell>
          <cell r="B451" t="str">
            <v>Laldiyara</v>
          </cell>
          <cell r="C451" t="str">
            <v>Laldiyara</v>
          </cell>
          <cell r="D451" t="str">
            <v>TAJPUR</v>
          </cell>
          <cell r="E451">
            <v>10020034</v>
          </cell>
          <cell r="F451" t="str">
            <v>0091</v>
          </cell>
          <cell r="G451">
            <v>14</v>
          </cell>
          <cell r="H451">
            <v>37.74</v>
          </cell>
          <cell r="I451">
            <v>2011.0164822298302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P451">
            <v>2011</v>
          </cell>
          <cell r="V451" t="str">
            <v>Available</v>
          </cell>
        </row>
        <row r="452">
          <cell r="A452" t="str">
            <v>100200340095</v>
          </cell>
          <cell r="B452" t="str">
            <v>Laldiyara</v>
          </cell>
          <cell r="C452" t="str">
            <v>Laldiyara</v>
          </cell>
          <cell r="D452" t="str">
            <v>TAJPUR</v>
          </cell>
          <cell r="E452">
            <v>10020034</v>
          </cell>
          <cell r="F452" t="str">
            <v>0095</v>
          </cell>
          <cell r="G452">
            <v>9</v>
          </cell>
          <cell r="H452">
            <v>28.250000000000004</v>
          </cell>
          <cell r="I452">
            <v>1054.7686409040002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P452">
            <v>1055</v>
          </cell>
          <cell r="V452" t="str">
            <v>Available</v>
          </cell>
        </row>
        <row r="453">
          <cell r="A453" t="str">
            <v>100200340096</v>
          </cell>
          <cell r="B453" t="str">
            <v>Laldiyara</v>
          </cell>
          <cell r="C453" t="str">
            <v>Laldiyara</v>
          </cell>
          <cell r="D453" t="str">
            <v>TAJPUR</v>
          </cell>
          <cell r="E453">
            <v>10020034</v>
          </cell>
          <cell r="F453" t="str">
            <v>0096</v>
          </cell>
          <cell r="G453">
            <v>6</v>
          </cell>
          <cell r="H453">
            <v>42.67</v>
          </cell>
          <cell r="I453">
            <v>1630.71515574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P453">
            <v>1631</v>
          </cell>
          <cell r="V453" t="str">
            <v>Available</v>
          </cell>
        </row>
        <row r="454">
          <cell r="A454" t="str">
            <v>100200340105</v>
          </cell>
          <cell r="B454" t="str">
            <v>Laldiyara</v>
          </cell>
          <cell r="C454" t="str">
            <v>Laldiyara</v>
          </cell>
          <cell r="D454" t="str">
            <v>TAJPUR</v>
          </cell>
          <cell r="E454">
            <v>10020034</v>
          </cell>
          <cell r="F454" t="str">
            <v>0105</v>
          </cell>
          <cell r="G454">
            <v>14</v>
          </cell>
          <cell r="H454">
            <v>59.11</v>
          </cell>
          <cell r="I454">
            <v>2428.6062125160006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P454">
            <v>2429</v>
          </cell>
          <cell r="V454" t="str">
            <v>Available</v>
          </cell>
        </row>
        <row r="455">
          <cell r="A455" t="str">
            <v>100200340111</v>
          </cell>
          <cell r="B455" t="str">
            <v>Laldiyara</v>
          </cell>
          <cell r="C455" t="str">
            <v>Laldiyara</v>
          </cell>
          <cell r="D455" t="str">
            <v>TAJPUR</v>
          </cell>
          <cell r="E455">
            <v>10020034</v>
          </cell>
          <cell r="F455" t="str">
            <v>0111</v>
          </cell>
          <cell r="G455">
            <v>2</v>
          </cell>
          <cell r="H455">
            <v>10.91</v>
          </cell>
          <cell r="I455">
            <v>455.57539917120005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P455">
            <v>456</v>
          </cell>
          <cell r="V455" t="str">
            <v>Available</v>
          </cell>
        </row>
        <row r="456">
          <cell r="A456" t="str">
            <v>100200340116</v>
          </cell>
          <cell r="B456" t="str">
            <v>Laldiyara</v>
          </cell>
          <cell r="C456" t="str">
            <v>Laldiyara</v>
          </cell>
          <cell r="D456" t="str">
            <v>TAJPUR</v>
          </cell>
          <cell r="E456">
            <v>10020034</v>
          </cell>
          <cell r="F456" t="str">
            <v>0116</v>
          </cell>
          <cell r="G456">
            <v>8</v>
          </cell>
          <cell r="H456">
            <v>14.600000000000001</v>
          </cell>
          <cell r="I456">
            <v>667.44818146314003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P456">
            <v>667</v>
          </cell>
          <cell r="V456" t="str">
            <v>Available</v>
          </cell>
        </row>
        <row r="457">
          <cell r="A457" t="str">
            <v>100200340118</v>
          </cell>
          <cell r="B457" t="str">
            <v>Laldiyara</v>
          </cell>
          <cell r="C457" t="str">
            <v>Laldiyara</v>
          </cell>
          <cell r="D457" t="str">
            <v>TAJPUR</v>
          </cell>
          <cell r="E457">
            <v>10020034</v>
          </cell>
          <cell r="F457" t="str">
            <v>0118</v>
          </cell>
          <cell r="G457">
            <v>6</v>
          </cell>
          <cell r="H457">
            <v>20.02</v>
          </cell>
          <cell r="I457">
            <v>713.84956936920014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P457">
            <v>714</v>
          </cell>
          <cell r="V457" t="str">
            <v>Available</v>
          </cell>
        </row>
        <row r="458">
          <cell r="A458" t="str">
            <v>100200340119</v>
          </cell>
          <cell r="B458" t="str">
            <v>Laldiyara</v>
          </cell>
          <cell r="C458" t="str">
            <v>Laldiyara</v>
          </cell>
          <cell r="D458" t="str">
            <v>TAJPUR</v>
          </cell>
          <cell r="E458">
            <v>10020034</v>
          </cell>
          <cell r="F458" t="str">
            <v>0119</v>
          </cell>
          <cell r="G458">
            <v>10</v>
          </cell>
          <cell r="H458">
            <v>77.52</v>
          </cell>
          <cell r="I458">
            <v>2796.9165599759999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P458">
            <v>2797</v>
          </cell>
          <cell r="V458" t="str">
            <v>Available</v>
          </cell>
        </row>
        <row r="459">
          <cell r="A459" t="str">
            <v>100200340120</v>
          </cell>
          <cell r="B459" t="str">
            <v>Laldiyara</v>
          </cell>
          <cell r="C459" t="str">
            <v>Laldiyara</v>
          </cell>
          <cell r="D459" t="str">
            <v>TAJPUR</v>
          </cell>
          <cell r="E459">
            <v>10020034</v>
          </cell>
          <cell r="F459" t="str">
            <v>0120</v>
          </cell>
          <cell r="G459">
            <v>13</v>
          </cell>
          <cell r="H459">
            <v>45.139999999999993</v>
          </cell>
          <cell r="I459">
            <v>1893.2564741112003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P459">
            <v>1893</v>
          </cell>
          <cell r="V459" t="str">
            <v>Available</v>
          </cell>
        </row>
        <row r="460">
          <cell r="A460" t="str">
            <v>100200350001</v>
          </cell>
          <cell r="B460" t="str">
            <v>Laldiyara</v>
          </cell>
          <cell r="C460" t="str">
            <v>Laldiyara</v>
          </cell>
          <cell r="D460" t="str">
            <v>PATHUA</v>
          </cell>
          <cell r="E460">
            <v>10020035</v>
          </cell>
          <cell r="F460" t="str">
            <v>0001</v>
          </cell>
          <cell r="G460">
            <v>7</v>
          </cell>
          <cell r="H460">
            <v>24</v>
          </cell>
          <cell r="I460">
            <v>1160.4831023470001</v>
          </cell>
          <cell r="J460">
            <v>0</v>
          </cell>
          <cell r="K460">
            <v>1160.4831023470001</v>
          </cell>
          <cell r="L460">
            <v>0</v>
          </cell>
          <cell r="M460">
            <v>0</v>
          </cell>
          <cell r="P460">
            <v>0</v>
          </cell>
          <cell r="V460" t="str">
            <v>Not Available</v>
          </cell>
        </row>
        <row r="461">
          <cell r="A461" t="str">
            <v>100200350002</v>
          </cell>
          <cell r="B461" t="str">
            <v>Laldiyara</v>
          </cell>
          <cell r="C461" t="str">
            <v>Laldiyara</v>
          </cell>
          <cell r="D461" t="str">
            <v>PATHUA</v>
          </cell>
          <cell r="E461">
            <v>10020035</v>
          </cell>
          <cell r="F461" t="str">
            <v>0002</v>
          </cell>
          <cell r="G461">
            <v>7</v>
          </cell>
          <cell r="H461">
            <v>85.5</v>
          </cell>
          <cell r="I461">
            <v>3630.9572793300008</v>
          </cell>
          <cell r="J461">
            <v>0</v>
          </cell>
          <cell r="K461">
            <v>0</v>
          </cell>
          <cell r="L461">
            <v>256</v>
          </cell>
          <cell r="M461">
            <v>0</v>
          </cell>
          <cell r="P461">
            <v>2484</v>
          </cell>
          <cell r="V461" t="str">
            <v>Available</v>
          </cell>
        </row>
        <row r="462">
          <cell r="A462" t="str">
            <v>100200350005</v>
          </cell>
          <cell r="B462" t="str">
            <v>Laldiyara</v>
          </cell>
          <cell r="C462" t="str">
            <v>Laldiyara</v>
          </cell>
          <cell r="D462" t="str">
            <v>PATHUA</v>
          </cell>
          <cell r="E462">
            <v>10020035</v>
          </cell>
          <cell r="F462" t="str">
            <v>0005</v>
          </cell>
          <cell r="G462">
            <v>1</v>
          </cell>
          <cell r="H462">
            <v>5</v>
          </cell>
          <cell r="I462">
            <v>178.86528000000001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P462">
            <v>179</v>
          </cell>
          <cell r="V462" t="str">
            <v>Available</v>
          </cell>
        </row>
        <row r="463">
          <cell r="A463" t="str">
            <v>100200350008</v>
          </cell>
          <cell r="B463" t="str">
            <v>Laldiyara</v>
          </cell>
          <cell r="C463" t="str">
            <v>Laldiyara</v>
          </cell>
          <cell r="D463" t="str">
            <v>PATHUA</v>
          </cell>
          <cell r="E463">
            <v>10020035</v>
          </cell>
          <cell r="F463" t="str">
            <v>0008</v>
          </cell>
          <cell r="G463">
            <v>1</v>
          </cell>
          <cell r="H463">
            <v>1</v>
          </cell>
          <cell r="I463">
            <v>36.829069200000006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P463">
            <v>37</v>
          </cell>
          <cell r="V463" t="str">
            <v>Available</v>
          </cell>
        </row>
        <row r="464">
          <cell r="A464" t="str">
            <v>100200350009</v>
          </cell>
          <cell r="B464" t="str">
            <v>Laldiyara</v>
          </cell>
          <cell r="C464" t="str">
            <v>Laldiyara</v>
          </cell>
          <cell r="D464" t="str">
            <v>PATHUA</v>
          </cell>
          <cell r="E464">
            <v>10020035</v>
          </cell>
          <cell r="F464" t="str">
            <v>0009</v>
          </cell>
          <cell r="G464">
            <v>14</v>
          </cell>
          <cell r="H464">
            <v>365.5</v>
          </cell>
          <cell r="I464">
            <v>17168.039759114999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P464">
            <v>17168</v>
          </cell>
          <cell r="V464" t="str">
            <v>Available</v>
          </cell>
        </row>
        <row r="465">
          <cell r="A465" t="str">
            <v>100200350015</v>
          </cell>
          <cell r="B465" t="str">
            <v>Laldiyara</v>
          </cell>
          <cell r="C465" t="str">
            <v>Laldiyara</v>
          </cell>
          <cell r="D465" t="str">
            <v>PATHUA</v>
          </cell>
          <cell r="E465">
            <v>10020035</v>
          </cell>
          <cell r="F465" t="str">
            <v>0015</v>
          </cell>
          <cell r="G465">
            <v>1</v>
          </cell>
          <cell r="H465">
            <v>15</v>
          </cell>
          <cell r="I465">
            <v>710.97127694999995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P465">
            <v>711</v>
          </cell>
          <cell r="V465" t="str">
            <v>Available</v>
          </cell>
        </row>
        <row r="466">
          <cell r="A466" t="str">
            <v>100200350016</v>
          </cell>
          <cell r="B466" t="str">
            <v>Laldiyara</v>
          </cell>
          <cell r="C466" t="str">
            <v>Laldiyara</v>
          </cell>
          <cell r="D466" t="str">
            <v>PATHUA</v>
          </cell>
          <cell r="E466">
            <v>10020035</v>
          </cell>
          <cell r="F466" t="str">
            <v>0016</v>
          </cell>
          <cell r="G466">
            <v>1</v>
          </cell>
          <cell r="H466">
            <v>1</v>
          </cell>
          <cell r="I466">
            <v>36.565056000000006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P466">
            <v>37</v>
          </cell>
          <cell r="V466" t="str">
            <v>Available</v>
          </cell>
        </row>
        <row r="467">
          <cell r="A467" t="str">
            <v>100200350042</v>
          </cell>
          <cell r="B467" t="str">
            <v>Laldiyara</v>
          </cell>
          <cell r="C467" t="str">
            <v>Laldiyara</v>
          </cell>
          <cell r="D467" t="str">
            <v>PATHUA</v>
          </cell>
          <cell r="E467">
            <v>10020035</v>
          </cell>
          <cell r="F467" t="str">
            <v>0042</v>
          </cell>
          <cell r="G467">
            <v>8</v>
          </cell>
          <cell r="H467">
            <v>226</v>
          </cell>
          <cell r="I467">
            <v>9158.846760360002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P467">
            <v>9159</v>
          </cell>
          <cell r="V467" t="str">
            <v>Available</v>
          </cell>
        </row>
        <row r="468">
          <cell r="A468" t="str">
            <v>100200380001</v>
          </cell>
          <cell r="B468" t="str">
            <v>Laldiyara</v>
          </cell>
          <cell r="C468" t="str">
            <v>Laldiyara</v>
          </cell>
          <cell r="D468" t="str">
            <v>LODIYA</v>
          </cell>
          <cell r="E468">
            <v>10020038</v>
          </cell>
          <cell r="F468" t="str">
            <v>0001</v>
          </cell>
          <cell r="G468">
            <v>14</v>
          </cell>
          <cell r="H468">
            <v>4.5900000000000007</v>
          </cell>
          <cell r="I468">
            <v>179.97922997999999</v>
          </cell>
          <cell r="J468">
            <v>0</v>
          </cell>
          <cell r="K468">
            <v>179.97922997999999</v>
          </cell>
          <cell r="L468">
            <v>0</v>
          </cell>
          <cell r="M468">
            <v>0</v>
          </cell>
          <cell r="P468">
            <v>0</v>
          </cell>
          <cell r="V468" t="str">
            <v>Not Available</v>
          </cell>
        </row>
        <row r="469">
          <cell r="A469" t="str">
            <v>100200380002</v>
          </cell>
          <cell r="B469" t="str">
            <v>Laldiyara</v>
          </cell>
          <cell r="C469" t="str">
            <v>Laldiyara</v>
          </cell>
          <cell r="D469" t="str">
            <v>LODIYA</v>
          </cell>
          <cell r="E469">
            <v>10020038</v>
          </cell>
          <cell r="F469" t="str">
            <v>0002</v>
          </cell>
          <cell r="G469">
            <v>13</v>
          </cell>
          <cell r="H469">
            <v>51.260000000000005</v>
          </cell>
          <cell r="I469">
            <v>2141.5375875888003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P469">
            <v>2142</v>
          </cell>
          <cell r="V469" t="str">
            <v>Available</v>
          </cell>
        </row>
        <row r="470">
          <cell r="A470" t="str">
            <v>100200380006</v>
          </cell>
          <cell r="B470" t="str">
            <v>Laldiyara</v>
          </cell>
          <cell r="C470" t="str">
            <v>Laldiyara</v>
          </cell>
          <cell r="D470" t="str">
            <v>LODIYA</v>
          </cell>
          <cell r="E470">
            <v>10020038</v>
          </cell>
          <cell r="F470" t="str">
            <v>0006</v>
          </cell>
          <cell r="G470">
            <v>1</v>
          </cell>
          <cell r="H470">
            <v>3.71</v>
          </cell>
          <cell r="I470">
            <v>126.841544676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P470">
            <v>127</v>
          </cell>
          <cell r="V470" t="str">
            <v>Available</v>
          </cell>
        </row>
        <row r="471">
          <cell r="A471" t="str">
            <v>100200380014</v>
          </cell>
          <cell r="B471" t="str">
            <v>Laldiyara</v>
          </cell>
          <cell r="C471" t="str">
            <v>Laldiyara</v>
          </cell>
          <cell r="D471" t="str">
            <v>LODIYA</v>
          </cell>
          <cell r="E471">
            <v>10020038</v>
          </cell>
          <cell r="F471" t="str">
            <v>0014</v>
          </cell>
          <cell r="G471">
            <v>14</v>
          </cell>
          <cell r="H471">
            <v>225.4</v>
          </cell>
          <cell r="I471">
            <v>8756.9530880943021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P471">
            <v>8757</v>
          </cell>
          <cell r="V471" t="str">
            <v>Available</v>
          </cell>
        </row>
        <row r="472">
          <cell r="A472" t="str">
            <v>100200380017</v>
          </cell>
          <cell r="B472" t="str">
            <v>Laldiyara</v>
          </cell>
          <cell r="C472" t="str">
            <v>Laldiyara</v>
          </cell>
          <cell r="D472" t="str">
            <v>LODIYA</v>
          </cell>
          <cell r="E472">
            <v>10020038</v>
          </cell>
          <cell r="F472" t="str">
            <v>0017</v>
          </cell>
          <cell r="G472">
            <v>5</v>
          </cell>
          <cell r="H472">
            <v>15.09</v>
          </cell>
          <cell r="I472">
            <v>511.36777098000005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P472">
            <v>511</v>
          </cell>
          <cell r="V472" t="str">
            <v>Available</v>
          </cell>
        </row>
        <row r="473">
          <cell r="A473" t="str">
            <v>100200380018</v>
          </cell>
          <cell r="B473" t="str">
            <v>Laldiyara</v>
          </cell>
          <cell r="C473" t="str">
            <v>Laldiyara</v>
          </cell>
          <cell r="D473" t="str">
            <v>LODIYA</v>
          </cell>
          <cell r="E473">
            <v>10020038</v>
          </cell>
          <cell r="F473" t="str">
            <v>0018</v>
          </cell>
          <cell r="G473">
            <v>14</v>
          </cell>
          <cell r="H473">
            <v>113.20999999999998</v>
          </cell>
          <cell r="I473">
            <v>4345.3416409920001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P473">
            <v>4345</v>
          </cell>
          <cell r="V473" t="str">
            <v>Available</v>
          </cell>
        </row>
        <row r="474">
          <cell r="A474" t="str">
            <v>100200380019</v>
          </cell>
          <cell r="B474" t="str">
            <v>Laldiyara</v>
          </cell>
          <cell r="C474" t="str">
            <v>Laldiyara</v>
          </cell>
          <cell r="D474" t="str">
            <v>LODIYA</v>
          </cell>
          <cell r="E474">
            <v>10020038</v>
          </cell>
          <cell r="F474" t="str">
            <v>0019</v>
          </cell>
          <cell r="G474">
            <v>8</v>
          </cell>
          <cell r="H474">
            <v>44.8</v>
          </cell>
          <cell r="I474">
            <v>1691.0357092200002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P474">
            <v>1691</v>
          </cell>
          <cell r="V474" t="str">
            <v>Available</v>
          </cell>
        </row>
        <row r="475">
          <cell r="A475" t="str">
            <v>100200380039</v>
          </cell>
          <cell r="B475" t="str">
            <v>Laldiyara</v>
          </cell>
          <cell r="C475" t="str">
            <v>Laldiyara</v>
          </cell>
          <cell r="D475" t="str">
            <v>LODIYA</v>
          </cell>
          <cell r="E475">
            <v>10020038</v>
          </cell>
          <cell r="F475" t="str">
            <v>0039</v>
          </cell>
          <cell r="G475">
            <v>6</v>
          </cell>
          <cell r="H475">
            <v>10.909999999999998</v>
          </cell>
          <cell r="I475">
            <v>450.42525752400002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P475">
            <v>450</v>
          </cell>
          <cell r="V475" t="str">
            <v>Available</v>
          </cell>
        </row>
        <row r="476">
          <cell r="A476" t="str">
            <v>100200380042</v>
          </cell>
          <cell r="B476" t="str">
            <v>Laldiyara</v>
          </cell>
          <cell r="C476" t="str">
            <v>Laldiyara</v>
          </cell>
          <cell r="D476" t="str">
            <v>LODIYA</v>
          </cell>
          <cell r="E476">
            <v>10020038</v>
          </cell>
          <cell r="F476" t="str">
            <v>0042</v>
          </cell>
          <cell r="G476">
            <v>11</v>
          </cell>
          <cell r="H476">
            <v>22.039999999999996</v>
          </cell>
          <cell r="I476">
            <v>852.24038328000006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P476">
            <v>852</v>
          </cell>
          <cell r="V476" t="str">
            <v>Available</v>
          </cell>
        </row>
        <row r="477">
          <cell r="A477" t="str">
            <v>100200380056</v>
          </cell>
          <cell r="B477" t="str">
            <v>Laldiyara</v>
          </cell>
          <cell r="C477" t="str">
            <v>Laldiyara</v>
          </cell>
          <cell r="D477" t="str">
            <v>LODIYA</v>
          </cell>
          <cell r="E477">
            <v>10020038</v>
          </cell>
          <cell r="F477" t="str">
            <v>0056</v>
          </cell>
          <cell r="G477">
            <v>8</v>
          </cell>
          <cell r="H477">
            <v>23.599999999999998</v>
          </cell>
          <cell r="I477">
            <v>869.26072582800009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P477">
            <v>869</v>
          </cell>
          <cell r="V477" t="str">
            <v>Available</v>
          </cell>
        </row>
        <row r="478">
          <cell r="A478" t="str">
            <v>100200410001</v>
          </cell>
          <cell r="B478" t="str">
            <v>Laldiyara</v>
          </cell>
          <cell r="C478" t="str">
            <v>Laldiyara</v>
          </cell>
          <cell r="D478" t="str">
            <v>ADARSH LAXMIPUR-3</v>
          </cell>
          <cell r="E478">
            <v>10020041</v>
          </cell>
          <cell r="F478" t="str">
            <v>0001</v>
          </cell>
          <cell r="G478">
            <v>1</v>
          </cell>
          <cell r="H478">
            <v>0.76</v>
          </cell>
          <cell r="I478">
            <v>22.803469840800005</v>
          </cell>
          <cell r="J478">
            <v>0</v>
          </cell>
          <cell r="K478">
            <v>22.803469840800005</v>
          </cell>
          <cell r="L478">
            <v>0</v>
          </cell>
          <cell r="M478">
            <v>0</v>
          </cell>
          <cell r="P478">
            <v>0</v>
          </cell>
          <cell r="V478" t="str">
            <v>Not Available</v>
          </cell>
        </row>
        <row r="479">
          <cell r="A479" t="str">
            <v>100200410002</v>
          </cell>
          <cell r="B479" t="str">
            <v>Laldiyara</v>
          </cell>
          <cell r="C479" t="str">
            <v>Laldiyara</v>
          </cell>
          <cell r="D479" t="str">
            <v>ADARSH LAXMIPUR-3</v>
          </cell>
          <cell r="E479">
            <v>10020041</v>
          </cell>
          <cell r="F479" t="str">
            <v>0002</v>
          </cell>
          <cell r="G479">
            <v>12</v>
          </cell>
          <cell r="H479">
            <v>48.2</v>
          </cell>
          <cell r="I479">
            <v>2230.7117874247001</v>
          </cell>
          <cell r="J479">
            <v>0</v>
          </cell>
          <cell r="K479">
            <v>0</v>
          </cell>
          <cell r="L479">
            <v>255</v>
          </cell>
          <cell r="M479">
            <v>0</v>
          </cell>
          <cell r="P479">
            <v>1976</v>
          </cell>
          <cell r="V479" t="str">
            <v>Available</v>
          </cell>
        </row>
        <row r="480">
          <cell r="A480" t="str">
            <v>100200410007</v>
          </cell>
          <cell r="B480" t="str">
            <v>Laldiyara</v>
          </cell>
          <cell r="C480" t="str">
            <v>Laldiyara</v>
          </cell>
          <cell r="D480" t="str">
            <v>ADARSH LAXMIPUR-3</v>
          </cell>
          <cell r="E480">
            <v>10020041</v>
          </cell>
          <cell r="F480" t="str">
            <v>0007</v>
          </cell>
          <cell r="G480">
            <v>10</v>
          </cell>
          <cell r="H480">
            <v>25.950000000000003</v>
          </cell>
          <cell r="I480">
            <v>1216.6996428069003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P480">
            <v>1217</v>
          </cell>
          <cell r="V480" t="str">
            <v>Available</v>
          </cell>
        </row>
        <row r="481">
          <cell r="A481" t="str">
            <v>100200410014</v>
          </cell>
          <cell r="B481" t="str">
            <v>Laldiyara</v>
          </cell>
          <cell r="C481" t="str">
            <v>Laldiyara</v>
          </cell>
          <cell r="D481" t="str">
            <v>ADARSH LAXMIPUR-3</v>
          </cell>
          <cell r="E481">
            <v>10020041</v>
          </cell>
          <cell r="F481" t="str">
            <v>0014</v>
          </cell>
          <cell r="G481">
            <v>12</v>
          </cell>
          <cell r="H481">
            <v>15.750000000000002</v>
          </cell>
          <cell r="I481">
            <v>877.19518718505003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P481">
            <v>877</v>
          </cell>
          <cell r="V481" t="str">
            <v>Available</v>
          </cell>
        </row>
        <row r="482">
          <cell r="A482" t="str">
            <v>100200410015</v>
          </cell>
          <cell r="B482" t="str">
            <v>Laldiyara</v>
          </cell>
          <cell r="C482" t="str">
            <v>Laldiyara</v>
          </cell>
          <cell r="D482" t="str">
            <v>ADARSH LAXMIPUR-3</v>
          </cell>
          <cell r="E482">
            <v>10020041</v>
          </cell>
          <cell r="F482" t="str">
            <v>0015</v>
          </cell>
          <cell r="G482">
            <v>8</v>
          </cell>
          <cell r="H482">
            <v>13.940000000000001</v>
          </cell>
          <cell r="I482">
            <v>715.08158529187222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P482">
            <v>715</v>
          </cell>
          <cell r="V482" t="str">
            <v>Available</v>
          </cell>
        </row>
        <row r="483">
          <cell r="A483" t="str">
            <v>100200410017</v>
          </cell>
          <cell r="B483" t="str">
            <v>Laldiyara</v>
          </cell>
          <cell r="C483" t="str">
            <v>Laldiyara</v>
          </cell>
          <cell r="D483" t="str">
            <v>ADARSH LAXMIPUR-3</v>
          </cell>
          <cell r="E483">
            <v>10020041</v>
          </cell>
          <cell r="F483" t="str">
            <v>0017</v>
          </cell>
          <cell r="G483">
            <v>14</v>
          </cell>
          <cell r="H483">
            <v>74.349999999999994</v>
          </cell>
          <cell r="I483">
            <v>2959.0139913602402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P483">
            <v>2959</v>
          </cell>
          <cell r="V483" t="str">
            <v>Available</v>
          </cell>
        </row>
        <row r="484">
          <cell r="A484" t="str">
            <v>100200410029</v>
          </cell>
          <cell r="B484" t="str">
            <v>Laldiyara</v>
          </cell>
          <cell r="C484" t="str">
            <v>Laldiyara</v>
          </cell>
          <cell r="D484" t="str">
            <v>ADARSH LAXMIPUR-3</v>
          </cell>
          <cell r="E484">
            <v>10020041</v>
          </cell>
          <cell r="F484" t="str">
            <v>0029</v>
          </cell>
          <cell r="G484">
            <v>13</v>
          </cell>
          <cell r="H484">
            <v>67.31</v>
          </cell>
          <cell r="I484">
            <v>2775.3902311447027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P484">
            <v>2775</v>
          </cell>
          <cell r="V484" t="str">
            <v>Available</v>
          </cell>
        </row>
        <row r="485">
          <cell r="A485" t="str">
            <v>100200420002</v>
          </cell>
          <cell r="B485" t="str">
            <v>Laldiyara</v>
          </cell>
          <cell r="C485" t="str">
            <v>Laldiyara</v>
          </cell>
          <cell r="D485" t="str">
            <v>BHANPUR</v>
          </cell>
          <cell r="E485">
            <v>10020042</v>
          </cell>
          <cell r="F485" t="str">
            <v>0002</v>
          </cell>
          <cell r="G485">
            <v>11</v>
          </cell>
          <cell r="H485">
            <v>345.7</v>
          </cell>
          <cell r="I485">
            <v>13170.149289792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P485">
            <v>13170</v>
          </cell>
          <cell r="V485" t="str">
            <v>Available</v>
          </cell>
        </row>
        <row r="486">
          <cell r="A486" t="str">
            <v>100200430001</v>
          </cell>
          <cell r="B486" t="str">
            <v>Laldiyara</v>
          </cell>
          <cell r="C486" t="str">
            <v>Laldiyara</v>
          </cell>
          <cell r="D486" t="str">
            <v>Karari Pipariya 2</v>
          </cell>
          <cell r="E486">
            <v>10020043</v>
          </cell>
          <cell r="F486" t="str">
            <v>0001</v>
          </cell>
          <cell r="G486">
            <v>12</v>
          </cell>
          <cell r="H486">
            <v>8.15</v>
          </cell>
          <cell r="I486">
            <v>335.0903818284001</v>
          </cell>
          <cell r="J486">
            <v>0</v>
          </cell>
          <cell r="K486">
            <v>335.0903818284001</v>
          </cell>
          <cell r="L486">
            <v>0</v>
          </cell>
          <cell r="M486">
            <v>0</v>
          </cell>
          <cell r="P486">
            <v>0</v>
          </cell>
          <cell r="V486" t="str">
            <v>Not Available</v>
          </cell>
        </row>
        <row r="487">
          <cell r="A487" t="str">
            <v>100200430002</v>
          </cell>
          <cell r="B487" t="str">
            <v>Laldiyara</v>
          </cell>
          <cell r="C487" t="str">
            <v>Laldiyara</v>
          </cell>
          <cell r="D487" t="str">
            <v>Karari Pipariya 2</v>
          </cell>
          <cell r="E487">
            <v>10020043</v>
          </cell>
          <cell r="F487" t="str">
            <v>0002</v>
          </cell>
          <cell r="G487">
            <v>14</v>
          </cell>
          <cell r="H487">
            <v>323.02999999999997</v>
          </cell>
          <cell r="I487">
            <v>13547.801143312076</v>
          </cell>
          <cell r="J487">
            <v>0</v>
          </cell>
          <cell r="K487">
            <v>0</v>
          </cell>
          <cell r="L487">
            <v>1027</v>
          </cell>
          <cell r="M487">
            <v>0</v>
          </cell>
          <cell r="P487">
            <v>12521</v>
          </cell>
          <cell r="V487" t="str">
            <v>Available</v>
          </cell>
        </row>
        <row r="488">
          <cell r="A488" t="str">
            <v>100200430007</v>
          </cell>
          <cell r="B488" t="str">
            <v>Laldiyara</v>
          </cell>
          <cell r="C488" t="str">
            <v>Laldiyara</v>
          </cell>
          <cell r="D488" t="str">
            <v>Karari Pipariya 2</v>
          </cell>
          <cell r="E488">
            <v>10020043</v>
          </cell>
          <cell r="F488" t="str">
            <v>0007</v>
          </cell>
          <cell r="G488">
            <v>7</v>
          </cell>
          <cell r="H488">
            <v>51.670000000000009</v>
          </cell>
          <cell r="I488">
            <v>2100.9353979240004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P488">
            <v>2101</v>
          </cell>
          <cell r="V488" t="str">
            <v>Available</v>
          </cell>
        </row>
        <row r="489">
          <cell r="A489" t="str">
            <v>100200430010</v>
          </cell>
          <cell r="B489" t="str">
            <v>Laldiyara</v>
          </cell>
          <cell r="C489" t="str">
            <v>Laldiyara</v>
          </cell>
          <cell r="D489" t="str">
            <v>Karari Pipariya 2</v>
          </cell>
          <cell r="E489">
            <v>10020043</v>
          </cell>
          <cell r="F489" t="str">
            <v>0010</v>
          </cell>
          <cell r="G489">
            <v>14</v>
          </cell>
          <cell r="H489">
            <v>83.33</v>
          </cell>
          <cell r="I489">
            <v>2997.8049159234006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P489">
            <v>2998</v>
          </cell>
          <cell r="V489" t="str">
            <v>Available</v>
          </cell>
        </row>
        <row r="490">
          <cell r="A490" t="str">
            <v>100200430011</v>
          </cell>
          <cell r="B490" t="str">
            <v>Laldiyara</v>
          </cell>
          <cell r="C490" t="str">
            <v>Laldiyara</v>
          </cell>
          <cell r="D490" t="str">
            <v>Karari Pipariya 2</v>
          </cell>
          <cell r="E490">
            <v>10020043</v>
          </cell>
          <cell r="F490" t="str">
            <v>0011</v>
          </cell>
          <cell r="G490">
            <v>13</v>
          </cell>
          <cell r="H490">
            <v>239.91</v>
          </cell>
          <cell r="I490">
            <v>9722.5923399089606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P490">
            <v>9723</v>
          </cell>
          <cell r="V490" t="str">
            <v>Available</v>
          </cell>
        </row>
        <row r="491">
          <cell r="A491" t="str">
            <v>100200430012</v>
          </cell>
          <cell r="B491" t="str">
            <v>Laldiyara</v>
          </cell>
          <cell r="C491" t="str">
            <v>Laldiyara</v>
          </cell>
          <cell r="D491" t="str">
            <v>Karari Pipariya 2</v>
          </cell>
          <cell r="E491">
            <v>10020043</v>
          </cell>
          <cell r="F491" t="str">
            <v>0012</v>
          </cell>
          <cell r="G491">
            <v>9</v>
          </cell>
          <cell r="H491">
            <v>107.93999999999998</v>
          </cell>
          <cell r="I491">
            <v>4138.5036946572009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P491">
            <v>4139</v>
          </cell>
          <cell r="V491" t="str">
            <v>Available</v>
          </cell>
        </row>
        <row r="492">
          <cell r="A492" t="str">
            <v>100200430013</v>
          </cell>
          <cell r="B492" t="str">
            <v>Laldiyara</v>
          </cell>
          <cell r="C492" t="str">
            <v>Laldiyara</v>
          </cell>
          <cell r="D492" t="str">
            <v>Karari Pipariya 2</v>
          </cell>
          <cell r="E492">
            <v>10020043</v>
          </cell>
          <cell r="F492" t="str">
            <v>0013</v>
          </cell>
          <cell r="G492">
            <v>14</v>
          </cell>
          <cell r="H492">
            <v>250.87</v>
          </cell>
          <cell r="I492">
            <v>12117.779573712038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P492">
            <v>12118</v>
          </cell>
          <cell r="V492" t="str">
            <v>Available</v>
          </cell>
        </row>
        <row r="493">
          <cell r="A493" t="str">
            <v>100200430015</v>
          </cell>
          <cell r="B493" t="str">
            <v>Laldiyara</v>
          </cell>
          <cell r="C493" t="str">
            <v>Laldiyara</v>
          </cell>
          <cell r="D493" t="str">
            <v>Karari Pipariya 2</v>
          </cell>
          <cell r="E493">
            <v>10020043</v>
          </cell>
          <cell r="F493" t="str">
            <v>0015</v>
          </cell>
          <cell r="G493">
            <v>1</v>
          </cell>
          <cell r="H493">
            <v>21</v>
          </cell>
          <cell r="I493">
            <v>792.81500760000017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P493">
            <v>793</v>
          </cell>
          <cell r="V493" t="str">
            <v>Available</v>
          </cell>
        </row>
        <row r="494">
          <cell r="A494" t="str">
            <v>100200440001</v>
          </cell>
          <cell r="B494" t="str">
            <v>Laldiyara</v>
          </cell>
          <cell r="C494" t="str">
            <v>Laldiyara</v>
          </cell>
          <cell r="D494" t="str">
            <v xml:space="preserve">DIYARA PIPARIYA-THANA                                                                               </v>
          </cell>
          <cell r="E494">
            <v>10020044</v>
          </cell>
          <cell r="F494" t="str">
            <v>0001</v>
          </cell>
          <cell r="G494">
            <v>13</v>
          </cell>
          <cell r="H494">
            <v>10.02</v>
          </cell>
          <cell r="I494">
            <v>422.53655241600018</v>
          </cell>
          <cell r="J494">
            <v>0</v>
          </cell>
          <cell r="K494">
            <v>422.53655241600018</v>
          </cell>
          <cell r="L494">
            <v>0</v>
          </cell>
          <cell r="M494">
            <v>0</v>
          </cell>
          <cell r="P494">
            <v>0</v>
          </cell>
          <cell r="V494" t="str">
            <v>Not Available</v>
          </cell>
        </row>
        <row r="495">
          <cell r="A495" t="str">
            <v>100200440002</v>
          </cell>
          <cell r="B495" t="str">
            <v>Laldiyara</v>
          </cell>
          <cell r="C495" t="str">
            <v>Laldiyara</v>
          </cell>
          <cell r="D495" t="str">
            <v xml:space="preserve">DIYARA PIPARIYA-THANA                                                                               </v>
          </cell>
          <cell r="E495">
            <v>10020044</v>
          </cell>
          <cell r="F495" t="str">
            <v>0002</v>
          </cell>
          <cell r="G495">
            <v>1</v>
          </cell>
          <cell r="H495">
            <v>1.68</v>
          </cell>
          <cell r="I495">
            <v>67.860422784000008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P495">
            <v>68</v>
          </cell>
          <cell r="V495" t="str">
            <v>Available</v>
          </cell>
        </row>
        <row r="496">
          <cell r="A496" t="str">
            <v>100200440004</v>
          </cell>
          <cell r="B496" t="str">
            <v>Laldiyara</v>
          </cell>
          <cell r="C496" t="str">
            <v>Laldiyara</v>
          </cell>
          <cell r="D496" t="str">
            <v xml:space="preserve">DIYARA PIPARIYA-THANA                                                                               </v>
          </cell>
          <cell r="E496">
            <v>10020044</v>
          </cell>
          <cell r="F496" t="str">
            <v>0004</v>
          </cell>
          <cell r="G496">
            <v>12</v>
          </cell>
          <cell r="H496">
            <v>29.770000000000003</v>
          </cell>
          <cell r="I496">
            <v>1150.3105891398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P496">
            <v>1150</v>
          </cell>
          <cell r="V496" t="str">
            <v>Available</v>
          </cell>
        </row>
        <row r="497">
          <cell r="A497" t="str">
            <v>100200440008</v>
          </cell>
          <cell r="B497" t="str">
            <v>Laldiyara</v>
          </cell>
          <cell r="C497" t="str">
            <v>Laldiyara</v>
          </cell>
          <cell r="D497" t="str">
            <v xml:space="preserve">DIYARA PIPARIYA-THANA                                                                               </v>
          </cell>
          <cell r="E497">
            <v>10020044</v>
          </cell>
          <cell r="F497" t="str">
            <v>0008</v>
          </cell>
          <cell r="G497">
            <v>14</v>
          </cell>
          <cell r="H497">
            <v>20.420000000000002</v>
          </cell>
          <cell r="I497">
            <v>1377.6993196357403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P497">
            <v>1378</v>
          </cell>
          <cell r="V497" t="str">
            <v>Available</v>
          </cell>
        </row>
        <row r="498">
          <cell r="A498" t="str">
            <v>100200440009</v>
          </cell>
          <cell r="B498" t="str">
            <v>Laldiyara</v>
          </cell>
          <cell r="C498" t="str">
            <v>Laldiyara</v>
          </cell>
          <cell r="D498" t="str">
            <v xml:space="preserve">DIYARA PIPARIYA-THANA                                                                               </v>
          </cell>
          <cell r="E498">
            <v>10020044</v>
          </cell>
          <cell r="F498" t="str">
            <v>0009</v>
          </cell>
          <cell r="G498">
            <v>9</v>
          </cell>
          <cell r="H498">
            <v>28.78</v>
          </cell>
          <cell r="I498">
            <v>1132.8706022040001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P498">
            <v>1133</v>
          </cell>
          <cell r="V498" t="str">
            <v>Available</v>
          </cell>
        </row>
        <row r="499">
          <cell r="A499" t="str">
            <v>100200440010</v>
          </cell>
          <cell r="B499" t="str">
            <v>Laldiyara</v>
          </cell>
          <cell r="C499" t="str">
            <v>Laldiyara</v>
          </cell>
          <cell r="D499" t="str">
            <v xml:space="preserve">DIYARA PIPARIYA-THANA                                                                               </v>
          </cell>
          <cell r="E499">
            <v>10020044</v>
          </cell>
          <cell r="F499" t="str">
            <v>0010</v>
          </cell>
          <cell r="G499">
            <v>14</v>
          </cell>
          <cell r="H499">
            <v>86.740000000000009</v>
          </cell>
          <cell r="I499">
            <v>3851.5536910101405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P499">
            <v>3852</v>
          </cell>
          <cell r="V499" t="str">
            <v>Available</v>
          </cell>
        </row>
        <row r="500">
          <cell r="A500" t="str">
            <v>100200440011</v>
          </cell>
          <cell r="B500" t="str">
            <v>Laldiyara</v>
          </cell>
          <cell r="C500" t="str">
            <v>Laldiyara</v>
          </cell>
          <cell r="D500" t="str">
            <v xml:space="preserve">DIYARA PIPARIYA-THANA                                                                               </v>
          </cell>
          <cell r="E500">
            <v>10020044</v>
          </cell>
          <cell r="F500" t="str">
            <v>0011</v>
          </cell>
          <cell r="G500">
            <v>14</v>
          </cell>
          <cell r="H500">
            <v>47.900000000000006</v>
          </cell>
          <cell r="I500">
            <v>1788.9162492960002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P500">
            <v>1789</v>
          </cell>
          <cell r="V500" t="str">
            <v>Available</v>
          </cell>
        </row>
        <row r="501">
          <cell r="A501" t="str">
            <v>100200440014</v>
          </cell>
          <cell r="B501" t="str">
            <v>Laldiyara</v>
          </cell>
          <cell r="C501" t="str">
            <v>Laldiyara</v>
          </cell>
          <cell r="D501" t="str">
            <v xml:space="preserve">DIYARA PIPARIYA-THANA                                                                               </v>
          </cell>
          <cell r="E501">
            <v>10020044</v>
          </cell>
          <cell r="F501" t="str">
            <v>0014</v>
          </cell>
          <cell r="G501">
            <v>14</v>
          </cell>
          <cell r="H501">
            <v>100.32000000000001</v>
          </cell>
          <cell r="I501">
            <v>3809.3910216120003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P501">
            <v>3809</v>
          </cell>
          <cell r="V501" t="str">
            <v>Available</v>
          </cell>
        </row>
        <row r="502">
          <cell r="A502" t="str">
            <v>100200440017</v>
          </cell>
          <cell r="B502" t="str">
            <v>Laldiyara</v>
          </cell>
          <cell r="C502" t="str">
            <v>Laldiyara</v>
          </cell>
          <cell r="D502" t="str">
            <v xml:space="preserve">DIYARA PIPARIYA-THANA                                                                               </v>
          </cell>
          <cell r="E502">
            <v>10020044</v>
          </cell>
          <cell r="F502" t="str">
            <v>0017</v>
          </cell>
          <cell r="G502">
            <v>14</v>
          </cell>
          <cell r="H502">
            <v>61.629999999999988</v>
          </cell>
          <cell r="I502">
            <v>2357.2521838800003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P502">
            <v>2357</v>
          </cell>
          <cell r="V502" t="str">
            <v>Available</v>
          </cell>
        </row>
        <row r="503">
          <cell r="A503" t="str">
            <v>100200440018</v>
          </cell>
          <cell r="B503" t="str">
            <v>Laldiyara</v>
          </cell>
          <cell r="C503" t="str">
            <v>Laldiyara</v>
          </cell>
          <cell r="D503" t="str">
            <v xml:space="preserve">DIYARA PIPARIYA-THANA                                                                               </v>
          </cell>
          <cell r="E503">
            <v>10020044</v>
          </cell>
          <cell r="F503" t="str">
            <v>0018</v>
          </cell>
          <cell r="G503">
            <v>13</v>
          </cell>
          <cell r="H503">
            <v>37.349999999999994</v>
          </cell>
          <cell r="I503">
            <v>2131.6185191109703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P503">
            <v>2132</v>
          </cell>
          <cell r="V503" t="str">
            <v>Available</v>
          </cell>
        </row>
        <row r="504">
          <cell r="A504" t="str">
            <v>100200440019</v>
          </cell>
          <cell r="B504" t="str">
            <v>Laldiyara</v>
          </cell>
          <cell r="C504" t="str">
            <v>Laldiyara</v>
          </cell>
          <cell r="D504" t="str">
            <v xml:space="preserve">DIYARA PIPARIYA-THANA                                                                               </v>
          </cell>
          <cell r="E504">
            <v>10020044</v>
          </cell>
          <cell r="F504" t="str">
            <v>0019</v>
          </cell>
          <cell r="G504">
            <v>7</v>
          </cell>
          <cell r="H504">
            <v>17.34</v>
          </cell>
          <cell r="I504">
            <v>680.93181604800009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P504">
            <v>681</v>
          </cell>
          <cell r="V504" t="str">
            <v>Available</v>
          </cell>
        </row>
        <row r="505">
          <cell r="A505" t="str">
            <v>100200440020</v>
          </cell>
          <cell r="B505" t="str">
            <v>Laldiyara</v>
          </cell>
          <cell r="C505" t="str">
            <v>Laldiyara</v>
          </cell>
          <cell r="D505" t="str">
            <v xml:space="preserve">DIYARA PIPARIYA-THANA                                                                               </v>
          </cell>
          <cell r="E505">
            <v>10020044</v>
          </cell>
          <cell r="F505" t="str">
            <v>0020</v>
          </cell>
          <cell r="G505">
            <v>14</v>
          </cell>
          <cell r="H505">
            <v>161.28</v>
          </cell>
          <cell r="I505">
            <v>8623.6908212117305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P505">
            <v>8624</v>
          </cell>
          <cell r="V505" t="str">
            <v>Available</v>
          </cell>
        </row>
        <row r="506">
          <cell r="A506" t="str">
            <v>100200440023</v>
          </cell>
          <cell r="B506" t="str">
            <v>Laldiyara</v>
          </cell>
          <cell r="C506" t="str">
            <v>Laldiyara</v>
          </cell>
          <cell r="D506" t="str">
            <v xml:space="preserve">DIYARA PIPARIYA-THANA                                                                               </v>
          </cell>
          <cell r="E506">
            <v>10020044</v>
          </cell>
          <cell r="F506" t="str">
            <v>0023</v>
          </cell>
          <cell r="G506">
            <v>13</v>
          </cell>
          <cell r="H506">
            <v>24.939999999999998</v>
          </cell>
          <cell r="I506">
            <v>1421.3313526284592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P506">
            <v>1421</v>
          </cell>
          <cell r="V506" t="str">
            <v>Available</v>
          </cell>
        </row>
        <row r="507">
          <cell r="A507" t="str">
            <v>100200440026</v>
          </cell>
          <cell r="B507" t="str">
            <v>Laldiyara</v>
          </cell>
          <cell r="C507" t="str">
            <v>Laldiyara</v>
          </cell>
          <cell r="D507" t="str">
            <v xml:space="preserve">DIYARA PIPARIYA-THANA                                                                               </v>
          </cell>
          <cell r="E507">
            <v>10020044</v>
          </cell>
          <cell r="F507" t="str">
            <v>0026</v>
          </cell>
          <cell r="G507">
            <v>14</v>
          </cell>
          <cell r="H507">
            <v>54.859999999999992</v>
          </cell>
          <cell r="I507">
            <v>2711.4236304244605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P507">
            <v>2711</v>
          </cell>
          <cell r="V507" t="str">
            <v>Available</v>
          </cell>
        </row>
        <row r="508">
          <cell r="A508" t="str">
            <v>100200440030</v>
          </cell>
          <cell r="B508" t="str">
            <v>Laldiyara</v>
          </cell>
          <cell r="C508" t="str">
            <v>Laldiyara</v>
          </cell>
          <cell r="D508" t="str">
            <v xml:space="preserve">DIYARA PIPARIYA-THANA                                                                               </v>
          </cell>
          <cell r="E508">
            <v>10020044</v>
          </cell>
          <cell r="F508" t="str">
            <v>0030</v>
          </cell>
          <cell r="G508">
            <v>14</v>
          </cell>
          <cell r="H508">
            <v>35.230000000000004</v>
          </cell>
          <cell r="I508">
            <v>1339.815511584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P508">
            <v>1340</v>
          </cell>
          <cell r="V508" t="str">
            <v>Available</v>
          </cell>
        </row>
        <row r="509">
          <cell r="A509" t="str">
            <v>100200440044</v>
          </cell>
          <cell r="B509" t="str">
            <v>Laldiyara</v>
          </cell>
          <cell r="C509" t="str">
            <v>Laldiyara</v>
          </cell>
          <cell r="D509" t="str">
            <v xml:space="preserve">DIYARA PIPARIYA-THANA                                                                               </v>
          </cell>
          <cell r="E509">
            <v>10020044</v>
          </cell>
          <cell r="F509" t="str">
            <v>0044</v>
          </cell>
          <cell r="G509">
            <v>13</v>
          </cell>
          <cell r="H509">
            <v>30.24</v>
          </cell>
          <cell r="I509">
            <v>1133.2133065440003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P509">
            <v>1133</v>
          </cell>
          <cell r="V509" t="str">
            <v>Available</v>
          </cell>
        </row>
        <row r="510">
          <cell r="A510" t="str">
            <v>100200440049</v>
          </cell>
          <cell r="B510" t="str">
            <v>Laldiyara</v>
          </cell>
          <cell r="C510" t="str">
            <v>Laldiyara</v>
          </cell>
          <cell r="D510" t="str">
            <v xml:space="preserve">DIYARA PIPARIYA-THANA                                                                               </v>
          </cell>
          <cell r="E510">
            <v>10020044</v>
          </cell>
          <cell r="F510" t="str">
            <v>0049</v>
          </cell>
          <cell r="G510">
            <v>14</v>
          </cell>
          <cell r="H510">
            <v>149.86000000000001</v>
          </cell>
          <cell r="I510">
            <v>5708.0276157960006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P510">
            <v>5708</v>
          </cell>
          <cell r="V510" t="str">
            <v>Available</v>
          </cell>
        </row>
        <row r="511">
          <cell r="A511" t="str">
            <v>100200440054</v>
          </cell>
          <cell r="B511" t="str">
            <v>Laldiyara</v>
          </cell>
          <cell r="C511" t="str">
            <v>Laldiyara</v>
          </cell>
          <cell r="D511" t="str">
            <v xml:space="preserve">DIYARA PIPARIYA-THANA                                                                               </v>
          </cell>
          <cell r="E511">
            <v>10020044</v>
          </cell>
          <cell r="F511" t="str">
            <v>0054</v>
          </cell>
          <cell r="G511">
            <v>14</v>
          </cell>
          <cell r="H511">
            <v>127.09999999999998</v>
          </cell>
          <cell r="I511">
            <v>4790.7354634920002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P511">
            <v>4791</v>
          </cell>
          <cell r="V511" t="str">
            <v>Available</v>
          </cell>
        </row>
        <row r="512">
          <cell r="A512" t="str">
            <v>100200440055</v>
          </cell>
          <cell r="B512" t="str">
            <v>Laldiyara</v>
          </cell>
          <cell r="C512" t="str">
            <v>Laldiyara</v>
          </cell>
          <cell r="D512" t="str">
            <v xml:space="preserve">DIYARA PIPARIYA-THANA                                                                               </v>
          </cell>
          <cell r="E512">
            <v>10020044</v>
          </cell>
          <cell r="F512" t="str">
            <v>0055</v>
          </cell>
          <cell r="G512">
            <v>7</v>
          </cell>
          <cell r="H512">
            <v>20.02</v>
          </cell>
          <cell r="I512">
            <v>755.32192441200016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P512">
            <v>755</v>
          </cell>
          <cell r="V512" t="str">
            <v>Available</v>
          </cell>
        </row>
        <row r="513">
          <cell r="A513" t="str">
            <v>100200440057</v>
          </cell>
          <cell r="B513" t="str">
            <v>Laldiyara</v>
          </cell>
          <cell r="C513" t="str">
            <v>Laldiyara</v>
          </cell>
          <cell r="D513" t="str">
            <v xml:space="preserve">DIYARA PIPARIYA-THANA                                                                               </v>
          </cell>
          <cell r="E513">
            <v>10020044</v>
          </cell>
          <cell r="F513" t="str">
            <v>0057</v>
          </cell>
          <cell r="G513">
            <v>14</v>
          </cell>
          <cell r="H513">
            <v>63.94</v>
          </cell>
          <cell r="I513">
            <v>2421.3804290280004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P513">
            <v>2421</v>
          </cell>
          <cell r="V513" t="str">
            <v>Available</v>
          </cell>
        </row>
        <row r="514">
          <cell r="A514" t="str">
            <v>100200500001</v>
          </cell>
          <cell r="B514" t="str">
            <v>Laldiyara</v>
          </cell>
          <cell r="C514" t="str">
            <v>Laldiyara</v>
          </cell>
          <cell r="D514" t="str">
            <v>GADHTOLA</v>
          </cell>
          <cell r="E514">
            <v>10020050</v>
          </cell>
          <cell r="F514" t="str">
            <v>0001</v>
          </cell>
          <cell r="G514">
            <v>14</v>
          </cell>
          <cell r="H514">
            <v>4.4000000000000004</v>
          </cell>
          <cell r="I514">
            <v>170.15007279600005</v>
          </cell>
          <cell r="J514">
            <v>0</v>
          </cell>
          <cell r="K514">
            <v>170.15007279600005</v>
          </cell>
          <cell r="L514">
            <v>0</v>
          </cell>
          <cell r="M514">
            <v>0</v>
          </cell>
          <cell r="P514">
            <v>0</v>
          </cell>
          <cell r="V514" t="str">
            <v>Not Available</v>
          </cell>
        </row>
        <row r="515">
          <cell r="A515" t="str">
            <v>100200500002</v>
          </cell>
          <cell r="B515" t="str">
            <v>Laldiyara</v>
          </cell>
          <cell r="C515" t="str">
            <v>Laldiyara</v>
          </cell>
          <cell r="D515" t="str">
            <v>GADHTOLA</v>
          </cell>
          <cell r="E515">
            <v>10020050</v>
          </cell>
          <cell r="F515" t="str">
            <v>0002</v>
          </cell>
          <cell r="G515">
            <v>1</v>
          </cell>
          <cell r="H515">
            <v>15.48</v>
          </cell>
          <cell r="I515">
            <v>576.24407121600018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P515">
            <v>576</v>
          </cell>
          <cell r="V515" t="str">
            <v>Available</v>
          </cell>
        </row>
        <row r="516">
          <cell r="A516" t="str">
            <v>100200500004</v>
          </cell>
          <cell r="B516" t="str">
            <v>Laldiyara</v>
          </cell>
          <cell r="C516" t="str">
            <v>Laldiyara</v>
          </cell>
          <cell r="D516" t="str">
            <v>GADHTOLA</v>
          </cell>
          <cell r="E516">
            <v>10020050</v>
          </cell>
          <cell r="F516" t="str">
            <v>0004</v>
          </cell>
          <cell r="G516">
            <v>1</v>
          </cell>
          <cell r="H516">
            <v>23.33</v>
          </cell>
          <cell r="I516">
            <v>850.28962809779989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P516">
            <v>850</v>
          </cell>
          <cell r="V516" t="str">
            <v>Available</v>
          </cell>
        </row>
        <row r="517">
          <cell r="A517" t="str">
            <v>100200500006</v>
          </cell>
          <cell r="B517" t="str">
            <v>Laldiyara</v>
          </cell>
          <cell r="C517" t="str">
            <v>Laldiyara</v>
          </cell>
          <cell r="D517" t="str">
            <v>GADHTOLA</v>
          </cell>
          <cell r="E517">
            <v>10020050</v>
          </cell>
          <cell r="F517" t="str">
            <v>0006</v>
          </cell>
          <cell r="G517">
            <v>14</v>
          </cell>
          <cell r="H517">
            <v>79.53</v>
          </cell>
          <cell r="I517">
            <v>2968.3497642678008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P517">
            <v>2968</v>
          </cell>
          <cell r="V517" t="str">
            <v>Available</v>
          </cell>
        </row>
        <row r="518">
          <cell r="A518" t="str">
            <v>100200500012</v>
          </cell>
          <cell r="B518" t="str">
            <v>Laldiyara</v>
          </cell>
          <cell r="C518" t="str">
            <v>Laldiyara</v>
          </cell>
          <cell r="D518" t="str">
            <v>GADHTOLA</v>
          </cell>
          <cell r="E518">
            <v>10020050</v>
          </cell>
          <cell r="F518" t="str">
            <v>0012</v>
          </cell>
          <cell r="G518">
            <v>14</v>
          </cell>
          <cell r="H518">
            <v>202.95999999999998</v>
          </cell>
          <cell r="I518">
            <v>7673.4686975760005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P518">
            <v>7673</v>
          </cell>
          <cell r="V518" t="str">
            <v>Available</v>
          </cell>
        </row>
        <row r="519">
          <cell r="A519" t="str">
            <v>100200500016</v>
          </cell>
          <cell r="B519" t="str">
            <v>Laldiyara</v>
          </cell>
          <cell r="C519" t="str">
            <v>Laldiyara</v>
          </cell>
          <cell r="D519" t="str">
            <v>GADHTOLA</v>
          </cell>
          <cell r="E519">
            <v>10020050</v>
          </cell>
          <cell r="F519" t="str">
            <v>0016</v>
          </cell>
          <cell r="G519">
            <v>11</v>
          </cell>
          <cell r="H519">
            <v>44.739999999999995</v>
          </cell>
          <cell r="I519">
            <v>1593.8563230611999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P519">
            <v>1594</v>
          </cell>
          <cell r="V519" t="str">
            <v>Available</v>
          </cell>
        </row>
        <row r="520">
          <cell r="A520" t="str">
            <v>100200500017</v>
          </cell>
          <cell r="B520" t="str">
            <v>Laldiyara</v>
          </cell>
          <cell r="C520" t="str">
            <v>Laldiyara</v>
          </cell>
          <cell r="D520" t="str">
            <v>GADHTOLA</v>
          </cell>
          <cell r="E520">
            <v>10020050</v>
          </cell>
          <cell r="F520" t="str">
            <v>0017</v>
          </cell>
          <cell r="G520">
            <v>3</v>
          </cell>
          <cell r="H520">
            <v>7.76</v>
          </cell>
          <cell r="I520">
            <v>279.35144277480003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P520">
            <v>279</v>
          </cell>
          <cell r="V520" t="str">
            <v>Available</v>
          </cell>
        </row>
        <row r="521">
          <cell r="A521" t="str">
            <v>100200500021</v>
          </cell>
          <cell r="B521" t="str">
            <v>Laldiyara</v>
          </cell>
          <cell r="C521" t="str">
            <v>Laldiyara</v>
          </cell>
          <cell r="D521" t="str">
            <v>GADHTOLA</v>
          </cell>
          <cell r="E521">
            <v>10020050</v>
          </cell>
          <cell r="F521" t="str">
            <v>0021</v>
          </cell>
          <cell r="G521">
            <v>7</v>
          </cell>
          <cell r="H521">
            <v>52.56</v>
          </cell>
          <cell r="I521">
            <v>3098.4106147637103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P521">
            <v>3098</v>
          </cell>
          <cell r="V521" t="str">
            <v>Available</v>
          </cell>
        </row>
        <row r="522">
          <cell r="A522" t="str">
            <v>100200500022</v>
          </cell>
          <cell r="B522" t="str">
            <v>Laldiyara</v>
          </cell>
          <cell r="C522" t="str">
            <v>Laldiyara</v>
          </cell>
          <cell r="D522" t="str">
            <v>GADHTOLA</v>
          </cell>
          <cell r="E522">
            <v>10020050</v>
          </cell>
          <cell r="F522" t="str">
            <v>0022</v>
          </cell>
          <cell r="G522">
            <v>14</v>
          </cell>
          <cell r="H522">
            <v>239.26999999999998</v>
          </cell>
          <cell r="I522">
            <v>9361.4652259524028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P522">
            <v>9218</v>
          </cell>
          <cell r="V522" t="str">
            <v>Available</v>
          </cell>
        </row>
        <row r="523">
          <cell r="A523" t="str">
            <v>100200500025</v>
          </cell>
          <cell r="B523" t="str">
            <v>Laldiyara</v>
          </cell>
          <cell r="C523" t="str">
            <v>Laldiyara</v>
          </cell>
          <cell r="D523" t="str">
            <v>GADHTOLA</v>
          </cell>
          <cell r="E523">
            <v>10020050</v>
          </cell>
          <cell r="F523" t="str">
            <v>0025</v>
          </cell>
          <cell r="G523">
            <v>6</v>
          </cell>
          <cell r="H523">
            <v>24.15</v>
          </cell>
          <cell r="I523">
            <v>850.74108718502407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P523">
            <v>851</v>
          </cell>
          <cell r="V523" t="str">
            <v>Available</v>
          </cell>
        </row>
        <row r="524">
          <cell r="A524" t="str">
            <v>100200500029</v>
          </cell>
          <cell r="B524" t="str">
            <v>Laldiyara</v>
          </cell>
          <cell r="C524" t="str">
            <v>Laldiyara</v>
          </cell>
          <cell r="D524" t="str">
            <v>GADHTOLA</v>
          </cell>
          <cell r="E524">
            <v>10020050</v>
          </cell>
          <cell r="F524" t="str">
            <v>0029</v>
          </cell>
          <cell r="G524">
            <v>14</v>
          </cell>
          <cell r="H524">
            <v>55.040000000000006</v>
          </cell>
          <cell r="I524">
            <v>2112.0424722398402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P524">
            <v>2112</v>
          </cell>
          <cell r="V524" t="str">
            <v>Available</v>
          </cell>
        </row>
        <row r="525">
          <cell r="A525" t="str">
            <v>100200570001</v>
          </cell>
          <cell r="B525" t="str">
            <v>Laldiyara</v>
          </cell>
          <cell r="C525" t="str">
            <v>Laldiyara</v>
          </cell>
          <cell r="D525" t="str">
            <v>KANHARPUR-2</v>
          </cell>
          <cell r="E525">
            <v>10020057</v>
          </cell>
          <cell r="F525" t="str">
            <v>0001</v>
          </cell>
          <cell r="G525">
            <v>13</v>
          </cell>
          <cell r="H525">
            <v>35.03</v>
          </cell>
          <cell r="I525">
            <v>1639.9541485077002</v>
          </cell>
          <cell r="J525">
            <v>0</v>
          </cell>
          <cell r="K525">
            <v>1639.9541485077002</v>
          </cell>
          <cell r="L525">
            <v>0</v>
          </cell>
          <cell r="M525">
            <v>0</v>
          </cell>
          <cell r="P525">
            <v>0</v>
          </cell>
          <cell r="V525" t="str">
            <v>Not Available</v>
          </cell>
        </row>
        <row r="526">
          <cell r="A526" t="str">
            <v>100200570002</v>
          </cell>
          <cell r="B526" t="str">
            <v>Laldiyara</v>
          </cell>
          <cell r="C526" t="str">
            <v>Laldiyara</v>
          </cell>
          <cell r="D526" t="str">
            <v>KANHARPUR-2</v>
          </cell>
          <cell r="E526">
            <v>10020057</v>
          </cell>
          <cell r="F526" t="str">
            <v>0002</v>
          </cell>
          <cell r="G526">
            <v>14</v>
          </cell>
          <cell r="H526">
            <v>668.29000000000008</v>
          </cell>
          <cell r="I526">
            <v>30528.427592066997</v>
          </cell>
          <cell r="J526">
            <v>0</v>
          </cell>
          <cell r="K526">
            <v>0</v>
          </cell>
          <cell r="L526">
            <v>1203</v>
          </cell>
          <cell r="M526">
            <v>0</v>
          </cell>
          <cell r="P526">
            <v>29325</v>
          </cell>
          <cell r="V526" t="str">
            <v>Available</v>
          </cell>
        </row>
        <row r="527">
          <cell r="A527" t="str">
            <v>100200570004</v>
          </cell>
          <cell r="B527" t="str">
            <v>Laldiyara</v>
          </cell>
          <cell r="C527" t="str">
            <v>Laldiyara</v>
          </cell>
          <cell r="D527" t="str">
            <v>KANHARPUR-2</v>
          </cell>
          <cell r="E527">
            <v>10020057</v>
          </cell>
          <cell r="F527" t="str">
            <v>0004</v>
          </cell>
          <cell r="G527">
            <v>10</v>
          </cell>
          <cell r="H527">
            <v>21.270000000000003</v>
          </cell>
          <cell r="I527">
            <v>822.81682494000006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P527">
            <v>823</v>
          </cell>
          <cell r="V527" t="str">
            <v>Available</v>
          </cell>
        </row>
        <row r="528">
          <cell r="A528" t="str">
            <v>100200570005</v>
          </cell>
          <cell r="B528" t="str">
            <v>Laldiyara</v>
          </cell>
          <cell r="C528" t="str">
            <v>Laldiyara</v>
          </cell>
          <cell r="D528" t="str">
            <v>KANHARPUR-2</v>
          </cell>
          <cell r="E528">
            <v>10020057</v>
          </cell>
          <cell r="F528" t="str">
            <v>0005</v>
          </cell>
          <cell r="G528">
            <v>11</v>
          </cell>
          <cell r="H528">
            <v>31.54</v>
          </cell>
          <cell r="I528">
            <v>1101.1859969022003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P528">
            <v>1101</v>
          </cell>
          <cell r="V528" t="str">
            <v>Available</v>
          </cell>
        </row>
        <row r="529">
          <cell r="A529" t="str">
            <v>100200570010</v>
          </cell>
          <cell r="B529" t="str">
            <v>Laldiyara</v>
          </cell>
          <cell r="C529" t="str">
            <v>Laldiyara</v>
          </cell>
          <cell r="D529" t="str">
            <v>KANHARPUR-2</v>
          </cell>
          <cell r="E529">
            <v>10020057</v>
          </cell>
          <cell r="F529" t="str">
            <v>0010</v>
          </cell>
          <cell r="G529">
            <v>5</v>
          </cell>
          <cell r="H529">
            <v>21.740000000000002</v>
          </cell>
          <cell r="I529">
            <v>1699.0319596786999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P529">
            <v>1699</v>
          </cell>
          <cell r="V529" t="str">
            <v>Available</v>
          </cell>
        </row>
        <row r="530">
          <cell r="A530" t="str">
            <v>100200570013</v>
          </cell>
          <cell r="B530" t="str">
            <v>Laldiyara</v>
          </cell>
          <cell r="C530" t="str">
            <v>Laldiyara</v>
          </cell>
          <cell r="D530" t="str">
            <v>KANHARPUR-2</v>
          </cell>
          <cell r="E530">
            <v>10020057</v>
          </cell>
          <cell r="F530" t="str">
            <v>0013</v>
          </cell>
          <cell r="G530">
            <v>13</v>
          </cell>
          <cell r="H530">
            <v>87.54</v>
          </cell>
          <cell r="I530">
            <v>3329.564606676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P530">
            <v>3330</v>
          </cell>
          <cell r="V530" t="str">
            <v>Available</v>
          </cell>
        </row>
        <row r="531">
          <cell r="A531" t="str">
            <v>100200570017</v>
          </cell>
          <cell r="B531" t="str">
            <v>Laldiyara</v>
          </cell>
          <cell r="C531" t="str">
            <v>Laldiyara</v>
          </cell>
          <cell r="D531" t="str">
            <v>KANHARPUR-2</v>
          </cell>
          <cell r="E531">
            <v>10020057</v>
          </cell>
          <cell r="F531" t="str">
            <v>0017</v>
          </cell>
          <cell r="G531">
            <v>13</v>
          </cell>
          <cell r="H531">
            <v>109.98999999999998</v>
          </cell>
          <cell r="I531">
            <v>4844.0947033824414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P531">
            <v>4844</v>
          </cell>
          <cell r="V531" t="str">
            <v>Available</v>
          </cell>
        </row>
        <row r="532">
          <cell r="A532" t="str">
            <v>100200570020</v>
          </cell>
          <cell r="B532" t="str">
            <v>Laldiyara</v>
          </cell>
          <cell r="C532" t="str">
            <v>Laldiyara</v>
          </cell>
          <cell r="D532" t="str">
            <v>KANHARPUR-2</v>
          </cell>
          <cell r="E532">
            <v>10020057</v>
          </cell>
          <cell r="F532" t="str">
            <v>0020</v>
          </cell>
          <cell r="G532">
            <v>12</v>
          </cell>
          <cell r="H532">
            <v>27.63</v>
          </cell>
          <cell r="I532">
            <v>1151.9119009992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P532">
            <v>1152</v>
          </cell>
          <cell r="V532" t="str">
            <v>Available</v>
          </cell>
        </row>
        <row r="533">
          <cell r="A533" t="str">
            <v>100200570024</v>
          </cell>
          <cell r="B533" t="str">
            <v>Laldiyara</v>
          </cell>
          <cell r="C533" t="str">
            <v>Laldiyara</v>
          </cell>
          <cell r="D533" t="str">
            <v>KANHARPUR-2</v>
          </cell>
          <cell r="E533">
            <v>10020057</v>
          </cell>
          <cell r="F533" t="str">
            <v>0024</v>
          </cell>
          <cell r="G533">
            <v>13</v>
          </cell>
          <cell r="H533">
            <v>659.14</v>
          </cell>
          <cell r="I533">
            <v>29646.225152675001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P533">
            <v>29646</v>
          </cell>
          <cell r="V533" t="str">
            <v>Available</v>
          </cell>
        </row>
        <row r="534">
          <cell r="A534" t="str">
            <v>100200570034</v>
          </cell>
          <cell r="B534" t="str">
            <v>Laldiyara</v>
          </cell>
          <cell r="C534" t="str">
            <v>Laldiyara</v>
          </cell>
          <cell r="D534" t="str">
            <v>KANHARPUR-2</v>
          </cell>
          <cell r="E534">
            <v>10020057</v>
          </cell>
          <cell r="F534" t="str">
            <v>0034</v>
          </cell>
          <cell r="G534">
            <v>13</v>
          </cell>
          <cell r="H534">
            <v>564.04999999999995</v>
          </cell>
          <cell r="I534">
            <v>23590.672786361403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P534">
            <v>23591</v>
          </cell>
          <cell r="V534" t="str">
            <v>Available</v>
          </cell>
        </row>
        <row r="535">
          <cell r="A535" t="str">
            <v>100200570037</v>
          </cell>
          <cell r="B535" t="str">
            <v>Laldiyara</v>
          </cell>
          <cell r="C535" t="str">
            <v>Laldiyara</v>
          </cell>
          <cell r="D535" t="str">
            <v>KANHARPUR-2</v>
          </cell>
          <cell r="E535">
            <v>10020057</v>
          </cell>
          <cell r="F535" t="str">
            <v>0037</v>
          </cell>
          <cell r="G535">
            <v>10</v>
          </cell>
          <cell r="H535">
            <v>239.57999999999998</v>
          </cell>
          <cell r="I535">
            <v>9729.438368760002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P535">
            <v>9729</v>
          </cell>
          <cell r="V535" t="str">
            <v>Not Available</v>
          </cell>
        </row>
        <row r="536">
          <cell r="A536" t="str">
            <v>100200570038</v>
          </cell>
          <cell r="B536" t="str">
            <v>Laldiyara</v>
          </cell>
          <cell r="C536" t="str">
            <v>Laldiyara</v>
          </cell>
          <cell r="D536" t="str">
            <v>KANHARPUR-2</v>
          </cell>
          <cell r="E536">
            <v>10020057</v>
          </cell>
          <cell r="F536" t="str">
            <v>0038</v>
          </cell>
          <cell r="G536">
            <v>11</v>
          </cell>
          <cell r="H536">
            <v>249.30999999999997</v>
          </cell>
          <cell r="I536">
            <v>10270.896119921101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P536">
            <v>10271</v>
          </cell>
          <cell r="V536" t="str">
            <v>Not Available</v>
          </cell>
        </row>
        <row r="537">
          <cell r="A537" t="str">
            <v>100200570041</v>
          </cell>
          <cell r="B537" t="str">
            <v>Laldiyara</v>
          </cell>
          <cell r="C537" t="str">
            <v>Laldiyara</v>
          </cell>
          <cell r="D537" t="str">
            <v>KANHARPUR-2</v>
          </cell>
          <cell r="E537">
            <v>10020057</v>
          </cell>
          <cell r="F537" t="str">
            <v>0041</v>
          </cell>
          <cell r="G537">
            <v>13</v>
          </cell>
          <cell r="H537">
            <v>35.409999999999997</v>
          </cell>
          <cell r="I537">
            <v>1797.9255888686002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P537">
            <v>1798</v>
          </cell>
          <cell r="V537" t="str">
            <v>Available</v>
          </cell>
        </row>
        <row r="538">
          <cell r="A538" t="str">
            <v>100200580001</v>
          </cell>
          <cell r="B538" t="str">
            <v>Laldiyara</v>
          </cell>
          <cell r="C538" t="str">
            <v>Laldiyara</v>
          </cell>
          <cell r="D538" t="str">
            <v>BASAUNA</v>
          </cell>
          <cell r="E538">
            <v>10020058</v>
          </cell>
          <cell r="F538" t="str">
            <v>0001</v>
          </cell>
          <cell r="G538">
            <v>14</v>
          </cell>
          <cell r="H538">
            <v>5.620000000000001</v>
          </cell>
          <cell r="I538">
            <v>225.84006160786802</v>
          </cell>
          <cell r="J538">
            <v>0</v>
          </cell>
          <cell r="K538">
            <v>225.84006160786802</v>
          </cell>
          <cell r="L538">
            <v>0</v>
          </cell>
          <cell r="M538">
            <v>0</v>
          </cell>
          <cell r="P538">
            <v>0</v>
          </cell>
          <cell r="V538" t="str">
            <v>Not Available</v>
          </cell>
        </row>
        <row r="539">
          <cell r="A539" t="str">
            <v>100200580002</v>
          </cell>
          <cell r="B539" t="str">
            <v>Laldiyara</v>
          </cell>
          <cell r="C539" t="str">
            <v>Laldiyara</v>
          </cell>
          <cell r="D539" t="str">
            <v>BASAUNA</v>
          </cell>
          <cell r="E539">
            <v>10020058</v>
          </cell>
          <cell r="F539" t="str">
            <v>0002</v>
          </cell>
          <cell r="G539">
            <v>14</v>
          </cell>
          <cell r="H539">
            <v>65.289999999999992</v>
          </cell>
          <cell r="I539">
            <v>2962.1515356629598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P539">
            <v>2962</v>
          </cell>
          <cell r="V539" t="str">
            <v>Available</v>
          </cell>
        </row>
        <row r="540">
          <cell r="A540" t="str">
            <v>100200580005</v>
          </cell>
          <cell r="B540" t="str">
            <v>Laldiyara</v>
          </cell>
          <cell r="C540" t="str">
            <v>Laldiyara</v>
          </cell>
          <cell r="D540" t="str">
            <v>BASAUNA</v>
          </cell>
          <cell r="E540">
            <v>10020058</v>
          </cell>
          <cell r="F540" t="str">
            <v>0005</v>
          </cell>
          <cell r="G540">
            <v>14</v>
          </cell>
          <cell r="H540">
            <v>90.62</v>
          </cell>
          <cell r="I540">
            <v>3760.3730858957811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P540">
            <v>3760</v>
          </cell>
          <cell r="V540" t="str">
            <v>Available</v>
          </cell>
        </row>
        <row r="541">
          <cell r="A541" t="str">
            <v>100200580007</v>
          </cell>
          <cell r="B541" t="str">
            <v>Laldiyara</v>
          </cell>
          <cell r="C541" t="str">
            <v>Laldiyara</v>
          </cell>
          <cell r="D541" t="str">
            <v>BASAUNA</v>
          </cell>
          <cell r="E541">
            <v>10020058</v>
          </cell>
          <cell r="F541" t="str">
            <v>0007</v>
          </cell>
          <cell r="G541">
            <v>14</v>
          </cell>
          <cell r="H541">
            <v>76.23</v>
          </cell>
          <cell r="I541">
            <v>2873.9529006605999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P541">
            <v>2874</v>
          </cell>
          <cell r="V541" t="str">
            <v>Available</v>
          </cell>
        </row>
        <row r="542">
          <cell r="A542" t="str">
            <v>100200580008</v>
          </cell>
          <cell r="B542" t="str">
            <v>Laldiyara</v>
          </cell>
          <cell r="C542" t="str">
            <v>Laldiyara</v>
          </cell>
          <cell r="D542" t="str">
            <v>BASAUNA</v>
          </cell>
          <cell r="E542">
            <v>10020058</v>
          </cell>
          <cell r="F542" t="str">
            <v>0008</v>
          </cell>
          <cell r="G542">
            <v>14</v>
          </cell>
          <cell r="H542">
            <v>30.009999999999994</v>
          </cell>
          <cell r="I542">
            <v>1686.7006157256774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P542">
            <v>1687</v>
          </cell>
          <cell r="V542" t="str">
            <v>Available</v>
          </cell>
        </row>
        <row r="543">
          <cell r="A543" t="str">
            <v>100200580020</v>
          </cell>
          <cell r="B543" t="str">
            <v>Laldiyara</v>
          </cell>
          <cell r="C543" t="str">
            <v>Laldiyara</v>
          </cell>
          <cell r="D543" t="str">
            <v>BASAUNA</v>
          </cell>
          <cell r="E543">
            <v>10020058</v>
          </cell>
          <cell r="F543" t="str">
            <v>0020</v>
          </cell>
          <cell r="G543">
            <v>14</v>
          </cell>
          <cell r="H543">
            <v>220.42999999999998</v>
          </cell>
          <cell r="I543">
            <v>8433.4777125187211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P543">
            <v>8433</v>
          </cell>
          <cell r="V543" t="str">
            <v>Not Available</v>
          </cell>
        </row>
        <row r="544">
          <cell r="A544" t="str">
            <v>100200580023</v>
          </cell>
          <cell r="B544" t="str">
            <v>Laldiyara</v>
          </cell>
          <cell r="C544" t="str">
            <v>Laldiyara</v>
          </cell>
          <cell r="D544" t="str">
            <v>BASAUNA</v>
          </cell>
          <cell r="E544">
            <v>10020058</v>
          </cell>
          <cell r="F544" t="str">
            <v>0023</v>
          </cell>
          <cell r="G544">
            <v>13</v>
          </cell>
          <cell r="H544">
            <v>89.250000000000014</v>
          </cell>
          <cell r="I544">
            <v>3332.4439261806001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P544">
            <v>3332</v>
          </cell>
          <cell r="V544" t="str">
            <v>Available</v>
          </cell>
        </row>
        <row r="545">
          <cell r="A545" t="str">
            <v>100200580024</v>
          </cell>
          <cell r="B545" t="str">
            <v>Laldiyara</v>
          </cell>
          <cell r="C545" t="str">
            <v>Laldiyara</v>
          </cell>
          <cell r="D545" t="str">
            <v>BASAUNA</v>
          </cell>
          <cell r="E545">
            <v>10020058</v>
          </cell>
          <cell r="F545" t="str">
            <v>0024</v>
          </cell>
          <cell r="G545">
            <v>14</v>
          </cell>
          <cell r="H545">
            <v>396.79999999999995</v>
          </cell>
          <cell r="I545">
            <v>15280.2343837836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P545">
            <v>15280</v>
          </cell>
          <cell r="V545" t="str">
            <v>Not Available</v>
          </cell>
        </row>
        <row r="546">
          <cell r="A546" t="str">
            <v>100200580025</v>
          </cell>
          <cell r="B546" t="str">
            <v>Laldiyara</v>
          </cell>
          <cell r="C546" t="str">
            <v>Laldiyara</v>
          </cell>
          <cell r="D546" t="str">
            <v>BASAUNA</v>
          </cell>
          <cell r="E546">
            <v>10020058</v>
          </cell>
          <cell r="F546" t="str">
            <v>0025</v>
          </cell>
          <cell r="G546">
            <v>6</v>
          </cell>
          <cell r="H546">
            <v>70.23</v>
          </cell>
          <cell r="I546">
            <v>2696.6687014080007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P546">
            <v>2697</v>
          </cell>
          <cell r="V546" t="str">
            <v>Not Available</v>
          </cell>
        </row>
        <row r="547">
          <cell r="A547" t="str">
            <v>100200590001</v>
          </cell>
          <cell r="B547" t="str">
            <v>Laldiyara</v>
          </cell>
          <cell r="C547" t="str">
            <v>Laldiyara</v>
          </cell>
          <cell r="D547" t="str">
            <v>GANGA-SARAI</v>
          </cell>
          <cell r="E547">
            <v>10020059</v>
          </cell>
          <cell r="F547" t="str">
            <v>0001</v>
          </cell>
          <cell r="G547">
            <v>14</v>
          </cell>
          <cell r="H547">
            <v>11.920000000000002</v>
          </cell>
          <cell r="I547">
            <v>439.80380512200009</v>
          </cell>
          <cell r="J547">
            <v>0</v>
          </cell>
          <cell r="K547">
            <v>439.80380512200009</v>
          </cell>
          <cell r="L547">
            <v>0</v>
          </cell>
          <cell r="M547">
            <v>0</v>
          </cell>
          <cell r="P547">
            <v>0</v>
          </cell>
          <cell r="V547" t="str">
            <v>Not Available</v>
          </cell>
        </row>
        <row r="548">
          <cell r="A548" t="str">
            <v>100200590002</v>
          </cell>
          <cell r="B548" t="str">
            <v>Laldiyara</v>
          </cell>
          <cell r="C548" t="str">
            <v>Laldiyara</v>
          </cell>
          <cell r="D548" t="str">
            <v>GANGA-SARAI</v>
          </cell>
          <cell r="E548">
            <v>10020059</v>
          </cell>
          <cell r="F548" t="str">
            <v>0002</v>
          </cell>
          <cell r="G548">
            <v>14</v>
          </cell>
          <cell r="H548">
            <v>445.4199999999999</v>
          </cell>
          <cell r="I548">
            <v>17240.772626708404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P548">
            <v>17241</v>
          </cell>
          <cell r="V548" t="str">
            <v>Available</v>
          </cell>
        </row>
        <row r="549">
          <cell r="A549" t="str">
            <v>100200590004</v>
          </cell>
          <cell r="B549" t="str">
            <v>Laldiyara</v>
          </cell>
          <cell r="C549" t="str">
            <v>Laldiyara</v>
          </cell>
          <cell r="D549" t="str">
            <v>GANGA-SARAI</v>
          </cell>
          <cell r="E549">
            <v>10020059</v>
          </cell>
          <cell r="F549" t="str">
            <v>0004</v>
          </cell>
          <cell r="G549">
            <v>12</v>
          </cell>
          <cell r="H549">
            <v>191.57999999999998</v>
          </cell>
          <cell r="I549">
            <v>8103.6662945040016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P549">
            <v>8104</v>
          </cell>
          <cell r="V549" t="str">
            <v>Available</v>
          </cell>
        </row>
        <row r="550">
          <cell r="A550" t="str">
            <v>100200590007</v>
          </cell>
          <cell r="B550" t="str">
            <v>Laldiyara</v>
          </cell>
          <cell r="C550" t="str">
            <v>Laldiyara</v>
          </cell>
          <cell r="D550" t="str">
            <v>GANGA-SARAI</v>
          </cell>
          <cell r="E550">
            <v>10020059</v>
          </cell>
          <cell r="F550" t="str">
            <v>0007</v>
          </cell>
          <cell r="G550">
            <v>9</v>
          </cell>
          <cell r="H550">
            <v>100.34</v>
          </cell>
          <cell r="I550">
            <v>4197.8903517999806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P550">
            <v>4198</v>
          </cell>
          <cell r="V550" t="str">
            <v>Available</v>
          </cell>
        </row>
        <row r="551">
          <cell r="A551" t="str">
            <v>100200590012</v>
          </cell>
          <cell r="B551" t="str">
            <v>Laldiyara</v>
          </cell>
          <cell r="C551" t="str">
            <v>Laldiyara</v>
          </cell>
          <cell r="D551" t="str">
            <v>GANGA-SARAI</v>
          </cell>
          <cell r="E551">
            <v>10020059</v>
          </cell>
          <cell r="F551" t="str">
            <v>0012</v>
          </cell>
          <cell r="G551">
            <v>8</v>
          </cell>
          <cell r="H551">
            <v>245.98</v>
          </cell>
          <cell r="I551">
            <v>9467.8546338138804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P551">
            <v>9468</v>
          </cell>
          <cell r="V551" t="str">
            <v>Available</v>
          </cell>
        </row>
        <row r="552">
          <cell r="A552" t="str">
            <v>100200590015</v>
          </cell>
          <cell r="B552" t="str">
            <v>Laldiyara</v>
          </cell>
          <cell r="C552" t="str">
            <v>Laldiyara</v>
          </cell>
          <cell r="D552" t="str">
            <v>GANGA-SARAI</v>
          </cell>
          <cell r="E552">
            <v>10020059</v>
          </cell>
          <cell r="F552" t="str">
            <v>0015</v>
          </cell>
          <cell r="G552">
            <v>2</v>
          </cell>
          <cell r="H552">
            <v>37.799999999999997</v>
          </cell>
          <cell r="I552">
            <v>1455.7634894880002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P552">
            <v>1456</v>
          </cell>
          <cell r="V552" t="str">
            <v>Available</v>
          </cell>
        </row>
        <row r="553">
          <cell r="A553" t="str">
            <v>100200590023</v>
          </cell>
          <cell r="B553" t="str">
            <v>Laldiyara</v>
          </cell>
          <cell r="C553" t="str">
            <v>Laldiyara</v>
          </cell>
          <cell r="D553" t="str">
            <v>GANGA-SARAI</v>
          </cell>
          <cell r="E553">
            <v>10020059</v>
          </cell>
          <cell r="F553" t="str">
            <v>0023</v>
          </cell>
          <cell r="G553">
            <v>7</v>
          </cell>
          <cell r="H553">
            <v>27.22</v>
          </cell>
          <cell r="I553">
            <v>1158.44406084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P553">
            <v>1158</v>
          </cell>
          <cell r="V553" t="str">
            <v>Available</v>
          </cell>
        </row>
        <row r="554">
          <cell r="A554" t="str">
            <v>100200590026</v>
          </cell>
          <cell r="B554" t="str">
            <v>Laldiyara</v>
          </cell>
          <cell r="C554" t="str">
            <v>Laldiyara</v>
          </cell>
          <cell r="D554" t="str">
            <v>GANGA-SARAI</v>
          </cell>
          <cell r="E554">
            <v>10020059</v>
          </cell>
          <cell r="F554" t="str">
            <v>0026</v>
          </cell>
          <cell r="G554">
            <v>13</v>
          </cell>
          <cell r="H554">
            <v>30.979999999999993</v>
          </cell>
          <cell r="I554">
            <v>1219.7226791375999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P554">
            <v>1220</v>
          </cell>
          <cell r="V554" t="str">
            <v>Available</v>
          </cell>
        </row>
        <row r="555">
          <cell r="A555" t="str">
            <v>100200620001</v>
          </cell>
          <cell r="B555" t="str">
            <v>Laldiyara</v>
          </cell>
          <cell r="C555" t="str">
            <v>Laldiyara</v>
          </cell>
          <cell r="D555" t="str">
            <v xml:space="preserve">GOVIND-BIGHA                                                                                        </v>
          </cell>
          <cell r="E555">
            <v>10020062</v>
          </cell>
          <cell r="F555" t="str">
            <v>0001</v>
          </cell>
          <cell r="G555">
            <v>7</v>
          </cell>
          <cell r="H555">
            <v>3.6999999999999997</v>
          </cell>
          <cell r="I555">
            <v>139.39275667679999</v>
          </cell>
          <cell r="J555">
            <v>0</v>
          </cell>
          <cell r="K555">
            <v>139.39275667679999</v>
          </cell>
          <cell r="L555">
            <v>0</v>
          </cell>
          <cell r="M555">
            <v>0</v>
          </cell>
          <cell r="P555">
            <v>0</v>
          </cell>
          <cell r="V555" t="str">
            <v>Not Available</v>
          </cell>
        </row>
        <row r="556">
          <cell r="A556" t="str">
            <v>100200620002</v>
          </cell>
          <cell r="B556" t="str">
            <v>Laldiyara</v>
          </cell>
          <cell r="C556" t="str">
            <v>Laldiyara</v>
          </cell>
          <cell r="D556" t="str">
            <v xml:space="preserve">GOVIND-BIGHA                                                                                        </v>
          </cell>
          <cell r="E556">
            <v>10020062</v>
          </cell>
          <cell r="F556" t="str">
            <v>0002</v>
          </cell>
          <cell r="G556">
            <v>7</v>
          </cell>
          <cell r="H556">
            <v>16.169999999999998</v>
          </cell>
          <cell r="I556">
            <v>967.4157432619802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P556">
            <v>960</v>
          </cell>
          <cell r="V556" t="str">
            <v>Available</v>
          </cell>
        </row>
        <row r="557">
          <cell r="A557" t="str">
            <v>100200620005</v>
          </cell>
          <cell r="B557" t="str">
            <v>Laldiyara</v>
          </cell>
          <cell r="C557" t="str">
            <v>Laldiyara</v>
          </cell>
          <cell r="D557" t="str">
            <v xml:space="preserve">GOVIND-BIGHA                                                                                        </v>
          </cell>
          <cell r="E557">
            <v>10020062</v>
          </cell>
          <cell r="F557" t="str">
            <v>0005</v>
          </cell>
          <cell r="G557">
            <v>3</v>
          </cell>
          <cell r="H557">
            <v>7.4399999999999995</v>
          </cell>
          <cell r="I557">
            <v>344.11669490794498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P557">
            <v>344</v>
          </cell>
          <cell r="V557" t="str">
            <v>Available</v>
          </cell>
        </row>
        <row r="558">
          <cell r="A558" t="str">
            <v>100200620009</v>
          </cell>
          <cell r="B558" t="str">
            <v>Laldiyara</v>
          </cell>
          <cell r="C558" t="str">
            <v>Laldiyara</v>
          </cell>
          <cell r="D558" t="str">
            <v xml:space="preserve">GOVIND-BIGHA                                                                                        </v>
          </cell>
          <cell r="E558">
            <v>10020062</v>
          </cell>
          <cell r="F558" t="str">
            <v>0009</v>
          </cell>
          <cell r="G558">
            <v>7</v>
          </cell>
          <cell r="H558">
            <v>37.169999999999995</v>
          </cell>
          <cell r="I558">
            <v>1285.3700596242002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P558">
            <v>1285</v>
          </cell>
          <cell r="V558" t="str">
            <v>Available</v>
          </cell>
        </row>
        <row r="559">
          <cell r="A559" t="str">
            <v>100200620011</v>
          </cell>
          <cell r="B559" t="str">
            <v>Laldiyara</v>
          </cell>
          <cell r="C559" t="str">
            <v>Laldiyara</v>
          </cell>
          <cell r="D559" t="str">
            <v xml:space="preserve">GOVIND-BIGHA                                                                                        </v>
          </cell>
          <cell r="E559">
            <v>10020062</v>
          </cell>
          <cell r="F559" t="str">
            <v>0011</v>
          </cell>
          <cell r="G559">
            <v>7</v>
          </cell>
          <cell r="H559">
            <v>43.12</v>
          </cell>
          <cell r="I559">
            <v>1769.1819866819999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P559">
            <v>1769</v>
          </cell>
          <cell r="V559" t="str">
            <v>Available</v>
          </cell>
        </row>
        <row r="560">
          <cell r="A560" t="str">
            <v>100200620013</v>
          </cell>
          <cell r="B560" t="str">
            <v>Laldiyara</v>
          </cell>
          <cell r="C560" t="str">
            <v>Laldiyara</v>
          </cell>
          <cell r="D560" t="str">
            <v xml:space="preserve">GOVIND-BIGHA                                                                                        </v>
          </cell>
          <cell r="E560">
            <v>10020062</v>
          </cell>
          <cell r="F560" t="str">
            <v>0013</v>
          </cell>
          <cell r="G560">
            <v>7</v>
          </cell>
          <cell r="H560">
            <v>28.060000000000002</v>
          </cell>
          <cell r="I560">
            <v>1034.5568942412001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P560">
            <v>1035</v>
          </cell>
          <cell r="V560" t="str">
            <v>Available</v>
          </cell>
        </row>
        <row r="561">
          <cell r="A561" t="str">
            <v>100200620024</v>
          </cell>
          <cell r="B561" t="str">
            <v>Laldiyara</v>
          </cell>
          <cell r="C561" t="str">
            <v>Laldiyara</v>
          </cell>
          <cell r="D561" t="str">
            <v xml:space="preserve">GOVIND-BIGHA                                                                                        </v>
          </cell>
          <cell r="E561">
            <v>10020062</v>
          </cell>
          <cell r="F561" t="str">
            <v>0024</v>
          </cell>
          <cell r="G561">
            <v>1</v>
          </cell>
          <cell r="H561">
            <v>2.4</v>
          </cell>
          <cell r="I561">
            <v>75.464107487999996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P561">
            <v>75</v>
          </cell>
          <cell r="V561" t="str">
            <v>Available</v>
          </cell>
        </row>
        <row r="562">
          <cell r="A562" t="str">
            <v>100200620026</v>
          </cell>
          <cell r="B562" t="str">
            <v>Laldiyara</v>
          </cell>
          <cell r="C562" t="str">
            <v>Laldiyara</v>
          </cell>
          <cell r="D562" t="str">
            <v xml:space="preserve">GOVIND-BIGHA                                                                                        </v>
          </cell>
          <cell r="E562">
            <v>10020062</v>
          </cell>
          <cell r="F562" t="str">
            <v>0026</v>
          </cell>
          <cell r="G562">
            <v>2</v>
          </cell>
          <cell r="H562">
            <v>5.89</v>
          </cell>
          <cell r="I562">
            <v>207.92999119859999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P562">
            <v>208</v>
          </cell>
          <cell r="V562" t="str">
            <v>Available</v>
          </cell>
        </row>
        <row r="563">
          <cell r="A563" t="str">
            <v>100200620035</v>
          </cell>
          <cell r="B563" t="str">
            <v>Laldiyara</v>
          </cell>
          <cell r="C563" t="str">
            <v>Laldiyara</v>
          </cell>
          <cell r="D563" t="str">
            <v xml:space="preserve">GOVIND-BIGHA                                                                                        </v>
          </cell>
          <cell r="E563">
            <v>10020062</v>
          </cell>
          <cell r="F563" t="str">
            <v>0035</v>
          </cell>
          <cell r="G563">
            <v>2</v>
          </cell>
          <cell r="H563">
            <v>5.72</v>
          </cell>
          <cell r="I563">
            <v>180.37493464319999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P563">
            <v>180</v>
          </cell>
          <cell r="V563" t="str">
            <v>Available</v>
          </cell>
        </row>
        <row r="564">
          <cell r="A564" t="str">
            <v>100200620053</v>
          </cell>
          <cell r="B564" t="str">
            <v>Laldiyara</v>
          </cell>
          <cell r="C564" t="str">
            <v>Laldiyara</v>
          </cell>
          <cell r="D564" t="str">
            <v xml:space="preserve">GOVIND-BIGHA                                                                                        </v>
          </cell>
          <cell r="E564">
            <v>10020062</v>
          </cell>
          <cell r="F564" t="str">
            <v>0053</v>
          </cell>
          <cell r="G564">
            <v>6</v>
          </cell>
          <cell r="H564">
            <v>13.65</v>
          </cell>
          <cell r="I564">
            <v>546.26664628800006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P564">
            <v>546</v>
          </cell>
          <cell r="V564" t="str">
            <v>Available</v>
          </cell>
        </row>
        <row r="565">
          <cell r="A565" t="str">
            <v>100200620062</v>
          </cell>
          <cell r="B565" t="str">
            <v>Laldiyara</v>
          </cell>
          <cell r="C565" t="str">
            <v>Laldiyara</v>
          </cell>
          <cell r="D565" t="str">
            <v xml:space="preserve">GOVIND-BIGHA                                                                                        </v>
          </cell>
          <cell r="E565">
            <v>10020062</v>
          </cell>
          <cell r="F565" t="str">
            <v>0062</v>
          </cell>
          <cell r="G565">
            <v>5</v>
          </cell>
          <cell r="H565">
            <v>19.97</v>
          </cell>
          <cell r="I565">
            <v>1196.37539042248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P565">
            <v>1196</v>
          </cell>
          <cell r="V565" t="str">
            <v>Available</v>
          </cell>
        </row>
        <row r="566">
          <cell r="A566" t="str">
            <v>100200620066</v>
          </cell>
          <cell r="B566" t="str">
            <v>Laldiyara</v>
          </cell>
          <cell r="C566" t="str">
            <v>Laldiyara</v>
          </cell>
          <cell r="D566" t="str">
            <v xml:space="preserve">GOVIND-BIGHA                                                                                        </v>
          </cell>
          <cell r="E566">
            <v>10020062</v>
          </cell>
          <cell r="F566" t="str">
            <v>0066</v>
          </cell>
          <cell r="G566">
            <v>7</v>
          </cell>
          <cell r="H566">
            <v>23.740000000000002</v>
          </cell>
          <cell r="I566">
            <v>960.68947898880015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P566">
            <v>961</v>
          </cell>
          <cell r="V566" t="str">
            <v>Available</v>
          </cell>
        </row>
        <row r="567">
          <cell r="A567" t="str">
            <v>100200620081</v>
          </cell>
          <cell r="B567" t="str">
            <v>Laldiyara</v>
          </cell>
          <cell r="C567" t="str">
            <v>Laldiyara</v>
          </cell>
          <cell r="D567" t="str">
            <v xml:space="preserve">GOVIND-BIGHA                                                                                        </v>
          </cell>
          <cell r="E567">
            <v>10020062</v>
          </cell>
          <cell r="F567" t="str">
            <v>0081</v>
          </cell>
          <cell r="G567">
            <v>7</v>
          </cell>
          <cell r="H567">
            <v>29.52</v>
          </cell>
          <cell r="I567">
            <v>1147.5945443838179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P567">
            <v>1148</v>
          </cell>
          <cell r="V567" t="str">
            <v>Available</v>
          </cell>
        </row>
        <row r="568">
          <cell r="A568" t="str">
            <v>100200620092</v>
          </cell>
          <cell r="B568" t="str">
            <v>Laldiyara</v>
          </cell>
          <cell r="C568" t="str">
            <v>Laldiyara</v>
          </cell>
          <cell r="D568" t="str">
            <v xml:space="preserve">GOVIND-BIGHA                                                                                        </v>
          </cell>
          <cell r="E568">
            <v>10020062</v>
          </cell>
          <cell r="F568" t="str">
            <v>0092</v>
          </cell>
          <cell r="G568">
            <v>7</v>
          </cell>
          <cell r="H568">
            <v>23.91</v>
          </cell>
          <cell r="I568">
            <v>754.97918177880013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P568">
            <v>755</v>
          </cell>
          <cell r="V568" t="str">
            <v>Available</v>
          </cell>
        </row>
        <row r="569">
          <cell r="A569" t="str">
            <v>100200620094</v>
          </cell>
          <cell r="B569" t="str">
            <v>Laldiyara</v>
          </cell>
          <cell r="C569" t="str">
            <v>Laldiyara</v>
          </cell>
          <cell r="D569" t="str">
            <v xml:space="preserve">GOVIND-BIGHA                                                                                        </v>
          </cell>
          <cell r="E569">
            <v>10020062</v>
          </cell>
          <cell r="F569" t="str">
            <v>0094</v>
          </cell>
          <cell r="G569">
            <v>5</v>
          </cell>
          <cell r="H569">
            <v>17.189999999999998</v>
          </cell>
          <cell r="I569">
            <v>474.52253523840005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P569">
            <v>475</v>
          </cell>
          <cell r="V569" t="str">
            <v>Available</v>
          </cell>
        </row>
        <row r="570">
          <cell r="A570" t="str">
            <v>100200620095</v>
          </cell>
          <cell r="B570" t="str">
            <v>Laldiyara</v>
          </cell>
          <cell r="C570" t="str">
            <v>Laldiyara</v>
          </cell>
          <cell r="D570" t="str">
            <v xml:space="preserve">GOVIND-BIGHA                                                                                        </v>
          </cell>
          <cell r="E570">
            <v>10020062</v>
          </cell>
          <cell r="F570" t="str">
            <v>0095</v>
          </cell>
          <cell r="G570">
            <v>7</v>
          </cell>
          <cell r="H570">
            <v>18.190000000000001</v>
          </cell>
          <cell r="I570">
            <v>616.55659251120005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P570">
            <v>617</v>
          </cell>
          <cell r="V570" t="str">
            <v>Available</v>
          </cell>
        </row>
        <row r="571">
          <cell r="A571" t="str">
            <v>100200630001</v>
          </cell>
          <cell r="B571" t="str">
            <v>Laldiyara</v>
          </cell>
          <cell r="C571" t="str">
            <v>Laldiyara</v>
          </cell>
          <cell r="D571" t="str">
            <v>MALPUR                                                                                              </v>
          </cell>
          <cell r="E571">
            <v>10020063</v>
          </cell>
          <cell r="F571" t="str">
            <v>0001</v>
          </cell>
          <cell r="G571">
            <v>6</v>
          </cell>
          <cell r="H571">
            <v>8.25</v>
          </cell>
          <cell r="I571">
            <v>324.10209150000003</v>
          </cell>
          <cell r="J571">
            <v>0</v>
          </cell>
          <cell r="K571">
            <v>324.10209150000003</v>
          </cell>
          <cell r="L571">
            <v>0</v>
          </cell>
          <cell r="M571">
            <v>0</v>
          </cell>
          <cell r="P571">
            <v>0</v>
          </cell>
          <cell r="V571" t="str">
            <v>Not Available</v>
          </cell>
        </row>
        <row r="572">
          <cell r="A572" t="str">
            <v>100200630002</v>
          </cell>
          <cell r="B572" t="str">
            <v>Laldiyara</v>
          </cell>
          <cell r="C572" t="str">
            <v>Laldiyara</v>
          </cell>
          <cell r="D572" t="str">
            <v>MALPUR                                                                                              </v>
          </cell>
          <cell r="E572">
            <v>10020063</v>
          </cell>
          <cell r="F572" t="str">
            <v>0002</v>
          </cell>
          <cell r="G572">
            <v>14</v>
          </cell>
          <cell r="H572">
            <v>135.72</v>
          </cell>
          <cell r="I572">
            <v>7234.8091617156497</v>
          </cell>
          <cell r="J572">
            <v>0</v>
          </cell>
          <cell r="K572">
            <v>0</v>
          </cell>
          <cell r="L572">
            <v>404</v>
          </cell>
          <cell r="M572">
            <v>0</v>
          </cell>
          <cell r="P572">
            <v>6831</v>
          </cell>
          <cell r="V572" t="str">
            <v>Available</v>
          </cell>
        </row>
        <row r="573">
          <cell r="A573" t="str">
            <v>100200630003</v>
          </cell>
          <cell r="B573" t="str">
            <v>Laldiyara</v>
          </cell>
          <cell r="C573" t="str">
            <v>Laldiyara</v>
          </cell>
          <cell r="D573" t="str">
            <v>MALPUR                                                                                              </v>
          </cell>
          <cell r="E573">
            <v>10020063</v>
          </cell>
          <cell r="F573" t="str">
            <v>0003</v>
          </cell>
          <cell r="G573">
            <v>14</v>
          </cell>
          <cell r="H573">
            <v>95.240000000000009</v>
          </cell>
          <cell r="I573">
            <v>3753.7463363399997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P573">
            <v>3754</v>
          </cell>
          <cell r="V573" t="str">
            <v>Available</v>
          </cell>
        </row>
        <row r="574">
          <cell r="A574" t="str">
            <v>100200630018</v>
          </cell>
          <cell r="B574" t="str">
            <v>Laldiyara</v>
          </cell>
          <cell r="C574" t="str">
            <v>Laldiyara</v>
          </cell>
          <cell r="D574" t="str">
            <v>MALPUR                                                                                              </v>
          </cell>
          <cell r="E574">
            <v>10020063</v>
          </cell>
          <cell r="F574" t="str">
            <v>0018</v>
          </cell>
          <cell r="G574">
            <v>13</v>
          </cell>
          <cell r="H574">
            <v>134.75</v>
          </cell>
          <cell r="I574">
            <v>6916.0132988308815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P574">
            <v>6916</v>
          </cell>
          <cell r="V574" t="str">
            <v>Available</v>
          </cell>
        </row>
        <row r="575">
          <cell r="A575" t="str">
            <v>100200630019</v>
          </cell>
          <cell r="B575" t="str">
            <v>Laldiyara</v>
          </cell>
          <cell r="C575" t="str">
            <v>Laldiyara</v>
          </cell>
          <cell r="D575" t="str">
            <v>MALPUR                                                                                              </v>
          </cell>
          <cell r="E575">
            <v>10020063</v>
          </cell>
          <cell r="F575" t="str">
            <v>0019</v>
          </cell>
          <cell r="G575">
            <v>7</v>
          </cell>
          <cell r="H575">
            <v>19.13</v>
          </cell>
          <cell r="I575">
            <v>849.16725113330006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P575">
            <v>849</v>
          </cell>
          <cell r="V575" t="str">
            <v>Available</v>
          </cell>
        </row>
        <row r="576">
          <cell r="A576" t="str">
            <v>100200630026</v>
          </cell>
          <cell r="B576" t="str">
            <v>Laldiyara</v>
          </cell>
          <cell r="C576" t="str">
            <v>Laldiyara</v>
          </cell>
          <cell r="D576" t="str">
            <v>MALPUR                                                                                              </v>
          </cell>
          <cell r="E576">
            <v>10020063</v>
          </cell>
          <cell r="F576" t="str">
            <v>0026</v>
          </cell>
          <cell r="G576">
            <v>14</v>
          </cell>
          <cell r="H576">
            <v>183.53</v>
          </cell>
          <cell r="I576">
            <v>7448.0538320028008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P576">
            <v>7448</v>
          </cell>
          <cell r="V576" t="str">
            <v>Not Available</v>
          </cell>
        </row>
        <row r="577">
          <cell r="A577" t="str">
            <v>100200630027</v>
          </cell>
          <cell r="B577" t="str">
            <v>Laldiyara</v>
          </cell>
          <cell r="C577" t="str">
            <v>Laldiyara</v>
          </cell>
          <cell r="D577" t="str">
            <v>MALPUR                                                                                              </v>
          </cell>
          <cell r="E577">
            <v>10020063</v>
          </cell>
          <cell r="F577" t="str">
            <v>0027</v>
          </cell>
          <cell r="G577">
            <v>14</v>
          </cell>
          <cell r="H577">
            <v>177.87999999999997</v>
          </cell>
          <cell r="I577">
            <v>7073.6875652520011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P577">
            <v>7074</v>
          </cell>
          <cell r="V577" t="str">
            <v>Not Available</v>
          </cell>
        </row>
        <row r="578">
          <cell r="A578" t="str">
            <v>100200630028</v>
          </cell>
          <cell r="B578" t="str">
            <v>Laldiyara</v>
          </cell>
          <cell r="C578" t="str">
            <v>Laldiyara</v>
          </cell>
          <cell r="D578" t="str">
            <v>MALPUR                                                                                              </v>
          </cell>
          <cell r="E578">
            <v>10020063</v>
          </cell>
          <cell r="F578" t="str">
            <v>0028</v>
          </cell>
          <cell r="G578">
            <v>14</v>
          </cell>
          <cell r="H578">
            <v>174.16999999999996</v>
          </cell>
          <cell r="I578">
            <v>6966.3954135600015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P578">
            <v>6966</v>
          </cell>
          <cell r="V578" t="str">
            <v>Not Available</v>
          </cell>
        </row>
        <row r="579">
          <cell r="A579" t="str">
            <v>100200630031</v>
          </cell>
          <cell r="B579" t="str">
            <v>Laldiyara</v>
          </cell>
          <cell r="C579" t="str">
            <v>Laldiyara</v>
          </cell>
          <cell r="D579" t="str">
            <v>MALPUR                                                                                              </v>
          </cell>
          <cell r="E579">
            <v>10020063</v>
          </cell>
          <cell r="F579" t="str">
            <v>0031</v>
          </cell>
          <cell r="G579">
            <v>5</v>
          </cell>
          <cell r="H579">
            <v>10.980000000000002</v>
          </cell>
          <cell r="I579">
            <v>695.05437202600001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P579">
            <v>695</v>
          </cell>
          <cell r="V579" t="str">
            <v>Available</v>
          </cell>
        </row>
        <row r="580">
          <cell r="A580" t="str">
            <v>100200630037</v>
          </cell>
          <cell r="B580" t="str">
            <v>Laldiyara</v>
          </cell>
          <cell r="C580" t="str">
            <v>Laldiyara</v>
          </cell>
          <cell r="D580" t="str">
            <v>MALPUR                                                                                              </v>
          </cell>
          <cell r="E580">
            <v>10020063</v>
          </cell>
          <cell r="F580" t="str">
            <v>0037</v>
          </cell>
          <cell r="G580">
            <v>5</v>
          </cell>
          <cell r="H580">
            <v>13.15</v>
          </cell>
          <cell r="I580">
            <v>633.07466238462007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P580">
            <v>633</v>
          </cell>
          <cell r="V580" t="str">
            <v>Available</v>
          </cell>
        </row>
        <row r="581">
          <cell r="A581" t="str">
            <v>100200680002</v>
          </cell>
          <cell r="B581" t="str">
            <v>Laldiyara</v>
          </cell>
          <cell r="C581" t="str">
            <v>Laldiyara</v>
          </cell>
          <cell r="D581" t="str">
            <v>SABIKPUR</v>
          </cell>
          <cell r="E581">
            <v>10020068</v>
          </cell>
          <cell r="F581" t="str">
            <v>0002</v>
          </cell>
          <cell r="G581">
            <v>12</v>
          </cell>
          <cell r="H581">
            <v>110.57000000000001</v>
          </cell>
          <cell r="I581">
            <v>5272.0307892273013</v>
          </cell>
          <cell r="J581">
            <v>0</v>
          </cell>
          <cell r="K581">
            <v>0</v>
          </cell>
          <cell r="L581">
            <v>1771</v>
          </cell>
          <cell r="M581">
            <v>0</v>
          </cell>
          <cell r="P581">
            <v>3483</v>
          </cell>
          <cell r="V581" t="str">
            <v>Available</v>
          </cell>
        </row>
        <row r="582">
          <cell r="A582" t="str">
            <v>100200680004</v>
          </cell>
          <cell r="B582" t="str">
            <v>Laldiyara</v>
          </cell>
          <cell r="C582" t="str">
            <v>Laldiyara</v>
          </cell>
          <cell r="D582" t="str">
            <v>SABIKPUR</v>
          </cell>
          <cell r="E582">
            <v>10020068</v>
          </cell>
          <cell r="F582" t="str">
            <v>0004</v>
          </cell>
          <cell r="G582">
            <v>13</v>
          </cell>
          <cell r="H582">
            <v>46.5</v>
          </cell>
          <cell r="I582">
            <v>2125.6792143267703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P582">
            <v>2126</v>
          </cell>
          <cell r="V582" t="str">
            <v>Available</v>
          </cell>
        </row>
        <row r="583">
          <cell r="A583" t="str">
            <v>100200680005</v>
          </cell>
          <cell r="B583" t="str">
            <v>Laldiyara</v>
          </cell>
          <cell r="C583" t="str">
            <v>Laldiyara</v>
          </cell>
          <cell r="D583" t="str">
            <v>SABIKPUR</v>
          </cell>
          <cell r="E583">
            <v>10020068</v>
          </cell>
          <cell r="F583" t="str">
            <v>0005</v>
          </cell>
          <cell r="G583">
            <v>14</v>
          </cell>
          <cell r="H583">
            <v>30.630000000000003</v>
          </cell>
          <cell r="I583">
            <v>1116.7860480480001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P583">
            <v>1117</v>
          </cell>
          <cell r="V583" t="str">
            <v>Available</v>
          </cell>
        </row>
        <row r="584">
          <cell r="A584" t="str">
            <v>100200680013</v>
          </cell>
          <cell r="B584" t="str">
            <v>Laldiyara</v>
          </cell>
          <cell r="C584" t="str">
            <v>Laldiyara</v>
          </cell>
          <cell r="D584" t="str">
            <v>SABIKPUR</v>
          </cell>
          <cell r="E584">
            <v>10020068</v>
          </cell>
          <cell r="F584" t="str">
            <v>0013</v>
          </cell>
          <cell r="G584">
            <v>5</v>
          </cell>
          <cell r="H584">
            <v>10.039999999999999</v>
          </cell>
          <cell r="I584">
            <v>669.31791573760006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P584">
            <v>669</v>
          </cell>
          <cell r="V584" t="str">
            <v>Available</v>
          </cell>
        </row>
        <row r="585">
          <cell r="A585" t="str">
            <v>100200680016</v>
          </cell>
          <cell r="B585" t="str">
            <v>Laldiyara</v>
          </cell>
          <cell r="C585" t="str">
            <v>Laldiyara</v>
          </cell>
          <cell r="D585" t="str">
            <v>SABIKPUR</v>
          </cell>
          <cell r="E585">
            <v>10020068</v>
          </cell>
          <cell r="F585" t="str">
            <v>0016</v>
          </cell>
          <cell r="G585">
            <v>14</v>
          </cell>
          <cell r="H585">
            <v>68.319999999999993</v>
          </cell>
          <cell r="I585">
            <v>2702.3065224660004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P585">
            <v>2702</v>
          </cell>
          <cell r="V585" t="str">
            <v>Available</v>
          </cell>
        </row>
        <row r="586">
          <cell r="A586" t="str">
            <v>100200680017</v>
          </cell>
          <cell r="B586" t="str">
            <v>Laldiyara</v>
          </cell>
          <cell r="C586" t="str">
            <v>Laldiyara</v>
          </cell>
          <cell r="D586" t="str">
            <v>SABIKPUR</v>
          </cell>
          <cell r="E586">
            <v>10020068</v>
          </cell>
          <cell r="F586" t="str">
            <v>0017</v>
          </cell>
          <cell r="G586">
            <v>11</v>
          </cell>
          <cell r="H586">
            <v>36.980000000000004</v>
          </cell>
          <cell r="I586">
            <v>1458.8386924320002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P586">
            <v>1459</v>
          </cell>
          <cell r="V586" t="str">
            <v>Available</v>
          </cell>
        </row>
        <row r="587">
          <cell r="A587" t="str">
            <v>100200680018</v>
          </cell>
          <cell r="B587" t="str">
            <v>Laldiyara</v>
          </cell>
          <cell r="C587" t="str">
            <v>Laldiyara</v>
          </cell>
          <cell r="D587" t="str">
            <v>SABIKPUR</v>
          </cell>
          <cell r="E587">
            <v>10020068</v>
          </cell>
          <cell r="F587" t="str">
            <v>0018</v>
          </cell>
          <cell r="G587">
            <v>14</v>
          </cell>
          <cell r="H587">
            <v>78.63000000000001</v>
          </cell>
          <cell r="I587">
            <v>2919.2009984280003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P587">
            <v>2919</v>
          </cell>
          <cell r="V587" t="str">
            <v>Available</v>
          </cell>
        </row>
        <row r="588">
          <cell r="A588" t="str">
            <v>100200680019</v>
          </cell>
          <cell r="B588" t="str">
            <v>Laldiyara</v>
          </cell>
          <cell r="C588" t="str">
            <v>Laldiyara</v>
          </cell>
          <cell r="D588" t="str">
            <v>SABIKPUR</v>
          </cell>
          <cell r="E588">
            <v>10020068</v>
          </cell>
          <cell r="F588" t="str">
            <v>0019</v>
          </cell>
          <cell r="G588">
            <v>1</v>
          </cell>
          <cell r="H588">
            <v>2.13</v>
          </cell>
          <cell r="I588">
            <v>77.321305512000009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P588">
            <v>77</v>
          </cell>
          <cell r="V588" t="str">
            <v>Available</v>
          </cell>
        </row>
        <row r="589">
          <cell r="A589" t="str">
            <v>100200680020</v>
          </cell>
          <cell r="B589" t="str">
            <v>Laldiyara</v>
          </cell>
          <cell r="C589" t="str">
            <v>Laldiyara</v>
          </cell>
          <cell r="D589" t="str">
            <v>SABIKPUR</v>
          </cell>
          <cell r="E589">
            <v>10020068</v>
          </cell>
          <cell r="F589" t="str">
            <v>0020</v>
          </cell>
          <cell r="G589">
            <v>1</v>
          </cell>
          <cell r="H589">
            <v>1.9</v>
          </cell>
          <cell r="I589">
            <v>80.258131800000001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P589">
            <v>80</v>
          </cell>
          <cell r="V589" t="str">
            <v>Available</v>
          </cell>
        </row>
        <row r="590">
          <cell r="A590" t="str">
            <v>100200680031</v>
          </cell>
          <cell r="B590" t="str">
            <v>Laldiyara</v>
          </cell>
          <cell r="C590" t="str">
            <v>Laldiyara</v>
          </cell>
          <cell r="D590" t="str">
            <v>SABIKPUR</v>
          </cell>
          <cell r="E590">
            <v>10020068</v>
          </cell>
          <cell r="F590" t="str">
            <v>0031</v>
          </cell>
          <cell r="G590">
            <v>7</v>
          </cell>
          <cell r="H590">
            <v>40.58</v>
          </cell>
          <cell r="I590">
            <v>1715.9633775720001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P590">
            <v>1716</v>
          </cell>
          <cell r="V590" t="str">
            <v>Available</v>
          </cell>
        </row>
        <row r="591">
          <cell r="A591" t="str">
            <v>100200680042</v>
          </cell>
          <cell r="B591" t="str">
            <v>Laldiyara</v>
          </cell>
          <cell r="C591" t="str">
            <v>Laldiyara</v>
          </cell>
          <cell r="D591" t="str">
            <v>SABIKPUR</v>
          </cell>
          <cell r="E591">
            <v>10020068</v>
          </cell>
          <cell r="F591" t="str">
            <v>0042</v>
          </cell>
          <cell r="G591">
            <v>3</v>
          </cell>
          <cell r="H591">
            <v>5.21</v>
          </cell>
          <cell r="I591">
            <v>187.95521210400003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P591">
            <v>188</v>
          </cell>
          <cell r="V591" t="str">
            <v>Available</v>
          </cell>
        </row>
        <row r="592">
          <cell r="A592" t="str">
            <v>100200680048</v>
          </cell>
          <cell r="B592" t="str">
            <v>Laldiyara</v>
          </cell>
          <cell r="C592" t="str">
            <v>Laldiyara</v>
          </cell>
          <cell r="D592" t="str">
            <v>SABIKPUR</v>
          </cell>
          <cell r="E592">
            <v>10020068</v>
          </cell>
          <cell r="F592" t="str">
            <v>0048</v>
          </cell>
          <cell r="G592">
            <v>5</v>
          </cell>
          <cell r="H592">
            <v>17.009999999999998</v>
          </cell>
          <cell r="I592">
            <v>663.34610707200011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P592">
            <v>663</v>
          </cell>
          <cell r="V592" t="str">
            <v>Available</v>
          </cell>
        </row>
        <row r="593">
          <cell r="A593" t="str">
            <v>100200680057</v>
          </cell>
          <cell r="B593" t="str">
            <v>Laldiyara</v>
          </cell>
          <cell r="C593" t="str">
            <v>Laldiyara</v>
          </cell>
          <cell r="D593" t="str">
            <v>SABIKPUR</v>
          </cell>
          <cell r="E593">
            <v>10020068</v>
          </cell>
          <cell r="F593" t="str">
            <v>0057</v>
          </cell>
          <cell r="G593">
            <v>4</v>
          </cell>
          <cell r="H593">
            <v>18.080000000000002</v>
          </cell>
          <cell r="I593">
            <v>613.83525073200008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P593">
            <v>614</v>
          </cell>
          <cell r="V593" t="str">
            <v>Available</v>
          </cell>
        </row>
        <row r="594">
          <cell r="A594" t="str">
            <v>100200680065</v>
          </cell>
          <cell r="B594" t="str">
            <v>Laldiyara</v>
          </cell>
          <cell r="C594" t="str">
            <v>Laldiyara</v>
          </cell>
          <cell r="D594" t="str">
            <v>SABIKPUR</v>
          </cell>
          <cell r="E594">
            <v>10020068</v>
          </cell>
          <cell r="F594" t="str">
            <v>0065</v>
          </cell>
          <cell r="G594">
            <v>6</v>
          </cell>
          <cell r="H594">
            <v>18.89</v>
          </cell>
          <cell r="I594">
            <v>700.14839637600016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P594">
            <v>700</v>
          </cell>
          <cell r="V594" t="str">
            <v>Available</v>
          </cell>
        </row>
        <row r="595">
          <cell r="A595" t="str">
            <v>100200680066</v>
          </cell>
          <cell r="B595" t="str">
            <v>Laldiyara</v>
          </cell>
          <cell r="C595" t="str">
            <v>Laldiyara</v>
          </cell>
          <cell r="D595" t="str">
            <v>SABIKPUR</v>
          </cell>
          <cell r="E595">
            <v>10020068</v>
          </cell>
          <cell r="F595" t="str">
            <v>0066</v>
          </cell>
          <cell r="G595">
            <v>7</v>
          </cell>
          <cell r="H595">
            <v>29.83</v>
          </cell>
          <cell r="I595">
            <v>1252.65934926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P595">
            <v>1253</v>
          </cell>
          <cell r="V595" t="str">
            <v>Available</v>
          </cell>
        </row>
        <row r="596">
          <cell r="A596" t="str">
            <v>100200680067</v>
          </cell>
          <cell r="B596" t="str">
            <v>Laldiyara</v>
          </cell>
          <cell r="C596" t="str">
            <v>Laldiyara</v>
          </cell>
          <cell r="D596" t="str">
            <v>SABIKPUR</v>
          </cell>
          <cell r="E596">
            <v>10020068</v>
          </cell>
          <cell r="F596" t="str">
            <v>0067</v>
          </cell>
          <cell r="G596">
            <v>5</v>
          </cell>
          <cell r="H596">
            <v>7.879999999999999</v>
          </cell>
          <cell r="I596">
            <v>359.79912266199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P596">
            <v>360</v>
          </cell>
          <cell r="V596" t="str">
            <v>Available</v>
          </cell>
        </row>
        <row r="597">
          <cell r="A597" t="str">
            <v>100200680068</v>
          </cell>
          <cell r="B597" t="str">
            <v>Laldiyara</v>
          </cell>
          <cell r="C597" t="str">
            <v>Laldiyara</v>
          </cell>
          <cell r="D597" t="str">
            <v>SABIKPUR</v>
          </cell>
          <cell r="E597">
            <v>10020068</v>
          </cell>
          <cell r="F597" t="str">
            <v>0068</v>
          </cell>
          <cell r="G597">
            <v>12</v>
          </cell>
          <cell r="H597">
            <v>24.490000000000002</v>
          </cell>
          <cell r="I597">
            <v>1055.4849970038001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P597">
            <v>1055</v>
          </cell>
          <cell r="V597" t="str">
            <v>Available</v>
          </cell>
        </row>
        <row r="598">
          <cell r="A598" t="str">
            <v>100200680069</v>
          </cell>
          <cell r="B598" t="str">
            <v>Laldiyara</v>
          </cell>
          <cell r="C598" t="str">
            <v>Laldiyara</v>
          </cell>
          <cell r="D598" t="str">
            <v>SABIKPUR</v>
          </cell>
          <cell r="E598">
            <v>10020068</v>
          </cell>
          <cell r="F598" t="str">
            <v>0069</v>
          </cell>
          <cell r="G598">
            <v>8</v>
          </cell>
          <cell r="H598">
            <v>19.95</v>
          </cell>
          <cell r="I598">
            <v>835.72335673200007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P598">
            <v>836</v>
          </cell>
          <cell r="V598" t="str">
            <v>Available</v>
          </cell>
        </row>
        <row r="599">
          <cell r="A599" t="str">
            <v>100200680070</v>
          </cell>
          <cell r="B599" t="str">
            <v>Laldiyara</v>
          </cell>
          <cell r="C599" t="str">
            <v>Laldiyara</v>
          </cell>
          <cell r="D599" t="str">
            <v>SABIKPUR</v>
          </cell>
          <cell r="E599">
            <v>10020068</v>
          </cell>
          <cell r="F599" t="str">
            <v>0070</v>
          </cell>
          <cell r="G599">
            <v>7</v>
          </cell>
          <cell r="H599">
            <v>14.92</v>
          </cell>
          <cell r="I599">
            <v>522.41264301600006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P599">
            <v>522</v>
          </cell>
          <cell r="V599" t="str">
            <v>Available</v>
          </cell>
        </row>
        <row r="600">
          <cell r="A600" t="str">
            <v>100200680071</v>
          </cell>
          <cell r="B600" t="str">
            <v>Laldiyara</v>
          </cell>
          <cell r="C600" t="str">
            <v>Laldiyara</v>
          </cell>
          <cell r="D600" t="str">
            <v>SABIKPUR</v>
          </cell>
          <cell r="E600">
            <v>10020068</v>
          </cell>
          <cell r="F600" t="str">
            <v>0071</v>
          </cell>
          <cell r="G600">
            <v>12</v>
          </cell>
          <cell r="H600">
            <v>27.39</v>
          </cell>
          <cell r="I600">
            <v>1039.1464884239999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P600">
            <v>1039</v>
          </cell>
          <cell r="V600" t="str">
            <v>Available</v>
          </cell>
        </row>
        <row r="601">
          <cell r="A601" t="str">
            <v>100200680072</v>
          </cell>
          <cell r="B601" t="str">
            <v>Laldiyara</v>
          </cell>
          <cell r="C601" t="str">
            <v>Laldiyara</v>
          </cell>
          <cell r="D601" t="str">
            <v>SABIKPUR</v>
          </cell>
          <cell r="E601">
            <v>10020068</v>
          </cell>
          <cell r="F601" t="str">
            <v>0072</v>
          </cell>
          <cell r="G601">
            <v>7</v>
          </cell>
          <cell r="H601">
            <v>26.81</v>
          </cell>
          <cell r="I601">
            <v>985.27346002800027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P601">
            <v>985</v>
          </cell>
          <cell r="V601" t="str">
            <v>Available</v>
          </cell>
        </row>
        <row r="602">
          <cell r="A602" t="str">
            <v>100200680074</v>
          </cell>
          <cell r="B602" t="str">
            <v>Laldiyara</v>
          </cell>
          <cell r="C602" t="str">
            <v>Laldiyara</v>
          </cell>
          <cell r="D602" t="str">
            <v>SABIKPUR</v>
          </cell>
          <cell r="E602">
            <v>10020068</v>
          </cell>
          <cell r="F602" t="str">
            <v>0074</v>
          </cell>
          <cell r="G602">
            <v>1</v>
          </cell>
          <cell r="H602">
            <v>1.19</v>
          </cell>
          <cell r="I602">
            <v>42.727095180000006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P602">
            <v>43</v>
          </cell>
          <cell r="V602" t="str">
            <v>Available</v>
          </cell>
        </row>
        <row r="603">
          <cell r="A603" t="str">
            <v>100200690001</v>
          </cell>
          <cell r="B603" t="str">
            <v>Laldiyara</v>
          </cell>
          <cell r="C603" t="str">
            <v>Laldiyara</v>
          </cell>
          <cell r="D603" t="str">
            <v>CHETAN-TOLA-KHUTHA</v>
          </cell>
          <cell r="E603">
            <v>10020069</v>
          </cell>
          <cell r="F603" t="str">
            <v>0001</v>
          </cell>
          <cell r="G603">
            <v>3</v>
          </cell>
          <cell r="H603">
            <v>0.13</v>
          </cell>
          <cell r="I603">
            <v>5.0029400520000005</v>
          </cell>
          <cell r="J603">
            <v>0</v>
          </cell>
          <cell r="K603">
            <v>5.0029400520000005</v>
          </cell>
          <cell r="L603">
            <v>0</v>
          </cell>
          <cell r="M603">
            <v>0</v>
          </cell>
          <cell r="P603">
            <v>0</v>
          </cell>
          <cell r="V603" t="str">
            <v>Not Available</v>
          </cell>
        </row>
        <row r="604">
          <cell r="A604" t="str">
            <v>100200690002</v>
          </cell>
          <cell r="B604" t="str">
            <v>Laldiyara</v>
          </cell>
          <cell r="C604" t="str">
            <v>Laldiyara</v>
          </cell>
          <cell r="D604" t="str">
            <v>CHETAN-TOLA-KHUTHA</v>
          </cell>
          <cell r="E604">
            <v>10020069</v>
          </cell>
          <cell r="F604" t="str">
            <v>0002</v>
          </cell>
          <cell r="G604">
            <v>12</v>
          </cell>
          <cell r="H604">
            <v>194.15000000000003</v>
          </cell>
          <cell r="I604">
            <v>7472.6393405400013</v>
          </cell>
          <cell r="J604">
            <v>0</v>
          </cell>
          <cell r="K604">
            <v>0</v>
          </cell>
          <cell r="L604">
            <v>30</v>
          </cell>
          <cell r="M604">
            <v>7443</v>
          </cell>
          <cell r="P604">
            <v>0</v>
          </cell>
          <cell r="V604" t="str">
            <v>Available</v>
          </cell>
        </row>
        <row r="605">
          <cell r="A605" t="str">
            <v>100200690003</v>
          </cell>
          <cell r="B605" t="str">
            <v>Laldiyara</v>
          </cell>
          <cell r="C605" t="str">
            <v>Laldiyara</v>
          </cell>
          <cell r="D605" t="str">
            <v>CHETAN-TOLA-KHUTHA</v>
          </cell>
          <cell r="E605">
            <v>10020069</v>
          </cell>
          <cell r="F605" t="str">
            <v>0003</v>
          </cell>
          <cell r="G605">
            <v>1</v>
          </cell>
          <cell r="H605">
            <v>15.57</v>
          </cell>
          <cell r="I605">
            <v>591.92638401600004</v>
          </cell>
          <cell r="J605">
            <v>0</v>
          </cell>
          <cell r="K605">
            <v>0</v>
          </cell>
          <cell r="L605">
            <v>0</v>
          </cell>
          <cell r="M605">
            <v>592</v>
          </cell>
          <cell r="P605">
            <v>0</v>
          </cell>
          <cell r="V605" t="str">
            <v>Available</v>
          </cell>
        </row>
        <row r="606">
          <cell r="A606" t="str">
            <v>100200700005</v>
          </cell>
          <cell r="B606" t="str">
            <v>Laldiyara</v>
          </cell>
          <cell r="C606" t="str">
            <v>Laldiyara</v>
          </cell>
          <cell r="D606" t="str">
            <v>LAXMIPUR</v>
          </cell>
          <cell r="E606">
            <v>10020070</v>
          </cell>
          <cell r="F606" t="str">
            <v>0005</v>
          </cell>
          <cell r="G606">
            <v>12</v>
          </cell>
          <cell r="H606">
            <v>78</v>
          </cell>
          <cell r="I606">
            <v>3362.6537841600011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P606">
            <v>3363</v>
          </cell>
          <cell r="V606" t="str">
            <v>Available</v>
          </cell>
        </row>
        <row r="607">
          <cell r="A607" t="str">
            <v>100200700008</v>
          </cell>
          <cell r="B607" t="str">
            <v>Laldiyara</v>
          </cell>
          <cell r="C607" t="str">
            <v>Laldiyara</v>
          </cell>
          <cell r="D607" t="str">
            <v>LAXMIPUR</v>
          </cell>
          <cell r="E607">
            <v>10020070</v>
          </cell>
          <cell r="F607" t="str">
            <v>0008</v>
          </cell>
          <cell r="G607">
            <v>14</v>
          </cell>
          <cell r="H607">
            <v>240.39999999999998</v>
          </cell>
          <cell r="I607">
            <v>8476.9923823200006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P607">
            <v>8477</v>
          </cell>
          <cell r="V607" t="str">
            <v>Available</v>
          </cell>
        </row>
        <row r="608">
          <cell r="A608" t="str">
            <v>100200700009</v>
          </cell>
          <cell r="B608" t="str">
            <v>Laldiyara</v>
          </cell>
          <cell r="C608" t="str">
            <v>Laldiyara</v>
          </cell>
          <cell r="D608" t="str">
            <v>LAXMIPUR</v>
          </cell>
          <cell r="E608">
            <v>10020070</v>
          </cell>
          <cell r="F608" t="str">
            <v>0009</v>
          </cell>
          <cell r="G608">
            <v>10</v>
          </cell>
          <cell r="H608">
            <v>51</v>
          </cell>
          <cell r="I608">
            <v>2337.1746805439998</v>
          </cell>
          <cell r="J608">
            <v>0</v>
          </cell>
          <cell r="K608">
            <v>0</v>
          </cell>
          <cell r="L608">
            <v>75</v>
          </cell>
          <cell r="M608">
            <v>0</v>
          </cell>
          <cell r="P608">
            <v>2262</v>
          </cell>
          <cell r="V608" t="str">
            <v>Available</v>
          </cell>
        </row>
        <row r="609">
          <cell r="A609" t="str">
            <v>100200700010</v>
          </cell>
          <cell r="B609" t="str">
            <v>Laldiyara</v>
          </cell>
          <cell r="C609" t="str">
            <v>Laldiyara</v>
          </cell>
          <cell r="D609" t="str">
            <v>LAXMIPUR</v>
          </cell>
          <cell r="E609">
            <v>10020070</v>
          </cell>
          <cell r="F609" t="str">
            <v>0010</v>
          </cell>
          <cell r="G609">
            <v>7</v>
          </cell>
          <cell r="H609">
            <v>38.799999999999997</v>
          </cell>
          <cell r="I609">
            <v>1455.6449556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P609">
            <v>1456</v>
          </cell>
          <cell r="V609" t="str">
            <v>Available</v>
          </cell>
        </row>
        <row r="610">
          <cell r="A610" t="str">
            <v>100200700011</v>
          </cell>
          <cell r="B610" t="str">
            <v>Laldiyara</v>
          </cell>
          <cell r="C610" t="str">
            <v>Laldiyara</v>
          </cell>
          <cell r="D610" t="str">
            <v>LAXMIPUR</v>
          </cell>
          <cell r="E610">
            <v>10020070</v>
          </cell>
          <cell r="F610" t="str">
            <v>0011</v>
          </cell>
          <cell r="G610">
            <v>10</v>
          </cell>
          <cell r="H610">
            <v>14.5</v>
          </cell>
          <cell r="I610">
            <v>590.72893704000012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P610">
            <v>591</v>
          </cell>
          <cell r="V610" t="str">
            <v>Available</v>
          </cell>
        </row>
        <row r="611">
          <cell r="A611" t="str">
            <v>100200700012</v>
          </cell>
          <cell r="B611" t="str">
            <v>Laldiyara</v>
          </cell>
          <cell r="C611" t="str">
            <v>Laldiyara</v>
          </cell>
          <cell r="D611" t="str">
            <v>LAXMIPUR</v>
          </cell>
          <cell r="E611">
            <v>10020070</v>
          </cell>
          <cell r="F611" t="str">
            <v>0012</v>
          </cell>
          <cell r="G611">
            <v>10</v>
          </cell>
          <cell r="H611">
            <v>54.6</v>
          </cell>
          <cell r="I611">
            <v>2001.2969433600001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P611">
            <v>2001</v>
          </cell>
          <cell r="V611" t="str">
            <v>Available</v>
          </cell>
        </row>
        <row r="612">
          <cell r="A612" t="str">
            <v>100200700013</v>
          </cell>
          <cell r="B612" t="str">
            <v>Laldiyara</v>
          </cell>
          <cell r="C612" t="str">
            <v>Laldiyara</v>
          </cell>
          <cell r="D612" t="str">
            <v>LAXMIPUR</v>
          </cell>
          <cell r="E612">
            <v>10020070</v>
          </cell>
          <cell r="F612" t="str">
            <v>0013</v>
          </cell>
          <cell r="G612">
            <v>14</v>
          </cell>
          <cell r="H612">
            <v>31.3</v>
          </cell>
          <cell r="I612">
            <v>1077.7885953120001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P612">
            <v>1078</v>
          </cell>
          <cell r="V612" t="str">
            <v>Available</v>
          </cell>
        </row>
        <row r="613">
          <cell r="A613" t="str">
            <v>100200700015</v>
          </cell>
          <cell r="B613" t="str">
            <v>Laldiyara</v>
          </cell>
          <cell r="C613" t="str">
            <v>Laldiyara</v>
          </cell>
          <cell r="D613" t="str">
            <v>LAXMIPUR</v>
          </cell>
          <cell r="E613">
            <v>10020070</v>
          </cell>
          <cell r="F613" t="str">
            <v>0015</v>
          </cell>
          <cell r="G613">
            <v>14</v>
          </cell>
          <cell r="H613">
            <v>47.4</v>
          </cell>
          <cell r="I613">
            <v>2597.8803055769204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P613">
            <v>2598</v>
          </cell>
          <cell r="V613" t="str">
            <v>Available</v>
          </cell>
        </row>
        <row r="614">
          <cell r="A614" t="str">
            <v>100200700017</v>
          </cell>
          <cell r="B614" t="str">
            <v>Laldiyara</v>
          </cell>
          <cell r="C614" t="str">
            <v>Laldiyara</v>
          </cell>
          <cell r="D614" t="str">
            <v>LAXMIPUR</v>
          </cell>
          <cell r="E614">
            <v>10020070</v>
          </cell>
          <cell r="F614" t="str">
            <v>0017</v>
          </cell>
          <cell r="G614">
            <v>13</v>
          </cell>
          <cell r="H614">
            <v>94.600000000000023</v>
          </cell>
          <cell r="I614">
            <v>4829.24573612722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P614">
            <v>4829</v>
          </cell>
          <cell r="V614" t="str">
            <v>Available</v>
          </cell>
        </row>
        <row r="615">
          <cell r="A615" t="str">
            <v>100200700018</v>
          </cell>
          <cell r="B615" t="str">
            <v>Laldiyara</v>
          </cell>
          <cell r="C615" t="str">
            <v>Laldiyara</v>
          </cell>
          <cell r="D615" t="str">
            <v>LAXMIPUR</v>
          </cell>
          <cell r="E615">
            <v>10020070</v>
          </cell>
          <cell r="F615" t="str">
            <v>0018</v>
          </cell>
          <cell r="G615">
            <v>6</v>
          </cell>
          <cell r="H615">
            <v>16.7</v>
          </cell>
          <cell r="I615">
            <v>892.3631832172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P615">
            <v>892</v>
          </cell>
          <cell r="V615" t="str">
            <v>Available</v>
          </cell>
        </row>
        <row r="616">
          <cell r="A616" t="str">
            <v>100200700024</v>
          </cell>
          <cell r="B616" t="str">
            <v>Laldiyara</v>
          </cell>
          <cell r="C616" t="str">
            <v>Laldiyara</v>
          </cell>
          <cell r="D616" t="str">
            <v>LAXMIPUR</v>
          </cell>
          <cell r="E616">
            <v>10020070</v>
          </cell>
          <cell r="F616" t="str">
            <v>0024</v>
          </cell>
          <cell r="G616">
            <v>7</v>
          </cell>
          <cell r="H616">
            <v>29</v>
          </cell>
          <cell r="I616">
            <v>1124.6718621600003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P616">
            <v>1125</v>
          </cell>
          <cell r="V616" t="str">
            <v>Available</v>
          </cell>
        </row>
        <row r="617">
          <cell r="A617" t="str">
            <v>100200700026</v>
          </cell>
          <cell r="B617" t="str">
            <v>Laldiyara</v>
          </cell>
          <cell r="C617" t="str">
            <v>Laldiyara</v>
          </cell>
          <cell r="D617" t="str">
            <v>LAXMIPUR</v>
          </cell>
          <cell r="E617">
            <v>10020070</v>
          </cell>
          <cell r="F617" t="str">
            <v>0026</v>
          </cell>
          <cell r="G617">
            <v>12</v>
          </cell>
          <cell r="H617">
            <v>89.2</v>
          </cell>
          <cell r="I617">
            <v>5749.2920180728006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P617">
            <v>5749</v>
          </cell>
          <cell r="V617" t="str">
            <v>Available</v>
          </cell>
        </row>
        <row r="618">
          <cell r="A618" t="str">
            <v>100200700028</v>
          </cell>
          <cell r="B618" t="str">
            <v>Laldiyara</v>
          </cell>
          <cell r="C618" t="str">
            <v>Laldiyara</v>
          </cell>
          <cell r="D618" t="str">
            <v>LAXMIPUR</v>
          </cell>
          <cell r="E618">
            <v>10020070</v>
          </cell>
          <cell r="F618" t="str">
            <v>0028</v>
          </cell>
          <cell r="G618">
            <v>12</v>
          </cell>
          <cell r="H618">
            <v>115.2</v>
          </cell>
          <cell r="I618">
            <v>4283.1705803040004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P618">
            <v>4283</v>
          </cell>
          <cell r="V618" t="str">
            <v>Available</v>
          </cell>
        </row>
        <row r="619">
          <cell r="A619" t="str">
            <v>100200750002</v>
          </cell>
          <cell r="B619" t="str">
            <v>Laldiyara</v>
          </cell>
          <cell r="C619" t="str">
            <v>Laldiyara</v>
          </cell>
          <cell r="D619" t="str">
            <v>RAMNAGAR</v>
          </cell>
          <cell r="E619">
            <v>10020075</v>
          </cell>
          <cell r="F619" t="str">
            <v>0002</v>
          </cell>
          <cell r="G619">
            <v>2</v>
          </cell>
          <cell r="H619">
            <v>19.380000000000003</v>
          </cell>
          <cell r="I619">
            <v>796.83959742091213</v>
          </cell>
          <cell r="J619">
            <v>0</v>
          </cell>
          <cell r="K619">
            <v>0</v>
          </cell>
          <cell r="L619">
            <v>343</v>
          </cell>
          <cell r="M619">
            <v>0</v>
          </cell>
          <cell r="P619">
            <v>454</v>
          </cell>
          <cell r="V619" t="str">
            <v>Available</v>
          </cell>
        </row>
        <row r="620">
          <cell r="A620" t="str">
            <v>100200750003</v>
          </cell>
          <cell r="B620" t="str">
            <v>Laldiyara</v>
          </cell>
          <cell r="C620" t="str">
            <v>Laldiyara</v>
          </cell>
          <cell r="D620" t="str">
            <v>RAMNAGAR</v>
          </cell>
          <cell r="E620">
            <v>10020075</v>
          </cell>
          <cell r="F620" t="str">
            <v>0003</v>
          </cell>
          <cell r="G620">
            <v>9</v>
          </cell>
          <cell r="H620">
            <v>101.38000000000001</v>
          </cell>
          <cell r="I620">
            <v>4425.0339592423807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P620">
            <v>4425</v>
          </cell>
          <cell r="V620" t="str">
            <v>Available</v>
          </cell>
        </row>
        <row r="621">
          <cell r="A621" t="str">
            <v>100200750014</v>
          </cell>
          <cell r="B621" t="str">
            <v>Laldiyara</v>
          </cell>
          <cell r="C621" t="str">
            <v>Laldiyara</v>
          </cell>
          <cell r="D621" t="str">
            <v>RAMNAGAR</v>
          </cell>
          <cell r="E621">
            <v>10020075</v>
          </cell>
          <cell r="F621" t="str">
            <v>0014</v>
          </cell>
          <cell r="G621">
            <v>10</v>
          </cell>
          <cell r="H621">
            <v>161.77000000000001</v>
          </cell>
          <cell r="I621">
            <v>7458.5665862355008</v>
          </cell>
          <cell r="J621">
            <v>0</v>
          </cell>
          <cell r="K621">
            <v>0</v>
          </cell>
          <cell r="L621">
            <v>0</v>
          </cell>
          <cell r="M621">
            <v>2293</v>
          </cell>
          <cell r="P621">
            <v>5166</v>
          </cell>
          <cell r="V621" t="str">
            <v>Available</v>
          </cell>
        </row>
        <row r="622">
          <cell r="A622" t="str">
            <v>100200770002</v>
          </cell>
          <cell r="B622" t="str">
            <v>Laldiyara</v>
          </cell>
          <cell r="C622" t="str">
            <v>Laldiyara</v>
          </cell>
          <cell r="D622" t="str">
            <v>BANSIPUR</v>
          </cell>
          <cell r="E622">
            <v>10020077</v>
          </cell>
          <cell r="F622" t="str">
            <v>0002</v>
          </cell>
          <cell r="G622">
            <v>13</v>
          </cell>
          <cell r="H622">
            <v>107.3</v>
          </cell>
          <cell r="I622">
            <v>4657.5837985464004</v>
          </cell>
          <cell r="J622">
            <v>0</v>
          </cell>
          <cell r="K622">
            <v>0</v>
          </cell>
          <cell r="L622">
            <v>37</v>
          </cell>
          <cell r="M622">
            <v>0</v>
          </cell>
          <cell r="P622">
            <v>4621</v>
          </cell>
          <cell r="V622" t="str">
            <v>Available</v>
          </cell>
        </row>
        <row r="623">
          <cell r="A623" t="str">
            <v>100200780002</v>
          </cell>
          <cell r="B623" t="str">
            <v>Laldiyara</v>
          </cell>
          <cell r="C623" t="str">
            <v>Laldiyara</v>
          </cell>
          <cell r="D623" t="str">
            <v>GODIH</v>
          </cell>
          <cell r="E623">
            <v>10020078</v>
          </cell>
          <cell r="F623" t="str">
            <v>0002</v>
          </cell>
          <cell r="G623">
            <v>14</v>
          </cell>
          <cell r="H623">
            <v>340.13</v>
          </cell>
          <cell r="I623">
            <v>13992.246609363001</v>
          </cell>
          <cell r="J623">
            <v>0</v>
          </cell>
          <cell r="K623">
            <v>0</v>
          </cell>
          <cell r="L623">
            <v>2005</v>
          </cell>
          <cell r="M623">
            <v>0</v>
          </cell>
          <cell r="P623">
            <v>11987</v>
          </cell>
          <cell r="V623" t="str">
            <v>Available</v>
          </cell>
        </row>
        <row r="624">
          <cell r="A624" t="str">
            <v>100200780004</v>
          </cell>
          <cell r="B624" t="str">
            <v>Laldiyara</v>
          </cell>
          <cell r="C624" t="str">
            <v>Laldiyara</v>
          </cell>
          <cell r="D624" t="str">
            <v>GODIH</v>
          </cell>
          <cell r="E624">
            <v>10020078</v>
          </cell>
          <cell r="F624" t="str">
            <v>0004</v>
          </cell>
          <cell r="G624">
            <v>7</v>
          </cell>
          <cell r="H624">
            <v>78.650000000000006</v>
          </cell>
          <cell r="I624">
            <v>4997.6659751685111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P624">
            <v>4998</v>
          </cell>
          <cell r="V624" t="str">
            <v>Available</v>
          </cell>
        </row>
        <row r="625">
          <cell r="A625" t="str">
            <v>100200790002</v>
          </cell>
          <cell r="B625" t="str">
            <v>Laldiyara</v>
          </cell>
          <cell r="C625" t="str">
            <v>Laldiyara</v>
          </cell>
          <cell r="D625" t="str">
            <v>SINGARPUR</v>
          </cell>
          <cell r="E625">
            <v>10020079</v>
          </cell>
          <cell r="F625" t="str">
            <v>0002</v>
          </cell>
          <cell r="G625">
            <v>13</v>
          </cell>
          <cell r="H625">
            <v>121.17999999999999</v>
          </cell>
          <cell r="I625">
            <v>7166.0733048350921</v>
          </cell>
          <cell r="J625">
            <v>0</v>
          </cell>
          <cell r="K625">
            <v>0</v>
          </cell>
          <cell r="L625">
            <v>590</v>
          </cell>
          <cell r="M625">
            <v>0</v>
          </cell>
          <cell r="P625">
            <v>6576</v>
          </cell>
          <cell r="V625" t="str">
            <v>Available</v>
          </cell>
        </row>
        <row r="626">
          <cell r="A626" t="str">
            <v>100200790003</v>
          </cell>
          <cell r="B626" t="str">
            <v>Laldiyara</v>
          </cell>
          <cell r="C626" t="str">
            <v>Laldiyara</v>
          </cell>
          <cell r="D626" t="str">
            <v>SINGARPUR</v>
          </cell>
          <cell r="E626">
            <v>10020079</v>
          </cell>
          <cell r="F626" t="str">
            <v>0003</v>
          </cell>
          <cell r="G626">
            <v>14</v>
          </cell>
          <cell r="H626">
            <v>71.25</v>
          </cell>
          <cell r="I626">
            <v>4346.1283929890196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P626">
            <v>4346</v>
          </cell>
          <cell r="V626" t="str">
            <v>Available</v>
          </cell>
        </row>
        <row r="627">
          <cell r="A627" t="str">
            <v>100200790004</v>
          </cell>
          <cell r="B627" t="str">
            <v>Laldiyara</v>
          </cell>
          <cell r="C627" t="str">
            <v>Laldiyara</v>
          </cell>
          <cell r="D627" t="str">
            <v>SINGARPUR</v>
          </cell>
          <cell r="E627">
            <v>10020079</v>
          </cell>
          <cell r="F627" t="str">
            <v>0004</v>
          </cell>
          <cell r="G627">
            <v>13</v>
          </cell>
          <cell r="H627">
            <v>60.870000000000012</v>
          </cell>
          <cell r="I627">
            <v>3675.9850695221994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P627">
            <v>3676</v>
          </cell>
          <cell r="V627" t="str">
            <v>Available</v>
          </cell>
        </row>
        <row r="628">
          <cell r="A628" t="str">
            <v>100200790005</v>
          </cell>
          <cell r="B628" t="str">
            <v>Laldiyara</v>
          </cell>
          <cell r="C628" t="str">
            <v>Laldiyara</v>
          </cell>
          <cell r="D628" t="str">
            <v>SINGARPUR</v>
          </cell>
          <cell r="E628">
            <v>10020079</v>
          </cell>
          <cell r="F628" t="str">
            <v>0005</v>
          </cell>
          <cell r="G628">
            <v>1</v>
          </cell>
          <cell r="H628">
            <v>1.87</v>
          </cell>
          <cell r="I628">
            <v>114.58104781200001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P628">
            <v>115</v>
          </cell>
          <cell r="V628" t="str">
            <v>Available</v>
          </cell>
        </row>
        <row r="629">
          <cell r="A629" t="str">
            <v>100200800002</v>
          </cell>
          <cell r="B629" t="str">
            <v>Laldiyara</v>
          </cell>
          <cell r="C629" t="str">
            <v>Laldiyara</v>
          </cell>
          <cell r="D629" t="str">
            <v>ADARSH PULPAR</v>
          </cell>
          <cell r="E629">
            <v>10020080</v>
          </cell>
          <cell r="F629" t="str">
            <v>0002</v>
          </cell>
          <cell r="G629">
            <v>4</v>
          </cell>
          <cell r="H629">
            <v>19.7</v>
          </cell>
          <cell r="I629">
            <v>769.02712524000003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P629">
            <v>559</v>
          </cell>
          <cell r="V629" t="str">
            <v>Available</v>
          </cell>
        </row>
        <row r="630">
          <cell r="A630" t="str">
            <v>100200830002</v>
          </cell>
          <cell r="B630" t="str">
            <v>Laldiyara</v>
          </cell>
          <cell r="C630" t="str">
            <v>Laldiyara</v>
          </cell>
          <cell r="D630" t="str">
            <v>BICHWAY</v>
          </cell>
          <cell r="E630">
            <v>10020083</v>
          </cell>
          <cell r="F630" t="str">
            <v>0002</v>
          </cell>
          <cell r="G630">
            <v>14</v>
          </cell>
          <cell r="H630">
            <v>384.59999999999991</v>
          </cell>
          <cell r="I630">
            <v>15012.958062960002</v>
          </cell>
          <cell r="J630">
            <v>0</v>
          </cell>
          <cell r="K630">
            <v>0</v>
          </cell>
          <cell r="L630">
            <v>414</v>
          </cell>
          <cell r="M630">
            <v>0</v>
          </cell>
          <cell r="P630">
            <v>14599</v>
          </cell>
          <cell r="V630" t="str">
            <v>Available</v>
          </cell>
        </row>
        <row r="631">
          <cell r="A631" t="str">
            <v>100200830005</v>
          </cell>
          <cell r="B631" t="str">
            <v>Laldiyara</v>
          </cell>
          <cell r="C631" t="str">
            <v>Laldiyara</v>
          </cell>
          <cell r="D631" t="str">
            <v>BICHWAY</v>
          </cell>
          <cell r="E631">
            <v>10020083</v>
          </cell>
          <cell r="F631" t="str">
            <v>0005</v>
          </cell>
          <cell r="G631">
            <v>4</v>
          </cell>
          <cell r="H631">
            <v>40.299999999999997</v>
          </cell>
          <cell r="I631">
            <v>1547.36162064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P631">
            <v>1547</v>
          </cell>
          <cell r="V631" t="str">
            <v>Available</v>
          </cell>
        </row>
        <row r="632">
          <cell r="A632" t="str">
            <v>100200840002</v>
          </cell>
          <cell r="B632" t="str">
            <v>Laldiyara</v>
          </cell>
          <cell r="C632" t="str">
            <v>Laldiyara</v>
          </cell>
          <cell r="D632" t="str">
            <v>MANOHARPUR</v>
          </cell>
          <cell r="E632">
            <v>10020084</v>
          </cell>
          <cell r="F632" t="str">
            <v>0002</v>
          </cell>
          <cell r="G632">
            <v>13</v>
          </cell>
          <cell r="H632">
            <v>114.3</v>
          </cell>
          <cell r="I632">
            <v>4279.5588955680005</v>
          </cell>
          <cell r="J632">
            <v>0</v>
          </cell>
          <cell r="K632">
            <v>0</v>
          </cell>
          <cell r="L632">
            <v>1049</v>
          </cell>
          <cell r="M632">
            <v>0</v>
          </cell>
          <cell r="P632">
            <v>3231</v>
          </cell>
          <cell r="V632" t="str">
            <v>Available</v>
          </cell>
        </row>
        <row r="633">
          <cell r="A633" t="str">
            <v>100200840003</v>
          </cell>
          <cell r="B633" t="str">
            <v>Laldiyara</v>
          </cell>
          <cell r="C633" t="str">
            <v>Laldiyara</v>
          </cell>
          <cell r="D633" t="str">
            <v>MANOHARPUR</v>
          </cell>
          <cell r="E633">
            <v>10020084</v>
          </cell>
          <cell r="F633" t="str">
            <v>0003</v>
          </cell>
          <cell r="G633">
            <v>13</v>
          </cell>
          <cell r="H633">
            <v>42.28</v>
          </cell>
          <cell r="I633">
            <v>1899.5736166321801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P633">
            <v>1900</v>
          </cell>
          <cell r="V633" t="str">
            <v>Available</v>
          </cell>
        </row>
        <row r="634">
          <cell r="A634" t="str">
            <v>100200840006</v>
          </cell>
          <cell r="B634" t="str">
            <v>Laldiyara</v>
          </cell>
          <cell r="C634" t="str">
            <v>Laldiyara</v>
          </cell>
          <cell r="D634" t="str">
            <v>MANOHARPUR</v>
          </cell>
          <cell r="E634">
            <v>10020084</v>
          </cell>
          <cell r="F634" t="str">
            <v>0006</v>
          </cell>
          <cell r="G634">
            <v>14</v>
          </cell>
          <cell r="H634">
            <v>102.29</v>
          </cell>
          <cell r="I634">
            <v>3994.447772304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P634">
            <v>3994</v>
          </cell>
          <cell r="V634" t="str">
            <v>Available</v>
          </cell>
        </row>
        <row r="635">
          <cell r="A635" t="str">
            <v>100200840007</v>
          </cell>
          <cell r="B635" t="str">
            <v>Laldiyara</v>
          </cell>
          <cell r="C635" t="str">
            <v>Laldiyara</v>
          </cell>
          <cell r="D635" t="str">
            <v>MANOHARPUR</v>
          </cell>
          <cell r="E635">
            <v>10020084</v>
          </cell>
          <cell r="F635" t="str">
            <v>0007</v>
          </cell>
          <cell r="G635">
            <v>10</v>
          </cell>
          <cell r="H635">
            <v>25.240000000000002</v>
          </cell>
          <cell r="I635">
            <v>961.01324272800014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P635">
            <v>961</v>
          </cell>
          <cell r="V635" t="str">
            <v>Available</v>
          </cell>
        </row>
        <row r="636">
          <cell r="A636" t="str">
            <v>100200840016</v>
          </cell>
          <cell r="B636" t="str">
            <v>Laldiyara</v>
          </cell>
          <cell r="C636" t="str">
            <v>Laldiyara</v>
          </cell>
          <cell r="D636" t="str">
            <v>MANOHARPUR</v>
          </cell>
          <cell r="E636">
            <v>10020084</v>
          </cell>
          <cell r="F636" t="str">
            <v>0016</v>
          </cell>
          <cell r="G636">
            <v>11</v>
          </cell>
          <cell r="H636">
            <v>36.65</v>
          </cell>
          <cell r="I636">
            <v>1485.0942040440002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P636">
            <v>1485</v>
          </cell>
          <cell r="V636" t="str">
            <v>Available</v>
          </cell>
        </row>
        <row r="637">
          <cell r="A637" t="str">
            <v>100200840017</v>
          </cell>
          <cell r="B637" t="str">
            <v>Laldiyara</v>
          </cell>
          <cell r="C637" t="str">
            <v>Laldiyara</v>
          </cell>
          <cell r="D637" t="str">
            <v>MANOHARPUR</v>
          </cell>
          <cell r="E637">
            <v>10020084</v>
          </cell>
          <cell r="F637" t="str">
            <v>0017</v>
          </cell>
          <cell r="G637">
            <v>7</v>
          </cell>
          <cell r="H637">
            <v>57.519999999999996</v>
          </cell>
          <cell r="I637">
            <v>2151.1262135880002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P637">
            <v>2151</v>
          </cell>
          <cell r="V637" t="str">
            <v>Not Available</v>
          </cell>
        </row>
        <row r="638">
          <cell r="A638" t="str">
            <v>100200840018</v>
          </cell>
          <cell r="B638" t="str">
            <v>Laldiyara</v>
          </cell>
          <cell r="C638" t="str">
            <v>Laldiyara</v>
          </cell>
          <cell r="D638" t="str">
            <v>MANOHARPUR</v>
          </cell>
          <cell r="E638">
            <v>10020084</v>
          </cell>
          <cell r="F638" t="str">
            <v>0018</v>
          </cell>
          <cell r="G638">
            <v>7</v>
          </cell>
          <cell r="H638">
            <v>12.309999999999999</v>
          </cell>
          <cell r="I638">
            <v>837.95722166209998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P638">
            <v>838</v>
          </cell>
          <cell r="V638" t="str">
            <v>Not Available</v>
          </cell>
        </row>
        <row r="639">
          <cell r="A639" t="str">
            <v>100200840019</v>
          </cell>
          <cell r="B639" t="str">
            <v>Laldiyara</v>
          </cell>
          <cell r="C639" t="str">
            <v>Laldiyara</v>
          </cell>
          <cell r="D639" t="str">
            <v>MANOHARPUR</v>
          </cell>
          <cell r="E639">
            <v>10020084</v>
          </cell>
          <cell r="F639" t="str">
            <v>0019</v>
          </cell>
          <cell r="G639">
            <v>3</v>
          </cell>
          <cell r="H639">
            <v>5.8599999999999994</v>
          </cell>
          <cell r="I639">
            <v>216.88067578319999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P639">
            <v>217</v>
          </cell>
          <cell r="V639" t="str">
            <v>Not Available</v>
          </cell>
        </row>
        <row r="640">
          <cell r="A640" t="str">
            <v>100200840020</v>
          </cell>
          <cell r="B640" t="str">
            <v>Laldiyara</v>
          </cell>
          <cell r="C640" t="str">
            <v>Laldiyara</v>
          </cell>
          <cell r="D640" t="str">
            <v>MANOHARPUR</v>
          </cell>
          <cell r="E640">
            <v>10020084</v>
          </cell>
          <cell r="F640" t="str">
            <v>0020</v>
          </cell>
          <cell r="G640">
            <v>12</v>
          </cell>
          <cell r="H640">
            <v>35.07</v>
          </cell>
          <cell r="I640">
            <v>1418.38320888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P640">
            <v>1418</v>
          </cell>
          <cell r="V640" t="str">
            <v>Not Available</v>
          </cell>
        </row>
        <row r="641">
          <cell r="A641" t="str">
            <v>100200840021</v>
          </cell>
          <cell r="B641" t="str">
            <v>Laldiyara</v>
          </cell>
          <cell r="C641" t="str">
            <v>Laldiyara</v>
          </cell>
          <cell r="D641" t="str">
            <v>MANOHARPUR</v>
          </cell>
          <cell r="E641">
            <v>10020084</v>
          </cell>
          <cell r="F641" t="str">
            <v>0021</v>
          </cell>
          <cell r="G641">
            <v>5</v>
          </cell>
          <cell r="H641">
            <v>55.13</v>
          </cell>
          <cell r="I641">
            <v>2066.5478473200001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P641">
            <v>2067</v>
          </cell>
          <cell r="V641" t="str">
            <v>Not Available</v>
          </cell>
        </row>
        <row r="642">
          <cell r="A642" t="str">
            <v>100200840022</v>
          </cell>
          <cell r="B642" t="str">
            <v>Laldiyara</v>
          </cell>
          <cell r="C642" t="str">
            <v>Laldiyara</v>
          </cell>
          <cell r="D642" t="str">
            <v>MANOHARPUR</v>
          </cell>
          <cell r="E642">
            <v>10020084</v>
          </cell>
          <cell r="F642" t="str">
            <v>0022</v>
          </cell>
          <cell r="G642">
            <v>5</v>
          </cell>
          <cell r="H642">
            <v>11.52</v>
          </cell>
          <cell r="I642">
            <v>425.85016240800002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P642">
            <v>426</v>
          </cell>
          <cell r="V642" t="str">
            <v>Not Available</v>
          </cell>
        </row>
        <row r="643">
          <cell r="A643" t="str">
            <v>100200840023</v>
          </cell>
          <cell r="B643" t="str">
            <v>Laldiyara</v>
          </cell>
          <cell r="C643" t="str">
            <v>Laldiyara</v>
          </cell>
          <cell r="D643" t="str">
            <v>MANOHARPUR</v>
          </cell>
          <cell r="E643">
            <v>10020084</v>
          </cell>
          <cell r="F643" t="str">
            <v>0023</v>
          </cell>
          <cell r="G643">
            <v>9</v>
          </cell>
          <cell r="H643">
            <v>19.34</v>
          </cell>
          <cell r="I643">
            <v>810.75624814800017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P643">
            <v>811</v>
          </cell>
          <cell r="V643" t="str">
            <v>Not Available</v>
          </cell>
        </row>
        <row r="644">
          <cell r="A644" t="str">
            <v>100200840024</v>
          </cell>
          <cell r="B644" t="str">
            <v>Laldiyara</v>
          </cell>
          <cell r="C644" t="str">
            <v>Laldiyara</v>
          </cell>
          <cell r="D644" t="str">
            <v>MANOHARPUR</v>
          </cell>
          <cell r="E644">
            <v>10020084</v>
          </cell>
          <cell r="F644" t="str">
            <v>0024</v>
          </cell>
          <cell r="G644">
            <v>2</v>
          </cell>
          <cell r="H644">
            <v>15.34</v>
          </cell>
          <cell r="I644">
            <v>575.17762381200009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P644">
            <v>575</v>
          </cell>
          <cell r="V644" t="str">
            <v>Not Available</v>
          </cell>
        </row>
        <row r="645">
          <cell r="A645" t="str">
            <v>100200840025</v>
          </cell>
          <cell r="B645" t="str">
            <v>Laldiyara</v>
          </cell>
          <cell r="C645" t="str">
            <v>Laldiyara</v>
          </cell>
          <cell r="D645" t="str">
            <v>MANOHARPUR</v>
          </cell>
          <cell r="E645">
            <v>10020084</v>
          </cell>
          <cell r="F645" t="str">
            <v>0025</v>
          </cell>
          <cell r="G645">
            <v>6</v>
          </cell>
          <cell r="H645">
            <v>49.18</v>
          </cell>
          <cell r="I645">
            <v>1879.016868828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P645">
            <v>1879</v>
          </cell>
          <cell r="V645" t="str">
            <v>Not Available</v>
          </cell>
        </row>
        <row r="646">
          <cell r="A646" t="str">
            <v>100200840026</v>
          </cell>
          <cell r="B646" t="str">
            <v>Laldiyara</v>
          </cell>
          <cell r="C646" t="str">
            <v>Laldiyara</v>
          </cell>
          <cell r="D646" t="str">
            <v>MANOHARPUR</v>
          </cell>
          <cell r="E646">
            <v>10020084</v>
          </cell>
          <cell r="F646" t="str">
            <v>0026</v>
          </cell>
          <cell r="G646">
            <v>11</v>
          </cell>
          <cell r="H646">
            <v>56.230000000000004</v>
          </cell>
          <cell r="I646">
            <v>2171.0898807840003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P646">
            <v>2171</v>
          </cell>
          <cell r="V646" t="str">
            <v>Not Available</v>
          </cell>
        </row>
        <row r="647">
          <cell r="A647" t="str">
            <v>100200840027</v>
          </cell>
          <cell r="B647" t="str">
            <v>Laldiyara</v>
          </cell>
          <cell r="C647" t="str">
            <v>Laldiyara</v>
          </cell>
          <cell r="D647" t="str">
            <v>MANOHARPUR</v>
          </cell>
          <cell r="E647">
            <v>10020084</v>
          </cell>
          <cell r="F647" t="str">
            <v>0027</v>
          </cell>
          <cell r="G647">
            <v>7</v>
          </cell>
          <cell r="H647">
            <v>16.7</v>
          </cell>
          <cell r="I647">
            <v>707.19706688400015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P647">
            <v>707</v>
          </cell>
          <cell r="V647" t="str">
            <v>Not Available</v>
          </cell>
        </row>
        <row r="648">
          <cell r="A648" t="str">
            <v>100200840028</v>
          </cell>
          <cell r="B648" t="str">
            <v>Laldiyara</v>
          </cell>
          <cell r="C648" t="str">
            <v>Laldiyara</v>
          </cell>
          <cell r="D648" t="str">
            <v>MANOHARPUR</v>
          </cell>
          <cell r="E648">
            <v>10020084</v>
          </cell>
          <cell r="F648" t="str">
            <v>0028</v>
          </cell>
          <cell r="G648">
            <v>1</v>
          </cell>
          <cell r="H648">
            <v>10.85</v>
          </cell>
          <cell r="I648">
            <v>406.75654403999999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P648">
            <v>407</v>
          </cell>
          <cell r="V648" t="str">
            <v>Not Available</v>
          </cell>
        </row>
        <row r="649">
          <cell r="A649" t="str">
            <v>100200840029</v>
          </cell>
          <cell r="B649" t="str">
            <v>Laldiyara</v>
          </cell>
          <cell r="C649" t="str">
            <v>Laldiyara</v>
          </cell>
          <cell r="D649" t="str">
            <v>MANOHARPUR</v>
          </cell>
          <cell r="E649">
            <v>10020084</v>
          </cell>
          <cell r="F649" t="str">
            <v>0029</v>
          </cell>
          <cell r="G649">
            <v>7</v>
          </cell>
          <cell r="H649">
            <v>22.94</v>
          </cell>
          <cell r="I649">
            <v>946.70527960800007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P649">
            <v>947</v>
          </cell>
          <cell r="V649" t="str">
            <v>Not Available</v>
          </cell>
        </row>
        <row r="650">
          <cell r="A650" t="str">
            <v>100200840030</v>
          </cell>
          <cell r="B650" t="str">
            <v>Laldiyara</v>
          </cell>
          <cell r="C650" t="str">
            <v>Laldiyara</v>
          </cell>
          <cell r="D650" t="str">
            <v>MANOHARPUR</v>
          </cell>
          <cell r="E650">
            <v>10020084</v>
          </cell>
          <cell r="F650" t="str">
            <v>0030</v>
          </cell>
          <cell r="G650">
            <v>13</v>
          </cell>
          <cell r="H650">
            <v>44.470000000000006</v>
          </cell>
          <cell r="I650">
            <v>1710.1567324512002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P650">
            <v>1710</v>
          </cell>
          <cell r="V650" t="str">
            <v>Not Available</v>
          </cell>
        </row>
        <row r="651">
          <cell r="A651" t="str">
            <v>100200840031</v>
          </cell>
          <cell r="B651" t="str">
            <v>Laldiyara</v>
          </cell>
          <cell r="C651" t="str">
            <v>Laldiyara</v>
          </cell>
          <cell r="D651" t="str">
            <v>MANOHARPUR</v>
          </cell>
          <cell r="E651">
            <v>10020084</v>
          </cell>
          <cell r="F651" t="str">
            <v>0031</v>
          </cell>
          <cell r="G651">
            <v>13</v>
          </cell>
          <cell r="H651">
            <v>47.85</v>
          </cell>
          <cell r="I651">
            <v>1907.5207120200005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P651">
            <v>1908</v>
          </cell>
          <cell r="V651" t="str">
            <v>Not Available</v>
          </cell>
        </row>
        <row r="652">
          <cell r="A652" t="str">
            <v>100200840032</v>
          </cell>
          <cell r="B652" t="str">
            <v>Laldiyara</v>
          </cell>
          <cell r="C652" t="str">
            <v>Laldiyara</v>
          </cell>
          <cell r="D652" t="str">
            <v>MANOHARPUR</v>
          </cell>
          <cell r="E652">
            <v>10020084</v>
          </cell>
          <cell r="F652" t="str">
            <v>0032</v>
          </cell>
          <cell r="G652">
            <v>12</v>
          </cell>
          <cell r="H652">
            <v>57.129999999999995</v>
          </cell>
          <cell r="I652">
            <v>2212.8601817520002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P652">
            <v>2213</v>
          </cell>
          <cell r="V652" t="str">
            <v>Not Available</v>
          </cell>
        </row>
        <row r="653">
          <cell r="A653" t="str">
            <v>100200840034</v>
          </cell>
          <cell r="B653" t="str">
            <v>Laldiyara</v>
          </cell>
          <cell r="C653" t="str">
            <v>Laldiyara</v>
          </cell>
          <cell r="D653" t="str">
            <v>MANOHARPUR</v>
          </cell>
          <cell r="E653">
            <v>10020084</v>
          </cell>
          <cell r="F653" t="str">
            <v>0034</v>
          </cell>
          <cell r="G653">
            <v>4</v>
          </cell>
          <cell r="H653">
            <v>10.809999999999999</v>
          </cell>
          <cell r="I653">
            <v>398.82948692400004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P653">
            <v>399</v>
          </cell>
          <cell r="V653" t="str">
            <v>Not Available</v>
          </cell>
        </row>
        <row r="654">
          <cell r="A654" t="str">
            <v>100200840035</v>
          </cell>
          <cell r="B654" t="str">
            <v>Laldiyara</v>
          </cell>
          <cell r="C654" t="str">
            <v>Laldiyara</v>
          </cell>
          <cell r="D654" t="str">
            <v>MANOHARPUR</v>
          </cell>
          <cell r="E654">
            <v>10020084</v>
          </cell>
          <cell r="F654" t="str">
            <v>0035</v>
          </cell>
          <cell r="G654">
            <v>7</v>
          </cell>
          <cell r="H654">
            <v>14.870000000000001</v>
          </cell>
          <cell r="I654">
            <v>669.28330420973998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P654">
            <v>669</v>
          </cell>
          <cell r="V654" t="str">
            <v>Not Available</v>
          </cell>
        </row>
        <row r="655">
          <cell r="A655" t="str">
            <v>100200840038</v>
          </cell>
          <cell r="B655" t="str">
            <v>Laldiyara</v>
          </cell>
          <cell r="C655" t="str">
            <v>Laldiyara</v>
          </cell>
          <cell r="D655" t="str">
            <v>MANOHARPUR</v>
          </cell>
          <cell r="E655">
            <v>10020084</v>
          </cell>
          <cell r="F655" t="str">
            <v>0038</v>
          </cell>
          <cell r="G655">
            <v>5</v>
          </cell>
          <cell r="H655">
            <v>16.810000000000002</v>
          </cell>
          <cell r="I655">
            <v>644.62829508000016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P655">
            <v>645</v>
          </cell>
          <cell r="V655" t="str">
            <v>Not Available</v>
          </cell>
        </row>
        <row r="656">
          <cell r="A656" t="str">
            <v>100300030001</v>
          </cell>
          <cell r="B656" t="str">
            <v>Asarganj</v>
          </cell>
          <cell r="C656" t="str">
            <v>Asarganj</v>
          </cell>
          <cell r="D656" t="str">
            <v>CHATMADIH</v>
          </cell>
          <cell r="E656">
            <v>10030003</v>
          </cell>
          <cell r="F656" t="str">
            <v>0001</v>
          </cell>
          <cell r="G656">
            <v>13</v>
          </cell>
          <cell r="H656">
            <v>21.1</v>
          </cell>
          <cell r="I656">
            <v>1224.0585944179402</v>
          </cell>
          <cell r="J656">
            <v>0</v>
          </cell>
          <cell r="K656">
            <v>1224.0585944179402</v>
          </cell>
          <cell r="L656">
            <v>0</v>
          </cell>
          <cell r="M656">
            <v>0</v>
          </cell>
          <cell r="P656">
            <v>0</v>
          </cell>
          <cell r="V656" t="str">
            <v>Not Available</v>
          </cell>
        </row>
        <row r="657">
          <cell r="A657" t="str">
            <v>100300030002</v>
          </cell>
          <cell r="B657" t="str">
            <v>Asarganj</v>
          </cell>
          <cell r="C657" t="str">
            <v>Asarganj</v>
          </cell>
          <cell r="D657" t="str">
            <v>CHATMADIH</v>
          </cell>
          <cell r="E657">
            <v>10030003</v>
          </cell>
          <cell r="F657" t="str">
            <v>0002</v>
          </cell>
          <cell r="G657">
            <v>4</v>
          </cell>
          <cell r="H657">
            <v>12.400000000000002</v>
          </cell>
          <cell r="I657">
            <v>540.95486128200014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P657">
            <v>541</v>
          </cell>
          <cell r="V657" t="str">
            <v>Available</v>
          </cell>
        </row>
        <row r="658">
          <cell r="A658" t="str">
            <v>100300030003</v>
          </cell>
          <cell r="B658" t="str">
            <v>Asarganj</v>
          </cell>
          <cell r="C658" t="str">
            <v>Asarganj</v>
          </cell>
          <cell r="D658" t="str">
            <v>CHATMADIH</v>
          </cell>
          <cell r="E658">
            <v>10030003</v>
          </cell>
          <cell r="F658" t="str">
            <v>0003</v>
          </cell>
          <cell r="G658">
            <v>14</v>
          </cell>
          <cell r="H658">
            <v>83.8</v>
          </cell>
          <cell r="I658">
            <v>3103.6382494919999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P658">
            <v>3104</v>
          </cell>
          <cell r="V658" t="str">
            <v>Available</v>
          </cell>
        </row>
        <row r="659">
          <cell r="A659" t="str">
            <v>100300030008</v>
          </cell>
          <cell r="B659" t="str">
            <v>Asarganj</v>
          </cell>
          <cell r="C659" t="str">
            <v>Asarganj</v>
          </cell>
          <cell r="D659" t="str">
            <v>CHATMADIH</v>
          </cell>
          <cell r="E659">
            <v>10030003</v>
          </cell>
          <cell r="F659" t="str">
            <v>0008</v>
          </cell>
          <cell r="G659">
            <v>7</v>
          </cell>
          <cell r="H659">
            <v>18.8</v>
          </cell>
          <cell r="I659">
            <v>985.02500835900003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P659">
            <v>985</v>
          </cell>
          <cell r="V659" t="str">
            <v>Available</v>
          </cell>
        </row>
        <row r="660">
          <cell r="A660" t="str">
            <v>100300030012</v>
          </cell>
          <cell r="B660" t="str">
            <v>Asarganj</v>
          </cell>
          <cell r="C660" t="str">
            <v>Asarganj</v>
          </cell>
          <cell r="D660" t="str">
            <v>CHATMADIH</v>
          </cell>
          <cell r="E660">
            <v>10030003</v>
          </cell>
          <cell r="F660" t="str">
            <v>0012</v>
          </cell>
          <cell r="G660">
            <v>14</v>
          </cell>
          <cell r="H660">
            <v>64.300000000000011</v>
          </cell>
          <cell r="I660">
            <v>3499.7460416490007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P660">
            <v>3500</v>
          </cell>
          <cell r="V660" t="str">
            <v>Available</v>
          </cell>
        </row>
        <row r="661">
          <cell r="A661" t="str">
            <v>100300030018</v>
          </cell>
          <cell r="B661" t="str">
            <v>Asarganj</v>
          </cell>
          <cell r="C661" t="str">
            <v>Asarganj</v>
          </cell>
          <cell r="D661" t="str">
            <v>CHATMADIH</v>
          </cell>
          <cell r="E661">
            <v>10030003</v>
          </cell>
          <cell r="F661" t="str">
            <v>0018</v>
          </cell>
          <cell r="G661">
            <v>7</v>
          </cell>
          <cell r="H661">
            <v>10.600000000000001</v>
          </cell>
          <cell r="I661">
            <v>437.20860744000004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P661">
            <v>437</v>
          </cell>
          <cell r="V661" t="str">
            <v>Available</v>
          </cell>
        </row>
        <row r="662">
          <cell r="A662" t="str">
            <v>100300030026</v>
          </cell>
          <cell r="B662" t="str">
            <v>Asarganj</v>
          </cell>
          <cell r="C662" t="str">
            <v>Asarganj</v>
          </cell>
          <cell r="D662" t="str">
            <v>CHATMADIH</v>
          </cell>
          <cell r="E662">
            <v>10030003</v>
          </cell>
          <cell r="F662" t="str">
            <v>0026</v>
          </cell>
          <cell r="G662">
            <v>13</v>
          </cell>
          <cell r="H662">
            <v>72.400000000000006</v>
          </cell>
          <cell r="I662">
            <v>3702.1522697589999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P662">
            <v>3702</v>
          </cell>
          <cell r="V662" t="str">
            <v>Available</v>
          </cell>
        </row>
        <row r="663">
          <cell r="A663" t="str">
            <v>100300030030</v>
          </cell>
          <cell r="B663" t="str">
            <v>Asarganj</v>
          </cell>
          <cell r="C663" t="str">
            <v>Asarganj</v>
          </cell>
          <cell r="D663" t="str">
            <v>CHATMADIH</v>
          </cell>
          <cell r="E663">
            <v>10030003</v>
          </cell>
          <cell r="F663" t="str">
            <v>0030</v>
          </cell>
          <cell r="G663">
            <v>6</v>
          </cell>
          <cell r="H663">
            <v>30.799999999999997</v>
          </cell>
          <cell r="I663">
            <v>1242.6561575999997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P663">
            <v>1243</v>
          </cell>
          <cell r="V663" t="str">
            <v>Available</v>
          </cell>
        </row>
        <row r="664">
          <cell r="A664" t="str">
            <v>100300030044</v>
          </cell>
          <cell r="B664" t="str">
            <v>Asarganj</v>
          </cell>
          <cell r="C664" t="str">
            <v>Asarganj</v>
          </cell>
          <cell r="D664" t="str">
            <v>CHATMADIH</v>
          </cell>
          <cell r="E664">
            <v>10030003</v>
          </cell>
          <cell r="F664" t="str">
            <v>0044</v>
          </cell>
          <cell r="G664">
            <v>7</v>
          </cell>
          <cell r="H664">
            <v>12.4</v>
          </cell>
          <cell r="I664">
            <v>796.36654373800013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P664">
            <v>796</v>
          </cell>
          <cell r="V664" t="str">
            <v>Available</v>
          </cell>
        </row>
        <row r="665">
          <cell r="A665" t="str">
            <v>100300030048</v>
          </cell>
          <cell r="B665" t="str">
            <v>Asarganj</v>
          </cell>
          <cell r="C665" t="str">
            <v>Asarganj</v>
          </cell>
          <cell r="D665" t="str">
            <v>CHATMADIH</v>
          </cell>
          <cell r="E665">
            <v>10030003</v>
          </cell>
          <cell r="F665" t="str">
            <v>0048</v>
          </cell>
          <cell r="G665">
            <v>4</v>
          </cell>
          <cell r="H665">
            <v>8.3000000000000007</v>
          </cell>
          <cell r="I665">
            <v>333.62832373200001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P665">
            <v>334</v>
          </cell>
          <cell r="V665" t="str">
            <v>Available</v>
          </cell>
        </row>
        <row r="666">
          <cell r="A666" t="str">
            <v>100300030052</v>
          </cell>
          <cell r="B666" t="str">
            <v>Asarganj</v>
          </cell>
          <cell r="C666" t="str">
            <v>Asarganj</v>
          </cell>
          <cell r="D666" t="str">
            <v>CHATMADIH</v>
          </cell>
          <cell r="E666">
            <v>10030003</v>
          </cell>
          <cell r="F666" t="str">
            <v>0052</v>
          </cell>
          <cell r="G666">
            <v>14</v>
          </cell>
          <cell r="H666">
            <v>77.600000000000009</v>
          </cell>
          <cell r="I666">
            <v>3779.0896984179999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P666">
            <v>3779</v>
          </cell>
          <cell r="V666" t="str">
            <v>Available</v>
          </cell>
        </row>
        <row r="667">
          <cell r="A667" t="str">
            <v>100300030062</v>
          </cell>
          <cell r="B667" t="str">
            <v>Asarganj</v>
          </cell>
          <cell r="C667" t="str">
            <v>Asarganj</v>
          </cell>
          <cell r="D667" t="str">
            <v>CHATMADIH</v>
          </cell>
          <cell r="E667">
            <v>10030003</v>
          </cell>
          <cell r="F667" t="str">
            <v>0062</v>
          </cell>
          <cell r="G667">
            <v>6</v>
          </cell>
          <cell r="H667">
            <v>17.400000000000002</v>
          </cell>
          <cell r="I667">
            <v>691.71741864000012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P667">
            <v>692</v>
          </cell>
          <cell r="V667" t="str">
            <v>Available</v>
          </cell>
        </row>
        <row r="668">
          <cell r="A668" t="str">
            <v>100300030091</v>
          </cell>
          <cell r="B668" t="str">
            <v>Asarganj</v>
          </cell>
          <cell r="C668" t="str">
            <v>Asarganj</v>
          </cell>
          <cell r="D668" t="str">
            <v>CHATMADIH</v>
          </cell>
          <cell r="E668">
            <v>10030003</v>
          </cell>
          <cell r="F668" t="str">
            <v>0091</v>
          </cell>
          <cell r="G668">
            <v>5</v>
          </cell>
          <cell r="H668">
            <v>11.8</v>
          </cell>
          <cell r="I668">
            <v>633.59032631879995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P668">
            <v>634</v>
          </cell>
          <cell r="V668" t="str">
            <v>Available</v>
          </cell>
        </row>
        <row r="669">
          <cell r="A669" t="str">
            <v>100300030093</v>
          </cell>
          <cell r="B669" t="str">
            <v>Asarganj</v>
          </cell>
          <cell r="C669" t="str">
            <v>Asarganj</v>
          </cell>
          <cell r="D669" t="str">
            <v>CHATMADIH</v>
          </cell>
          <cell r="E669">
            <v>10030003</v>
          </cell>
          <cell r="F669" t="str">
            <v>0093</v>
          </cell>
          <cell r="G669">
            <v>2</v>
          </cell>
          <cell r="H669">
            <v>2.4000000000000004</v>
          </cell>
          <cell r="I669">
            <v>149.96313706110001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P669">
            <v>150</v>
          </cell>
          <cell r="V669" t="str">
            <v>Available</v>
          </cell>
        </row>
        <row r="670">
          <cell r="A670" t="str">
            <v>100300030111</v>
          </cell>
          <cell r="B670" t="str">
            <v>Asarganj</v>
          </cell>
          <cell r="C670" t="str">
            <v>Asarganj</v>
          </cell>
          <cell r="D670" t="str">
            <v>CHATMADIH</v>
          </cell>
          <cell r="E670">
            <v>10030003</v>
          </cell>
          <cell r="F670" t="str">
            <v>0111</v>
          </cell>
          <cell r="G670">
            <v>4</v>
          </cell>
          <cell r="H670">
            <v>13.1</v>
          </cell>
          <cell r="I670">
            <v>497.90540844000009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P670">
            <v>498</v>
          </cell>
          <cell r="V670" t="str">
            <v>Available</v>
          </cell>
        </row>
        <row r="671">
          <cell r="A671" t="str">
            <v>100300030126</v>
          </cell>
          <cell r="B671" t="str">
            <v>Asarganj</v>
          </cell>
          <cell r="C671" t="str">
            <v>Asarganj</v>
          </cell>
          <cell r="D671" t="str">
            <v>CHATMADIH</v>
          </cell>
          <cell r="E671">
            <v>10030003</v>
          </cell>
          <cell r="F671" t="str">
            <v>0126</v>
          </cell>
          <cell r="G671">
            <v>7</v>
          </cell>
          <cell r="H671">
            <v>37.4</v>
          </cell>
          <cell r="I671">
            <v>1292.4796539600002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P671">
            <v>1292</v>
          </cell>
          <cell r="V671" t="str">
            <v>Available</v>
          </cell>
        </row>
        <row r="672">
          <cell r="A672" t="str">
            <v>100300030128</v>
          </cell>
          <cell r="B672" t="str">
            <v>Asarganj</v>
          </cell>
          <cell r="C672" t="str">
            <v>Asarganj</v>
          </cell>
          <cell r="D672" t="str">
            <v>CHATMADIH</v>
          </cell>
          <cell r="E672">
            <v>10030003</v>
          </cell>
          <cell r="F672" t="str">
            <v>0128</v>
          </cell>
          <cell r="G672">
            <v>7</v>
          </cell>
          <cell r="H672">
            <v>21.900000000000002</v>
          </cell>
          <cell r="I672">
            <v>1202.120349308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P672">
            <v>1202</v>
          </cell>
          <cell r="V672" t="str">
            <v>Available</v>
          </cell>
        </row>
        <row r="673">
          <cell r="A673" t="str">
            <v>100300030131</v>
          </cell>
          <cell r="B673" t="str">
            <v>Asarganj</v>
          </cell>
          <cell r="C673" t="str">
            <v>Asarganj</v>
          </cell>
          <cell r="D673" t="str">
            <v>CHATMADIH</v>
          </cell>
          <cell r="E673">
            <v>10030003</v>
          </cell>
          <cell r="F673" t="str">
            <v>0131</v>
          </cell>
          <cell r="G673">
            <v>13</v>
          </cell>
          <cell r="H673">
            <v>114.1</v>
          </cell>
          <cell r="I673">
            <v>4643.2544201999999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P673">
            <v>4643</v>
          </cell>
          <cell r="V673" t="str">
            <v>Available</v>
          </cell>
        </row>
        <row r="674">
          <cell r="A674" t="str">
            <v>100300030137</v>
          </cell>
          <cell r="B674" t="str">
            <v>Asarganj</v>
          </cell>
          <cell r="C674" t="str">
            <v>Asarganj</v>
          </cell>
          <cell r="D674" t="str">
            <v>CHATMADIH</v>
          </cell>
          <cell r="E674">
            <v>10030003</v>
          </cell>
          <cell r="F674" t="str">
            <v>0137</v>
          </cell>
          <cell r="G674">
            <v>7</v>
          </cell>
          <cell r="H674">
            <v>29.3</v>
          </cell>
          <cell r="I674">
            <v>1058.2697489760001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P674">
            <v>1058</v>
          </cell>
          <cell r="V674" t="str">
            <v>Available</v>
          </cell>
        </row>
        <row r="675">
          <cell r="A675" t="str">
            <v>100300030148</v>
          </cell>
          <cell r="B675" t="str">
            <v>Asarganj</v>
          </cell>
          <cell r="C675" t="str">
            <v>Asarganj</v>
          </cell>
          <cell r="D675" t="str">
            <v>CHATMADIH</v>
          </cell>
          <cell r="E675">
            <v>10030003</v>
          </cell>
          <cell r="F675" t="str">
            <v>0148</v>
          </cell>
          <cell r="G675">
            <v>10</v>
          </cell>
          <cell r="H675">
            <v>47.800000000000004</v>
          </cell>
          <cell r="I675">
            <v>1676.0723334300001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P675">
            <v>1676</v>
          </cell>
          <cell r="V675" t="str">
            <v>Available</v>
          </cell>
        </row>
        <row r="676">
          <cell r="A676" t="str">
            <v>100300030177</v>
          </cell>
          <cell r="B676" t="str">
            <v>Asarganj</v>
          </cell>
          <cell r="C676" t="str">
            <v>Asarganj</v>
          </cell>
          <cell r="D676" t="str">
            <v>CHATMADIH</v>
          </cell>
          <cell r="E676">
            <v>10030003</v>
          </cell>
          <cell r="F676" t="str">
            <v>0177</v>
          </cell>
          <cell r="G676">
            <v>12</v>
          </cell>
          <cell r="H676">
            <v>37.199999999999996</v>
          </cell>
          <cell r="I676">
            <v>1608.2858069216004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P676">
            <v>1608</v>
          </cell>
          <cell r="V676" t="str">
            <v>Available</v>
          </cell>
        </row>
        <row r="677">
          <cell r="A677" t="str">
            <v>100300030202</v>
          </cell>
          <cell r="B677" t="str">
            <v>Asarganj</v>
          </cell>
          <cell r="C677" t="str">
            <v>Asarganj</v>
          </cell>
          <cell r="D677" t="str">
            <v>CHATMADIH</v>
          </cell>
          <cell r="E677">
            <v>10030003</v>
          </cell>
          <cell r="F677" t="str">
            <v>0202</v>
          </cell>
          <cell r="G677">
            <v>13</v>
          </cell>
          <cell r="H677">
            <v>36.599999999999994</v>
          </cell>
          <cell r="I677">
            <v>1546.3815048000001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P677">
            <v>1546</v>
          </cell>
          <cell r="V677" t="str">
            <v>Available</v>
          </cell>
        </row>
        <row r="678">
          <cell r="A678" t="str">
            <v>100300030205</v>
          </cell>
          <cell r="B678" t="str">
            <v>Asarganj</v>
          </cell>
          <cell r="C678" t="str">
            <v>Asarganj</v>
          </cell>
          <cell r="D678" t="str">
            <v>CHATMADIH</v>
          </cell>
          <cell r="E678">
            <v>10030003</v>
          </cell>
          <cell r="F678" t="str">
            <v>0205</v>
          </cell>
          <cell r="G678">
            <v>7</v>
          </cell>
          <cell r="H678">
            <v>33.299999999999997</v>
          </cell>
          <cell r="I678">
            <v>1215.8755290000001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P678">
            <v>1216</v>
          </cell>
          <cell r="V678" t="str">
            <v>Available</v>
          </cell>
        </row>
        <row r="679">
          <cell r="A679" t="str">
            <v>100300030215</v>
          </cell>
          <cell r="B679" t="str">
            <v>Asarganj</v>
          </cell>
          <cell r="C679" t="str">
            <v>Asarganj</v>
          </cell>
          <cell r="D679" t="str">
            <v>CHATMADIH</v>
          </cell>
          <cell r="E679">
            <v>10030003</v>
          </cell>
          <cell r="F679" t="str">
            <v>0215</v>
          </cell>
          <cell r="G679">
            <v>7</v>
          </cell>
          <cell r="H679">
            <v>61.5</v>
          </cell>
          <cell r="I679">
            <v>1959.8716173960004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P679">
            <v>1960</v>
          </cell>
          <cell r="V679" t="str">
            <v>Available</v>
          </cell>
        </row>
        <row r="680">
          <cell r="A680" t="str">
            <v>100300030223</v>
          </cell>
          <cell r="B680" t="str">
            <v>Asarganj</v>
          </cell>
          <cell r="C680" t="str">
            <v>Asarganj</v>
          </cell>
          <cell r="D680" t="str">
            <v>CHATMADIH</v>
          </cell>
          <cell r="E680">
            <v>10030003</v>
          </cell>
          <cell r="F680" t="str">
            <v>0223</v>
          </cell>
          <cell r="G680">
            <v>7</v>
          </cell>
          <cell r="H680">
            <v>25.799999999999997</v>
          </cell>
          <cell r="I680">
            <v>1217.7224716999999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P680">
            <v>1218</v>
          </cell>
          <cell r="V680" t="str">
            <v>Available</v>
          </cell>
        </row>
        <row r="681">
          <cell r="A681" t="str">
            <v>100300030225</v>
          </cell>
          <cell r="B681" t="str">
            <v>Asarganj</v>
          </cell>
          <cell r="C681" t="str">
            <v>Asarganj</v>
          </cell>
          <cell r="D681" t="str">
            <v>CHATMADIH</v>
          </cell>
          <cell r="E681">
            <v>10030003</v>
          </cell>
          <cell r="F681" t="str">
            <v>0225</v>
          </cell>
          <cell r="G681">
            <v>5</v>
          </cell>
          <cell r="H681">
            <v>19.3</v>
          </cell>
          <cell r="I681">
            <v>836.39544296240001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P681">
            <v>836</v>
          </cell>
          <cell r="V681" t="str">
            <v>Available</v>
          </cell>
        </row>
        <row r="682">
          <cell r="A682" t="str">
            <v>100300030233</v>
          </cell>
          <cell r="B682" t="str">
            <v>Asarganj</v>
          </cell>
          <cell r="C682" t="str">
            <v>Asarganj</v>
          </cell>
          <cell r="D682" t="str">
            <v>CHATMADIH</v>
          </cell>
          <cell r="E682">
            <v>10030003</v>
          </cell>
          <cell r="F682" t="str">
            <v>0233</v>
          </cell>
          <cell r="G682">
            <v>7</v>
          </cell>
          <cell r="H682">
            <v>16.100000000000001</v>
          </cell>
          <cell r="I682">
            <v>671.45456441580006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P682">
            <v>671</v>
          </cell>
          <cell r="V682" t="str">
            <v>Available</v>
          </cell>
        </row>
        <row r="683">
          <cell r="A683" t="str">
            <v>100300030244</v>
          </cell>
          <cell r="B683" t="str">
            <v>Asarganj</v>
          </cell>
          <cell r="C683" t="str">
            <v>Asarganj</v>
          </cell>
          <cell r="D683" t="str">
            <v>CHATMADIH</v>
          </cell>
          <cell r="E683">
            <v>10030003</v>
          </cell>
          <cell r="F683" t="str">
            <v>0244</v>
          </cell>
          <cell r="G683">
            <v>2</v>
          </cell>
          <cell r="H683">
            <v>5.8000000000000007</v>
          </cell>
          <cell r="I683">
            <v>336.44662733400003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P683">
            <v>336</v>
          </cell>
          <cell r="V683" t="str">
            <v>Available</v>
          </cell>
        </row>
        <row r="684">
          <cell r="A684" t="str">
            <v>100300030246</v>
          </cell>
          <cell r="B684" t="str">
            <v>Asarganj</v>
          </cell>
          <cell r="C684" t="str">
            <v>Asarganj</v>
          </cell>
          <cell r="D684" t="str">
            <v>CHATMADIH</v>
          </cell>
          <cell r="E684">
            <v>10030003</v>
          </cell>
          <cell r="F684" t="str">
            <v>0246</v>
          </cell>
          <cell r="G684">
            <v>3</v>
          </cell>
          <cell r="H684">
            <v>14.8</v>
          </cell>
          <cell r="I684">
            <v>628.65340560000004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P684">
            <v>629</v>
          </cell>
          <cell r="V684" t="str">
            <v>Available</v>
          </cell>
        </row>
        <row r="685">
          <cell r="A685" t="str">
            <v>100300030247</v>
          </cell>
          <cell r="B685" t="str">
            <v>Asarganj</v>
          </cell>
          <cell r="C685" t="str">
            <v>Asarganj</v>
          </cell>
          <cell r="D685" t="str">
            <v>CHATMADIH</v>
          </cell>
          <cell r="E685">
            <v>10030003</v>
          </cell>
          <cell r="F685" t="str">
            <v>0247</v>
          </cell>
          <cell r="G685">
            <v>5</v>
          </cell>
          <cell r="H685">
            <v>18.600000000000001</v>
          </cell>
          <cell r="I685">
            <v>671.39809704000015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P685">
            <v>671</v>
          </cell>
          <cell r="V685" t="str">
            <v>Available</v>
          </cell>
        </row>
        <row r="686">
          <cell r="A686" t="str">
            <v>100300030251</v>
          </cell>
          <cell r="B686" t="str">
            <v>Asarganj</v>
          </cell>
          <cell r="C686" t="str">
            <v>Asarganj</v>
          </cell>
          <cell r="D686" t="str">
            <v>CHATMADIH</v>
          </cell>
          <cell r="E686">
            <v>10030003</v>
          </cell>
          <cell r="F686" t="str">
            <v>0251</v>
          </cell>
          <cell r="G686">
            <v>14</v>
          </cell>
          <cell r="H686">
            <v>113</v>
          </cell>
          <cell r="I686">
            <v>4236.5875860000006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P686">
            <v>4237</v>
          </cell>
          <cell r="V686" t="str">
            <v>Available</v>
          </cell>
        </row>
        <row r="687">
          <cell r="A687" t="str">
            <v>100300030267</v>
          </cell>
          <cell r="B687" t="str">
            <v>Asarganj</v>
          </cell>
          <cell r="C687" t="str">
            <v>Asarganj</v>
          </cell>
          <cell r="D687" t="str">
            <v>CHATMADIH</v>
          </cell>
          <cell r="E687">
            <v>10030003</v>
          </cell>
          <cell r="F687" t="str">
            <v>0267</v>
          </cell>
          <cell r="G687">
            <v>7</v>
          </cell>
          <cell r="H687">
            <v>32.9</v>
          </cell>
          <cell r="I687">
            <v>1262.1021137999999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P687">
            <v>1262</v>
          </cell>
          <cell r="V687" t="str">
            <v>Available</v>
          </cell>
        </row>
        <row r="688">
          <cell r="A688" t="str">
            <v>100300030274</v>
          </cell>
          <cell r="B688" t="str">
            <v>Asarganj</v>
          </cell>
          <cell r="C688" t="str">
            <v>Asarganj</v>
          </cell>
          <cell r="D688" t="str">
            <v>CHATMADIH</v>
          </cell>
          <cell r="E688">
            <v>10030003</v>
          </cell>
          <cell r="F688" t="str">
            <v>0274</v>
          </cell>
          <cell r="G688">
            <v>7</v>
          </cell>
          <cell r="H688">
            <v>23.599999999999998</v>
          </cell>
          <cell r="I688">
            <v>1009.2024867600001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P688">
            <v>1009</v>
          </cell>
          <cell r="V688" t="str">
            <v>Available</v>
          </cell>
        </row>
        <row r="689">
          <cell r="A689" t="str">
            <v>100300030300</v>
          </cell>
          <cell r="B689" t="str">
            <v>Asarganj</v>
          </cell>
          <cell r="C689" t="str">
            <v>Asarganj</v>
          </cell>
          <cell r="D689" t="str">
            <v>CHATMADIH</v>
          </cell>
          <cell r="E689">
            <v>10030003</v>
          </cell>
          <cell r="F689" t="str">
            <v>0300</v>
          </cell>
          <cell r="G689">
            <v>6</v>
          </cell>
          <cell r="H689">
            <v>37.200000000000003</v>
          </cell>
          <cell r="I689">
            <v>1634.5564398900001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P689">
            <v>1635</v>
          </cell>
          <cell r="V689" t="str">
            <v>Available</v>
          </cell>
        </row>
        <row r="690">
          <cell r="A690" t="str">
            <v>100300030310</v>
          </cell>
          <cell r="B690" t="str">
            <v>Asarganj</v>
          </cell>
          <cell r="C690" t="str">
            <v>Asarganj</v>
          </cell>
          <cell r="D690" t="str">
            <v>CHATMADIH</v>
          </cell>
          <cell r="E690">
            <v>10030003</v>
          </cell>
          <cell r="F690" t="str">
            <v>0310</v>
          </cell>
          <cell r="G690">
            <v>2</v>
          </cell>
          <cell r="H690">
            <v>4.2</v>
          </cell>
          <cell r="I690">
            <v>212.43702728600005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P690">
            <v>212</v>
          </cell>
          <cell r="V690" t="str">
            <v>Available</v>
          </cell>
        </row>
        <row r="691">
          <cell r="A691" t="str">
            <v>100300030327</v>
          </cell>
          <cell r="B691" t="str">
            <v>Asarganj</v>
          </cell>
          <cell r="C691" t="str">
            <v>Asarganj</v>
          </cell>
          <cell r="D691" t="str">
            <v>CHATMADIH</v>
          </cell>
          <cell r="E691">
            <v>10030003</v>
          </cell>
          <cell r="F691" t="str">
            <v>0327</v>
          </cell>
          <cell r="G691">
            <v>7</v>
          </cell>
          <cell r="H691">
            <v>30.3</v>
          </cell>
          <cell r="I691">
            <v>1045.1308455720002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P691">
            <v>1045</v>
          </cell>
          <cell r="V691" t="str">
            <v>Available</v>
          </cell>
        </row>
        <row r="692">
          <cell r="A692" t="str">
            <v>100300030332</v>
          </cell>
          <cell r="B692" t="str">
            <v>Asarganj</v>
          </cell>
          <cell r="C692" t="str">
            <v>Asarganj</v>
          </cell>
          <cell r="D692" t="str">
            <v>CHATMADIH</v>
          </cell>
          <cell r="E692">
            <v>10030003</v>
          </cell>
          <cell r="F692" t="str">
            <v>0332</v>
          </cell>
          <cell r="G692">
            <v>7</v>
          </cell>
          <cell r="H692">
            <v>28.5</v>
          </cell>
          <cell r="I692">
            <v>1343.090312454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P692">
            <v>1343</v>
          </cell>
          <cell r="V692" t="str">
            <v>Available</v>
          </cell>
        </row>
        <row r="693">
          <cell r="A693" t="str">
            <v>100300030337</v>
          </cell>
          <cell r="B693" t="str">
            <v>Asarganj</v>
          </cell>
          <cell r="C693" t="str">
            <v>Asarganj</v>
          </cell>
          <cell r="D693" t="str">
            <v>CHATMADIH</v>
          </cell>
          <cell r="E693">
            <v>10030003</v>
          </cell>
          <cell r="F693" t="str">
            <v>0337</v>
          </cell>
          <cell r="G693">
            <v>10</v>
          </cell>
          <cell r="H693">
            <v>27.6</v>
          </cell>
          <cell r="I693">
            <v>1100.8713671999999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P693">
            <v>1101</v>
          </cell>
          <cell r="V693" t="str">
            <v>Available</v>
          </cell>
        </row>
        <row r="694">
          <cell r="A694" t="str">
            <v>100300030352</v>
          </cell>
          <cell r="B694" t="str">
            <v>Asarganj</v>
          </cell>
          <cell r="C694" t="str">
            <v>Asarganj</v>
          </cell>
          <cell r="D694" t="str">
            <v>CHATMADIH</v>
          </cell>
          <cell r="E694">
            <v>10030003</v>
          </cell>
          <cell r="F694" t="str">
            <v>0352</v>
          </cell>
          <cell r="G694">
            <v>6</v>
          </cell>
          <cell r="H694">
            <v>16.8</v>
          </cell>
          <cell r="I694">
            <v>659.71524959999999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P694">
            <v>660</v>
          </cell>
          <cell r="V694" t="str">
            <v>Available</v>
          </cell>
        </row>
        <row r="695">
          <cell r="A695" t="str">
            <v>100300030373</v>
          </cell>
          <cell r="B695" t="str">
            <v>Asarganj</v>
          </cell>
          <cell r="C695" t="str">
            <v>Asarganj</v>
          </cell>
          <cell r="D695" t="str">
            <v>CHATMADIH</v>
          </cell>
          <cell r="E695">
            <v>10030003</v>
          </cell>
          <cell r="F695" t="str">
            <v>0373</v>
          </cell>
          <cell r="G695">
            <v>3</v>
          </cell>
          <cell r="H695">
            <v>5.4</v>
          </cell>
          <cell r="I695">
            <v>340.02105482800005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P695">
            <v>340</v>
          </cell>
          <cell r="V695" t="str">
            <v>Available</v>
          </cell>
        </row>
        <row r="696">
          <cell r="A696" t="str">
            <v>100300030385</v>
          </cell>
          <cell r="B696" t="str">
            <v>Asarganj</v>
          </cell>
          <cell r="C696" t="str">
            <v>Asarganj</v>
          </cell>
          <cell r="D696" t="str">
            <v>CHATMADIH</v>
          </cell>
          <cell r="E696">
            <v>10030003</v>
          </cell>
          <cell r="F696" t="str">
            <v>0385</v>
          </cell>
          <cell r="G696">
            <v>6</v>
          </cell>
          <cell r="H696">
            <v>23.199999999999996</v>
          </cell>
          <cell r="I696">
            <v>1338.8392742148001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P696">
            <v>1339</v>
          </cell>
          <cell r="V696" t="str">
            <v>Available</v>
          </cell>
        </row>
        <row r="697">
          <cell r="A697" t="str">
            <v>100300030386</v>
          </cell>
          <cell r="B697" t="str">
            <v>Asarganj</v>
          </cell>
          <cell r="C697" t="str">
            <v>Asarganj</v>
          </cell>
          <cell r="D697" t="str">
            <v>CHATMADIH</v>
          </cell>
          <cell r="E697">
            <v>10030003</v>
          </cell>
          <cell r="F697" t="str">
            <v>0386</v>
          </cell>
          <cell r="G697">
            <v>13</v>
          </cell>
          <cell r="H697">
            <v>29.800000000000004</v>
          </cell>
          <cell r="I697">
            <v>1613.8174754384004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P697">
            <v>1614</v>
          </cell>
          <cell r="V697" t="str">
            <v>Available</v>
          </cell>
        </row>
        <row r="698">
          <cell r="A698" t="str">
            <v>100300030399</v>
          </cell>
          <cell r="B698" t="str">
            <v>Asarganj</v>
          </cell>
          <cell r="C698" t="str">
            <v>Asarganj</v>
          </cell>
          <cell r="D698" t="str">
            <v>CHATMADIH</v>
          </cell>
          <cell r="E698">
            <v>10030003</v>
          </cell>
          <cell r="F698" t="str">
            <v>0399</v>
          </cell>
          <cell r="G698">
            <v>7</v>
          </cell>
          <cell r="H698">
            <v>36.1</v>
          </cell>
          <cell r="I698">
            <v>1400.1380434800001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P698">
            <v>1400</v>
          </cell>
          <cell r="V698" t="str">
            <v>Available</v>
          </cell>
        </row>
        <row r="699">
          <cell r="A699" t="str">
            <v>100300030400</v>
          </cell>
          <cell r="B699" t="str">
            <v>Asarganj</v>
          </cell>
          <cell r="C699" t="str">
            <v>Asarganj</v>
          </cell>
          <cell r="D699" t="str">
            <v>CHATMADIH</v>
          </cell>
          <cell r="E699">
            <v>10030003</v>
          </cell>
          <cell r="F699" t="str">
            <v>0400</v>
          </cell>
          <cell r="G699">
            <v>3</v>
          </cell>
          <cell r="H699">
            <v>5.3</v>
          </cell>
          <cell r="I699">
            <v>190.86453936000001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P699">
            <v>191</v>
          </cell>
          <cell r="V699" t="str">
            <v>Available</v>
          </cell>
        </row>
        <row r="700">
          <cell r="A700" t="str">
            <v>100300030410</v>
          </cell>
          <cell r="B700" t="str">
            <v>Asarganj</v>
          </cell>
          <cell r="C700" t="str">
            <v>Asarganj</v>
          </cell>
          <cell r="D700" t="str">
            <v>CHATMADIH</v>
          </cell>
          <cell r="E700">
            <v>10030003</v>
          </cell>
          <cell r="F700" t="str">
            <v>0410</v>
          </cell>
          <cell r="G700">
            <v>6</v>
          </cell>
          <cell r="H700">
            <v>20.7</v>
          </cell>
          <cell r="I700">
            <v>876.13362540000003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P700">
            <v>876</v>
          </cell>
          <cell r="V700" t="str">
            <v>Available</v>
          </cell>
        </row>
        <row r="701">
          <cell r="A701" t="str">
            <v>100300030416</v>
          </cell>
          <cell r="B701" t="str">
            <v>Asarganj</v>
          </cell>
          <cell r="C701" t="str">
            <v>Asarganj</v>
          </cell>
          <cell r="D701" t="str">
            <v>CHATMADIH</v>
          </cell>
          <cell r="E701">
            <v>10030003</v>
          </cell>
          <cell r="F701" t="str">
            <v>0416</v>
          </cell>
          <cell r="G701">
            <v>14</v>
          </cell>
          <cell r="H701">
            <v>100.19999999999999</v>
          </cell>
          <cell r="I701">
            <v>4449.4511187908001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P701">
            <v>4449</v>
          </cell>
          <cell r="V701" t="str">
            <v>Available</v>
          </cell>
        </row>
        <row r="702">
          <cell r="A702" t="str">
            <v>100300030427</v>
          </cell>
          <cell r="B702" t="str">
            <v>Asarganj</v>
          </cell>
          <cell r="C702" t="str">
            <v>Asarganj</v>
          </cell>
          <cell r="D702" t="str">
            <v>CHATMADIH</v>
          </cell>
          <cell r="E702">
            <v>10030003</v>
          </cell>
          <cell r="F702" t="str">
            <v>0427</v>
          </cell>
          <cell r="G702">
            <v>3</v>
          </cell>
          <cell r="H702">
            <v>7.7999999999999989</v>
          </cell>
          <cell r="I702">
            <v>320.13502884000002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P702">
            <v>320</v>
          </cell>
          <cell r="V702" t="str">
            <v>Available</v>
          </cell>
        </row>
        <row r="703">
          <cell r="A703" t="str">
            <v>100300030436</v>
          </cell>
          <cell r="B703" t="str">
            <v>Asarganj</v>
          </cell>
          <cell r="C703" t="str">
            <v>Asarganj</v>
          </cell>
          <cell r="D703" t="str">
            <v>CHATMADIH</v>
          </cell>
          <cell r="E703">
            <v>10030003</v>
          </cell>
          <cell r="F703" t="str">
            <v>0436</v>
          </cell>
          <cell r="G703">
            <v>12</v>
          </cell>
          <cell r="H703">
            <v>68.5</v>
          </cell>
          <cell r="I703">
            <v>2505.7252836000002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P703">
            <v>2506</v>
          </cell>
          <cell r="V703" t="str">
            <v>Available</v>
          </cell>
        </row>
        <row r="704">
          <cell r="A704" t="str">
            <v>100300030439</v>
          </cell>
          <cell r="B704" t="str">
            <v>Asarganj</v>
          </cell>
          <cell r="C704" t="str">
            <v>Asarganj</v>
          </cell>
          <cell r="D704" t="str">
            <v>CHATMADIH</v>
          </cell>
          <cell r="E704">
            <v>10030003</v>
          </cell>
          <cell r="F704" t="str">
            <v>0439</v>
          </cell>
          <cell r="G704">
            <v>6</v>
          </cell>
          <cell r="H704">
            <v>9.4</v>
          </cell>
          <cell r="I704">
            <v>424.2324909976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P704">
            <v>424</v>
          </cell>
          <cell r="V704" t="str">
            <v>Available</v>
          </cell>
        </row>
        <row r="705">
          <cell r="A705" t="str">
            <v>100300030445</v>
          </cell>
          <cell r="B705" t="str">
            <v>Asarganj</v>
          </cell>
          <cell r="C705" t="str">
            <v>Asarganj</v>
          </cell>
          <cell r="D705" t="str">
            <v>CHATMADIH</v>
          </cell>
          <cell r="E705">
            <v>10030003</v>
          </cell>
          <cell r="F705" t="str">
            <v>0445</v>
          </cell>
          <cell r="G705">
            <v>13</v>
          </cell>
          <cell r="H705">
            <v>48.400000000000006</v>
          </cell>
          <cell r="I705">
            <v>1710.4426732799998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P705">
            <v>1710</v>
          </cell>
          <cell r="V705" t="str">
            <v>Available</v>
          </cell>
        </row>
        <row r="706">
          <cell r="A706" t="str">
            <v>100300030446</v>
          </cell>
          <cell r="B706" t="str">
            <v>Asarganj</v>
          </cell>
          <cell r="C706" t="str">
            <v>Asarganj</v>
          </cell>
          <cell r="D706" t="str">
            <v>CHATMADIH</v>
          </cell>
          <cell r="E706">
            <v>10030003</v>
          </cell>
          <cell r="F706" t="str">
            <v>0446</v>
          </cell>
          <cell r="G706">
            <v>12</v>
          </cell>
          <cell r="H706">
            <v>34.4</v>
          </cell>
          <cell r="I706">
            <v>1213.3945573200003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P706">
            <v>1213</v>
          </cell>
          <cell r="V706" t="str">
            <v>Available</v>
          </cell>
        </row>
        <row r="707">
          <cell r="A707" t="str">
            <v>100300030447</v>
          </cell>
          <cell r="B707" t="str">
            <v>Asarganj</v>
          </cell>
          <cell r="C707" t="str">
            <v>Asarganj</v>
          </cell>
          <cell r="D707" t="str">
            <v>CHATMADIH</v>
          </cell>
          <cell r="E707">
            <v>10030003</v>
          </cell>
          <cell r="F707" t="str">
            <v>0447</v>
          </cell>
          <cell r="G707">
            <v>7</v>
          </cell>
          <cell r="H707">
            <v>22.599999999999998</v>
          </cell>
          <cell r="I707">
            <v>927.08767008000018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P707">
            <v>927</v>
          </cell>
          <cell r="V707" t="str">
            <v>Available</v>
          </cell>
        </row>
        <row r="708">
          <cell r="A708" t="str">
            <v>100300030452</v>
          </cell>
          <cell r="B708" t="str">
            <v>Asarganj</v>
          </cell>
          <cell r="C708" t="str">
            <v>Asarganj</v>
          </cell>
          <cell r="D708" t="str">
            <v>CHATMADIH</v>
          </cell>
          <cell r="E708">
            <v>10030003</v>
          </cell>
          <cell r="F708" t="str">
            <v>0452</v>
          </cell>
          <cell r="G708">
            <v>2</v>
          </cell>
          <cell r="H708">
            <v>3.4</v>
          </cell>
          <cell r="I708">
            <v>99.591747155999997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P708">
            <v>100</v>
          </cell>
          <cell r="V708" t="str">
            <v>Available</v>
          </cell>
        </row>
        <row r="709">
          <cell r="A709" t="str">
            <v>100300030453</v>
          </cell>
          <cell r="B709" t="str">
            <v>Asarganj</v>
          </cell>
          <cell r="C709" t="str">
            <v>Asarganj</v>
          </cell>
          <cell r="D709" t="str">
            <v>CHATMADIH</v>
          </cell>
          <cell r="E709">
            <v>10030003</v>
          </cell>
          <cell r="F709" t="str">
            <v>0453</v>
          </cell>
          <cell r="G709">
            <v>2</v>
          </cell>
          <cell r="H709">
            <v>4.0999999999999996</v>
          </cell>
          <cell r="I709">
            <v>133.45867537200002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P709">
            <v>133</v>
          </cell>
          <cell r="V709" t="str">
            <v>Available</v>
          </cell>
        </row>
        <row r="710">
          <cell r="A710" t="str">
            <v>100300030454</v>
          </cell>
          <cell r="B710" t="str">
            <v>Asarganj</v>
          </cell>
          <cell r="C710" t="str">
            <v>Asarganj</v>
          </cell>
          <cell r="D710" t="str">
            <v>CHATMADIH</v>
          </cell>
          <cell r="E710">
            <v>10030003</v>
          </cell>
          <cell r="F710" t="str">
            <v>0454</v>
          </cell>
          <cell r="G710">
            <v>6</v>
          </cell>
          <cell r="H710">
            <v>18.100000000000001</v>
          </cell>
          <cell r="I710">
            <v>821.32026504660007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P710">
            <v>821</v>
          </cell>
          <cell r="V710" t="str">
            <v>Available</v>
          </cell>
        </row>
        <row r="711">
          <cell r="A711" t="str">
            <v>100300100002</v>
          </cell>
          <cell r="B711" t="str">
            <v>Asarganj</v>
          </cell>
          <cell r="C711" t="str">
            <v>Asarganj</v>
          </cell>
          <cell r="D711" t="str">
            <v>KATHNI</v>
          </cell>
          <cell r="E711">
            <v>10030010</v>
          </cell>
          <cell r="F711" t="str">
            <v>0002</v>
          </cell>
          <cell r="G711">
            <v>12</v>
          </cell>
          <cell r="H711">
            <v>279</v>
          </cell>
          <cell r="I711">
            <v>12152.630556</v>
          </cell>
          <cell r="J711">
            <v>0</v>
          </cell>
          <cell r="K711">
            <v>0</v>
          </cell>
          <cell r="L711">
            <v>4889</v>
          </cell>
          <cell r="M711">
            <v>0</v>
          </cell>
          <cell r="P711">
            <v>7264</v>
          </cell>
          <cell r="V711" t="str">
            <v>Available</v>
          </cell>
        </row>
        <row r="712">
          <cell r="A712" t="str">
            <v>100300100006</v>
          </cell>
          <cell r="B712" t="str">
            <v>Asarganj</v>
          </cell>
          <cell r="C712" t="str">
            <v>Asarganj</v>
          </cell>
          <cell r="D712" t="str">
            <v>KATHNI</v>
          </cell>
          <cell r="E712">
            <v>10030010</v>
          </cell>
          <cell r="F712" t="str">
            <v>0006</v>
          </cell>
          <cell r="G712">
            <v>6</v>
          </cell>
          <cell r="H712">
            <v>90</v>
          </cell>
          <cell r="I712">
            <v>3880.9009800000003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P712">
            <v>3881</v>
          </cell>
          <cell r="V712" t="str">
            <v>Available</v>
          </cell>
        </row>
        <row r="713">
          <cell r="A713" t="str">
            <v>100300100007</v>
          </cell>
          <cell r="B713" t="str">
            <v>Asarganj</v>
          </cell>
          <cell r="C713" t="str">
            <v>Asarganj</v>
          </cell>
          <cell r="D713" t="str">
            <v>KATHNI</v>
          </cell>
          <cell r="E713">
            <v>10030010</v>
          </cell>
          <cell r="F713" t="str">
            <v>0007</v>
          </cell>
          <cell r="G713">
            <v>1</v>
          </cell>
          <cell r="H713">
            <v>20</v>
          </cell>
          <cell r="I713">
            <v>852.7424400000001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P713">
            <v>853</v>
          </cell>
          <cell r="V713" t="str">
            <v>Available</v>
          </cell>
        </row>
        <row r="714">
          <cell r="A714" t="str">
            <v>100300110001</v>
          </cell>
          <cell r="B714" t="str">
            <v>Asarganj</v>
          </cell>
          <cell r="C714" t="str">
            <v>Asarganj</v>
          </cell>
          <cell r="D714" t="str">
            <v>DEVDHA GOMUKH MPG</v>
          </cell>
          <cell r="E714">
            <v>10030011</v>
          </cell>
          <cell r="F714" t="str">
            <v>0001</v>
          </cell>
          <cell r="G714">
            <v>14</v>
          </cell>
          <cell r="H714">
            <v>6.4</v>
          </cell>
          <cell r="I714">
            <v>246.043589946</v>
          </cell>
          <cell r="J714">
            <v>0</v>
          </cell>
          <cell r="K714">
            <v>246.043589946</v>
          </cell>
          <cell r="L714">
            <v>0</v>
          </cell>
          <cell r="M714">
            <v>0</v>
          </cell>
          <cell r="P714">
            <v>0</v>
          </cell>
          <cell r="V714" t="str">
            <v>Not Available</v>
          </cell>
        </row>
        <row r="715">
          <cell r="A715" t="str">
            <v>100300110002</v>
          </cell>
          <cell r="B715" t="str">
            <v>Asarganj</v>
          </cell>
          <cell r="C715" t="str">
            <v>Asarganj</v>
          </cell>
          <cell r="D715" t="str">
            <v>DEVDHA GOMUKH MPG</v>
          </cell>
          <cell r="E715">
            <v>10030011</v>
          </cell>
          <cell r="F715" t="str">
            <v>0002</v>
          </cell>
          <cell r="G715">
            <v>14</v>
          </cell>
          <cell r="H715">
            <v>92.500000000000014</v>
          </cell>
          <cell r="I715">
            <v>3577.5308292899995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P715">
            <v>3578</v>
          </cell>
          <cell r="V715" t="str">
            <v>Available</v>
          </cell>
        </row>
        <row r="716">
          <cell r="A716" t="str">
            <v>100300110005</v>
          </cell>
          <cell r="B716" t="str">
            <v>Asarganj</v>
          </cell>
          <cell r="C716" t="str">
            <v>Asarganj</v>
          </cell>
          <cell r="D716" t="str">
            <v>DEVDHA GOMUKH MPG</v>
          </cell>
          <cell r="E716">
            <v>10030011</v>
          </cell>
          <cell r="F716" t="str">
            <v>0005</v>
          </cell>
          <cell r="G716">
            <v>14</v>
          </cell>
          <cell r="H716">
            <v>103.5</v>
          </cell>
          <cell r="I716">
            <v>4011.2600177099998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P716">
            <v>4011</v>
          </cell>
          <cell r="V716" t="str">
            <v>Available</v>
          </cell>
        </row>
        <row r="717">
          <cell r="A717" t="str">
            <v>100300110101</v>
          </cell>
          <cell r="B717" t="str">
            <v>Asarganj</v>
          </cell>
          <cell r="C717" t="str">
            <v>Asarganj</v>
          </cell>
          <cell r="D717" t="str">
            <v>DEVDHA GOMUKH MPG</v>
          </cell>
          <cell r="E717">
            <v>10030011</v>
          </cell>
          <cell r="F717" t="str">
            <v>0101</v>
          </cell>
          <cell r="G717">
            <v>14</v>
          </cell>
          <cell r="H717">
            <v>103.5</v>
          </cell>
          <cell r="I717">
            <v>4008.4880177099999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P717">
            <v>4008</v>
          </cell>
          <cell r="V717" t="str">
            <v>Available</v>
          </cell>
        </row>
        <row r="718">
          <cell r="A718" t="str">
            <v>100300110102</v>
          </cell>
          <cell r="B718" t="str">
            <v>Asarganj</v>
          </cell>
          <cell r="C718" t="str">
            <v>Asarganj</v>
          </cell>
          <cell r="D718" t="str">
            <v>DEVDHA GOMUKH MPG</v>
          </cell>
          <cell r="E718">
            <v>10030011</v>
          </cell>
          <cell r="F718" t="str">
            <v>0102</v>
          </cell>
          <cell r="G718">
            <v>13</v>
          </cell>
          <cell r="H718">
            <v>95.5</v>
          </cell>
          <cell r="I718">
            <v>3639.0803327999997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P718">
            <v>3639</v>
          </cell>
          <cell r="V718" t="str">
            <v>Available</v>
          </cell>
        </row>
        <row r="719">
          <cell r="A719" t="str">
            <v>100300110104</v>
          </cell>
          <cell r="B719" t="str">
            <v>Asarganj</v>
          </cell>
          <cell r="C719" t="str">
            <v>Asarganj</v>
          </cell>
          <cell r="D719" t="str">
            <v>DEVDHA GOMUKH MPG</v>
          </cell>
          <cell r="E719">
            <v>10030011</v>
          </cell>
          <cell r="F719" t="str">
            <v>0104</v>
          </cell>
          <cell r="G719">
            <v>5</v>
          </cell>
          <cell r="H719">
            <v>39</v>
          </cell>
          <cell r="I719">
            <v>1461.8102400000002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P719">
            <v>1462</v>
          </cell>
          <cell r="V719" t="str">
            <v>Available</v>
          </cell>
        </row>
        <row r="720">
          <cell r="A720" t="str">
            <v>100300110105</v>
          </cell>
          <cell r="B720" t="str">
            <v>Asarganj</v>
          </cell>
          <cell r="C720" t="str">
            <v>Asarganj</v>
          </cell>
          <cell r="D720" t="str">
            <v>DEVDHA GOMUKH MPG</v>
          </cell>
          <cell r="E720">
            <v>10030011</v>
          </cell>
          <cell r="F720" t="str">
            <v>0105</v>
          </cell>
          <cell r="G720">
            <v>12</v>
          </cell>
          <cell r="H720">
            <v>89.5</v>
          </cell>
          <cell r="I720">
            <v>3399.0976800000003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P720">
            <v>3399</v>
          </cell>
          <cell r="V720" t="str">
            <v>Available</v>
          </cell>
        </row>
        <row r="721">
          <cell r="A721" t="str">
            <v>100300110107</v>
          </cell>
          <cell r="B721" t="str">
            <v>Asarganj</v>
          </cell>
          <cell r="C721" t="str">
            <v>Asarganj</v>
          </cell>
          <cell r="D721" t="str">
            <v>DEVDHA GOMUKH MPG</v>
          </cell>
          <cell r="E721">
            <v>10030011</v>
          </cell>
          <cell r="F721" t="str">
            <v>0107</v>
          </cell>
          <cell r="G721">
            <v>13</v>
          </cell>
          <cell r="H721">
            <v>95.5</v>
          </cell>
          <cell r="I721">
            <v>3639.0803327999997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P721">
            <v>3639</v>
          </cell>
          <cell r="V721" t="str">
            <v>Available</v>
          </cell>
        </row>
        <row r="722">
          <cell r="A722" t="str">
            <v>100300110108</v>
          </cell>
          <cell r="B722" t="str">
            <v>Asarganj</v>
          </cell>
          <cell r="C722" t="str">
            <v>Asarganj</v>
          </cell>
          <cell r="D722" t="str">
            <v>DEVDHA GOMUKH MPG</v>
          </cell>
          <cell r="E722">
            <v>10030011</v>
          </cell>
          <cell r="F722" t="str">
            <v>0108</v>
          </cell>
          <cell r="G722">
            <v>13</v>
          </cell>
          <cell r="H722">
            <v>93.5</v>
          </cell>
          <cell r="I722">
            <v>3559.0861152000002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P722">
            <v>3559</v>
          </cell>
          <cell r="V722" t="str">
            <v>Not Available</v>
          </cell>
        </row>
        <row r="723">
          <cell r="A723" t="str">
            <v>100300110109</v>
          </cell>
          <cell r="B723" t="str">
            <v>Asarganj</v>
          </cell>
          <cell r="C723" t="str">
            <v>Asarganj</v>
          </cell>
          <cell r="D723" t="str">
            <v>DEVDHA GOMUKH MPG</v>
          </cell>
          <cell r="E723">
            <v>10030011</v>
          </cell>
          <cell r="F723" t="str">
            <v>0109</v>
          </cell>
          <cell r="G723">
            <v>12</v>
          </cell>
          <cell r="H723">
            <v>89.5</v>
          </cell>
          <cell r="I723">
            <v>3399.0976800000003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P723">
            <v>3399</v>
          </cell>
          <cell r="V723" t="str">
            <v>Not Available</v>
          </cell>
        </row>
        <row r="724">
          <cell r="A724" t="str">
            <v>100300110110</v>
          </cell>
          <cell r="B724" t="str">
            <v>Asarganj</v>
          </cell>
          <cell r="C724" t="str">
            <v>Asarganj</v>
          </cell>
          <cell r="D724" t="str">
            <v>DEVDHA GOMUKH MPG</v>
          </cell>
          <cell r="E724">
            <v>10030011</v>
          </cell>
          <cell r="F724" t="str">
            <v>0110</v>
          </cell>
          <cell r="G724">
            <v>12</v>
          </cell>
          <cell r="H724">
            <v>89.5</v>
          </cell>
          <cell r="I724">
            <v>3399.0976800000003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P724">
            <v>3399</v>
          </cell>
          <cell r="V724" t="str">
            <v>Not Available</v>
          </cell>
        </row>
        <row r="725">
          <cell r="A725" t="str">
            <v>100300110111</v>
          </cell>
          <cell r="B725" t="str">
            <v>Asarganj</v>
          </cell>
          <cell r="C725" t="str">
            <v>Asarganj</v>
          </cell>
          <cell r="D725" t="str">
            <v>DEVDHA GOMUKH MPG</v>
          </cell>
          <cell r="E725">
            <v>10030011</v>
          </cell>
          <cell r="F725" t="str">
            <v>0111</v>
          </cell>
          <cell r="G725">
            <v>8</v>
          </cell>
          <cell r="H725">
            <v>61.7</v>
          </cell>
          <cell r="I725">
            <v>2338.7903035200002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P725">
            <v>2339</v>
          </cell>
          <cell r="V725" t="str">
            <v>Available</v>
          </cell>
        </row>
        <row r="726">
          <cell r="A726" t="str">
            <v>100300110112</v>
          </cell>
          <cell r="B726" t="str">
            <v>Asarganj</v>
          </cell>
          <cell r="C726" t="str">
            <v>Asarganj</v>
          </cell>
          <cell r="D726" t="str">
            <v>DEVDHA GOMUKH MPG</v>
          </cell>
          <cell r="E726">
            <v>10030011</v>
          </cell>
          <cell r="F726" t="str">
            <v>0112</v>
          </cell>
          <cell r="G726">
            <v>13</v>
          </cell>
          <cell r="H726">
            <v>93.7</v>
          </cell>
          <cell r="I726">
            <v>3565.7654551199998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P726">
            <v>3566</v>
          </cell>
          <cell r="V726" t="str">
            <v>Available</v>
          </cell>
        </row>
        <row r="727">
          <cell r="A727" t="str">
            <v>100300130001</v>
          </cell>
          <cell r="B727" t="str">
            <v>Asarganj</v>
          </cell>
          <cell r="C727" t="str">
            <v>Asarganj</v>
          </cell>
          <cell r="D727" t="str">
            <v>LOHRA</v>
          </cell>
          <cell r="E727">
            <v>10030013</v>
          </cell>
          <cell r="F727" t="str">
            <v>0001</v>
          </cell>
          <cell r="G727">
            <v>14</v>
          </cell>
          <cell r="H727">
            <v>12.12</v>
          </cell>
          <cell r="I727">
            <v>570.60015783520021</v>
          </cell>
          <cell r="J727">
            <v>0</v>
          </cell>
          <cell r="K727">
            <v>570.60015783520021</v>
          </cell>
          <cell r="L727">
            <v>0</v>
          </cell>
          <cell r="M727">
            <v>0</v>
          </cell>
          <cell r="P727">
            <v>0</v>
          </cell>
          <cell r="V727" t="str">
            <v>Not Available</v>
          </cell>
        </row>
        <row r="728">
          <cell r="A728" t="str">
            <v>100300130002</v>
          </cell>
          <cell r="B728" t="str">
            <v>Asarganj</v>
          </cell>
          <cell r="C728" t="str">
            <v>Asarganj</v>
          </cell>
          <cell r="D728" t="str">
            <v>LOHRA</v>
          </cell>
          <cell r="E728">
            <v>10030013</v>
          </cell>
          <cell r="F728" t="str">
            <v>0002</v>
          </cell>
          <cell r="G728">
            <v>5</v>
          </cell>
          <cell r="H728">
            <v>9.9200000000000017</v>
          </cell>
          <cell r="I728">
            <v>475.22837770740006</v>
          </cell>
          <cell r="J728">
            <v>0</v>
          </cell>
          <cell r="K728">
            <v>0</v>
          </cell>
          <cell r="L728">
            <v>475</v>
          </cell>
          <cell r="M728">
            <v>0</v>
          </cell>
          <cell r="P728">
            <v>0</v>
          </cell>
          <cell r="V728" t="str">
            <v>Available</v>
          </cell>
        </row>
        <row r="729">
          <cell r="A729" t="str">
            <v>100300130003</v>
          </cell>
          <cell r="B729" t="str">
            <v>Asarganj</v>
          </cell>
          <cell r="C729" t="str">
            <v>Asarganj</v>
          </cell>
          <cell r="D729" t="str">
            <v>LOHRA</v>
          </cell>
          <cell r="E729">
            <v>10030013</v>
          </cell>
          <cell r="F729" t="str">
            <v>0003</v>
          </cell>
          <cell r="G729">
            <v>9</v>
          </cell>
          <cell r="H729">
            <v>69.819999999999993</v>
          </cell>
          <cell r="I729">
            <v>3887.8350218876794</v>
          </cell>
          <cell r="J729">
            <v>0</v>
          </cell>
          <cell r="K729">
            <v>0</v>
          </cell>
          <cell r="L729">
            <v>1520</v>
          </cell>
          <cell r="M729">
            <v>0</v>
          </cell>
          <cell r="P729">
            <v>2368</v>
          </cell>
          <cell r="V729" t="str">
            <v>Available</v>
          </cell>
        </row>
        <row r="730">
          <cell r="A730" t="str">
            <v>100300130007</v>
          </cell>
          <cell r="B730" t="str">
            <v>Asarganj</v>
          </cell>
          <cell r="C730" t="str">
            <v>Asarganj</v>
          </cell>
          <cell r="D730" t="str">
            <v>LOHRA</v>
          </cell>
          <cell r="E730">
            <v>10030013</v>
          </cell>
          <cell r="F730" t="str">
            <v>0007</v>
          </cell>
          <cell r="G730">
            <v>4</v>
          </cell>
          <cell r="H730">
            <v>14.559999999999999</v>
          </cell>
          <cell r="I730">
            <v>523.93480048800006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P730">
            <v>524</v>
          </cell>
          <cell r="V730" t="str">
            <v>Available</v>
          </cell>
        </row>
        <row r="731">
          <cell r="A731" t="str">
            <v>100300130008</v>
          </cell>
          <cell r="B731" t="str">
            <v>Asarganj</v>
          </cell>
          <cell r="C731" t="str">
            <v>Asarganj</v>
          </cell>
          <cell r="D731" t="str">
            <v>LOHRA</v>
          </cell>
          <cell r="E731">
            <v>10030013</v>
          </cell>
          <cell r="F731" t="str">
            <v>0008</v>
          </cell>
          <cell r="G731">
            <v>5</v>
          </cell>
          <cell r="H731">
            <v>19.7</v>
          </cell>
          <cell r="I731">
            <v>968.45860618239999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P731">
            <v>968</v>
          </cell>
          <cell r="V731" t="str">
            <v>Available</v>
          </cell>
        </row>
        <row r="732">
          <cell r="A732" t="str">
            <v>100300130010</v>
          </cell>
          <cell r="B732" t="str">
            <v>Asarganj</v>
          </cell>
          <cell r="C732" t="str">
            <v>Asarganj</v>
          </cell>
          <cell r="D732" t="str">
            <v>LOHRA</v>
          </cell>
          <cell r="E732">
            <v>10030013</v>
          </cell>
          <cell r="F732" t="str">
            <v>0010</v>
          </cell>
          <cell r="G732">
            <v>14</v>
          </cell>
          <cell r="H732">
            <v>149.56000000000003</v>
          </cell>
          <cell r="I732">
            <v>8841.7149952102209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P732">
            <v>8842</v>
          </cell>
          <cell r="V732" t="str">
            <v>Available</v>
          </cell>
        </row>
        <row r="733">
          <cell r="A733" t="str">
            <v>100300130018</v>
          </cell>
          <cell r="B733" t="str">
            <v>Asarganj</v>
          </cell>
          <cell r="C733" t="str">
            <v>Asarganj</v>
          </cell>
          <cell r="D733" t="str">
            <v>LOHRA</v>
          </cell>
          <cell r="E733">
            <v>10030013</v>
          </cell>
          <cell r="F733" t="str">
            <v>0018</v>
          </cell>
          <cell r="G733">
            <v>11</v>
          </cell>
          <cell r="H733">
            <v>64.16</v>
          </cell>
          <cell r="I733">
            <v>2933.7954506124001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P733">
            <v>2934</v>
          </cell>
          <cell r="V733" t="str">
            <v>Available</v>
          </cell>
        </row>
        <row r="734">
          <cell r="A734" t="str">
            <v>100300130019</v>
          </cell>
          <cell r="B734" t="str">
            <v>Asarganj</v>
          </cell>
          <cell r="C734" t="str">
            <v>Asarganj</v>
          </cell>
          <cell r="D734" t="str">
            <v>LOHRA</v>
          </cell>
          <cell r="E734">
            <v>10030013</v>
          </cell>
          <cell r="F734" t="str">
            <v>0019</v>
          </cell>
          <cell r="G734">
            <v>9</v>
          </cell>
          <cell r="H734">
            <v>59.12</v>
          </cell>
          <cell r="I734">
            <v>2822.4412117768002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P734">
            <v>2822</v>
          </cell>
          <cell r="V734" t="str">
            <v>Available</v>
          </cell>
        </row>
        <row r="735">
          <cell r="A735" t="str">
            <v>100300130020</v>
          </cell>
          <cell r="B735" t="str">
            <v>Asarganj</v>
          </cell>
          <cell r="C735" t="str">
            <v>Asarganj</v>
          </cell>
          <cell r="D735" t="str">
            <v>LOHRA</v>
          </cell>
          <cell r="E735">
            <v>10030013</v>
          </cell>
          <cell r="F735" t="str">
            <v>0020</v>
          </cell>
          <cell r="G735">
            <v>7</v>
          </cell>
          <cell r="H735">
            <v>21.42</v>
          </cell>
          <cell r="I735">
            <v>776.73202833600021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P735">
            <v>777</v>
          </cell>
          <cell r="V735" t="str">
            <v>Available</v>
          </cell>
        </row>
        <row r="736">
          <cell r="A736" t="str">
            <v>100300130021</v>
          </cell>
          <cell r="B736" t="str">
            <v>Asarganj</v>
          </cell>
          <cell r="C736" t="str">
            <v>Asarganj</v>
          </cell>
          <cell r="D736" t="str">
            <v>LOHRA</v>
          </cell>
          <cell r="E736">
            <v>10030013</v>
          </cell>
          <cell r="F736" t="str">
            <v>0021</v>
          </cell>
          <cell r="G736">
            <v>10</v>
          </cell>
          <cell r="H736">
            <v>28.660000000000004</v>
          </cell>
          <cell r="I736">
            <v>1759.6922662936001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P736">
            <v>1760</v>
          </cell>
          <cell r="V736" t="str">
            <v>Available</v>
          </cell>
        </row>
        <row r="737">
          <cell r="A737" t="str">
            <v>100300150001</v>
          </cell>
          <cell r="B737" t="str">
            <v>Asarganj</v>
          </cell>
          <cell r="C737" t="str">
            <v>Asarganj</v>
          </cell>
          <cell r="D737" t="str">
            <v>KAMATPUR</v>
          </cell>
          <cell r="E737">
            <v>10030015</v>
          </cell>
          <cell r="F737" t="str">
            <v>0001</v>
          </cell>
          <cell r="G737">
            <v>14</v>
          </cell>
          <cell r="H737">
            <v>9.6900000000000013</v>
          </cell>
          <cell r="I737">
            <v>353.15503587540002</v>
          </cell>
          <cell r="J737">
            <v>0</v>
          </cell>
          <cell r="K737">
            <v>353.15503587540002</v>
          </cell>
          <cell r="L737">
            <v>0</v>
          </cell>
          <cell r="M737">
            <v>0</v>
          </cell>
          <cell r="P737">
            <v>0</v>
          </cell>
          <cell r="V737" t="str">
            <v>Not Available</v>
          </cell>
        </row>
        <row r="738">
          <cell r="A738" t="str">
            <v>100300150002</v>
          </cell>
          <cell r="B738" t="str">
            <v>Asarganj</v>
          </cell>
          <cell r="C738" t="str">
            <v>Asarganj</v>
          </cell>
          <cell r="D738" t="str">
            <v>KAMATPUR</v>
          </cell>
          <cell r="E738">
            <v>10030015</v>
          </cell>
          <cell r="F738" t="str">
            <v>0002</v>
          </cell>
          <cell r="G738">
            <v>14</v>
          </cell>
          <cell r="H738">
            <v>62.87</v>
          </cell>
          <cell r="I738">
            <v>2101.5144507059999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P738">
            <v>2102</v>
          </cell>
          <cell r="V738" t="str">
            <v>Available</v>
          </cell>
        </row>
        <row r="739">
          <cell r="A739" t="str">
            <v>100300150003</v>
          </cell>
          <cell r="B739" t="str">
            <v>Asarganj</v>
          </cell>
          <cell r="C739" t="str">
            <v>Asarganj</v>
          </cell>
          <cell r="D739" t="str">
            <v>KAMATPUR</v>
          </cell>
          <cell r="E739">
            <v>10030015</v>
          </cell>
          <cell r="F739" t="str">
            <v>0003</v>
          </cell>
          <cell r="G739">
            <v>13</v>
          </cell>
          <cell r="H739">
            <v>46.46</v>
          </cell>
          <cell r="I739">
            <v>1662.0637094820001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P739">
            <v>1662</v>
          </cell>
          <cell r="V739" t="str">
            <v>Available</v>
          </cell>
        </row>
        <row r="740">
          <cell r="A740" t="str">
            <v>100300150004</v>
          </cell>
          <cell r="B740" t="str">
            <v>Asarganj</v>
          </cell>
          <cell r="C740" t="str">
            <v>Asarganj</v>
          </cell>
          <cell r="D740" t="str">
            <v>KAMATPUR</v>
          </cell>
          <cell r="E740">
            <v>10030015</v>
          </cell>
          <cell r="F740" t="str">
            <v>0004</v>
          </cell>
          <cell r="G740">
            <v>14</v>
          </cell>
          <cell r="H740">
            <v>63.709999999999994</v>
          </cell>
          <cell r="I740">
            <v>2166.3352380779997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P740">
            <v>2166</v>
          </cell>
          <cell r="V740" t="str">
            <v>Available</v>
          </cell>
        </row>
        <row r="741">
          <cell r="A741" t="str">
            <v>100300150005</v>
          </cell>
          <cell r="B741" t="str">
            <v>Asarganj</v>
          </cell>
          <cell r="C741" t="str">
            <v>Asarganj</v>
          </cell>
          <cell r="D741" t="str">
            <v>KAMATPUR</v>
          </cell>
          <cell r="E741">
            <v>10030015</v>
          </cell>
          <cell r="F741" t="str">
            <v>0005</v>
          </cell>
          <cell r="G741">
            <v>14</v>
          </cell>
          <cell r="H741">
            <v>62.04</v>
          </cell>
          <cell r="I741">
            <v>2166.8504389884001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P741">
            <v>2167</v>
          </cell>
          <cell r="V741" t="str">
            <v>Available</v>
          </cell>
        </row>
        <row r="742">
          <cell r="A742" t="str">
            <v>100300160001</v>
          </cell>
          <cell r="B742" t="str">
            <v>Asarganj</v>
          </cell>
          <cell r="C742" t="str">
            <v>Asarganj</v>
          </cell>
          <cell r="D742" t="str">
            <v>GIRDHARA</v>
          </cell>
          <cell r="E742">
            <v>10030016</v>
          </cell>
          <cell r="F742" t="str">
            <v>0001</v>
          </cell>
          <cell r="G742">
            <v>13</v>
          </cell>
          <cell r="H742">
            <v>8</v>
          </cell>
          <cell r="I742">
            <v>309.70986987600003</v>
          </cell>
          <cell r="J742">
            <v>0</v>
          </cell>
          <cell r="K742">
            <v>309.70986987600003</v>
          </cell>
          <cell r="L742">
            <v>0</v>
          </cell>
          <cell r="M742">
            <v>0</v>
          </cell>
          <cell r="P742">
            <v>0</v>
          </cell>
          <cell r="V742" t="str">
            <v>Not Available</v>
          </cell>
        </row>
        <row r="743">
          <cell r="A743" t="str">
            <v>100300160002</v>
          </cell>
          <cell r="B743" t="str">
            <v>Asarganj</v>
          </cell>
          <cell r="C743" t="str">
            <v>Asarganj</v>
          </cell>
          <cell r="D743" t="str">
            <v>GIRDHARA</v>
          </cell>
          <cell r="E743">
            <v>10030016</v>
          </cell>
          <cell r="F743" t="str">
            <v>0002</v>
          </cell>
          <cell r="G743">
            <v>13</v>
          </cell>
          <cell r="H743">
            <v>71.929999999999993</v>
          </cell>
          <cell r="I743">
            <v>3714.2220119370286</v>
          </cell>
          <cell r="J743">
            <v>0</v>
          </cell>
          <cell r="K743">
            <v>0</v>
          </cell>
          <cell r="L743">
            <v>1346</v>
          </cell>
          <cell r="M743">
            <v>0</v>
          </cell>
          <cell r="P743">
            <v>2368</v>
          </cell>
          <cell r="V743" t="str">
            <v>Available</v>
          </cell>
        </row>
        <row r="744">
          <cell r="A744" t="str">
            <v>100300160003</v>
          </cell>
          <cell r="B744" t="str">
            <v>Asarganj</v>
          </cell>
          <cell r="C744" t="str">
            <v>Asarganj</v>
          </cell>
          <cell r="D744" t="str">
            <v>GIRDHARA</v>
          </cell>
          <cell r="E744">
            <v>10030016</v>
          </cell>
          <cell r="F744" t="str">
            <v>0003</v>
          </cell>
          <cell r="G744">
            <v>6</v>
          </cell>
          <cell r="H744">
            <v>55.25</v>
          </cell>
          <cell r="I744">
            <v>2228.5251563142001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P744">
            <v>2229</v>
          </cell>
          <cell r="V744" t="str">
            <v>Available</v>
          </cell>
        </row>
        <row r="745">
          <cell r="A745" t="str">
            <v>100300160015</v>
          </cell>
          <cell r="B745" t="str">
            <v>Asarganj</v>
          </cell>
          <cell r="C745" t="str">
            <v>Asarganj</v>
          </cell>
          <cell r="D745" t="str">
            <v>GIRDHARA</v>
          </cell>
          <cell r="E745">
            <v>10030016</v>
          </cell>
          <cell r="F745" t="str">
            <v>0015</v>
          </cell>
          <cell r="G745">
            <v>2</v>
          </cell>
          <cell r="H745">
            <v>7.55</v>
          </cell>
          <cell r="I745">
            <v>284.27816538000002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P745">
            <v>284</v>
          </cell>
          <cell r="V745" t="str">
            <v>Available</v>
          </cell>
        </row>
        <row r="746">
          <cell r="A746" t="str">
            <v>100300160025</v>
          </cell>
          <cell r="B746" t="str">
            <v>Asarganj</v>
          </cell>
          <cell r="C746" t="str">
            <v>Asarganj</v>
          </cell>
          <cell r="D746" t="str">
            <v>GIRDHARA</v>
          </cell>
          <cell r="E746">
            <v>10030016</v>
          </cell>
          <cell r="F746" t="str">
            <v>0025</v>
          </cell>
          <cell r="G746">
            <v>13</v>
          </cell>
          <cell r="H746">
            <v>114.97999999999998</v>
          </cell>
          <cell r="I746">
            <v>4463.9171834399995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P746">
            <v>4464</v>
          </cell>
          <cell r="V746" t="str">
            <v>Not Available</v>
          </cell>
        </row>
        <row r="747">
          <cell r="A747" t="str">
            <v>100300160026</v>
          </cell>
          <cell r="B747" t="str">
            <v>Asarganj</v>
          </cell>
          <cell r="C747" t="str">
            <v>Asarganj</v>
          </cell>
          <cell r="D747" t="str">
            <v>GIRDHARA</v>
          </cell>
          <cell r="E747">
            <v>10030016</v>
          </cell>
          <cell r="F747" t="str">
            <v>0026</v>
          </cell>
          <cell r="G747">
            <v>13</v>
          </cell>
          <cell r="H747">
            <v>110.05</v>
          </cell>
          <cell r="I747">
            <v>4383.0185525280012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P747">
            <v>4383</v>
          </cell>
          <cell r="V747" t="str">
            <v>Not Available</v>
          </cell>
        </row>
        <row r="748">
          <cell r="A748" t="str">
            <v>100300160027</v>
          </cell>
          <cell r="B748" t="str">
            <v>Asarganj</v>
          </cell>
          <cell r="C748" t="str">
            <v>Asarganj</v>
          </cell>
          <cell r="D748" t="str">
            <v>GIRDHARA</v>
          </cell>
          <cell r="E748">
            <v>10030016</v>
          </cell>
          <cell r="F748" t="str">
            <v>0027</v>
          </cell>
          <cell r="G748">
            <v>13</v>
          </cell>
          <cell r="H748">
            <v>107.92999999999998</v>
          </cell>
          <cell r="I748">
            <v>4319.0370511199999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P748">
            <v>4319</v>
          </cell>
          <cell r="V748" t="str">
            <v>Not Available</v>
          </cell>
        </row>
        <row r="749">
          <cell r="A749" t="str">
            <v>100300160028</v>
          </cell>
          <cell r="B749" t="str">
            <v>Asarganj</v>
          </cell>
          <cell r="C749" t="str">
            <v>Asarganj</v>
          </cell>
          <cell r="D749" t="str">
            <v>GIRDHARA</v>
          </cell>
          <cell r="E749">
            <v>10030016</v>
          </cell>
          <cell r="F749" t="str">
            <v>0028</v>
          </cell>
          <cell r="G749">
            <v>12</v>
          </cell>
          <cell r="H749">
            <v>89.4</v>
          </cell>
          <cell r="I749">
            <v>3594.4187555261396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P749">
            <v>3594</v>
          </cell>
          <cell r="V749" t="str">
            <v>Not Available</v>
          </cell>
        </row>
        <row r="750">
          <cell r="A750" t="str">
            <v>100300160029</v>
          </cell>
          <cell r="B750" t="str">
            <v>Asarganj</v>
          </cell>
          <cell r="C750" t="str">
            <v>Asarganj</v>
          </cell>
          <cell r="D750" t="str">
            <v>GIRDHARA</v>
          </cell>
          <cell r="E750">
            <v>10030016</v>
          </cell>
          <cell r="F750" t="str">
            <v>0029</v>
          </cell>
          <cell r="G750">
            <v>11</v>
          </cell>
          <cell r="H750">
            <v>88.360000000000014</v>
          </cell>
          <cell r="I750">
            <v>3448.5444730440008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P750">
            <v>3449</v>
          </cell>
          <cell r="V750" t="str">
            <v>Not Available</v>
          </cell>
        </row>
        <row r="751">
          <cell r="A751" t="str">
            <v>100300160030</v>
          </cell>
          <cell r="B751" t="str">
            <v>Asarganj</v>
          </cell>
          <cell r="C751" t="str">
            <v>Asarganj</v>
          </cell>
          <cell r="D751" t="str">
            <v>GIRDHARA</v>
          </cell>
          <cell r="E751">
            <v>10030016</v>
          </cell>
          <cell r="F751" t="str">
            <v>0030</v>
          </cell>
          <cell r="G751">
            <v>13</v>
          </cell>
          <cell r="H751">
            <v>106.21000000000001</v>
          </cell>
          <cell r="I751">
            <v>4223.9051708040006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P751">
            <v>4224</v>
          </cell>
          <cell r="V751" t="str">
            <v>Not Available</v>
          </cell>
        </row>
        <row r="752">
          <cell r="A752" t="str">
            <v>100300160031</v>
          </cell>
          <cell r="B752" t="str">
            <v>Asarganj</v>
          </cell>
          <cell r="C752" t="str">
            <v>Asarganj</v>
          </cell>
          <cell r="D752" t="str">
            <v>GIRDHARA</v>
          </cell>
          <cell r="E752">
            <v>10030016</v>
          </cell>
          <cell r="F752" t="str">
            <v>0031</v>
          </cell>
          <cell r="G752">
            <v>13</v>
          </cell>
          <cell r="H752">
            <v>112.12</v>
          </cell>
          <cell r="I752">
            <v>4513.2285524040008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P752">
            <v>4513</v>
          </cell>
          <cell r="V752" t="str">
            <v>Not Available</v>
          </cell>
        </row>
        <row r="753">
          <cell r="A753" t="str">
            <v>100300160034</v>
          </cell>
          <cell r="B753" t="str">
            <v>Asarganj</v>
          </cell>
          <cell r="C753" t="str">
            <v>Asarganj</v>
          </cell>
          <cell r="D753" t="str">
            <v>GIRDHARA</v>
          </cell>
          <cell r="E753">
            <v>10030016</v>
          </cell>
          <cell r="F753" t="str">
            <v>0034</v>
          </cell>
          <cell r="G753">
            <v>5</v>
          </cell>
          <cell r="H753">
            <v>46.98</v>
          </cell>
          <cell r="I753">
            <v>1919.99086153962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P753">
            <v>1920</v>
          </cell>
          <cell r="V753" t="str">
            <v>Available</v>
          </cell>
        </row>
        <row r="754">
          <cell r="A754" t="str">
            <v>100300160035</v>
          </cell>
          <cell r="B754" t="str">
            <v>Asarganj</v>
          </cell>
          <cell r="C754" t="str">
            <v>Asarganj</v>
          </cell>
          <cell r="D754" t="str">
            <v>GIRDHARA</v>
          </cell>
          <cell r="E754">
            <v>10030016</v>
          </cell>
          <cell r="F754" t="str">
            <v>0035</v>
          </cell>
          <cell r="G754">
            <v>12</v>
          </cell>
          <cell r="H754">
            <v>106.57000000000001</v>
          </cell>
          <cell r="I754">
            <v>4219.2355130639999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P754">
            <v>4219</v>
          </cell>
          <cell r="V754" t="str">
            <v>Not Available</v>
          </cell>
        </row>
        <row r="755">
          <cell r="A755" t="str">
            <v>100300170001</v>
          </cell>
          <cell r="B755" t="str">
            <v>Asarganj</v>
          </cell>
          <cell r="C755" t="str">
            <v>Asarganj</v>
          </cell>
          <cell r="D755" t="str">
            <v>RATNI</v>
          </cell>
          <cell r="E755">
            <v>10030017</v>
          </cell>
          <cell r="F755" t="str">
            <v>0001</v>
          </cell>
          <cell r="G755">
            <v>14</v>
          </cell>
          <cell r="H755">
            <v>19.419999999999998</v>
          </cell>
          <cell r="I755">
            <v>1023.4582069583</v>
          </cell>
          <cell r="J755">
            <v>0</v>
          </cell>
          <cell r="K755">
            <v>1023.4582069583</v>
          </cell>
          <cell r="L755">
            <v>0</v>
          </cell>
          <cell r="M755">
            <v>0</v>
          </cell>
          <cell r="P755">
            <v>0</v>
          </cell>
          <cell r="V755" t="str">
            <v>Not Available</v>
          </cell>
        </row>
        <row r="756">
          <cell r="A756" t="str">
            <v>100300170002</v>
          </cell>
          <cell r="B756" t="str">
            <v>Asarganj</v>
          </cell>
          <cell r="C756" t="str">
            <v>Asarganj</v>
          </cell>
          <cell r="D756" t="str">
            <v>RATNI</v>
          </cell>
          <cell r="E756">
            <v>10030017</v>
          </cell>
          <cell r="F756" t="str">
            <v>0002</v>
          </cell>
          <cell r="G756">
            <v>14</v>
          </cell>
          <cell r="H756">
            <v>109.14</v>
          </cell>
          <cell r="I756">
            <v>6168.3007807332997</v>
          </cell>
          <cell r="J756">
            <v>0</v>
          </cell>
          <cell r="K756">
            <v>0</v>
          </cell>
          <cell r="L756">
            <v>282</v>
          </cell>
          <cell r="M756">
            <v>0</v>
          </cell>
          <cell r="P756">
            <v>5886</v>
          </cell>
          <cell r="V756" t="str">
            <v>Available</v>
          </cell>
        </row>
        <row r="757">
          <cell r="A757" t="str">
            <v>100300170003</v>
          </cell>
          <cell r="B757" t="str">
            <v>Asarganj</v>
          </cell>
          <cell r="C757" t="str">
            <v>Asarganj</v>
          </cell>
          <cell r="D757" t="str">
            <v>RATNI</v>
          </cell>
          <cell r="E757">
            <v>10030017</v>
          </cell>
          <cell r="F757" t="str">
            <v>0003</v>
          </cell>
          <cell r="G757">
            <v>13</v>
          </cell>
          <cell r="H757">
            <v>87.16</v>
          </cell>
          <cell r="I757">
            <v>3107.9005349040003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P757">
            <v>3108</v>
          </cell>
          <cell r="V757" t="str">
            <v>Available</v>
          </cell>
        </row>
        <row r="758">
          <cell r="A758" t="str">
            <v>100300170004</v>
          </cell>
          <cell r="B758" t="str">
            <v>Asarganj</v>
          </cell>
          <cell r="C758" t="str">
            <v>Asarganj</v>
          </cell>
          <cell r="D758" t="str">
            <v>RATNI</v>
          </cell>
          <cell r="E758">
            <v>10030017</v>
          </cell>
          <cell r="F758" t="str">
            <v>0004</v>
          </cell>
          <cell r="G758">
            <v>11</v>
          </cell>
          <cell r="H758">
            <v>12.889999999999999</v>
          </cell>
          <cell r="I758">
            <v>425.91733658100003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P758">
            <v>426</v>
          </cell>
          <cell r="V758" t="str">
            <v>Available</v>
          </cell>
        </row>
        <row r="759">
          <cell r="A759" t="str">
            <v>100300170005</v>
          </cell>
          <cell r="B759" t="str">
            <v>Asarganj</v>
          </cell>
          <cell r="C759" t="str">
            <v>Asarganj</v>
          </cell>
          <cell r="D759" t="str">
            <v>RATNI</v>
          </cell>
          <cell r="E759">
            <v>10030017</v>
          </cell>
          <cell r="F759" t="str">
            <v>0005</v>
          </cell>
          <cell r="G759">
            <v>14</v>
          </cell>
          <cell r="H759">
            <v>93.46</v>
          </cell>
          <cell r="I759">
            <v>4864.0945654552997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P759">
            <v>4864</v>
          </cell>
          <cell r="V759" t="str">
            <v>Available</v>
          </cell>
        </row>
        <row r="760">
          <cell r="A760" t="str">
            <v>100300170007</v>
          </cell>
          <cell r="B760" t="str">
            <v>Asarganj</v>
          </cell>
          <cell r="C760" t="str">
            <v>Asarganj</v>
          </cell>
          <cell r="D760" t="str">
            <v>RATNI</v>
          </cell>
          <cell r="E760">
            <v>10030017</v>
          </cell>
          <cell r="F760" t="str">
            <v>0007</v>
          </cell>
          <cell r="G760">
            <v>4</v>
          </cell>
          <cell r="H760">
            <v>9.66</v>
          </cell>
          <cell r="I760">
            <v>350.46518086800006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P760">
            <v>350</v>
          </cell>
          <cell r="V760" t="str">
            <v>Available</v>
          </cell>
        </row>
        <row r="761">
          <cell r="A761" t="str">
            <v>100300170011</v>
          </cell>
          <cell r="B761" t="str">
            <v>Asarganj</v>
          </cell>
          <cell r="C761" t="str">
            <v>Asarganj</v>
          </cell>
          <cell r="D761" t="str">
            <v>RATNI</v>
          </cell>
          <cell r="E761">
            <v>10030017</v>
          </cell>
          <cell r="F761" t="str">
            <v>0011</v>
          </cell>
          <cell r="G761">
            <v>7</v>
          </cell>
          <cell r="H761">
            <v>10.020000000000001</v>
          </cell>
          <cell r="I761">
            <v>579.78201100113995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P761">
            <v>580</v>
          </cell>
          <cell r="V761" t="str">
            <v>Available</v>
          </cell>
        </row>
        <row r="762">
          <cell r="A762" t="str">
            <v>100300170012</v>
          </cell>
          <cell r="B762" t="str">
            <v>Asarganj</v>
          </cell>
          <cell r="C762" t="str">
            <v>Asarganj</v>
          </cell>
          <cell r="D762" t="str">
            <v>RATNI</v>
          </cell>
          <cell r="E762">
            <v>10030017</v>
          </cell>
          <cell r="F762" t="str">
            <v>0012</v>
          </cell>
          <cell r="G762">
            <v>8</v>
          </cell>
          <cell r="H762">
            <v>12.309999999999999</v>
          </cell>
          <cell r="I762">
            <v>686.9224832371001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P762">
            <v>687</v>
          </cell>
          <cell r="V762" t="str">
            <v>Available</v>
          </cell>
        </row>
        <row r="763">
          <cell r="A763" t="str">
            <v>100300170015</v>
          </cell>
          <cell r="B763" t="str">
            <v>Asarganj</v>
          </cell>
          <cell r="C763" t="str">
            <v>Asarganj</v>
          </cell>
          <cell r="D763" t="str">
            <v>RATNI</v>
          </cell>
          <cell r="E763">
            <v>10030017</v>
          </cell>
          <cell r="F763" t="str">
            <v>0015</v>
          </cell>
          <cell r="G763">
            <v>14</v>
          </cell>
          <cell r="H763">
            <v>35.069999999999993</v>
          </cell>
          <cell r="I763">
            <v>1162.1073346344001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P763">
            <v>1162</v>
          </cell>
          <cell r="V763" t="str">
            <v>Available</v>
          </cell>
        </row>
        <row r="764">
          <cell r="A764" t="str">
            <v>100300170017</v>
          </cell>
          <cell r="B764" t="str">
            <v>Asarganj</v>
          </cell>
          <cell r="C764" t="str">
            <v>Asarganj</v>
          </cell>
          <cell r="D764" t="str">
            <v>RATNI</v>
          </cell>
          <cell r="E764">
            <v>10030017</v>
          </cell>
          <cell r="F764" t="str">
            <v>0017</v>
          </cell>
          <cell r="G764">
            <v>14</v>
          </cell>
          <cell r="H764">
            <v>51.81</v>
          </cell>
          <cell r="I764">
            <v>2452.6696935292803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P764">
            <v>2453</v>
          </cell>
          <cell r="V764" t="str">
            <v>Available</v>
          </cell>
        </row>
        <row r="765">
          <cell r="A765" t="str">
            <v>100300170019</v>
          </cell>
          <cell r="B765" t="str">
            <v>Asarganj</v>
          </cell>
          <cell r="C765" t="str">
            <v>Asarganj</v>
          </cell>
          <cell r="D765" t="str">
            <v>RATNI</v>
          </cell>
          <cell r="E765">
            <v>10030017</v>
          </cell>
          <cell r="F765" t="str">
            <v>0019</v>
          </cell>
          <cell r="G765">
            <v>9</v>
          </cell>
          <cell r="H765">
            <v>12.349999999999998</v>
          </cell>
          <cell r="I765">
            <v>547.55580173909993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P765">
            <v>548</v>
          </cell>
          <cell r="V765" t="str">
            <v>Available</v>
          </cell>
        </row>
        <row r="766">
          <cell r="A766" t="str">
            <v>100300170021</v>
          </cell>
          <cell r="B766" t="str">
            <v>Asarganj</v>
          </cell>
          <cell r="C766" t="str">
            <v>Asarganj</v>
          </cell>
          <cell r="D766" t="str">
            <v>RATNI</v>
          </cell>
          <cell r="E766">
            <v>10030017</v>
          </cell>
          <cell r="F766" t="str">
            <v>0021</v>
          </cell>
          <cell r="G766">
            <v>12</v>
          </cell>
          <cell r="H766">
            <v>27.200000000000003</v>
          </cell>
          <cell r="I766">
            <v>1653.4757113409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P766">
            <v>1653</v>
          </cell>
          <cell r="V766" t="str">
            <v>Available</v>
          </cell>
        </row>
        <row r="767">
          <cell r="A767" t="str">
            <v>100300170027</v>
          </cell>
          <cell r="B767" t="str">
            <v>Asarganj</v>
          </cell>
          <cell r="C767" t="str">
            <v>Asarganj</v>
          </cell>
          <cell r="D767" t="str">
            <v>RATNI</v>
          </cell>
          <cell r="E767">
            <v>10030017</v>
          </cell>
          <cell r="F767" t="str">
            <v>0027</v>
          </cell>
          <cell r="G767">
            <v>14</v>
          </cell>
          <cell r="H767">
            <v>44.87</v>
          </cell>
          <cell r="I767">
            <v>2295.62671690978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P767">
            <v>2296</v>
          </cell>
          <cell r="V767" t="str">
            <v>Available</v>
          </cell>
        </row>
        <row r="768">
          <cell r="A768" t="str">
            <v>100300170035</v>
          </cell>
          <cell r="B768" t="str">
            <v>Asarganj</v>
          </cell>
          <cell r="C768" t="str">
            <v>Asarganj</v>
          </cell>
          <cell r="D768" t="str">
            <v>RATNI</v>
          </cell>
          <cell r="E768">
            <v>10030017</v>
          </cell>
          <cell r="F768" t="str">
            <v>0035</v>
          </cell>
          <cell r="G768">
            <v>7</v>
          </cell>
          <cell r="H768">
            <v>26.79</v>
          </cell>
          <cell r="I768">
            <v>1439.9054009662705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P768">
            <v>1440</v>
          </cell>
          <cell r="V768" t="str">
            <v>Available</v>
          </cell>
        </row>
        <row r="769">
          <cell r="A769" t="str">
            <v>100300170036</v>
          </cell>
          <cell r="B769" t="str">
            <v>Asarganj</v>
          </cell>
          <cell r="C769" t="str">
            <v>Asarganj</v>
          </cell>
          <cell r="D769" t="str">
            <v>RATNI</v>
          </cell>
          <cell r="E769">
            <v>10030017</v>
          </cell>
          <cell r="F769" t="str">
            <v>0036</v>
          </cell>
          <cell r="G769">
            <v>7</v>
          </cell>
          <cell r="H769">
            <v>21.069999999999997</v>
          </cell>
          <cell r="I769">
            <v>1059.3656494783099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P769">
            <v>1059</v>
          </cell>
          <cell r="V769" t="str">
            <v>Available</v>
          </cell>
        </row>
        <row r="770">
          <cell r="A770" t="str">
            <v>100300170037</v>
          </cell>
          <cell r="B770" t="str">
            <v>Asarganj</v>
          </cell>
          <cell r="C770" t="str">
            <v>Asarganj</v>
          </cell>
          <cell r="D770" t="str">
            <v>RATNI</v>
          </cell>
          <cell r="E770">
            <v>10030017</v>
          </cell>
          <cell r="F770" t="str">
            <v>0037</v>
          </cell>
          <cell r="G770">
            <v>11</v>
          </cell>
          <cell r="H770">
            <v>34.29</v>
          </cell>
          <cell r="I770">
            <v>1159.7685040260001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P770">
            <v>1160</v>
          </cell>
          <cell r="V770" t="str">
            <v>Available</v>
          </cell>
        </row>
        <row r="771">
          <cell r="A771" t="str">
            <v>100300170042</v>
          </cell>
          <cell r="B771" t="str">
            <v>Asarganj</v>
          </cell>
          <cell r="C771" t="str">
            <v>Asarganj</v>
          </cell>
          <cell r="D771" t="str">
            <v>RATNI</v>
          </cell>
          <cell r="E771">
            <v>10030017</v>
          </cell>
          <cell r="F771" t="str">
            <v>0042</v>
          </cell>
          <cell r="G771">
            <v>7</v>
          </cell>
          <cell r="H771">
            <v>10.53</v>
          </cell>
          <cell r="I771">
            <v>648.90993416200013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P771">
            <v>649</v>
          </cell>
          <cell r="V771" t="str">
            <v>Available</v>
          </cell>
        </row>
        <row r="772">
          <cell r="A772" t="str">
            <v>100300170044</v>
          </cell>
          <cell r="B772" t="str">
            <v>Asarganj</v>
          </cell>
          <cell r="C772" t="str">
            <v>Asarganj</v>
          </cell>
          <cell r="D772" t="str">
            <v>RATNI</v>
          </cell>
          <cell r="E772">
            <v>10030017</v>
          </cell>
          <cell r="F772" t="str">
            <v>0044</v>
          </cell>
          <cell r="G772">
            <v>7</v>
          </cell>
          <cell r="H772">
            <v>12.91</v>
          </cell>
          <cell r="I772">
            <v>719.05998175270008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P772">
            <v>719</v>
          </cell>
          <cell r="V772" t="str">
            <v>Available</v>
          </cell>
        </row>
        <row r="773">
          <cell r="A773" t="str">
            <v>100300170045</v>
          </cell>
          <cell r="B773" t="str">
            <v>Asarganj</v>
          </cell>
          <cell r="C773" t="str">
            <v>Asarganj</v>
          </cell>
          <cell r="D773" t="str">
            <v>RATNI</v>
          </cell>
          <cell r="E773">
            <v>10030017</v>
          </cell>
          <cell r="F773" t="str">
            <v>0045</v>
          </cell>
          <cell r="G773">
            <v>5</v>
          </cell>
          <cell r="H773">
            <v>7.3599999999999994</v>
          </cell>
          <cell r="I773">
            <v>214.86251001600004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P773">
            <v>215</v>
          </cell>
          <cell r="V773" t="str">
            <v>Available</v>
          </cell>
        </row>
        <row r="774">
          <cell r="A774" t="str">
            <v>100300170046</v>
          </cell>
          <cell r="B774" t="str">
            <v>Asarganj</v>
          </cell>
          <cell r="C774" t="str">
            <v>Asarganj</v>
          </cell>
          <cell r="D774" t="str">
            <v>RATNI</v>
          </cell>
          <cell r="E774">
            <v>10030017</v>
          </cell>
          <cell r="F774" t="str">
            <v>0046</v>
          </cell>
          <cell r="G774">
            <v>13</v>
          </cell>
          <cell r="H774">
            <v>23.13</v>
          </cell>
          <cell r="I774">
            <v>1413.8094762343999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P774">
            <v>1414</v>
          </cell>
          <cell r="V774" t="str">
            <v>Available</v>
          </cell>
        </row>
        <row r="775">
          <cell r="A775" t="str">
            <v>100300170055</v>
          </cell>
          <cell r="B775" t="str">
            <v>Asarganj</v>
          </cell>
          <cell r="C775" t="str">
            <v>Asarganj</v>
          </cell>
          <cell r="D775" t="str">
            <v>RATNI</v>
          </cell>
          <cell r="E775">
            <v>10030017</v>
          </cell>
          <cell r="F775" t="str">
            <v>0055</v>
          </cell>
          <cell r="G775">
            <v>12</v>
          </cell>
          <cell r="H775">
            <v>39.230000000000004</v>
          </cell>
          <cell r="I775">
            <v>2155.6895498462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P775">
            <v>2156</v>
          </cell>
          <cell r="V775" t="str">
            <v>Available</v>
          </cell>
        </row>
        <row r="776">
          <cell r="A776" t="str">
            <v>100300170059</v>
          </cell>
          <cell r="B776" t="str">
            <v>Asarganj</v>
          </cell>
          <cell r="C776" t="str">
            <v>Asarganj</v>
          </cell>
          <cell r="D776" t="str">
            <v>RATNI</v>
          </cell>
          <cell r="E776">
            <v>10030017</v>
          </cell>
          <cell r="F776" t="str">
            <v>0059</v>
          </cell>
          <cell r="G776">
            <v>7</v>
          </cell>
          <cell r="H776">
            <v>8.9400000000000013</v>
          </cell>
          <cell r="I776">
            <v>564.5085723973001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P776">
            <v>565</v>
          </cell>
          <cell r="V776" t="str">
            <v>Available</v>
          </cell>
        </row>
        <row r="777">
          <cell r="A777" t="str">
            <v>100300170063</v>
          </cell>
          <cell r="B777" t="str">
            <v>Asarganj</v>
          </cell>
          <cell r="C777" t="str">
            <v>Asarganj</v>
          </cell>
          <cell r="D777" t="str">
            <v>RATNI</v>
          </cell>
          <cell r="E777">
            <v>10030017</v>
          </cell>
          <cell r="F777" t="str">
            <v>0063</v>
          </cell>
          <cell r="G777">
            <v>3</v>
          </cell>
          <cell r="H777">
            <v>3.86</v>
          </cell>
          <cell r="I777">
            <v>126.6541049466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P777">
            <v>127</v>
          </cell>
          <cell r="V777" t="str">
            <v>Available</v>
          </cell>
        </row>
        <row r="778">
          <cell r="A778" t="str">
            <v>100300170066</v>
          </cell>
          <cell r="B778" t="str">
            <v>Asarganj</v>
          </cell>
          <cell r="C778" t="str">
            <v>Asarganj</v>
          </cell>
          <cell r="D778" t="str">
            <v>RATNI</v>
          </cell>
          <cell r="E778">
            <v>10030017</v>
          </cell>
          <cell r="F778" t="str">
            <v>0066</v>
          </cell>
          <cell r="G778">
            <v>10</v>
          </cell>
          <cell r="H778">
            <v>35.550000000000004</v>
          </cell>
          <cell r="I778">
            <v>1863.9723873749901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P778">
            <v>1864</v>
          </cell>
          <cell r="V778" t="str">
            <v>Available</v>
          </cell>
        </row>
        <row r="779">
          <cell r="A779" t="str">
            <v>100300170069</v>
          </cell>
          <cell r="B779" t="str">
            <v>Asarganj</v>
          </cell>
          <cell r="C779" t="str">
            <v>Asarganj</v>
          </cell>
          <cell r="D779" t="str">
            <v>RATNI</v>
          </cell>
          <cell r="E779">
            <v>10030017</v>
          </cell>
          <cell r="F779" t="str">
            <v>0069</v>
          </cell>
          <cell r="G779">
            <v>6</v>
          </cell>
          <cell r="H779">
            <v>10.87</v>
          </cell>
          <cell r="I779">
            <v>599.74808336914009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P779">
            <v>600</v>
          </cell>
          <cell r="V779" t="str">
            <v>Available</v>
          </cell>
        </row>
        <row r="780">
          <cell r="A780" t="str">
            <v>100300170076</v>
          </cell>
          <cell r="B780" t="str">
            <v>Asarganj</v>
          </cell>
          <cell r="C780" t="str">
            <v>Asarganj</v>
          </cell>
          <cell r="D780" t="str">
            <v>RATNI</v>
          </cell>
          <cell r="E780">
            <v>10030017</v>
          </cell>
          <cell r="F780" t="str">
            <v>0076</v>
          </cell>
          <cell r="G780">
            <v>6</v>
          </cell>
          <cell r="H780">
            <v>29.03</v>
          </cell>
          <cell r="I780">
            <v>1366.3141220197999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P780">
            <v>1366</v>
          </cell>
          <cell r="V780" t="str">
            <v>Available</v>
          </cell>
        </row>
        <row r="781">
          <cell r="A781" t="str">
            <v>100300170095</v>
          </cell>
          <cell r="B781" t="str">
            <v>Asarganj</v>
          </cell>
          <cell r="C781" t="str">
            <v>Asarganj</v>
          </cell>
          <cell r="D781" t="str">
            <v>RATNI</v>
          </cell>
          <cell r="E781">
            <v>10030017</v>
          </cell>
          <cell r="F781" t="str">
            <v>0095</v>
          </cell>
          <cell r="G781">
            <v>6</v>
          </cell>
          <cell r="H781">
            <v>18.32</v>
          </cell>
          <cell r="I781">
            <v>907.44372880791013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P781">
            <v>907</v>
          </cell>
          <cell r="V781" t="str">
            <v>Available</v>
          </cell>
        </row>
        <row r="782">
          <cell r="A782" t="str">
            <v>100300170103</v>
          </cell>
          <cell r="B782" t="str">
            <v>Asarganj</v>
          </cell>
          <cell r="C782" t="str">
            <v>Asarganj</v>
          </cell>
          <cell r="D782" t="str">
            <v>RATNI</v>
          </cell>
          <cell r="E782">
            <v>10030017</v>
          </cell>
          <cell r="F782" t="str">
            <v>0103</v>
          </cell>
          <cell r="G782">
            <v>6</v>
          </cell>
          <cell r="H782">
            <v>8.58</v>
          </cell>
          <cell r="I782">
            <v>439.80014083580005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P782">
            <v>440</v>
          </cell>
          <cell r="V782" t="str">
            <v>Available</v>
          </cell>
        </row>
        <row r="783">
          <cell r="A783" t="str">
            <v>100300170110</v>
          </cell>
          <cell r="B783" t="str">
            <v>Asarganj</v>
          </cell>
          <cell r="C783" t="str">
            <v>Asarganj</v>
          </cell>
          <cell r="D783" t="str">
            <v>RATNI</v>
          </cell>
          <cell r="E783">
            <v>10030017</v>
          </cell>
          <cell r="F783" t="str">
            <v>0110</v>
          </cell>
          <cell r="G783">
            <v>14</v>
          </cell>
          <cell r="H783">
            <v>65.490000000000009</v>
          </cell>
          <cell r="I783">
            <v>3276.5219380656299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P783">
            <v>3277</v>
          </cell>
          <cell r="V783" t="str">
            <v>Available</v>
          </cell>
        </row>
        <row r="784">
          <cell r="A784" t="str">
            <v>100300170124</v>
          </cell>
          <cell r="B784" t="str">
            <v>Asarganj</v>
          </cell>
          <cell r="C784" t="str">
            <v>Asarganj</v>
          </cell>
          <cell r="D784" t="str">
            <v>RATNI</v>
          </cell>
          <cell r="E784">
            <v>10030017</v>
          </cell>
          <cell r="F784" t="str">
            <v>0124</v>
          </cell>
          <cell r="G784">
            <v>6</v>
          </cell>
          <cell r="H784">
            <v>14.040000000000001</v>
          </cell>
          <cell r="I784">
            <v>593.90493576719996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P784">
            <v>594</v>
          </cell>
          <cell r="V784" t="str">
            <v>Available</v>
          </cell>
        </row>
        <row r="785">
          <cell r="A785" t="str">
            <v>100300170129</v>
          </cell>
          <cell r="B785" t="str">
            <v>Asarganj</v>
          </cell>
          <cell r="C785" t="str">
            <v>Asarganj</v>
          </cell>
          <cell r="D785" t="str">
            <v>RATNI</v>
          </cell>
          <cell r="E785">
            <v>10030017</v>
          </cell>
          <cell r="F785" t="str">
            <v>0129</v>
          </cell>
          <cell r="G785">
            <v>6</v>
          </cell>
          <cell r="H785">
            <v>14.679999999999998</v>
          </cell>
          <cell r="I785">
            <v>748.50314887128002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P785">
            <v>749</v>
          </cell>
          <cell r="V785" t="str">
            <v>Available</v>
          </cell>
        </row>
        <row r="786">
          <cell r="A786" t="str">
            <v>100300170131</v>
          </cell>
          <cell r="B786" t="str">
            <v>Asarganj</v>
          </cell>
          <cell r="C786" t="str">
            <v>Asarganj</v>
          </cell>
          <cell r="D786" t="str">
            <v>RATNI</v>
          </cell>
          <cell r="E786">
            <v>10030017</v>
          </cell>
          <cell r="F786" t="str">
            <v>0131</v>
          </cell>
          <cell r="G786">
            <v>2</v>
          </cell>
          <cell r="H786">
            <v>3.35</v>
          </cell>
          <cell r="I786">
            <v>178.45029891130002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P786">
            <v>178</v>
          </cell>
          <cell r="V786" t="str">
            <v>Available</v>
          </cell>
        </row>
        <row r="787">
          <cell r="A787" t="str">
            <v>100300170136</v>
          </cell>
          <cell r="B787" t="str">
            <v>Asarganj</v>
          </cell>
          <cell r="C787" t="str">
            <v>Asarganj</v>
          </cell>
          <cell r="D787" t="str">
            <v>RATNI</v>
          </cell>
          <cell r="E787">
            <v>10030017</v>
          </cell>
          <cell r="F787" t="str">
            <v>0136</v>
          </cell>
          <cell r="G787">
            <v>6</v>
          </cell>
          <cell r="H787">
            <v>12.09</v>
          </cell>
          <cell r="I787">
            <v>582.00366512532003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P787">
            <v>582</v>
          </cell>
          <cell r="V787" t="str">
            <v>Available</v>
          </cell>
        </row>
        <row r="788">
          <cell r="A788" t="str">
            <v>100300170138</v>
          </cell>
          <cell r="B788" t="str">
            <v>Asarganj</v>
          </cell>
          <cell r="C788" t="str">
            <v>Asarganj</v>
          </cell>
          <cell r="D788" t="str">
            <v>RATNI</v>
          </cell>
          <cell r="E788">
            <v>10030017</v>
          </cell>
          <cell r="F788" t="str">
            <v>0138</v>
          </cell>
          <cell r="G788">
            <v>12</v>
          </cell>
          <cell r="H788">
            <v>37.270000000000003</v>
          </cell>
          <cell r="I788">
            <v>1303.6864159440001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P788">
            <v>1304</v>
          </cell>
          <cell r="V788" t="str">
            <v>Available</v>
          </cell>
        </row>
        <row r="789">
          <cell r="A789" t="str">
            <v>100300170144</v>
          </cell>
          <cell r="B789" t="str">
            <v>Asarganj</v>
          </cell>
          <cell r="C789" t="str">
            <v>Asarganj</v>
          </cell>
          <cell r="D789" t="str">
            <v>RATNI</v>
          </cell>
          <cell r="E789">
            <v>10030017</v>
          </cell>
          <cell r="F789" t="str">
            <v>0144</v>
          </cell>
          <cell r="G789">
            <v>7</v>
          </cell>
          <cell r="H789">
            <v>15.25</v>
          </cell>
          <cell r="I789">
            <v>522.62158330800003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P789">
            <v>523</v>
          </cell>
          <cell r="V789" t="str">
            <v>Available</v>
          </cell>
        </row>
        <row r="790">
          <cell r="A790" t="str">
            <v>100300180001</v>
          </cell>
          <cell r="B790" t="str">
            <v>Asarganj</v>
          </cell>
          <cell r="C790" t="str">
            <v>Asarganj</v>
          </cell>
          <cell r="D790" t="str">
            <v>DHAPARI</v>
          </cell>
          <cell r="E790">
            <v>10030018</v>
          </cell>
          <cell r="F790" t="str">
            <v>0001</v>
          </cell>
          <cell r="G790">
            <v>13</v>
          </cell>
          <cell r="H790">
            <v>27.63</v>
          </cell>
          <cell r="I790">
            <v>1054.3986644796</v>
          </cell>
          <cell r="J790">
            <v>0</v>
          </cell>
          <cell r="K790">
            <v>1054.3986644796</v>
          </cell>
          <cell r="L790">
            <v>0</v>
          </cell>
          <cell r="M790">
            <v>0</v>
          </cell>
          <cell r="P790">
            <v>0</v>
          </cell>
          <cell r="V790" t="str">
            <v>Not Available</v>
          </cell>
        </row>
        <row r="791">
          <cell r="A791" t="str">
            <v>100300180002</v>
          </cell>
          <cell r="B791" t="str">
            <v>Asarganj</v>
          </cell>
          <cell r="C791" t="str">
            <v>Asarganj</v>
          </cell>
          <cell r="D791" t="str">
            <v>DHAPARI</v>
          </cell>
          <cell r="E791">
            <v>10030018</v>
          </cell>
          <cell r="F791" t="str">
            <v>0002</v>
          </cell>
          <cell r="G791">
            <v>8</v>
          </cell>
          <cell r="H791">
            <v>30.640000000000004</v>
          </cell>
          <cell r="I791">
            <v>1300.1111986759381</v>
          </cell>
          <cell r="J791">
            <v>0</v>
          </cell>
          <cell r="K791">
            <v>0</v>
          </cell>
          <cell r="L791">
            <v>1300</v>
          </cell>
          <cell r="M791">
            <v>0</v>
          </cell>
          <cell r="P791">
            <v>0</v>
          </cell>
          <cell r="V791" t="str">
            <v>Available</v>
          </cell>
        </row>
        <row r="792">
          <cell r="A792" t="str">
            <v>100300180005</v>
          </cell>
          <cell r="B792" t="str">
            <v>Asarganj</v>
          </cell>
          <cell r="C792" t="str">
            <v>Asarganj</v>
          </cell>
          <cell r="D792" t="str">
            <v>DHAPARI</v>
          </cell>
          <cell r="E792">
            <v>10030018</v>
          </cell>
          <cell r="F792" t="str">
            <v>0005</v>
          </cell>
          <cell r="G792">
            <v>12</v>
          </cell>
          <cell r="H792">
            <v>29.04</v>
          </cell>
          <cell r="I792">
            <v>909.04601529720003</v>
          </cell>
          <cell r="J792">
            <v>0</v>
          </cell>
          <cell r="K792">
            <v>0</v>
          </cell>
          <cell r="L792">
            <v>909</v>
          </cell>
          <cell r="M792">
            <v>0</v>
          </cell>
          <cell r="P792">
            <v>0</v>
          </cell>
          <cell r="V792" t="str">
            <v>Available</v>
          </cell>
        </row>
        <row r="793">
          <cell r="A793" t="str">
            <v>100300180007</v>
          </cell>
          <cell r="B793" t="str">
            <v>Asarganj</v>
          </cell>
          <cell r="C793" t="str">
            <v>Asarganj</v>
          </cell>
          <cell r="D793" t="str">
            <v>DHAPARI</v>
          </cell>
          <cell r="E793">
            <v>10030018</v>
          </cell>
          <cell r="F793" t="str">
            <v>0007</v>
          </cell>
          <cell r="G793">
            <v>14</v>
          </cell>
          <cell r="H793">
            <v>58.710000000000008</v>
          </cell>
          <cell r="I793">
            <v>1776.950222553</v>
          </cell>
          <cell r="J793">
            <v>0</v>
          </cell>
          <cell r="K793">
            <v>0</v>
          </cell>
          <cell r="L793">
            <v>1443</v>
          </cell>
          <cell r="M793">
            <v>0</v>
          </cell>
          <cell r="P793">
            <v>334</v>
          </cell>
          <cell r="V793" t="str">
            <v>Available</v>
          </cell>
        </row>
        <row r="794">
          <cell r="A794" t="str">
            <v>100300180008</v>
          </cell>
          <cell r="B794" t="str">
            <v>Asarganj</v>
          </cell>
          <cell r="C794" t="str">
            <v>Asarganj</v>
          </cell>
          <cell r="D794" t="str">
            <v>DHAPARI</v>
          </cell>
          <cell r="E794">
            <v>10030018</v>
          </cell>
          <cell r="F794" t="str">
            <v>0008</v>
          </cell>
          <cell r="G794">
            <v>14</v>
          </cell>
          <cell r="H794">
            <v>50.31</v>
          </cell>
          <cell r="I794">
            <v>2019.3869598661202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P794">
            <v>2019</v>
          </cell>
          <cell r="V794" t="str">
            <v>Available</v>
          </cell>
        </row>
        <row r="795">
          <cell r="A795" t="str">
            <v>100300180014</v>
          </cell>
          <cell r="B795" t="str">
            <v>Asarganj</v>
          </cell>
          <cell r="C795" t="str">
            <v>Asarganj</v>
          </cell>
          <cell r="D795" t="str">
            <v>DHAPARI</v>
          </cell>
          <cell r="E795">
            <v>10030018</v>
          </cell>
          <cell r="F795" t="str">
            <v>0014</v>
          </cell>
          <cell r="G795">
            <v>1</v>
          </cell>
          <cell r="H795">
            <v>4.09</v>
          </cell>
          <cell r="I795">
            <v>149.87397047040002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P795">
            <v>150</v>
          </cell>
          <cell r="V795" t="str">
            <v>Available</v>
          </cell>
        </row>
        <row r="796">
          <cell r="A796" t="str">
            <v>100300180019</v>
          </cell>
          <cell r="B796" t="str">
            <v>Asarganj</v>
          </cell>
          <cell r="C796" t="str">
            <v>Asarganj</v>
          </cell>
          <cell r="D796" t="str">
            <v>DHAPARI</v>
          </cell>
          <cell r="E796">
            <v>10030018</v>
          </cell>
          <cell r="F796" t="str">
            <v>0019</v>
          </cell>
          <cell r="G796">
            <v>1</v>
          </cell>
          <cell r="H796">
            <v>1.96</v>
          </cell>
          <cell r="I796">
            <v>79.170415632000001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P796">
            <v>79</v>
          </cell>
          <cell r="V796" t="str">
            <v>Available</v>
          </cell>
        </row>
        <row r="797">
          <cell r="A797" t="str">
            <v>100300180022</v>
          </cell>
          <cell r="B797" t="str">
            <v>Asarganj</v>
          </cell>
          <cell r="C797" t="str">
            <v>Asarganj</v>
          </cell>
          <cell r="D797" t="str">
            <v>DHAPARI</v>
          </cell>
          <cell r="E797">
            <v>10030018</v>
          </cell>
          <cell r="F797" t="str">
            <v>0022</v>
          </cell>
          <cell r="G797">
            <v>10</v>
          </cell>
          <cell r="H797">
            <v>80.52</v>
          </cell>
          <cell r="I797">
            <v>3347.5418022934805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P797">
            <v>3348</v>
          </cell>
          <cell r="V797" t="str">
            <v>Available</v>
          </cell>
        </row>
        <row r="798">
          <cell r="A798" t="str">
            <v>100300180023</v>
          </cell>
          <cell r="B798" t="str">
            <v>Asarganj</v>
          </cell>
          <cell r="C798" t="str">
            <v>Asarganj</v>
          </cell>
          <cell r="D798" t="str">
            <v>DHAPARI</v>
          </cell>
          <cell r="E798">
            <v>10030018</v>
          </cell>
          <cell r="F798" t="str">
            <v>0023</v>
          </cell>
          <cell r="G798">
            <v>13</v>
          </cell>
          <cell r="H798">
            <v>94.800000000000011</v>
          </cell>
          <cell r="I798">
            <v>3786.1425871509755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P798">
            <v>3786</v>
          </cell>
          <cell r="V798" t="str">
            <v>Available</v>
          </cell>
        </row>
        <row r="799">
          <cell r="A799" t="str">
            <v>100300180026</v>
          </cell>
          <cell r="B799" t="str">
            <v>Asarganj</v>
          </cell>
          <cell r="C799" t="str">
            <v>Asarganj</v>
          </cell>
          <cell r="D799" t="str">
            <v>DHAPARI</v>
          </cell>
          <cell r="E799">
            <v>10030018</v>
          </cell>
          <cell r="F799" t="str">
            <v>0026</v>
          </cell>
          <cell r="G799">
            <v>12</v>
          </cell>
          <cell r="H799">
            <v>15.46</v>
          </cell>
          <cell r="I799">
            <v>584.75522795580014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P799">
            <v>585</v>
          </cell>
          <cell r="V799" t="str">
            <v>Available</v>
          </cell>
        </row>
        <row r="800">
          <cell r="A800" t="str">
            <v>100300180027</v>
          </cell>
          <cell r="B800" t="str">
            <v>Asarganj</v>
          </cell>
          <cell r="C800" t="str">
            <v>Asarganj</v>
          </cell>
          <cell r="D800" t="str">
            <v>DHAPARI</v>
          </cell>
          <cell r="E800">
            <v>10030018</v>
          </cell>
          <cell r="F800" t="str">
            <v>0027</v>
          </cell>
          <cell r="G800">
            <v>13</v>
          </cell>
          <cell r="H800">
            <v>36.97</v>
          </cell>
          <cell r="I800">
            <v>1549.5746949144004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P800">
            <v>1550</v>
          </cell>
          <cell r="V800" t="str">
            <v>Available</v>
          </cell>
        </row>
        <row r="801">
          <cell r="A801" t="str">
            <v>100300180044</v>
          </cell>
          <cell r="B801" t="str">
            <v>Asarganj</v>
          </cell>
          <cell r="C801" t="str">
            <v>Asarganj</v>
          </cell>
          <cell r="D801" t="str">
            <v>DHAPARI</v>
          </cell>
          <cell r="E801">
            <v>10030018</v>
          </cell>
          <cell r="F801" t="str">
            <v>0044</v>
          </cell>
          <cell r="G801">
            <v>14</v>
          </cell>
          <cell r="H801">
            <v>41.03</v>
          </cell>
          <cell r="I801">
            <v>1572.9642880184103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P801">
            <v>1573</v>
          </cell>
          <cell r="V801" t="str">
            <v>Available</v>
          </cell>
        </row>
        <row r="802">
          <cell r="A802" t="str">
            <v>100300180049</v>
          </cell>
          <cell r="B802" t="str">
            <v>Asarganj</v>
          </cell>
          <cell r="C802" t="str">
            <v>Asarganj</v>
          </cell>
          <cell r="D802" t="str">
            <v>DHAPARI</v>
          </cell>
          <cell r="E802">
            <v>10030018</v>
          </cell>
          <cell r="F802" t="str">
            <v>0049</v>
          </cell>
          <cell r="G802">
            <v>14</v>
          </cell>
          <cell r="H802">
            <v>83.22</v>
          </cell>
          <cell r="I802">
            <v>3001.8891067506001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P802">
            <v>3002</v>
          </cell>
          <cell r="V802" t="str">
            <v>Available</v>
          </cell>
        </row>
        <row r="803">
          <cell r="A803" t="str">
            <v>100300180052</v>
          </cell>
          <cell r="B803" t="str">
            <v>Asarganj</v>
          </cell>
          <cell r="C803" t="str">
            <v>Asarganj</v>
          </cell>
          <cell r="D803" t="str">
            <v>DHAPARI</v>
          </cell>
          <cell r="E803">
            <v>10030018</v>
          </cell>
          <cell r="F803" t="str">
            <v>0052</v>
          </cell>
          <cell r="G803">
            <v>7</v>
          </cell>
          <cell r="H803">
            <v>17.779999999999998</v>
          </cell>
          <cell r="I803">
            <v>1231.5945103173999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P803">
            <v>1232</v>
          </cell>
          <cell r="V803" t="str">
            <v>Available</v>
          </cell>
        </row>
        <row r="804">
          <cell r="A804" t="str">
            <v>100300180055</v>
          </cell>
          <cell r="B804" t="str">
            <v>Asarganj</v>
          </cell>
          <cell r="C804" t="str">
            <v>Asarganj</v>
          </cell>
          <cell r="D804" t="str">
            <v>DHAPARI</v>
          </cell>
          <cell r="E804">
            <v>10030018</v>
          </cell>
          <cell r="F804" t="str">
            <v>0055</v>
          </cell>
          <cell r="G804">
            <v>4</v>
          </cell>
          <cell r="H804">
            <v>10.1</v>
          </cell>
          <cell r="I804">
            <v>399.75169964400004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P804">
            <v>400</v>
          </cell>
          <cell r="V804" t="str">
            <v>Available</v>
          </cell>
        </row>
        <row r="805">
          <cell r="A805" t="str">
            <v>100300180056</v>
          </cell>
          <cell r="B805" t="str">
            <v>Asarganj</v>
          </cell>
          <cell r="C805" t="str">
            <v>Asarganj</v>
          </cell>
          <cell r="D805" t="str">
            <v>DHAPARI</v>
          </cell>
          <cell r="E805">
            <v>10030018</v>
          </cell>
          <cell r="F805" t="str">
            <v>0056</v>
          </cell>
          <cell r="G805">
            <v>6</v>
          </cell>
          <cell r="H805">
            <v>38.53</v>
          </cell>
          <cell r="I805">
            <v>1533.8987836920001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P805">
            <v>1534</v>
          </cell>
          <cell r="V805" t="str">
            <v>Available</v>
          </cell>
        </row>
        <row r="806">
          <cell r="A806" t="str">
            <v>100300180057</v>
          </cell>
          <cell r="B806" t="str">
            <v>Asarganj</v>
          </cell>
          <cell r="C806" t="str">
            <v>Asarganj</v>
          </cell>
          <cell r="D806" t="str">
            <v>DHAPARI</v>
          </cell>
          <cell r="E806">
            <v>10030018</v>
          </cell>
          <cell r="F806" t="str">
            <v>0057</v>
          </cell>
          <cell r="G806">
            <v>6</v>
          </cell>
          <cell r="H806">
            <v>11.440000000000001</v>
          </cell>
          <cell r="I806">
            <v>683.59630924830003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P806">
            <v>684</v>
          </cell>
          <cell r="V806" t="str">
            <v>Available</v>
          </cell>
        </row>
        <row r="807">
          <cell r="A807" t="str">
            <v>100300180067</v>
          </cell>
          <cell r="B807" t="str">
            <v>Asarganj</v>
          </cell>
          <cell r="C807" t="str">
            <v>Asarganj</v>
          </cell>
          <cell r="D807" t="str">
            <v>DHAPARI</v>
          </cell>
          <cell r="E807">
            <v>10030018</v>
          </cell>
          <cell r="F807" t="str">
            <v>0067</v>
          </cell>
          <cell r="G807">
            <v>11</v>
          </cell>
          <cell r="H807">
            <v>88.05</v>
          </cell>
          <cell r="I807">
            <v>3365.0871340679996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P807">
            <v>3365</v>
          </cell>
          <cell r="V807" t="str">
            <v>Available</v>
          </cell>
        </row>
        <row r="808">
          <cell r="A808" t="str">
            <v>100300180069</v>
          </cell>
          <cell r="B808" t="str">
            <v>Asarganj</v>
          </cell>
          <cell r="C808" t="str">
            <v>Asarganj</v>
          </cell>
          <cell r="D808" t="str">
            <v>DHAPARI</v>
          </cell>
          <cell r="E808">
            <v>10030018</v>
          </cell>
          <cell r="F808" t="str">
            <v>0069</v>
          </cell>
          <cell r="G808">
            <v>6</v>
          </cell>
          <cell r="H808">
            <v>6.0500000000000007</v>
          </cell>
          <cell r="I808">
            <v>312.68775320297999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P808">
            <v>313</v>
          </cell>
          <cell r="V808" t="str">
            <v>Available</v>
          </cell>
        </row>
        <row r="809">
          <cell r="A809" t="str">
            <v>100300180070</v>
          </cell>
          <cell r="B809" t="str">
            <v>Asarganj</v>
          </cell>
          <cell r="C809" t="str">
            <v>Asarganj</v>
          </cell>
          <cell r="D809" t="str">
            <v>DHAPARI</v>
          </cell>
          <cell r="E809">
            <v>10030018</v>
          </cell>
          <cell r="F809" t="str">
            <v>0070</v>
          </cell>
          <cell r="G809">
            <v>14</v>
          </cell>
          <cell r="H809">
            <v>41.8</v>
          </cell>
          <cell r="I809">
            <v>1658.2352414760003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P809">
            <v>1658</v>
          </cell>
          <cell r="V809" t="str">
            <v>Available</v>
          </cell>
        </row>
        <row r="810">
          <cell r="A810" t="str">
            <v>100300180071</v>
          </cell>
          <cell r="B810" t="str">
            <v>Asarganj</v>
          </cell>
          <cell r="C810" t="str">
            <v>Asarganj</v>
          </cell>
          <cell r="D810" t="str">
            <v>DHAPARI</v>
          </cell>
          <cell r="E810">
            <v>10030018</v>
          </cell>
          <cell r="F810" t="str">
            <v>0071</v>
          </cell>
          <cell r="G810">
            <v>14</v>
          </cell>
          <cell r="H810">
            <v>64.8</v>
          </cell>
          <cell r="I810">
            <v>2348.7674044824003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P810">
            <v>2349</v>
          </cell>
          <cell r="V810" t="str">
            <v>Available</v>
          </cell>
        </row>
        <row r="811">
          <cell r="A811" t="str">
            <v>100300180072</v>
          </cell>
          <cell r="B811" t="str">
            <v>Asarganj</v>
          </cell>
          <cell r="C811" t="str">
            <v>Asarganj</v>
          </cell>
          <cell r="D811" t="str">
            <v>DHAPARI</v>
          </cell>
          <cell r="E811">
            <v>10030018</v>
          </cell>
          <cell r="F811" t="str">
            <v>0072</v>
          </cell>
          <cell r="G811">
            <v>13</v>
          </cell>
          <cell r="H811">
            <v>36</v>
          </cell>
          <cell r="I811">
            <v>1372.7125933488003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P811">
            <v>1373</v>
          </cell>
          <cell r="V811" t="str">
            <v>Available</v>
          </cell>
        </row>
        <row r="812">
          <cell r="A812" t="str">
            <v>100300190001</v>
          </cell>
          <cell r="B812" t="str">
            <v>Asarganj</v>
          </cell>
          <cell r="C812" t="str">
            <v>Asarganj</v>
          </cell>
          <cell r="D812" t="str">
            <v>KHARUI</v>
          </cell>
          <cell r="E812">
            <v>10030019</v>
          </cell>
          <cell r="F812" t="str">
            <v>0001</v>
          </cell>
          <cell r="G812">
            <v>14</v>
          </cell>
          <cell r="H812">
            <v>25.240000000000002</v>
          </cell>
          <cell r="I812">
            <v>1367.8164343522201</v>
          </cell>
          <cell r="J812">
            <v>0</v>
          </cell>
          <cell r="K812">
            <v>1367.8164343522201</v>
          </cell>
          <cell r="L812">
            <v>0</v>
          </cell>
          <cell r="M812">
            <v>0</v>
          </cell>
          <cell r="P812">
            <v>0</v>
          </cell>
          <cell r="V812" t="str">
            <v>Not Available</v>
          </cell>
        </row>
        <row r="813">
          <cell r="A813" t="str">
            <v>100300190002</v>
          </cell>
          <cell r="B813" t="str">
            <v>Asarganj</v>
          </cell>
          <cell r="C813" t="str">
            <v>Asarganj</v>
          </cell>
          <cell r="D813" t="str">
            <v>KHARUI</v>
          </cell>
          <cell r="E813">
            <v>10030019</v>
          </cell>
          <cell r="F813" t="str">
            <v>0002</v>
          </cell>
          <cell r="G813">
            <v>14</v>
          </cell>
          <cell r="H813">
            <v>122.8</v>
          </cell>
          <cell r="I813">
            <v>5832.1394730962811</v>
          </cell>
          <cell r="J813">
            <v>0</v>
          </cell>
          <cell r="K813">
            <v>0</v>
          </cell>
          <cell r="L813">
            <v>1040</v>
          </cell>
          <cell r="M813">
            <v>0</v>
          </cell>
          <cell r="P813">
            <v>4792</v>
          </cell>
          <cell r="V813" t="str">
            <v>Available</v>
          </cell>
        </row>
        <row r="814">
          <cell r="A814" t="str">
            <v>100300190003</v>
          </cell>
          <cell r="B814" t="str">
            <v>Asarganj</v>
          </cell>
          <cell r="C814" t="str">
            <v>Asarganj</v>
          </cell>
          <cell r="D814" t="str">
            <v>KHARUI</v>
          </cell>
          <cell r="E814">
            <v>10030019</v>
          </cell>
          <cell r="F814" t="str">
            <v>0003</v>
          </cell>
          <cell r="G814">
            <v>8</v>
          </cell>
          <cell r="H814">
            <v>77.809999999999988</v>
          </cell>
          <cell r="I814">
            <v>3319.3128631461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P814">
            <v>3319</v>
          </cell>
          <cell r="V814" t="str">
            <v>Available</v>
          </cell>
        </row>
        <row r="815">
          <cell r="A815" t="str">
            <v>100300190008</v>
          </cell>
          <cell r="B815" t="str">
            <v>Asarganj</v>
          </cell>
          <cell r="C815" t="str">
            <v>Asarganj</v>
          </cell>
          <cell r="D815" t="str">
            <v>KHARUI</v>
          </cell>
          <cell r="E815">
            <v>10030019</v>
          </cell>
          <cell r="F815" t="str">
            <v>0008</v>
          </cell>
          <cell r="G815">
            <v>1</v>
          </cell>
          <cell r="H815">
            <v>1.29</v>
          </cell>
          <cell r="I815">
            <v>42.673203302399997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P815">
            <v>43</v>
          </cell>
          <cell r="V815" t="str">
            <v>Available</v>
          </cell>
        </row>
        <row r="816">
          <cell r="A816" t="str">
            <v>100300190012</v>
          </cell>
          <cell r="B816" t="str">
            <v>Asarganj</v>
          </cell>
          <cell r="C816" t="str">
            <v>Asarganj</v>
          </cell>
          <cell r="D816" t="str">
            <v>KHARUI</v>
          </cell>
          <cell r="E816">
            <v>10030019</v>
          </cell>
          <cell r="F816" t="str">
            <v>0012</v>
          </cell>
          <cell r="G816">
            <v>12</v>
          </cell>
          <cell r="H816">
            <v>23.189999999999998</v>
          </cell>
          <cell r="I816">
            <v>850.82199562800008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P816">
            <v>851</v>
          </cell>
          <cell r="V816" t="str">
            <v>Available</v>
          </cell>
        </row>
        <row r="817">
          <cell r="A817" t="str">
            <v>100300190014</v>
          </cell>
          <cell r="B817" t="str">
            <v>Asarganj</v>
          </cell>
          <cell r="C817" t="str">
            <v>Asarganj</v>
          </cell>
          <cell r="D817" t="str">
            <v>KHARUI</v>
          </cell>
          <cell r="E817">
            <v>10030019</v>
          </cell>
          <cell r="F817" t="str">
            <v>0014</v>
          </cell>
          <cell r="G817">
            <v>10</v>
          </cell>
          <cell r="H817">
            <v>39.25</v>
          </cell>
          <cell r="I817">
            <v>1507.9004542800003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P817">
            <v>1508</v>
          </cell>
          <cell r="V817" t="str">
            <v>Available</v>
          </cell>
        </row>
        <row r="818">
          <cell r="A818" t="str">
            <v>100300190015</v>
          </cell>
          <cell r="B818" t="str">
            <v>Asarganj</v>
          </cell>
          <cell r="C818" t="str">
            <v>Asarganj</v>
          </cell>
          <cell r="D818" t="str">
            <v>KHARUI</v>
          </cell>
          <cell r="E818">
            <v>10030019</v>
          </cell>
          <cell r="F818" t="str">
            <v>0015</v>
          </cell>
          <cell r="G818">
            <v>7</v>
          </cell>
          <cell r="H818">
            <v>21.759999999999998</v>
          </cell>
          <cell r="I818">
            <v>927.94124181000018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P818">
            <v>928</v>
          </cell>
          <cell r="V818" t="str">
            <v>Available</v>
          </cell>
        </row>
        <row r="819">
          <cell r="A819" t="str">
            <v>100300190025</v>
          </cell>
          <cell r="B819" t="str">
            <v>Asarganj</v>
          </cell>
          <cell r="C819" t="str">
            <v>Asarganj</v>
          </cell>
          <cell r="D819" t="str">
            <v>KHARUI</v>
          </cell>
          <cell r="E819">
            <v>10030019</v>
          </cell>
          <cell r="F819" t="str">
            <v>0025</v>
          </cell>
          <cell r="G819">
            <v>14</v>
          </cell>
          <cell r="H819">
            <v>144.52000000000001</v>
          </cell>
          <cell r="I819">
            <v>7978.8698939645701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P819">
            <v>7979</v>
          </cell>
          <cell r="V819" t="str">
            <v>Available</v>
          </cell>
        </row>
        <row r="820">
          <cell r="A820" t="str">
            <v>100300190026</v>
          </cell>
          <cell r="B820" t="str">
            <v>Asarganj</v>
          </cell>
          <cell r="C820" t="str">
            <v>Asarganj</v>
          </cell>
          <cell r="D820" t="str">
            <v>KHARUI</v>
          </cell>
          <cell r="E820">
            <v>10030019</v>
          </cell>
          <cell r="F820" t="str">
            <v>0026</v>
          </cell>
          <cell r="G820">
            <v>5</v>
          </cell>
          <cell r="H820">
            <v>30.48</v>
          </cell>
          <cell r="I820">
            <v>1245.8998722058002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P820">
            <v>1246</v>
          </cell>
          <cell r="V820" t="str">
            <v>Available</v>
          </cell>
        </row>
        <row r="821">
          <cell r="A821" t="str">
            <v>100300190033</v>
          </cell>
          <cell r="B821" t="str">
            <v>Asarganj</v>
          </cell>
          <cell r="C821" t="str">
            <v>Asarganj</v>
          </cell>
          <cell r="D821" t="str">
            <v>KHARUI</v>
          </cell>
          <cell r="E821">
            <v>10030019</v>
          </cell>
          <cell r="F821" t="str">
            <v>0033</v>
          </cell>
          <cell r="G821">
            <v>13</v>
          </cell>
          <cell r="H821">
            <v>23.44</v>
          </cell>
          <cell r="I821">
            <v>965.60386714439983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P821">
            <v>966</v>
          </cell>
          <cell r="V821" t="str">
            <v>Available</v>
          </cell>
        </row>
        <row r="822">
          <cell r="A822" t="str">
            <v>100300190037</v>
          </cell>
          <cell r="B822" t="str">
            <v>Asarganj</v>
          </cell>
          <cell r="C822" t="str">
            <v>Asarganj</v>
          </cell>
          <cell r="D822" t="str">
            <v>KHARUI</v>
          </cell>
          <cell r="E822">
            <v>10030019</v>
          </cell>
          <cell r="F822" t="str">
            <v>0037</v>
          </cell>
          <cell r="G822">
            <v>14</v>
          </cell>
          <cell r="H822">
            <v>60.87</v>
          </cell>
          <cell r="I822">
            <v>2898.2882109758507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P822">
            <v>2898</v>
          </cell>
          <cell r="V822" t="str">
            <v>Available</v>
          </cell>
        </row>
        <row r="823">
          <cell r="A823" t="str">
            <v>100300190060</v>
          </cell>
          <cell r="B823" t="str">
            <v>Asarganj</v>
          </cell>
          <cell r="C823" t="str">
            <v>Asarganj</v>
          </cell>
          <cell r="D823" t="str">
            <v>KHARUI</v>
          </cell>
          <cell r="E823">
            <v>10030019</v>
          </cell>
          <cell r="F823" t="str">
            <v>0060</v>
          </cell>
          <cell r="G823">
            <v>14</v>
          </cell>
          <cell r="H823">
            <v>35.229999999999997</v>
          </cell>
          <cell r="I823">
            <v>1173.6470948400001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P823">
            <v>1174</v>
          </cell>
          <cell r="V823" t="str">
            <v>Available</v>
          </cell>
        </row>
        <row r="824">
          <cell r="A824" t="str">
            <v>100300210001</v>
          </cell>
          <cell r="B824" t="str">
            <v>Asarganj</v>
          </cell>
          <cell r="C824" t="str">
            <v>Asarganj</v>
          </cell>
          <cell r="D824" t="str">
            <v>KHAIRA</v>
          </cell>
          <cell r="E824">
            <v>10030021</v>
          </cell>
          <cell r="F824" t="str">
            <v>0001</v>
          </cell>
          <cell r="G824">
            <v>14</v>
          </cell>
          <cell r="H824">
            <v>26.70999999999999</v>
          </cell>
          <cell r="I824">
            <v>1083.0530086199999</v>
          </cell>
          <cell r="J824">
            <v>0</v>
          </cell>
          <cell r="K824">
            <v>1083.0530086199999</v>
          </cell>
          <cell r="L824">
            <v>0</v>
          </cell>
          <cell r="M824">
            <v>0</v>
          </cell>
          <cell r="P824">
            <v>0</v>
          </cell>
          <cell r="V824" t="str">
            <v>Not Available</v>
          </cell>
        </row>
        <row r="825">
          <cell r="A825" t="str">
            <v>100300210002</v>
          </cell>
          <cell r="B825" t="str">
            <v>Asarganj</v>
          </cell>
          <cell r="C825" t="str">
            <v>Asarganj</v>
          </cell>
          <cell r="D825" t="str">
            <v>KHAIRA</v>
          </cell>
          <cell r="E825">
            <v>10030021</v>
          </cell>
          <cell r="F825" t="str">
            <v>0002</v>
          </cell>
          <cell r="G825">
            <v>14</v>
          </cell>
          <cell r="H825">
            <v>202.26</v>
          </cell>
          <cell r="I825">
            <v>8173.6986157199999</v>
          </cell>
          <cell r="J825">
            <v>0</v>
          </cell>
          <cell r="K825">
            <v>0</v>
          </cell>
          <cell r="L825">
            <v>2588</v>
          </cell>
          <cell r="M825">
            <v>0</v>
          </cell>
          <cell r="P825">
            <v>5586</v>
          </cell>
          <cell r="V825" t="str">
            <v>Available</v>
          </cell>
        </row>
        <row r="826">
          <cell r="A826" t="str">
            <v>100300210003</v>
          </cell>
          <cell r="B826" t="str">
            <v>Asarganj</v>
          </cell>
          <cell r="C826" t="str">
            <v>Asarganj</v>
          </cell>
          <cell r="D826" t="str">
            <v>KHAIRA</v>
          </cell>
          <cell r="E826">
            <v>10030021</v>
          </cell>
          <cell r="F826" t="str">
            <v>0003</v>
          </cell>
          <cell r="G826">
            <v>14</v>
          </cell>
          <cell r="H826">
            <v>195.01000000000002</v>
          </cell>
          <cell r="I826">
            <v>7825.2090610320001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P826">
            <v>7825</v>
          </cell>
          <cell r="V826" t="str">
            <v>Available</v>
          </cell>
        </row>
        <row r="827">
          <cell r="A827" t="str">
            <v>100300210010</v>
          </cell>
          <cell r="B827" t="str">
            <v>Asarganj</v>
          </cell>
          <cell r="C827" t="str">
            <v>Asarganj</v>
          </cell>
          <cell r="D827" t="str">
            <v>KHAIRA</v>
          </cell>
          <cell r="E827">
            <v>10030021</v>
          </cell>
          <cell r="F827" t="str">
            <v>0010</v>
          </cell>
          <cell r="G827">
            <v>11</v>
          </cell>
          <cell r="H827">
            <v>39.22</v>
          </cell>
          <cell r="I827">
            <v>1920.8157067461905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P827">
            <v>1921</v>
          </cell>
          <cell r="V827" t="str">
            <v>Available</v>
          </cell>
        </row>
        <row r="828">
          <cell r="A828" t="str">
            <v>100300210011</v>
          </cell>
          <cell r="B828" t="str">
            <v>Asarganj</v>
          </cell>
          <cell r="C828" t="str">
            <v>Asarganj</v>
          </cell>
          <cell r="D828" t="str">
            <v>KHAIRA</v>
          </cell>
          <cell r="E828">
            <v>10030021</v>
          </cell>
          <cell r="F828" t="str">
            <v>0011</v>
          </cell>
          <cell r="G828">
            <v>11</v>
          </cell>
          <cell r="H828">
            <v>25.34</v>
          </cell>
          <cell r="I828">
            <v>882.52804569600005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P828">
            <v>883</v>
          </cell>
          <cell r="V828" t="str">
            <v>Available</v>
          </cell>
        </row>
        <row r="829">
          <cell r="A829" t="str">
            <v>100300210060</v>
          </cell>
          <cell r="B829" t="str">
            <v>Asarganj</v>
          </cell>
          <cell r="C829" t="str">
            <v>Asarganj</v>
          </cell>
          <cell r="D829" t="str">
            <v>KHAIRA</v>
          </cell>
          <cell r="E829">
            <v>10030021</v>
          </cell>
          <cell r="F829" t="str">
            <v>0060</v>
          </cell>
          <cell r="G829">
            <v>5</v>
          </cell>
          <cell r="H829">
            <v>5.53</v>
          </cell>
          <cell r="I829">
            <v>380.35282361748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P829">
            <v>380</v>
          </cell>
          <cell r="V829" t="str">
            <v>Available</v>
          </cell>
        </row>
        <row r="830">
          <cell r="A830" t="str">
            <v>100300210061</v>
          </cell>
          <cell r="B830" t="str">
            <v>Asarganj</v>
          </cell>
          <cell r="C830" t="str">
            <v>Asarganj</v>
          </cell>
          <cell r="D830" t="str">
            <v>KHAIRA</v>
          </cell>
          <cell r="E830">
            <v>10030021</v>
          </cell>
          <cell r="F830" t="str">
            <v>0061</v>
          </cell>
          <cell r="G830">
            <v>1</v>
          </cell>
          <cell r="H830">
            <v>8.41</v>
          </cell>
          <cell r="I830">
            <v>315.28351602000004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P830">
            <v>315</v>
          </cell>
          <cell r="V830" t="str">
            <v>Available</v>
          </cell>
        </row>
        <row r="831">
          <cell r="A831" t="str">
            <v>100300210062</v>
          </cell>
          <cell r="B831" t="str">
            <v>Asarganj</v>
          </cell>
          <cell r="C831" t="str">
            <v>Asarganj</v>
          </cell>
          <cell r="D831" t="str">
            <v>KHAIRA</v>
          </cell>
          <cell r="E831">
            <v>10030021</v>
          </cell>
          <cell r="F831" t="str">
            <v>0062</v>
          </cell>
          <cell r="G831">
            <v>13</v>
          </cell>
          <cell r="H831">
            <v>100.08999999999999</v>
          </cell>
          <cell r="I831">
            <v>4068.8273541960002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P831">
            <v>4069</v>
          </cell>
          <cell r="V831" t="str">
            <v>Available</v>
          </cell>
        </row>
        <row r="832">
          <cell r="A832" t="str">
            <v>100300210063</v>
          </cell>
          <cell r="B832" t="str">
            <v>Asarganj</v>
          </cell>
          <cell r="C832" t="str">
            <v>Asarganj</v>
          </cell>
          <cell r="D832" t="str">
            <v>KHAIRA</v>
          </cell>
          <cell r="E832">
            <v>10030021</v>
          </cell>
          <cell r="F832" t="str">
            <v>0063</v>
          </cell>
          <cell r="G832">
            <v>13</v>
          </cell>
          <cell r="H832">
            <v>100.53999999999999</v>
          </cell>
          <cell r="I832">
            <v>4042.6232619960001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P832">
            <v>4043</v>
          </cell>
          <cell r="V832" t="str">
            <v>Available</v>
          </cell>
        </row>
        <row r="833">
          <cell r="A833" t="str">
            <v>100300210102</v>
          </cell>
          <cell r="B833" t="str">
            <v>Asarganj</v>
          </cell>
          <cell r="C833" t="str">
            <v>Asarganj</v>
          </cell>
          <cell r="D833" t="str">
            <v>KHAIRA</v>
          </cell>
          <cell r="E833">
            <v>10030021</v>
          </cell>
          <cell r="F833" t="str">
            <v>0102</v>
          </cell>
          <cell r="G833">
            <v>11</v>
          </cell>
          <cell r="H833">
            <v>46.239999999999995</v>
          </cell>
          <cell r="I833">
            <v>1671.9002601840002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P833">
            <v>1672</v>
          </cell>
          <cell r="V833" t="str">
            <v>Available</v>
          </cell>
        </row>
        <row r="834">
          <cell r="A834" t="str">
            <v>100300210104</v>
          </cell>
          <cell r="B834" t="str">
            <v>Asarganj</v>
          </cell>
          <cell r="C834" t="str">
            <v>Asarganj</v>
          </cell>
          <cell r="D834" t="str">
            <v>KHAIRA</v>
          </cell>
          <cell r="E834">
            <v>10030021</v>
          </cell>
          <cell r="F834" t="str">
            <v>0104</v>
          </cell>
          <cell r="G834">
            <v>12</v>
          </cell>
          <cell r="H834">
            <v>75.710000000000008</v>
          </cell>
          <cell r="I834">
            <v>3150.0102213360001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P834">
            <v>3150</v>
          </cell>
          <cell r="V834" t="str">
            <v>Available</v>
          </cell>
        </row>
        <row r="835">
          <cell r="A835" t="str">
            <v>100300220001</v>
          </cell>
          <cell r="B835" t="str">
            <v>Asarganj</v>
          </cell>
          <cell r="C835" t="str">
            <v>Asarganj</v>
          </cell>
          <cell r="D835" t="str">
            <v>SISUA</v>
          </cell>
          <cell r="E835">
            <v>10030022</v>
          </cell>
          <cell r="F835" t="str">
            <v>0001</v>
          </cell>
          <cell r="G835">
            <v>12</v>
          </cell>
          <cell r="H835">
            <v>16.550000000000004</v>
          </cell>
          <cell r="I835">
            <v>664.67957287248009</v>
          </cell>
          <cell r="J835">
            <v>0</v>
          </cell>
          <cell r="K835">
            <v>664.67957287248009</v>
          </cell>
          <cell r="L835">
            <v>0</v>
          </cell>
          <cell r="M835">
            <v>0</v>
          </cell>
          <cell r="P835">
            <v>0</v>
          </cell>
          <cell r="V835" t="str">
            <v>Not Available</v>
          </cell>
        </row>
        <row r="836">
          <cell r="A836" t="str">
            <v>100300220002</v>
          </cell>
          <cell r="B836" t="str">
            <v>Asarganj</v>
          </cell>
          <cell r="C836" t="str">
            <v>Asarganj</v>
          </cell>
          <cell r="D836" t="str">
            <v>SISUA</v>
          </cell>
          <cell r="E836">
            <v>10030022</v>
          </cell>
          <cell r="F836" t="str">
            <v>0002</v>
          </cell>
          <cell r="G836">
            <v>12</v>
          </cell>
          <cell r="H836">
            <v>86.07</v>
          </cell>
          <cell r="I836">
            <v>3472.4173015068118</v>
          </cell>
          <cell r="J836">
            <v>0</v>
          </cell>
          <cell r="K836">
            <v>0</v>
          </cell>
          <cell r="L836">
            <v>476</v>
          </cell>
          <cell r="M836">
            <v>0</v>
          </cell>
          <cell r="P836">
            <v>2996</v>
          </cell>
          <cell r="V836" t="str">
            <v>Available</v>
          </cell>
        </row>
        <row r="837">
          <cell r="A837" t="str">
            <v>100300220003</v>
          </cell>
          <cell r="B837" t="str">
            <v>Asarganj</v>
          </cell>
          <cell r="C837" t="str">
            <v>Asarganj</v>
          </cell>
          <cell r="D837" t="str">
            <v>SISUA</v>
          </cell>
          <cell r="E837">
            <v>10030022</v>
          </cell>
          <cell r="F837" t="str">
            <v>0003</v>
          </cell>
          <cell r="G837">
            <v>12</v>
          </cell>
          <cell r="H837">
            <v>85.759999999999991</v>
          </cell>
          <cell r="I837">
            <v>3424.4139269043003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P837">
            <v>3424</v>
          </cell>
          <cell r="V837" t="str">
            <v>Available</v>
          </cell>
        </row>
        <row r="838">
          <cell r="A838" t="str">
            <v>100300220005</v>
          </cell>
          <cell r="B838" t="str">
            <v>Asarganj</v>
          </cell>
          <cell r="C838" t="str">
            <v>Asarganj</v>
          </cell>
          <cell r="D838" t="str">
            <v>SISUA</v>
          </cell>
          <cell r="E838">
            <v>10030022</v>
          </cell>
          <cell r="F838" t="str">
            <v>0005</v>
          </cell>
          <cell r="G838">
            <v>7</v>
          </cell>
          <cell r="H838">
            <v>45.5</v>
          </cell>
          <cell r="I838">
            <v>1698.5322086040001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P838">
            <v>1699</v>
          </cell>
          <cell r="V838" t="str">
            <v>Available</v>
          </cell>
        </row>
        <row r="839">
          <cell r="A839" t="str">
            <v>100300220007</v>
          </cell>
          <cell r="B839" t="str">
            <v>Asarganj</v>
          </cell>
          <cell r="C839" t="str">
            <v>Asarganj</v>
          </cell>
          <cell r="D839" t="str">
            <v>SISUA</v>
          </cell>
          <cell r="E839">
            <v>10030022</v>
          </cell>
          <cell r="F839" t="str">
            <v>0007</v>
          </cell>
          <cell r="G839">
            <v>12</v>
          </cell>
          <cell r="H839">
            <v>82.100000000000009</v>
          </cell>
          <cell r="I839">
            <v>3306.6967953213502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P839">
            <v>3307</v>
          </cell>
          <cell r="V839" t="str">
            <v>Available</v>
          </cell>
        </row>
        <row r="840">
          <cell r="A840" t="str">
            <v>100300220008</v>
          </cell>
          <cell r="B840" t="str">
            <v>Asarganj</v>
          </cell>
          <cell r="C840" t="str">
            <v>Asarganj</v>
          </cell>
          <cell r="D840" t="str">
            <v>SISUA</v>
          </cell>
          <cell r="E840">
            <v>10030022</v>
          </cell>
          <cell r="F840" t="str">
            <v>0008</v>
          </cell>
          <cell r="G840">
            <v>12</v>
          </cell>
          <cell r="H840">
            <v>90.19</v>
          </cell>
          <cell r="I840">
            <v>3671.5475451840784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P840">
            <v>3672</v>
          </cell>
          <cell r="V840" t="str">
            <v>Available</v>
          </cell>
        </row>
        <row r="841">
          <cell r="A841" t="str">
            <v>100300220010</v>
          </cell>
          <cell r="B841" t="str">
            <v>Asarganj</v>
          </cell>
          <cell r="C841" t="str">
            <v>Asarganj</v>
          </cell>
          <cell r="D841" t="str">
            <v>SISUA</v>
          </cell>
          <cell r="E841">
            <v>10030022</v>
          </cell>
          <cell r="F841" t="str">
            <v>0010</v>
          </cell>
          <cell r="G841">
            <v>13</v>
          </cell>
          <cell r="H841">
            <v>65.67</v>
          </cell>
          <cell r="I841">
            <v>2688.5406441504001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P841">
            <v>2689</v>
          </cell>
          <cell r="V841" t="str">
            <v>Available</v>
          </cell>
        </row>
        <row r="842">
          <cell r="A842" t="str">
            <v>100300220013</v>
          </cell>
          <cell r="B842" t="str">
            <v>Asarganj</v>
          </cell>
          <cell r="C842" t="str">
            <v>Asarganj</v>
          </cell>
          <cell r="D842" t="str">
            <v>SISUA</v>
          </cell>
          <cell r="E842">
            <v>10030022</v>
          </cell>
          <cell r="F842" t="str">
            <v>0013</v>
          </cell>
          <cell r="G842">
            <v>10</v>
          </cell>
          <cell r="H842">
            <v>61.919999999999995</v>
          </cell>
          <cell r="I842">
            <v>2499.2646637800003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P842">
            <v>2499</v>
          </cell>
          <cell r="V842" t="str">
            <v>Available</v>
          </cell>
        </row>
        <row r="843">
          <cell r="A843" t="str">
            <v>100300220014</v>
          </cell>
          <cell r="B843" t="str">
            <v>Asarganj</v>
          </cell>
          <cell r="C843" t="str">
            <v>Asarganj</v>
          </cell>
          <cell r="D843" t="str">
            <v>SISUA</v>
          </cell>
          <cell r="E843">
            <v>10030022</v>
          </cell>
          <cell r="F843" t="str">
            <v>0014</v>
          </cell>
          <cell r="G843">
            <v>12</v>
          </cell>
          <cell r="H843">
            <v>78.790000000000006</v>
          </cell>
          <cell r="I843">
            <v>3129.685542323999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P843">
            <v>3130</v>
          </cell>
          <cell r="V843" t="str">
            <v>Available</v>
          </cell>
        </row>
        <row r="844">
          <cell r="A844" t="str">
            <v>100300220015</v>
          </cell>
          <cell r="B844" t="str">
            <v>Asarganj</v>
          </cell>
          <cell r="C844" t="str">
            <v>Asarganj</v>
          </cell>
          <cell r="D844" t="str">
            <v>SISUA</v>
          </cell>
          <cell r="E844">
            <v>10030022</v>
          </cell>
          <cell r="F844" t="str">
            <v>0015</v>
          </cell>
          <cell r="G844">
            <v>12</v>
          </cell>
          <cell r="H844">
            <v>84.109999999999985</v>
          </cell>
          <cell r="I844">
            <v>3662.7085665203504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P844">
            <v>3663</v>
          </cell>
          <cell r="V844" t="str">
            <v>Available</v>
          </cell>
        </row>
        <row r="845">
          <cell r="A845" t="str">
            <v>100300220017</v>
          </cell>
          <cell r="B845" t="str">
            <v>Asarganj</v>
          </cell>
          <cell r="C845" t="str">
            <v>Asarganj</v>
          </cell>
          <cell r="D845" t="str">
            <v>SISUA</v>
          </cell>
          <cell r="E845">
            <v>10030022</v>
          </cell>
          <cell r="F845" t="str">
            <v>0017</v>
          </cell>
          <cell r="G845">
            <v>13</v>
          </cell>
          <cell r="H845">
            <v>61.009999999999991</v>
          </cell>
          <cell r="I845">
            <v>2405.8883094114208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P845">
            <v>2406</v>
          </cell>
          <cell r="V845" t="str">
            <v>Available</v>
          </cell>
        </row>
        <row r="846">
          <cell r="A846" t="str">
            <v>100300220018</v>
          </cell>
          <cell r="B846" t="str">
            <v>Asarganj</v>
          </cell>
          <cell r="C846" t="str">
            <v>Asarganj</v>
          </cell>
          <cell r="D846" t="str">
            <v>SISUA</v>
          </cell>
          <cell r="E846">
            <v>10030022</v>
          </cell>
          <cell r="F846" t="str">
            <v>0018</v>
          </cell>
          <cell r="G846">
            <v>8</v>
          </cell>
          <cell r="H846">
            <v>48.000000000000007</v>
          </cell>
          <cell r="I846">
            <v>1949.3097574695003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P846">
            <v>1949</v>
          </cell>
          <cell r="V846" t="str">
            <v>Available</v>
          </cell>
        </row>
        <row r="847">
          <cell r="A847" t="str">
            <v>100300220020</v>
          </cell>
          <cell r="B847" t="str">
            <v>Asarganj</v>
          </cell>
          <cell r="C847" t="str">
            <v>Asarganj</v>
          </cell>
          <cell r="D847" t="str">
            <v>SISUA</v>
          </cell>
          <cell r="E847">
            <v>10030022</v>
          </cell>
          <cell r="F847" t="str">
            <v>0020</v>
          </cell>
          <cell r="G847">
            <v>10</v>
          </cell>
          <cell r="H847">
            <v>44.06</v>
          </cell>
          <cell r="I847">
            <v>1658.6536752720001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P847">
            <v>1659</v>
          </cell>
          <cell r="V847" t="str">
            <v>Available</v>
          </cell>
        </row>
        <row r="848">
          <cell r="A848" t="str">
            <v>100300220021</v>
          </cell>
          <cell r="B848" t="str">
            <v>Asarganj</v>
          </cell>
          <cell r="C848" t="str">
            <v>Asarganj</v>
          </cell>
          <cell r="D848" t="str">
            <v>SISUA</v>
          </cell>
          <cell r="E848">
            <v>10030022</v>
          </cell>
          <cell r="F848" t="str">
            <v>0021</v>
          </cell>
          <cell r="G848">
            <v>12</v>
          </cell>
          <cell r="H848">
            <v>74.89</v>
          </cell>
          <cell r="I848">
            <v>3030.9503908912802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P848">
            <v>3031</v>
          </cell>
          <cell r="V848" t="str">
            <v>Available</v>
          </cell>
        </row>
        <row r="849">
          <cell r="A849" t="str">
            <v>100300220024</v>
          </cell>
          <cell r="B849" t="str">
            <v>Asarganj</v>
          </cell>
          <cell r="C849" t="str">
            <v>Asarganj</v>
          </cell>
          <cell r="D849" t="str">
            <v>SISUA</v>
          </cell>
          <cell r="E849">
            <v>10030022</v>
          </cell>
          <cell r="F849" t="str">
            <v>0024</v>
          </cell>
          <cell r="G849">
            <v>5</v>
          </cell>
          <cell r="H849">
            <v>27.89</v>
          </cell>
          <cell r="I849">
            <v>1038.9351478968001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P849">
            <v>1039</v>
          </cell>
          <cell r="V849" t="str">
            <v>Available</v>
          </cell>
        </row>
        <row r="850">
          <cell r="A850" t="str">
            <v>100300220025</v>
          </cell>
          <cell r="B850" t="str">
            <v>Asarganj</v>
          </cell>
          <cell r="C850" t="str">
            <v>Asarganj</v>
          </cell>
          <cell r="D850" t="str">
            <v>SISUA</v>
          </cell>
          <cell r="E850">
            <v>10030022</v>
          </cell>
          <cell r="F850" t="str">
            <v>0025</v>
          </cell>
          <cell r="G850">
            <v>9</v>
          </cell>
          <cell r="H850">
            <v>41.28</v>
          </cell>
          <cell r="I850">
            <v>1820.5089822081602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P850">
            <v>1821</v>
          </cell>
          <cell r="V850" t="str">
            <v>Available</v>
          </cell>
        </row>
        <row r="851">
          <cell r="A851" t="str">
            <v>100300220026</v>
          </cell>
          <cell r="B851" t="str">
            <v>Asarganj</v>
          </cell>
          <cell r="C851" t="str">
            <v>Asarganj</v>
          </cell>
          <cell r="D851" t="str">
            <v>SISUA</v>
          </cell>
          <cell r="E851">
            <v>10030022</v>
          </cell>
          <cell r="F851" t="str">
            <v>0026</v>
          </cell>
          <cell r="G851">
            <v>8</v>
          </cell>
          <cell r="H851">
            <v>35.11</v>
          </cell>
          <cell r="I851">
            <v>1302.6224229479999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P851">
            <v>1303</v>
          </cell>
          <cell r="V851" t="str">
            <v>Available</v>
          </cell>
        </row>
        <row r="852">
          <cell r="A852" t="str">
            <v>100300220028</v>
          </cell>
          <cell r="B852" t="str">
            <v>Asarganj</v>
          </cell>
          <cell r="C852" t="str">
            <v>Asarganj</v>
          </cell>
          <cell r="D852" t="str">
            <v>SISUA</v>
          </cell>
          <cell r="E852">
            <v>10030022</v>
          </cell>
          <cell r="F852" t="str">
            <v>0028</v>
          </cell>
          <cell r="G852">
            <v>9</v>
          </cell>
          <cell r="H852">
            <v>46</v>
          </cell>
          <cell r="I852">
            <v>1833.6235831353001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P852">
            <v>1834</v>
          </cell>
          <cell r="V852" t="str">
            <v>Available</v>
          </cell>
        </row>
        <row r="853">
          <cell r="A853" t="str">
            <v>100300220030</v>
          </cell>
          <cell r="B853" t="str">
            <v>Asarganj</v>
          </cell>
          <cell r="C853" t="str">
            <v>Asarganj</v>
          </cell>
          <cell r="D853" t="str">
            <v>SISUA</v>
          </cell>
          <cell r="E853">
            <v>10030022</v>
          </cell>
          <cell r="F853" t="str">
            <v>0030</v>
          </cell>
          <cell r="G853">
            <v>1</v>
          </cell>
          <cell r="H853">
            <v>5.39</v>
          </cell>
          <cell r="I853">
            <v>209.18088298800004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P853">
            <v>209</v>
          </cell>
          <cell r="V853" t="str">
            <v>Available</v>
          </cell>
        </row>
        <row r="854">
          <cell r="A854" t="str">
            <v>100300220032</v>
          </cell>
          <cell r="B854" t="str">
            <v>Asarganj</v>
          </cell>
          <cell r="C854" t="str">
            <v>Asarganj</v>
          </cell>
          <cell r="D854" t="str">
            <v>SISUA</v>
          </cell>
          <cell r="E854">
            <v>10030022</v>
          </cell>
          <cell r="F854" t="str">
            <v>0032</v>
          </cell>
          <cell r="G854">
            <v>8</v>
          </cell>
          <cell r="H854">
            <v>48.069999999999993</v>
          </cell>
          <cell r="I854">
            <v>1940.4186818022004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P854">
            <v>1940</v>
          </cell>
          <cell r="V854" t="str">
            <v>Available</v>
          </cell>
        </row>
        <row r="855">
          <cell r="A855" t="str">
            <v>100300220033</v>
          </cell>
          <cell r="B855" t="str">
            <v>Asarganj</v>
          </cell>
          <cell r="C855" t="str">
            <v>Asarganj</v>
          </cell>
          <cell r="D855" t="str">
            <v>SISUA</v>
          </cell>
          <cell r="E855">
            <v>10030022</v>
          </cell>
          <cell r="F855" t="str">
            <v>0033</v>
          </cell>
          <cell r="G855">
            <v>5</v>
          </cell>
          <cell r="H855">
            <v>26.04</v>
          </cell>
          <cell r="I855">
            <v>1018.779914196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P855">
            <v>1019</v>
          </cell>
          <cell r="V855" t="str">
            <v>Not Available</v>
          </cell>
        </row>
        <row r="856">
          <cell r="A856" t="str">
            <v>100300220036</v>
          </cell>
          <cell r="B856" t="str">
            <v>Asarganj</v>
          </cell>
          <cell r="C856" t="str">
            <v>Asarganj</v>
          </cell>
          <cell r="D856" t="str">
            <v>SISUA</v>
          </cell>
          <cell r="E856">
            <v>10030022</v>
          </cell>
          <cell r="F856" t="str">
            <v>0036</v>
          </cell>
          <cell r="G856">
            <v>4</v>
          </cell>
          <cell r="H856">
            <v>19.82</v>
          </cell>
          <cell r="I856">
            <v>722.71912244400005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P856">
            <v>723</v>
          </cell>
          <cell r="V856" t="str">
            <v>Not Available</v>
          </cell>
        </row>
        <row r="857">
          <cell r="A857" t="str">
            <v>100300220037</v>
          </cell>
          <cell r="B857" t="str">
            <v>Asarganj</v>
          </cell>
          <cell r="C857" t="str">
            <v>Asarganj</v>
          </cell>
          <cell r="D857" t="str">
            <v>SISUA</v>
          </cell>
          <cell r="E857">
            <v>10030022</v>
          </cell>
          <cell r="F857" t="str">
            <v>0037</v>
          </cell>
          <cell r="G857">
            <v>8</v>
          </cell>
          <cell r="H857">
            <v>42.66</v>
          </cell>
          <cell r="I857">
            <v>1612.2222203670003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P857">
            <v>1612</v>
          </cell>
          <cell r="V857" t="str">
            <v>Available</v>
          </cell>
        </row>
        <row r="858">
          <cell r="A858" t="str">
            <v>100300220038</v>
          </cell>
          <cell r="B858" t="str">
            <v>Asarganj</v>
          </cell>
          <cell r="C858" t="str">
            <v>Asarganj</v>
          </cell>
          <cell r="D858" t="str">
            <v>SISUA</v>
          </cell>
          <cell r="E858">
            <v>10030022</v>
          </cell>
          <cell r="F858" t="str">
            <v>0038</v>
          </cell>
          <cell r="G858">
            <v>3</v>
          </cell>
          <cell r="H858">
            <v>11.29</v>
          </cell>
          <cell r="I858">
            <v>403.50614475600003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P858">
            <v>404</v>
          </cell>
          <cell r="V858" t="str">
            <v>Not Available</v>
          </cell>
        </row>
        <row r="859">
          <cell r="A859" t="str">
            <v>100300220039</v>
          </cell>
          <cell r="B859" t="str">
            <v>Asarganj</v>
          </cell>
          <cell r="C859" t="str">
            <v>Asarganj</v>
          </cell>
          <cell r="D859" t="str">
            <v>SISUA</v>
          </cell>
          <cell r="E859">
            <v>10030022</v>
          </cell>
          <cell r="F859" t="str">
            <v>0039</v>
          </cell>
          <cell r="G859">
            <v>4</v>
          </cell>
          <cell r="H859">
            <v>20.5</v>
          </cell>
          <cell r="I859">
            <v>913.10768234399995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P859">
            <v>913</v>
          </cell>
          <cell r="V859" t="str">
            <v>Not Available</v>
          </cell>
        </row>
        <row r="860">
          <cell r="A860" t="str">
            <v>100300220041</v>
          </cell>
          <cell r="B860" t="str">
            <v>Asarganj</v>
          </cell>
          <cell r="C860" t="str">
            <v>Asarganj</v>
          </cell>
          <cell r="D860" t="str">
            <v>SISUA</v>
          </cell>
          <cell r="E860">
            <v>10030022</v>
          </cell>
          <cell r="F860" t="str">
            <v>0041</v>
          </cell>
          <cell r="G860">
            <v>10</v>
          </cell>
          <cell r="H860">
            <v>70.44</v>
          </cell>
          <cell r="I860">
            <v>2901.9906364682797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P860">
            <v>2902</v>
          </cell>
          <cell r="V860" t="str">
            <v>Available</v>
          </cell>
        </row>
        <row r="861">
          <cell r="A861" t="str">
            <v>100300220042</v>
          </cell>
          <cell r="B861" t="str">
            <v>Asarganj</v>
          </cell>
          <cell r="C861" t="str">
            <v>Asarganj</v>
          </cell>
          <cell r="D861" t="str">
            <v>SISUA</v>
          </cell>
          <cell r="E861">
            <v>10030022</v>
          </cell>
          <cell r="F861" t="str">
            <v>0042</v>
          </cell>
          <cell r="G861">
            <v>9</v>
          </cell>
          <cell r="H861">
            <v>47.949999999999996</v>
          </cell>
          <cell r="I861">
            <v>1796.4988769764805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P861">
            <v>1796</v>
          </cell>
          <cell r="V861" t="str">
            <v>Available</v>
          </cell>
        </row>
        <row r="862">
          <cell r="A862" t="str">
            <v>100300230001</v>
          </cell>
          <cell r="B862" t="str">
            <v>Asarganj</v>
          </cell>
          <cell r="C862" t="str">
            <v>Asarganj</v>
          </cell>
          <cell r="D862" t="str">
            <v>BISAI</v>
          </cell>
          <cell r="E862">
            <v>10030023</v>
          </cell>
          <cell r="F862" t="str">
            <v>0001</v>
          </cell>
          <cell r="G862">
            <v>14</v>
          </cell>
          <cell r="H862">
            <v>11.290000000000003</v>
          </cell>
          <cell r="I862">
            <v>472.38789866400009</v>
          </cell>
          <cell r="J862">
            <v>0</v>
          </cell>
          <cell r="K862">
            <v>472.38789866400009</v>
          </cell>
          <cell r="L862">
            <v>0</v>
          </cell>
          <cell r="M862">
            <v>0</v>
          </cell>
          <cell r="P862">
            <v>0</v>
          </cell>
          <cell r="V862" t="str">
            <v>Not Available</v>
          </cell>
        </row>
        <row r="863">
          <cell r="A863" t="str">
            <v>100300230002</v>
          </cell>
          <cell r="B863" t="str">
            <v>Asarganj</v>
          </cell>
          <cell r="C863" t="str">
            <v>Asarganj</v>
          </cell>
          <cell r="D863" t="str">
            <v>BISAI</v>
          </cell>
          <cell r="E863">
            <v>10030023</v>
          </cell>
          <cell r="F863" t="str">
            <v>0002</v>
          </cell>
          <cell r="G863">
            <v>14</v>
          </cell>
          <cell r="H863">
            <v>21.7</v>
          </cell>
          <cell r="I863">
            <v>794.59118362800018</v>
          </cell>
          <cell r="J863">
            <v>0</v>
          </cell>
          <cell r="K863">
            <v>0</v>
          </cell>
          <cell r="L863">
            <v>693</v>
          </cell>
          <cell r="M863">
            <v>0</v>
          </cell>
          <cell r="P863">
            <v>102</v>
          </cell>
          <cell r="V863" t="str">
            <v>Available</v>
          </cell>
        </row>
        <row r="864">
          <cell r="A864" t="str">
            <v>100300230005</v>
          </cell>
          <cell r="B864" t="str">
            <v>Asarganj</v>
          </cell>
          <cell r="C864" t="str">
            <v>Asarganj</v>
          </cell>
          <cell r="D864" t="str">
            <v>BISAI</v>
          </cell>
          <cell r="E864">
            <v>10030023</v>
          </cell>
          <cell r="F864" t="str">
            <v>0005</v>
          </cell>
          <cell r="G864">
            <v>12</v>
          </cell>
          <cell r="H864">
            <v>25.83</v>
          </cell>
          <cell r="I864">
            <v>926.76728509200007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P864">
            <v>927</v>
          </cell>
          <cell r="V864" t="str">
            <v>Available</v>
          </cell>
        </row>
        <row r="865">
          <cell r="A865" t="str">
            <v>100300230010</v>
          </cell>
          <cell r="B865" t="str">
            <v>Asarganj</v>
          </cell>
          <cell r="C865" t="str">
            <v>Asarganj</v>
          </cell>
          <cell r="D865" t="str">
            <v>BISAI</v>
          </cell>
          <cell r="E865">
            <v>10030023</v>
          </cell>
          <cell r="F865" t="str">
            <v>0010</v>
          </cell>
          <cell r="G865">
            <v>13</v>
          </cell>
          <cell r="H865">
            <v>42.759999999999991</v>
          </cell>
          <cell r="I865">
            <v>1588.2686321040003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P865">
            <v>1588</v>
          </cell>
          <cell r="V865" t="str">
            <v>Available</v>
          </cell>
        </row>
        <row r="866">
          <cell r="A866" t="str">
            <v>100300230023</v>
          </cell>
          <cell r="B866" t="str">
            <v>Asarganj</v>
          </cell>
          <cell r="C866" t="str">
            <v>Asarganj</v>
          </cell>
          <cell r="D866" t="str">
            <v>BISAI</v>
          </cell>
          <cell r="E866">
            <v>10030023</v>
          </cell>
          <cell r="F866" t="str">
            <v>0023</v>
          </cell>
          <cell r="G866">
            <v>13</v>
          </cell>
          <cell r="H866">
            <v>32.14</v>
          </cell>
          <cell r="I866">
            <v>1268.3712143520002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P866">
            <v>1268</v>
          </cell>
          <cell r="V866" t="str">
            <v>Available</v>
          </cell>
        </row>
        <row r="867">
          <cell r="A867" t="str">
            <v>100300230026</v>
          </cell>
          <cell r="B867" t="str">
            <v>Asarganj</v>
          </cell>
          <cell r="C867" t="str">
            <v>Asarganj</v>
          </cell>
          <cell r="D867" t="str">
            <v>BISAI</v>
          </cell>
          <cell r="E867">
            <v>10030023</v>
          </cell>
          <cell r="F867" t="str">
            <v>0026</v>
          </cell>
          <cell r="G867">
            <v>7</v>
          </cell>
          <cell r="H867">
            <v>8.84</v>
          </cell>
          <cell r="I867">
            <v>510.73140731839993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P867">
            <v>511</v>
          </cell>
          <cell r="V867" t="str">
            <v>Available</v>
          </cell>
        </row>
        <row r="868">
          <cell r="A868" t="str">
            <v>100300230027</v>
          </cell>
          <cell r="B868" t="str">
            <v>Asarganj</v>
          </cell>
          <cell r="C868" t="str">
            <v>Asarganj</v>
          </cell>
          <cell r="D868" t="str">
            <v>BISAI</v>
          </cell>
          <cell r="E868">
            <v>10030023</v>
          </cell>
          <cell r="F868" t="str">
            <v>0027</v>
          </cell>
          <cell r="G868">
            <v>8</v>
          </cell>
          <cell r="H868">
            <v>12.64</v>
          </cell>
          <cell r="I868">
            <v>677.16927168732013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P868">
            <v>677</v>
          </cell>
          <cell r="V868" t="str">
            <v>Available</v>
          </cell>
        </row>
        <row r="869">
          <cell r="A869" t="str">
            <v>100300230028</v>
          </cell>
          <cell r="B869" t="str">
            <v>Asarganj</v>
          </cell>
          <cell r="C869" t="str">
            <v>Asarganj</v>
          </cell>
          <cell r="D869" t="str">
            <v>BISAI</v>
          </cell>
          <cell r="E869">
            <v>10030023</v>
          </cell>
          <cell r="F869" t="str">
            <v>0028</v>
          </cell>
          <cell r="G869">
            <v>14</v>
          </cell>
          <cell r="H869">
            <v>35.53</v>
          </cell>
          <cell r="I869">
            <v>2388.2500373290004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P869">
            <v>2388</v>
          </cell>
          <cell r="V869" t="str">
            <v>Available</v>
          </cell>
        </row>
        <row r="870">
          <cell r="A870" t="str">
            <v>100300230029</v>
          </cell>
          <cell r="B870" t="str">
            <v>Asarganj</v>
          </cell>
          <cell r="C870" t="str">
            <v>Asarganj</v>
          </cell>
          <cell r="D870" t="str">
            <v>BISAI</v>
          </cell>
          <cell r="E870">
            <v>10030023</v>
          </cell>
          <cell r="F870" t="str">
            <v>0029</v>
          </cell>
          <cell r="G870">
            <v>14</v>
          </cell>
          <cell r="H870">
            <v>57.219999999999992</v>
          </cell>
          <cell r="I870">
            <v>2045.2296946356003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P870">
            <v>2045</v>
          </cell>
          <cell r="V870" t="str">
            <v>Available</v>
          </cell>
        </row>
        <row r="871">
          <cell r="A871" t="str">
            <v>100300250001</v>
          </cell>
          <cell r="B871" t="str">
            <v>Asarganj</v>
          </cell>
          <cell r="C871" t="str">
            <v>Asarganj</v>
          </cell>
          <cell r="D871" t="str">
            <v>SAJUA-1</v>
          </cell>
          <cell r="E871">
            <v>10030025</v>
          </cell>
          <cell r="F871" t="str">
            <v>0001</v>
          </cell>
          <cell r="G871">
            <v>11</v>
          </cell>
          <cell r="H871">
            <v>8.8000000000000007</v>
          </cell>
          <cell r="I871">
            <v>299.34134505000003</v>
          </cell>
          <cell r="J871">
            <v>0</v>
          </cell>
          <cell r="K871">
            <v>299.34134505000003</v>
          </cell>
          <cell r="L871">
            <v>0</v>
          </cell>
          <cell r="M871">
            <v>0</v>
          </cell>
          <cell r="P871">
            <v>0</v>
          </cell>
          <cell r="V871" t="str">
            <v>Not Available</v>
          </cell>
        </row>
        <row r="872">
          <cell r="A872" t="str">
            <v>100300250002</v>
          </cell>
          <cell r="B872" t="str">
            <v>Asarganj</v>
          </cell>
          <cell r="C872" t="str">
            <v>Asarganj</v>
          </cell>
          <cell r="D872" t="str">
            <v>SAJUA-1</v>
          </cell>
          <cell r="E872">
            <v>10030025</v>
          </cell>
          <cell r="F872" t="str">
            <v>0002</v>
          </cell>
          <cell r="G872">
            <v>14</v>
          </cell>
          <cell r="H872">
            <v>127.86000000000001</v>
          </cell>
          <cell r="I872">
            <v>4671.7784072586001</v>
          </cell>
          <cell r="J872">
            <v>0</v>
          </cell>
          <cell r="K872">
            <v>0</v>
          </cell>
          <cell r="L872">
            <v>39</v>
          </cell>
          <cell r="M872">
            <v>0</v>
          </cell>
          <cell r="P872">
            <v>4633</v>
          </cell>
          <cell r="V872" t="str">
            <v>Available</v>
          </cell>
        </row>
        <row r="873">
          <cell r="A873" t="str">
            <v>100300250005</v>
          </cell>
          <cell r="B873" t="str">
            <v>Asarganj</v>
          </cell>
          <cell r="C873" t="str">
            <v>Asarganj</v>
          </cell>
          <cell r="D873" t="str">
            <v>SAJUA-1</v>
          </cell>
          <cell r="E873">
            <v>10030025</v>
          </cell>
          <cell r="F873" t="str">
            <v>0005</v>
          </cell>
          <cell r="G873">
            <v>2</v>
          </cell>
          <cell r="H873">
            <v>15.379999999999999</v>
          </cell>
          <cell r="I873">
            <v>535.2252771492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P873">
            <v>535</v>
          </cell>
          <cell r="V873" t="str">
            <v>Available</v>
          </cell>
        </row>
        <row r="874">
          <cell r="A874" t="str">
            <v>100300250006</v>
          </cell>
          <cell r="B874" t="str">
            <v>Asarganj</v>
          </cell>
          <cell r="C874" t="str">
            <v>Asarganj</v>
          </cell>
          <cell r="D874" t="str">
            <v>SAJUA-1</v>
          </cell>
          <cell r="E874">
            <v>10030025</v>
          </cell>
          <cell r="F874" t="str">
            <v>0006</v>
          </cell>
          <cell r="G874">
            <v>8</v>
          </cell>
          <cell r="H874">
            <v>61.190000000000005</v>
          </cell>
          <cell r="I874">
            <v>2061.0151246674004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P874">
            <v>2061</v>
          </cell>
          <cell r="V874" t="str">
            <v>Available</v>
          </cell>
        </row>
        <row r="875">
          <cell r="A875" t="str">
            <v>100300250008</v>
          </cell>
          <cell r="B875" t="str">
            <v>Asarganj</v>
          </cell>
          <cell r="C875" t="str">
            <v>Asarganj</v>
          </cell>
          <cell r="D875" t="str">
            <v>SAJUA-1</v>
          </cell>
          <cell r="E875">
            <v>10030025</v>
          </cell>
          <cell r="F875" t="str">
            <v>0008</v>
          </cell>
          <cell r="G875">
            <v>13</v>
          </cell>
          <cell r="H875">
            <v>109.86999999999999</v>
          </cell>
          <cell r="I875">
            <v>4202.2504461960007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P875">
            <v>4202</v>
          </cell>
          <cell r="V875" t="str">
            <v>Available</v>
          </cell>
        </row>
        <row r="876">
          <cell r="A876" t="str">
            <v>100300250018</v>
          </cell>
          <cell r="B876" t="str">
            <v>Asarganj</v>
          </cell>
          <cell r="C876" t="str">
            <v>Asarganj</v>
          </cell>
          <cell r="D876" t="str">
            <v>SAJUA-1</v>
          </cell>
          <cell r="E876">
            <v>10030025</v>
          </cell>
          <cell r="F876" t="str">
            <v>0018</v>
          </cell>
          <cell r="G876">
            <v>13</v>
          </cell>
          <cell r="H876">
            <v>167.82999999999998</v>
          </cell>
          <cell r="I876">
            <v>6306.7213922904011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P876">
            <v>6307</v>
          </cell>
          <cell r="V876" t="str">
            <v>Available</v>
          </cell>
        </row>
        <row r="877">
          <cell r="A877" t="str">
            <v>100300250031</v>
          </cell>
          <cell r="B877" t="str">
            <v>Asarganj</v>
          </cell>
          <cell r="C877" t="str">
            <v>Asarganj</v>
          </cell>
          <cell r="D877" t="str">
            <v>SAJUA-1</v>
          </cell>
          <cell r="E877">
            <v>10030025</v>
          </cell>
          <cell r="F877" t="str">
            <v>0031</v>
          </cell>
          <cell r="G877">
            <v>14</v>
          </cell>
          <cell r="H877">
            <v>167.46</v>
          </cell>
          <cell r="I877">
            <v>5724.8596542060004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P877">
            <v>5725</v>
          </cell>
          <cell r="V877" t="str">
            <v>Available</v>
          </cell>
        </row>
        <row r="878">
          <cell r="A878" t="str">
            <v>100300260002</v>
          </cell>
          <cell r="B878" t="str">
            <v>Asarganj</v>
          </cell>
          <cell r="C878" t="str">
            <v>Asarganj</v>
          </cell>
          <cell r="D878" t="str">
            <v>SAJUA-2</v>
          </cell>
          <cell r="E878">
            <v>10030026</v>
          </cell>
          <cell r="F878" t="str">
            <v>0002</v>
          </cell>
          <cell r="G878">
            <v>7</v>
          </cell>
          <cell r="H878">
            <v>86.63000000000001</v>
          </cell>
          <cell r="I878">
            <v>3492.7591151772003</v>
          </cell>
          <cell r="J878">
            <v>0</v>
          </cell>
          <cell r="K878">
            <v>0</v>
          </cell>
          <cell r="L878">
            <v>1387</v>
          </cell>
          <cell r="M878">
            <v>0</v>
          </cell>
          <cell r="P878">
            <v>2106</v>
          </cell>
          <cell r="V878" t="str">
            <v>Available</v>
          </cell>
        </row>
        <row r="879">
          <cell r="A879" t="str">
            <v>100300260010</v>
          </cell>
          <cell r="B879" t="str">
            <v>Asarganj</v>
          </cell>
          <cell r="C879" t="str">
            <v>Asarganj</v>
          </cell>
          <cell r="D879" t="str">
            <v>SAJUA-2</v>
          </cell>
          <cell r="E879">
            <v>10030026</v>
          </cell>
          <cell r="F879" t="str">
            <v>0010</v>
          </cell>
          <cell r="G879">
            <v>13</v>
          </cell>
          <cell r="H879">
            <v>46.420000000000009</v>
          </cell>
          <cell r="I879">
            <v>2114.1357289488001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P879">
            <v>2114</v>
          </cell>
          <cell r="V879" t="str">
            <v>Available</v>
          </cell>
        </row>
        <row r="880">
          <cell r="A880" t="str">
            <v>100300260011</v>
          </cell>
          <cell r="B880" t="str">
            <v>Asarganj</v>
          </cell>
          <cell r="C880" t="str">
            <v>Asarganj</v>
          </cell>
          <cell r="D880" t="str">
            <v>SAJUA-2</v>
          </cell>
          <cell r="E880">
            <v>10030026</v>
          </cell>
          <cell r="F880" t="str">
            <v>0011</v>
          </cell>
          <cell r="G880">
            <v>1</v>
          </cell>
          <cell r="H880">
            <v>0.71</v>
          </cell>
          <cell r="I880">
            <v>24.649156619999999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P880">
            <v>25</v>
          </cell>
          <cell r="V880" t="str">
            <v>Available</v>
          </cell>
        </row>
        <row r="881">
          <cell r="A881" t="str">
            <v>100300260014</v>
          </cell>
          <cell r="B881" t="str">
            <v>Asarganj</v>
          </cell>
          <cell r="C881" t="str">
            <v>Asarganj</v>
          </cell>
          <cell r="D881" t="str">
            <v>SAJUA-2</v>
          </cell>
          <cell r="E881">
            <v>10030026</v>
          </cell>
          <cell r="F881" t="str">
            <v>0014</v>
          </cell>
          <cell r="G881">
            <v>10</v>
          </cell>
          <cell r="H881">
            <v>40.869999999999997</v>
          </cell>
          <cell r="I881">
            <v>1562.4628747200002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P881">
            <v>1562</v>
          </cell>
          <cell r="V881" t="str">
            <v>Available</v>
          </cell>
        </row>
        <row r="882">
          <cell r="A882" t="str">
            <v>100300260015</v>
          </cell>
          <cell r="B882" t="str">
            <v>Asarganj</v>
          </cell>
          <cell r="C882" t="str">
            <v>Asarganj</v>
          </cell>
          <cell r="D882" t="str">
            <v>SAJUA-2</v>
          </cell>
          <cell r="E882">
            <v>10030026</v>
          </cell>
          <cell r="F882" t="str">
            <v>0015</v>
          </cell>
          <cell r="G882">
            <v>13</v>
          </cell>
          <cell r="H882">
            <v>46.109999999999992</v>
          </cell>
          <cell r="I882">
            <v>1928.4017615280002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P882">
            <v>1928</v>
          </cell>
          <cell r="V882" t="str">
            <v>Available</v>
          </cell>
        </row>
        <row r="883">
          <cell r="A883" t="str">
            <v>100300260017</v>
          </cell>
          <cell r="B883" t="str">
            <v>Asarganj</v>
          </cell>
          <cell r="C883" t="str">
            <v>Asarganj</v>
          </cell>
          <cell r="D883" t="str">
            <v>SAJUA-2</v>
          </cell>
          <cell r="E883">
            <v>10030026</v>
          </cell>
          <cell r="F883" t="str">
            <v>0017</v>
          </cell>
          <cell r="G883">
            <v>13</v>
          </cell>
          <cell r="H883">
            <v>110.11</v>
          </cell>
          <cell r="I883">
            <v>4108.3420478759999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P883">
            <v>4108</v>
          </cell>
          <cell r="V883" t="str">
            <v>Available</v>
          </cell>
        </row>
        <row r="884">
          <cell r="A884" t="str">
            <v>100300260018</v>
          </cell>
          <cell r="B884" t="str">
            <v>Asarganj</v>
          </cell>
          <cell r="C884" t="str">
            <v>Asarganj</v>
          </cell>
          <cell r="D884" t="str">
            <v>SAJUA-2</v>
          </cell>
          <cell r="E884">
            <v>10030026</v>
          </cell>
          <cell r="F884" t="str">
            <v>0018</v>
          </cell>
          <cell r="G884">
            <v>12</v>
          </cell>
          <cell r="H884">
            <v>39.61</v>
          </cell>
          <cell r="I884">
            <v>1335.7712969766003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P884">
            <v>1336</v>
          </cell>
          <cell r="V884" t="str">
            <v>Available</v>
          </cell>
        </row>
        <row r="885">
          <cell r="A885" t="str">
            <v>100300260022</v>
          </cell>
          <cell r="B885" t="str">
            <v>Asarganj</v>
          </cell>
          <cell r="C885" t="str">
            <v>Asarganj</v>
          </cell>
          <cell r="D885" t="str">
            <v>SAJUA-2</v>
          </cell>
          <cell r="E885">
            <v>10030026</v>
          </cell>
          <cell r="F885" t="str">
            <v>0022</v>
          </cell>
          <cell r="G885">
            <v>13</v>
          </cell>
          <cell r="H885">
            <v>39.120000000000005</v>
          </cell>
          <cell r="I885">
            <v>1291.5400293378002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P885">
            <v>1292</v>
          </cell>
          <cell r="V885" t="str">
            <v>Available</v>
          </cell>
        </row>
        <row r="886">
          <cell r="A886" t="str">
            <v>100300260024</v>
          </cell>
          <cell r="B886" t="str">
            <v>Asarganj</v>
          </cell>
          <cell r="C886" t="str">
            <v>Asarganj</v>
          </cell>
          <cell r="D886" t="str">
            <v>SAJUA-2</v>
          </cell>
          <cell r="E886">
            <v>10030026</v>
          </cell>
          <cell r="F886" t="str">
            <v>0024</v>
          </cell>
          <cell r="G886">
            <v>11</v>
          </cell>
          <cell r="H886">
            <v>20.090000000000003</v>
          </cell>
          <cell r="I886">
            <v>802.07038097999998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P886">
            <v>802</v>
          </cell>
          <cell r="V886" t="str">
            <v>Available</v>
          </cell>
        </row>
        <row r="887">
          <cell r="A887" t="str">
            <v>100300260026</v>
          </cell>
          <cell r="B887" t="str">
            <v>Asarganj</v>
          </cell>
          <cell r="C887" t="str">
            <v>Asarganj</v>
          </cell>
          <cell r="D887" t="str">
            <v>SAJUA-2</v>
          </cell>
          <cell r="E887">
            <v>10030026</v>
          </cell>
          <cell r="F887" t="str">
            <v>0026</v>
          </cell>
          <cell r="G887">
            <v>4</v>
          </cell>
          <cell r="H887">
            <v>8.6</v>
          </cell>
          <cell r="I887">
            <v>510.60973441598009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P887">
            <v>511</v>
          </cell>
          <cell r="V887" t="str">
            <v>Available</v>
          </cell>
        </row>
        <row r="888">
          <cell r="A888" t="str">
            <v>100300260027</v>
          </cell>
          <cell r="B888" t="str">
            <v>Asarganj</v>
          </cell>
          <cell r="C888" t="str">
            <v>Asarganj</v>
          </cell>
          <cell r="D888" t="str">
            <v>SAJUA-2</v>
          </cell>
          <cell r="E888">
            <v>10030026</v>
          </cell>
          <cell r="F888" t="str">
            <v>0027</v>
          </cell>
          <cell r="G888">
            <v>6</v>
          </cell>
          <cell r="H888">
            <v>8.14</v>
          </cell>
          <cell r="I888">
            <v>304.62962656500002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P888">
            <v>305</v>
          </cell>
          <cell r="V888" t="str">
            <v>Available</v>
          </cell>
        </row>
        <row r="889">
          <cell r="A889" t="str">
            <v>100300260032</v>
          </cell>
          <cell r="B889" t="str">
            <v>Asarganj</v>
          </cell>
          <cell r="C889" t="str">
            <v>Asarganj</v>
          </cell>
          <cell r="D889" t="str">
            <v>SAJUA-2</v>
          </cell>
          <cell r="E889">
            <v>10030026</v>
          </cell>
          <cell r="F889" t="str">
            <v>0032</v>
          </cell>
          <cell r="G889">
            <v>13</v>
          </cell>
          <cell r="H889">
            <v>39.929999999999993</v>
          </cell>
          <cell r="I889">
            <v>1561.3814719800002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P889">
            <v>1561</v>
          </cell>
          <cell r="V889" t="str">
            <v>Available</v>
          </cell>
        </row>
        <row r="890">
          <cell r="A890" t="str">
            <v>100300260033</v>
          </cell>
          <cell r="B890" t="str">
            <v>Asarganj</v>
          </cell>
          <cell r="C890" t="str">
            <v>Asarganj</v>
          </cell>
          <cell r="D890" t="str">
            <v>SAJUA-2</v>
          </cell>
          <cell r="E890">
            <v>10030026</v>
          </cell>
          <cell r="F890" t="str">
            <v>0033</v>
          </cell>
          <cell r="G890">
            <v>14</v>
          </cell>
          <cell r="H890">
            <v>18.39</v>
          </cell>
          <cell r="I890">
            <v>1012.8918477549001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P890">
            <v>1013</v>
          </cell>
          <cell r="V890" t="str">
            <v>Available</v>
          </cell>
        </row>
        <row r="891">
          <cell r="A891" t="str">
            <v>100300260034</v>
          </cell>
          <cell r="B891" t="str">
            <v>Asarganj</v>
          </cell>
          <cell r="C891" t="str">
            <v>Asarganj</v>
          </cell>
          <cell r="D891" t="str">
            <v>SAJUA-2</v>
          </cell>
          <cell r="E891">
            <v>10030026</v>
          </cell>
          <cell r="F891" t="str">
            <v>0034</v>
          </cell>
          <cell r="G891">
            <v>9</v>
          </cell>
          <cell r="H891">
            <v>21.770000000000003</v>
          </cell>
          <cell r="I891">
            <v>739.1310925680001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P891">
            <v>739</v>
          </cell>
          <cell r="V891" t="str">
            <v>Available</v>
          </cell>
        </row>
        <row r="892">
          <cell r="A892" t="str">
            <v>100300260036</v>
          </cell>
          <cell r="B892" t="str">
            <v>Asarganj</v>
          </cell>
          <cell r="C892" t="str">
            <v>Asarganj</v>
          </cell>
          <cell r="D892" t="str">
            <v>SAJUA-2</v>
          </cell>
          <cell r="E892">
            <v>10030026</v>
          </cell>
          <cell r="F892" t="str">
            <v>0036</v>
          </cell>
          <cell r="G892">
            <v>5</v>
          </cell>
          <cell r="H892">
            <v>12.25</v>
          </cell>
          <cell r="I892">
            <v>426.09051791460007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P892">
            <v>426</v>
          </cell>
          <cell r="V892" t="str">
            <v>Available</v>
          </cell>
        </row>
        <row r="893">
          <cell r="A893" t="str">
            <v>100300260037</v>
          </cell>
          <cell r="B893" t="str">
            <v>Asarganj</v>
          </cell>
          <cell r="C893" t="str">
            <v>Asarganj</v>
          </cell>
          <cell r="D893" t="str">
            <v>SAJUA-2</v>
          </cell>
          <cell r="E893">
            <v>10030026</v>
          </cell>
          <cell r="F893" t="str">
            <v>0037</v>
          </cell>
          <cell r="G893">
            <v>13</v>
          </cell>
          <cell r="H893">
            <v>57.02</v>
          </cell>
          <cell r="I893">
            <v>2073.6735774480003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P893">
            <v>2074</v>
          </cell>
          <cell r="V893" t="str">
            <v>Available</v>
          </cell>
        </row>
        <row r="894">
          <cell r="A894" t="str">
            <v>100300260054</v>
          </cell>
          <cell r="B894" t="str">
            <v>Asarganj</v>
          </cell>
          <cell r="C894" t="str">
            <v>Asarganj</v>
          </cell>
          <cell r="D894" t="str">
            <v>SAJUA-2</v>
          </cell>
          <cell r="E894">
            <v>10030026</v>
          </cell>
          <cell r="F894" t="str">
            <v>0054</v>
          </cell>
          <cell r="G894">
            <v>12</v>
          </cell>
          <cell r="H894">
            <v>30.189999999999998</v>
          </cell>
          <cell r="I894">
            <v>1021.5037979982002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P894">
            <v>1022</v>
          </cell>
          <cell r="V894" t="str">
            <v>Available</v>
          </cell>
        </row>
        <row r="895">
          <cell r="A895" t="str">
            <v>100300260055</v>
          </cell>
          <cell r="B895" t="str">
            <v>Asarganj</v>
          </cell>
          <cell r="C895" t="str">
            <v>Asarganj</v>
          </cell>
          <cell r="D895" t="str">
            <v>SAJUA-2</v>
          </cell>
          <cell r="E895">
            <v>10030026</v>
          </cell>
          <cell r="F895" t="str">
            <v>0055</v>
          </cell>
          <cell r="G895">
            <v>11</v>
          </cell>
          <cell r="H895">
            <v>46.88000000000001</v>
          </cell>
          <cell r="I895">
            <v>1691.4556130670003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P895">
            <v>1691</v>
          </cell>
          <cell r="V895" t="str">
            <v>Available</v>
          </cell>
        </row>
        <row r="896">
          <cell r="A896" t="str">
            <v>100300260060</v>
          </cell>
          <cell r="B896" t="str">
            <v>Asarganj</v>
          </cell>
          <cell r="C896" t="str">
            <v>Asarganj</v>
          </cell>
          <cell r="D896" t="str">
            <v>SAJUA-2</v>
          </cell>
          <cell r="E896">
            <v>10030026</v>
          </cell>
          <cell r="F896" t="str">
            <v>0060</v>
          </cell>
          <cell r="G896">
            <v>1</v>
          </cell>
          <cell r="H896">
            <v>1.36</v>
          </cell>
          <cell r="I896">
            <v>61.21789977600001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P896">
            <v>61</v>
          </cell>
          <cell r="V896" t="str">
            <v>Available</v>
          </cell>
        </row>
        <row r="897">
          <cell r="A897" t="str">
            <v>100300260063</v>
          </cell>
          <cell r="B897" t="str">
            <v>Asarganj</v>
          </cell>
          <cell r="C897" t="str">
            <v>Asarganj</v>
          </cell>
          <cell r="D897" t="str">
            <v>SAJUA-2</v>
          </cell>
          <cell r="E897">
            <v>10030026</v>
          </cell>
          <cell r="F897" t="str">
            <v>0063</v>
          </cell>
          <cell r="G897">
            <v>8</v>
          </cell>
          <cell r="H897">
            <v>28.169999999999998</v>
          </cell>
          <cell r="I897">
            <v>1312.1405027865803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P897">
            <v>1312</v>
          </cell>
          <cell r="V897" t="str">
            <v>Available</v>
          </cell>
        </row>
        <row r="898">
          <cell r="A898" t="str">
            <v>100300260070</v>
          </cell>
          <cell r="B898" t="str">
            <v>Asarganj</v>
          </cell>
          <cell r="C898" t="str">
            <v>Asarganj</v>
          </cell>
          <cell r="D898" t="str">
            <v>SAJUA-2</v>
          </cell>
          <cell r="E898">
            <v>10030026</v>
          </cell>
          <cell r="F898" t="str">
            <v>0070</v>
          </cell>
          <cell r="G898">
            <v>6</v>
          </cell>
          <cell r="H898">
            <v>46.85</v>
          </cell>
          <cell r="I898">
            <v>1695.7849110840002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P898">
            <v>1696</v>
          </cell>
          <cell r="V898" t="str">
            <v>Available</v>
          </cell>
        </row>
        <row r="899">
          <cell r="A899" t="str">
            <v>100300260082</v>
          </cell>
          <cell r="B899" t="str">
            <v>Asarganj</v>
          </cell>
          <cell r="C899" t="str">
            <v>Asarganj</v>
          </cell>
          <cell r="D899" t="str">
            <v>SAJUA-2</v>
          </cell>
          <cell r="E899">
            <v>10030026</v>
          </cell>
          <cell r="F899" t="str">
            <v>0082</v>
          </cell>
          <cell r="G899">
            <v>9</v>
          </cell>
          <cell r="H899">
            <v>29.310000000000002</v>
          </cell>
          <cell r="I899">
            <v>1120.7777496102003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P899">
            <v>1121</v>
          </cell>
          <cell r="V899" t="str">
            <v>Available</v>
          </cell>
        </row>
        <row r="900">
          <cell r="A900" t="str">
            <v>100300260088</v>
          </cell>
          <cell r="B900" t="str">
            <v>Asarganj</v>
          </cell>
          <cell r="C900" t="str">
            <v>Asarganj</v>
          </cell>
          <cell r="D900" t="str">
            <v>SAJUA-2</v>
          </cell>
          <cell r="E900">
            <v>10030026</v>
          </cell>
          <cell r="F900" t="str">
            <v>0088</v>
          </cell>
          <cell r="G900">
            <v>12</v>
          </cell>
          <cell r="H900">
            <v>53.999999999999993</v>
          </cell>
          <cell r="I900">
            <v>2130.2847953640003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P900">
            <v>2130</v>
          </cell>
          <cell r="V900" t="str">
            <v>Available</v>
          </cell>
        </row>
        <row r="901">
          <cell r="A901" t="str">
            <v>100300260089</v>
          </cell>
          <cell r="B901" t="str">
            <v>Asarganj</v>
          </cell>
          <cell r="C901" t="str">
            <v>Asarganj</v>
          </cell>
          <cell r="D901" t="str">
            <v>SAJUA-2</v>
          </cell>
          <cell r="E901">
            <v>10030026</v>
          </cell>
          <cell r="F901" t="str">
            <v>0089</v>
          </cell>
          <cell r="G901">
            <v>13</v>
          </cell>
          <cell r="H901">
            <v>22.279999999999994</v>
          </cell>
          <cell r="I901">
            <v>811.97204756579993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P901">
            <v>812</v>
          </cell>
          <cell r="V901" t="str">
            <v>Available</v>
          </cell>
        </row>
        <row r="902">
          <cell r="A902" t="str">
            <v>100300260094</v>
          </cell>
          <cell r="B902" t="str">
            <v>Asarganj</v>
          </cell>
          <cell r="C902" t="str">
            <v>Asarganj</v>
          </cell>
          <cell r="D902" t="str">
            <v>SAJUA-2</v>
          </cell>
          <cell r="E902">
            <v>10030026</v>
          </cell>
          <cell r="F902" t="str">
            <v>0094</v>
          </cell>
          <cell r="G902">
            <v>2</v>
          </cell>
          <cell r="H902">
            <v>3.4</v>
          </cell>
          <cell r="I902">
            <v>116.612412444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P902">
            <v>117</v>
          </cell>
          <cell r="V902" t="str">
            <v>Available</v>
          </cell>
        </row>
        <row r="903">
          <cell r="A903" t="str">
            <v>100300260097</v>
          </cell>
          <cell r="B903" t="str">
            <v>Asarganj</v>
          </cell>
          <cell r="C903" t="str">
            <v>Asarganj</v>
          </cell>
          <cell r="D903" t="str">
            <v>SAJUA-2</v>
          </cell>
          <cell r="E903">
            <v>10030026</v>
          </cell>
          <cell r="F903" t="str">
            <v>0097</v>
          </cell>
          <cell r="G903">
            <v>10</v>
          </cell>
          <cell r="H903">
            <v>43.249999999999993</v>
          </cell>
          <cell r="I903">
            <v>1495.8319741200005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P903">
            <v>1496</v>
          </cell>
          <cell r="V903" t="str">
            <v>Available</v>
          </cell>
        </row>
        <row r="904">
          <cell r="A904" t="str">
            <v>100300260100</v>
          </cell>
          <cell r="B904" t="str">
            <v>Asarganj</v>
          </cell>
          <cell r="C904" t="str">
            <v>Asarganj</v>
          </cell>
          <cell r="D904" t="str">
            <v>SAJUA-2</v>
          </cell>
          <cell r="E904">
            <v>10030026</v>
          </cell>
          <cell r="F904" t="str">
            <v>0100</v>
          </cell>
          <cell r="G904">
            <v>4</v>
          </cell>
          <cell r="H904">
            <v>9.7799999999999994</v>
          </cell>
          <cell r="I904">
            <v>327.24953316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P904">
            <v>327</v>
          </cell>
          <cell r="V904" t="str">
            <v>Available</v>
          </cell>
        </row>
        <row r="905">
          <cell r="A905" t="str">
            <v>100300260102</v>
          </cell>
          <cell r="B905" t="str">
            <v>Asarganj</v>
          </cell>
          <cell r="C905" t="str">
            <v>Asarganj</v>
          </cell>
          <cell r="D905" t="str">
            <v>SAJUA-2</v>
          </cell>
          <cell r="E905">
            <v>10030026</v>
          </cell>
          <cell r="F905" t="str">
            <v>0102</v>
          </cell>
          <cell r="G905">
            <v>8</v>
          </cell>
          <cell r="H905">
            <v>11.86</v>
          </cell>
          <cell r="I905">
            <v>425.00197644299999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P905">
            <v>425</v>
          </cell>
          <cell r="V905" t="str">
            <v>Available</v>
          </cell>
        </row>
        <row r="906">
          <cell r="A906" t="str">
            <v>100300260105</v>
          </cell>
          <cell r="B906" t="str">
            <v>Asarganj</v>
          </cell>
          <cell r="C906" t="str">
            <v>Asarganj</v>
          </cell>
          <cell r="D906" t="str">
            <v>SAJUA-2</v>
          </cell>
          <cell r="E906">
            <v>10030026</v>
          </cell>
          <cell r="F906" t="str">
            <v>0105</v>
          </cell>
          <cell r="G906">
            <v>7</v>
          </cell>
          <cell r="H906">
            <v>11.91</v>
          </cell>
          <cell r="I906">
            <v>744.92484291130006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P906">
            <v>745</v>
          </cell>
          <cell r="V906" t="str">
            <v>Available</v>
          </cell>
        </row>
        <row r="907">
          <cell r="A907" t="str">
            <v>100300260106</v>
          </cell>
          <cell r="B907" t="str">
            <v>Asarganj</v>
          </cell>
          <cell r="C907" t="str">
            <v>Asarganj</v>
          </cell>
          <cell r="D907" t="str">
            <v>SAJUA-2</v>
          </cell>
          <cell r="E907">
            <v>10030026</v>
          </cell>
          <cell r="F907" t="str">
            <v>0106</v>
          </cell>
          <cell r="G907">
            <v>11</v>
          </cell>
          <cell r="H907">
            <v>27.700000000000003</v>
          </cell>
          <cell r="I907">
            <v>1042.5195594000002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P907">
            <v>1043</v>
          </cell>
          <cell r="V907" t="str">
            <v>Available</v>
          </cell>
        </row>
        <row r="908">
          <cell r="A908" t="str">
            <v>100300260107</v>
          </cell>
          <cell r="B908" t="str">
            <v>Asarganj</v>
          </cell>
          <cell r="C908" t="str">
            <v>Asarganj</v>
          </cell>
          <cell r="D908" t="str">
            <v>SAJUA-2</v>
          </cell>
          <cell r="E908">
            <v>10030026</v>
          </cell>
          <cell r="F908" t="str">
            <v>0107</v>
          </cell>
          <cell r="G908">
            <v>3</v>
          </cell>
          <cell r="H908">
            <v>3.9299999999999997</v>
          </cell>
          <cell r="I908">
            <v>129.10555587600001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P908">
            <v>129</v>
          </cell>
          <cell r="V908" t="str">
            <v>Available</v>
          </cell>
        </row>
        <row r="909">
          <cell r="A909" t="str">
            <v>100300260108</v>
          </cell>
          <cell r="B909" t="str">
            <v>Asarganj</v>
          </cell>
          <cell r="C909" t="str">
            <v>Asarganj</v>
          </cell>
          <cell r="D909" t="str">
            <v>SAJUA-2</v>
          </cell>
          <cell r="E909">
            <v>10030026</v>
          </cell>
          <cell r="F909" t="str">
            <v>0108</v>
          </cell>
          <cell r="G909">
            <v>12</v>
          </cell>
          <cell r="H909">
            <v>52.399999999999991</v>
          </cell>
          <cell r="I909">
            <v>1980.4400787600002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P909">
            <v>1980</v>
          </cell>
          <cell r="V909" t="str">
            <v>Available</v>
          </cell>
        </row>
        <row r="910">
          <cell r="A910" t="str">
            <v>100300260109</v>
          </cell>
          <cell r="B910" t="str">
            <v>Asarganj</v>
          </cell>
          <cell r="C910" t="str">
            <v>Asarganj</v>
          </cell>
          <cell r="D910" t="str">
            <v>SAJUA-2</v>
          </cell>
          <cell r="E910">
            <v>10030026</v>
          </cell>
          <cell r="F910" t="str">
            <v>0109</v>
          </cell>
          <cell r="G910">
            <v>12</v>
          </cell>
          <cell r="H910">
            <v>43.68</v>
          </cell>
          <cell r="I910">
            <v>1493.9907918804001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P910">
            <v>1494</v>
          </cell>
          <cell r="V910" t="str">
            <v>Available</v>
          </cell>
        </row>
        <row r="911">
          <cell r="A911" t="str">
            <v>100300260110</v>
          </cell>
          <cell r="B911" t="str">
            <v>Asarganj</v>
          </cell>
          <cell r="C911" t="str">
            <v>Asarganj</v>
          </cell>
          <cell r="D911" t="str">
            <v>SAJUA-2</v>
          </cell>
          <cell r="E911">
            <v>10030026</v>
          </cell>
          <cell r="F911" t="str">
            <v>0110</v>
          </cell>
          <cell r="G911">
            <v>1</v>
          </cell>
          <cell r="H911">
            <v>6.73</v>
          </cell>
          <cell r="I911">
            <v>253.19006222400009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P911">
            <v>253</v>
          </cell>
          <cell r="V911" t="str">
            <v>Available</v>
          </cell>
        </row>
        <row r="912">
          <cell r="A912" t="str">
            <v>100300260114</v>
          </cell>
          <cell r="B912" t="str">
            <v>Asarganj</v>
          </cell>
          <cell r="C912" t="str">
            <v>Asarganj</v>
          </cell>
          <cell r="D912" t="str">
            <v>SAJUA-2</v>
          </cell>
          <cell r="E912">
            <v>10030026</v>
          </cell>
          <cell r="F912" t="str">
            <v>0114</v>
          </cell>
          <cell r="G912">
            <v>8</v>
          </cell>
          <cell r="H912">
            <v>18.149999999999999</v>
          </cell>
          <cell r="I912">
            <v>685.64768421600013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P912">
            <v>686</v>
          </cell>
          <cell r="V912" t="str">
            <v>Available</v>
          </cell>
        </row>
        <row r="913">
          <cell r="A913" t="str">
            <v>100300260116</v>
          </cell>
          <cell r="B913" t="str">
            <v>Asarganj</v>
          </cell>
          <cell r="C913" t="str">
            <v>Asarganj</v>
          </cell>
          <cell r="D913" t="str">
            <v>SAJUA-2</v>
          </cell>
          <cell r="E913">
            <v>10030026</v>
          </cell>
          <cell r="F913" t="str">
            <v>0116</v>
          </cell>
          <cell r="G913">
            <v>10</v>
          </cell>
          <cell r="H913">
            <v>25.889999999999993</v>
          </cell>
          <cell r="I913">
            <v>875.84272748280023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P913">
            <v>876</v>
          </cell>
          <cell r="V913" t="str">
            <v>Available</v>
          </cell>
        </row>
        <row r="914">
          <cell r="A914" t="str">
            <v>100300270001</v>
          </cell>
          <cell r="B914" t="str">
            <v>Asarganj</v>
          </cell>
          <cell r="C914" t="str">
            <v>Asarganj</v>
          </cell>
          <cell r="D914" t="str">
            <v>CHORGAUN</v>
          </cell>
          <cell r="E914">
            <v>10030027</v>
          </cell>
          <cell r="F914" t="str">
            <v>0001</v>
          </cell>
          <cell r="G914">
            <v>14</v>
          </cell>
          <cell r="H914">
            <v>20.5</v>
          </cell>
          <cell r="I914">
            <v>785.92448880000006</v>
          </cell>
          <cell r="J914">
            <v>0</v>
          </cell>
          <cell r="K914">
            <v>785.92448880000006</v>
          </cell>
          <cell r="L914">
            <v>0</v>
          </cell>
          <cell r="M914">
            <v>0</v>
          </cell>
          <cell r="P914">
            <v>0</v>
          </cell>
          <cell r="V914" t="str">
            <v>Not Available</v>
          </cell>
        </row>
        <row r="915">
          <cell r="A915" t="str">
            <v>100300270003</v>
          </cell>
          <cell r="B915" t="str">
            <v>Asarganj</v>
          </cell>
          <cell r="C915" t="str">
            <v>Asarganj</v>
          </cell>
          <cell r="D915" t="str">
            <v>CHORGAUN</v>
          </cell>
          <cell r="E915">
            <v>10030027</v>
          </cell>
          <cell r="F915" t="str">
            <v>0003</v>
          </cell>
          <cell r="G915">
            <v>8</v>
          </cell>
          <cell r="H915">
            <v>32.299999999999997</v>
          </cell>
          <cell r="I915">
            <v>1140.2518762800005</v>
          </cell>
          <cell r="J915">
            <v>0</v>
          </cell>
          <cell r="K915">
            <v>0</v>
          </cell>
          <cell r="L915">
            <v>1082</v>
          </cell>
          <cell r="M915">
            <v>0</v>
          </cell>
          <cell r="P915">
            <v>58</v>
          </cell>
          <cell r="V915" t="str">
            <v>Available</v>
          </cell>
        </row>
        <row r="916">
          <cell r="A916" t="str">
            <v>100300270005</v>
          </cell>
          <cell r="B916" t="str">
            <v>Asarganj</v>
          </cell>
          <cell r="C916" t="str">
            <v>Asarganj</v>
          </cell>
          <cell r="D916" t="str">
            <v>CHORGAUN</v>
          </cell>
          <cell r="E916">
            <v>10030027</v>
          </cell>
          <cell r="F916" t="str">
            <v>0005</v>
          </cell>
          <cell r="G916">
            <v>7</v>
          </cell>
          <cell r="H916">
            <v>20.799999999999997</v>
          </cell>
          <cell r="I916">
            <v>755.5380703200002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P916">
            <v>756</v>
          </cell>
          <cell r="V916" t="str">
            <v>Available</v>
          </cell>
        </row>
        <row r="917">
          <cell r="A917" t="str">
            <v>100300270007</v>
          </cell>
          <cell r="B917" t="str">
            <v>Asarganj</v>
          </cell>
          <cell r="C917" t="str">
            <v>Asarganj</v>
          </cell>
          <cell r="D917" t="str">
            <v>CHORGAUN</v>
          </cell>
          <cell r="E917">
            <v>10030027</v>
          </cell>
          <cell r="F917" t="str">
            <v>0007</v>
          </cell>
          <cell r="G917">
            <v>8</v>
          </cell>
          <cell r="H917">
            <v>31.2</v>
          </cell>
          <cell r="I917">
            <v>1178.8082064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P917">
            <v>1179</v>
          </cell>
          <cell r="V917" t="str">
            <v>Available</v>
          </cell>
        </row>
        <row r="918">
          <cell r="A918" t="str">
            <v>100300270009</v>
          </cell>
          <cell r="B918" t="str">
            <v>Asarganj</v>
          </cell>
          <cell r="C918" t="str">
            <v>Asarganj</v>
          </cell>
          <cell r="D918" t="str">
            <v>CHORGAUN</v>
          </cell>
          <cell r="E918">
            <v>10030027</v>
          </cell>
          <cell r="F918" t="str">
            <v>0009</v>
          </cell>
          <cell r="G918">
            <v>1</v>
          </cell>
          <cell r="H918">
            <v>1.6</v>
          </cell>
          <cell r="I918">
            <v>60.827374080000006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P918">
            <v>61</v>
          </cell>
          <cell r="V918" t="str">
            <v>Available</v>
          </cell>
        </row>
        <row r="919">
          <cell r="A919" t="str">
            <v>100300270010</v>
          </cell>
          <cell r="B919" t="str">
            <v>Asarganj</v>
          </cell>
          <cell r="C919" t="str">
            <v>Asarganj</v>
          </cell>
          <cell r="D919" t="str">
            <v>CHORGAUN</v>
          </cell>
          <cell r="E919">
            <v>10030027</v>
          </cell>
          <cell r="F919" t="str">
            <v>0010</v>
          </cell>
          <cell r="G919">
            <v>12</v>
          </cell>
          <cell r="H919">
            <v>35.4</v>
          </cell>
          <cell r="I919">
            <v>1342.5985188000002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P919">
            <v>1343</v>
          </cell>
          <cell r="V919" t="str">
            <v>Available</v>
          </cell>
        </row>
        <row r="920">
          <cell r="A920" t="str">
            <v>100300270011</v>
          </cell>
          <cell r="B920" t="str">
            <v>Asarganj</v>
          </cell>
          <cell r="C920" t="str">
            <v>Asarganj</v>
          </cell>
          <cell r="D920" t="str">
            <v>CHORGAUN</v>
          </cell>
          <cell r="E920">
            <v>10030027</v>
          </cell>
          <cell r="F920" t="str">
            <v>0011</v>
          </cell>
          <cell r="G920">
            <v>3</v>
          </cell>
          <cell r="H920">
            <v>7.8000000000000007</v>
          </cell>
          <cell r="I920">
            <v>317.65322951999997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P920">
            <v>318</v>
          </cell>
          <cell r="V920" t="str">
            <v>Available</v>
          </cell>
        </row>
        <row r="921">
          <cell r="A921" t="str">
            <v>100300270012</v>
          </cell>
          <cell r="B921" t="str">
            <v>Asarganj</v>
          </cell>
          <cell r="C921" t="str">
            <v>Asarganj</v>
          </cell>
          <cell r="D921" t="str">
            <v>CHORGAUN</v>
          </cell>
          <cell r="E921">
            <v>10030027</v>
          </cell>
          <cell r="F921" t="str">
            <v>0012</v>
          </cell>
          <cell r="G921">
            <v>13</v>
          </cell>
          <cell r="H921">
            <v>46.800000000000004</v>
          </cell>
          <cell r="I921">
            <v>1828.1469690000001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P921">
            <v>1828</v>
          </cell>
          <cell r="V921" t="str">
            <v>Available</v>
          </cell>
        </row>
        <row r="922">
          <cell r="A922" t="str">
            <v>100300270030</v>
          </cell>
          <cell r="B922" t="str">
            <v>Asarganj</v>
          </cell>
          <cell r="C922" t="str">
            <v>Asarganj</v>
          </cell>
          <cell r="D922" t="str">
            <v>CHORGAUN</v>
          </cell>
          <cell r="E922">
            <v>10030027</v>
          </cell>
          <cell r="F922" t="str">
            <v>0030</v>
          </cell>
          <cell r="G922">
            <v>6</v>
          </cell>
          <cell r="H922">
            <v>15.9</v>
          </cell>
          <cell r="I922">
            <v>531.92503980000004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P922">
            <v>532</v>
          </cell>
          <cell r="V922" t="str">
            <v>Available</v>
          </cell>
        </row>
        <row r="923">
          <cell r="A923" t="str">
            <v>100300270063</v>
          </cell>
          <cell r="B923" t="str">
            <v>Asarganj</v>
          </cell>
          <cell r="C923" t="str">
            <v>Asarganj</v>
          </cell>
          <cell r="D923" t="str">
            <v>CHORGAUN</v>
          </cell>
          <cell r="E923">
            <v>10030027</v>
          </cell>
          <cell r="F923" t="str">
            <v>0063</v>
          </cell>
          <cell r="G923">
            <v>7</v>
          </cell>
          <cell r="H923">
            <v>11.7</v>
          </cell>
          <cell r="I923">
            <v>419.49592740000003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P923">
            <v>419</v>
          </cell>
          <cell r="V923" t="str">
            <v>Available</v>
          </cell>
        </row>
        <row r="924">
          <cell r="A924" t="str">
            <v>100300270067</v>
          </cell>
          <cell r="B924" t="str">
            <v>Asarganj</v>
          </cell>
          <cell r="C924" t="str">
            <v>Asarganj</v>
          </cell>
          <cell r="D924" t="str">
            <v>CHORGAUN</v>
          </cell>
          <cell r="E924">
            <v>10030027</v>
          </cell>
          <cell r="F924" t="str">
            <v>0067</v>
          </cell>
          <cell r="G924">
            <v>3</v>
          </cell>
          <cell r="H924">
            <v>3.5000000000000004</v>
          </cell>
          <cell r="I924">
            <v>134.85512700000004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P924">
            <v>135</v>
          </cell>
          <cell r="V924" t="str">
            <v>Available</v>
          </cell>
        </row>
        <row r="925">
          <cell r="A925" t="str">
            <v>100300270074</v>
          </cell>
          <cell r="B925" t="str">
            <v>Asarganj</v>
          </cell>
          <cell r="C925" t="str">
            <v>Asarganj</v>
          </cell>
          <cell r="D925" t="str">
            <v>CHORGAUN</v>
          </cell>
          <cell r="E925">
            <v>10030027</v>
          </cell>
          <cell r="F925" t="str">
            <v>0074</v>
          </cell>
          <cell r="G925">
            <v>7</v>
          </cell>
          <cell r="H925">
            <v>14.900000000000002</v>
          </cell>
          <cell r="I925">
            <v>512.33371397999997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P925">
            <v>512</v>
          </cell>
          <cell r="V925" t="str">
            <v>Available</v>
          </cell>
        </row>
        <row r="926">
          <cell r="A926" t="str">
            <v>100300270076</v>
          </cell>
          <cell r="B926" t="str">
            <v>Asarganj</v>
          </cell>
          <cell r="C926" t="str">
            <v>Asarganj</v>
          </cell>
          <cell r="D926" t="str">
            <v>CHORGAUN</v>
          </cell>
          <cell r="E926">
            <v>10030027</v>
          </cell>
          <cell r="F926" t="str">
            <v>0076</v>
          </cell>
          <cell r="G926">
            <v>5</v>
          </cell>
          <cell r="H926">
            <v>13.899999999999999</v>
          </cell>
          <cell r="I926">
            <v>655.87811088300009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P926">
            <v>656</v>
          </cell>
          <cell r="V926" t="str">
            <v>Available</v>
          </cell>
        </row>
        <row r="927">
          <cell r="A927" t="str">
            <v>100300270102</v>
          </cell>
          <cell r="B927" t="str">
            <v>Asarganj</v>
          </cell>
          <cell r="C927" t="str">
            <v>Asarganj</v>
          </cell>
          <cell r="D927" t="str">
            <v>CHORGAUN</v>
          </cell>
          <cell r="E927">
            <v>10030027</v>
          </cell>
          <cell r="F927" t="str">
            <v>0102</v>
          </cell>
          <cell r="G927">
            <v>9</v>
          </cell>
          <cell r="H927">
            <v>34.199999999999996</v>
          </cell>
          <cell r="I927">
            <v>1219.1241902400002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P927">
            <v>1219</v>
          </cell>
          <cell r="V927" t="str">
            <v>Available</v>
          </cell>
        </row>
        <row r="928">
          <cell r="A928" t="str">
            <v>100300270103</v>
          </cell>
          <cell r="B928" t="str">
            <v>Asarganj</v>
          </cell>
          <cell r="C928" t="str">
            <v>Asarganj</v>
          </cell>
          <cell r="D928" t="str">
            <v>CHORGAUN</v>
          </cell>
          <cell r="E928">
            <v>10030027</v>
          </cell>
          <cell r="F928" t="str">
            <v>0103</v>
          </cell>
          <cell r="G928">
            <v>8</v>
          </cell>
          <cell r="H928">
            <v>23</v>
          </cell>
          <cell r="I928">
            <v>860.78410308000002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P928">
            <v>861</v>
          </cell>
          <cell r="V928" t="str">
            <v>Available</v>
          </cell>
        </row>
        <row r="929">
          <cell r="A929" t="str">
            <v>100300270107</v>
          </cell>
          <cell r="B929" t="str">
            <v>Asarganj</v>
          </cell>
          <cell r="C929" t="str">
            <v>Asarganj</v>
          </cell>
          <cell r="D929" t="str">
            <v>CHORGAUN</v>
          </cell>
          <cell r="E929">
            <v>10030027</v>
          </cell>
          <cell r="F929" t="str">
            <v>0107</v>
          </cell>
          <cell r="G929">
            <v>6</v>
          </cell>
          <cell r="H929">
            <v>9.9</v>
          </cell>
          <cell r="I929">
            <v>412.28670780000004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P929">
            <v>412</v>
          </cell>
          <cell r="V929" t="str">
            <v>Available</v>
          </cell>
        </row>
        <row r="930">
          <cell r="A930" t="str">
            <v>100300270122</v>
          </cell>
          <cell r="B930" t="str">
            <v>Asarganj</v>
          </cell>
          <cell r="C930" t="str">
            <v>Asarganj</v>
          </cell>
          <cell r="D930" t="str">
            <v>CHORGAUN</v>
          </cell>
          <cell r="E930">
            <v>10030027</v>
          </cell>
          <cell r="F930" t="str">
            <v>0122</v>
          </cell>
          <cell r="G930">
            <v>2</v>
          </cell>
          <cell r="H930">
            <v>2.9000000000000004</v>
          </cell>
          <cell r="I930">
            <v>96.877990440000019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P930">
            <v>97</v>
          </cell>
          <cell r="V930" t="str">
            <v>Available</v>
          </cell>
        </row>
        <row r="931">
          <cell r="A931" t="str">
            <v>100300270131</v>
          </cell>
          <cell r="B931" t="str">
            <v>Asarganj</v>
          </cell>
          <cell r="C931" t="str">
            <v>Asarganj</v>
          </cell>
          <cell r="D931" t="str">
            <v>CHORGAUN</v>
          </cell>
          <cell r="E931">
            <v>10030027</v>
          </cell>
          <cell r="F931" t="str">
            <v>0131</v>
          </cell>
          <cell r="G931">
            <v>7</v>
          </cell>
          <cell r="H931">
            <v>21.9</v>
          </cell>
          <cell r="I931">
            <v>687.66808730399998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P931">
            <v>688</v>
          </cell>
          <cell r="V931" t="str">
            <v>Available</v>
          </cell>
        </row>
        <row r="932">
          <cell r="A932" t="str">
            <v>100300270147</v>
          </cell>
          <cell r="B932" t="str">
            <v>Asarganj</v>
          </cell>
          <cell r="C932" t="str">
            <v>Asarganj</v>
          </cell>
          <cell r="D932" t="str">
            <v>CHORGAUN</v>
          </cell>
          <cell r="E932">
            <v>10030027</v>
          </cell>
          <cell r="F932" t="str">
            <v>0147</v>
          </cell>
          <cell r="G932">
            <v>13</v>
          </cell>
          <cell r="H932">
            <v>22.599999999999998</v>
          </cell>
          <cell r="I932">
            <v>748.72186072199997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P932">
            <v>749</v>
          </cell>
          <cell r="V932" t="str">
            <v>Available</v>
          </cell>
        </row>
        <row r="933">
          <cell r="A933" t="str">
            <v>100300270161</v>
          </cell>
          <cell r="B933" t="str">
            <v>Asarganj</v>
          </cell>
          <cell r="C933" t="str">
            <v>Asarganj</v>
          </cell>
          <cell r="D933" t="str">
            <v>CHORGAUN</v>
          </cell>
          <cell r="E933">
            <v>10030027</v>
          </cell>
          <cell r="F933" t="str">
            <v>0161</v>
          </cell>
          <cell r="G933">
            <v>5</v>
          </cell>
          <cell r="H933">
            <v>16.799999999999997</v>
          </cell>
          <cell r="I933">
            <v>589.63621068000009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P933">
            <v>590</v>
          </cell>
          <cell r="V933" t="str">
            <v>Available</v>
          </cell>
        </row>
        <row r="934">
          <cell r="A934" t="str">
            <v>100300270169</v>
          </cell>
          <cell r="B934" t="str">
            <v>Asarganj</v>
          </cell>
          <cell r="C934" t="str">
            <v>Asarganj</v>
          </cell>
          <cell r="D934" t="str">
            <v>CHORGAUN</v>
          </cell>
          <cell r="E934">
            <v>10030027</v>
          </cell>
          <cell r="F934" t="str">
            <v>0169</v>
          </cell>
          <cell r="G934">
            <v>6</v>
          </cell>
          <cell r="H934">
            <v>8.1</v>
          </cell>
          <cell r="I934">
            <v>263.12449680000003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P934">
            <v>263</v>
          </cell>
          <cell r="V934" t="str">
            <v>Available</v>
          </cell>
        </row>
        <row r="935">
          <cell r="A935" t="str">
            <v>100300270173</v>
          </cell>
          <cell r="B935" t="str">
            <v>Asarganj</v>
          </cell>
          <cell r="C935" t="str">
            <v>Asarganj</v>
          </cell>
          <cell r="D935" t="str">
            <v>CHORGAUN</v>
          </cell>
          <cell r="E935">
            <v>10030027</v>
          </cell>
          <cell r="F935" t="str">
            <v>0173</v>
          </cell>
          <cell r="G935">
            <v>3</v>
          </cell>
          <cell r="H935">
            <v>4.8</v>
          </cell>
          <cell r="I935">
            <v>157.16444040000002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P935">
            <v>157</v>
          </cell>
          <cell r="V935" t="str">
            <v>Available</v>
          </cell>
        </row>
        <row r="936">
          <cell r="A936" t="str">
            <v>100300270184</v>
          </cell>
          <cell r="B936" t="str">
            <v>Asarganj</v>
          </cell>
          <cell r="C936" t="str">
            <v>Asarganj</v>
          </cell>
          <cell r="D936" t="str">
            <v>CHORGAUN</v>
          </cell>
          <cell r="E936">
            <v>10030027</v>
          </cell>
          <cell r="F936" t="str">
            <v>0184</v>
          </cell>
          <cell r="G936">
            <v>7</v>
          </cell>
          <cell r="H936">
            <v>12.100000000000001</v>
          </cell>
          <cell r="I936">
            <v>542.12470488000008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P936">
            <v>542</v>
          </cell>
          <cell r="V936" t="str">
            <v>Available</v>
          </cell>
        </row>
        <row r="937">
          <cell r="A937" t="str">
            <v>100300270185</v>
          </cell>
          <cell r="B937" t="str">
            <v>Asarganj</v>
          </cell>
          <cell r="C937" t="str">
            <v>Asarganj</v>
          </cell>
          <cell r="D937" t="str">
            <v>CHORGAUN</v>
          </cell>
          <cell r="E937">
            <v>10030027</v>
          </cell>
          <cell r="F937" t="str">
            <v>0185</v>
          </cell>
          <cell r="G937">
            <v>7</v>
          </cell>
          <cell r="H937">
            <v>29.799999999999997</v>
          </cell>
          <cell r="I937">
            <v>1012.441771242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P937">
            <v>1012</v>
          </cell>
          <cell r="V937" t="str">
            <v>Available</v>
          </cell>
        </row>
        <row r="938">
          <cell r="A938" t="str">
            <v>100300270191</v>
          </cell>
          <cell r="B938" t="str">
            <v>Asarganj</v>
          </cell>
          <cell r="C938" t="str">
            <v>Asarganj</v>
          </cell>
          <cell r="D938" t="str">
            <v>CHORGAUN</v>
          </cell>
          <cell r="E938">
            <v>10030027</v>
          </cell>
          <cell r="F938" t="str">
            <v>0191</v>
          </cell>
          <cell r="G938">
            <v>5</v>
          </cell>
          <cell r="H938">
            <v>13.2</v>
          </cell>
          <cell r="I938">
            <v>575.09291553999992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P938">
            <v>575</v>
          </cell>
          <cell r="V938" t="str">
            <v>Available</v>
          </cell>
        </row>
        <row r="939">
          <cell r="A939" t="str">
            <v>100300270192</v>
          </cell>
          <cell r="B939" t="str">
            <v>Asarganj</v>
          </cell>
          <cell r="C939" t="str">
            <v>Asarganj</v>
          </cell>
          <cell r="D939" t="str">
            <v>CHORGAUN</v>
          </cell>
          <cell r="E939">
            <v>10030027</v>
          </cell>
          <cell r="F939" t="str">
            <v>0192</v>
          </cell>
          <cell r="G939">
            <v>7</v>
          </cell>
          <cell r="H939">
            <v>18.399999999999999</v>
          </cell>
          <cell r="I939">
            <v>679.09440852000012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P939">
            <v>679</v>
          </cell>
          <cell r="V939" t="str">
            <v>Available</v>
          </cell>
        </row>
        <row r="940">
          <cell r="A940" t="str">
            <v>100300270205</v>
          </cell>
          <cell r="B940" t="str">
            <v>Asarganj</v>
          </cell>
          <cell r="C940" t="str">
            <v>Asarganj</v>
          </cell>
          <cell r="D940" t="str">
            <v>CHORGAUN</v>
          </cell>
          <cell r="E940">
            <v>10030027</v>
          </cell>
          <cell r="F940" t="str">
            <v>0205</v>
          </cell>
          <cell r="G940">
            <v>7</v>
          </cell>
          <cell r="H940">
            <v>10.1</v>
          </cell>
          <cell r="I940">
            <v>363.60531504000005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P940">
            <v>364</v>
          </cell>
          <cell r="V940" t="str">
            <v>Available</v>
          </cell>
        </row>
        <row r="941">
          <cell r="A941" t="str">
            <v>100300270212</v>
          </cell>
          <cell r="B941" t="str">
            <v>Asarganj</v>
          </cell>
          <cell r="C941" t="str">
            <v>Asarganj</v>
          </cell>
          <cell r="D941" t="str">
            <v>CHORGAUN</v>
          </cell>
          <cell r="E941">
            <v>10030027</v>
          </cell>
          <cell r="F941" t="str">
            <v>0212</v>
          </cell>
          <cell r="G941">
            <v>6</v>
          </cell>
          <cell r="H941">
            <v>11.499999999999998</v>
          </cell>
          <cell r="I941">
            <v>450.33090300000003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P941">
            <v>450</v>
          </cell>
          <cell r="V941" t="str">
            <v>Available</v>
          </cell>
        </row>
        <row r="942">
          <cell r="A942" t="str">
            <v>100300270221</v>
          </cell>
          <cell r="B942" t="str">
            <v>Asarganj</v>
          </cell>
          <cell r="C942" t="str">
            <v>Asarganj</v>
          </cell>
          <cell r="D942" t="str">
            <v>CHORGAUN</v>
          </cell>
          <cell r="E942">
            <v>10030027</v>
          </cell>
          <cell r="F942" t="str">
            <v>0221</v>
          </cell>
          <cell r="G942">
            <v>3</v>
          </cell>
          <cell r="H942">
            <v>5.1999999999999993</v>
          </cell>
          <cell r="I942">
            <v>215.19220932000002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P942">
            <v>215</v>
          </cell>
          <cell r="V942" t="str">
            <v>Available</v>
          </cell>
        </row>
        <row r="943">
          <cell r="A943" t="str">
            <v>100300270222</v>
          </cell>
          <cell r="B943" t="str">
            <v>Asarganj</v>
          </cell>
          <cell r="C943" t="str">
            <v>Asarganj</v>
          </cell>
          <cell r="D943" t="str">
            <v>CHORGAUN</v>
          </cell>
          <cell r="E943">
            <v>10030027</v>
          </cell>
          <cell r="F943" t="str">
            <v>0222</v>
          </cell>
          <cell r="G943">
            <v>12</v>
          </cell>
          <cell r="H943">
            <v>25.9</v>
          </cell>
          <cell r="I943">
            <v>1036.5062598000002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P943">
            <v>1037</v>
          </cell>
          <cell r="V943" t="str">
            <v>Available</v>
          </cell>
        </row>
        <row r="944">
          <cell r="A944" t="str">
            <v>100300270226</v>
          </cell>
          <cell r="B944" t="str">
            <v>Asarganj</v>
          </cell>
          <cell r="C944" t="str">
            <v>Asarganj</v>
          </cell>
          <cell r="D944" t="str">
            <v>CHORGAUN</v>
          </cell>
          <cell r="E944">
            <v>10030027</v>
          </cell>
          <cell r="F944" t="str">
            <v>0226</v>
          </cell>
          <cell r="G944">
            <v>8</v>
          </cell>
          <cell r="H944">
            <v>15.1</v>
          </cell>
          <cell r="I944">
            <v>1018.474879485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P944">
            <v>1018</v>
          </cell>
          <cell r="V944" t="str">
            <v>Available</v>
          </cell>
        </row>
        <row r="945">
          <cell r="A945" t="str">
            <v>100300270231</v>
          </cell>
          <cell r="B945" t="str">
            <v>Asarganj</v>
          </cell>
          <cell r="C945" t="str">
            <v>Asarganj</v>
          </cell>
          <cell r="D945" t="str">
            <v>CHORGAUN</v>
          </cell>
          <cell r="E945">
            <v>10030027</v>
          </cell>
          <cell r="F945" t="str">
            <v>0231</v>
          </cell>
          <cell r="G945">
            <v>13</v>
          </cell>
          <cell r="H945">
            <v>41.800000000000004</v>
          </cell>
          <cell r="I945">
            <v>1515.2871848400005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P945">
            <v>1515</v>
          </cell>
          <cell r="V945" t="str">
            <v>Available</v>
          </cell>
        </row>
        <row r="946">
          <cell r="A946" t="str">
            <v>100300270235</v>
          </cell>
          <cell r="B946" t="str">
            <v>Asarganj</v>
          </cell>
          <cell r="C946" t="str">
            <v>Asarganj</v>
          </cell>
          <cell r="D946" t="str">
            <v>CHORGAUN</v>
          </cell>
          <cell r="E946">
            <v>10030027</v>
          </cell>
          <cell r="F946" t="str">
            <v>0235</v>
          </cell>
          <cell r="G946">
            <v>2</v>
          </cell>
          <cell r="H946">
            <v>5.4</v>
          </cell>
          <cell r="I946">
            <v>178.10042580000004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P946">
            <v>178</v>
          </cell>
          <cell r="V946" t="str">
            <v>Available</v>
          </cell>
        </row>
        <row r="947">
          <cell r="A947" t="str">
            <v>100300270236</v>
          </cell>
          <cell r="B947" t="str">
            <v>Asarganj</v>
          </cell>
          <cell r="C947" t="str">
            <v>Asarganj</v>
          </cell>
          <cell r="D947" t="str">
            <v>CHORGAUN</v>
          </cell>
          <cell r="E947">
            <v>10030027</v>
          </cell>
          <cell r="F947" t="str">
            <v>0236</v>
          </cell>
          <cell r="G947">
            <v>10</v>
          </cell>
          <cell r="H947">
            <v>10.1</v>
          </cell>
          <cell r="I947">
            <v>375.59093220000011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P947">
            <v>376</v>
          </cell>
          <cell r="V947" t="str">
            <v>Available</v>
          </cell>
        </row>
        <row r="948">
          <cell r="A948" t="str">
            <v>100300270237</v>
          </cell>
          <cell r="B948" t="str">
            <v>Asarganj</v>
          </cell>
          <cell r="C948" t="str">
            <v>Asarganj</v>
          </cell>
          <cell r="D948" t="str">
            <v>CHORGAUN</v>
          </cell>
          <cell r="E948">
            <v>10030027</v>
          </cell>
          <cell r="F948" t="str">
            <v>0237</v>
          </cell>
          <cell r="G948">
            <v>7</v>
          </cell>
          <cell r="H948">
            <v>11.900000000000002</v>
          </cell>
          <cell r="I948">
            <v>381.22356729600006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P948">
            <v>381</v>
          </cell>
          <cell r="V948" t="str">
            <v>Available</v>
          </cell>
        </row>
        <row r="949">
          <cell r="A949" t="str">
            <v>100300270240</v>
          </cell>
          <cell r="B949" t="str">
            <v>Asarganj</v>
          </cell>
          <cell r="C949" t="str">
            <v>Asarganj</v>
          </cell>
          <cell r="D949" t="str">
            <v>CHORGAUN</v>
          </cell>
          <cell r="E949">
            <v>10030027</v>
          </cell>
          <cell r="F949" t="str">
            <v>0240</v>
          </cell>
          <cell r="G949">
            <v>3</v>
          </cell>
          <cell r="H949">
            <v>6.1999999999999993</v>
          </cell>
          <cell r="I949">
            <v>233.38295640000001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P949">
            <v>233</v>
          </cell>
          <cell r="V949" t="str">
            <v>Available</v>
          </cell>
        </row>
        <row r="950">
          <cell r="A950" t="str">
            <v>100300270241</v>
          </cell>
          <cell r="B950" t="str">
            <v>Asarganj</v>
          </cell>
          <cell r="C950" t="str">
            <v>Asarganj</v>
          </cell>
          <cell r="D950" t="str">
            <v>CHORGAUN</v>
          </cell>
          <cell r="E950">
            <v>10030027</v>
          </cell>
          <cell r="F950" t="str">
            <v>0241</v>
          </cell>
          <cell r="G950">
            <v>11</v>
          </cell>
          <cell r="H950">
            <v>17</v>
          </cell>
          <cell r="I950">
            <v>664.20796622400019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P950">
            <v>664</v>
          </cell>
          <cell r="V950" t="str">
            <v>Available</v>
          </cell>
        </row>
        <row r="951">
          <cell r="A951" t="str">
            <v>100300280001</v>
          </cell>
          <cell r="B951" t="str">
            <v>Asarganj</v>
          </cell>
          <cell r="C951" t="str">
            <v>Asarganj</v>
          </cell>
          <cell r="D951" t="str">
            <v>PADARATHPUR</v>
          </cell>
          <cell r="E951">
            <v>10030028</v>
          </cell>
          <cell r="F951" t="str">
            <v>0001</v>
          </cell>
          <cell r="G951">
            <v>14</v>
          </cell>
          <cell r="H951">
            <v>17.3</v>
          </cell>
          <cell r="I951">
            <v>707.53910436000012</v>
          </cell>
          <cell r="J951">
            <v>0</v>
          </cell>
          <cell r="K951">
            <v>707.53910436000012</v>
          </cell>
          <cell r="L951">
            <v>0</v>
          </cell>
          <cell r="M951">
            <v>0</v>
          </cell>
          <cell r="P951">
            <v>0</v>
          </cell>
          <cell r="V951" t="str">
            <v>Not Available</v>
          </cell>
        </row>
        <row r="952">
          <cell r="A952" t="str">
            <v>100300280002</v>
          </cell>
          <cell r="B952" t="str">
            <v>Asarganj</v>
          </cell>
          <cell r="C952" t="str">
            <v>Asarganj</v>
          </cell>
          <cell r="D952" t="str">
            <v>PADARATHPUR</v>
          </cell>
          <cell r="E952">
            <v>10030028</v>
          </cell>
          <cell r="F952" t="str">
            <v>0002</v>
          </cell>
          <cell r="G952">
            <v>13</v>
          </cell>
          <cell r="H952">
            <v>47.1</v>
          </cell>
          <cell r="I952">
            <v>2072.0227725600698</v>
          </cell>
          <cell r="J952">
            <v>0</v>
          </cell>
          <cell r="K952">
            <v>0</v>
          </cell>
          <cell r="L952">
            <v>83</v>
          </cell>
          <cell r="M952">
            <v>0</v>
          </cell>
          <cell r="P952">
            <v>1989</v>
          </cell>
          <cell r="V952" t="str">
            <v>Available</v>
          </cell>
        </row>
        <row r="953">
          <cell r="A953" t="str">
            <v>100300280005</v>
          </cell>
          <cell r="B953" t="str">
            <v>Asarganj</v>
          </cell>
          <cell r="C953" t="str">
            <v>Asarganj</v>
          </cell>
          <cell r="D953" t="str">
            <v>PADARATHPUR</v>
          </cell>
          <cell r="E953">
            <v>10030028</v>
          </cell>
          <cell r="F953" t="str">
            <v>0005</v>
          </cell>
          <cell r="G953">
            <v>14</v>
          </cell>
          <cell r="H953">
            <v>77.2</v>
          </cell>
          <cell r="I953">
            <v>2689.9526697120004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P953">
            <v>2690</v>
          </cell>
          <cell r="V953" t="str">
            <v>Available</v>
          </cell>
        </row>
        <row r="954">
          <cell r="A954" t="str">
            <v>100300280009</v>
          </cell>
          <cell r="B954" t="str">
            <v>Asarganj</v>
          </cell>
          <cell r="C954" t="str">
            <v>Asarganj</v>
          </cell>
          <cell r="D954" t="str">
            <v>PADARATHPUR</v>
          </cell>
          <cell r="E954">
            <v>10030028</v>
          </cell>
          <cell r="F954" t="str">
            <v>0009</v>
          </cell>
          <cell r="G954">
            <v>13</v>
          </cell>
          <cell r="H954">
            <v>31.300000000000004</v>
          </cell>
          <cell r="I954">
            <v>1173.1187160000002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P954">
            <v>1173</v>
          </cell>
          <cell r="V954" t="str">
            <v>Available</v>
          </cell>
        </row>
        <row r="955">
          <cell r="A955" t="str">
            <v>100300280010</v>
          </cell>
          <cell r="B955" t="str">
            <v>Asarganj</v>
          </cell>
          <cell r="C955" t="str">
            <v>Asarganj</v>
          </cell>
          <cell r="D955" t="str">
            <v>PADARATHPUR</v>
          </cell>
          <cell r="E955">
            <v>10030028</v>
          </cell>
          <cell r="F955" t="str">
            <v>0010</v>
          </cell>
          <cell r="G955">
            <v>10</v>
          </cell>
          <cell r="H955">
            <v>26.8</v>
          </cell>
          <cell r="I955">
            <v>924.0954069600001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P955">
            <v>924</v>
          </cell>
          <cell r="V955" t="str">
            <v>Available</v>
          </cell>
        </row>
        <row r="956">
          <cell r="A956" t="str">
            <v>100300280011</v>
          </cell>
          <cell r="B956" t="str">
            <v>Asarganj</v>
          </cell>
          <cell r="C956" t="str">
            <v>Asarganj</v>
          </cell>
          <cell r="D956" t="str">
            <v>PADARATHPUR</v>
          </cell>
          <cell r="E956">
            <v>10030028</v>
          </cell>
          <cell r="F956" t="str">
            <v>0011</v>
          </cell>
          <cell r="G956">
            <v>2</v>
          </cell>
          <cell r="H956">
            <v>4.8</v>
          </cell>
          <cell r="I956">
            <v>220.84158359999998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P956">
            <v>221</v>
          </cell>
          <cell r="V956" t="str">
            <v>Available</v>
          </cell>
        </row>
        <row r="957">
          <cell r="A957" t="str">
            <v>100300280012</v>
          </cell>
          <cell r="B957" t="str">
            <v>Asarganj</v>
          </cell>
          <cell r="C957" t="str">
            <v>Asarganj</v>
          </cell>
          <cell r="D957" t="str">
            <v>PADARATHPUR</v>
          </cell>
          <cell r="E957">
            <v>10030028</v>
          </cell>
          <cell r="F957" t="str">
            <v>0012</v>
          </cell>
          <cell r="G957">
            <v>13</v>
          </cell>
          <cell r="H957">
            <v>39.700000000000003</v>
          </cell>
          <cell r="I957">
            <v>1508.5396893600005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P957">
            <v>1509</v>
          </cell>
          <cell r="V957" t="str">
            <v>Available</v>
          </cell>
        </row>
        <row r="958">
          <cell r="A958" t="str">
            <v>100300280017</v>
          </cell>
          <cell r="B958" t="str">
            <v>Asarganj</v>
          </cell>
          <cell r="C958" t="str">
            <v>Asarganj</v>
          </cell>
          <cell r="D958" t="str">
            <v>PADARATHPUR</v>
          </cell>
          <cell r="E958">
            <v>10030028</v>
          </cell>
          <cell r="F958" t="str">
            <v>0017</v>
          </cell>
          <cell r="G958">
            <v>14</v>
          </cell>
          <cell r="H958">
            <v>61.1</v>
          </cell>
          <cell r="I958">
            <v>1925.5051185479997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P958">
            <v>1926</v>
          </cell>
          <cell r="V958" t="str">
            <v>Available</v>
          </cell>
        </row>
        <row r="959">
          <cell r="A959" t="str">
            <v>100300280018</v>
          </cell>
          <cell r="B959" t="str">
            <v>Asarganj</v>
          </cell>
          <cell r="C959" t="str">
            <v>Asarganj</v>
          </cell>
          <cell r="D959" t="str">
            <v>PADARATHPUR</v>
          </cell>
          <cell r="E959">
            <v>10030028</v>
          </cell>
          <cell r="F959" t="str">
            <v>0018</v>
          </cell>
          <cell r="G959">
            <v>13</v>
          </cell>
          <cell r="H959">
            <v>61.899999999999991</v>
          </cell>
          <cell r="I959">
            <v>3725.8819847979203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P959">
            <v>3726</v>
          </cell>
          <cell r="V959" t="str">
            <v>Available</v>
          </cell>
        </row>
        <row r="960">
          <cell r="A960" t="str">
            <v>100300280024</v>
          </cell>
          <cell r="B960" t="str">
            <v>Asarganj</v>
          </cell>
          <cell r="C960" t="str">
            <v>Asarganj</v>
          </cell>
          <cell r="D960" t="str">
            <v>PADARATHPUR</v>
          </cell>
          <cell r="E960">
            <v>10030028</v>
          </cell>
          <cell r="F960" t="str">
            <v>0024</v>
          </cell>
          <cell r="G960">
            <v>13</v>
          </cell>
          <cell r="H960">
            <v>18.700000000000003</v>
          </cell>
          <cell r="I960">
            <v>844.76041439700009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P960">
            <v>845</v>
          </cell>
          <cell r="V960" t="str">
            <v>Available</v>
          </cell>
        </row>
        <row r="961">
          <cell r="A961" t="str">
            <v>100300280034</v>
          </cell>
          <cell r="B961" t="str">
            <v>Asarganj</v>
          </cell>
          <cell r="C961" t="str">
            <v>Asarganj</v>
          </cell>
          <cell r="D961" t="str">
            <v>PADARATHPUR</v>
          </cell>
          <cell r="E961">
            <v>10030028</v>
          </cell>
          <cell r="F961" t="str">
            <v>0034</v>
          </cell>
          <cell r="G961">
            <v>7</v>
          </cell>
          <cell r="H961">
            <v>12.200000000000001</v>
          </cell>
          <cell r="I961">
            <v>400.65619888800006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P961">
            <v>401</v>
          </cell>
          <cell r="V961" t="str">
            <v>Available</v>
          </cell>
        </row>
        <row r="962">
          <cell r="A962" t="str">
            <v>100300280040</v>
          </cell>
          <cell r="B962" t="str">
            <v>Asarganj</v>
          </cell>
          <cell r="C962" t="str">
            <v>Asarganj</v>
          </cell>
          <cell r="D962" t="str">
            <v>PADARATHPUR</v>
          </cell>
          <cell r="E962">
            <v>10030028</v>
          </cell>
          <cell r="F962" t="str">
            <v>0040</v>
          </cell>
          <cell r="G962">
            <v>7</v>
          </cell>
          <cell r="H962">
            <v>11.1</v>
          </cell>
          <cell r="I962">
            <v>342.65928391199998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P962">
            <v>343</v>
          </cell>
          <cell r="V962" t="str">
            <v>Available</v>
          </cell>
        </row>
        <row r="963">
          <cell r="A963" t="str">
            <v>100300280044</v>
          </cell>
          <cell r="B963" t="str">
            <v>Asarganj</v>
          </cell>
          <cell r="C963" t="str">
            <v>Asarganj</v>
          </cell>
          <cell r="D963" t="str">
            <v>PADARATHPUR</v>
          </cell>
          <cell r="E963">
            <v>10030028</v>
          </cell>
          <cell r="F963" t="str">
            <v>0044</v>
          </cell>
          <cell r="G963">
            <v>13</v>
          </cell>
          <cell r="H963">
            <v>29.6</v>
          </cell>
          <cell r="I963">
            <v>979.80204168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P963">
            <v>980</v>
          </cell>
          <cell r="V963" t="str">
            <v>Available</v>
          </cell>
        </row>
        <row r="964">
          <cell r="A964" t="str">
            <v>100300280048</v>
          </cell>
          <cell r="B964" t="str">
            <v>Asarganj</v>
          </cell>
          <cell r="C964" t="str">
            <v>Asarganj</v>
          </cell>
          <cell r="D964" t="str">
            <v>PADARATHPUR</v>
          </cell>
          <cell r="E964">
            <v>10030028</v>
          </cell>
          <cell r="F964" t="str">
            <v>0048</v>
          </cell>
          <cell r="G964">
            <v>13</v>
          </cell>
          <cell r="H964">
            <v>40.800000000000004</v>
          </cell>
          <cell r="I964">
            <v>1546.544555424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P964">
            <v>1547</v>
          </cell>
          <cell r="V964" t="str">
            <v>Available</v>
          </cell>
        </row>
        <row r="965">
          <cell r="A965" t="str">
            <v>100300280050</v>
          </cell>
          <cell r="B965" t="str">
            <v>Asarganj</v>
          </cell>
          <cell r="C965" t="str">
            <v>Asarganj</v>
          </cell>
          <cell r="D965" t="str">
            <v>PADARATHPUR</v>
          </cell>
          <cell r="E965">
            <v>10030028</v>
          </cell>
          <cell r="F965" t="str">
            <v>0050</v>
          </cell>
          <cell r="G965">
            <v>4</v>
          </cell>
          <cell r="H965">
            <v>8.6999999999999993</v>
          </cell>
          <cell r="I965">
            <v>489.88080340250002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P965">
            <v>490</v>
          </cell>
          <cell r="V965" t="str">
            <v>Available</v>
          </cell>
        </row>
        <row r="966">
          <cell r="A966" t="str">
            <v>100300280052</v>
          </cell>
          <cell r="B966" t="str">
            <v>Asarganj</v>
          </cell>
          <cell r="C966" t="str">
            <v>Asarganj</v>
          </cell>
          <cell r="D966" t="str">
            <v>PADARATHPUR</v>
          </cell>
          <cell r="E966">
            <v>10030028</v>
          </cell>
          <cell r="F966" t="str">
            <v>0052</v>
          </cell>
          <cell r="G966">
            <v>2</v>
          </cell>
          <cell r="H966">
            <v>3.1</v>
          </cell>
          <cell r="I966">
            <v>104.97037260600001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P966">
            <v>105</v>
          </cell>
          <cell r="V966" t="str">
            <v>Available</v>
          </cell>
        </row>
        <row r="967">
          <cell r="A967" t="str">
            <v>100300280055</v>
          </cell>
          <cell r="B967" t="str">
            <v>Asarganj</v>
          </cell>
          <cell r="C967" t="str">
            <v>Asarganj</v>
          </cell>
          <cell r="D967" t="str">
            <v>PADARATHPUR</v>
          </cell>
          <cell r="E967">
            <v>10030028</v>
          </cell>
          <cell r="F967" t="str">
            <v>0055</v>
          </cell>
          <cell r="G967">
            <v>3</v>
          </cell>
          <cell r="H967">
            <v>7.8000000000000007</v>
          </cell>
          <cell r="I967">
            <v>293.20715160000003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P967">
            <v>293</v>
          </cell>
          <cell r="V967" t="str">
            <v>Available</v>
          </cell>
        </row>
        <row r="968">
          <cell r="A968" t="str">
            <v>100300280059</v>
          </cell>
          <cell r="B968" t="str">
            <v>Asarganj</v>
          </cell>
          <cell r="C968" t="str">
            <v>Asarganj</v>
          </cell>
          <cell r="D968" t="str">
            <v>PADARATHPUR</v>
          </cell>
          <cell r="E968">
            <v>10030028</v>
          </cell>
          <cell r="F968" t="str">
            <v>0059</v>
          </cell>
          <cell r="G968">
            <v>7</v>
          </cell>
          <cell r="H968">
            <v>17.8</v>
          </cell>
          <cell r="I968">
            <v>1150.7812327305001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P968">
            <v>1151</v>
          </cell>
          <cell r="V968" t="str">
            <v>Available</v>
          </cell>
        </row>
        <row r="969">
          <cell r="A969" t="str">
            <v>100300280061</v>
          </cell>
          <cell r="B969" t="str">
            <v>Asarganj</v>
          </cell>
          <cell r="C969" t="str">
            <v>Asarganj</v>
          </cell>
          <cell r="D969" t="str">
            <v>PADARATHPUR</v>
          </cell>
          <cell r="E969">
            <v>10030028</v>
          </cell>
          <cell r="F969" t="str">
            <v>0061</v>
          </cell>
          <cell r="G969">
            <v>6</v>
          </cell>
          <cell r="H969">
            <v>14.9</v>
          </cell>
          <cell r="I969">
            <v>505.85315616000014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P969">
            <v>506</v>
          </cell>
          <cell r="V969" t="str">
            <v>Available</v>
          </cell>
        </row>
        <row r="970">
          <cell r="A970" t="str">
            <v>100300280071</v>
          </cell>
          <cell r="B970" t="str">
            <v>Asarganj</v>
          </cell>
          <cell r="C970" t="str">
            <v>Asarganj</v>
          </cell>
          <cell r="D970" t="str">
            <v>PADARATHPUR</v>
          </cell>
          <cell r="E970">
            <v>10030028</v>
          </cell>
          <cell r="F970" t="str">
            <v>0071</v>
          </cell>
          <cell r="G970">
            <v>7</v>
          </cell>
          <cell r="H970">
            <v>21.1</v>
          </cell>
          <cell r="I970">
            <v>1161.8594820592002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P970">
            <v>1162</v>
          </cell>
          <cell r="V970" t="str">
            <v>Available</v>
          </cell>
        </row>
        <row r="971">
          <cell r="A971" t="str">
            <v>100300280073</v>
          </cell>
          <cell r="B971" t="str">
            <v>Asarganj</v>
          </cell>
          <cell r="C971" t="str">
            <v>Asarganj</v>
          </cell>
          <cell r="D971" t="str">
            <v>PADARATHPUR</v>
          </cell>
          <cell r="E971">
            <v>10030028</v>
          </cell>
          <cell r="F971" t="str">
            <v>0073</v>
          </cell>
          <cell r="G971">
            <v>7</v>
          </cell>
          <cell r="H971">
            <v>11.4</v>
          </cell>
          <cell r="I971">
            <v>379.90382938200003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P971">
            <v>380</v>
          </cell>
          <cell r="V971" t="str">
            <v>Available</v>
          </cell>
        </row>
        <row r="972">
          <cell r="A972" t="str">
            <v>100300280081</v>
          </cell>
          <cell r="B972" t="str">
            <v>Asarganj</v>
          </cell>
          <cell r="C972" t="str">
            <v>Asarganj</v>
          </cell>
          <cell r="D972" t="str">
            <v>PADARATHPUR</v>
          </cell>
          <cell r="E972">
            <v>10030028</v>
          </cell>
          <cell r="F972" t="str">
            <v>0081</v>
          </cell>
          <cell r="G972">
            <v>14</v>
          </cell>
          <cell r="H972">
            <v>31.1</v>
          </cell>
          <cell r="I972">
            <v>1043.0722882800001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P972">
            <v>1043</v>
          </cell>
          <cell r="V972" t="str">
            <v>Available</v>
          </cell>
        </row>
        <row r="973">
          <cell r="A973" t="str">
            <v>100300280084</v>
          </cell>
          <cell r="B973" t="str">
            <v>Asarganj</v>
          </cell>
          <cell r="C973" t="str">
            <v>Asarganj</v>
          </cell>
          <cell r="D973" t="str">
            <v>PADARATHPUR</v>
          </cell>
          <cell r="E973">
            <v>10030028</v>
          </cell>
          <cell r="F973" t="str">
            <v>0084</v>
          </cell>
          <cell r="G973">
            <v>12</v>
          </cell>
          <cell r="H973">
            <v>19</v>
          </cell>
          <cell r="I973">
            <v>633.99079656000015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P973">
            <v>634</v>
          </cell>
          <cell r="V973" t="str">
            <v>Available</v>
          </cell>
        </row>
        <row r="974">
          <cell r="A974" t="str">
            <v>100300280088</v>
          </cell>
          <cell r="B974" t="str">
            <v>Asarganj</v>
          </cell>
          <cell r="C974" t="str">
            <v>Asarganj</v>
          </cell>
          <cell r="D974" t="str">
            <v>PADARATHPUR</v>
          </cell>
          <cell r="E974">
            <v>10030028</v>
          </cell>
          <cell r="F974" t="str">
            <v>0088</v>
          </cell>
          <cell r="G974">
            <v>13</v>
          </cell>
          <cell r="H974">
            <v>19.399999999999995</v>
          </cell>
          <cell r="I974">
            <v>625.02987769200001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P974">
            <v>625</v>
          </cell>
          <cell r="V974" t="str">
            <v>Available</v>
          </cell>
        </row>
        <row r="975">
          <cell r="A975" t="str">
            <v>100300280091</v>
          </cell>
          <cell r="B975" t="str">
            <v>Asarganj</v>
          </cell>
          <cell r="C975" t="str">
            <v>Asarganj</v>
          </cell>
          <cell r="D975" t="str">
            <v>PADARATHPUR</v>
          </cell>
          <cell r="E975">
            <v>10030028</v>
          </cell>
          <cell r="F975" t="str">
            <v>0091</v>
          </cell>
          <cell r="G975">
            <v>9</v>
          </cell>
          <cell r="H975">
            <v>27.5</v>
          </cell>
          <cell r="I975">
            <v>880.26754780800002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P975">
            <v>880</v>
          </cell>
          <cell r="V975" t="str">
            <v>Available</v>
          </cell>
        </row>
        <row r="976">
          <cell r="A976" t="str">
            <v>100300280096</v>
          </cell>
          <cell r="B976" t="str">
            <v>Asarganj</v>
          </cell>
          <cell r="C976" t="str">
            <v>Asarganj</v>
          </cell>
          <cell r="D976" t="str">
            <v>PADARATHPUR</v>
          </cell>
          <cell r="E976">
            <v>10030028</v>
          </cell>
          <cell r="F976" t="str">
            <v>0096</v>
          </cell>
          <cell r="G976">
            <v>13</v>
          </cell>
          <cell r="H976">
            <v>40.199999999999996</v>
          </cell>
          <cell r="I976">
            <v>1445.3909593200001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P976">
            <v>1445</v>
          </cell>
          <cell r="V976" t="str">
            <v>Available</v>
          </cell>
        </row>
        <row r="977">
          <cell r="A977" t="str">
            <v>100300280102</v>
          </cell>
          <cell r="B977" t="str">
            <v>Asarganj</v>
          </cell>
          <cell r="C977" t="str">
            <v>Asarganj</v>
          </cell>
          <cell r="D977" t="str">
            <v>PADARATHPUR</v>
          </cell>
          <cell r="E977">
            <v>10030028</v>
          </cell>
          <cell r="F977" t="str">
            <v>0102</v>
          </cell>
          <cell r="G977">
            <v>8</v>
          </cell>
          <cell r="H977">
            <v>17</v>
          </cell>
          <cell r="I977">
            <v>531.45464229000015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P977">
            <v>531</v>
          </cell>
          <cell r="V977" t="str">
            <v>Available</v>
          </cell>
        </row>
        <row r="978">
          <cell r="A978" t="str">
            <v>100300280104</v>
          </cell>
          <cell r="B978" t="str">
            <v>Asarganj</v>
          </cell>
          <cell r="C978" t="str">
            <v>Asarganj</v>
          </cell>
          <cell r="D978" t="str">
            <v>PADARATHPUR</v>
          </cell>
          <cell r="E978">
            <v>10030028</v>
          </cell>
          <cell r="F978" t="str">
            <v>0104</v>
          </cell>
          <cell r="G978">
            <v>11</v>
          </cell>
          <cell r="H978">
            <v>24.8</v>
          </cell>
          <cell r="I978">
            <v>911.42148636000013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P978">
            <v>911</v>
          </cell>
          <cell r="V978" t="str">
            <v>Available</v>
          </cell>
        </row>
        <row r="979">
          <cell r="A979" t="str">
            <v>100300280105</v>
          </cell>
          <cell r="B979" t="str">
            <v>Asarganj</v>
          </cell>
          <cell r="C979" t="str">
            <v>Asarganj</v>
          </cell>
          <cell r="D979" t="str">
            <v>PADARATHPUR</v>
          </cell>
          <cell r="E979">
            <v>10030028</v>
          </cell>
          <cell r="F979" t="str">
            <v>0105</v>
          </cell>
          <cell r="G979">
            <v>8</v>
          </cell>
          <cell r="H979">
            <v>19.100000000000001</v>
          </cell>
          <cell r="I979">
            <v>631.19587370400006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P979">
            <v>631</v>
          </cell>
          <cell r="V979" t="str">
            <v>Available</v>
          </cell>
        </row>
        <row r="980">
          <cell r="A980" t="str">
            <v>100300280113</v>
          </cell>
          <cell r="B980" t="str">
            <v>Asarganj</v>
          </cell>
          <cell r="C980" t="str">
            <v>Asarganj</v>
          </cell>
          <cell r="D980" t="str">
            <v>PADARATHPUR</v>
          </cell>
          <cell r="E980">
            <v>10030028</v>
          </cell>
          <cell r="F980" t="str">
            <v>0113</v>
          </cell>
          <cell r="G980">
            <v>7</v>
          </cell>
          <cell r="H980">
            <v>21.7</v>
          </cell>
          <cell r="I980">
            <v>787.94480160000001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P980">
            <v>788</v>
          </cell>
          <cell r="V980" t="str">
            <v>Available</v>
          </cell>
        </row>
        <row r="981">
          <cell r="A981" t="str">
            <v>100300280122</v>
          </cell>
          <cell r="B981" t="str">
            <v>Asarganj</v>
          </cell>
          <cell r="C981" t="str">
            <v>Asarganj</v>
          </cell>
          <cell r="D981" t="str">
            <v>PADARATHPUR</v>
          </cell>
          <cell r="E981">
            <v>10030028</v>
          </cell>
          <cell r="F981" t="str">
            <v>0122</v>
          </cell>
          <cell r="G981">
            <v>6</v>
          </cell>
          <cell r="H981">
            <v>9.1999999999999993</v>
          </cell>
          <cell r="I981">
            <v>340.78152239999997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P981">
            <v>341</v>
          </cell>
          <cell r="V981" t="str">
            <v>Available</v>
          </cell>
        </row>
        <row r="982">
          <cell r="A982" t="str">
            <v>100300280133</v>
          </cell>
          <cell r="B982" t="str">
            <v>Asarganj</v>
          </cell>
          <cell r="C982" t="str">
            <v>Asarganj</v>
          </cell>
          <cell r="D982" t="str">
            <v>PADARATHPUR</v>
          </cell>
          <cell r="E982">
            <v>10030028</v>
          </cell>
          <cell r="F982" t="str">
            <v>0133</v>
          </cell>
          <cell r="G982">
            <v>12</v>
          </cell>
          <cell r="H982">
            <v>20.499999999999996</v>
          </cell>
          <cell r="I982">
            <v>796.09200209000005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P982">
            <v>796</v>
          </cell>
          <cell r="V982" t="str">
            <v>Available</v>
          </cell>
        </row>
        <row r="983">
          <cell r="A983" t="str">
            <v>100300280135</v>
          </cell>
          <cell r="B983" t="str">
            <v>Asarganj</v>
          </cell>
          <cell r="C983" t="str">
            <v>Asarganj</v>
          </cell>
          <cell r="D983" t="str">
            <v>PADARATHPUR</v>
          </cell>
          <cell r="E983">
            <v>10030028</v>
          </cell>
          <cell r="F983" t="str">
            <v>0135</v>
          </cell>
          <cell r="G983">
            <v>6</v>
          </cell>
          <cell r="H983">
            <v>8.4</v>
          </cell>
          <cell r="I983">
            <v>312.62818177800006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P983">
            <v>313</v>
          </cell>
          <cell r="V983" t="str">
            <v>Available</v>
          </cell>
        </row>
        <row r="984">
          <cell r="A984" t="str">
            <v>100300280138</v>
          </cell>
          <cell r="B984" t="str">
            <v>Asarganj</v>
          </cell>
          <cell r="C984" t="str">
            <v>Asarganj</v>
          </cell>
          <cell r="D984" t="str">
            <v>PADARATHPUR</v>
          </cell>
          <cell r="E984">
            <v>10030028</v>
          </cell>
          <cell r="F984" t="str">
            <v>0138</v>
          </cell>
          <cell r="G984">
            <v>10</v>
          </cell>
          <cell r="H984">
            <v>15.799999999999999</v>
          </cell>
          <cell r="I984">
            <v>926.69249215319996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P984">
            <v>927</v>
          </cell>
          <cell r="V984" t="str">
            <v>Available</v>
          </cell>
        </row>
        <row r="985">
          <cell r="A985" t="str">
            <v>100300280139</v>
          </cell>
          <cell r="B985" t="str">
            <v>Asarganj</v>
          </cell>
          <cell r="C985" t="str">
            <v>Asarganj</v>
          </cell>
          <cell r="D985" t="str">
            <v>PADARATHPUR</v>
          </cell>
          <cell r="E985">
            <v>10030028</v>
          </cell>
          <cell r="F985" t="str">
            <v>0139</v>
          </cell>
          <cell r="G985">
            <v>4</v>
          </cell>
          <cell r="H985">
            <v>5</v>
          </cell>
          <cell r="I985">
            <v>260.55917987800001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P985">
            <v>261</v>
          </cell>
          <cell r="V985" t="str">
            <v>Available</v>
          </cell>
        </row>
        <row r="986">
          <cell r="A986" t="str">
            <v>100300280141</v>
          </cell>
          <cell r="B986" t="str">
            <v>Asarganj</v>
          </cell>
          <cell r="C986" t="str">
            <v>Asarganj</v>
          </cell>
          <cell r="D986" t="str">
            <v>PADARATHPUR</v>
          </cell>
          <cell r="E986">
            <v>10030028</v>
          </cell>
          <cell r="F986" t="str">
            <v>0141</v>
          </cell>
          <cell r="G986">
            <v>6</v>
          </cell>
          <cell r="H986">
            <v>8.9</v>
          </cell>
          <cell r="I986">
            <v>309.04217031600001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P986">
            <v>309</v>
          </cell>
          <cell r="V986" t="str">
            <v>Available</v>
          </cell>
        </row>
        <row r="987">
          <cell r="A987" t="str">
            <v>100300310002</v>
          </cell>
          <cell r="B987" t="str">
            <v>Asarganj</v>
          </cell>
          <cell r="C987" t="str">
            <v>Asarganj</v>
          </cell>
          <cell r="D987" t="str">
            <v>BADARKHA</v>
          </cell>
          <cell r="E987">
            <v>10030031</v>
          </cell>
          <cell r="F987" t="str">
            <v>0002</v>
          </cell>
          <cell r="G987">
            <v>2</v>
          </cell>
          <cell r="H987">
            <v>25.02</v>
          </cell>
          <cell r="I987">
            <v>945.06962664000002</v>
          </cell>
          <cell r="J987">
            <v>0</v>
          </cell>
          <cell r="K987">
            <v>0</v>
          </cell>
          <cell r="L987">
            <v>118</v>
          </cell>
          <cell r="M987">
            <v>0</v>
          </cell>
          <cell r="P987">
            <v>827</v>
          </cell>
          <cell r="V987" t="str">
            <v>Available</v>
          </cell>
        </row>
        <row r="988">
          <cell r="A988" t="str">
            <v>100300310004</v>
          </cell>
          <cell r="B988" t="str">
            <v>Asarganj</v>
          </cell>
          <cell r="C988" t="str">
            <v>Asarganj</v>
          </cell>
          <cell r="D988" t="str">
            <v>BADARKHA</v>
          </cell>
          <cell r="E988">
            <v>10030031</v>
          </cell>
          <cell r="F988" t="str">
            <v>0004</v>
          </cell>
          <cell r="G988">
            <v>13</v>
          </cell>
          <cell r="H988">
            <v>132.32000000000002</v>
          </cell>
          <cell r="I988">
            <v>4851.8661927779995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P988">
            <v>4852</v>
          </cell>
          <cell r="V988" t="str">
            <v>Available</v>
          </cell>
        </row>
        <row r="989">
          <cell r="A989" t="str">
            <v>100300310016</v>
          </cell>
          <cell r="B989" t="str">
            <v>Asarganj</v>
          </cell>
          <cell r="C989" t="str">
            <v>Asarganj</v>
          </cell>
          <cell r="D989" t="str">
            <v>BADARKHA</v>
          </cell>
          <cell r="E989">
            <v>10030031</v>
          </cell>
          <cell r="F989" t="str">
            <v>0016</v>
          </cell>
          <cell r="G989">
            <v>14</v>
          </cell>
          <cell r="H989">
            <v>80.320000000000007</v>
          </cell>
          <cell r="I989">
            <v>2958.7235156622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P989">
            <v>2959</v>
          </cell>
          <cell r="V989" t="str">
            <v>Available</v>
          </cell>
        </row>
        <row r="990">
          <cell r="A990" t="str">
            <v>100300310018</v>
          </cell>
          <cell r="B990" t="str">
            <v>Asarganj</v>
          </cell>
          <cell r="C990" t="str">
            <v>Asarganj</v>
          </cell>
          <cell r="D990" t="str">
            <v>BADARKHA</v>
          </cell>
          <cell r="E990">
            <v>10030031</v>
          </cell>
          <cell r="F990" t="str">
            <v>0018</v>
          </cell>
          <cell r="G990">
            <v>13</v>
          </cell>
          <cell r="H990">
            <v>63.42</v>
          </cell>
          <cell r="I990">
            <v>2205.5513697360002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P990">
            <v>2206</v>
          </cell>
          <cell r="V990" t="str">
            <v>Available</v>
          </cell>
        </row>
        <row r="991">
          <cell r="A991" t="str">
            <v>100300310021</v>
          </cell>
          <cell r="B991" t="str">
            <v>Asarganj</v>
          </cell>
          <cell r="C991" t="str">
            <v>Asarganj</v>
          </cell>
          <cell r="D991" t="str">
            <v>BADARKHA</v>
          </cell>
          <cell r="E991">
            <v>10030031</v>
          </cell>
          <cell r="F991" t="str">
            <v>0021</v>
          </cell>
          <cell r="G991">
            <v>13</v>
          </cell>
          <cell r="H991">
            <v>31.200000000000003</v>
          </cell>
          <cell r="I991">
            <v>1110.6901888632003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P991">
            <v>1111</v>
          </cell>
          <cell r="V991" t="str">
            <v>Available</v>
          </cell>
        </row>
        <row r="992">
          <cell r="A992" t="str">
            <v>100300310023</v>
          </cell>
          <cell r="B992" t="str">
            <v>Asarganj</v>
          </cell>
          <cell r="C992" t="str">
            <v>Asarganj</v>
          </cell>
          <cell r="D992" t="str">
            <v>BADARKHA</v>
          </cell>
          <cell r="E992">
            <v>10030031</v>
          </cell>
          <cell r="F992" t="str">
            <v>0023</v>
          </cell>
          <cell r="G992">
            <v>9</v>
          </cell>
          <cell r="H992">
            <v>14.310000000000002</v>
          </cell>
          <cell r="I992">
            <v>885.37978812911012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P992">
            <v>885</v>
          </cell>
          <cell r="V992" t="str">
            <v>Available</v>
          </cell>
        </row>
        <row r="993">
          <cell r="A993" t="str">
            <v>100300310025</v>
          </cell>
          <cell r="B993" t="str">
            <v>Asarganj</v>
          </cell>
          <cell r="C993" t="str">
            <v>Asarganj</v>
          </cell>
          <cell r="D993" t="str">
            <v>BADARKHA</v>
          </cell>
          <cell r="E993">
            <v>10030031</v>
          </cell>
          <cell r="F993" t="str">
            <v>0025</v>
          </cell>
          <cell r="G993">
            <v>7</v>
          </cell>
          <cell r="H993">
            <v>13.68</v>
          </cell>
          <cell r="I993">
            <v>500.27825283480007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P993">
            <v>500</v>
          </cell>
          <cell r="V993" t="str">
            <v>Available</v>
          </cell>
        </row>
        <row r="994">
          <cell r="A994" t="str">
            <v>100300310026</v>
          </cell>
          <cell r="B994" t="str">
            <v>Asarganj</v>
          </cell>
          <cell r="C994" t="str">
            <v>Asarganj</v>
          </cell>
          <cell r="D994" t="str">
            <v>BADARKHA</v>
          </cell>
          <cell r="E994">
            <v>10030031</v>
          </cell>
          <cell r="F994" t="str">
            <v>0026</v>
          </cell>
          <cell r="G994">
            <v>3</v>
          </cell>
          <cell r="H994">
            <v>3.43</v>
          </cell>
          <cell r="I994">
            <v>121.12529146740002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P994">
            <v>121</v>
          </cell>
          <cell r="V994" t="str">
            <v>Available</v>
          </cell>
        </row>
        <row r="995">
          <cell r="A995" t="str">
            <v>100300310030</v>
          </cell>
          <cell r="B995" t="str">
            <v>Asarganj</v>
          </cell>
          <cell r="C995" t="str">
            <v>Asarganj</v>
          </cell>
          <cell r="D995" t="str">
            <v>BADARKHA</v>
          </cell>
          <cell r="E995">
            <v>10030031</v>
          </cell>
          <cell r="F995" t="str">
            <v>0030</v>
          </cell>
          <cell r="G995">
            <v>13</v>
          </cell>
          <cell r="H995">
            <v>41.38</v>
          </cell>
          <cell r="I995">
            <v>1519.7322591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P995">
            <v>1520</v>
          </cell>
          <cell r="V995" t="str">
            <v>Available</v>
          </cell>
        </row>
        <row r="996">
          <cell r="A996" t="str">
            <v>100300310031</v>
          </cell>
          <cell r="B996" t="str">
            <v>Asarganj</v>
          </cell>
          <cell r="C996" t="str">
            <v>Asarganj</v>
          </cell>
          <cell r="D996" t="str">
            <v>BADARKHA</v>
          </cell>
          <cell r="E996">
            <v>10030031</v>
          </cell>
          <cell r="F996" t="str">
            <v>0031</v>
          </cell>
          <cell r="G996">
            <v>7</v>
          </cell>
          <cell r="H996">
            <v>30.799999999999997</v>
          </cell>
          <cell r="I996">
            <v>1113.2050487580002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P996">
            <v>1113</v>
          </cell>
          <cell r="V996" t="str">
            <v>Available</v>
          </cell>
        </row>
        <row r="997">
          <cell r="A997" t="str">
            <v>100300310034</v>
          </cell>
          <cell r="B997" t="str">
            <v>Asarganj</v>
          </cell>
          <cell r="C997" t="str">
            <v>Asarganj</v>
          </cell>
          <cell r="D997" t="str">
            <v>BADARKHA</v>
          </cell>
          <cell r="E997">
            <v>10030031</v>
          </cell>
          <cell r="F997" t="str">
            <v>0034</v>
          </cell>
          <cell r="G997">
            <v>14</v>
          </cell>
          <cell r="H997">
            <v>85.8</v>
          </cell>
          <cell r="I997">
            <v>2945.1157817400003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P997">
            <v>2945</v>
          </cell>
          <cell r="V997" t="str">
            <v>Available</v>
          </cell>
        </row>
        <row r="998">
          <cell r="A998" t="str">
            <v>100300310039</v>
          </cell>
          <cell r="B998" t="str">
            <v>Asarganj</v>
          </cell>
          <cell r="C998" t="str">
            <v>Asarganj</v>
          </cell>
          <cell r="D998" t="str">
            <v>BADARKHA</v>
          </cell>
          <cell r="E998">
            <v>10030031</v>
          </cell>
          <cell r="F998" t="str">
            <v>0039</v>
          </cell>
          <cell r="G998">
            <v>5</v>
          </cell>
          <cell r="H998">
            <v>6.49</v>
          </cell>
          <cell r="I998">
            <v>240.23054470140002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P998">
            <v>240</v>
          </cell>
          <cell r="V998" t="str">
            <v>Available</v>
          </cell>
        </row>
        <row r="999">
          <cell r="A999" t="str">
            <v>100300310040</v>
          </cell>
          <cell r="B999" t="str">
            <v>Asarganj</v>
          </cell>
          <cell r="C999" t="str">
            <v>Asarganj</v>
          </cell>
          <cell r="D999" t="str">
            <v>BADARKHA</v>
          </cell>
          <cell r="E999">
            <v>10030031</v>
          </cell>
          <cell r="F999" t="str">
            <v>0040</v>
          </cell>
          <cell r="G999">
            <v>13</v>
          </cell>
          <cell r="H999">
            <v>60.93</v>
          </cell>
          <cell r="I999">
            <v>2157.2077990319999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P999">
            <v>2157</v>
          </cell>
          <cell r="V999" t="str">
            <v>Available</v>
          </cell>
        </row>
        <row r="1000">
          <cell r="A1000" t="str">
            <v>100300310041</v>
          </cell>
          <cell r="B1000" t="str">
            <v>Asarganj</v>
          </cell>
          <cell r="C1000" t="str">
            <v>Asarganj</v>
          </cell>
          <cell r="D1000" t="str">
            <v>BADARKHA</v>
          </cell>
          <cell r="E1000">
            <v>10030031</v>
          </cell>
          <cell r="F1000" t="str">
            <v>0041</v>
          </cell>
          <cell r="G1000">
            <v>4</v>
          </cell>
          <cell r="H1000">
            <v>7.8900000000000006</v>
          </cell>
          <cell r="I1000">
            <v>282.59216031419999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P1000">
            <v>283</v>
          </cell>
          <cell r="V1000" t="str">
            <v>Available</v>
          </cell>
        </row>
        <row r="1001">
          <cell r="A1001" t="str">
            <v>100300310042</v>
          </cell>
          <cell r="B1001" t="str">
            <v>Asarganj</v>
          </cell>
          <cell r="C1001" t="str">
            <v>Asarganj</v>
          </cell>
          <cell r="D1001" t="str">
            <v>BADARKHA</v>
          </cell>
          <cell r="E1001">
            <v>10030031</v>
          </cell>
          <cell r="F1001" t="str">
            <v>0042</v>
          </cell>
          <cell r="G1001">
            <v>8</v>
          </cell>
          <cell r="H1001">
            <v>14.959999999999999</v>
          </cell>
          <cell r="I1001">
            <v>524.22873004259998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P1001">
            <v>524</v>
          </cell>
          <cell r="V1001" t="str">
            <v>Available</v>
          </cell>
        </row>
        <row r="1002">
          <cell r="A1002" t="str">
            <v>100300310044</v>
          </cell>
          <cell r="B1002" t="str">
            <v>Asarganj</v>
          </cell>
          <cell r="C1002" t="str">
            <v>Asarganj</v>
          </cell>
          <cell r="D1002" t="str">
            <v>BADARKHA</v>
          </cell>
          <cell r="E1002">
            <v>10030031</v>
          </cell>
          <cell r="F1002" t="str">
            <v>0044</v>
          </cell>
          <cell r="G1002">
            <v>13</v>
          </cell>
          <cell r="H1002">
            <v>64.459999999999994</v>
          </cell>
          <cell r="I1002">
            <v>2420.5775762916005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P1002">
            <v>2421</v>
          </cell>
          <cell r="V1002" t="str">
            <v>Available</v>
          </cell>
        </row>
        <row r="1003">
          <cell r="A1003" t="str">
            <v>100300310045</v>
          </cell>
          <cell r="B1003" t="str">
            <v>Asarganj</v>
          </cell>
          <cell r="C1003" t="str">
            <v>Asarganj</v>
          </cell>
          <cell r="D1003" t="str">
            <v>BADARKHA</v>
          </cell>
          <cell r="E1003">
            <v>10030031</v>
          </cell>
          <cell r="F1003" t="str">
            <v>0045</v>
          </cell>
          <cell r="G1003">
            <v>12</v>
          </cell>
          <cell r="H1003">
            <v>61.84</v>
          </cell>
          <cell r="I1003">
            <v>2208.3750437760004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P1003">
            <v>2208</v>
          </cell>
          <cell r="V1003" t="str">
            <v>Available</v>
          </cell>
        </row>
        <row r="1004">
          <cell r="A1004" t="str">
            <v>100300310046</v>
          </cell>
          <cell r="B1004" t="str">
            <v>Asarganj</v>
          </cell>
          <cell r="C1004" t="str">
            <v>Asarganj</v>
          </cell>
          <cell r="D1004" t="str">
            <v>BADARKHA</v>
          </cell>
          <cell r="E1004">
            <v>10030031</v>
          </cell>
          <cell r="F1004" t="str">
            <v>0046</v>
          </cell>
          <cell r="G1004">
            <v>13</v>
          </cell>
          <cell r="H1004">
            <v>26.29</v>
          </cell>
          <cell r="I1004">
            <v>955.24902437579988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P1004">
            <v>955</v>
          </cell>
          <cell r="V1004" t="str">
            <v>Available</v>
          </cell>
        </row>
        <row r="1005">
          <cell r="A1005" t="str">
            <v>100300310047</v>
          </cell>
          <cell r="B1005" t="str">
            <v>Asarganj</v>
          </cell>
          <cell r="C1005" t="str">
            <v>Asarganj</v>
          </cell>
          <cell r="D1005" t="str">
            <v>BADARKHA</v>
          </cell>
          <cell r="E1005">
            <v>10030031</v>
          </cell>
          <cell r="F1005" t="str">
            <v>0047</v>
          </cell>
          <cell r="G1005">
            <v>6</v>
          </cell>
          <cell r="H1005">
            <v>9.7200000000000006</v>
          </cell>
          <cell r="I1005">
            <v>347.46299279999999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P1005">
            <v>347</v>
          </cell>
          <cell r="V1005" t="str">
            <v>Available</v>
          </cell>
        </row>
        <row r="1006">
          <cell r="A1006" t="str">
            <v>100300310048</v>
          </cell>
          <cell r="B1006" t="str">
            <v>Asarganj</v>
          </cell>
          <cell r="C1006" t="str">
            <v>Asarganj</v>
          </cell>
          <cell r="D1006" t="str">
            <v>BADARKHA</v>
          </cell>
          <cell r="E1006">
            <v>10030031</v>
          </cell>
          <cell r="F1006" t="str">
            <v>0048</v>
          </cell>
          <cell r="G1006">
            <v>11</v>
          </cell>
          <cell r="H1006">
            <v>30.069999999999997</v>
          </cell>
          <cell r="I1006">
            <v>1066.5035063892003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P1006">
            <v>1067</v>
          </cell>
          <cell r="V1006" t="str">
            <v>Available</v>
          </cell>
        </row>
        <row r="1007">
          <cell r="A1007" t="str">
            <v>100300310049</v>
          </cell>
          <cell r="B1007" t="str">
            <v>Asarganj</v>
          </cell>
          <cell r="C1007" t="str">
            <v>Asarganj</v>
          </cell>
          <cell r="D1007" t="str">
            <v>BADARKHA</v>
          </cell>
          <cell r="E1007">
            <v>10030031</v>
          </cell>
          <cell r="F1007" t="str">
            <v>0049</v>
          </cell>
          <cell r="G1007">
            <v>7</v>
          </cell>
          <cell r="H1007">
            <v>15.44</v>
          </cell>
          <cell r="I1007">
            <v>549.83094249600003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P1007">
            <v>550</v>
          </cell>
          <cell r="V1007" t="str">
            <v>Available</v>
          </cell>
        </row>
        <row r="1008">
          <cell r="A1008" t="str">
            <v>100300310050</v>
          </cell>
          <cell r="B1008" t="str">
            <v>Asarganj</v>
          </cell>
          <cell r="C1008" t="str">
            <v>Asarganj</v>
          </cell>
          <cell r="D1008" t="str">
            <v>BADARKHA</v>
          </cell>
          <cell r="E1008">
            <v>10030031</v>
          </cell>
          <cell r="F1008" t="str">
            <v>0050</v>
          </cell>
          <cell r="G1008">
            <v>13</v>
          </cell>
          <cell r="H1008">
            <v>25.610000000000003</v>
          </cell>
          <cell r="I1008">
            <v>942.5795859018001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P1008">
            <v>943</v>
          </cell>
          <cell r="V1008" t="str">
            <v>Available</v>
          </cell>
        </row>
        <row r="1009">
          <cell r="A1009" t="str">
            <v>100300320001</v>
          </cell>
          <cell r="B1009" t="str">
            <v>Asarganj</v>
          </cell>
          <cell r="C1009" t="str">
            <v>Asarganj</v>
          </cell>
          <cell r="D1009" t="str">
            <v xml:space="preserve">MAHDMADPUR                                                                                          </v>
          </cell>
          <cell r="E1009">
            <v>10030032</v>
          </cell>
          <cell r="F1009" t="str">
            <v>0001</v>
          </cell>
          <cell r="G1009">
            <v>2</v>
          </cell>
          <cell r="H1009">
            <v>14.8</v>
          </cell>
          <cell r="I1009">
            <v>1157.9637683880001</v>
          </cell>
          <cell r="J1009">
            <v>0</v>
          </cell>
          <cell r="K1009">
            <v>1157.9637683880001</v>
          </cell>
          <cell r="L1009">
            <v>0</v>
          </cell>
          <cell r="M1009">
            <v>0</v>
          </cell>
          <cell r="P1009">
            <v>0</v>
          </cell>
          <cell r="V1009" t="str">
            <v>Not Available</v>
          </cell>
        </row>
        <row r="1010">
          <cell r="A1010" t="str">
            <v>100300320002</v>
          </cell>
          <cell r="B1010" t="str">
            <v>Asarganj</v>
          </cell>
          <cell r="C1010" t="str">
            <v>Asarganj</v>
          </cell>
          <cell r="D1010" t="str">
            <v xml:space="preserve">MAHDMADPUR                                                                                          </v>
          </cell>
          <cell r="E1010">
            <v>10030032</v>
          </cell>
          <cell r="F1010" t="str">
            <v>0002</v>
          </cell>
          <cell r="G1010">
            <v>11</v>
          </cell>
          <cell r="H1010">
            <v>413.50000000000006</v>
          </cell>
          <cell r="I1010">
            <v>15065.347061556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P1010">
            <v>15065</v>
          </cell>
          <cell r="V1010" t="str">
            <v>Available</v>
          </cell>
        </row>
        <row r="1011">
          <cell r="A1011" t="str">
            <v>100300320003</v>
          </cell>
          <cell r="B1011" t="str">
            <v>Asarganj</v>
          </cell>
          <cell r="C1011" t="str">
            <v>Asarganj</v>
          </cell>
          <cell r="D1011" t="str">
            <v xml:space="preserve">MAHDMADPUR                                                                                          </v>
          </cell>
          <cell r="E1011">
            <v>10030032</v>
          </cell>
          <cell r="F1011" t="str">
            <v>0003</v>
          </cell>
          <cell r="G1011">
            <v>8</v>
          </cell>
          <cell r="H1011">
            <v>264</v>
          </cell>
          <cell r="I1011">
            <v>9783.9136246500002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P1011">
            <v>9784</v>
          </cell>
          <cell r="V1011" t="str">
            <v>Available</v>
          </cell>
        </row>
        <row r="1012">
          <cell r="A1012" t="str">
            <v>100300320005</v>
          </cell>
          <cell r="B1012" t="str">
            <v>Asarganj</v>
          </cell>
          <cell r="C1012" t="str">
            <v>Asarganj</v>
          </cell>
          <cell r="D1012" t="str">
            <v xml:space="preserve">MAHDMADPUR                                                                                          </v>
          </cell>
          <cell r="E1012">
            <v>10030032</v>
          </cell>
          <cell r="F1012" t="str">
            <v>0005</v>
          </cell>
          <cell r="G1012">
            <v>13</v>
          </cell>
          <cell r="H1012">
            <v>34.9</v>
          </cell>
          <cell r="I1012">
            <v>1085.645452518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P1012">
            <v>1086</v>
          </cell>
          <cell r="V1012" t="str">
            <v>Available</v>
          </cell>
        </row>
        <row r="1013">
          <cell r="A1013" t="str">
            <v>100300320010</v>
          </cell>
          <cell r="B1013" t="str">
            <v>Asarganj</v>
          </cell>
          <cell r="C1013" t="str">
            <v>Asarganj</v>
          </cell>
          <cell r="D1013" t="str">
            <v xml:space="preserve">MAHDMADPUR                                                                                          </v>
          </cell>
          <cell r="E1013">
            <v>10030032</v>
          </cell>
          <cell r="F1013" t="str">
            <v>0010</v>
          </cell>
          <cell r="G1013">
            <v>12</v>
          </cell>
          <cell r="H1013">
            <v>19.099999999999998</v>
          </cell>
          <cell r="I1013">
            <v>739.06187047703997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P1013">
            <v>739</v>
          </cell>
          <cell r="V1013" t="str">
            <v>Available</v>
          </cell>
        </row>
        <row r="1014">
          <cell r="A1014" t="str">
            <v>100300320011</v>
          </cell>
          <cell r="B1014" t="str">
            <v>Asarganj</v>
          </cell>
          <cell r="C1014" t="str">
            <v>Asarganj</v>
          </cell>
          <cell r="D1014" t="str">
            <v xml:space="preserve">MAHDMADPUR                                                                                          </v>
          </cell>
          <cell r="E1014">
            <v>10030032</v>
          </cell>
          <cell r="F1014" t="str">
            <v>0011</v>
          </cell>
          <cell r="G1014">
            <v>10</v>
          </cell>
          <cell r="H1014">
            <v>15.5</v>
          </cell>
          <cell r="I1014">
            <v>1237.5108041190001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P1014">
            <v>1238</v>
          </cell>
          <cell r="V1014" t="str">
            <v>Available</v>
          </cell>
        </row>
        <row r="1015">
          <cell r="A1015" t="str">
            <v>100300320017</v>
          </cell>
          <cell r="B1015" t="str">
            <v>Asarganj</v>
          </cell>
          <cell r="C1015" t="str">
            <v>Asarganj</v>
          </cell>
          <cell r="D1015" t="str">
            <v xml:space="preserve">MAHDMADPUR                                                                                          </v>
          </cell>
          <cell r="E1015">
            <v>10030032</v>
          </cell>
          <cell r="F1015" t="str">
            <v>0017</v>
          </cell>
          <cell r="G1015">
            <v>13</v>
          </cell>
          <cell r="H1015">
            <v>16.100000000000001</v>
          </cell>
          <cell r="I1015">
            <v>1167.9289361819999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P1015">
            <v>1168</v>
          </cell>
          <cell r="V1015" t="str">
            <v>Available</v>
          </cell>
        </row>
        <row r="1016">
          <cell r="A1016" t="str">
            <v>100300320033</v>
          </cell>
          <cell r="B1016" t="str">
            <v>Asarganj</v>
          </cell>
          <cell r="C1016" t="str">
            <v>Asarganj</v>
          </cell>
          <cell r="D1016" t="str">
            <v xml:space="preserve">MAHDMADPUR                                                                                          </v>
          </cell>
          <cell r="E1016">
            <v>10030032</v>
          </cell>
          <cell r="F1016" t="str">
            <v>0033</v>
          </cell>
          <cell r="G1016">
            <v>13</v>
          </cell>
          <cell r="H1016">
            <v>105.8</v>
          </cell>
          <cell r="I1016">
            <v>3608.4920897519996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P1016">
            <v>3608</v>
          </cell>
          <cell r="V1016" t="str">
            <v>Available</v>
          </cell>
        </row>
        <row r="1017">
          <cell r="A1017" t="str">
            <v>100300320036</v>
          </cell>
          <cell r="B1017" t="str">
            <v>Asarganj</v>
          </cell>
          <cell r="C1017" t="str">
            <v>Asarganj</v>
          </cell>
          <cell r="D1017" t="str">
            <v xml:space="preserve">MAHDMADPUR                                                                                          </v>
          </cell>
          <cell r="E1017">
            <v>10030032</v>
          </cell>
          <cell r="F1017" t="str">
            <v>0036</v>
          </cell>
          <cell r="G1017">
            <v>13</v>
          </cell>
          <cell r="H1017">
            <v>18.399999999999999</v>
          </cell>
          <cell r="I1017">
            <v>1072.4515518292999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P1017">
            <v>1072</v>
          </cell>
          <cell r="V1017" t="str">
            <v>Available</v>
          </cell>
        </row>
        <row r="1018">
          <cell r="A1018" t="str">
            <v>100300320041</v>
          </cell>
          <cell r="B1018" t="str">
            <v>Asarganj</v>
          </cell>
          <cell r="C1018" t="str">
            <v>Asarganj</v>
          </cell>
          <cell r="D1018" t="str">
            <v xml:space="preserve">MAHDMADPUR                                                                                          </v>
          </cell>
          <cell r="E1018">
            <v>10030032</v>
          </cell>
          <cell r="F1018" t="str">
            <v>0041</v>
          </cell>
          <cell r="G1018">
            <v>7</v>
          </cell>
          <cell r="H1018">
            <v>9</v>
          </cell>
          <cell r="I1018">
            <v>372.01233564000006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P1018">
            <v>372</v>
          </cell>
          <cell r="V1018" t="str">
            <v>Available</v>
          </cell>
        </row>
        <row r="1019">
          <cell r="A1019" t="str">
            <v>100300320047</v>
          </cell>
          <cell r="B1019" t="str">
            <v>Asarganj</v>
          </cell>
          <cell r="C1019" t="str">
            <v>Asarganj</v>
          </cell>
          <cell r="D1019" t="str">
            <v xml:space="preserve">MAHDMADPUR                                                                                          </v>
          </cell>
          <cell r="E1019">
            <v>10030032</v>
          </cell>
          <cell r="F1019" t="str">
            <v>0047</v>
          </cell>
          <cell r="G1019">
            <v>7</v>
          </cell>
          <cell r="H1019">
            <v>11.400000000000002</v>
          </cell>
          <cell r="I1019">
            <v>392.29018488000003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P1019">
            <v>392</v>
          </cell>
          <cell r="V1019" t="str">
            <v>Available</v>
          </cell>
        </row>
        <row r="1020">
          <cell r="A1020" t="str">
            <v>100300320064</v>
          </cell>
          <cell r="B1020" t="str">
            <v>Asarganj</v>
          </cell>
          <cell r="C1020" t="str">
            <v>Asarganj</v>
          </cell>
          <cell r="D1020" t="str">
            <v xml:space="preserve">MAHDMADPUR                                                                                          </v>
          </cell>
          <cell r="E1020">
            <v>10030032</v>
          </cell>
          <cell r="F1020" t="str">
            <v>0064</v>
          </cell>
          <cell r="G1020">
            <v>7</v>
          </cell>
          <cell r="H1020">
            <v>22.4</v>
          </cell>
          <cell r="I1020">
            <v>1340.5827412154001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P1020">
            <v>1341</v>
          </cell>
          <cell r="V1020" t="str">
            <v>Available</v>
          </cell>
        </row>
        <row r="1021">
          <cell r="A1021" t="str">
            <v>100300320081</v>
          </cell>
          <cell r="B1021" t="str">
            <v>Asarganj</v>
          </cell>
          <cell r="C1021" t="str">
            <v>Asarganj</v>
          </cell>
          <cell r="D1021" t="str">
            <v xml:space="preserve">MAHDMADPUR                                                                                          </v>
          </cell>
          <cell r="E1021">
            <v>10030032</v>
          </cell>
          <cell r="F1021" t="str">
            <v>0081</v>
          </cell>
          <cell r="G1021">
            <v>14</v>
          </cell>
          <cell r="H1021">
            <v>34.700000000000003</v>
          </cell>
          <cell r="I1021">
            <v>1319.9197888800002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P1021">
            <v>1320</v>
          </cell>
          <cell r="V1021" t="str">
            <v>Available</v>
          </cell>
        </row>
        <row r="1022">
          <cell r="A1022" t="str">
            <v>100300320086</v>
          </cell>
          <cell r="B1022" t="str">
            <v>Asarganj</v>
          </cell>
          <cell r="C1022" t="str">
            <v>Asarganj</v>
          </cell>
          <cell r="D1022" t="str">
            <v xml:space="preserve">MAHDMADPUR                                                                                          </v>
          </cell>
          <cell r="E1022">
            <v>10030032</v>
          </cell>
          <cell r="F1022" t="str">
            <v>0086</v>
          </cell>
          <cell r="G1022">
            <v>7</v>
          </cell>
          <cell r="H1022">
            <v>10.1</v>
          </cell>
          <cell r="I1022">
            <v>457.12962681158001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P1022">
            <v>457</v>
          </cell>
          <cell r="V1022" t="str">
            <v>Available</v>
          </cell>
        </row>
        <row r="1023">
          <cell r="A1023" t="str">
            <v>100300320100</v>
          </cell>
          <cell r="B1023" t="str">
            <v>Asarganj</v>
          </cell>
          <cell r="C1023" t="str">
            <v>Asarganj</v>
          </cell>
          <cell r="D1023" t="str">
            <v xml:space="preserve">MAHDMADPUR                                                                                          </v>
          </cell>
          <cell r="E1023">
            <v>10030032</v>
          </cell>
          <cell r="F1023" t="str">
            <v>0100</v>
          </cell>
          <cell r="G1023">
            <v>7</v>
          </cell>
          <cell r="H1023">
            <v>239</v>
          </cell>
          <cell r="I1023">
            <v>8766.7472944260007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P1023">
            <v>8767</v>
          </cell>
          <cell r="V1023" t="str">
            <v>Available</v>
          </cell>
        </row>
        <row r="1024">
          <cell r="A1024" t="str">
            <v>100300320112</v>
          </cell>
          <cell r="B1024" t="str">
            <v>Asarganj</v>
          </cell>
          <cell r="C1024" t="str">
            <v>Asarganj</v>
          </cell>
          <cell r="D1024" t="str">
            <v xml:space="preserve">MAHDMADPUR                                                                                          </v>
          </cell>
          <cell r="E1024">
            <v>10030032</v>
          </cell>
          <cell r="F1024" t="str">
            <v>0112</v>
          </cell>
          <cell r="G1024">
            <v>3</v>
          </cell>
          <cell r="H1024">
            <v>6.1999999999999993</v>
          </cell>
          <cell r="I1024">
            <v>230.25420396000004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P1024">
            <v>230</v>
          </cell>
          <cell r="V1024" t="str">
            <v>Available</v>
          </cell>
        </row>
        <row r="1025">
          <cell r="A1025" t="str">
            <v>100300340001</v>
          </cell>
          <cell r="B1025" t="str">
            <v>Asarganj</v>
          </cell>
          <cell r="C1025" t="str">
            <v>Asarganj</v>
          </cell>
          <cell r="D1025" t="str">
            <v xml:space="preserve">MUSKIPUR                                                                                            </v>
          </cell>
          <cell r="E1025">
            <v>10030034</v>
          </cell>
          <cell r="F1025" t="str">
            <v>0001</v>
          </cell>
          <cell r="G1025">
            <v>2</v>
          </cell>
          <cell r="H1025">
            <v>2.06</v>
          </cell>
          <cell r="I1025">
            <v>78.416829216000011</v>
          </cell>
          <cell r="J1025">
            <v>0</v>
          </cell>
          <cell r="K1025">
            <v>78.416829216000011</v>
          </cell>
          <cell r="L1025">
            <v>0</v>
          </cell>
          <cell r="M1025">
            <v>0</v>
          </cell>
          <cell r="P1025">
            <v>0</v>
          </cell>
          <cell r="V1025" t="str">
            <v>Not Available</v>
          </cell>
        </row>
        <row r="1026">
          <cell r="A1026" t="str">
            <v>100300340002</v>
          </cell>
          <cell r="B1026" t="str">
            <v>Asarganj</v>
          </cell>
          <cell r="C1026" t="str">
            <v>Asarganj</v>
          </cell>
          <cell r="D1026" t="str">
            <v xml:space="preserve">MUSKIPUR                                                                                            </v>
          </cell>
          <cell r="E1026">
            <v>10030034</v>
          </cell>
          <cell r="F1026" t="str">
            <v>0002</v>
          </cell>
          <cell r="G1026">
            <v>8</v>
          </cell>
          <cell r="H1026">
            <v>24.790000000000003</v>
          </cell>
          <cell r="I1026">
            <v>1024.2791301428581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P1026">
            <v>1024</v>
          </cell>
          <cell r="V1026" t="str">
            <v>Available</v>
          </cell>
        </row>
        <row r="1027">
          <cell r="A1027" t="str">
            <v>100300340003</v>
          </cell>
          <cell r="B1027" t="str">
            <v>Asarganj</v>
          </cell>
          <cell r="C1027" t="str">
            <v>Asarganj</v>
          </cell>
          <cell r="D1027" t="str">
            <v xml:space="preserve">MUSKIPUR                                                                                            </v>
          </cell>
          <cell r="E1027">
            <v>10030034</v>
          </cell>
          <cell r="F1027" t="str">
            <v>0003</v>
          </cell>
          <cell r="G1027">
            <v>14</v>
          </cell>
          <cell r="H1027">
            <v>184.11</v>
          </cell>
          <cell r="I1027">
            <v>9703.4711725714405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P1027">
            <v>9703</v>
          </cell>
          <cell r="V1027" t="str">
            <v>Available</v>
          </cell>
        </row>
        <row r="1028">
          <cell r="A1028" t="str">
            <v>100300340007</v>
          </cell>
          <cell r="B1028" t="str">
            <v>Asarganj</v>
          </cell>
          <cell r="C1028" t="str">
            <v>Asarganj</v>
          </cell>
          <cell r="D1028" t="str">
            <v xml:space="preserve">MUSKIPUR                                                                                            </v>
          </cell>
          <cell r="E1028">
            <v>10030034</v>
          </cell>
          <cell r="F1028" t="str">
            <v>0007</v>
          </cell>
          <cell r="G1028">
            <v>10</v>
          </cell>
          <cell r="H1028">
            <v>9.6100000000000012</v>
          </cell>
          <cell r="I1028">
            <v>332.06594905439999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P1028">
            <v>332</v>
          </cell>
          <cell r="V1028" t="str">
            <v>Available</v>
          </cell>
        </row>
        <row r="1029">
          <cell r="A1029" t="str">
            <v>100300340008</v>
          </cell>
          <cell r="B1029" t="str">
            <v>Asarganj</v>
          </cell>
          <cell r="C1029" t="str">
            <v>Asarganj</v>
          </cell>
          <cell r="D1029" t="str">
            <v xml:space="preserve">MUSKIPUR                                                                                            </v>
          </cell>
          <cell r="E1029">
            <v>10030034</v>
          </cell>
          <cell r="F1029" t="str">
            <v>0008</v>
          </cell>
          <cell r="G1029">
            <v>13</v>
          </cell>
          <cell r="H1029">
            <v>20.799999999999997</v>
          </cell>
          <cell r="I1029">
            <v>689.4310686714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P1029">
            <v>689</v>
          </cell>
          <cell r="V1029" t="str">
            <v>Available</v>
          </cell>
        </row>
        <row r="1030">
          <cell r="A1030" t="str">
            <v>100300340010</v>
          </cell>
          <cell r="B1030" t="str">
            <v>Asarganj</v>
          </cell>
          <cell r="C1030" t="str">
            <v>Asarganj</v>
          </cell>
          <cell r="D1030" t="str">
            <v xml:space="preserve">MUSKIPUR                                                                                            </v>
          </cell>
          <cell r="E1030">
            <v>10030034</v>
          </cell>
          <cell r="F1030" t="str">
            <v>0010</v>
          </cell>
          <cell r="G1030">
            <v>10</v>
          </cell>
          <cell r="H1030">
            <v>15.55</v>
          </cell>
          <cell r="I1030">
            <v>870.63194643486509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P1030">
            <v>871</v>
          </cell>
          <cell r="V1030" t="str">
            <v>Available</v>
          </cell>
        </row>
        <row r="1031">
          <cell r="A1031" t="str">
            <v>100300340026</v>
          </cell>
          <cell r="B1031" t="str">
            <v>Asarganj</v>
          </cell>
          <cell r="C1031" t="str">
            <v>Asarganj</v>
          </cell>
          <cell r="D1031" t="str">
            <v xml:space="preserve">MUSKIPUR                                                                                            </v>
          </cell>
          <cell r="E1031">
            <v>10030034</v>
          </cell>
          <cell r="F1031" t="str">
            <v>0026</v>
          </cell>
          <cell r="G1031">
            <v>7</v>
          </cell>
          <cell r="H1031">
            <v>11.48</v>
          </cell>
          <cell r="I1031">
            <v>478.02284046000005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P1031">
            <v>478</v>
          </cell>
          <cell r="V1031" t="str">
            <v>Available</v>
          </cell>
        </row>
        <row r="1032">
          <cell r="A1032" t="str">
            <v>100300340028</v>
          </cell>
          <cell r="B1032" t="str">
            <v>Asarganj</v>
          </cell>
          <cell r="C1032" t="str">
            <v>Asarganj</v>
          </cell>
          <cell r="D1032" t="str">
            <v xml:space="preserve">MUSKIPUR                                                                                            </v>
          </cell>
          <cell r="E1032">
            <v>10030034</v>
          </cell>
          <cell r="F1032" t="str">
            <v>0028</v>
          </cell>
          <cell r="G1032">
            <v>14</v>
          </cell>
          <cell r="H1032">
            <v>118.28000000000003</v>
          </cell>
          <cell r="I1032">
            <v>5200.2946128452004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P1032">
            <v>5200</v>
          </cell>
          <cell r="V1032" t="str">
            <v>Available</v>
          </cell>
        </row>
        <row r="1033">
          <cell r="A1033" t="str">
            <v>100300340031</v>
          </cell>
          <cell r="B1033" t="str">
            <v>Asarganj</v>
          </cell>
          <cell r="C1033" t="str">
            <v>Asarganj</v>
          </cell>
          <cell r="D1033" t="str">
            <v xml:space="preserve">MUSKIPUR                                                                                            </v>
          </cell>
          <cell r="E1033">
            <v>10030034</v>
          </cell>
          <cell r="F1033" t="str">
            <v>0031</v>
          </cell>
          <cell r="G1033">
            <v>11</v>
          </cell>
          <cell r="H1033">
            <v>27.96</v>
          </cell>
          <cell r="I1033">
            <v>935.58926072700024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P1033">
            <v>936</v>
          </cell>
          <cell r="V1033" t="str">
            <v>Available</v>
          </cell>
        </row>
        <row r="1034">
          <cell r="A1034" t="str">
            <v>100300340032</v>
          </cell>
          <cell r="B1034" t="str">
            <v>Asarganj</v>
          </cell>
          <cell r="C1034" t="str">
            <v>Asarganj</v>
          </cell>
          <cell r="D1034" t="str">
            <v xml:space="preserve">MUSKIPUR                                                                                            </v>
          </cell>
          <cell r="E1034">
            <v>10030034</v>
          </cell>
          <cell r="F1034" t="str">
            <v>0032</v>
          </cell>
          <cell r="G1034">
            <v>5</v>
          </cell>
          <cell r="H1034">
            <v>6.21</v>
          </cell>
          <cell r="I1034">
            <v>199.13274617940004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P1034">
            <v>199</v>
          </cell>
          <cell r="V1034" t="str">
            <v>Available</v>
          </cell>
        </row>
        <row r="1035">
          <cell r="A1035" t="str">
            <v>100300340034</v>
          </cell>
          <cell r="B1035" t="str">
            <v>Asarganj</v>
          </cell>
          <cell r="C1035" t="str">
            <v>Asarganj</v>
          </cell>
          <cell r="D1035" t="str">
            <v xml:space="preserve">MUSKIPUR                                                                                            </v>
          </cell>
          <cell r="E1035">
            <v>10030034</v>
          </cell>
          <cell r="F1035" t="str">
            <v>0034</v>
          </cell>
          <cell r="G1035">
            <v>13</v>
          </cell>
          <cell r="H1035">
            <v>32.42</v>
          </cell>
          <cell r="I1035">
            <v>1286.9582891417997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P1035">
            <v>1287</v>
          </cell>
          <cell r="V1035" t="str">
            <v>Available</v>
          </cell>
        </row>
        <row r="1036">
          <cell r="A1036" t="str">
            <v>100300340036</v>
          </cell>
          <cell r="B1036" t="str">
            <v>Asarganj</v>
          </cell>
          <cell r="C1036" t="str">
            <v>Asarganj</v>
          </cell>
          <cell r="D1036" t="str">
            <v xml:space="preserve">MUSKIPUR                                                                                            </v>
          </cell>
          <cell r="E1036">
            <v>10030034</v>
          </cell>
          <cell r="F1036" t="str">
            <v>0036</v>
          </cell>
          <cell r="G1036">
            <v>7</v>
          </cell>
          <cell r="H1036">
            <v>9.0299999999999994</v>
          </cell>
          <cell r="I1036">
            <v>321.89588891459999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P1036">
            <v>322</v>
          </cell>
          <cell r="V1036" t="str">
            <v>Available</v>
          </cell>
        </row>
        <row r="1037">
          <cell r="A1037" t="str">
            <v>100300340037</v>
          </cell>
          <cell r="B1037" t="str">
            <v>Asarganj</v>
          </cell>
          <cell r="C1037" t="str">
            <v>Asarganj</v>
          </cell>
          <cell r="D1037" t="str">
            <v xml:space="preserve">MUSKIPUR                                                                                            </v>
          </cell>
          <cell r="E1037">
            <v>10030034</v>
          </cell>
          <cell r="F1037" t="str">
            <v>0037</v>
          </cell>
          <cell r="G1037">
            <v>1</v>
          </cell>
          <cell r="H1037">
            <v>2.85</v>
          </cell>
          <cell r="I1037">
            <v>92.999427642000029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P1037">
            <v>93</v>
          </cell>
          <cell r="V1037" t="str">
            <v>Available</v>
          </cell>
        </row>
        <row r="1038">
          <cell r="A1038" t="str">
            <v>100300340040</v>
          </cell>
          <cell r="B1038" t="str">
            <v>Asarganj</v>
          </cell>
          <cell r="C1038" t="str">
            <v>Asarganj</v>
          </cell>
          <cell r="D1038" t="str">
            <v xml:space="preserve">MUSKIPUR                                                                                            </v>
          </cell>
          <cell r="E1038">
            <v>10030034</v>
          </cell>
          <cell r="F1038" t="str">
            <v>0040</v>
          </cell>
          <cell r="G1038">
            <v>6</v>
          </cell>
          <cell r="H1038">
            <v>8.7899999999999991</v>
          </cell>
          <cell r="I1038">
            <v>399.32853109246003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P1038">
            <v>399</v>
          </cell>
          <cell r="V1038" t="str">
            <v>Available</v>
          </cell>
        </row>
        <row r="1039">
          <cell r="A1039" t="str">
            <v>100300340043</v>
          </cell>
          <cell r="B1039" t="str">
            <v>Asarganj</v>
          </cell>
          <cell r="C1039" t="str">
            <v>Asarganj</v>
          </cell>
          <cell r="D1039" t="str">
            <v xml:space="preserve">MUSKIPUR                                                                                            </v>
          </cell>
          <cell r="E1039">
            <v>10030034</v>
          </cell>
          <cell r="F1039" t="str">
            <v>0043</v>
          </cell>
          <cell r="G1039">
            <v>14</v>
          </cell>
          <cell r="H1039">
            <v>32.82</v>
          </cell>
          <cell r="I1039">
            <v>1132.7454921816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P1039">
            <v>1133</v>
          </cell>
          <cell r="V1039" t="str">
            <v>Available</v>
          </cell>
        </row>
        <row r="1040">
          <cell r="A1040" t="str">
            <v>100300340046</v>
          </cell>
          <cell r="B1040" t="str">
            <v>Asarganj</v>
          </cell>
          <cell r="C1040" t="str">
            <v>Asarganj</v>
          </cell>
          <cell r="D1040" t="str">
            <v xml:space="preserve">MUSKIPUR                                                                                            </v>
          </cell>
          <cell r="E1040">
            <v>10030034</v>
          </cell>
          <cell r="F1040" t="str">
            <v>0046</v>
          </cell>
          <cell r="G1040">
            <v>11</v>
          </cell>
          <cell r="H1040">
            <v>17.61</v>
          </cell>
          <cell r="I1040">
            <v>662.38927836840003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P1040">
            <v>662</v>
          </cell>
          <cell r="V1040" t="str">
            <v>Available</v>
          </cell>
        </row>
        <row r="1041">
          <cell r="A1041" t="str">
            <v>100300340053</v>
          </cell>
          <cell r="B1041" t="str">
            <v>Asarganj</v>
          </cell>
          <cell r="C1041" t="str">
            <v>Asarganj</v>
          </cell>
          <cell r="D1041" t="str">
            <v xml:space="preserve">MUSKIPUR                                                                                            </v>
          </cell>
          <cell r="E1041">
            <v>10030034</v>
          </cell>
          <cell r="F1041" t="str">
            <v>0053</v>
          </cell>
          <cell r="G1041">
            <v>6</v>
          </cell>
          <cell r="H1041">
            <v>14.77</v>
          </cell>
          <cell r="I1041">
            <v>668.20475664644005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P1041">
            <v>668</v>
          </cell>
          <cell r="V1041" t="str">
            <v>Available</v>
          </cell>
        </row>
        <row r="1042">
          <cell r="A1042" t="str">
            <v>100300340054</v>
          </cell>
          <cell r="B1042" t="str">
            <v>Asarganj</v>
          </cell>
          <cell r="C1042" t="str">
            <v>Asarganj</v>
          </cell>
          <cell r="D1042" t="str">
            <v xml:space="preserve">MUSKIPUR                                                                                            </v>
          </cell>
          <cell r="E1042">
            <v>10030034</v>
          </cell>
          <cell r="F1042" t="str">
            <v>0054</v>
          </cell>
          <cell r="G1042">
            <v>11</v>
          </cell>
          <cell r="H1042">
            <v>83.759999999999991</v>
          </cell>
          <cell r="I1042">
            <v>2771.9339671980006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P1042">
            <v>2772</v>
          </cell>
          <cell r="V1042" t="str">
            <v>Available</v>
          </cell>
        </row>
        <row r="1043">
          <cell r="A1043" t="str">
            <v>100300340063</v>
          </cell>
          <cell r="B1043" t="str">
            <v>Asarganj</v>
          </cell>
          <cell r="C1043" t="str">
            <v>Asarganj</v>
          </cell>
          <cell r="D1043" t="str">
            <v xml:space="preserve">MUSKIPUR                                                                                            </v>
          </cell>
          <cell r="E1043">
            <v>10030034</v>
          </cell>
          <cell r="F1043" t="str">
            <v>0063</v>
          </cell>
          <cell r="G1043">
            <v>5</v>
          </cell>
          <cell r="H1043">
            <v>10.399999999999999</v>
          </cell>
          <cell r="I1043">
            <v>395.61314805540002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P1043">
            <v>396</v>
          </cell>
          <cell r="V1043" t="str">
            <v>Available</v>
          </cell>
        </row>
        <row r="1044">
          <cell r="A1044" t="str">
            <v>100300340066</v>
          </cell>
          <cell r="B1044" t="str">
            <v>Asarganj</v>
          </cell>
          <cell r="C1044" t="str">
            <v>Asarganj</v>
          </cell>
          <cell r="D1044" t="str">
            <v xml:space="preserve">MUSKIPUR                                                                                            </v>
          </cell>
          <cell r="E1044">
            <v>10030034</v>
          </cell>
          <cell r="F1044" t="str">
            <v>0066</v>
          </cell>
          <cell r="G1044">
            <v>5</v>
          </cell>
          <cell r="H1044">
            <v>11.21</v>
          </cell>
          <cell r="I1044">
            <v>613.97435524360003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P1044">
            <v>614</v>
          </cell>
          <cell r="V1044" t="str">
            <v>Available</v>
          </cell>
        </row>
        <row r="1045">
          <cell r="A1045" t="str">
            <v>100300340067</v>
          </cell>
          <cell r="B1045" t="str">
            <v>Asarganj</v>
          </cell>
          <cell r="C1045" t="str">
            <v>Asarganj</v>
          </cell>
          <cell r="D1045" t="str">
            <v xml:space="preserve">MUSKIPUR                                                                                            </v>
          </cell>
          <cell r="E1045">
            <v>10030034</v>
          </cell>
          <cell r="F1045" t="str">
            <v>0067</v>
          </cell>
          <cell r="G1045">
            <v>7</v>
          </cell>
          <cell r="H1045">
            <v>19.88</v>
          </cell>
          <cell r="I1045">
            <v>1104.6758399281903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P1045">
            <v>1105</v>
          </cell>
          <cell r="V1045" t="str">
            <v>Available</v>
          </cell>
        </row>
        <row r="1046">
          <cell r="A1046" t="str">
            <v>100300340068</v>
          </cell>
          <cell r="B1046" t="str">
            <v>Asarganj</v>
          </cell>
          <cell r="C1046" t="str">
            <v>Asarganj</v>
          </cell>
          <cell r="D1046" t="str">
            <v xml:space="preserve">MUSKIPUR                                                                                            </v>
          </cell>
          <cell r="E1046">
            <v>10030034</v>
          </cell>
          <cell r="F1046" t="str">
            <v>0068</v>
          </cell>
          <cell r="G1046">
            <v>14</v>
          </cell>
          <cell r="H1046">
            <v>47.89</v>
          </cell>
          <cell r="I1046">
            <v>1484.8527772584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P1046">
            <v>1485</v>
          </cell>
          <cell r="V1046" t="str">
            <v>Available</v>
          </cell>
        </row>
        <row r="1047">
          <cell r="A1047" t="str">
            <v>100300340073</v>
          </cell>
          <cell r="B1047" t="str">
            <v>Asarganj</v>
          </cell>
          <cell r="C1047" t="str">
            <v>Asarganj</v>
          </cell>
          <cell r="D1047" t="str">
            <v xml:space="preserve">MUSKIPUR                                                                                            </v>
          </cell>
          <cell r="E1047">
            <v>10030034</v>
          </cell>
          <cell r="F1047" t="str">
            <v>0073</v>
          </cell>
          <cell r="G1047">
            <v>6</v>
          </cell>
          <cell r="H1047">
            <v>20.94</v>
          </cell>
          <cell r="I1047">
            <v>789.18813468000019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P1047">
            <v>789</v>
          </cell>
          <cell r="V1047" t="str">
            <v>Available</v>
          </cell>
        </row>
        <row r="1048">
          <cell r="A1048" t="str">
            <v>100300340076</v>
          </cell>
          <cell r="B1048" t="str">
            <v>Asarganj</v>
          </cell>
          <cell r="C1048" t="str">
            <v>Asarganj</v>
          </cell>
          <cell r="D1048" t="str">
            <v xml:space="preserve">MUSKIPUR                                                                                            </v>
          </cell>
          <cell r="E1048">
            <v>10030034</v>
          </cell>
          <cell r="F1048" t="str">
            <v>0076</v>
          </cell>
          <cell r="G1048">
            <v>14</v>
          </cell>
          <cell r="H1048">
            <v>81.780000000000015</v>
          </cell>
          <cell r="I1048">
            <v>3901.6010644535609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P1048">
            <v>3902</v>
          </cell>
          <cell r="V1048" t="str">
            <v>Available</v>
          </cell>
        </row>
        <row r="1049">
          <cell r="A1049" t="str">
            <v>100300340079</v>
          </cell>
          <cell r="B1049" t="str">
            <v>Asarganj</v>
          </cell>
          <cell r="C1049" t="str">
            <v>Asarganj</v>
          </cell>
          <cell r="D1049" t="str">
            <v xml:space="preserve">MUSKIPUR                                                                                            </v>
          </cell>
          <cell r="E1049">
            <v>10030034</v>
          </cell>
          <cell r="F1049" t="str">
            <v>0079</v>
          </cell>
          <cell r="G1049">
            <v>4</v>
          </cell>
          <cell r="H1049">
            <v>6.09</v>
          </cell>
          <cell r="I1049">
            <v>223.13140225200004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P1049">
            <v>223</v>
          </cell>
          <cell r="V1049" t="str">
            <v>Available</v>
          </cell>
        </row>
        <row r="1050">
          <cell r="A1050" t="str">
            <v>100300340089</v>
          </cell>
          <cell r="B1050" t="str">
            <v>Asarganj</v>
          </cell>
          <cell r="C1050" t="str">
            <v>Asarganj</v>
          </cell>
          <cell r="D1050" t="str">
            <v xml:space="preserve">MUSKIPUR                                                                                            </v>
          </cell>
          <cell r="E1050">
            <v>10030034</v>
          </cell>
          <cell r="F1050" t="str">
            <v>0089</v>
          </cell>
          <cell r="G1050">
            <v>14</v>
          </cell>
          <cell r="H1050">
            <v>196.19</v>
          </cell>
          <cell r="I1050">
            <v>6924.2543853714005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P1050">
            <v>6924</v>
          </cell>
          <cell r="V1050" t="str">
            <v>Available</v>
          </cell>
        </row>
        <row r="1051">
          <cell r="A1051" t="str">
            <v>100300340090</v>
          </cell>
          <cell r="B1051" t="str">
            <v>Asarganj</v>
          </cell>
          <cell r="C1051" t="str">
            <v>Asarganj</v>
          </cell>
          <cell r="D1051" t="str">
            <v xml:space="preserve">MUSKIPUR                                                                                            </v>
          </cell>
          <cell r="E1051">
            <v>10030034</v>
          </cell>
          <cell r="F1051" t="str">
            <v>0090</v>
          </cell>
          <cell r="G1051">
            <v>5</v>
          </cell>
          <cell r="H1051">
            <v>9</v>
          </cell>
          <cell r="I1051">
            <v>365.20191679751997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P1051">
            <v>365</v>
          </cell>
          <cell r="V1051" t="str">
            <v>Available</v>
          </cell>
        </row>
        <row r="1052">
          <cell r="A1052" t="str">
            <v>100300340095</v>
          </cell>
          <cell r="B1052" t="str">
            <v>Asarganj</v>
          </cell>
          <cell r="C1052" t="str">
            <v>Asarganj</v>
          </cell>
          <cell r="D1052" t="str">
            <v xml:space="preserve">MUSKIPUR                                                                                            </v>
          </cell>
          <cell r="E1052">
            <v>10030034</v>
          </cell>
          <cell r="F1052" t="str">
            <v>0095</v>
          </cell>
          <cell r="G1052">
            <v>7</v>
          </cell>
          <cell r="H1052">
            <v>13.219999999999999</v>
          </cell>
          <cell r="I1052">
            <v>471.64298934060008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P1052">
            <v>472</v>
          </cell>
          <cell r="V1052" t="str">
            <v>Available</v>
          </cell>
        </row>
        <row r="1053">
          <cell r="A1053" t="str">
            <v>100300340096</v>
          </cell>
          <cell r="B1053" t="str">
            <v>Asarganj</v>
          </cell>
          <cell r="C1053" t="str">
            <v>Asarganj</v>
          </cell>
          <cell r="D1053" t="str">
            <v xml:space="preserve">MUSKIPUR                                                                                            </v>
          </cell>
          <cell r="E1053">
            <v>10030034</v>
          </cell>
          <cell r="F1053" t="str">
            <v>0096</v>
          </cell>
          <cell r="G1053">
            <v>9</v>
          </cell>
          <cell r="H1053">
            <v>13.989999999999998</v>
          </cell>
          <cell r="I1053">
            <v>446.01330438720004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P1053">
            <v>446</v>
          </cell>
          <cell r="V1053" t="str">
            <v>Available</v>
          </cell>
        </row>
        <row r="1054">
          <cell r="A1054" t="str">
            <v>100300340097</v>
          </cell>
          <cell r="B1054" t="str">
            <v>Asarganj</v>
          </cell>
          <cell r="C1054" t="str">
            <v>Asarganj</v>
          </cell>
          <cell r="D1054" t="str">
            <v xml:space="preserve">MUSKIPUR                                                                                            </v>
          </cell>
          <cell r="E1054">
            <v>10030034</v>
          </cell>
          <cell r="F1054" t="str">
            <v>0097</v>
          </cell>
          <cell r="G1054">
            <v>13</v>
          </cell>
          <cell r="H1054">
            <v>27.990000000000002</v>
          </cell>
          <cell r="I1054">
            <v>1055.430586789166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P1054">
            <v>1055</v>
          </cell>
          <cell r="V1054" t="str">
            <v>Available</v>
          </cell>
        </row>
        <row r="1055">
          <cell r="A1055" t="str">
            <v>100300340102</v>
          </cell>
          <cell r="B1055" t="str">
            <v>Asarganj</v>
          </cell>
          <cell r="C1055" t="str">
            <v>Asarganj</v>
          </cell>
          <cell r="D1055" t="str">
            <v xml:space="preserve">MUSKIPUR                                                                                            </v>
          </cell>
          <cell r="E1055">
            <v>10030034</v>
          </cell>
          <cell r="F1055" t="str">
            <v>0102</v>
          </cell>
          <cell r="G1055">
            <v>6</v>
          </cell>
          <cell r="H1055">
            <v>19.23</v>
          </cell>
          <cell r="I1055">
            <v>618.04345038480005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P1055">
            <v>618</v>
          </cell>
          <cell r="V1055" t="str">
            <v>Available</v>
          </cell>
        </row>
        <row r="1056">
          <cell r="A1056" t="str">
            <v>100300340104</v>
          </cell>
          <cell r="B1056" t="str">
            <v>Asarganj</v>
          </cell>
          <cell r="C1056" t="str">
            <v>Asarganj</v>
          </cell>
          <cell r="D1056" t="str">
            <v xml:space="preserve">MUSKIPUR                                                                                            </v>
          </cell>
          <cell r="E1056">
            <v>10030034</v>
          </cell>
          <cell r="F1056" t="str">
            <v>0104</v>
          </cell>
          <cell r="G1056">
            <v>7</v>
          </cell>
          <cell r="H1056">
            <v>10.85</v>
          </cell>
          <cell r="I1056">
            <v>388.09969640640008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P1056">
            <v>388</v>
          </cell>
          <cell r="V1056" t="str">
            <v>Available</v>
          </cell>
        </row>
        <row r="1057">
          <cell r="A1057" t="str">
            <v>100300340105</v>
          </cell>
          <cell r="B1057" t="str">
            <v>Asarganj</v>
          </cell>
          <cell r="C1057" t="str">
            <v>Asarganj</v>
          </cell>
          <cell r="D1057" t="str">
            <v xml:space="preserve">MUSKIPUR                                                                                            </v>
          </cell>
          <cell r="E1057">
            <v>10030034</v>
          </cell>
          <cell r="F1057" t="str">
            <v>0105</v>
          </cell>
          <cell r="G1057">
            <v>14</v>
          </cell>
          <cell r="H1057">
            <v>29.44</v>
          </cell>
          <cell r="I1057">
            <v>1083.2923775520003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P1057">
            <v>1083</v>
          </cell>
          <cell r="V1057" t="str">
            <v>Available</v>
          </cell>
        </row>
        <row r="1058">
          <cell r="A1058" t="str">
            <v>100300340107</v>
          </cell>
          <cell r="B1058" t="str">
            <v>Asarganj</v>
          </cell>
          <cell r="C1058" t="str">
            <v>Asarganj</v>
          </cell>
          <cell r="D1058" t="str">
            <v xml:space="preserve">MUSKIPUR                                                                                            </v>
          </cell>
          <cell r="E1058">
            <v>10030034</v>
          </cell>
          <cell r="F1058" t="str">
            <v>0107</v>
          </cell>
          <cell r="G1058">
            <v>12</v>
          </cell>
          <cell r="H1058">
            <v>55.939999999999991</v>
          </cell>
          <cell r="I1058">
            <v>1998.1850446800001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P1058">
            <v>1998</v>
          </cell>
          <cell r="V1058" t="str">
            <v>Available</v>
          </cell>
        </row>
        <row r="1059">
          <cell r="A1059" t="str">
            <v>100300340110</v>
          </cell>
          <cell r="B1059" t="str">
            <v>Asarganj</v>
          </cell>
          <cell r="C1059" t="str">
            <v>Asarganj</v>
          </cell>
          <cell r="D1059" t="str">
            <v xml:space="preserve">MUSKIPUR                                                                                            </v>
          </cell>
          <cell r="E1059">
            <v>10030034</v>
          </cell>
          <cell r="F1059" t="str">
            <v>0110</v>
          </cell>
          <cell r="G1059">
            <v>10</v>
          </cell>
          <cell r="H1059">
            <v>25.11</v>
          </cell>
          <cell r="I1059">
            <v>804.08046571379998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P1059">
            <v>804</v>
          </cell>
          <cell r="V1059" t="str">
            <v>Available</v>
          </cell>
        </row>
        <row r="1060">
          <cell r="A1060" t="str">
            <v>100300340112</v>
          </cell>
          <cell r="B1060" t="str">
            <v>Asarganj</v>
          </cell>
          <cell r="C1060" t="str">
            <v>Asarganj</v>
          </cell>
          <cell r="D1060" t="str">
            <v xml:space="preserve">MUSKIPUR                                                                                            </v>
          </cell>
          <cell r="E1060">
            <v>10030034</v>
          </cell>
          <cell r="F1060" t="str">
            <v>0112</v>
          </cell>
          <cell r="G1060">
            <v>3</v>
          </cell>
          <cell r="H1060">
            <v>3.51</v>
          </cell>
          <cell r="I1060">
            <v>158.09748648409803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P1060">
            <v>158</v>
          </cell>
          <cell r="V1060" t="str">
            <v>Available</v>
          </cell>
        </row>
        <row r="1061">
          <cell r="A1061" t="str">
            <v>100300340113</v>
          </cell>
          <cell r="B1061" t="str">
            <v>Asarganj</v>
          </cell>
          <cell r="C1061" t="str">
            <v>Asarganj</v>
          </cell>
          <cell r="D1061" t="str">
            <v xml:space="preserve">MUSKIPUR                                                                                            </v>
          </cell>
          <cell r="E1061">
            <v>10030034</v>
          </cell>
          <cell r="F1061" t="str">
            <v>0113</v>
          </cell>
          <cell r="G1061">
            <v>8</v>
          </cell>
          <cell r="H1061">
            <v>41.99</v>
          </cell>
          <cell r="I1061">
            <v>1387.6020313848001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P1061">
            <v>1388</v>
          </cell>
          <cell r="V1061" t="str">
            <v>Available</v>
          </cell>
        </row>
        <row r="1062">
          <cell r="A1062" t="str">
            <v>100300350001</v>
          </cell>
          <cell r="B1062" t="str">
            <v>Asarganj</v>
          </cell>
          <cell r="C1062" t="str">
            <v>Asarganj</v>
          </cell>
          <cell r="D1062" t="str">
            <v xml:space="preserve">NAYAGAUN                                                                                            </v>
          </cell>
          <cell r="E1062">
            <v>10030035</v>
          </cell>
          <cell r="F1062" t="str">
            <v>0001</v>
          </cell>
          <cell r="G1062">
            <v>14</v>
          </cell>
          <cell r="H1062">
            <v>2.3899999999999997</v>
          </cell>
          <cell r="I1062">
            <v>95.983782048000009</v>
          </cell>
          <cell r="J1062">
            <v>0</v>
          </cell>
          <cell r="K1062">
            <v>95.983782048000009</v>
          </cell>
          <cell r="L1062">
            <v>0</v>
          </cell>
          <cell r="M1062">
            <v>0</v>
          </cell>
          <cell r="P1062">
            <v>0</v>
          </cell>
          <cell r="V1062" t="str">
            <v>Not Available</v>
          </cell>
        </row>
        <row r="1063">
          <cell r="A1063" t="str">
            <v>100300350002</v>
          </cell>
          <cell r="B1063" t="str">
            <v>Asarganj</v>
          </cell>
          <cell r="C1063" t="str">
            <v>Asarganj</v>
          </cell>
          <cell r="D1063" t="str">
            <v xml:space="preserve">NAYAGAUN                                                                                            </v>
          </cell>
          <cell r="E1063">
            <v>10030035</v>
          </cell>
          <cell r="F1063" t="str">
            <v>0002</v>
          </cell>
          <cell r="G1063">
            <v>14</v>
          </cell>
          <cell r="H1063">
            <v>251.07</v>
          </cell>
          <cell r="I1063">
            <v>10103.825753825218</v>
          </cell>
          <cell r="J1063">
            <v>0</v>
          </cell>
          <cell r="K1063">
            <v>0</v>
          </cell>
          <cell r="L1063">
            <v>31</v>
          </cell>
          <cell r="M1063">
            <v>0</v>
          </cell>
          <cell r="P1063">
            <v>10073</v>
          </cell>
          <cell r="V1063" t="str">
            <v>Available</v>
          </cell>
        </row>
        <row r="1064">
          <cell r="A1064" t="str">
            <v>100300350004</v>
          </cell>
          <cell r="B1064" t="str">
            <v>Asarganj</v>
          </cell>
          <cell r="C1064" t="str">
            <v>Asarganj</v>
          </cell>
          <cell r="D1064" t="str">
            <v xml:space="preserve">NAYAGAUN                                                                                            </v>
          </cell>
          <cell r="E1064">
            <v>10030035</v>
          </cell>
          <cell r="F1064" t="str">
            <v>0004</v>
          </cell>
          <cell r="G1064">
            <v>14</v>
          </cell>
          <cell r="H1064">
            <v>296.14000000000004</v>
          </cell>
          <cell r="I1064">
            <v>11799.556025400005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P1064">
            <v>11800</v>
          </cell>
          <cell r="V1064" t="str">
            <v>Available</v>
          </cell>
        </row>
        <row r="1065">
          <cell r="A1065" t="str">
            <v>100300350013</v>
          </cell>
          <cell r="B1065" t="str">
            <v>Asarganj</v>
          </cell>
          <cell r="C1065" t="str">
            <v>Asarganj</v>
          </cell>
          <cell r="D1065" t="str">
            <v xml:space="preserve">NAYAGAUN                                                                                            </v>
          </cell>
          <cell r="E1065">
            <v>10030035</v>
          </cell>
          <cell r="F1065" t="str">
            <v>0013</v>
          </cell>
          <cell r="G1065">
            <v>3</v>
          </cell>
          <cell r="H1065">
            <v>7.4799999999999995</v>
          </cell>
          <cell r="I1065">
            <v>303.50952456920004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P1065">
            <v>304</v>
          </cell>
          <cell r="V1065" t="str">
            <v>Available</v>
          </cell>
        </row>
        <row r="1066">
          <cell r="A1066" t="str">
            <v>100300350020</v>
          </cell>
          <cell r="B1066" t="str">
            <v>Asarganj</v>
          </cell>
          <cell r="C1066" t="str">
            <v>Asarganj</v>
          </cell>
          <cell r="D1066" t="str">
            <v xml:space="preserve">NAYAGAUN                                                                                            </v>
          </cell>
          <cell r="E1066">
            <v>10030035</v>
          </cell>
          <cell r="F1066" t="str">
            <v>0020</v>
          </cell>
          <cell r="G1066">
            <v>6</v>
          </cell>
          <cell r="H1066">
            <v>8.2399999999999984</v>
          </cell>
          <cell r="I1066">
            <v>349.863939939928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P1066">
            <v>350</v>
          </cell>
          <cell r="V1066" t="str">
            <v>Available</v>
          </cell>
        </row>
        <row r="1067">
          <cell r="A1067" t="str">
            <v>100300370001</v>
          </cell>
          <cell r="B1067" t="str">
            <v>Asarganj</v>
          </cell>
          <cell r="C1067" t="str">
            <v>Asarganj</v>
          </cell>
          <cell r="D1067" t="str">
            <v xml:space="preserve">LAUNA                                                                                               </v>
          </cell>
          <cell r="E1067">
            <v>10030037</v>
          </cell>
          <cell r="F1067" t="str">
            <v>0001</v>
          </cell>
          <cell r="G1067">
            <v>8</v>
          </cell>
          <cell r="H1067">
            <v>14.09</v>
          </cell>
          <cell r="I1067">
            <v>548.7552999720001</v>
          </cell>
          <cell r="J1067">
            <v>0</v>
          </cell>
          <cell r="K1067">
            <v>548.7552999720001</v>
          </cell>
          <cell r="L1067">
            <v>0</v>
          </cell>
          <cell r="M1067">
            <v>0</v>
          </cell>
          <cell r="P1067">
            <v>0</v>
          </cell>
          <cell r="V1067" t="str">
            <v>Not Available</v>
          </cell>
        </row>
        <row r="1068">
          <cell r="A1068" t="str">
            <v>100300370002</v>
          </cell>
          <cell r="B1068" t="str">
            <v>Asarganj</v>
          </cell>
          <cell r="C1068" t="str">
            <v>Asarganj</v>
          </cell>
          <cell r="D1068" t="str">
            <v xml:space="preserve">LAUNA                                                                                               </v>
          </cell>
          <cell r="E1068">
            <v>10030037</v>
          </cell>
          <cell r="F1068" t="str">
            <v>0002</v>
          </cell>
          <cell r="G1068">
            <v>10</v>
          </cell>
          <cell r="H1068">
            <v>189.61000000000004</v>
          </cell>
          <cell r="I1068">
            <v>7500.5858008224013</v>
          </cell>
          <cell r="J1068">
            <v>0</v>
          </cell>
          <cell r="K1068">
            <v>0</v>
          </cell>
          <cell r="L1068">
            <v>2159</v>
          </cell>
          <cell r="M1068">
            <v>0</v>
          </cell>
          <cell r="P1068">
            <v>5342</v>
          </cell>
          <cell r="V1068" t="str">
            <v>Available</v>
          </cell>
        </row>
        <row r="1069">
          <cell r="A1069" t="str">
            <v>100300370003</v>
          </cell>
          <cell r="B1069" t="str">
            <v>Asarganj</v>
          </cell>
          <cell r="C1069" t="str">
            <v>Asarganj</v>
          </cell>
          <cell r="D1069" t="str">
            <v xml:space="preserve">LAUNA                                                                                               </v>
          </cell>
          <cell r="E1069">
            <v>10030037</v>
          </cell>
          <cell r="F1069" t="str">
            <v>0003</v>
          </cell>
          <cell r="G1069">
            <v>12</v>
          </cell>
          <cell r="H1069">
            <v>241.57</v>
          </cell>
          <cell r="I1069">
            <v>9135.8404351038007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P1069">
            <v>9136</v>
          </cell>
          <cell r="V1069" t="str">
            <v>Available</v>
          </cell>
        </row>
        <row r="1070">
          <cell r="A1070" t="str">
            <v>100300370021</v>
          </cell>
          <cell r="B1070" t="str">
            <v>Asarganj</v>
          </cell>
          <cell r="C1070" t="str">
            <v>Asarganj</v>
          </cell>
          <cell r="D1070" t="str">
            <v xml:space="preserve">LAUNA                                                                                               </v>
          </cell>
          <cell r="E1070">
            <v>10030037</v>
          </cell>
          <cell r="F1070" t="str">
            <v>0021</v>
          </cell>
          <cell r="G1070">
            <v>13</v>
          </cell>
          <cell r="H1070">
            <v>228.93</v>
          </cell>
          <cell r="I1070">
            <v>9058.2137539922005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P1070">
            <v>9058</v>
          </cell>
          <cell r="V1070" t="str">
            <v>Available</v>
          </cell>
        </row>
        <row r="1071">
          <cell r="A1071" t="str">
            <v>100300370022</v>
          </cell>
          <cell r="B1071" t="str">
            <v>Asarganj</v>
          </cell>
          <cell r="C1071" t="str">
            <v>Asarganj</v>
          </cell>
          <cell r="D1071" t="str">
            <v xml:space="preserve">LAUNA                                                                                               </v>
          </cell>
          <cell r="E1071">
            <v>10030037</v>
          </cell>
          <cell r="F1071" t="str">
            <v>0022</v>
          </cell>
          <cell r="G1071">
            <v>1</v>
          </cell>
          <cell r="H1071">
            <v>8.51</v>
          </cell>
          <cell r="I1071">
            <v>278.9285730858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P1071">
            <v>279</v>
          </cell>
          <cell r="V1071" t="str">
            <v>Available</v>
          </cell>
        </row>
        <row r="1072">
          <cell r="A1072" t="str">
            <v>100300370028</v>
          </cell>
          <cell r="B1072" t="str">
            <v>Asarganj</v>
          </cell>
          <cell r="C1072" t="str">
            <v>Asarganj</v>
          </cell>
          <cell r="D1072" t="str">
            <v xml:space="preserve">LAUNA                                                                                               </v>
          </cell>
          <cell r="E1072">
            <v>10030037</v>
          </cell>
          <cell r="F1072" t="str">
            <v>0028</v>
          </cell>
          <cell r="G1072">
            <v>14</v>
          </cell>
          <cell r="H1072">
            <v>68.78</v>
          </cell>
          <cell r="I1072">
            <v>2343.5631036773998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P1072">
            <v>2344</v>
          </cell>
          <cell r="V1072" t="str">
            <v>Available</v>
          </cell>
        </row>
        <row r="1073">
          <cell r="A1073" t="str">
            <v>100300370036</v>
          </cell>
          <cell r="B1073" t="str">
            <v>Asarganj</v>
          </cell>
          <cell r="C1073" t="str">
            <v>Asarganj</v>
          </cell>
          <cell r="D1073" t="str">
            <v xml:space="preserve">LAUNA                                                                                               </v>
          </cell>
          <cell r="E1073">
            <v>10030037</v>
          </cell>
          <cell r="F1073" t="str">
            <v>0036</v>
          </cell>
          <cell r="G1073">
            <v>12</v>
          </cell>
          <cell r="H1073">
            <v>53.389999999999993</v>
          </cell>
          <cell r="I1073">
            <v>1800.0715357944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P1073">
            <v>1800</v>
          </cell>
          <cell r="V1073" t="str">
            <v>Available</v>
          </cell>
        </row>
        <row r="1074">
          <cell r="A1074" t="str">
            <v>100300370037</v>
          </cell>
          <cell r="B1074" t="str">
            <v>Asarganj</v>
          </cell>
          <cell r="C1074" t="str">
            <v>Asarganj</v>
          </cell>
          <cell r="D1074" t="str">
            <v xml:space="preserve">LAUNA                                                                                               </v>
          </cell>
          <cell r="E1074">
            <v>10030037</v>
          </cell>
          <cell r="F1074" t="str">
            <v>0037</v>
          </cell>
          <cell r="G1074">
            <v>6</v>
          </cell>
          <cell r="H1074">
            <v>24.080000000000002</v>
          </cell>
          <cell r="I1074">
            <v>895.07036401200003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P1074">
            <v>895</v>
          </cell>
          <cell r="V1074" t="str">
            <v>Available</v>
          </cell>
        </row>
        <row r="1075">
          <cell r="A1075" t="str">
            <v>100300370038</v>
          </cell>
          <cell r="B1075" t="str">
            <v>Asarganj</v>
          </cell>
          <cell r="C1075" t="str">
            <v>Asarganj</v>
          </cell>
          <cell r="D1075" t="str">
            <v xml:space="preserve">LAUNA                                                                                               </v>
          </cell>
          <cell r="E1075">
            <v>10030037</v>
          </cell>
          <cell r="F1075" t="str">
            <v>0038</v>
          </cell>
          <cell r="G1075">
            <v>11</v>
          </cell>
          <cell r="H1075">
            <v>38.74</v>
          </cell>
          <cell r="I1075">
            <v>1415.6174244168001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P1075">
            <v>1416</v>
          </cell>
          <cell r="V1075" t="str">
            <v>Available</v>
          </cell>
        </row>
        <row r="1076">
          <cell r="A1076" t="str">
            <v>100300370041</v>
          </cell>
          <cell r="B1076" t="str">
            <v>Asarganj</v>
          </cell>
          <cell r="C1076" t="str">
            <v>Asarganj</v>
          </cell>
          <cell r="D1076" t="str">
            <v xml:space="preserve">LAUNA                                                                                               </v>
          </cell>
          <cell r="E1076">
            <v>10030037</v>
          </cell>
          <cell r="F1076" t="str">
            <v>0041</v>
          </cell>
          <cell r="G1076">
            <v>3</v>
          </cell>
          <cell r="H1076">
            <v>47.04</v>
          </cell>
          <cell r="I1076">
            <v>1649.9133563616001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P1076">
            <v>1650</v>
          </cell>
          <cell r="V1076" t="str">
            <v>Available</v>
          </cell>
        </row>
        <row r="1077">
          <cell r="A1077" t="str">
            <v>100300370048</v>
          </cell>
          <cell r="B1077" t="str">
            <v>Asarganj</v>
          </cell>
          <cell r="C1077" t="str">
            <v>Asarganj</v>
          </cell>
          <cell r="D1077" t="str">
            <v xml:space="preserve">LAUNA                                                                                               </v>
          </cell>
          <cell r="E1077">
            <v>10030037</v>
          </cell>
          <cell r="F1077" t="str">
            <v>0048</v>
          </cell>
          <cell r="G1077">
            <v>5</v>
          </cell>
          <cell r="H1077">
            <v>15.66</v>
          </cell>
          <cell r="I1077">
            <v>552.76815920040008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P1077">
            <v>553</v>
          </cell>
          <cell r="V1077" t="str">
            <v>Available</v>
          </cell>
        </row>
        <row r="1078">
          <cell r="A1078" t="str">
            <v>100300370053</v>
          </cell>
          <cell r="B1078" t="str">
            <v>Asarganj</v>
          </cell>
          <cell r="C1078" t="str">
            <v>Asarganj</v>
          </cell>
          <cell r="D1078" t="str">
            <v xml:space="preserve">LAUNA                                                                                               </v>
          </cell>
          <cell r="E1078">
            <v>10030037</v>
          </cell>
          <cell r="F1078" t="str">
            <v>0053</v>
          </cell>
          <cell r="G1078">
            <v>7</v>
          </cell>
          <cell r="H1078">
            <v>106.77000000000001</v>
          </cell>
          <cell r="I1078">
            <v>3789.3105284364001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P1078">
            <v>3789</v>
          </cell>
          <cell r="V1078" t="str">
            <v>Available</v>
          </cell>
        </row>
        <row r="1079">
          <cell r="A1079" t="str">
            <v>100300370060</v>
          </cell>
          <cell r="B1079" t="str">
            <v>Asarganj</v>
          </cell>
          <cell r="C1079" t="str">
            <v>Asarganj</v>
          </cell>
          <cell r="D1079" t="str">
            <v xml:space="preserve">LAUNA                                                                                               </v>
          </cell>
          <cell r="E1079">
            <v>10030037</v>
          </cell>
          <cell r="F1079" t="str">
            <v>0060</v>
          </cell>
          <cell r="G1079">
            <v>2</v>
          </cell>
          <cell r="H1079">
            <v>45.76</v>
          </cell>
          <cell r="I1079">
            <v>1622.0907671759999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P1079">
            <v>1622</v>
          </cell>
          <cell r="V1079" t="str">
            <v>Available</v>
          </cell>
        </row>
        <row r="1080">
          <cell r="A1080" t="str">
            <v>100300370067</v>
          </cell>
          <cell r="B1080" t="str">
            <v>Asarganj</v>
          </cell>
          <cell r="C1080" t="str">
            <v>Asarganj</v>
          </cell>
          <cell r="D1080" t="str">
            <v xml:space="preserve">LAUNA                                                                                               </v>
          </cell>
          <cell r="E1080">
            <v>10030037</v>
          </cell>
          <cell r="F1080" t="str">
            <v>0067</v>
          </cell>
          <cell r="G1080">
            <v>6</v>
          </cell>
          <cell r="H1080">
            <v>13.27</v>
          </cell>
          <cell r="I1080">
            <v>539.90610418800009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P1080">
            <v>540</v>
          </cell>
          <cell r="V1080" t="str">
            <v>Available</v>
          </cell>
        </row>
        <row r="1081">
          <cell r="A1081" t="str">
            <v>100300370070</v>
          </cell>
          <cell r="B1081" t="str">
            <v>Asarganj</v>
          </cell>
          <cell r="C1081" t="str">
            <v>Asarganj</v>
          </cell>
          <cell r="D1081" t="str">
            <v xml:space="preserve">LAUNA                                                                                               </v>
          </cell>
          <cell r="E1081">
            <v>10030037</v>
          </cell>
          <cell r="F1081" t="str">
            <v>0070</v>
          </cell>
          <cell r="G1081">
            <v>14</v>
          </cell>
          <cell r="H1081">
            <v>84.389999999999986</v>
          </cell>
          <cell r="I1081">
            <v>2842.6432261590007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P1081">
            <v>2843</v>
          </cell>
          <cell r="V1081" t="str">
            <v>Available</v>
          </cell>
        </row>
        <row r="1082">
          <cell r="A1082" t="str">
            <v>100300370074</v>
          </cell>
          <cell r="B1082" t="str">
            <v>Asarganj</v>
          </cell>
          <cell r="C1082" t="str">
            <v>Asarganj</v>
          </cell>
          <cell r="D1082" t="str">
            <v xml:space="preserve">LAUNA                                                                                               </v>
          </cell>
          <cell r="E1082">
            <v>10030037</v>
          </cell>
          <cell r="F1082" t="str">
            <v>0074</v>
          </cell>
          <cell r="G1082">
            <v>13</v>
          </cell>
          <cell r="H1082">
            <v>69.959999999999994</v>
          </cell>
          <cell r="I1082">
            <v>2498.4255328362005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P1082">
            <v>2498</v>
          </cell>
          <cell r="V1082" t="str">
            <v>Available</v>
          </cell>
        </row>
        <row r="1083">
          <cell r="A1083" t="str">
            <v>100300380003</v>
          </cell>
          <cell r="B1083" t="str">
            <v>Asarganj</v>
          </cell>
          <cell r="C1083" t="str">
            <v>Asarganj</v>
          </cell>
          <cell r="D1083" t="str">
            <v>DULHAR</v>
          </cell>
          <cell r="E1083">
            <v>10030038</v>
          </cell>
          <cell r="F1083" t="str">
            <v>0003</v>
          </cell>
          <cell r="G1083">
            <v>11</v>
          </cell>
          <cell r="H1083">
            <v>135.55000000000001</v>
          </cell>
          <cell r="I1083">
            <v>7203.6729501999998</v>
          </cell>
          <cell r="J1083">
            <v>0</v>
          </cell>
          <cell r="K1083">
            <v>0</v>
          </cell>
          <cell r="L1083">
            <v>1762</v>
          </cell>
          <cell r="M1083">
            <v>0</v>
          </cell>
          <cell r="P1083">
            <v>5442</v>
          </cell>
          <cell r="V1083" t="str">
            <v>Available</v>
          </cell>
        </row>
        <row r="1084">
          <cell r="A1084" t="str">
            <v>100300380016</v>
          </cell>
          <cell r="B1084" t="str">
            <v>Asarganj</v>
          </cell>
          <cell r="C1084" t="str">
            <v>Asarganj</v>
          </cell>
          <cell r="D1084" t="str">
            <v>DULHAR</v>
          </cell>
          <cell r="E1084">
            <v>10030038</v>
          </cell>
          <cell r="F1084" t="str">
            <v>0016</v>
          </cell>
          <cell r="G1084">
            <v>14</v>
          </cell>
          <cell r="H1084">
            <v>22.06</v>
          </cell>
          <cell r="I1084">
            <v>1103.0331898760899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P1084">
            <v>1103</v>
          </cell>
          <cell r="V1084" t="str">
            <v>Available</v>
          </cell>
        </row>
        <row r="1085">
          <cell r="A1085" t="str">
            <v>100300380025</v>
          </cell>
          <cell r="B1085" t="str">
            <v>Asarganj</v>
          </cell>
          <cell r="C1085" t="str">
            <v>Asarganj</v>
          </cell>
          <cell r="D1085" t="str">
            <v>DULHAR</v>
          </cell>
          <cell r="E1085">
            <v>10030038</v>
          </cell>
          <cell r="F1085" t="str">
            <v>0025</v>
          </cell>
          <cell r="G1085">
            <v>6</v>
          </cell>
          <cell r="H1085">
            <v>15.759999999999998</v>
          </cell>
          <cell r="I1085">
            <v>783.21405704272001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P1085">
            <v>783</v>
          </cell>
          <cell r="V1085" t="str">
            <v>Available</v>
          </cell>
        </row>
        <row r="1086">
          <cell r="A1086" t="str">
            <v>100300380028</v>
          </cell>
          <cell r="B1086" t="str">
            <v>Asarganj</v>
          </cell>
          <cell r="C1086" t="str">
            <v>Asarganj</v>
          </cell>
          <cell r="D1086" t="str">
            <v>DULHAR</v>
          </cell>
          <cell r="E1086">
            <v>10030038</v>
          </cell>
          <cell r="F1086" t="str">
            <v>0028</v>
          </cell>
          <cell r="G1086">
            <v>13</v>
          </cell>
          <cell r="H1086">
            <v>22.66</v>
          </cell>
          <cell r="I1086">
            <v>1293.2236312883001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P1086">
            <v>1293</v>
          </cell>
          <cell r="V1086" t="str">
            <v>Available</v>
          </cell>
        </row>
        <row r="1087">
          <cell r="A1087" t="str">
            <v>100300380032</v>
          </cell>
          <cell r="B1087" t="str">
            <v>Asarganj</v>
          </cell>
          <cell r="C1087" t="str">
            <v>Asarganj</v>
          </cell>
          <cell r="D1087" t="str">
            <v>DULHAR</v>
          </cell>
          <cell r="E1087">
            <v>10030038</v>
          </cell>
          <cell r="F1087" t="str">
            <v>0032</v>
          </cell>
          <cell r="G1087">
            <v>10</v>
          </cell>
          <cell r="H1087">
            <v>26.200000000000003</v>
          </cell>
          <cell r="I1087">
            <v>1379.4095079136803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P1087">
            <v>1379</v>
          </cell>
          <cell r="V1087" t="str">
            <v>Available</v>
          </cell>
        </row>
        <row r="1088">
          <cell r="A1088" t="str">
            <v>100300380036</v>
          </cell>
          <cell r="B1088" t="str">
            <v>Asarganj</v>
          </cell>
          <cell r="C1088" t="str">
            <v>Asarganj</v>
          </cell>
          <cell r="D1088" t="str">
            <v>DULHAR</v>
          </cell>
          <cell r="E1088">
            <v>10030038</v>
          </cell>
          <cell r="F1088" t="str">
            <v>0036</v>
          </cell>
          <cell r="G1088">
            <v>5</v>
          </cell>
          <cell r="H1088">
            <v>11.19</v>
          </cell>
          <cell r="I1088">
            <v>393.70327304632502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P1088">
            <v>394</v>
          </cell>
          <cell r="V1088" t="str">
            <v>Available</v>
          </cell>
        </row>
        <row r="1089">
          <cell r="A1089" t="str">
            <v>100300380037</v>
          </cell>
          <cell r="B1089" t="str">
            <v>Asarganj</v>
          </cell>
          <cell r="C1089" t="str">
            <v>Asarganj</v>
          </cell>
          <cell r="D1089" t="str">
            <v>DULHAR</v>
          </cell>
          <cell r="E1089">
            <v>10030038</v>
          </cell>
          <cell r="F1089" t="str">
            <v>0037</v>
          </cell>
          <cell r="G1089">
            <v>3</v>
          </cell>
          <cell r="H1089">
            <v>5.0999999999999996</v>
          </cell>
          <cell r="I1089">
            <v>162.92453528340002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P1089">
            <v>163</v>
          </cell>
          <cell r="V1089" t="str">
            <v>Available</v>
          </cell>
        </row>
        <row r="1090">
          <cell r="A1090" t="str">
            <v>100300380040</v>
          </cell>
          <cell r="B1090" t="str">
            <v>Asarganj</v>
          </cell>
          <cell r="C1090" t="str">
            <v>Asarganj</v>
          </cell>
          <cell r="D1090" t="str">
            <v>DULHAR</v>
          </cell>
          <cell r="E1090">
            <v>10030038</v>
          </cell>
          <cell r="F1090" t="str">
            <v>0040</v>
          </cell>
          <cell r="G1090">
            <v>8</v>
          </cell>
          <cell r="H1090">
            <v>15.849999999999998</v>
          </cell>
          <cell r="I1090">
            <v>1077.7021239652299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P1090">
            <v>1078</v>
          </cell>
          <cell r="V1090" t="str">
            <v>Available</v>
          </cell>
        </row>
        <row r="1091">
          <cell r="A1091" t="str">
            <v>100300380048</v>
          </cell>
          <cell r="B1091" t="str">
            <v>Asarganj</v>
          </cell>
          <cell r="C1091" t="str">
            <v>Asarganj</v>
          </cell>
          <cell r="D1091" t="str">
            <v>DULHAR</v>
          </cell>
          <cell r="E1091">
            <v>10030038</v>
          </cell>
          <cell r="F1091" t="str">
            <v>0048</v>
          </cell>
          <cell r="G1091">
            <v>9</v>
          </cell>
          <cell r="H1091">
            <v>14.95</v>
          </cell>
          <cell r="I1091">
            <v>509.00686786620003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P1091">
            <v>509</v>
          </cell>
          <cell r="V1091" t="str">
            <v>Available</v>
          </cell>
        </row>
        <row r="1092">
          <cell r="A1092" t="str">
            <v>100300380055</v>
          </cell>
          <cell r="B1092" t="str">
            <v>Asarganj</v>
          </cell>
          <cell r="C1092" t="str">
            <v>Asarganj</v>
          </cell>
          <cell r="D1092" t="str">
            <v>DULHAR</v>
          </cell>
          <cell r="E1092">
            <v>10030038</v>
          </cell>
          <cell r="F1092" t="str">
            <v>0055</v>
          </cell>
          <cell r="G1092">
            <v>11</v>
          </cell>
          <cell r="H1092">
            <v>13.99</v>
          </cell>
          <cell r="I1092">
            <v>510.88648564800008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P1092">
            <v>511</v>
          </cell>
          <cell r="V1092" t="str">
            <v>Available</v>
          </cell>
        </row>
        <row r="1093">
          <cell r="A1093" t="str">
            <v>100300380080</v>
          </cell>
          <cell r="B1093" t="str">
            <v>Asarganj</v>
          </cell>
          <cell r="C1093" t="str">
            <v>Asarganj</v>
          </cell>
          <cell r="D1093" t="str">
            <v>DULHAR</v>
          </cell>
          <cell r="E1093">
            <v>10030038</v>
          </cell>
          <cell r="F1093" t="str">
            <v>0080</v>
          </cell>
          <cell r="G1093">
            <v>9</v>
          </cell>
          <cell r="H1093">
            <v>28.430000000000003</v>
          </cell>
          <cell r="I1093">
            <v>996.49908442260016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P1093">
            <v>996</v>
          </cell>
          <cell r="V1093" t="str">
            <v>Available</v>
          </cell>
        </row>
        <row r="1094">
          <cell r="A1094" t="str">
            <v>100300380084</v>
          </cell>
          <cell r="B1094" t="str">
            <v>Asarganj</v>
          </cell>
          <cell r="C1094" t="str">
            <v>Asarganj</v>
          </cell>
          <cell r="D1094" t="str">
            <v>DULHAR</v>
          </cell>
          <cell r="E1094">
            <v>10030038</v>
          </cell>
          <cell r="F1094" t="str">
            <v>0084</v>
          </cell>
          <cell r="G1094">
            <v>13</v>
          </cell>
          <cell r="H1094">
            <v>22.38</v>
          </cell>
          <cell r="I1094">
            <v>762.41330187659992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P1094">
            <v>762</v>
          </cell>
          <cell r="V1094" t="str">
            <v>Available</v>
          </cell>
        </row>
        <row r="1095">
          <cell r="A1095" t="str">
            <v>100300380088</v>
          </cell>
          <cell r="B1095" t="str">
            <v>Asarganj</v>
          </cell>
          <cell r="C1095" t="str">
            <v>Asarganj</v>
          </cell>
          <cell r="D1095" t="str">
            <v>DULHAR</v>
          </cell>
          <cell r="E1095">
            <v>10030038</v>
          </cell>
          <cell r="F1095" t="str">
            <v>0088</v>
          </cell>
          <cell r="G1095">
            <v>12</v>
          </cell>
          <cell r="H1095">
            <v>62.129999999999995</v>
          </cell>
          <cell r="I1095">
            <v>2101.1826987557997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P1095">
            <v>2101</v>
          </cell>
          <cell r="V1095" t="str">
            <v>Available</v>
          </cell>
        </row>
        <row r="1096">
          <cell r="A1096" t="str">
            <v>100300380093</v>
          </cell>
          <cell r="B1096" t="str">
            <v>Asarganj</v>
          </cell>
          <cell r="C1096" t="str">
            <v>Asarganj</v>
          </cell>
          <cell r="D1096" t="str">
            <v>DULHAR</v>
          </cell>
          <cell r="E1096">
            <v>10030038</v>
          </cell>
          <cell r="F1096" t="str">
            <v>0093</v>
          </cell>
          <cell r="G1096">
            <v>7</v>
          </cell>
          <cell r="H1096">
            <v>27.720000000000002</v>
          </cell>
          <cell r="I1096">
            <v>999.17615243159992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P1096">
            <v>999</v>
          </cell>
          <cell r="V1096" t="str">
            <v>Available</v>
          </cell>
        </row>
        <row r="1097">
          <cell r="A1097" t="str">
            <v>100300490003</v>
          </cell>
          <cell r="B1097" t="str">
            <v>Asarganj</v>
          </cell>
          <cell r="C1097" t="str">
            <v>Asarganj</v>
          </cell>
          <cell r="D1097" t="str">
            <v>SRIRAMPUR</v>
          </cell>
          <cell r="E1097">
            <v>10030049</v>
          </cell>
          <cell r="F1097" t="str">
            <v>0003</v>
          </cell>
          <cell r="G1097">
            <v>14</v>
          </cell>
          <cell r="H1097">
            <v>184.1</v>
          </cell>
          <cell r="I1097">
            <v>5763.4499387520009</v>
          </cell>
          <cell r="J1097">
            <v>0</v>
          </cell>
          <cell r="K1097">
            <v>0</v>
          </cell>
          <cell r="L1097">
            <v>124</v>
          </cell>
          <cell r="M1097">
            <v>0</v>
          </cell>
          <cell r="P1097">
            <v>5639</v>
          </cell>
          <cell r="V1097" t="str">
            <v>Available</v>
          </cell>
        </row>
        <row r="1098">
          <cell r="A1098" t="str">
            <v>100300490005</v>
          </cell>
          <cell r="B1098" t="str">
            <v>Asarganj</v>
          </cell>
          <cell r="C1098" t="str">
            <v>Asarganj</v>
          </cell>
          <cell r="D1098" t="str">
            <v>SRIRAMPUR</v>
          </cell>
          <cell r="E1098">
            <v>10030049</v>
          </cell>
          <cell r="F1098" t="str">
            <v>0005</v>
          </cell>
          <cell r="G1098">
            <v>7</v>
          </cell>
          <cell r="H1098">
            <v>109.7</v>
          </cell>
          <cell r="I1098">
            <v>3392.3662918200002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P1098">
            <v>3392</v>
          </cell>
          <cell r="V1098" t="str">
            <v>Available</v>
          </cell>
        </row>
        <row r="1099">
          <cell r="A1099" t="str">
            <v>100300500001</v>
          </cell>
          <cell r="B1099" t="str">
            <v>Asarganj</v>
          </cell>
          <cell r="C1099" t="str">
            <v>Asarganj</v>
          </cell>
          <cell r="D1099" t="str">
            <v>PAIN</v>
          </cell>
          <cell r="E1099">
            <v>10030050</v>
          </cell>
          <cell r="F1099" t="str">
            <v>0001</v>
          </cell>
          <cell r="G1099">
            <v>7</v>
          </cell>
          <cell r="H1099">
            <v>1.79</v>
          </cell>
          <cell r="I1099">
            <v>63.182315988000006</v>
          </cell>
          <cell r="J1099">
            <v>0</v>
          </cell>
          <cell r="K1099">
            <v>63.182315988000006</v>
          </cell>
          <cell r="L1099">
            <v>0</v>
          </cell>
          <cell r="M1099">
            <v>0</v>
          </cell>
          <cell r="P1099">
            <v>0</v>
          </cell>
          <cell r="V1099" t="str">
            <v>Not Available</v>
          </cell>
        </row>
        <row r="1100">
          <cell r="A1100" t="str">
            <v>100300500002</v>
          </cell>
          <cell r="B1100" t="str">
            <v>Asarganj</v>
          </cell>
          <cell r="C1100" t="str">
            <v>Asarganj</v>
          </cell>
          <cell r="D1100" t="str">
            <v>PAIN</v>
          </cell>
          <cell r="E1100">
            <v>10030050</v>
          </cell>
          <cell r="F1100" t="str">
            <v>0002</v>
          </cell>
          <cell r="G1100">
            <v>14</v>
          </cell>
          <cell r="H1100">
            <v>141.72000000000003</v>
          </cell>
          <cell r="I1100">
            <v>5221.088428248001</v>
          </cell>
          <cell r="J1100">
            <v>0</v>
          </cell>
          <cell r="K1100">
            <v>0</v>
          </cell>
          <cell r="L1100">
            <v>1147</v>
          </cell>
          <cell r="M1100">
            <v>0</v>
          </cell>
          <cell r="P1100">
            <v>4074</v>
          </cell>
          <cell r="V1100" t="str">
            <v>Available</v>
          </cell>
        </row>
        <row r="1101">
          <cell r="A1101" t="str">
            <v>100300500003</v>
          </cell>
          <cell r="B1101" t="str">
            <v>Asarganj</v>
          </cell>
          <cell r="C1101" t="str">
            <v>Asarganj</v>
          </cell>
          <cell r="D1101" t="str">
            <v>PAIN</v>
          </cell>
          <cell r="E1101">
            <v>10030050</v>
          </cell>
          <cell r="F1101" t="str">
            <v>0003</v>
          </cell>
          <cell r="G1101">
            <v>8</v>
          </cell>
          <cell r="H1101">
            <v>20.130000000000003</v>
          </cell>
          <cell r="I1101">
            <v>713.82357486000012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P1101">
            <v>714</v>
          </cell>
          <cell r="V1101" t="str">
            <v>Available</v>
          </cell>
        </row>
        <row r="1102">
          <cell r="A1102" t="str">
            <v>100300500004</v>
          </cell>
          <cell r="B1102" t="str">
            <v>Asarganj</v>
          </cell>
          <cell r="C1102" t="str">
            <v>Asarganj</v>
          </cell>
          <cell r="D1102" t="str">
            <v>PAIN</v>
          </cell>
          <cell r="E1102">
            <v>10030050</v>
          </cell>
          <cell r="F1102" t="str">
            <v>0004</v>
          </cell>
          <cell r="G1102">
            <v>9</v>
          </cell>
          <cell r="H1102">
            <v>30.13</v>
          </cell>
          <cell r="I1102">
            <v>1071.41471514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P1102">
            <v>1071</v>
          </cell>
          <cell r="V1102" t="str">
            <v>Available</v>
          </cell>
        </row>
        <row r="1103">
          <cell r="A1103" t="str">
            <v>100300500005</v>
          </cell>
          <cell r="B1103" t="str">
            <v>Asarganj</v>
          </cell>
          <cell r="C1103" t="str">
            <v>Asarganj</v>
          </cell>
          <cell r="D1103" t="str">
            <v>PAIN</v>
          </cell>
          <cell r="E1103">
            <v>10030050</v>
          </cell>
          <cell r="F1103" t="str">
            <v>0005</v>
          </cell>
          <cell r="G1103">
            <v>12</v>
          </cell>
          <cell r="H1103">
            <v>83.31</v>
          </cell>
          <cell r="I1103">
            <v>3059.2242212400006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P1103">
            <v>3059</v>
          </cell>
          <cell r="V1103" t="str">
            <v>Available</v>
          </cell>
        </row>
        <row r="1104">
          <cell r="A1104" t="str">
            <v>100300500026</v>
          </cell>
          <cell r="B1104" t="str">
            <v>Asarganj</v>
          </cell>
          <cell r="C1104" t="str">
            <v>Asarganj</v>
          </cell>
          <cell r="D1104" t="str">
            <v>PAIN</v>
          </cell>
          <cell r="E1104">
            <v>10030050</v>
          </cell>
          <cell r="F1104" t="str">
            <v>0026</v>
          </cell>
          <cell r="G1104">
            <v>8</v>
          </cell>
          <cell r="H1104">
            <v>44.45</v>
          </cell>
          <cell r="I1104">
            <v>1585.5066940680001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P1104">
            <v>1586</v>
          </cell>
          <cell r="V1104" t="str">
            <v>Available</v>
          </cell>
        </row>
        <row r="1105">
          <cell r="A1105" t="str">
            <v>100300500032</v>
          </cell>
          <cell r="B1105" t="str">
            <v>Asarganj</v>
          </cell>
          <cell r="C1105" t="str">
            <v>Asarganj</v>
          </cell>
          <cell r="D1105" t="str">
            <v>PAIN</v>
          </cell>
          <cell r="E1105">
            <v>10030050</v>
          </cell>
          <cell r="F1105" t="str">
            <v>0032</v>
          </cell>
          <cell r="G1105">
            <v>1</v>
          </cell>
          <cell r="H1105">
            <v>4.0199999999999996</v>
          </cell>
          <cell r="I1105">
            <v>121.83817029120002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P1105">
            <v>122</v>
          </cell>
          <cell r="V1105" t="str">
            <v>Available</v>
          </cell>
        </row>
        <row r="1106">
          <cell r="A1106" t="str">
            <v>100300500037</v>
          </cell>
          <cell r="B1106" t="str">
            <v>Asarganj</v>
          </cell>
          <cell r="C1106" t="str">
            <v>Asarganj</v>
          </cell>
          <cell r="D1106" t="str">
            <v>PAIN</v>
          </cell>
          <cell r="E1106">
            <v>10030050</v>
          </cell>
          <cell r="F1106" t="str">
            <v>0037</v>
          </cell>
          <cell r="G1106">
            <v>4</v>
          </cell>
          <cell r="H1106">
            <v>27.65</v>
          </cell>
          <cell r="I1106">
            <v>1036.715134752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P1106">
            <v>1037</v>
          </cell>
          <cell r="V1106" t="str">
            <v>Available</v>
          </cell>
        </row>
        <row r="1107">
          <cell r="A1107" t="str">
            <v>100300500045</v>
          </cell>
          <cell r="B1107" t="str">
            <v>Asarganj</v>
          </cell>
          <cell r="C1107" t="str">
            <v>Asarganj</v>
          </cell>
          <cell r="D1107" t="str">
            <v>PAIN</v>
          </cell>
          <cell r="E1107">
            <v>10030050</v>
          </cell>
          <cell r="F1107" t="str">
            <v>0045</v>
          </cell>
          <cell r="G1107">
            <v>5</v>
          </cell>
          <cell r="H1107">
            <v>39.78</v>
          </cell>
          <cell r="I1107">
            <v>1553.3505191160002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P1107">
            <v>1553</v>
          </cell>
          <cell r="V1107" t="str">
            <v>Available</v>
          </cell>
        </row>
        <row r="1108">
          <cell r="A1108" t="str">
            <v>100300500049</v>
          </cell>
          <cell r="B1108" t="str">
            <v>Asarganj</v>
          </cell>
          <cell r="C1108" t="str">
            <v>Asarganj</v>
          </cell>
          <cell r="D1108" t="str">
            <v>PAIN</v>
          </cell>
          <cell r="E1108">
            <v>10030050</v>
          </cell>
          <cell r="F1108" t="str">
            <v>0049</v>
          </cell>
          <cell r="G1108">
            <v>9</v>
          </cell>
          <cell r="H1108">
            <v>64.069999999999993</v>
          </cell>
          <cell r="I1108">
            <v>2167.6727203560004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P1108">
            <v>2168</v>
          </cell>
          <cell r="V1108" t="str">
            <v>Available</v>
          </cell>
        </row>
        <row r="1109">
          <cell r="A1109" t="str">
            <v>100300500056</v>
          </cell>
          <cell r="B1109" t="str">
            <v>Asarganj</v>
          </cell>
          <cell r="C1109" t="str">
            <v>Asarganj</v>
          </cell>
          <cell r="D1109" t="str">
            <v>PAIN</v>
          </cell>
          <cell r="E1109">
            <v>10030050</v>
          </cell>
          <cell r="F1109" t="str">
            <v>0056</v>
          </cell>
          <cell r="G1109">
            <v>3</v>
          </cell>
          <cell r="H1109">
            <v>45.910000000000004</v>
          </cell>
          <cell r="I1109">
            <v>1518.4595696292004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P1109">
            <v>1518</v>
          </cell>
          <cell r="V1109" t="str">
            <v>Available</v>
          </cell>
        </row>
        <row r="1110">
          <cell r="A1110" t="str">
            <v>100300510001</v>
          </cell>
          <cell r="B1110" t="str">
            <v>Asarganj</v>
          </cell>
          <cell r="C1110" t="str">
            <v>Asarganj</v>
          </cell>
          <cell r="D1110" t="str">
            <v>MOTICHAK</v>
          </cell>
          <cell r="E1110">
            <v>10030051</v>
          </cell>
          <cell r="F1110" t="str">
            <v>0001</v>
          </cell>
          <cell r="G1110">
            <v>13</v>
          </cell>
          <cell r="H1110">
            <v>65.87</v>
          </cell>
          <cell r="I1110">
            <v>2376.0862630560005</v>
          </cell>
          <cell r="J1110">
            <v>0</v>
          </cell>
          <cell r="K1110">
            <v>2376.0862630560005</v>
          </cell>
          <cell r="L1110">
            <v>0</v>
          </cell>
          <cell r="M1110">
            <v>0</v>
          </cell>
          <cell r="P1110">
            <v>0</v>
          </cell>
          <cell r="V1110" t="str">
            <v>Not Available</v>
          </cell>
        </row>
        <row r="1111">
          <cell r="A1111" t="str">
            <v>100300510002</v>
          </cell>
          <cell r="B1111" t="str">
            <v>Asarganj</v>
          </cell>
          <cell r="C1111" t="str">
            <v>Asarganj</v>
          </cell>
          <cell r="D1111" t="str">
            <v>MOTICHAK</v>
          </cell>
          <cell r="E1111">
            <v>10030051</v>
          </cell>
          <cell r="F1111" t="str">
            <v>0002</v>
          </cell>
          <cell r="G1111">
            <v>13</v>
          </cell>
          <cell r="H1111">
            <v>516.23</v>
          </cell>
          <cell r="I1111">
            <v>19005.101102275199</v>
          </cell>
          <cell r="J1111">
            <v>0</v>
          </cell>
          <cell r="K1111">
            <v>0</v>
          </cell>
          <cell r="L1111">
            <v>3995</v>
          </cell>
          <cell r="M1111">
            <v>0</v>
          </cell>
          <cell r="P1111">
            <v>15010</v>
          </cell>
          <cell r="V1111" t="str">
            <v>Available</v>
          </cell>
        </row>
        <row r="1112">
          <cell r="A1112" t="str">
            <v>100300510003</v>
          </cell>
          <cell r="B1112" t="str">
            <v>Asarganj</v>
          </cell>
          <cell r="C1112" t="str">
            <v>Asarganj</v>
          </cell>
          <cell r="D1112" t="str">
            <v>MOTICHAK</v>
          </cell>
          <cell r="E1112">
            <v>10030051</v>
          </cell>
          <cell r="F1112" t="str">
            <v>0003</v>
          </cell>
          <cell r="G1112">
            <v>6</v>
          </cell>
          <cell r="H1112">
            <v>136.85</v>
          </cell>
          <cell r="I1112">
            <v>4985.7716494080005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P1112">
            <v>4986</v>
          </cell>
          <cell r="V1112" t="str">
            <v>Available</v>
          </cell>
        </row>
        <row r="1113">
          <cell r="A1113" t="str">
            <v>100300510004</v>
          </cell>
          <cell r="B1113" t="str">
            <v>Asarganj</v>
          </cell>
          <cell r="C1113" t="str">
            <v>Asarganj</v>
          </cell>
          <cell r="D1113" t="str">
            <v>MOTICHAK</v>
          </cell>
          <cell r="E1113">
            <v>10030051</v>
          </cell>
          <cell r="F1113" t="str">
            <v>0004</v>
          </cell>
          <cell r="G1113">
            <v>11</v>
          </cell>
          <cell r="H1113">
            <v>440.16</v>
          </cell>
          <cell r="I1113">
            <v>16574.272128770404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P1113">
            <v>16574</v>
          </cell>
          <cell r="V1113" t="str">
            <v>Available</v>
          </cell>
        </row>
        <row r="1114">
          <cell r="A1114" t="str">
            <v>100300510005</v>
          </cell>
          <cell r="B1114" t="str">
            <v>Asarganj</v>
          </cell>
          <cell r="C1114" t="str">
            <v>Asarganj</v>
          </cell>
          <cell r="D1114" t="str">
            <v>MOTICHAK</v>
          </cell>
          <cell r="E1114">
            <v>10030051</v>
          </cell>
          <cell r="F1114" t="str">
            <v>0005</v>
          </cell>
          <cell r="G1114">
            <v>11</v>
          </cell>
          <cell r="H1114">
            <v>65.77</v>
          </cell>
          <cell r="I1114">
            <v>2436.0676690680002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P1114">
            <v>2436</v>
          </cell>
          <cell r="V1114" t="str">
            <v>Available</v>
          </cell>
        </row>
        <row r="1115">
          <cell r="A1115" t="str">
            <v>100300510030</v>
          </cell>
          <cell r="B1115" t="str">
            <v>Asarganj</v>
          </cell>
          <cell r="C1115" t="str">
            <v>Asarganj</v>
          </cell>
          <cell r="D1115" t="str">
            <v>MOTICHAK</v>
          </cell>
          <cell r="E1115">
            <v>10030051</v>
          </cell>
          <cell r="F1115" t="str">
            <v>0030</v>
          </cell>
          <cell r="G1115">
            <v>3</v>
          </cell>
          <cell r="H1115">
            <v>52.68</v>
          </cell>
          <cell r="I1115">
            <v>1858.3746635520001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P1115">
            <v>1858</v>
          </cell>
          <cell r="V1115" t="str">
            <v>Available</v>
          </cell>
        </row>
        <row r="1116">
          <cell r="A1116" t="str">
            <v>100300510032</v>
          </cell>
          <cell r="B1116" t="str">
            <v>Asarganj</v>
          </cell>
          <cell r="C1116" t="str">
            <v>Asarganj</v>
          </cell>
          <cell r="D1116" t="str">
            <v>MOTICHAK</v>
          </cell>
          <cell r="E1116">
            <v>10030051</v>
          </cell>
          <cell r="F1116" t="str">
            <v>0032</v>
          </cell>
          <cell r="G1116">
            <v>7</v>
          </cell>
          <cell r="H1116">
            <v>232.81</v>
          </cell>
          <cell r="I1116">
            <v>8295.4600422012008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P1116">
            <v>8295</v>
          </cell>
          <cell r="V1116" t="str">
            <v>Available</v>
          </cell>
        </row>
        <row r="1117">
          <cell r="A1117" t="str">
            <v>100300530001</v>
          </cell>
          <cell r="B1117" t="str">
            <v>Asarganj</v>
          </cell>
          <cell r="C1117" t="str">
            <v>Asarganj</v>
          </cell>
          <cell r="D1117" t="str">
            <v>MIRATTHI</v>
          </cell>
          <cell r="E1117">
            <v>10030053</v>
          </cell>
          <cell r="F1117" t="str">
            <v>0001</v>
          </cell>
          <cell r="G1117">
            <v>2</v>
          </cell>
          <cell r="H1117">
            <v>0.65</v>
          </cell>
          <cell r="I1117">
            <v>24.994898280000005</v>
          </cell>
          <cell r="J1117">
            <v>0</v>
          </cell>
          <cell r="K1117">
            <v>24.994898280000005</v>
          </cell>
          <cell r="L1117">
            <v>0</v>
          </cell>
          <cell r="M1117">
            <v>0</v>
          </cell>
          <cell r="P1117">
            <v>0</v>
          </cell>
          <cell r="V1117" t="str">
            <v>Not Available</v>
          </cell>
        </row>
        <row r="1118">
          <cell r="A1118" t="str">
            <v>100300530002</v>
          </cell>
          <cell r="B1118" t="str">
            <v>Asarganj</v>
          </cell>
          <cell r="C1118" t="str">
            <v>Asarganj</v>
          </cell>
          <cell r="D1118" t="str">
            <v>MIRATTHI</v>
          </cell>
          <cell r="E1118">
            <v>10030053</v>
          </cell>
          <cell r="F1118" t="str">
            <v>0002</v>
          </cell>
          <cell r="G1118">
            <v>4</v>
          </cell>
          <cell r="H1118">
            <v>72.900000000000006</v>
          </cell>
          <cell r="I1118">
            <v>2676.71840436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P1118">
            <v>2677</v>
          </cell>
          <cell r="V1118" t="str">
            <v>Available</v>
          </cell>
        </row>
        <row r="1119">
          <cell r="A1119" t="str">
            <v>100300530004</v>
          </cell>
          <cell r="B1119" t="str">
            <v>Asarganj</v>
          </cell>
          <cell r="C1119" t="str">
            <v>Asarganj</v>
          </cell>
          <cell r="D1119" t="str">
            <v>MIRATTHI</v>
          </cell>
          <cell r="E1119">
            <v>10030053</v>
          </cell>
          <cell r="F1119" t="str">
            <v>0004</v>
          </cell>
          <cell r="G1119">
            <v>1</v>
          </cell>
          <cell r="H1119">
            <v>1.05</v>
          </cell>
          <cell r="I1119">
            <v>35.662793859000004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P1119">
            <v>36</v>
          </cell>
          <cell r="V1119" t="str">
            <v>Available</v>
          </cell>
        </row>
        <row r="1120">
          <cell r="A1120" t="str">
            <v>100300530006</v>
          </cell>
          <cell r="B1120" t="str">
            <v>Asarganj</v>
          </cell>
          <cell r="C1120" t="str">
            <v>Asarganj</v>
          </cell>
          <cell r="D1120" t="str">
            <v>MIRATTHI</v>
          </cell>
          <cell r="E1120">
            <v>10030053</v>
          </cell>
          <cell r="F1120" t="str">
            <v>0006</v>
          </cell>
          <cell r="G1120">
            <v>6</v>
          </cell>
          <cell r="H1120">
            <v>29.9</v>
          </cell>
          <cell r="I1120">
            <v>1106.205658327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P1120">
            <v>1106</v>
          </cell>
          <cell r="V1120" t="str">
            <v>Available</v>
          </cell>
        </row>
        <row r="1121">
          <cell r="A1121" t="str">
            <v>100300530008</v>
          </cell>
          <cell r="B1121" t="str">
            <v>Asarganj</v>
          </cell>
          <cell r="C1121" t="str">
            <v>Asarganj</v>
          </cell>
          <cell r="D1121" t="str">
            <v>MIRATTHI</v>
          </cell>
          <cell r="E1121">
            <v>10030053</v>
          </cell>
          <cell r="F1121" t="str">
            <v>0008</v>
          </cell>
          <cell r="G1121">
            <v>3</v>
          </cell>
          <cell r="H1121">
            <v>5.5</v>
          </cell>
          <cell r="I1121">
            <v>187.70385387600001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P1121">
            <v>188</v>
          </cell>
          <cell r="V1121" t="str">
            <v>Available</v>
          </cell>
        </row>
        <row r="1122">
          <cell r="A1122" t="str">
            <v>100300530015</v>
          </cell>
          <cell r="B1122" t="str">
            <v>Asarganj</v>
          </cell>
          <cell r="C1122" t="str">
            <v>Asarganj</v>
          </cell>
          <cell r="D1122" t="str">
            <v>MIRATTHI</v>
          </cell>
          <cell r="E1122">
            <v>10030053</v>
          </cell>
          <cell r="F1122" t="str">
            <v>0015</v>
          </cell>
          <cell r="G1122">
            <v>7</v>
          </cell>
          <cell r="H1122">
            <v>17.149999999999999</v>
          </cell>
          <cell r="I1122">
            <v>714.80784157200003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P1122">
            <v>715</v>
          </cell>
          <cell r="V1122" t="str">
            <v>Available</v>
          </cell>
        </row>
        <row r="1123">
          <cell r="A1123" t="str">
            <v>100300530031</v>
          </cell>
          <cell r="B1123" t="str">
            <v>Asarganj</v>
          </cell>
          <cell r="C1123" t="str">
            <v>Asarganj</v>
          </cell>
          <cell r="D1123" t="str">
            <v>MIRATTHI</v>
          </cell>
          <cell r="E1123">
            <v>10030053</v>
          </cell>
          <cell r="F1123" t="str">
            <v>0031</v>
          </cell>
          <cell r="G1123">
            <v>1</v>
          </cell>
          <cell r="H1123">
            <v>4.3499999999999996</v>
          </cell>
          <cell r="I1123">
            <v>148.836894822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P1123">
            <v>149</v>
          </cell>
          <cell r="V1123" t="str">
            <v>Available</v>
          </cell>
        </row>
        <row r="1124">
          <cell r="A1124" t="str">
            <v>100300530039</v>
          </cell>
          <cell r="B1124" t="str">
            <v>Asarganj</v>
          </cell>
          <cell r="C1124" t="str">
            <v>Asarganj</v>
          </cell>
          <cell r="D1124" t="str">
            <v>MIRATTHI</v>
          </cell>
          <cell r="E1124">
            <v>10030053</v>
          </cell>
          <cell r="F1124" t="str">
            <v>0039</v>
          </cell>
          <cell r="G1124">
            <v>6</v>
          </cell>
          <cell r="H1124">
            <v>19.2</v>
          </cell>
          <cell r="I1124">
            <v>665.68400712000005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P1124">
            <v>666</v>
          </cell>
          <cell r="V1124" t="str">
            <v>Available</v>
          </cell>
        </row>
        <row r="1125">
          <cell r="A1125" t="str">
            <v>100300530048</v>
          </cell>
          <cell r="B1125" t="str">
            <v>Asarganj</v>
          </cell>
          <cell r="C1125" t="str">
            <v>Asarganj</v>
          </cell>
          <cell r="D1125" t="str">
            <v>MIRATTHI</v>
          </cell>
          <cell r="E1125">
            <v>10030053</v>
          </cell>
          <cell r="F1125" t="str">
            <v>0048</v>
          </cell>
          <cell r="G1125">
            <v>1</v>
          </cell>
          <cell r="H1125">
            <v>3.05</v>
          </cell>
          <cell r="I1125">
            <v>98.640301320000006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P1125">
            <v>99</v>
          </cell>
          <cell r="V1125" t="str">
            <v>Available</v>
          </cell>
        </row>
        <row r="1126">
          <cell r="A1126" t="str">
            <v>100300550001</v>
          </cell>
          <cell r="B1126" t="str">
            <v>Asarganj</v>
          </cell>
          <cell r="C1126" t="str">
            <v>Asarganj</v>
          </cell>
          <cell r="D1126" t="str">
            <v>DAULATPUR</v>
          </cell>
          <cell r="E1126">
            <v>10030055</v>
          </cell>
          <cell r="F1126" t="str">
            <v>0001</v>
          </cell>
          <cell r="G1126">
            <v>14</v>
          </cell>
          <cell r="H1126">
            <v>3.370000000000001</v>
          </cell>
          <cell r="I1126">
            <v>141.39766620848002</v>
          </cell>
          <cell r="J1126">
            <v>0</v>
          </cell>
          <cell r="K1126">
            <v>141.39766620848002</v>
          </cell>
          <cell r="L1126">
            <v>0</v>
          </cell>
          <cell r="M1126">
            <v>0</v>
          </cell>
          <cell r="P1126">
            <v>0</v>
          </cell>
          <cell r="V1126" t="str">
            <v>Not Available</v>
          </cell>
        </row>
        <row r="1127">
          <cell r="A1127" t="str">
            <v>100300550002</v>
          </cell>
          <cell r="B1127" t="str">
            <v>Asarganj</v>
          </cell>
          <cell r="C1127" t="str">
            <v>Asarganj</v>
          </cell>
          <cell r="D1127" t="str">
            <v>DAULATPUR</v>
          </cell>
          <cell r="E1127">
            <v>10030055</v>
          </cell>
          <cell r="F1127" t="str">
            <v>0002</v>
          </cell>
          <cell r="G1127">
            <v>7</v>
          </cell>
          <cell r="H1127">
            <v>39.269999999999996</v>
          </cell>
          <cell r="I1127">
            <v>1585.9971246240004</v>
          </cell>
          <cell r="J1127">
            <v>0</v>
          </cell>
          <cell r="K1127">
            <v>0</v>
          </cell>
          <cell r="L1127">
            <v>456</v>
          </cell>
          <cell r="M1127">
            <v>0</v>
          </cell>
          <cell r="P1127">
            <v>1130</v>
          </cell>
          <cell r="V1127" t="str">
            <v>Available</v>
          </cell>
        </row>
        <row r="1128">
          <cell r="A1128" t="str">
            <v>100300550003</v>
          </cell>
          <cell r="B1128" t="str">
            <v>Asarganj</v>
          </cell>
          <cell r="C1128" t="str">
            <v>Asarganj</v>
          </cell>
          <cell r="D1128" t="str">
            <v>DAULATPUR</v>
          </cell>
          <cell r="E1128">
            <v>10030055</v>
          </cell>
          <cell r="F1128" t="str">
            <v>0003</v>
          </cell>
          <cell r="G1128">
            <v>6</v>
          </cell>
          <cell r="H1128">
            <v>15.57</v>
          </cell>
          <cell r="I1128">
            <v>653.50977912000008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P1128">
            <v>654</v>
          </cell>
          <cell r="V1128" t="str">
            <v>Available</v>
          </cell>
        </row>
        <row r="1129">
          <cell r="A1129" t="str">
            <v>100300550014</v>
          </cell>
          <cell r="B1129" t="str">
            <v>Asarganj</v>
          </cell>
          <cell r="C1129" t="str">
            <v>Asarganj</v>
          </cell>
          <cell r="D1129" t="str">
            <v>DAULATPUR</v>
          </cell>
          <cell r="E1129">
            <v>10030055</v>
          </cell>
          <cell r="F1129" t="str">
            <v>0014</v>
          </cell>
          <cell r="G1129">
            <v>14</v>
          </cell>
          <cell r="H1129">
            <v>131.18</v>
          </cell>
          <cell r="I1129">
            <v>5700.1590595044509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P1129">
            <v>5700</v>
          </cell>
          <cell r="V1129" t="str">
            <v>Available</v>
          </cell>
        </row>
        <row r="1130">
          <cell r="A1130" t="str">
            <v>100300550140</v>
          </cell>
          <cell r="B1130" t="str">
            <v>Asarganj</v>
          </cell>
          <cell r="C1130" t="str">
            <v>Asarganj</v>
          </cell>
          <cell r="D1130" t="str">
            <v>DAULATPUR</v>
          </cell>
          <cell r="E1130">
            <v>10030055</v>
          </cell>
          <cell r="F1130" t="str">
            <v>0140</v>
          </cell>
          <cell r="G1130">
            <v>14</v>
          </cell>
          <cell r="H1130">
            <v>129.91999999999999</v>
          </cell>
          <cell r="I1130">
            <v>5502.0415403452607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P1130">
            <v>5502</v>
          </cell>
          <cell r="V1130" t="str">
            <v>Available</v>
          </cell>
        </row>
        <row r="1131">
          <cell r="A1131" t="str">
            <v>100300560001</v>
          </cell>
          <cell r="B1131" t="str">
            <v>Asarganj</v>
          </cell>
          <cell r="C1131" t="str">
            <v>Asarganj</v>
          </cell>
          <cell r="D1131" t="str">
            <v>MOHADDIPUR</v>
          </cell>
          <cell r="E1131">
            <v>10030056</v>
          </cell>
          <cell r="F1131" t="str">
            <v>0001</v>
          </cell>
          <cell r="G1131">
            <v>1</v>
          </cell>
          <cell r="H1131">
            <v>1</v>
          </cell>
          <cell r="I1131">
            <v>54.93857088</v>
          </cell>
          <cell r="J1131">
            <v>0</v>
          </cell>
          <cell r="K1131">
            <v>54.93857088</v>
          </cell>
          <cell r="L1131">
            <v>0</v>
          </cell>
          <cell r="M1131">
            <v>0</v>
          </cell>
          <cell r="P1131">
            <v>0</v>
          </cell>
          <cell r="V1131" t="str">
            <v>Not Available</v>
          </cell>
        </row>
        <row r="1132">
          <cell r="A1132" t="str">
            <v>100300560002</v>
          </cell>
          <cell r="B1132" t="str">
            <v>Asarganj</v>
          </cell>
          <cell r="C1132" t="str">
            <v>Asarganj</v>
          </cell>
          <cell r="D1132" t="str">
            <v>MOHADDIPUR</v>
          </cell>
          <cell r="E1132">
            <v>10030056</v>
          </cell>
          <cell r="F1132" t="str">
            <v>0002</v>
          </cell>
          <cell r="G1132">
            <v>3</v>
          </cell>
          <cell r="H1132">
            <v>31</v>
          </cell>
          <cell r="I1132">
            <v>1483.7125279800002</v>
          </cell>
          <cell r="J1132">
            <v>0</v>
          </cell>
          <cell r="K1132">
            <v>0</v>
          </cell>
          <cell r="L1132">
            <v>1484</v>
          </cell>
          <cell r="M1132">
            <v>0</v>
          </cell>
          <cell r="P1132">
            <v>0</v>
          </cell>
          <cell r="V1132" t="str">
            <v>Available</v>
          </cell>
        </row>
        <row r="1133">
          <cell r="A1133" t="str">
            <v>100300560003</v>
          </cell>
          <cell r="B1133" t="str">
            <v>Asarganj</v>
          </cell>
          <cell r="C1133" t="str">
            <v>Asarganj</v>
          </cell>
          <cell r="D1133" t="str">
            <v>MOHADDIPUR</v>
          </cell>
          <cell r="E1133">
            <v>10030056</v>
          </cell>
          <cell r="F1133" t="str">
            <v>0003</v>
          </cell>
          <cell r="G1133">
            <v>8</v>
          </cell>
          <cell r="H1133">
            <v>140</v>
          </cell>
          <cell r="I1133">
            <v>7097.2466471100006</v>
          </cell>
          <cell r="J1133">
            <v>0</v>
          </cell>
          <cell r="K1133">
            <v>0</v>
          </cell>
          <cell r="L1133">
            <v>5220</v>
          </cell>
          <cell r="M1133">
            <v>0</v>
          </cell>
          <cell r="P1133">
            <v>1877</v>
          </cell>
          <cell r="V1133" t="str">
            <v>Available</v>
          </cell>
        </row>
        <row r="1134">
          <cell r="A1134" t="str">
            <v>100300590001</v>
          </cell>
          <cell r="B1134" t="str">
            <v>Asarganj</v>
          </cell>
          <cell r="C1134" t="str">
            <v>Asarganj</v>
          </cell>
          <cell r="D1134" t="str">
            <v>JHAJHA</v>
          </cell>
          <cell r="E1134">
            <v>10030059</v>
          </cell>
          <cell r="F1134" t="str">
            <v>0001</v>
          </cell>
          <cell r="G1134">
            <v>1</v>
          </cell>
          <cell r="H1134">
            <v>2.52</v>
          </cell>
          <cell r="I1134">
            <v>98.131560912000012</v>
          </cell>
          <cell r="J1134">
            <v>0</v>
          </cell>
          <cell r="K1134">
            <v>98.131560912000012</v>
          </cell>
          <cell r="L1134">
            <v>0</v>
          </cell>
          <cell r="M1134">
            <v>0</v>
          </cell>
          <cell r="P1134">
            <v>0</v>
          </cell>
          <cell r="V1134" t="str">
            <v>Not Available</v>
          </cell>
        </row>
        <row r="1135">
          <cell r="A1135" t="str">
            <v>100300590002</v>
          </cell>
          <cell r="B1135" t="str">
            <v>Asarganj</v>
          </cell>
          <cell r="C1135" t="str">
            <v>Asarganj</v>
          </cell>
          <cell r="D1135" t="str">
            <v>JHAJHA</v>
          </cell>
          <cell r="E1135">
            <v>10030059</v>
          </cell>
          <cell r="F1135" t="str">
            <v>0002</v>
          </cell>
          <cell r="G1135">
            <v>14</v>
          </cell>
          <cell r="H1135">
            <v>117.66999999999999</v>
          </cell>
          <cell r="I1135">
            <v>6418.16793953042</v>
          </cell>
          <cell r="J1135">
            <v>0</v>
          </cell>
          <cell r="K1135">
            <v>0</v>
          </cell>
          <cell r="L1135">
            <v>691</v>
          </cell>
          <cell r="M1135">
            <v>0</v>
          </cell>
          <cell r="P1135">
            <v>5727</v>
          </cell>
          <cell r="V1135" t="str">
            <v>Available</v>
          </cell>
        </row>
        <row r="1136">
          <cell r="A1136" t="str">
            <v>100300590003</v>
          </cell>
          <cell r="B1136" t="str">
            <v>Asarganj</v>
          </cell>
          <cell r="C1136" t="str">
            <v>Asarganj</v>
          </cell>
          <cell r="D1136" t="str">
            <v>JHAJHA</v>
          </cell>
          <cell r="E1136">
            <v>10030059</v>
          </cell>
          <cell r="F1136" t="str">
            <v>0003</v>
          </cell>
          <cell r="G1136">
            <v>13</v>
          </cell>
          <cell r="H1136">
            <v>177.09</v>
          </cell>
          <cell r="I1136">
            <v>6872.6286888336008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P1136">
            <v>6873</v>
          </cell>
          <cell r="V1136" t="str">
            <v>Available</v>
          </cell>
        </row>
        <row r="1137">
          <cell r="A1137" t="str">
            <v>100300590008</v>
          </cell>
          <cell r="B1137" t="str">
            <v>Asarganj</v>
          </cell>
          <cell r="C1137" t="str">
            <v>Asarganj</v>
          </cell>
          <cell r="D1137" t="str">
            <v>JHAJHA</v>
          </cell>
          <cell r="E1137">
            <v>10030059</v>
          </cell>
          <cell r="F1137" t="str">
            <v>0008</v>
          </cell>
          <cell r="G1137">
            <v>2</v>
          </cell>
          <cell r="H1137">
            <v>2.9699999999999998</v>
          </cell>
          <cell r="I1137">
            <v>119.017116504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P1137">
            <v>119</v>
          </cell>
          <cell r="V1137" t="str">
            <v>Available</v>
          </cell>
        </row>
        <row r="1138">
          <cell r="A1138" t="str">
            <v>100300590010</v>
          </cell>
          <cell r="B1138" t="str">
            <v>Asarganj</v>
          </cell>
          <cell r="C1138" t="str">
            <v>Asarganj</v>
          </cell>
          <cell r="D1138" t="str">
            <v>JHAJHA</v>
          </cell>
          <cell r="E1138">
            <v>10030059</v>
          </cell>
          <cell r="F1138" t="str">
            <v>0010</v>
          </cell>
          <cell r="G1138">
            <v>14</v>
          </cell>
          <cell r="H1138">
            <v>32.900000000000006</v>
          </cell>
          <cell r="I1138">
            <v>1250.9403097752001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P1138">
            <v>1251</v>
          </cell>
          <cell r="V1138" t="str">
            <v>Available</v>
          </cell>
        </row>
        <row r="1139">
          <cell r="A1139" t="str">
            <v>100300590020</v>
          </cell>
          <cell r="B1139" t="str">
            <v>Asarganj</v>
          </cell>
          <cell r="C1139" t="str">
            <v>Asarganj</v>
          </cell>
          <cell r="D1139" t="str">
            <v>JHAJHA</v>
          </cell>
          <cell r="E1139">
            <v>10030059</v>
          </cell>
          <cell r="F1139" t="str">
            <v>0020</v>
          </cell>
          <cell r="G1139">
            <v>7</v>
          </cell>
          <cell r="H1139">
            <v>12.540000000000001</v>
          </cell>
          <cell r="I1139">
            <v>664.27846201714999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P1139">
            <v>664</v>
          </cell>
          <cell r="V1139" t="str">
            <v>Available</v>
          </cell>
        </row>
        <row r="1140">
          <cell r="A1140" t="str">
            <v>100300590022</v>
          </cell>
          <cell r="B1140" t="str">
            <v>Asarganj</v>
          </cell>
          <cell r="C1140" t="str">
            <v>Asarganj</v>
          </cell>
          <cell r="D1140" t="str">
            <v>JHAJHA</v>
          </cell>
          <cell r="E1140">
            <v>10030059</v>
          </cell>
          <cell r="F1140" t="str">
            <v>0022</v>
          </cell>
          <cell r="G1140">
            <v>14</v>
          </cell>
          <cell r="H1140">
            <v>39.480000000000004</v>
          </cell>
          <cell r="I1140">
            <v>1418.2315693920002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P1140">
            <v>1418</v>
          </cell>
          <cell r="V1140" t="str">
            <v>Available</v>
          </cell>
        </row>
        <row r="1141">
          <cell r="A1141" t="str">
            <v>100300590037</v>
          </cell>
          <cell r="B1141" t="str">
            <v>Asarganj</v>
          </cell>
          <cell r="C1141" t="str">
            <v>Asarganj</v>
          </cell>
          <cell r="D1141" t="str">
            <v>JHAJHA</v>
          </cell>
          <cell r="E1141">
            <v>10030059</v>
          </cell>
          <cell r="F1141" t="str">
            <v>0037</v>
          </cell>
          <cell r="G1141">
            <v>14</v>
          </cell>
          <cell r="H1141">
            <v>67.27000000000001</v>
          </cell>
          <cell r="I1141">
            <v>2792.3457628084416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P1141">
            <v>2792</v>
          </cell>
          <cell r="V1141" t="str">
            <v>Available</v>
          </cell>
        </row>
        <row r="1142">
          <cell r="A1142" t="str">
            <v>100300600001</v>
          </cell>
          <cell r="B1142" t="str">
            <v>Asarganj</v>
          </cell>
          <cell r="C1142" t="str">
            <v>Asarganj</v>
          </cell>
          <cell r="D1142" t="str">
            <v>KAMARDUH</v>
          </cell>
          <cell r="E1142">
            <v>10030060</v>
          </cell>
          <cell r="F1142" t="str">
            <v>0001</v>
          </cell>
          <cell r="G1142">
            <v>14</v>
          </cell>
          <cell r="H1142">
            <v>7</v>
          </cell>
          <cell r="I1142">
            <v>287.50384080000003</v>
          </cell>
          <cell r="J1142">
            <v>0</v>
          </cell>
          <cell r="K1142">
            <v>287.50384080000003</v>
          </cell>
          <cell r="L1142">
            <v>0</v>
          </cell>
          <cell r="M1142">
            <v>0</v>
          </cell>
          <cell r="P1142">
            <v>0</v>
          </cell>
          <cell r="V1142" t="str">
            <v>Not Available</v>
          </cell>
        </row>
        <row r="1143">
          <cell r="A1143" t="str">
            <v>100300600002</v>
          </cell>
          <cell r="B1143" t="str">
            <v>Asarganj</v>
          </cell>
          <cell r="C1143" t="str">
            <v>Asarganj</v>
          </cell>
          <cell r="D1143" t="str">
            <v>KAMARDUH</v>
          </cell>
          <cell r="E1143">
            <v>10030060</v>
          </cell>
          <cell r="F1143" t="str">
            <v>0002</v>
          </cell>
          <cell r="G1143">
            <v>14</v>
          </cell>
          <cell r="H1143">
            <v>784.9</v>
          </cell>
          <cell r="I1143">
            <v>32302.890314640004</v>
          </cell>
          <cell r="J1143">
            <v>0</v>
          </cell>
          <cell r="K1143">
            <v>0</v>
          </cell>
          <cell r="L1143">
            <v>279</v>
          </cell>
          <cell r="M1143">
            <v>0</v>
          </cell>
          <cell r="P1143">
            <v>32024</v>
          </cell>
          <cell r="V1143" t="str">
            <v>Available</v>
          </cell>
        </row>
        <row r="1144">
          <cell r="A1144" t="str">
            <v>100300610001</v>
          </cell>
          <cell r="B1144" t="str">
            <v>Asarganj</v>
          </cell>
          <cell r="C1144" t="str">
            <v>Asarganj</v>
          </cell>
          <cell r="D1144" t="str">
            <v>BARSABAD</v>
          </cell>
          <cell r="E1144">
            <v>10030061</v>
          </cell>
          <cell r="F1144" t="str">
            <v>0001</v>
          </cell>
          <cell r="G1144">
            <v>1</v>
          </cell>
          <cell r="H1144">
            <v>1.0900000000000001</v>
          </cell>
          <cell r="I1144">
            <v>40.71923420400001</v>
          </cell>
          <cell r="J1144">
            <v>0</v>
          </cell>
          <cell r="K1144">
            <v>40.71923420400001</v>
          </cell>
          <cell r="L1144">
            <v>0</v>
          </cell>
          <cell r="M1144">
            <v>0</v>
          </cell>
          <cell r="P1144">
            <v>0</v>
          </cell>
          <cell r="V1144" t="str">
            <v>Not Available</v>
          </cell>
        </row>
        <row r="1145">
          <cell r="A1145" t="str">
            <v>100300610002</v>
          </cell>
          <cell r="B1145" t="str">
            <v>Asarganj</v>
          </cell>
          <cell r="C1145" t="str">
            <v>Asarganj</v>
          </cell>
          <cell r="D1145" t="str">
            <v>BARSABAD</v>
          </cell>
          <cell r="E1145">
            <v>10030061</v>
          </cell>
          <cell r="F1145" t="str">
            <v>0002</v>
          </cell>
          <cell r="G1145">
            <v>14</v>
          </cell>
          <cell r="H1145">
            <v>206.01</v>
          </cell>
          <cell r="I1145">
            <v>7674.5907773172012</v>
          </cell>
          <cell r="J1145">
            <v>0</v>
          </cell>
          <cell r="K1145">
            <v>0</v>
          </cell>
          <cell r="L1145">
            <v>2518</v>
          </cell>
          <cell r="M1145">
            <v>0</v>
          </cell>
          <cell r="P1145">
            <v>5157</v>
          </cell>
          <cell r="V1145" t="str">
            <v>Available</v>
          </cell>
        </row>
        <row r="1146">
          <cell r="A1146" t="str">
            <v>100300610003</v>
          </cell>
          <cell r="B1146" t="str">
            <v>Asarganj</v>
          </cell>
          <cell r="C1146" t="str">
            <v>Asarganj</v>
          </cell>
          <cell r="D1146" t="str">
            <v>BARSABAD</v>
          </cell>
          <cell r="E1146">
            <v>10030061</v>
          </cell>
          <cell r="F1146" t="str">
            <v>0003</v>
          </cell>
          <cell r="G1146">
            <v>13</v>
          </cell>
          <cell r="H1146">
            <v>190.40999999999997</v>
          </cell>
          <cell r="I1146">
            <v>7046.7775344647998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P1146">
            <v>7047</v>
          </cell>
          <cell r="V1146" t="str">
            <v>Available</v>
          </cell>
        </row>
        <row r="1147">
          <cell r="A1147" t="str">
            <v>100300610004</v>
          </cell>
          <cell r="B1147" t="str">
            <v>Asarganj</v>
          </cell>
          <cell r="C1147" t="str">
            <v>Asarganj</v>
          </cell>
          <cell r="D1147" t="str">
            <v>BARSABAD</v>
          </cell>
          <cell r="E1147">
            <v>10030061</v>
          </cell>
          <cell r="F1147" t="str">
            <v>0004</v>
          </cell>
          <cell r="G1147">
            <v>1</v>
          </cell>
          <cell r="H1147">
            <v>2.82</v>
          </cell>
          <cell r="I1147">
            <v>89.712817920000006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P1147">
            <v>90</v>
          </cell>
          <cell r="V1147" t="str">
            <v>Available</v>
          </cell>
        </row>
        <row r="1148">
          <cell r="A1148" t="str">
            <v>100300610006</v>
          </cell>
          <cell r="B1148" t="str">
            <v>Asarganj</v>
          </cell>
          <cell r="C1148" t="str">
            <v>Asarganj</v>
          </cell>
          <cell r="D1148" t="str">
            <v>BARSABAD</v>
          </cell>
          <cell r="E1148">
            <v>10030061</v>
          </cell>
          <cell r="F1148" t="str">
            <v>0006</v>
          </cell>
          <cell r="G1148">
            <v>14</v>
          </cell>
          <cell r="H1148">
            <v>216.38000000000002</v>
          </cell>
          <cell r="I1148">
            <v>8120.0671120404004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P1148">
            <v>8120</v>
          </cell>
          <cell r="V1148" t="str">
            <v>Available</v>
          </cell>
        </row>
        <row r="1149">
          <cell r="A1149" t="str">
            <v>100300610009</v>
          </cell>
          <cell r="B1149" t="str">
            <v>Asarganj</v>
          </cell>
          <cell r="C1149" t="str">
            <v>Asarganj</v>
          </cell>
          <cell r="D1149" t="str">
            <v>BARSABAD</v>
          </cell>
          <cell r="E1149">
            <v>10030061</v>
          </cell>
          <cell r="F1149" t="str">
            <v>0009</v>
          </cell>
          <cell r="G1149">
            <v>8</v>
          </cell>
          <cell r="H1149">
            <v>24.04</v>
          </cell>
          <cell r="I1149">
            <v>771.85587976200009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P1149">
            <v>772</v>
          </cell>
          <cell r="V1149" t="str">
            <v>Available</v>
          </cell>
        </row>
        <row r="1150">
          <cell r="A1150" t="str">
            <v>100300610012</v>
          </cell>
          <cell r="B1150" t="str">
            <v>Asarganj</v>
          </cell>
          <cell r="C1150" t="str">
            <v>Asarganj</v>
          </cell>
          <cell r="D1150" t="str">
            <v>BARSABAD</v>
          </cell>
          <cell r="E1150">
            <v>10030061</v>
          </cell>
          <cell r="F1150" t="str">
            <v>0012</v>
          </cell>
          <cell r="G1150">
            <v>7</v>
          </cell>
          <cell r="H1150">
            <v>19.57</v>
          </cell>
          <cell r="I1150">
            <v>614.46508275240012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P1150">
            <v>614</v>
          </cell>
          <cell r="V1150" t="str">
            <v>Available</v>
          </cell>
        </row>
        <row r="1151">
          <cell r="A1151" t="str">
            <v>100300610022</v>
          </cell>
          <cell r="B1151" t="str">
            <v>Asarganj</v>
          </cell>
          <cell r="C1151" t="str">
            <v>Asarganj</v>
          </cell>
          <cell r="D1151" t="str">
            <v>BARSABAD</v>
          </cell>
          <cell r="E1151">
            <v>10030061</v>
          </cell>
          <cell r="F1151" t="str">
            <v>0022</v>
          </cell>
          <cell r="G1151">
            <v>6</v>
          </cell>
          <cell r="H1151">
            <v>5.89</v>
          </cell>
          <cell r="I1151">
            <v>214.30165838400001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P1151">
            <v>214</v>
          </cell>
          <cell r="V1151" t="str">
            <v>Available</v>
          </cell>
        </row>
        <row r="1152">
          <cell r="A1152" t="str">
            <v>100300610036</v>
          </cell>
          <cell r="B1152" t="str">
            <v>Asarganj</v>
          </cell>
          <cell r="C1152" t="str">
            <v>Asarganj</v>
          </cell>
          <cell r="D1152" t="str">
            <v>BARSABAD</v>
          </cell>
          <cell r="E1152">
            <v>10030061</v>
          </cell>
          <cell r="F1152" t="str">
            <v>0036</v>
          </cell>
          <cell r="G1152">
            <v>13</v>
          </cell>
          <cell r="H1152">
            <v>41.489999999999995</v>
          </cell>
          <cell r="I1152">
            <v>1479.6468716040001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P1152">
            <v>1480</v>
          </cell>
          <cell r="V1152" t="str">
            <v>Available</v>
          </cell>
        </row>
        <row r="1153">
          <cell r="A1153" t="str">
            <v>100300630001</v>
          </cell>
          <cell r="B1153" t="str">
            <v>Asarganj</v>
          </cell>
          <cell r="C1153" t="str">
            <v>Asarganj</v>
          </cell>
          <cell r="D1153" t="str">
            <v>GONAI</v>
          </cell>
          <cell r="E1153">
            <v>10030063</v>
          </cell>
          <cell r="F1153" t="str">
            <v>0001</v>
          </cell>
          <cell r="G1153">
            <v>13</v>
          </cell>
          <cell r="H1153">
            <v>4.4799999999999995</v>
          </cell>
          <cell r="I1153">
            <v>165.3093805968</v>
          </cell>
          <cell r="J1153">
            <v>0</v>
          </cell>
          <cell r="K1153">
            <v>165.3093805968</v>
          </cell>
          <cell r="L1153">
            <v>0</v>
          </cell>
          <cell r="M1153">
            <v>0</v>
          </cell>
          <cell r="P1153">
            <v>0</v>
          </cell>
          <cell r="V1153" t="str">
            <v>Not Available</v>
          </cell>
        </row>
        <row r="1154">
          <cell r="A1154" t="str">
            <v>100300630002</v>
          </cell>
          <cell r="B1154" t="str">
            <v>Asarganj</v>
          </cell>
          <cell r="C1154" t="str">
            <v>Asarganj</v>
          </cell>
          <cell r="D1154" t="str">
            <v>GONAI</v>
          </cell>
          <cell r="E1154">
            <v>10030063</v>
          </cell>
          <cell r="F1154" t="str">
            <v>0002</v>
          </cell>
          <cell r="G1154">
            <v>13</v>
          </cell>
          <cell r="H1154">
            <v>391.67999999999995</v>
          </cell>
          <cell r="I1154">
            <v>15091.895250668211</v>
          </cell>
          <cell r="J1154">
            <v>0</v>
          </cell>
          <cell r="K1154">
            <v>0</v>
          </cell>
          <cell r="L1154">
            <v>1942</v>
          </cell>
          <cell r="M1154">
            <v>0</v>
          </cell>
          <cell r="P1154">
            <v>13150</v>
          </cell>
          <cell r="V1154" t="str">
            <v>Available</v>
          </cell>
        </row>
        <row r="1155">
          <cell r="A1155" t="str">
            <v>100300630004</v>
          </cell>
          <cell r="B1155" t="str">
            <v>Asarganj</v>
          </cell>
          <cell r="C1155" t="str">
            <v>Asarganj</v>
          </cell>
          <cell r="D1155" t="str">
            <v>GONAI</v>
          </cell>
          <cell r="E1155">
            <v>10030063</v>
          </cell>
          <cell r="F1155" t="str">
            <v>0004</v>
          </cell>
          <cell r="G1155">
            <v>8</v>
          </cell>
          <cell r="H1155">
            <v>24.58</v>
          </cell>
          <cell r="I1155">
            <v>966.0135428064001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P1155">
            <v>966</v>
          </cell>
          <cell r="V1155" t="str">
            <v>Available</v>
          </cell>
        </row>
        <row r="1156">
          <cell r="A1156" t="str">
            <v>100300630005</v>
          </cell>
          <cell r="B1156" t="str">
            <v>Asarganj</v>
          </cell>
          <cell r="C1156" t="str">
            <v>Asarganj</v>
          </cell>
          <cell r="D1156" t="str">
            <v>GONAI</v>
          </cell>
          <cell r="E1156">
            <v>10030063</v>
          </cell>
          <cell r="F1156" t="str">
            <v>0005</v>
          </cell>
          <cell r="G1156">
            <v>12</v>
          </cell>
          <cell r="H1156">
            <v>230.45999999999998</v>
          </cell>
          <cell r="I1156">
            <v>9372.7315202050213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P1156">
            <v>9373</v>
          </cell>
          <cell r="V1156" t="str">
            <v>Available</v>
          </cell>
        </row>
        <row r="1157">
          <cell r="A1157" t="str">
            <v>100300630007</v>
          </cell>
          <cell r="B1157" t="str">
            <v>Asarganj</v>
          </cell>
          <cell r="C1157" t="str">
            <v>Asarganj</v>
          </cell>
          <cell r="D1157" t="str">
            <v>GONAI</v>
          </cell>
          <cell r="E1157">
            <v>10030063</v>
          </cell>
          <cell r="F1157" t="str">
            <v>0007</v>
          </cell>
          <cell r="G1157">
            <v>12</v>
          </cell>
          <cell r="H1157">
            <v>191.27999999999997</v>
          </cell>
          <cell r="I1157">
            <v>6878.3349951359996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P1157">
            <v>6878</v>
          </cell>
          <cell r="V1157" t="str">
            <v>Available</v>
          </cell>
        </row>
        <row r="1158">
          <cell r="A1158" t="str">
            <v>100300630014</v>
          </cell>
          <cell r="B1158" t="str">
            <v>Asarganj</v>
          </cell>
          <cell r="C1158" t="str">
            <v>Asarganj</v>
          </cell>
          <cell r="D1158" t="str">
            <v>GONAI</v>
          </cell>
          <cell r="E1158">
            <v>10030063</v>
          </cell>
          <cell r="F1158" t="str">
            <v>0014</v>
          </cell>
          <cell r="G1158">
            <v>14</v>
          </cell>
          <cell r="H1158">
            <v>75.42</v>
          </cell>
          <cell r="I1158">
            <v>2577.3996314484002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P1158">
            <v>2577</v>
          </cell>
          <cell r="V1158" t="str">
            <v>Available</v>
          </cell>
        </row>
        <row r="1159">
          <cell r="A1159" t="str">
            <v>100300630027</v>
          </cell>
          <cell r="B1159" t="str">
            <v>Asarganj</v>
          </cell>
          <cell r="C1159" t="str">
            <v>Asarganj</v>
          </cell>
          <cell r="D1159" t="str">
            <v>GONAI</v>
          </cell>
          <cell r="E1159">
            <v>10030063</v>
          </cell>
          <cell r="F1159" t="str">
            <v>0027</v>
          </cell>
          <cell r="G1159">
            <v>6</v>
          </cell>
          <cell r="H1159">
            <v>10.9</v>
          </cell>
          <cell r="I1159">
            <v>438.15718980000003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P1159">
            <v>438</v>
          </cell>
          <cell r="V1159" t="str">
            <v>Available</v>
          </cell>
        </row>
        <row r="1160">
          <cell r="A1160" t="str">
            <v>100300640002</v>
          </cell>
          <cell r="B1160" t="str">
            <v>Asarganj</v>
          </cell>
          <cell r="C1160" t="str">
            <v>Asarganj</v>
          </cell>
          <cell r="D1160" t="str">
            <v>SHIKARITOLA</v>
          </cell>
          <cell r="E1160">
            <v>10030064</v>
          </cell>
          <cell r="F1160" t="str">
            <v>0002</v>
          </cell>
          <cell r="G1160">
            <v>9</v>
          </cell>
          <cell r="H1160">
            <v>228.96</v>
          </cell>
          <cell r="I1160">
            <v>10184.624117085601</v>
          </cell>
          <cell r="J1160">
            <v>0</v>
          </cell>
          <cell r="K1160">
            <v>0</v>
          </cell>
          <cell r="L1160">
            <v>4340</v>
          </cell>
          <cell r="M1160">
            <v>0</v>
          </cell>
          <cell r="P1160">
            <v>5845</v>
          </cell>
          <cell r="V1160" t="str">
            <v>Available</v>
          </cell>
        </row>
        <row r="1161">
          <cell r="A1161" t="str">
            <v>100300640003</v>
          </cell>
          <cell r="B1161" t="str">
            <v>Asarganj</v>
          </cell>
          <cell r="C1161" t="str">
            <v>Asarganj</v>
          </cell>
          <cell r="D1161" t="str">
            <v>SHIKARITOLA</v>
          </cell>
          <cell r="E1161">
            <v>10030064</v>
          </cell>
          <cell r="F1161" t="str">
            <v>0003</v>
          </cell>
          <cell r="G1161">
            <v>14</v>
          </cell>
          <cell r="H1161">
            <v>603.79999999999995</v>
          </cell>
          <cell r="I1161">
            <v>26080.193452869811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P1161">
            <v>26080</v>
          </cell>
          <cell r="V1161" t="str">
            <v>Available</v>
          </cell>
        </row>
        <row r="1162">
          <cell r="A1162" t="str">
            <v>100300640028</v>
          </cell>
          <cell r="B1162" t="str">
            <v>Asarganj</v>
          </cell>
          <cell r="C1162" t="str">
            <v>Asarganj</v>
          </cell>
          <cell r="D1162" t="str">
            <v>SHIKARITOLA</v>
          </cell>
          <cell r="E1162">
            <v>10030064</v>
          </cell>
          <cell r="F1162" t="str">
            <v>0028</v>
          </cell>
          <cell r="G1162">
            <v>11</v>
          </cell>
          <cell r="H1162">
            <v>37.57</v>
          </cell>
          <cell r="I1162">
            <v>1397.662011504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P1162">
            <v>1398</v>
          </cell>
          <cell r="V1162" t="str">
            <v>Available</v>
          </cell>
        </row>
        <row r="1163">
          <cell r="A1163" t="str">
            <v>100300650001</v>
          </cell>
          <cell r="B1163" t="str">
            <v>Asarganj</v>
          </cell>
          <cell r="C1163" t="str">
            <v>Asarganj</v>
          </cell>
          <cell r="D1163" t="str">
            <v>BAIKUNTHPUR</v>
          </cell>
          <cell r="E1163">
            <v>10030065</v>
          </cell>
          <cell r="F1163" t="str">
            <v>0001</v>
          </cell>
          <cell r="G1163">
            <v>12</v>
          </cell>
          <cell r="H1163">
            <v>3.09</v>
          </cell>
          <cell r="I1163">
            <v>105.09022652040001</v>
          </cell>
          <cell r="J1163">
            <v>0</v>
          </cell>
          <cell r="K1163">
            <v>105.09022652040001</v>
          </cell>
          <cell r="L1163">
            <v>0</v>
          </cell>
          <cell r="M1163">
            <v>0</v>
          </cell>
          <cell r="P1163">
            <v>0</v>
          </cell>
          <cell r="V1163" t="str">
            <v>Not Available</v>
          </cell>
        </row>
        <row r="1164">
          <cell r="A1164" t="str">
            <v>100300650002</v>
          </cell>
          <cell r="B1164" t="str">
            <v>Asarganj</v>
          </cell>
          <cell r="C1164" t="str">
            <v>Asarganj</v>
          </cell>
          <cell r="D1164" t="str">
            <v>BAIKUNTHPUR</v>
          </cell>
          <cell r="E1164">
            <v>10030065</v>
          </cell>
          <cell r="F1164" t="str">
            <v>0002</v>
          </cell>
          <cell r="G1164">
            <v>11</v>
          </cell>
          <cell r="H1164">
            <v>87.81</v>
          </cell>
          <cell r="I1164">
            <v>2939.5563604308004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P1164">
            <v>2940</v>
          </cell>
          <cell r="V1164" t="str">
            <v>Available</v>
          </cell>
        </row>
        <row r="1165">
          <cell r="A1165" t="str">
            <v>100300650003</v>
          </cell>
          <cell r="B1165" t="str">
            <v>Asarganj</v>
          </cell>
          <cell r="C1165" t="str">
            <v>Asarganj</v>
          </cell>
          <cell r="D1165" t="str">
            <v>BAIKUNTHPUR</v>
          </cell>
          <cell r="E1165">
            <v>10030065</v>
          </cell>
          <cell r="F1165" t="str">
            <v>0003</v>
          </cell>
          <cell r="G1165">
            <v>12</v>
          </cell>
          <cell r="H1165">
            <v>77.47</v>
          </cell>
          <cell r="I1165">
            <v>2619.4526057501998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P1165">
            <v>2619</v>
          </cell>
          <cell r="V1165" t="str">
            <v>Available</v>
          </cell>
        </row>
        <row r="1166">
          <cell r="A1166" t="str">
            <v>100300650004</v>
          </cell>
          <cell r="B1166" t="str">
            <v>Asarganj</v>
          </cell>
          <cell r="C1166" t="str">
            <v>Asarganj</v>
          </cell>
          <cell r="D1166" t="str">
            <v>BAIKUNTHPUR</v>
          </cell>
          <cell r="E1166">
            <v>10030065</v>
          </cell>
          <cell r="F1166" t="str">
            <v>0004</v>
          </cell>
          <cell r="G1166">
            <v>11</v>
          </cell>
          <cell r="H1166">
            <v>77.84</v>
          </cell>
          <cell r="I1166">
            <v>2616.7960457298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P1166">
            <v>2617</v>
          </cell>
          <cell r="V1166" t="str">
            <v>Available</v>
          </cell>
        </row>
        <row r="1167">
          <cell r="A1167" t="str">
            <v>100300660001</v>
          </cell>
          <cell r="B1167" t="str">
            <v>Asarganj</v>
          </cell>
          <cell r="C1167" t="str">
            <v>Asarganj</v>
          </cell>
          <cell r="D1167" t="str">
            <v>KAITHA</v>
          </cell>
          <cell r="E1167">
            <v>10030066</v>
          </cell>
          <cell r="F1167" t="str">
            <v>0001</v>
          </cell>
          <cell r="G1167">
            <v>14</v>
          </cell>
          <cell r="H1167">
            <v>23.560000000000002</v>
          </cell>
          <cell r="I1167">
            <v>921.8459568582</v>
          </cell>
          <cell r="J1167">
            <v>0</v>
          </cell>
          <cell r="K1167">
            <v>921.8459568582</v>
          </cell>
          <cell r="L1167">
            <v>0</v>
          </cell>
          <cell r="M1167">
            <v>0</v>
          </cell>
          <cell r="P1167">
            <v>0</v>
          </cell>
          <cell r="V1167" t="str">
            <v>Not Available</v>
          </cell>
        </row>
        <row r="1168">
          <cell r="A1168" t="str">
            <v>100300660002</v>
          </cell>
          <cell r="B1168" t="str">
            <v>Asarganj</v>
          </cell>
          <cell r="C1168" t="str">
            <v>Asarganj</v>
          </cell>
          <cell r="D1168" t="str">
            <v>KAITHA</v>
          </cell>
          <cell r="E1168">
            <v>10030066</v>
          </cell>
          <cell r="F1168" t="str">
            <v>0002</v>
          </cell>
          <cell r="G1168">
            <v>14</v>
          </cell>
          <cell r="H1168">
            <v>205.45999999999998</v>
          </cell>
          <cell r="I1168">
            <v>8714.1887522403995</v>
          </cell>
          <cell r="J1168">
            <v>0</v>
          </cell>
          <cell r="K1168">
            <v>0</v>
          </cell>
          <cell r="L1168">
            <v>5701</v>
          </cell>
          <cell r="M1168">
            <v>0</v>
          </cell>
          <cell r="P1168">
            <v>3013</v>
          </cell>
          <cell r="V1168" t="str">
            <v>Available</v>
          </cell>
        </row>
        <row r="1169">
          <cell r="A1169" t="str">
            <v>100300660003</v>
          </cell>
          <cell r="B1169" t="str">
            <v>Asarganj</v>
          </cell>
          <cell r="C1169" t="str">
            <v>Asarganj</v>
          </cell>
          <cell r="D1169" t="str">
            <v>KAITHA</v>
          </cell>
          <cell r="E1169">
            <v>10030066</v>
          </cell>
          <cell r="F1169" t="str">
            <v>0003</v>
          </cell>
          <cell r="G1169">
            <v>14</v>
          </cell>
          <cell r="H1169">
            <v>183.52999999999997</v>
          </cell>
          <cell r="I1169">
            <v>8165.8203443149114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P1169">
            <v>8166</v>
          </cell>
          <cell r="V1169" t="str">
            <v>Available</v>
          </cell>
        </row>
        <row r="1170">
          <cell r="A1170" t="str">
            <v>100300660004</v>
          </cell>
          <cell r="B1170" t="str">
            <v>Asarganj</v>
          </cell>
          <cell r="C1170" t="str">
            <v>Asarganj</v>
          </cell>
          <cell r="D1170" t="str">
            <v>KAITHA</v>
          </cell>
          <cell r="E1170">
            <v>10030066</v>
          </cell>
          <cell r="F1170" t="str">
            <v>0004</v>
          </cell>
          <cell r="G1170">
            <v>14</v>
          </cell>
          <cell r="H1170">
            <v>181.82999999999998</v>
          </cell>
          <cell r="I1170">
            <v>7520.1473887527627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P1170">
            <v>7520</v>
          </cell>
          <cell r="V1170" t="str">
            <v>Available</v>
          </cell>
        </row>
        <row r="1171">
          <cell r="A1171" t="str">
            <v>100300660009</v>
          </cell>
          <cell r="B1171" t="str">
            <v>Asarganj</v>
          </cell>
          <cell r="C1171" t="str">
            <v>Asarganj</v>
          </cell>
          <cell r="D1171" t="str">
            <v>KAITHA</v>
          </cell>
          <cell r="E1171">
            <v>10030066</v>
          </cell>
          <cell r="F1171" t="str">
            <v>0009</v>
          </cell>
          <cell r="G1171">
            <v>14</v>
          </cell>
          <cell r="H1171">
            <v>26.48</v>
          </cell>
          <cell r="I1171">
            <v>1096.874972028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P1171">
            <v>1097</v>
          </cell>
          <cell r="V1171" t="str">
            <v>Available</v>
          </cell>
        </row>
        <row r="1172">
          <cell r="A1172" t="str">
            <v>100300660011</v>
          </cell>
          <cell r="B1172" t="str">
            <v>Asarganj</v>
          </cell>
          <cell r="C1172" t="str">
            <v>Asarganj</v>
          </cell>
          <cell r="D1172" t="str">
            <v>KAITHA</v>
          </cell>
          <cell r="E1172">
            <v>10030066</v>
          </cell>
          <cell r="F1172" t="str">
            <v>0011</v>
          </cell>
          <cell r="G1172">
            <v>14</v>
          </cell>
          <cell r="H1172">
            <v>183.54</v>
          </cell>
          <cell r="I1172">
            <v>7470.3878662843799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P1172">
            <v>7470</v>
          </cell>
          <cell r="V1172" t="str">
            <v>Available</v>
          </cell>
        </row>
        <row r="1173">
          <cell r="A1173" t="str">
            <v>100300660015</v>
          </cell>
          <cell r="B1173" t="str">
            <v>Asarganj</v>
          </cell>
          <cell r="C1173" t="str">
            <v>Asarganj</v>
          </cell>
          <cell r="D1173" t="str">
            <v>KAITHA</v>
          </cell>
          <cell r="E1173">
            <v>10030066</v>
          </cell>
          <cell r="F1173" t="str">
            <v>0015</v>
          </cell>
          <cell r="G1173">
            <v>14</v>
          </cell>
          <cell r="H1173">
            <v>186</v>
          </cell>
          <cell r="I1173">
            <v>8068.3060052185247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P1173">
            <v>8068</v>
          </cell>
          <cell r="V1173" t="str">
            <v>Available</v>
          </cell>
        </row>
        <row r="1174">
          <cell r="A1174" t="str">
            <v>100300660016</v>
          </cell>
          <cell r="B1174" t="str">
            <v>Asarganj</v>
          </cell>
          <cell r="C1174" t="str">
            <v>Asarganj</v>
          </cell>
          <cell r="D1174" t="str">
            <v>KAITHA</v>
          </cell>
          <cell r="E1174">
            <v>10030066</v>
          </cell>
          <cell r="F1174" t="str">
            <v>0016</v>
          </cell>
          <cell r="G1174">
            <v>14</v>
          </cell>
          <cell r="H1174">
            <v>183.14000000000001</v>
          </cell>
          <cell r="I1174">
            <v>7246.2602644938006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P1174">
            <v>7246</v>
          </cell>
          <cell r="V1174" t="str">
            <v>Available</v>
          </cell>
        </row>
        <row r="1175">
          <cell r="A1175" t="str">
            <v>100300660023</v>
          </cell>
          <cell r="B1175" t="str">
            <v>Asarganj</v>
          </cell>
          <cell r="C1175" t="str">
            <v>Asarganj</v>
          </cell>
          <cell r="D1175" t="str">
            <v>KAITHA</v>
          </cell>
          <cell r="E1175">
            <v>10030066</v>
          </cell>
          <cell r="F1175" t="str">
            <v>0023</v>
          </cell>
          <cell r="G1175">
            <v>14</v>
          </cell>
          <cell r="H1175">
            <v>168.71</v>
          </cell>
          <cell r="I1175">
            <v>6748.2877198215601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P1175">
            <v>6748</v>
          </cell>
          <cell r="V1175" t="str">
            <v>Not Available</v>
          </cell>
        </row>
        <row r="1176">
          <cell r="A1176" t="str">
            <v>100300660024</v>
          </cell>
          <cell r="B1176" t="str">
            <v>Asarganj</v>
          </cell>
          <cell r="C1176" t="str">
            <v>Asarganj</v>
          </cell>
          <cell r="D1176" t="str">
            <v>KAITHA</v>
          </cell>
          <cell r="E1176">
            <v>10030066</v>
          </cell>
          <cell r="F1176" t="str">
            <v>0024</v>
          </cell>
          <cell r="G1176">
            <v>14</v>
          </cell>
          <cell r="H1176">
            <v>169.74</v>
          </cell>
          <cell r="I1176">
            <v>6972.3216978550208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P1176">
            <v>6972</v>
          </cell>
          <cell r="V1176" t="str">
            <v>Not Available</v>
          </cell>
        </row>
        <row r="1177">
          <cell r="A1177" t="str">
            <v>100300660025</v>
          </cell>
          <cell r="B1177" t="str">
            <v>Asarganj</v>
          </cell>
          <cell r="C1177" t="str">
            <v>Asarganj</v>
          </cell>
          <cell r="D1177" t="str">
            <v>KAITHA</v>
          </cell>
          <cell r="E1177">
            <v>10030066</v>
          </cell>
          <cell r="F1177" t="str">
            <v>0025</v>
          </cell>
          <cell r="G1177">
            <v>13</v>
          </cell>
          <cell r="H1177">
            <v>150.01</v>
          </cell>
          <cell r="I1177">
            <v>6301.885538478421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P1177">
            <v>6302</v>
          </cell>
          <cell r="V1177" t="str">
            <v>Not Available</v>
          </cell>
        </row>
        <row r="1178">
          <cell r="A1178" t="str">
            <v>100300660026</v>
          </cell>
          <cell r="B1178" t="str">
            <v>Asarganj</v>
          </cell>
          <cell r="C1178" t="str">
            <v>Asarganj</v>
          </cell>
          <cell r="D1178" t="str">
            <v>KAITHA</v>
          </cell>
          <cell r="E1178">
            <v>10030066</v>
          </cell>
          <cell r="F1178" t="str">
            <v>0026</v>
          </cell>
          <cell r="G1178">
            <v>7</v>
          </cell>
          <cell r="H1178">
            <v>78.15000000000002</v>
          </cell>
          <cell r="I1178">
            <v>3016.4491263060004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P1178">
            <v>3016</v>
          </cell>
          <cell r="V1178" t="str">
            <v>Not Available</v>
          </cell>
        </row>
        <row r="1179">
          <cell r="A1179" t="str">
            <v>100300660027</v>
          </cell>
          <cell r="B1179" t="str">
            <v>Asarganj</v>
          </cell>
          <cell r="C1179" t="str">
            <v>Asarganj</v>
          </cell>
          <cell r="D1179" t="str">
            <v>KAITHA</v>
          </cell>
          <cell r="E1179">
            <v>10030066</v>
          </cell>
          <cell r="F1179" t="str">
            <v>0027</v>
          </cell>
          <cell r="G1179">
            <v>12</v>
          </cell>
          <cell r="H1179">
            <v>124.02</v>
          </cell>
          <cell r="I1179">
            <v>4779.6130613880005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P1179">
            <v>4780</v>
          </cell>
          <cell r="V1179" t="str">
            <v>Not Available</v>
          </cell>
        </row>
        <row r="1180">
          <cell r="A1180" t="str">
            <v>100300660028</v>
          </cell>
          <cell r="B1180" t="str">
            <v>Asarganj</v>
          </cell>
          <cell r="C1180" t="str">
            <v>Asarganj</v>
          </cell>
          <cell r="D1180" t="str">
            <v>KAITHA</v>
          </cell>
          <cell r="E1180">
            <v>10030066</v>
          </cell>
          <cell r="F1180" t="str">
            <v>0028</v>
          </cell>
          <cell r="G1180">
            <v>8</v>
          </cell>
          <cell r="H1180">
            <v>79.36999999999999</v>
          </cell>
          <cell r="I1180">
            <v>3088.1640221388002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P1180">
            <v>3088</v>
          </cell>
          <cell r="V1180" t="str">
            <v>Not Available</v>
          </cell>
        </row>
        <row r="1181">
          <cell r="A1181" t="str">
            <v>100300660029</v>
          </cell>
          <cell r="B1181" t="str">
            <v>Asarganj</v>
          </cell>
          <cell r="C1181" t="str">
            <v>Asarganj</v>
          </cell>
          <cell r="D1181" t="str">
            <v>KAITHA</v>
          </cell>
          <cell r="E1181">
            <v>10030066</v>
          </cell>
          <cell r="F1181" t="str">
            <v>0029</v>
          </cell>
          <cell r="G1181">
            <v>9</v>
          </cell>
          <cell r="H1181">
            <v>76.47</v>
          </cell>
          <cell r="I1181">
            <v>3004.0950917340006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P1181">
            <v>3004</v>
          </cell>
          <cell r="V1181" t="str">
            <v>Not Available</v>
          </cell>
        </row>
        <row r="1182">
          <cell r="A1182" t="str">
            <v>100300660031</v>
          </cell>
          <cell r="B1182" t="str">
            <v>Asarganj</v>
          </cell>
          <cell r="C1182" t="str">
            <v>Asarganj</v>
          </cell>
          <cell r="D1182" t="str">
            <v>KAITHA</v>
          </cell>
          <cell r="E1182">
            <v>10030066</v>
          </cell>
          <cell r="F1182" t="str">
            <v>0031</v>
          </cell>
          <cell r="G1182">
            <v>4</v>
          </cell>
          <cell r="H1182">
            <v>36.28</v>
          </cell>
          <cell r="I1182">
            <v>1416.2451664680002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P1182">
            <v>1416</v>
          </cell>
          <cell r="V1182" t="str">
            <v>Not Available</v>
          </cell>
        </row>
        <row r="1183">
          <cell r="A1183" t="str">
            <v>100300660032</v>
          </cell>
          <cell r="B1183" t="str">
            <v>Asarganj</v>
          </cell>
          <cell r="C1183" t="str">
            <v>Asarganj</v>
          </cell>
          <cell r="D1183" t="str">
            <v>KAITHA</v>
          </cell>
          <cell r="E1183">
            <v>10030066</v>
          </cell>
          <cell r="F1183" t="str">
            <v>0032</v>
          </cell>
          <cell r="G1183">
            <v>3</v>
          </cell>
          <cell r="H1183">
            <v>26.580000000000002</v>
          </cell>
          <cell r="I1183">
            <v>1053.2098123668002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P1183">
            <v>1053</v>
          </cell>
          <cell r="V1183" t="str">
            <v>Not Available</v>
          </cell>
        </row>
        <row r="1184">
          <cell r="A1184" t="str">
            <v>100300660034</v>
          </cell>
          <cell r="B1184" t="str">
            <v>Asarganj</v>
          </cell>
          <cell r="C1184" t="str">
            <v>Asarganj</v>
          </cell>
          <cell r="D1184" t="str">
            <v>KAITHA</v>
          </cell>
          <cell r="E1184">
            <v>10030066</v>
          </cell>
          <cell r="F1184" t="str">
            <v>0034</v>
          </cell>
          <cell r="G1184">
            <v>10</v>
          </cell>
          <cell r="H1184">
            <v>32.61</v>
          </cell>
          <cell r="I1184">
            <v>1118.6370676800002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P1184">
            <v>1119</v>
          </cell>
          <cell r="V1184" t="str">
            <v>Available</v>
          </cell>
        </row>
        <row r="1185">
          <cell r="A1185" t="str">
            <v>100300660035</v>
          </cell>
          <cell r="B1185" t="str">
            <v>Asarganj</v>
          </cell>
          <cell r="C1185" t="str">
            <v>Asarganj</v>
          </cell>
          <cell r="D1185" t="str">
            <v>KAITHA</v>
          </cell>
          <cell r="E1185">
            <v>10030066</v>
          </cell>
          <cell r="F1185" t="str">
            <v>0035</v>
          </cell>
          <cell r="G1185">
            <v>1</v>
          </cell>
          <cell r="H1185">
            <v>6.38</v>
          </cell>
          <cell r="I1185">
            <v>260.23451414400006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P1185">
            <v>260</v>
          </cell>
          <cell r="V1185" t="str">
            <v>Not Available</v>
          </cell>
        </row>
        <row r="1186">
          <cell r="A1186" t="str">
            <v>100300680001</v>
          </cell>
          <cell r="B1186" t="str">
            <v>Asarganj</v>
          </cell>
          <cell r="C1186" t="str">
            <v>Asarganj</v>
          </cell>
          <cell r="D1186" t="str">
            <v>DORAI</v>
          </cell>
          <cell r="E1186">
            <v>10030068</v>
          </cell>
          <cell r="F1186" t="str">
            <v>0001</v>
          </cell>
          <cell r="G1186">
            <v>13</v>
          </cell>
          <cell r="H1186">
            <v>42.96</v>
          </cell>
          <cell r="I1186">
            <v>1751.3118416193299</v>
          </cell>
          <cell r="J1186">
            <v>0</v>
          </cell>
          <cell r="K1186">
            <v>1751.3118416193299</v>
          </cell>
          <cell r="L1186">
            <v>0</v>
          </cell>
          <cell r="M1186">
            <v>0</v>
          </cell>
          <cell r="P1186">
            <v>0</v>
          </cell>
          <cell r="V1186" t="str">
            <v>Not Available</v>
          </cell>
        </row>
        <row r="1187">
          <cell r="A1187" t="str">
            <v>100300680002</v>
          </cell>
          <cell r="B1187" t="str">
            <v>Asarganj</v>
          </cell>
          <cell r="C1187" t="str">
            <v>Asarganj</v>
          </cell>
          <cell r="D1187" t="str">
            <v>DORAI</v>
          </cell>
          <cell r="E1187">
            <v>10030068</v>
          </cell>
          <cell r="F1187" t="str">
            <v>0002</v>
          </cell>
          <cell r="G1187">
            <v>13</v>
          </cell>
          <cell r="H1187">
            <v>482.54999999999995</v>
          </cell>
          <cell r="I1187">
            <v>19257.780895056003</v>
          </cell>
          <cell r="J1187">
            <v>0</v>
          </cell>
          <cell r="K1187">
            <v>0</v>
          </cell>
          <cell r="L1187">
            <v>5831</v>
          </cell>
          <cell r="M1187">
            <v>0</v>
          </cell>
          <cell r="P1187">
            <v>13427</v>
          </cell>
          <cell r="V1187" t="str">
            <v>Available</v>
          </cell>
        </row>
        <row r="1188">
          <cell r="A1188" t="str">
            <v>100300680003</v>
          </cell>
          <cell r="B1188" t="str">
            <v>Asarganj</v>
          </cell>
          <cell r="C1188" t="str">
            <v>Asarganj</v>
          </cell>
          <cell r="D1188" t="str">
            <v>DORAI</v>
          </cell>
          <cell r="E1188">
            <v>10030068</v>
          </cell>
          <cell r="F1188" t="str">
            <v>0003</v>
          </cell>
          <cell r="G1188">
            <v>13</v>
          </cell>
          <cell r="H1188">
            <v>557.97</v>
          </cell>
          <cell r="I1188">
            <v>21923.303987574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P1188">
            <v>21923</v>
          </cell>
          <cell r="V1188" t="str">
            <v>Available</v>
          </cell>
        </row>
        <row r="1189">
          <cell r="A1189" t="str">
            <v>100300680013</v>
          </cell>
          <cell r="B1189" t="str">
            <v>Asarganj</v>
          </cell>
          <cell r="C1189" t="str">
            <v>Asarganj</v>
          </cell>
          <cell r="D1189" t="str">
            <v>DORAI</v>
          </cell>
          <cell r="E1189">
            <v>10030068</v>
          </cell>
          <cell r="F1189" t="str">
            <v>0013</v>
          </cell>
          <cell r="G1189">
            <v>2</v>
          </cell>
          <cell r="H1189">
            <v>28.96</v>
          </cell>
          <cell r="I1189">
            <v>1170.099333315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P1189">
            <v>1170</v>
          </cell>
          <cell r="V1189" t="str">
            <v>Available</v>
          </cell>
        </row>
        <row r="1190">
          <cell r="A1190" t="str">
            <v>100300700001</v>
          </cell>
          <cell r="B1190" t="str">
            <v>Asarganj</v>
          </cell>
          <cell r="C1190" t="str">
            <v>Asarganj</v>
          </cell>
          <cell r="D1190" t="str">
            <v>BANGAMA</v>
          </cell>
          <cell r="E1190">
            <v>10030070</v>
          </cell>
          <cell r="F1190" t="str">
            <v>0001</v>
          </cell>
          <cell r="G1190">
            <v>14</v>
          </cell>
          <cell r="H1190">
            <v>14</v>
          </cell>
          <cell r="I1190">
            <v>559.56364199999996</v>
          </cell>
          <cell r="J1190">
            <v>0</v>
          </cell>
          <cell r="K1190">
            <v>559.56364199999996</v>
          </cell>
          <cell r="L1190">
            <v>0</v>
          </cell>
          <cell r="M1190">
            <v>0</v>
          </cell>
          <cell r="P1190">
            <v>0</v>
          </cell>
          <cell r="V1190" t="str">
            <v>Not Available</v>
          </cell>
        </row>
        <row r="1191">
          <cell r="A1191" t="str">
            <v>100300700002</v>
          </cell>
          <cell r="B1191" t="str">
            <v>Asarganj</v>
          </cell>
          <cell r="C1191" t="str">
            <v>Asarganj</v>
          </cell>
          <cell r="D1191" t="str">
            <v>BANGAMA</v>
          </cell>
          <cell r="E1191">
            <v>10030070</v>
          </cell>
          <cell r="F1191" t="str">
            <v>0002</v>
          </cell>
          <cell r="G1191">
            <v>14</v>
          </cell>
          <cell r="H1191">
            <v>170</v>
          </cell>
          <cell r="I1191">
            <v>6913.6903440000015</v>
          </cell>
          <cell r="J1191">
            <v>0</v>
          </cell>
          <cell r="K1191">
            <v>0</v>
          </cell>
          <cell r="L1191">
            <v>887</v>
          </cell>
          <cell r="M1191">
            <v>0</v>
          </cell>
          <cell r="P1191">
            <v>6027</v>
          </cell>
          <cell r="V1191" t="str">
            <v>Available</v>
          </cell>
        </row>
        <row r="1192">
          <cell r="A1192" t="str">
            <v>100300700003</v>
          </cell>
          <cell r="B1192" t="str">
            <v>Asarganj</v>
          </cell>
          <cell r="C1192" t="str">
            <v>Asarganj</v>
          </cell>
          <cell r="D1192" t="str">
            <v>BANGAMA</v>
          </cell>
          <cell r="E1192">
            <v>10030070</v>
          </cell>
          <cell r="F1192" t="str">
            <v>0003</v>
          </cell>
          <cell r="G1192">
            <v>14</v>
          </cell>
          <cell r="H1192">
            <v>211</v>
          </cell>
          <cell r="I1192">
            <v>8617.0645440000008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P1192">
            <v>8617</v>
          </cell>
          <cell r="V1192" t="str">
            <v>Available</v>
          </cell>
        </row>
        <row r="1193">
          <cell r="A1193" t="str">
            <v>100300700007</v>
          </cell>
          <cell r="B1193" t="str">
            <v>Asarganj</v>
          </cell>
          <cell r="C1193" t="str">
            <v>Asarganj</v>
          </cell>
          <cell r="D1193" t="str">
            <v>BANGAMA</v>
          </cell>
          <cell r="E1193">
            <v>10030070</v>
          </cell>
          <cell r="F1193" t="str">
            <v>0007</v>
          </cell>
          <cell r="G1193">
            <v>13</v>
          </cell>
          <cell r="H1193">
            <v>160</v>
          </cell>
          <cell r="I1193">
            <v>6681.7555200000015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P1193">
            <v>6682</v>
          </cell>
          <cell r="V1193" t="str">
            <v>Available</v>
          </cell>
        </row>
        <row r="1194">
          <cell r="A1194" t="str">
            <v>100300700008</v>
          </cell>
          <cell r="B1194" t="str">
            <v>Asarganj</v>
          </cell>
          <cell r="C1194" t="str">
            <v>Asarganj</v>
          </cell>
          <cell r="D1194" t="str">
            <v>BANGAMA</v>
          </cell>
          <cell r="E1194">
            <v>10030070</v>
          </cell>
          <cell r="F1194" t="str">
            <v>0008</v>
          </cell>
          <cell r="G1194">
            <v>12</v>
          </cell>
          <cell r="H1194">
            <v>179</v>
          </cell>
          <cell r="I1194">
            <v>7507.3042440000008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P1194">
            <v>7507</v>
          </cell>
          <cell r="V1194" t="str">
            <v>Available</v>
          </cell>
        </row>
        <row r="1195">
          <cell r="A1195" t="str">
            <v>100300710002</v>
          </cell>
          <cell r="B1195" t="str">
            <v>Asarganj</v>
          </cell>
          <cell r="C1195" t="str">
            <v>Asarganj</v>
          </cell>
          <cell r="D1195" t="str">
            <v>KORIYA</v>
          </cell>
          <cell r="E1195">
            <v>10030071</v>
          </cell>
          <cell r="F1195" t="str">
            <v>0002</v>
          </cell>
          <cell r="G1195">
            <v>1</v>
          </cell>
          <cell r="H1195">
            <v>1.5</v>
          </cell>
          <cell r="I1195">
            <v>114.22194872999999</v>
          </cell>
          <cell r="J1195">
            <v>0</v>
          </cell>
          <cell r="K1195">
            <v>0</v>
          </cell>
          <cell r="L1195">
            <v>114</v>
          </cell>
          <cell r="M1195">
            <v>0</v>
          </cell>
          <cell r="P1195">
            <v>0</v>
          </cell>
          <cell r="V1195" t="str">
            <v>Available</v>
          </cell>
        </row>
        <row r="1196">
          <cell r="A1196" t="str">
            <v>100300710005</v>
          </cell>
          <cell r="B1196" t="str">
            <v>Asarganj</v>
          </cell>
          <cell r="C1196" t="str">
            <v>Asarganj</v>
          </cell>
          <cell r="D1196" t="str">
            <v>KORIYA</v>
          </cell>
          <cell r="E1196">
            <v>10030071</v>
          </cell>
          <cell r="F1196" t="str">
            <v>0005</v>
          </cell>
          <cell r="G1196">
            <v>12</v>
          </cell>
          <cell r="H1196">
            <v>87.97999999999999</v>
          </cell>
          <cell r="I1196">
            <v>3814.8398187912003</v>
          </cell>
          <cell r="J1196">
            <v>0</v>
          </cell>
          <cell r="K1196">
            <v>0</v>
          </cell>
          <cell r="L1196">
            <v>734</v>
          </cell>
          <cell r="M1196">
            <v>0</v>
          </cell>
          <cell r="P1196">
            <v>3081</v>
          </cell>
          <cell r="V1196" t="str">
            <v>Available</v>
          </cell>
        </row>
        <row r="1197">
          <cell r="A1197" t="str">
            <v>100300710007</v>
          </cell>
          <cell r="B1197" t="str">
            <v>Asarganj</v>
          </cell>
          <cell r="C1197" t="str">
            <v>Asarganj</v>
          </cell>
          <cell r="D1197" t="str">
            <v>KORIYA</v>
          </cell>
          <cell r="E1197">
            <v>10030071</v>
          </cell>
          <cell r="F1197" t="str">
            <v>0007</v>
          </cell>
          <cell r="G1197">
            <v>8</v>
          </cell>
          <cell r="H1197">
            <v>20.18</v>
          </cell>
          <cell r="I1197">
            <v>773.22048724800015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P1197">
            <v>773</v>
          </cell>
          <cell r="V1197" t="str">
            <v>Available</v>
          </cell>
        </row>
        <row r="1198">
          <cell r="A1198" t="str">
            <v>100300710017</v>
          </cell>
          <cell r="B1198" t="str">
            <v>Asarganj</v>
          </cell>
          <cell r="C1198" t="str">
            <v>Asarganj</v>
          </cell>
          <cell r="D1198" t="str">
            <v>KORIYA</v>
          </cell>
          <cell r="E1198">
            <v>10030071</v>
          </cell>
          <cell r="F1198" t="str">
            <v>0017</v>
          </cell>
          <cell r="G1198">
            <v>14</v>
          </cell>
          <cell r="H1198">
            <v>20.8</v>
          </cell>
          <cell r="I1198">
            <v>874.18026106748016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P1198">
            <v>874</v>
          </cell>
          <cell r="V1198" t="str">
            <v>Available</v>
          </cell>
        </row>
        <row r="1199">
          <cell r="A1199" t="str">
            <v>100300710018</v>
          </cell>
          <cell r="B1199" t="str">
            <v>Asarganj</v>
          </cell>
          <cell r="C1199" t="str">
            <v>Asarganj</v>
          </cell>
          <cell r="D1199" t="str">
            <v>KORIYA</v>
          </cell>
          <cell r="E1199">
            <v>10030071</v>
          </cell>
          <cell r="F1199" t="str">
            <v>0018</v>
          </cell>
          <cell r="G1199">
            <v>4</v>
          </cell>
          <cell r="H1199">
            <v>6.26</v>
          </cell>
          <cell r="I1199">
            <v>477.61499407819997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P1199">
            <v>478</v>
          </cell>
          <cell r="V1199" t="str">
            <v>Available</v>
          </cell>
        </row>
        <row r="1200">
          <cell r="A1200" t="str">
            <v>100300710020</v>
          </cell>
          <cell r="B1200" t="str">
            <v>Asarganj</v>
          </cell>
          <cell r="C1200" t="str">
            <v>Asarganj</v>
          </cell>
          <cell r="D1200" t="str">
            <v>KORIYA</v>
          </cell>
          <cell r="E1200">
            <v>10030071</v>
          </cell>
          <cell r="F1200" t="str">
            <v>0020</v>
          </cell>
          <cell r="G1200">
            <v>13</v>
          </cell>
          <cell r="H1200">
            <v>24.5</v>
          </cell>
          <cell r="I1200">
            <v>859.57661354400022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P1200">
            <v>860</v>
          </cell>
          <cell r="V1200" t="str">
            <v>Available</v>
          </cell>
        </row>
        <row r="1201">
          <cell r="A1201" t="str">
            <v>100300710021</v>
          </cell>
          <cell r="B1201" t="str">
            <v>Asarganj</v>
          </cell>
          <cell r="C1201" t="str">
            <v>Asarganj</v>
          </cell>
          <cell r="D1201" t="str">
            <v>KORIYA</v>
          </cell>
          <cell r="E1201">
            <v>10030071</v>
          </cell>
          <cell r="F1201" t="str">
            <v>0021</v>
          </cell>
          <cell r="G1201">
            <v>7</v>
          </cell>
          <cell r="H1201">
            <v>8.68</v>
          </cell>
          <cell r="I1201">
            <v>519.90793494460013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P1201">
            <v>520</v>
          </cell>
          <cell r="V1201" t="str">
            <v>Available</v>
          </cell>
        </row>
        <row r="1202">
          <cell r="A1202" t="str">
            <v>100300720001</v>
          </cell>
          <cell r="B1202" t="str">
            <v>Asarganj</v>
          </cell>
          <cell r="C1202" t="str">
            <v>Asarganj</v>
          </cell>
          <cell r="D1202" t="str">
            <v>HARLACHAK</v>
          </cell>
          <cell r="E1202">
            <v>10030072</v>
          </cell>
          <cell r="F1202" t="str">
            <v>0001</v>
          </cell>
          <cell r="G1202">
            <v>8</v>
          </cell>
          <cell r="H1202">
            <v>6.76</v>
          </cell>
          <cell r="I1202">
            <v>266.71486248000002</v>
          </cell>
          <cell r="J1202">
            <v>0</v>
          </cell>
          <cell r="K1202">
            <v>266.71486248000002</v>
          </cell>
          <cell r="L1202">
            <v>0</v>
          </cell>
          <cell r="M1202">
            <v>0</v>
          </cell>
          <cell r="P1202">
            <v>0</v>
          </cell>
          <cell r="V1202" t="str">
            <v>Not Available</v>
          </cell>
        </row>
        <row r="1203">
          <cell r="A1203" t="str">
            <v>100300720002</v>
          </cell>
          <cell r="B1203" t="str">
            <v>Asarganj</v>
          </cell>
          <cell r="C1203" t="str">
            <v>Asarganj</v>
          </cell>
          <cell r="D1203" t="str">
            <v>HARLACHAK</v>
          </cell>
          <cell r="E1203">
            <v>10030072</v>
          </cell>
          <cell r="F1203" t="str">
            <v>0002</v>
          </cell>
          <cell r="G1203">
            <v>8</v>
          </cell>
          <cell r="H1203">
            <v>33.36</v>
          </cell>
          <cell r="I1203">
            <v>1421.2497913464001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P1203">
            <v>1421</v>
          </cell>
          <cell r="V1203" t="str">
            <v>Available</v>
          </cell>
        </row>
        <row r="1204">
          <cell r="A1204" t="str">
            <v>100300720003</v>
          </cell>
          <cell r="B1204" t="str">
            <v>Asarganj</v>
          </cell>
          <cell r="C1204" t="str">
            <v>Asarganj</v>
          </cell>
          <cell r="D1204" t="str">
            <v>HARLACHAK</v>
          </cell>
          <cell r="E1204">
            <v>10030072</v>
          </cell>
          <cell r="F1204" t="str">
            <v>0003</v>
          </cell>
          <cell r="G1204">
            <v>7</v>
          </cell>
          <cell r="H1204">
            <v>28.68</v>
          </cell>
          <cell r="I1204">
            <v>1055.5374241566001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P1204">
            <v>1056</v>
          </cell>
          <cell r="V1204" t="str">
            <v>Available</v>
          </cell>
        </row>
        <row r="1205">
          <cell r="A1205" t="str">
            <v>100300720004</v>
          </cell>
          <cell r="B1205" t="str">
            <v>Asarganj</v>
          </cell>
          <cell r="C1205" t="str">
            <v>Asarganj</v>
          </cell>
          <cell r="D1205" t="str">
            <v>HARLACHAK</v>
          </cell>
          <cell r="E1205">
            <v>10030072</v>
          </cell>
          <cell r="F1205" t="str">
            <v>0004</v>
          </cell>
          <cell r="G1205">
            <v>7</v>
          </cell>
          <cell r="H1205">
            <v>19.93</v>
          </cell>
          <cell r="I1205">
            <v>822.89307592800003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P1205">
            <v>823</v>
          </cell>
          <cell r="V1205" t="str">
            <v>Available</v>
          </cell>
        </row>
        <row r="1206">
          <cell r="A1206" t="str">
            <v>100300720006</v>
          </cell>
          <cell r="B1206" t="str">
            <v>Asarganj</v>
          </cell>
          <cell r="C1206" t="str">
            <v>Asarganj</v>
          </cell>
          <cell r="D1206" t="str">
            <v>HARLACHAK</v>
          </cell>
          <cell r="E1206">
            <v>10030072</v>
          </cell>
          <cell r="F1206" t="str">
            <v>0006</v>
          </cell>
          <cell r="G1206">
            <v>14</v>
          </cell>
          <cell r="H1206">
            <v>45.52000000000001</v>
          </cell>
          <cell r="I1206">
            <v>1603.6581160512001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P1206">
            <v>1604</v>
          </cell>
          <cell r="V1206" t="str">
            <v>Available</v>
          </cell>
        </row>
        <row r="1207">
          <cell r="A1207" t="str">
            <v>100300720007</v>
          </cell>
          <cell r="B1207" t="str">
            <v>Asarganj</v>
          </cell>
          <cell r="C1207" t="str">
            <v>Asarganj</v>
          </cell>
          <cell r="D1207" t="str">
            <v>HARLACHAK</v>
          </cell>
          <cell r="E1207">
            <v>10030072</v>
          </cell>
          <cell r="F1207" t="str">
            <v>0007</v>
          </cell>
          <cell r="G1207">
            <v>6</v>
          </cell>
          <cell r="H1207">
            <v>8.5</v>
          </cell>
          <cell r="I1207">
            <v>312.65882631720001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P1207">
            <v>313</v>
          </cell>
          <cell r="V1207" t="str">
            <v>Available</v>
          </cell>
        </row>
        <row r="1208">
          <cell r="A1208" t="str">
            <v>100300720009</v>
          </cell>
          <cell r="B1208" t="str">
            <v>Asarganj</v>
          </cell>
          <cell r="C1208" t="str">
            <v>Asarganj</v>
          </cell>
          <cell r="D1208" t="str">
            <v>HARLACHAK</v>
          </cell>
          <cell r="E1208">
            <v>10030072</v>
          </cell>
          <cell r="F1208" t="str">
            <v>0009</v>
          </cell>
          <cell r="G1208">
            <v>13</v>
          </cell>
          <cell r="H1208">
            <v>60.720000000000006</v>
          </cell>
          <cell r="I1208">
            <v>1968.9378012810005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P1208">
            <v>1969</v>
          </cell>
          <cell r="V1208" t="str">
            <v>Available</v>
          </cell>
        </row>
        <row r="1209">
          <cell r="A1209" t="str">
            <v>100300720011</v>
          </cell>
          <cell r="B1209" t="str">
            <v>Asarganj</v>
          </cell>
          <cell r="C1209" t="str">
            <v>Asarganj</v>
          </cell>
          <cell r="D1209" t="str">
            <v>HARLACHAK</v>
          </cell>
          <cell r="E1209">
            <v>10030072</v>
          </cell>
          <cell r="F1209" t="str">
            <v>0011</v>
          </cell>
          <cell r="G1209">
            <v>12</v>
          </cell>
          <cell r="H1209">
            <v>93.079999999999984</v>
          </cell>
          <cell r="I1209">
            <v>3214.4049189648003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P1209">
            <v>3214</v>
          </cell>
          <cell r="V1209" t="str">
            <v>Available</v>
          </cell>
        </row>
        <row r="1210">
          <cell r="A1210" t="str">
            <v>100300720012</v>
          </cell>
          <cell r="B1210" t="str">
            <v>Asarganj</v>
          </cell>
          <cell r="C1210" t="str">
            <v>Asarganj</v>
          </cell>
          <cell r="D1210" t="str">
            <v>HARLACHAK</v>
          </cell>
          <cell r="E1210">
            <v>10030072</v>
          </cell>
          <cell r="F1210" t="str">
            <v>0012</v>
          </cell>
          <cell r="G1210">
            <v>14</v>
          </cell>
          <cell r="H1210">
            <v>188.35000000000002</v>
          </cell>
          <cell r="I1210">
            <v>7099.4798405784013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P1210">
            <v>7099</v>
          </cell>
          <cell r="V1210" t="str">
            <v>Available</v>
          </cell>
        </row>
        <row r="1211">
          <cell r="A1211" t="str">
            <v>100300720013</v>
          </cell>
          <cell r="B1211" t="str">
            <v>Asarganj</v>
          </cell>
          <cell r="C1211" t="str">
            <v>Asarganj</v>
          </cell>
          <cell r="D1211" t="str">
            <v>HARLACHAK</v>
          </cell>
          <cell r="E1211">
            <v>10030072</v>
          </cell>
          <cell r="F1211" t="str">
            <v>0013</v>
          </cell>
          <cell r="G1211">
            <v>5</v>
          </cell>
          <cell r="H1211">
            <v>19.059999999999999</v>
          </cell>
          <cell r="I1211">
            <v>805.0652291880001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P1211">
            <v>805</v>
          </cell>
          <cell r="V1211" t="str">
            <v>Available</v>
          </cell>
        </row>
        <row r="1212">
          <cell r="A1212" t="str">
            <v>100300720015</v>
          </cell>
          <cell r="B1212" t="str">
            <v>Asarganj</v>
          </cell>
          <cell r="C1212" t="str">
            <v>Asarganj</v>
          </cell>
          <cell r="D1212" t="str">
            <v>HARLACHAK</v>
          </cell>
          <cell r="E1212">
            <v>10030072</v>
          </cell>
          <cell r="F1212" t="str">
            <v>0015</v>
          </cell>
          <cell r="G1212">
            <v>12</v>
          </cell>
          <cell r="H1212">
            <v>49.9</v>
          </cell>
          <cell r="I1212">
            <v>1807.7936920361999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P1212">
            <v>1808</v>
          </cell>
          <cell r="V1212" t="str">
            <v>Available</v>
          </cell>
        </row>
        <row r="1213">
          <cell r="A1213" t="str">
            <v>100300720018</v>
          </cell>
          <cell r="B1213" t="str">
            <v>Asarganj</v>
          </cell>
          <cell r="C1213" t="str">
            <v>Asarganj</v>
          </cell>
          <cell r="D1213" t="str">
            <v>HARLACHAK</v>
          </cell>
          <cell r="E1213">
            <v>10030072</v>
          </cell>
          <cell r="F1213" t="str">
            <v>0018</v>
          </cell>
          <cell r="G1213">
            <v>12</v>
          </cell>
          <cell r="H1213">
            <v>34.619999999999997</v>
          </cell>
          <cell r="I1213">
            <v>1659.8282130325358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P1213">
            <v>1660</v>
          </cell>
          <cell r="V1213" t="str">
            <v>Available</v>
          </cell>
        </row>
        <row r="1214">
          <cell r="A1214" t="str">
            <v>100300720019</v>
          </cell>
          <cell r="B1214" t="str">
            <v>Asarganj</v>
          </cell>
          <cell r="C1214" t="str">
            <v>Asarganj</v>
          </cell>
          <cell r="D1214" t="str">
            <v>HARLACHAK</v>
          </cell>
          <cell r="E1214">
            <v>10030072</v>
          </cell>
          <cell r="F1214" t="str">
            <v>0019</v>
          </cell>
          <cell r="G1214">
            <v>8</v>
          </cell>
          <cell r="H1214">
            <v>98.740000000000009</v>
          </cell>
          <cell r="I1214">
            <v>3336.3443577420003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P1214">
            <v>3336</v>
          </cell>
          <cell r="V1214" t="str">
            <v>Available</v>
          </cell>
        </row>
        <row r="1215">
          <cell r="A1215" t="str">
            <v>100300720020</v>
          </cell>
          <cell r="B1215" t="str">
            <v>Asarganj</v>
          </cell>
          <cell r="C1215" t="str">
            <v>Asarganj</v>
          </cell>
          <cell r="D1215" t="str">
            <v>HARLACHAK</v>
          </cell>
          <cell r="E1215">
            <v>10030072</v>
          </cell>
          <cell r="F1215" t="str">
            <v>0020</v>
          </cell>
          <cell r="G1215">
            <v>6</v>
          </cell>
          <cell r="H1215">
            <v>27.48</v>
          </cell>
          <cell r="I1215">
            <v>1256.822279532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P1215">
            <v>1257</v>
          </cell>
          <cell r="V1215" t="str">
            <v>Available</v>
          </cell>
        </row>
        <row r="1216">
          <cell r="A1216" t="str">
            <v>100300720021</v>
          </cell>
          <cell r="B1216" t="str">
            <v>Asarganj</v>
          </cell>
          <cell r="C1216" t="str">
            <v>Asarganj</v>
          </cell>
          <cell r="D1216" t="str">
            <v>HARLACHAK</v>
          </cell>
          <cell r="E1216">
            <v>10030072</v>
          </cell>
          <cell r="F1216" t="str">
            <v>0021</v>
          </cell>
          <cell r="G1216">
            <v>7</v>
          </cell>
          <cell r="H1216">
            <v>10.330000000000002</v>
          </cell>
          <cell r="I1216">
            <v>412.36607757856802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P1216">
            <v>412</v>
          </cell>
          <cell r="V1216" t="str">
            <v>Available</v>
          </cell>
        </row>
        <row r="1217">
          <cell r="A1217" t="str">
            <v>100300720022</v>
          </cell>
          <cell r="B1217" t="str">
            <v>Asarganj</v>
          </cell>
          <cell r="C1217" t="str">
            <v>Asarganj</v>
          </cell>
          <cell r="D1217" t="str">
            <v>HARLACHAK</v>
          </cell>
          <cell r="E1217">
            <v>10030072</v>
          </cell>
          <cell r="F1217" t="str">
            <v>0022</v>
          </cell>
          <cell r="G1217">
            <v>9</v>
          </cell>
          <cell r="H1217">
            <v>16.36</v>
          </cell>
          <cell r="I1217">
            <v>596.69477386199992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P1217">
            <v>597</v>
          </cell>
          <cell r="V1217" t="str">
            <v>Available</v>
          </cell>
        </row>
        <row r="1218">
          <cell r="A1218" t="str">
            <v>100300720023</v>
          </cell>
          <cell r="B1218" t="str">
            <v>Asarganj</v>
          </cell>
          <cell r="C1218" t="str">
            <v>Asarganj</v>
          </cell>
          <cell r="D1218" t="str">
            <v>HARLACHAK</v>
          </cell>
          <cell r="E1218">
            <v>10030072</v>
          </cell>
          <cell r="F1218" t="str">
            <v>0023</v>
          </cell>
          <cell r="G1218">
            <v>7</v>
          </cell>
          <cell r="H1218">
            <v>20.010000000000002</v>
          </cell>
          <cell r="I1218">
            <v>820.75369226400005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P1218">
            <v>821</v>
          </cell>
          <cell r="V1218" t="str">
            <v>Available</v>
          </cell>
        </row>
        <row r="1219">
          <cell r="A1219" t="str">
            <v>100300720024</v>
          </cell>
          <cell r="B1219" t="str">
            <v>Asarganj</v>
          </cell>
          <cell r="C1219" t="str">
            <v>Asarganj</v>
          </cell>
          <cell r="D1219" t="str">
            <v>HARLACHAK</v>
          </cell>
          <cell r="E1219">
            <v>10030072</v>
          </cell>
          <cell r="F1219" t="str">
            <v>0024</v>
          </cell>
          <cell r="G1219">
            <v>4</v>
          </cell>
          <cell r="H1219">
            <v>3.75</v>
          </cell>
          <cell r="I1219">
            <v>143.41813635599999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P1219">
            <v>143</v>
          </cell>
          <cell r="V1219" t="str">
            <v>Available</v>
          </cell>
        </row>
        <row r="1220">
          <cell r="A1220" t="str">
            <v>100300720025</v>
          </cell>
          <cell r="B1220" t="str">
            <v>Asarganj</v>
          </cell>
          <cell r="C1220" t="str">
            <v>Asarganj</v>
          </cell>
          <cell r="D1220" t="str">
            <v>HARLACHAK</v>
          </cell>
          <cell r="E1220">
            <v>10030072</v>
          </cell>
          <cell r="F1220" t="str">
            <v>0025</v>
          </cell>
          <cell r="G1220">
            <v>13</v>
          </cell>
          <cell r="H1220">
            <v>46.85</v>
          </cell>
          <cell r="I1220">
            <v>1753.6826282184006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P1220">
            <v>1754</v>
          </cell>
          <cell r="V1220" t="str">
            <v>Available</v>
          </cell>
        </row>
        <row r="1221">
          <cell r="A1221" t="str">
            <v>100300720026</v>
          </cell>
          <cell r="B1221" t="str">
            <v>Asarganj</v>
          </cell>
          <cell r="C1221" t="str">
            <v>Asarganj</v>
          </cell>
          <cell r="D1221" t="str">
            <v>HARLACHAK</v>
          </cell>
          <cell r="E1221">
            <v>10030072</v>
          </cell>
          <cell r="F1221" t="str">
            <v>0026</v>
          </cell>
          <cell r="G1221">
            <v>4</v>
          </cell>
          <cell r="H1221">
            <v>9.32</v>
          </cell>
          <cell r="I1221">
            <v>346.77429732000002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P1221">
            <v>347</v>
          </cell>
          <cell r="V1221" t="str">
            <v>Available</v>
          </cell>
        </row>
        <row r="1222">
          <cell r="A1222" t="str">
            <v>100300720027</v>
          </cell>
          <cell r="B1222" t="str">
            <v>Asarganj</v>
          </cell>
          <cell r="C1222" t="str">
            <v>Asarganj</v>
          </cell>
          <cell r="D1222" t="str">
            <v>HARLACHAK</v>
          </cell>
          <cell r="E1222">
            <v>10030072</v>
          </cell>
          <cell r="F1222" t="str">
            <v>0027</v>
          </cell>
          <cell r="G1222">
            <v>12</v>
          </cell>
          <cell r="H1222">
            <v>44.989999999999995</v>
          </cell>
          <cell r="I1222">
            <v>1567.2097797840004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P1222">
            <v>1567</v>
          </cell>
          <cell r="V1222" t="str">
            <v>Available</v>
          </cell>
        </row>
        <row r="1223">
          <cell r="A1223" t="str">
            <v>100300720028</v>
          </cell>
          <cell r="B1223" t="str">
            <v>Asarganj</v>
          </cell>
          <cell r="C1223" t="str">
            <v>Asarganj</v>
          </cell>
          <cell r="D1223" t="str">
            <v>HARLACHAK</v>
          </cell>
          <cell r="E1223">
            <v>10030072</v>
          </cell>
          <cell r="F1223" t="str">
            <v>0028</v>
          </cell>
          <cell r="G1223">
            <v>7</v>
          </cell>
          <cell r="H1223">
            <v>24.51</v>
          </cell>
          <cell r="I1223">
            <v>872.39632795920011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P1223">
            <v>872</v>
          </cell>
          <cell r="V1223" t="str">
            <v>Available</v>
          </cell>
        </row>
        <row r="1224">
          <cell r="A1224" t="str">
            <v>100300720030</v>
          </cell>
          <cell r="B1224" t="str">
            <v>Asarganj</v>
          </cell>
          <cell r="C1224" t="str">
            <v>Asarganj</v>
          </cell>
          <cell r="D1224" t="str">
            <v>HARLACHAK</v>
          </cell>
          <cell r="E1224">
            <v>10030072</v>
          </cell>
          <cell r="F1224" t="str">
            <v>0030</v>
          </cell>
          <cell r="G1224">
            <v>13</v>
          </cell>
          <cell r="H1224">
            <v>49.230000000000004</v>
          </cell>
          <cell r="I1224">
            <v>2425.5566410615997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P1224">
            <v>2426</v>
          </cell>
          <cell r="V1224" t="str">
            <v>Available</v>
          </cell>
        </row>
        <row r="1225">
          <cell r="A1225" t="str">
            <v>100300720031</v>
          </cell>
          <cell r="B1225" t="str">
            <v>Asarganj</v>
          </cell>
          <cell r="C1225" t="str">
            <v>Asarganj</v>
          </cell>
          <cell r="D1225" t="str">
            <v>HARLACHAK</v>
          </cell>
          <cell r="E1225">
            <v>10030072</v>
          </cell>
          <cell r="F1225" t="str">
            <v>0031</v>
          </cell>
          <cell r="G1225">
            <v>7</v>
          </cell>
          <cell r="H1225">
            <v>14.400000000000002</v>
          </cell>
          <cell r="I1225">
            <v>612.17916526800002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P1225">
            <v>612</v>
          </cell>
          <cell r="V1225" t="str">
            <v>Available</v>
          </cell>
        </row>
        <row r="1226">
          <cell r="A1226" t="str">
            <v>100300720032</v>
          </cell>
          <cell r="B1226" t="str">
            <v>Asarganj</v>
          </cell>
          <cell r="C1226" t="str">
            <v>Asarganj</v>
          </cell>
          <cell r="D1226" t="str">
            <v>HARLACHAK</v>
          </cell>
          <cell r="E1226">
            <v>10030072</v>
          </cell>
          <cell r="F1226" t="str">
            <v>0032</v>
          </cell>
          <cell r="G1226">
            <v>4</v>
          </cell>
          <cell r="H1226">
            <v>13.62</v>
          </cell>
          <cell r="I1226">
            <v>503.0794265112001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P1226">
            <v>503</v>
          </cell>
          <cell r="V1226" t="str">
            <v>Available</v>
          </cell>
        </row>
        <row r="1227">
          <cell r="A1227" t="str">
            <v>100300720034</v>
          </cell>
          <cell r="B1227" t="str">
            <v>Asarganj</v>
          </cell>
          <cell r="C1227" t="str">
            <v>Asarganj</v>
          </cell>
          <cell r="D1227" t="str">
            <v>HARLACHAK</v>
          </cell>
          <cell r="E1227">
            <v>10030072</v>
          </cell>
          <cell r="F1227" t="str">
            <v>0034</v>
          </cell>
          <cell r="G1227">
            <v>7</v>
          </cell>
          <cell r="H1227">
            <v>30.459999999999997</v>
          </cell>
          <cell r="I1227">
            <v>1102.9623073920002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P1227">
            <v>1103</v>
          </cell>
          <cell r="V1227" t="str">
            <v>Available</v>
          </cell>
        </row>
        <row r="1228">
          <cell r="A1228" t="str">
            <v>100300720036</v>
          </cell>
          <cell r="B1228" t="str">
            <v>Asarganj</v>
          </cell>
          <cell r="C1228" t="str">
            <v>Asarganj</v>
          </cell>
          <cell r="D1228" t="str">
            <v>HARLACHAK</v>
          </cell>
          <cell r="E1228">
            <v>10030072</v>
          </cell>
          <cell r="F1228" t="str">
            <v>0036</v>
          </cell>
          <cell r="G1228">
            <v>7</v>
          </cell>
          <cell r="H1228">
            <v>14.899999999999999</v>
          </cell>
          <cell r="I1228">
            <v>533.98573034399999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P1228">
            <v>534</v>
          </cell>
          <cell r="V1228" t="str">
            <v>Available</v>
          </cell>
        </row>
        <row r="1229">
          <cell r="A1229" t="str">
            <v>100300740001</v>
          </cell>
          <cell r="B1229" t="str">
            <v>Asarganj</v>
          </cell>
          <cell r="C1229" t="str">
            <v>Asarganj</v>
          </cell>
          <cell r="D1229" t="str">
            <v>Jangle Jhakra</v>
          </cell>
          <cell r="E1229">
            <v>10030074</v>
          </cell>
          <cell r="F1229" t="str">
            <v>0001</v>
          </cell>
          <cell r="G1229">
            <v>2</v>
          </cell>
          <cell r="H1229">
            <v>1.78</v>
          </cell>
          <cell r="I1229">
            <v>70.677423036000022</v>
          </cell>
          <cell r="J1229">
            <v>0</v>
          </cell>
          <cell r="K1229">
            <v>70.677423036000022</v>
          </cell>
          <cell r="L1229">
            <v>0</v>
          </cell>
          <cell r="M1229">
            <v>0</v>
          </cell>
          <cell r="P1229">
            <v>0</v>
          </cell>
          <cell r="V1229" t="str">
            <v>Not Available</v>
          </cell>
        </row>
        <row r="1230">
          <cell r="A1230" t="str">
            <v>100300740002</v>
          </cell>
          <cell r="B1230" t="str">
            <v>Asarganj</v>
          </cell>
          <cell r="C1230" t="str">
            <v>Asarganj</v>
          </cell>
          <cell r="D1230" t="str">
            <v>Jangle Jhakra</v>
          </cell>
          <cell r="E1230">
            <v>10030074</v>
          </cell>
          <cell r="F1230" t="str">
            <v>0002</v>
          </cell>
          <cell r="G1230">
            <v>14</v>
          </cell>
          <cell r="H1230">
            <v>153.09</v>
          </cell>
          <cell r="I1230">
            <v>6244.4015080920008</v>
          </cell>
          <cell r="J1230">
            <v>0</v>
          </cell>
          <cell r="K1230">
            <v>0</v>
          </cell>
          <cell r="L1230">
            <v>4730</v>
          </cell>
          <cell r="M1230">
            <v>0</v>
          </cell>
          <cell r="P1230">
            <v>1514</v>
          </cell>
          <cell r="V1230" t="str">
            <v>Available</v>
          </cell>
        </row>
        <row r="1231">
          <cell r="A1231" t="str">
            <v>100300740004</v>
          </cell>
          <cell r="B1231" t="str">
            <v>Asarganj</v>
          </cell>
          <cell r="C1231" t="str">
            <v>Asarganj</v>
          </cell>
          <cell r="D1231" t="str">
            <v>Jangle Jhakra</v>
          </cell>
          <cell r="E1231">
            <v>10030074</v>
          </cell>
          <cell r="F1231" t="str">
            <v>0004</v>
          </cell>
          <cell r="G1231">
            <v>14</v>
          </cell>
          <cell r="H1231">
            <v>664.21</v>
          </cell>
          <cell r="I1231">
            <v>27423.631123064464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P1231">
            <v>27424</v>
          </cell>
          <cell r="V1231" t="str">
            <v>Available</v>
          </cell>
        </row>
        <row r="1232">
          <cell r="A1232" t="str">
            <v>100300740005</v>
          </cell>
          <cell r="B1232" t="str">
            <v>Asarganj</v>
          </cell>
          <cell r="C1232" t="str">
            <v>Asarganj</v>
          </cell>
          <cell r="D1232" t="str">
            <v>Jangle Jhakra</v>
          </cell>
          <cell r="E1232">
            <v>10030074</v>
          </cell>
          <cell r="F1232" t="str">
            <v>0005</v>
          </cell>
          <cell r="G1232">
            <v>14</v>
          </cell>
          <cell r="H1232">
            <v>554.80999999999995</v>
          </cell>
          <cell r="I1232">
            <v>22939.506254936885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P1232">
            <v>22940</v>
          </cell>
          <cell r="V1232" t="str">
            <v>Available</v>
          </cell>
        </row>
        <row r="1233">
          <cell r="A1233" t="str">
            <v>100300750002</v>
          </cell>
          <cell r="B1233" t="str">
            <v>Asarganj</v>
          </cell>
          <cell r="C1233" t="str">
            <v>Asarganj</v>
          </cell>
          <cell r="D1233" t="str">
            <v>KATAHRA</v>
          </cell>
          <cell r="E1233">
            <v>10030075</v>
          </cell>
          <cell r="F1233" t="str">
            <v>0002</v>
          </cell>
          <cell r="G1233">
            <v>14</v>
          </cell>
          <cell r="H1233">
            <v>192.65</v>
          </cell>
          <cell r="I1233">
            <v>7955.3324589557997</v>
          </cell>
          <cell r="J1233">
            <v>0</v>
          </cell>
          <cell r="K1233">
            <v>0</v>
          </cell>
          <cell r="L1233">
            <v>1364</v>
          </cell>
          <cell r="M1233">
            <v>0</v>
          </cell>
          <cell r="P1233">
            <v>6591</v>
          </cell>
          <cell r="V1233" t="str">
            <v>Available</v>
          </cell>
        </row>
        <row r="1234">
          <cell r="A1234" t="str">
            <v>100300750003</v>
          </cell>
          <cell r="B1234" t="str">
            <v>Asarganj</v>
          </cell>
          <cell r="C1234" t="str">
            <v>Asarganj</v>
          </cell>
          <cell r="D1234" t="str">
            <v>KATAHRA</v>
          </cell>
          <cell r="E1234">
            <v>10030075</v>
          </cell>
          <cell r="F1234" t="str">
            <v>0003</v>
          </cell>
          <cell r="G1234">
            <v>12</v>
          </cell>
          <cell r="H1234">
            <v>54.19</v>
          </cell>
          <cell r="I1234">
            <v>2621.537799886692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P1234">
            <v>2622</v>
          </cell>
          <cell r="V1234" t="str">
            <v>Available</v>
          </cell>
        </row>
        <row r="1235">
          <cell r="A1235" t="str">
            <v>100300750004</v>
          </cell>
          <cell r="B1235" t="str">
            <v>Asarganj</v>
          </cell>
          <cell r="C1235" t="str">
            <v>Asarganj</v>
          </cell>
          <cell r="D1235" t="str">
            <v>KATAHRA</v>
          </cell>
          <cell r="E1235">
            <v>10030075</v>
          </cell>
          <cell r="F1235" t="str">
            <v>0004</v>
          </cell>
          <cell r="G1235">
            <v>6</v>
          </cell>
          <cell r="H1235">
            <v>39.369999999999997</v>
          </cell>
          <cell r="I1235">
            <v>1520.6654472738501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P1235">
            <v>1521</v>
          </cell>
          <cell r="V1235" t="str">
            <v>Available</v>
          </cell>
        </row>
        <row r="1236">
          <cell r="A1236" t="str">
            <v>100300780002</v>
          </cell>
          <cell r="B1236" t="str">
            <v>Asarganj</v>
          </cell>
          <cell r="C1236" t="str">
            <v>Asarganj</v>
          </cell>
          <cell r="D1236" t="str">
            <v>BALADEV ITAHARI</v>
          </cell>
          <cell r="E1236">
            <v>10030078</v>
          </cell>
          <cell r="F1236" t="str">
            <v>0002</v>
          </cell>
          <cell r="G1236">
            <v>14</v>
          </cell>
          <cell r="H1236">
            <v>242.34</v>
          </cell>
          <cell r="I1236">
            <v>9676.6901986860012</v>
          </cell>
          <cell r="J1236">
            <v>0</v>
          </cell>
          <cell r="K1236">
            <v>0</v>
          </cell>
          <cell r="L1236">
            <v>2488</v>
          </cell>
          <cell r="M1236">
            <v>0</v>
          </cell>
          <cell r="P1236">
            <v>7189</v>
          </cell>
          <cell r="V1236" t="str">
            <v>Available</v>
          </cell>
        </row>
        <row r="1237">
          <cell r="A1237" t="str">
            <v>100300780006</v>
          </cell>
          <cell r="B1237" t="str">
            <v>Asarganj</v>
          </cell>
          <cell r="C1237" t="str">
            <v>Asarganj</v>
          </cell>
          <cell r="D1237" t="str">
            <v>BALADEV ITAHARI</v>
          </cell>
          <cell r="E1237">
            <v>10030078</v>
          </cell>
          <cell r="F1237" t="str">
            <v>0006</v>
          </cell>
          <cell r="G1237">
            <v>10</v>
          </cell>
          <cell r="H1237">
            <v>137.48999999999998</v>
          </cell>
          <cell r="I1237">
            <v>5721.3796047566393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P1237">
            <v>5721</v>
          </cell>
          <cell r="V1237" t="str">
            <v>Available</v>
          </cell>
        </row>
        <row r="1238">
          <cell r="A1238" t="str">
            <v>100300780007</v>
          </cell>
          <cell r="B1238" t="str">
            <v>Asarganj</v>
          </cell>
          <cell r="C1238" t="str">
            <v>Asarganj</v>
          </cell>
          <cell r="D1238" t="str">
            <v>BALADEV ITAHARI</v>
          </cell>
          <cell r="E1238">
            <v>10030078</v>
          </cell>
          <cell r="F1238" t="str">
            <v>0007</v>
          </cell>
          <cell r="G1238">
            <v>4</v>
          </cell>
          <cell r="H1238">
            <v>22.06</v>
          </cell>
          <cell r="I1238">
            <v>1122.1759780605601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P1238">
            <v>1122</v>
          </cell>
          <cell r="V1238" t="str">
            <v>Available</v>
          </cell>
        </row>
        <row r="1239">
          <cell r="A1239" t="str">
            <v>100300780008</v>
          </cell>
          <cell r="B1239" t="str">
            <v>Asarganj</v>
          </cell>
          <cell r="C1239" t="str">
            <v>Asarganj</v>
          </cell>
          <cell r="D1239" t="str">
            <v>BALADEV ITAHARI</v>
          </cell>
          <cell r="E1239">
            <v>10030078</v>
          </cell>
          <cell r="F1239" t="str">
            <v>0008</v>
          </cell>
          <cell r="G1239">
            <v>14</v>
          </cell>
          <cell r="H1239">
            <v>73.72</v>
          </cell>
          <cell r="I1239">
            <v>2602.4175439811997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P1239">
            <v>2602</v>
          </cell>
          <cell r="V1239" t="str">
            <v>Available</v>
          </cell>
        </row>
        <row r="1240">
          <cell r="A1240" t="str">
            <v>100300780009</v>
          </cell>
          <cell r="B1240" t="str">
            <v>Asarganj</v>
          </cell>
          <cell r="C1240" t="str">
            <v>Asarganj</v>
          </cell>
          <cell r="D1240" t="str">
            <v>BALADEV ITAHARI</v>
          </cell>
          <cell r="E1240">
            <v>10030078</v>
          </cell>
          <cell r="F1240" t="str">
            <v>0009</v>
          </cell>
          <cell r="G1240">
            <v>10</v>
          </cell>
          <cell r="H1240">
            <v>24.63</v>
          </cell>
          <cell r="I1240">
            <v>1035.52771351611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P1240">
            <v>1036</v>
          </cell>
          <cell r="V1240" t="str">
            <v>Available</v>
          </cell>
        </row>
        <row r="1241">
          <cell r="A1241" t="str">
            <v>100300800002</v>
          </cell>
          <cell r="B1241" t="str">
            <v>Asarganj</v>
          </cell>
          <cell r="C1241" t="str">
            <v>Asarganj</v>
          </cell>
          <cell r="D1241" t="str">
            <v>PAHALANPUR</v>
          </cell>
          <cell r="E1241">
            <v>10030080</v>
          </cell>
          <cell r="F1241" t="str">
            <v>0002</v>
          </cell>
          <cell r="G1241">
            <v>13</v>
          </cell>
          <cell r="H1241">
            <v>83.680000000000021</v>
          </cell>
          <cell r="I1241">
            <v>3159.9167731955999</v>
          </cell>
          <cell r="J1241">
            <v>0</v>
          </cell>
          <cell r="K1241">
            <v>0</v>
          </cell>
          <cell r="L1241">
            <v>96</v>
          </cell>
          <cell r="M1241">
            <v>0</v>
          </cell>
          <cell r="P1241">
            <v>3064</v>
          </cell>
          <cell r="V1241" t="str">
            <v>Available</v>
          </cell>
        </row>
        <row r="1242">
          <cell r="A1242" t="str">
            <v>100300800003</v>
          </cell>
          <cell r="B1242" t="str">
            <v>Asarganj</v>
          </cell>
          <cell r="C1242" t="str">
            <v>Asarganj</v>
          </cell>
          <cell r="D1242" t="str">
            <v>PAHALANPUR</v>
          </cell>
          <cell r="E1242">
            <v>10030080</v>
          </cell>
          <cell r="F1242" t="str">
            <v>0003</v>
          </cell>
          <cell r="G1242">
            <v>12</v>
          </cell>
          <cell r="H1242">
            <v>29.52</v>
          </cell>
          <cell r="I1242">
            <v>1111.6898485332001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P1242">
            <v>1112</v>
          </cell>
          <cell r="V1242" t="str">
            <v>Available</v>
          </cell>
        </row>
        <row r="1243">
          <cell r="A1243" t="str">
            <v>100300800004</v>
          </cell>
          <cell r="B1243" t="str">
            <v>Asarganj</v>
          </cell>
          <cell r="C1243" t="str">
            <v>Asarganj</v>
          </cell>
          <cell r="D1243" t="str">
            <v>PAHALANPUR</v>
          </cell>
          <cell r="E1243">
            <v>10030080</v>
          </cell>
          <cell r="F1243" t="str">
            <v>0004</v>
          </cell>
          <cell r="G1243">
            <v>14</v>
          </cell>
          <cell r="H1243">
            <v>36.009999999999984</v>
          </cell>
          <cell r="I1243">
            <v>1352.7986554710001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P1243">
            <v>1353</v>
          </cell>
          <cell r="V1243" t="str">
            <v>Available</v>
          </cell>
        </row>
        <row r="1244">
          <cell r="A1244" t="str">
            <v>100300800008</v>
          </cell>
          <cell r="B1244" t="str">
            <v>Asarganj</v>
          </cell>
          <cell r="C1244" t="str">
            <v>Asarganj</v>
          </cell>
          <cell r="D1244" t="str">
            <v>PAHALANPUR</v>
          </cell>
          <cell r="E1244">
            <v>10030080</v>
          </cell>
          <cell r="F1244" t="str">
            <v>0008</v>
          </cell>
          <cell r="G1244">
            <v>1</v>
          </cell>
          <cell r="H1244">
            <v>0.9</v>
          </cell>
          <cell r="I1244">
            <v>30.081040308000002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P1244">
            <v>30</v>
          </cell>
          <cell r="V1244" t="str">
            <v>Available</v>
          </cell>
        </row>
        <row r="1245">
          <cell r="A1245" t="str">
            <v>100300800010</v>
          </cell>
          <cell r="B1245" t="str">
            <v>Asarganj</v>
          </cell>
          <cell r="C1245" t="str">
            <v>Asarganj</v>
          </cell>
          <cell r="D1245" t="str">
            <v>PAHALANPUR</v>
          </cell>
          <cell r="E1245">
            <v>10030080</v>
          </cell>
          <cell r="F1245" t="str">
            <v>0010</v>
          </cell>
          <cell r="G1245">
            <v>10</v>
          </cell>
          <cell r="H1245">
            <v>20.95</v>
          </cell>
          <cell r="I1245">
            <v>882.03306074400007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P1245">
            <v>882</v>
          </cell>
          <cell r="V1245" t="str">
            <v>Available</v>
          </cell>
        </row>
        <row r="1246">
          <cell r="A1246" t="str">
            <v>100300800011</v>
          </cell>
          <cell r="B1246" t="str">
            <v>Asarganj</v>
          </cell>
          <cell r="C1246" t="str">
            <v>Asarganj</v>
          </cell>
          <cell r="D1246" t="str">
            <v>PAHALANPUR</v>
          </cell>
          <cell r="E1246">
            <v>10030080</v>
          </cell>
          <cell r="F1246" t="str">
            <v>0011</v>
          </cell>
          <cell r="G1246">
            <v>6</v>
          </cell>
          <cell r="H1246">
            <v>14.809999999999999</v>
          </cell>
          <cell r="I1246">
            <v>913.14713605949009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P1246">
            <v>913</v>
          </cell>
          <cell r="V1246" t="str">
            <v>Available</v>
          </cell>
        </row>
        <row r="1247">
          <cell r="A1247" t="str">
            <v>100300800013</v>
          </cell>
          <cell r="B1247" t="str">
            <v>Asarganj</v>
          </cell>
          <cell r="C1247" t="str">
            <v>Asarganj</v>
          </cell>
          <cell r="D1247" t="str">
            <v>PAHALANPUR</v>
          </cell>
          <cell r="E1247">
            <v>10030080</v>
          </cell>
          <cell r="F1247" t="str">
            <v>0013</v>
          </cell>
          <cell r="G1247">
            <v>14</v>
          </cell>
          <cell r="H1247">
            <v>30.61</v>
          </cell>
          <cell r="I1247">
            <v>1091.8588514922001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P1247">
            <v>1092</v>
          </cell>
          <cell r="V1247" t="str">
            <v>Available</v>
          </cell>
        </row>
        <row r="1248">
          <cell r="A1248" t="str">
            <v>100300800014</v>
          </cell>
          <cell r="B1248" t="str">
            <v>Asarganj</v>
          </cell>
          <cell r="C1248" t="str">
            <v>Asarganj</v>
          </cell>
          <cell r="D1248" t="str">
            <v>PAHALANPUR</v>
          </cell>
          <cell r="E1248">
            <v>10030080</v>
          </cell>
          <cell r="F1248" t="str">
            <v>0014</v>
          </cell>
          <cell r="G1248">
            <v>12</v>
          </cell>
          <cell r="H1248">
            <v>53.02</v>
          </cell>
          <cell r="I1248">
            <v>1782.0414213624001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P1248">
            <v>1782</v>
          </cell>
          <cell r="V1248" t="str">
            <v>Available</v>
          </cell>
        </row>
        <row r="1249">
          <cell r="A1249" t="str">
            <v>100300800015</v>
          </cell>
          <cell r="B1249" t="str">
            <v>Asarganj</v>
          </cell>
          <cell r="C1249" t="str">
            <v>Asarganj</v>
          </cell>
          <cell r="D1249" t="str">
            <v>PAHALANPUR</v>
          </cell>
          <cell r="E1249">
            <v>10030080</v>
          </cell>
          <cell r="F1249" t="str">
            <v>0015</v>
          </cell>
          <cell r="G1249">
            <v>12</v>
          </cell>
          <cell r="H1249">
            <v>20.45</v>
          </cell>
          <cell r="I1249">
            <v>810.1199121840001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P1249">
            <v>810</v>
          </cell>
          <cell r="V1249" t="str">
            <v>Available</v>
          </cell>
        </row>
        <row r="1250">
          <cell r="A1250" t="str">
            <v>100300800017</v>
          </cell>
          <cell r="B1250" t="str">
            <v>Asarganj</v>
          </cell>
          <cell r="C1250" t="str">
            <v>Asarganj</v>
          </cell>
          <cell r="D1250" t="str">
            <v>PAHALANPUR</v>
          </cell>
          <cell r="E1250">
            <v>10030080</v>
          </cell>
          <cell r="F1250" t="str">
            <v>0017</v>
          </cell>
          <cell r="G1250">
            <v>13</v>
          </cell>
          <cell r="H1250">
            <v>48.199999999999996</v>
          </cell>
          <cell r="I1250">
            <v>1729.1428288794002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P1250">
            <v>1729</v>
          </cell>
          <cell r="V1250" t="str">
            <v>Available</v>
          </cell>
        </row>
        <row r="1251">
          <cell r="A1251" t="str">
            <v>100300800018</v>
          </cell>
          <cell r="B1251" t="str">
            <v>Asarganj</v>
          </cell>
          <cell r="C1251" t="str">
            <v>Asarganj</v>
          </cell>
          <cell r="D1251" t="str">
            <v>PAHALANPUR</v>
          </cell>
          <cell r="E1251">
            <v>10030080</v>
          </cell>
          <cell r="F1251" t="str">
            <v>0018</v>
          </cell>
          <cell r="G1251">
            <v>7</v>
          </cell>
          <cell r="H1251">
            <v>9.4599999999999991</v>
          </cell>
          <cell r="I1251">
            <v>503.46871042714952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P1251">
            <v>503</v>
          </cell>
          <cell r="V1251" t="str">
            <v>Available</v>
          </cell>
        </row>
        <row r="1252">
          <cell r="A1252" t="str">
            <v>100300800019</v>
          </cell>
          <cell r="B1252" t="str">
            <v>Asarganj</v>
          </cell>
          <cell r="C1252" t="str">
            <v>Asarganj</v>
          </cell>
          <cell r="D1252" t="str">
            <v>PAHALANPUR</v>
          </cell>
          <cell r="E1252">
            <v>10030080</v>
          </cell>
          <cell r="F1252" t="str">
            <v>0019</v>
          </cell>
          <cell r="G1252">
            <v>12</v>
          </cell>
          <cell r="H1252">
            <v>44.120000000000005</v>
          </cell>
          <cell r="I1252">
            <v>1598.481605556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P1252">
            <v>1598</v>
          </cell>
          <cell r="V1252" t="str">
            <v>Available</v>
          </cell>
        </row>
        <row r="1253">
          <cell r="A1253" t="str">
            <v>100300800020</v>
          </cell>
          <cell r="B1253" t="str">
            <v>Asarganj</v>
          </cell>
          <cell r="C1253" t="str">
            <v>Asarganj</v>
          </cell>
          <cell r="D1253" t="str">
            <v>PAHALANPUR</v>
          </cell>
          <cell r="E1253">
            <v>10030080</v>
          </cell>
          <cell r="F1253" t="str">
            <v>0020</v>
          </cell>
          <cell r="G1253">
            <v>12</v>
          </cell>
          <cell r="H1253">
            <v>58.31</v>
          </cell>
          <cell r="I1253">
            <v>2423.0119133879998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P1253">
            <v>2423</v>
          </cell>
          <cell r="V1253" t="str">
            <v>Available</v>
          </cell>
        </row>
        <row r="1254">
          <cell r="A1254" t="str">
            <v>100300800022</v>
          </cell>
          <cell r="B1254" t="str">
            <v>Asarganj</v>
          </cell>
          <cell r="C1254" t="str">
            <v>Asarganj</v>
          </cell>
          <cell r="D1254" t="str">
            <v>PAHALANPUR</v>
          </cell>
          <cell r="E1254">
            <v>10030080</v>
          </cell>
          <cell r="F1254" t="str">
            <v>0022</v>
          </cell>
          <cell r="G1254">
            <v>2</v>
          </cell>
          <cell r="H1254">
            <v>3.86</v>
          </cell>
          <cell r="I1254">
            <v>115.69147830900002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P1254">
            <v>116</v>
          </cell>
          <cell r="V1254" t="str">
            <v>Available</v>
          </cell>
        </row>
        <row r="1255">
          <cell r="A1255" t="str">
            <v>100300800023</v>
          </cell>
          <cell r="B1255" t="str">
            <v>Asarganj</v>
          </cell>
          <cell r="C1255" t="str">
            <v>Asarganj</v>
          </cell>
          <cell r="D1255" t="str">
            <v>PAHALANPUR</v>
          </cell>
          <cell r="E1255">
            <v>10030080</v>
          </cell>
          <cell r="F1255" t="str">
            <v>0023</v>
          </cell>
          <cell r="G1255">
            <v>13</v>
          </cell>
          <cell r="H1255">
            <v>40.20000000000001</v>
          </cell>
          <cell r="I1255">
            <v>1305.0943311186002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P1255">
            <v>1305</v>
          </cell>
          <cell r="V1255" t="str">
            <v>Available</v>
          </cell>
        </row>
        <row r="1256">
          <cell r="A1256" t="str">
            <v>100300800024</v>
          </cell>
          <cell r="B1256" t="str">
            <v>Asarganj</v>
          </cell>
          <cell r="C1256" t="str">
            <v>Asarganj</v>
          </cell>
          <cell r="D1256" t="str">
            <v>PAHALANPUR</v>
          </cell>
          <cell r="E1256">
            <v>10030080</v>
          </cell>
          <cell r="F1256" t="str">
            <v>0024</v>
          </cell>
          <cell r="G1256">
            <v>13</v>
          </cell>
          <cell r="H1256">
            <v>33.479999999999997</v>
          </cell>
          <cell r="I1256">
            <v>1138.3519427280003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P1256">
            <v>1138</v>
          </cell>
          <cell r="V1256" t="str">
            <v>Available</v>
          </cell>
        </row>
        <row r="1257">
          <cell r="A1257" t="str">
            <v>100300800026</v>
          </cell>
          <cell r="B1257" t="str">
            <v>Asarganj</v>
          </cell>
          <cell r="C1257" t="str">
            <v>Asarganj</v>
          </cell>
          <cell r="D1257" t="str">
            <v>PAHALANPUR</v>
          </cell>
          <cell r="E1257">
            <v>10030080</v>
          </cell>
          <cell r="F1257" t="str">
            <v>0026</v>
          </cell>
          <cell r="G1257">
            <v>4</v>
          </cell>
          <cell r="H1257">
            <v>6.2700000000000005</v>
          </cell>
          <cell r="I1257">
            <v>250.54816525200005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P1257">
            <v>251</v>
          </cell>
          <cell r="V1257" t="str">
            <v>Available</v>
          </cell>
        </row>
        <row r="1258">
          <cell r="A1258" t="str">
            <v>100300800029</v>
          </cell>
          <cell r="B1258" t="str">
            <v>Asarganj</v>
          </cell>
          <cell r="C1258" t="str">
            <v>Asarganj</v>
          </cell>
          <cell r="D1258" t="str">
            <v>PAHALANPUR</v>
          </cell>
          <cell r="E1258">
            <v>10030080</v>
          </cell>
          <cell r="F1258" t="str">
            <v>0029</v>
          </cell>
          <cell r="G1258">
            <v>5</v>
          </cell>
          <cell r="H1258">
            <v>7.8100000000000005</v>
          </cell>
          <cell r="I1258">
            <v>255.82106594880003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P1258">
            <v>256</v>
          </cell>
          <cell r="V1258" t="str">
            <v>Available</v>
          </cell>
        </row>
        <row r="1259">
          <cell r="A1259" t="str">
            <v>100300800031</v>
          </cell>
          <cell r="B1259" t="str">
            <v>Asarganj</v>
          </cell>
          <cell r="C1259" t="str">
            <v>Asarganj</v>
          </cell>
          <cell r="D1259" t="str">
            <v>PAHALANPUR</v>
          </cell>
          <cell r="E1259">
            <v>10030080</v>
          </cell>
          <cell r="F1259" t="str">
            <v>0031</v>
          </cell>
          <cell r="G1259">
            <v>11</v>
          </cell>
          <cell r="H1259">
            <v>19.499999999999996</v>
          </cell>
          <cell r="I1259">
            <v>622.96377351120009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P1259">
            <v>623</v>
          </cell>
          <cell r="V1259" t="str">
            <v>Available</v>
          </cell>
        </row>
        <row r="1260">
          <cell r="A1260" t="str">
            <v>100300800035</v>
          </cell>
          <cell r="B1260" t="str">
            <v>Asarganj</v>
          </cell>
          <cell r="C1260" t="str">
            <v>Asarganj</v>
          </cell>
          <cell r="D1260" t="str">
            <v>PAHALANPUR</v>
          </cell>
          <cell r="E1260">
            <v>10030080</v>
          </cell>
          <cell r="F1260" t="str">
            <v>0035</v>
          </cell>
          <cell r="G1260">
            <v>7</v>
          </cell>
          <cell r="H1260">
            <v>14.320000000000002</v>
          </cell>
          <cell r="I1260">
            <v>597.47311443599995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P1260">
            <v>597</v>
          </cell>
          <cell r="V1260" t="str">
            <v>Available</v>
          </cell>
        </row>
        <row r="1261">
          <cell r="A1261" t="str">
            <v>100300800046</v>
          </cell>
          <cell r="B1261" t="str">
            <v>Asarganj</v>
          </cell>
          <cell r="C1261" t="str">
            <v>Asarganj</v>
          </cell>
          <cell r="D1261" t="str">
            <v>PAHALANPUR</v>
          </cell>
          <cell r="E1261">
            <v>10030080</v>
          </cell>
          <cell r="F1261" t="str">
            <v>0046</v>
          </cell>
          <cell r="G1261">
            <v>13</v>
          </cell>
          <cell r="H1261">
            <v>32.090000000000003</v>
          </cell>
          <cell r="I1261">
            <v>1161.0517125240001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P1261">
            <v>1161</v>
          </cell>
          <cell r="V1261" t="str">
            <v>Available</v>
          </cell>
        </row>
        <row r="1262">
          <cell r="A1262" t="str">
            <v>100300800049</v>
          </cell>
          <cell r="B1262" t="str">
            <v>Asarganj</v>
          </cell>
          <cell r="C1262" t="str">
            <v>Asarganj</v>
          </cell>
          <cell r="D1262" t="str">
            <v>PAHALANPUR</v>
          </cell>
          <cell r="E1262">
            <v>10030080</v>
          </cell>
          <cell r="F1262" t="str">
            <v>0049</v>
          </cell>
          <cell r="G1262">
            <v>13</v>
          </cell>
          <cell r="H1262">
            <v>45.100000000000009</v>
          </cell>
          <cell r="I1262">
            <v>1778.4944191080001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P1262">
            <v>1778</v>
          </cell>
          <cell r="V1262" t="str">
            <v>Available</v>
          </cell>
        </row>
        <row r="1263">
          <cell r="A1263" t="str">
            <v>100300800051</v>
          </cell>
          <cell r="B1263" t="str">
            <v>Asarganj</v>
          </cell>
          <cell r="C1263" t="str">
            <v>Asarganj</v>
          </cell>
          <cell r="D1263" t="str">
            <v>PAHALANPUR</v>
          </cell>
          <cell r="E1263">
            <v>10030080</v>
          </cell>
          <cell r="F1263" t="str">
            <v>0051</v>
          </cell>
          <cell r="G1263">
            <v>14</v>
          </cell>
          <cell r="H1263">
            <v>35.97</v>
          </cell>
          <cell r="I1263">
            <v>1249.5219363000003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P1263">
            <v>1250</v>
          </cell>
          <cell r="V1263" t="str">
            <v>Available</v>
          </cell>
        </row>
        <row r="1264">
          <cell r="A1264" t="str">
            <v>100300800052</v>
          </cell>
          <cell r="B1264" t="str">
            <v>Asarganj</v>
          </cell>
          <cell r="C1264" t="str">
            <v>Asarganj</v>
          </cell>
          <cell r="D1264" t="str">
            <v>PAHALANPUR</v>
          </cell>
          <cell r="E1264">
            <v>10030080</v>
          </cell>
          <cell r="F1264" t="str">
            <v>0052</v>
          </cell>
          <cell r="G1264">
            <v>13</v>
          </cell>
          <cell r="H1264">
            <v>40.079999999999991</v>
          </cell>
          <cell r="I1264">
            <v>1211.2143225930001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P1264">
            <v>1211</v>
          </cell>
          <cell r="V1264" t="str">
            <v>Available</v>
          </cell>
        </row>
        <row r="1265">
          <cell r="A1265" t="str">
            <v>100300800053</v>
          </cell>
          <cell r="B1265" t="str">
            <v>Asarganj</v>
          </cell>
          <cell r="C1265" t="str">
            <v>Asarganj</v>
          </cell>
          <cell r="D1265" t="str">
            <v>PAHALANPUR</v>
          </cell>
          <cell r="E1265">
            <v>10030080</v>
          </cell>
          <cell r="F1265" t="str">
            <v>0053</v>
          </cell>
          <cell r="G1265">
            <v>13</v>
          </cell>
          <cell r="H1265">
            <v>43.169999999999995</v>
          </cell>
          <cell r="I1265">
            <v>1590.1959781422004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P1265">
            <v>1590</v>
          </cell>
          <cell r="V1265" t="str">
            <v>Available</v>
          </cell>
        </row>
        <row r="1266">
          <cell r="A1266" t="str">
            <v>100300800054</v>
          </cell>
          <cell r="B1266" t="str">
            <v>Asarganj</v>
          </cell>
          <cell r="C1266" t="str">
            <v>Asarganj</v>
          </cell>
          <cell r="D1266" t="str">
            <v>PAHALANPUR</v>
          </cell>
          <cell r="E1266">
            <v>10030080</v>
          </cell>
          <cell r="F1266" t="str">
            <v>0054</v>
          </cell>
          <cell r="G1266">
            <v>11</v>
          </cell>
          <cell r="H1266">
            <v>30.029999999999998</v>
          </cell>
          <cell r="I1266">
            <v>1110.9907401516002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P1266">
            <v>1111</v>
          </cell>
          <cell r="V1266" t="str">
            <v>Available</v>
          </cell>
        </row>
        <row r="1267">
          <cell r="A1267" t="str">
            <v>100300820002</v>
          </cell>
          <cell r="B1267" t="str">
            <v>Asarganj</v>
          </cell>
          <cell r="C1267" t="str">
            <v>Asarganj</v>
          </cell>
          <cell r="D1267" t="str">
            <v>RAMBRAN YADAV</v>
          </cell>
          <cell r="E1267">
            <v>10030082</v>
          </cell>
          <cell r="F1267" t="str">
            <v>0002</v>
          </cell>
          <cell r="G1267">
            <v>11</v>
          </cell>
          <cell r="H1267">
            <v>201.89</v>
          </cell>
          <cell r="I1267">
            <v>6957.514211353202</v>
          </cell>
          <cell r="J1267">
            <v>0</v>
          </cell>
          <cell r="K1267">
            <v>0</v>
          </cell>
          <cell r="L1267">
            <v>903</v>
          </cell>
          <cell r="M1267">
            <v>0</v>
          </cell>
          <cell r="P1267">
            <v>6055</v>
          </cell>
          <cell r="V1267" t="str">
            <v>Available</v>
          </cell>
        </row>
        <row r="1268">
          <cell r="A1268" t="str">
            <v>100300840002</v>
          </cell>
          <cell r="B1268" t="str">
            <v>Asarganj</v>
          </cell>
          <cell r="C1268" t="str">
            <v>Asarganj</v>
          </cell>
          <cell r="D1268" t="str">
            <v>Gomukh Beldra</v>
          </cell>
          <cell r="E1268">
            <v>10030084</v>
          </cell>
          <cell r="F1268" t="str">
            <v>0002</v>
          </cell>
          <cell r="G1268">
            <v>1</v>
          </cell>
          <cell r="H1268">
            <v>180</v>
          </cell>
          <cell r="I1268">
            <v>6652.9900799999996</v>
          </cell>
          <cell r="J1268">
            <v>0</v>
          </cell>
          <cell r="K1268">
            <v>0</v>
          </cell>
          <cell r="L1268">
            <v>177</v>
          </cell>
          <cell r="M1268">
            <v>0</v>
          </cell>
          <cell r="P1268">
            <v>6476</v>
          </cell>
          <cell r="V1268" t="str">
            <v>Available</v>
          </cell>
        </row>
        <row r="1269">
          <cell r="A1269" t="str">
            <v>100300850002</v>
          </cell>
          <cell r="B1269" t="str">
            <v>Asarganj</v>
          </cell>
          <cell r="C1269" t="str">
            <v>Asarganj</v>
          </cell>
          <cell r="D1269" t="str">
            <v>Gomukh Chandanpura</v>
          </cell>
          <cell r="E1269">
            <v>10030085</v>
          </cell>
          <cell r="F1269" t="str">
            <v>0002</v>
          </cell>
          <cell r="G1269">
            <v>4</v>
          </cell>
          <cell r="H1269">
            <v>344.01</v>
          </cell>
          <cell r="I1269">
            <v>14539.262876424002</v>
          </cell>
          <cell r="J1269">
            <v>0</v>
          </cell>
          <cell r="K1269">
            <v>0</v>
          </cell>
          <cell r="L1269">
            <v>24</v>
          </cell>
          <cell r="M1269">
            <v>0</v>
          </cell>
          <cell r="P1269">
            <v>14515</v>
          </cell>
          <cell r="V1269" t="str">
            <v>Available</v>
          </cell>
        </row>
        <row r="1270">
          <cell r="A1270" t="str">
            <v>100300860002</v>
          </cell>
          <cell r="B1270" t="str">
            <v>Asarganj</v>
          </cell>
          <cell r="C1270" t="str">
            <v>Asarganj</v>
          </cell>
          <cell r="D1270" t="str">
            <v>BANOULI</v>
          </cell>
          <cell r="E1270">
            <v>10030086</v>
          </cell>
          <cell r="F1270" t="str">
            <v>0002</v>
          </cell>
          <cell r="G1270">
            <v>2</v>
          </cell>
          <cell r="H1270">
            <v>2.73</v>
          </cell>
          <cell r="I1270">
            <v>102.36829802760001</v>
          </cell>
          <cell r="J1270">
            <v>0</v>
          </cell>
          <cell r="K1270">
            <v>0</v>
          </cell>
          <cell r="L1270">
            <v>5</v>
          </cell>
          <cell r="M1270">
            <v>0</v>
          </cell>
          <cell r="P1270">
            <v>97</v>
          </cell>
          <cell r="V1270" t="str">
            <v>Available</v>
          </cell>
        </row>
        <row r="1271">
          <cell r="A1271" t="str">
            <v>100300870002</v>
          </cell>
          <cell r="B1271" t="str">
            <v>Asarganj</v>
          </cell>
          <cell r="C1271" t="str">
            <v>Asarganj</v>
          </cell>
          <cell r="D1271" t="str">
            <v>DARIYAPUR R</v>
          </cell>
          <cell r="E1271">
            <v>10030087</v>
          </cell>
          <cell r="F1271" t="str">
            <v>0002</v>
          </cell>
          <cell r="G1271">
            <v>1</v>
          </cell>
          <cell r="H1271">
            <v>170</v>
          </cell>
          <cell r="I1271">
            <v>6418.0195199999998</v>
          </cell>
          <cell r="J1271">
            <v>0</v>
          </cell>
          <cell r="K1271">
            <v>0</v>
          </cell>
          <cell r="L1271">
            <v>8</v>
          </cell>
          <cell r="M1271">
            <v>0</v>
          </cell>
          <cell r="P1271">
            <v>6410</v>
          </cell>
          <cell r="V1271" t="str">
            <v>Available</v>
          </cell>
        </row>
        <row r="1272">
          <cell r="A1272" t="str">
            <v>100300880002</v>
          </cell>
          <cell r="B1272" t="str">
            <v>Asarganj</v>
          </cell>
          <cell r="C1272" t="str">
            <v>Asarganj</v>
          </cell>
          <cell r="D1272" t="str">
            <v>MUZAFFARGANJ</v>
          </cell>
          <cell r="E1272">
            <v>10030088</v>
          </cell>
          <cell r="F1272" t="str">
            <v>0002</v>
          </cell>
          <cell r="G1272">
            <v>1</v>
          </cell>
          <cell r="H1272">
            <v>198</v>
          </cell>
          <cell r="I1272">
            <v>7893.2941560000017</v>
          </cell>
          <cell r="J1272">
            <v>0</v>
          </cell>
          <cell r="K1272">
            <v>0</v>
          </cell>
          <cell r="L1272">
            <v>84</v>
          </cell>
          <cell r="M1272">
            <v>0</v>
          </cell>
          <cell r="P1272">
            <v>7809</v>
          </cell>
          <cell r="V1272" t="str">
            <v>Available</v>
          </cell>
        </row>
        <row r="1273">
          <cell r="A1273" t="str">
            <v>100300890002</v>
          </cell>
          <cell r="B1273" t="str">
            <v>Asarganj</v>
          </cell>
          <cell r="C1273" t="str">
            <v>Asarganj</v>
          </cell>
          <cell r="D1273" t="str">
            <v>SARHA</v>
          </cell>
          <cell r="E1273">
            <v>10030089</v>
          </cell>
          <cell r="F1273" t="str">
            <v>0002</v>
          </cell>
          <cell r="G1273">
            <v>10</v>
          </cell>
          <cell r="H1273">
            <v>451.08</v>
          </cell>
          <cell r="I1273">
            <v>18195.555405058985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P1273">
            <v>18196</v>
          </cell>
          <cell r="V1273" t="str">
            <v>Available</v>
          </cell>
        </row>
        <row r="1274">
          <cell r="A1274" t="str">
            <v>100300900002</v>
          </cell>
          <cell r="B1274" t="str">
            <v>Asarganj</v>
          </cell>
          <cell r="C1274" t="str">
            <v>Asarganj</v>
          </cell>
          <cell r="D1274" t="str">
            <v>KUSUMBHA</v>
          </cell>
          <cell r="E1274">
            <v>10030090</v>
          </cell>
          <cell r="F1274" t="str">
            <v>0002</v>
          </cell>
          <cell r="G1274">
            <v>4</v>
          </cell>
          <cell r="H1274">
            <v>36.729999999999997</v>
          </cell>
          <cell r="I1274">
            <v>1339.679533104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P1274">
            <v>1340</v>
          </cell>
          <cell r="V1274" t="str">
            <v>Available</v>
          </cell>
        </row>
        <row r="1275">
          <cell r="A1275" t="str">
            <v>100600110001</v>
          </cell>
          <cell r="B1275" t="str">
            <v>Gopalpur Bmc</v>
          </cell>
          <cell r="C1275" t="str">
            <v>Gopalpur Bmc</v>
          </cell>
          <cell r="D1275" t="str">
            <v>BALHAPUR</v>
          </cell>
          <cell r="E1275">
            <v>10060011</v>
          </cell>
          <cell r="F1275" t="str">
            <v>0001</v>
          </cell>
          <cell r="G1275">
            <v>14</v>
          </cell>
          <cell r="H1275">
            <v>9.9999999999999982</v>
          </cell>
          <cell r="I1275">
            <v>444.77947707106</v>
          </cell>
          <cell r="J1275">
            <v>0</v>
          </cell>
          <cell r="K1275">
            <v>444.77947707106</v>
          </cell>
          <cell r="L1275">
            <v>0</v>
          </cell>
          <cell r="M1275">
            <v>0</v>
          </cell>
          <cell r="P1275">
            <v>0</v>
          </cell>
          <cell r="V1275" t="str">
            <v>Not Available</v>
          </cell>
        </row>
        <row r="1276">
          <cell r="A1276" t="str">
            <v>100600110002</v>
          </cell>
          <cell r="B1276" t="str">
            <v>Gopalpur Bmc</v>
          </cell>
          <cell r="C1276" t="str">
            <v>Gopalpur Bmc</v>
          </cell>
          <cell r="D1276" t="str">
            <v>BALHAPUR</v>
          </cell>
          <cell r="E1276">
            <v>10060011</v>
          </cell>
          <cell r="F1276" t="str">
            <v>0002</v>
          </cell>
          <cell r="G1276">
            <v>3</v>
          </cell>
          <cell r="H1276">
            <v>19.95</v>
          </cell>
          <cell r="I1276">
            <v>1133.8573835135999</v>
          </cell>
          <cell r="J1276">
            <v>0</v>
          </cell>
          <cell r="K1276">
            <v>0</v>
          </cell>
          <cell r="L1276">
            <v>384</v>
          </cell>
          <cell r="M1276">
            <v>0</v>
          </cell>
          <cell r="P1276">
            <v>750</v>
          </cell>
          <cell r="V1276" t="str">
            <v>Available</v>
          </cell>
        </row>
        <row r="1277">
          <cell r="A1277" t="str">
            <v>100600110012</v>
          </cell>
          <cell r="B1277" t="str">
            <v>Gopalpur Bmc</v>
          </cell>
          <cell r="C1277" t="str">
            <v>Gopalpur Bmc</v>
          </cell>
          <cell r="D1277" t="str">
            <v>BALHAPUR</v>
          </cell>
          <cell r="E1277">
            <v>10060011</v>
          </cell>
          <cell r="F1277" t="str">
            <v>0012</v>
          </cell>
          <cell r="G1277">
            <v>7</v>
          </cell>
          <cell r="H1277">
            <v>12.77</v>
          </cell>
          <cell r="I1277">
            <v>844.78043492355005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P1277">
            <v>845</v>
          </cell>
          <cell r="V1277" t="str">
            <v>Available</v>
          </cell>
        </row>
        <row r="1278">
          <cell r="A1278" t="str">
            <v>100600110020</v>
          </cell>
          <cell r="B1278" t="str">
            <v>Gopalpur Bmc</v>
          </cell>
          <cell r="C1278" t="str">
            <v>Gopalpur Bmc</v>
          </cell>
          <cell r="D1278" t="str">
            <v>BALHAPUR</v>
          </cell>
          <cell r="E1278">
            <v>10060011</v>
          </cell>
          <cell r="F1278" t="str">
            <v>0020</v>
          </cell>
          <cell r="G1278">
            <v>10</v>
          </cell>
          <cell r="H1278">
            <v>70.740000000000009</v>
          </cell>
          <cell r="I1278">
            <v>3103.5386432094901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P1278">
            <v>3104</v>
          </cell>
          <cell r="V1278" t="str">
            <v>Available</v>
          </cell>
        </row>
        <row r="1279">
          <cell r="A1279" t="str">
            <v>100600110023</v>
          </cell>
          <cell r="B1279" t="str">
            <v>Gopalpur Bmc</v>
          </cell>
          <cell r="C1279" t="str">
            <v>Gopalpur Bmc</v>
          </cell>
          <cell r="D1279" t="str">
            <v>BALHAPUR</v>
          </cell>
          <cell r="E1279">
            <v>10060011</v>
          </cell>
          <cell r="F1279" t="str">
            <v>0023</v>
          </cell>
          <cell r="G1279">
            <v>8</v>
          </cell>
          <cell r="H1279">
            <v>14.719999999999997</v>
          </cell>
          <cell r="I1279">
            <v>827.03191377983012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P1279">
            <v>827</v>
          </cell>
          <cell r="V1279" t="str">
            <v>Available</v>
          </cell>
        </row>
        <row r="1280">
          <cell r="A1280" t="str">
            <v>100600110026</v>
          </cell>
          <cell r="B1280" t="str">
            <v>Gopalpur Bmc</v>
          </cell>
          <cell r="C1280" t="str">
            <v>Gopalpur Bmc</v>
          </cell>
          <cell r="D1280" t="str">
            <v>BALHAPUR</v>
          </cell>
          <cell r="E1280">
            <v>10060011</v>
          </cell>
          <cell r="F1280" t="str">
            <v>0026</v>
          </cell>
          <cell r="G1280">
            <v>3</v>
          </cell>
          <cell r="H1280">
            <v>6.38</v>
          </cell>
          <cell r="I1280">
            <v>330.92916566664007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P1280">
            <v>331</v>
          </cell>
          <cell r="V1280" t="str">
            <v>Available</v>
          </cell>
        </row>
        <row r="1281">
          <cell r="A1281" t="str">
            <v>100600110027</v>
          </cell>
          <cell r="B1281" t="str">
            <v>Gopalpur Bmc</v>
          </cell>
          <cell r="C1281" t="str">
            <v>Gopalpur Bmc</v>
          </cell>
          <cell r="D1281" t="str">
            <v>BALHAPUR</v>
          </cell>
          <cell r="E1281">
            <v>10060011</v>
          </cell>
          <cell r="F1281" t="str">
            <v>0027</v>
          </cell>
          <cell r="G1281">
            <v>5</v>
          </cell>
          <cell r="H1281">
            <v>7.48</v>
          </cell>
          <cell r="I1281">
            <v>445.26251588481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P1281">
            <v>445</v>
          </cell>
          <cell r="V1281" t="str">
            <v>Available</v>
          </cell>
        </row>
        <row r="1282">
          <cell r="A1282" t="str">
            <v>100600110032</v>
          </cell>
          <cell r="B1282" t="str">
            <v>Gopalpur Bmc</v>
          </cell>
          <cell r="C1282" t="str">
            <v>Gopalpur Bmc</v>
          </cell>
          <cell r="D1282" t="str">
            <v>BALHAPUR</v>
          </cell>
          <cell r="E1282">
            <v>10060011</v>
          </cell>
          <cell r="F1282" t="str">
            <v>0032</v>
          </cell>
          <cell r="G1282">
            <v>14</v>
          </cell>
          <cell r="H1282">
            <v>65.03</v>
          </cell>
          <cell r="I1282">
            <v>3669.8871489557705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P1282">
            <v>3670</v>
          </cell>
          <cell r="V1282" t="str">
            <v>Available</v>
          </cell>
        </row>
        <row r="1283">
          <cell r="A1283" t="str">
            <v>100600110033</v>
          </cell>
          <cell r="B1283" t="str">
            <v>Gopalpur Bmc</v>
          </cell>
          <cell r="C1283" t="str">
            <v>Gopalpur Bmc</v>
          </cell>
          <cell r="D1283" t="str">
            <v>BALHAPUR</v>
          </cell>
          <cell r="E1283">
            <v>10060011</v>
          </cell>
          <cell r="F1283" t="str">
            <v>0033</v>
          </cell>
          <cell r="G1283">
            <v>6</v>
          </cell>
          <cell r="H1283">
            <v>12.009999999999998</v>
          </cell>
          <cell r="I1283">
            <v>455.53209094800002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P1283">
            <v>456</v>
          </cell>
          <cell r="V1283" t="str">
            <v>Available</v>
          </cell>
        </row>
        <row r="1284">
          <cell r="A1284" t="str">
            <v>100600110038</v>
          </cell>
          <cell r="B1284" t="str">
            <v>Gopalpur Bmc</v>
          </cell>
          <cell r="C1284" t="str">
            <v>Gopalpur Bmc</v>
          </cell>
          <cell r="D1284" t="str">
            <v>BALHAPUR</v>
          </cell>
          <cell r="E1284">
            <v>10060011</v>
          </cell>
          <cell r="F1284" t="str">
            <v>0038</v>
          </cell>
          <cell r="G1284">
            <v>4</v>
          </cell>
          <cell r="H1284">
            <v>4.18</v>
          </cell>
          <cell r="I1284">
            <v>317.25045126630005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P1284">
            <v>317</v>
          </cell>
          <cell r="V1284" t="str">
            <v>Available</v>
          </cell>
        </row>
        <row r="1285">
          <cell r="A1285" t="str">
            <v>100600110040</v>
          </cell>
          <cell r="B1285" t="str">
            <v>Gopalpur Bmc</v>
          </cell>
          <cell r="C1285" t="str">
            <v>Gopalpur Bmc</v>
          </cell>
          <cell r="D1285" t="str">
            <v>BALHAPUR</v>
          </cell>
          <cell r="E1285">
            <v>10060011</v>
          </cell>
          <cell r="F1285" t="str">
            <v>0040</v>
          </cell>
          <cell r="G1285">
            <v>7</v>
          </cell>
          <cell r="H1285">
            <v>14.14</v>
          </cell>
          <cell r="I1285">
            <v>573.05423815200015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P1285">
            <v>573</v>
          </cell>
          <cell r="V1285" t="str">
            <v>Available</v>
          </cell>
        </row>
        <row r="1286">
          <cell r="A1286" t="str">
            <v>100600110050</v>
          </cell>
          <cell r="B1286" t="str">
            <v>Gopalpur Bmc</v>
          </cell>
          <cell r="C1286" t="str">
            <v>Gopalpur Bmc</v>
          </cell>
          <cell r="D1286" t="str">
            <v>BALHAPUR</v>
          </cell>
          <cell r="E1286">
            <v>10060011</v>
          </cell>
          <cell r="F1286" t="str">
            <v>0050</v>
          </cell>
          <cell r="G1286">
            <v>6</v>
          </cell>
          <cell r="H1286">
            <v>6.92</v>
          </cell>
          <cell r="I1286">
            <v>418.93823191831007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P1286">
            <v>419</v>
          </cell>
          <cell r="V1286" t="str">
            <v>Available</v>
          </cell>
        </row>
        <row r="1287">
          <cell r="A1287" t="str">
            <v>100600110062</v>
          </cell>
          <cell r="B1287" t="str">
            <v>Gopalpur Bmc</v>
          </cell>
          <cell r="C1287" t="str">
            <v>Gopalpur Bmc</v>
          </cell>
          <cell r="D1287" t="str">
            <v>BALHAPUR</v>
          </cell>
          <cell r="E1287">
            <v>10060011</v>
          </cell>
          <cell r="F1287" t="str">
            <v>0062</v>
          </cell>
          <cell r="G1287">
            <v>14</v>
          </cell>
          <cell r="H1287">
            <v>23.54</v>
          </cell>
          <cell r="I1287">
            <v>1333.7774267198879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P1287">
            <v>1334</v>
          </cell>
          <cell r="V1287" t="str">
            <v>Available</v>
          </cell>
        </row>
        <row r="1288">
          <cell r="A1288" t="str">
            <v>100600110063</v>
          </cell>
          <cell r="B1288" t="str">
            <v>Gopalpur Bmc</v>
          </cell>
          <cell r="C1288" t="str">
            <v>Gopalpur Bmc</v>
          </cell>
          <cell r="D1288" t="str">
            <v>BALHAPUR</v>
          </cell>
          <cell r="E1288">
            <v>10060011</v>
          </cell>
          <cell r="F1288" t="str">
            <v>0063</v>
          </cell>
          <cell r="G1288">
            <v>9</v>
          </cell>
          <cell r="H1288">
            <v>38.160000000000004</v>
          </cell>
          <cell r="I1288">
            <v>1354.5373668156003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P1288">
            <v>1355</v>
          </cell>
          <cell r="V1288" t="str">
            <v>Available</v>
          </cell>
        </row>
        <row r="1289">
          <cell r="A1289" t="str">
            <v>100600110067</v>
          </cell>
          <cell r="B1289" t="str">
            <v>Gopalpur Bmc</v>
          </cell>
          <cell r="C1289" t="str">
            <v>Gopalpur Bmc</v>
          </cell>
          <cell r="D1289" t="str">
            <v>BALHAPUR</v>
          </cell>
          <cell r="E1289">
            <v>10060011</v>
          </cell>
          <cell r="F1289" t="str">
            <v>0067</v>
          </cell>
          <cell r="G1289">
            <v>6</v>
          </cell>
          <cell r="H1289">
            <v>8.0499999999999989</v>
          </cell>
          <cell r="I1289">
            <v>363.910410804967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P1289">
            <v>364</v>
          </cell>
          <cell r="V1289" t="str">
            <v>Available</v>
          </cell>
        </row>
        <row r="1290">
          <cell r="A1290" t="str">
            <v>100600110079</v>
          </cell>
          <cell r="B1290" t="str">
            <v>Gopalpur Bmc</v>
          </cell>
          <cell r="C1290" t="str">
            <v>Gopalpur Bmc</v>
          </cell>
          <cell r="D1290" t="str">
            <v>BALHAPUR</v>
          </cell>
          <cell r="E1290">
            <v>10060011</v>
          </cell>
          <cell r="F1290" t="str">
            <v>0079</v>
          </cell>
          <cell r="G1290">
            <v>12</v>
          </cell>
          <cell r="H1290">
            <v>34.940000000000005</v>
          </cell>
          <cell r="I1290">
            <v>1341.6963767359503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P1290">
            <v>1342</v>
          </cell>
          <cell r="V1290" t="str">
            <v>Available</v>
          </cell>
        </row>
        <row r="1291">
          <cell r="A1291" t="str">
            <v>100600110081</v>
          </cell>
          <cell r="B1291" t="str">
            <v>Gopalpur Bmc</v>
          </cell>
          <cell r="C1291" t="str">
            <v>Gopalpur Bmc</v>
          </cell>
          <cell r="D1291" t="str">
            <v>BALHAPUR</v>
          </cell>
          <cell r="E1291">
            <v>10060011</v>
          </cell>
          <cell r="F1291" t="str">
            <v>0081</v>
          </cell>
          <cell r="G1291">
            <v>7</v>
          </cell>
          <cell r="H1291">
            <v>19.470000000000002</v>
          </cell>
          <cell r="I1291">
            <v>705.37214563200018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P1291">
            <v>705</v>
          </cell>
          <cell r="V1291" t="str">
            <v>Available</v>
          </cell>
        </row>
        <row r="1292">
          <cell r="A1292" t="str">
            <v>100600110084</v>
          </cell>
          <cell r="B1292" t="str">
            <v>Gopalpur Bmc</v>
          </cell>
          <cell r="C1292" t="str">
            <v>Gopalpur Bmc</v>
          </cell>
          <cell r="D1292" t="str">
            <v>BALHAPUR</v>
          </cell>
          <cell r="E1292">
            <v>10060011</v>
          </cell>
          <cell r="F1292" t="str">
            <v>0084</v>
          </cell>
          <cell r="G1292">
            <v>5</v>
          </cell>
          <cell r="H1292">
            <v>8.32</v>
          </cell>
          <cell r="I1292">
            <v>262.48168170180008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P1292">
            <v>262</v>
          </cell>
          <cell r="V1292" t="str">
            <v>Available</v>
          </cell>
        </row>
        <row r="1293">
          <cell r="A1293" t="str">
            <v>100600110086</v>
          </cell>
          <cell r="B1293" t="str">
            <v>Gopalpur Bmc</v>
          </cell>
          <cell r="C1293" t="str">
            <v>Gopalpur Bmc</v>
          </cell>
          <cell r="D1293" t="str">
            <v>BALHAPUR</v>
          </cell>
          <cell r="E1293">
            <v>10060011</v>
          </cell>
          <cell r="F1293" t="str">
            <v>0086</v>
          </cell>
          <cell r="G1293">
            <v>7</v>
          </cell>
          <cell r="H1293">
            <v>11.27</v>
          </cell>
          <cell r="I1293">
            <v>331.63762143600002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P1293">
            <v>332</v>
          </cell>
          <cell r="V1293" t="str">
            <v>Available</v>
          </cell>
        </row>
        <row r="1294">
          <cell r="A1294" t="str">
            <v>100600110097</v>
          </cell>
          <cell r="B1294" t="str">
            <v>Gopalpur Bmc</v>
          </cell>
          <cell r="C1294" t="str">
            <v>Gopalpur Bmc</v>
          </cell>
          <cell r="D1294" t="str">
            <v>BALHAPUR</v>
          </cell>
          <cell r="E1294">
            <v>10060011</v>
          </cell>
          <cell r="F1294" t="str">
            <v>0097</v>
          </cell>
          <cell r="G1294">
            <v>7</v>
          </cell>
          <cell r="H1294">
            <v>8.120000000000001</v>
          </cell>
          <cell r="I1294">
            <v>320.73175609200001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P1294">
            <v>321</v>
          </cell>
          <cell r="V1294" t="str">
            <v>Available</v>
          </cell>
        </row>
        <row r="1295">
          <cell r="A1295" t="str">
            <v>100600110100</v>
          </cell>
          <cell r="B1295" t="str">
            <v>Gopalpur Bmc</v>
          </cell>
          <cell r="C1295" t="str">
            <v>Gopalpur Bmc</v>
          </cell>
          <cell r="D1295" t="str">
            <v>BALHAPUR</v>
          </cell>
          <cell r="E1295">
            <v>10060011</v>
          </cell>
          <cell r="F1295" t="str">
            <v>0100</v>
          </cell>
          <cell r="G1295">
            <v>13</v>
          </cell>
          <cell r="H1295">
            <v>20.04</v>
          </cell>
          <cell r="I1295">
            <v>816.69557217600016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P1295">
            <v>817</v>
          </cell>
          <cell r="V1295" t="str">
            <v>Available</v>
          </cell>
        </row>
        <row r="1296">
          <cell r="A1296" t="str">
            <v>100600110103</v>
          </cell>
          <cell r="B1296" t="str">
            <v>Gopalpur Bmc</v>
          </cell>
          <cell r="C1296" t="str">
            <v>Gopalpur Bmc</v>
          </cell>
          <cell r="D1296" t="str">
            <v>BALHAPUR</v>
          </cell>
          <cell r="E1296">
            <v>10060011</v>
          </cell>
          <cell r="F1296" t="str">
            <v>0103</v>
          </cell>
          <cell r="G1296">
            <v>7</v>
          </cell>
          <cell r="H1296">
            <v>33.120000000000005</v>
          </cell>
          <cell r="I1296">
            <v>1241.2734287976002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P1296">
            <v>1241</v>
          </cell>
          <cell r="V1296" t="str">
            <v>Available</v>
          </cell>
        </row>
        <row r="1297">
          <cell r="A1297" t="str">
            <v>100600110105</v>
          </cell>
          <cell r="B1297" t="str">
            <v>Gopalpur Bmc</v>
          </cell>
          <cell r="C1297" t="str">
            <v>Gopalpur Bmc</v>
          </cell>
          <cell r="D1297" t="str">
            <v>BALHAPUR</v>
          </cell>
          <cell r="E1297">
            <v>10060011</v>
          </cell>
          <cell r="F1297" t="str">
            <v>0105</v>
          </cell>
          <cell r="G1297">
            <v>5</v>
          </cell>
          <cell r="H1297">
            <v>9.23</v>
          </cell>
          <cell r="I1297">
            <v>362.55073615200001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P1297">
            <v>363</v>
          </cell>
          <cell r="V1297" t="str">
            <v>Available</v>
          </cell>
        </row>
        <row r="1298">
          <cell r="A1298" t="str">
            <v>100600220001</v>
          </cell>
          <cell r="B1298" t="str">
            <v>Sonvarsha</v>
          </cell>
          <cell r="C1298" t="str">
            <v>Sonvarsha</v>
          </cell>
          <cell r="D1298" t="str">
            <v>Farda Ravi Tola</v>
          </cell>
          <cell r="E1298">
            <v>10060022</v>
          </cell>
          <cell r="F1298" t="str">
            <v>0001</v>
          </cell>
          <cell r="G1298">
            <v>14</v>
          </cell>
          <cell r="H1298">
            <v>15.099999999999998</v>
          </cell>
          <cell r="I1298">
            <v>570.19070196000018</v>
          </cell>
          <cell r="J1298">
            <v>0</v>
          </cell>
          <cell r="K1298">
            <v>570.19070196000018</v>
          </cell>
          <cell r="L1298">
            <v>0</v>
          </cell>
          <cell r="M1298">
            <v>0</v>
          </cell>
          <cell r="P1298">
            <v>0</v>
          </cell>
          <cell r="V1298" t="str">
            <v>Not Available</v>
          </cell>
        </row>
        <row r="1299">
          <cell r="A1299" t="str">
            <v>100600220002</v>
          </cell>
          <cell r="B1299" t="str">
            <v>Sonvarsha</v>
          </cell>
          <cell r="C1299" t="str">
            <v>Sonvarsha</v>
          </cell>
          <cell r="D1299" t="str">
            <v>Farda Ravi Tola</v>
          </cell>
          <cell r="E1299">
            <v>10060022</v>
          </cell>
          <cell r="F1299" t="str">
            <v>0002</v>
          </cell>
          <cell r="G1299">
            <v>6</v>
          </cell>
          <cell r="H1299">
            <v>234.99999999999997</v>
          </cell>
          <cell r="I1299">
            <v>8916.396797880001</v>
          </cell>
          <cell r="J1299">
            <v>0</v>
          </cell>
          <cell r="K1299">
            <v>0</v>
          </cell>
          <cell r="L1299">
            <v>1085</v>
          </cell>
          <cell r="M1299">
            <v>6210</v>
          </cell>
          <cell r="P1299">
            <v>0</v>
          </cell>
          <cell r="V1299" t="str">
            <v>Available</v>
          </cell>
        </row>
        <row r="1300">
          <cell r="A1300" t="str">
            <v>100600220006</v>
          </cell>
          <cell r="B1300" t="str">
            <v>Sonvarsha</v>
          </cell>
          <cell r="C1300" t="str">
            <v>Sonvarsha</v>
          </cell>
          <cell r="D1300" t="str">
            <v>Farda Ravi Tola</v>
          </cell>
          <cell r="E1300">
            <v>10060022</v>
          </cell>
          <cell r="F1300" t="str">
            <v>0006</v>
          </cell>
          <cell r="G1300">
            <v>2</v>
          </cell>
          <cell r="H1300">
            <v>133.19999999999999</v>
          </cell>
          <cell r="I1300">
            <v>4929.5928963600009</v>
          </cell>
          <cell r="J1300">
            <v>0</v>
          </cell>
          <cell r="K1300">
            <v>0</v>
          </cell>
          <cell r="L1300">
            <v>0</v>
          </cell>
          <cell r="M1300">
            <v>4930</v>
          </cell>
          <cell r="P1300">
            <v>0</v>
          </cell>
          <cell r="V1300" t="str">
            <v>Available</v>
          </cell>
        </row>
        <row r="1301">
          <cell r="A1301" t="str">
            <v>100600220018</v>
          </cell>
          <cell r="B1301" t="str">
            <v>Sonvarsha</v>
          </cell>
          <cell r="C1301" t="str">
            <v>Sonvarsha</v>
          </cell>
          <cell r="D1301" t="str">
            <v>Farda Ravi Tola</v>
          </cell>
          <cell r="E1301">
            <v>10060022</v>
          </cell>
          <cell r="F1301" t="str">
            <v>0018</v>
          </cell>
          <cell r="G1301">
            <v>3</v>
          </cell>
          <cell r="H1301">
            <v>127.60000000000001</v>
          </cell>
          <cell r="I1301">
            <v>4812.716509920001</v>
          </cell>
          <cell r="J1301">
            <v>0</v>
          </cell>
          <cell r="K1301">
            <v>0</v>
          </cell>
          <cell r="L1301">
            <v>0</v>
          </cell>
          <cell r="M1301">
            <v>4813</v>
          </cell>
          <cell r="P1301">
            <v>0</v>
          </cell>
          <cell r="V1301" t="str">
            <v>Available</v>
          </cell>
        </row>
        <row r="1302">
          <cell r="A1302" t="str">
            <v>100600220050</v>
          </cell>
          <cell r="B1302" t="str">
            <v>Sonvarsha</v>
          </cell>
          <cell r="C1302" t="str">
            <v>Sonvarsha</v>
          </cell>
          <cell r="D1302" t="str">
            <v>Farda Ravi Tola</v>
          </cell>
          <cell r="E1302">
            <v>10060022</v>
          </cell>
          <cell r="F1302" t="str">
            <v>0050</v>
          </cell>
          <cell r="G1302">
            <v>4</v>
          </cell>
          <cell r="H1302">
            <v>292.39999999999998</v>
          </cell>
          <cell r="I1302">
            <v>10810.690185240004</v>
          </cell>
          <cell r="J1302">
            <v>0</v>
          </cell>
          <cell r="K1302">
            <v>0</v>
          </cell>
          <cell r="L1302">
            <v>0</v>
          </cell>
          <cell r="M1302">
            <v>10811</v>
          </cell>
          <cell r="P1302">
            <v>0</v>
          </cell>
          <cell r="V1302" t="str">
            <v>Available</v>
          </cell>
        </row>
        <row r="1303">
          <cell r="A1303" t="str">
            <v>100600260001</v>
          </cell>
          <cell r="B1303" t="str">
            <v>Sonvarsha</v>
          </cell>
          <cell r="C1303" t="str">
            <v>Sonvarsha</v>
          </cell>
          <cell r="D1303" t="str">
            <v>Gomukh Arma</v>
          </cell>
          <cell r="E1303">
            <v>10060026</v>
          </cell>
          <cell r="F1303" t="str">
            <v>0001</v>
          </cell>
          <cell r="G1303">
            <v>8</v>
          </cell>
          <cell r="H1303">
            <v>1.75</v>
          </cell>
          <cell r="I1303">
            <v>79.242753636000018</v>
          </cell>
          <cell r="J1303">
            <v>0</v>
          </cell>
          <cell r="K1303">
            <v>79.242753636000018</v>
          </cell>
          <cell r="L1303">
            <v>0</v>
          </cell>
          <cell r="M1303">
            <v>0</v>
          </cell>
          <cell r="P1303">
            <v>0</v>
          </cell>
          <cell r="V1303" t="str">
            <v>Not Available</v>
          </cell>
        </row>
        <row r="1304">
          <cell r="A1304" t="str">
            <v>100600260002</v>
          </cell>
          <cell r="B1304" t="str">
            <v>Sonvarsha</v>
          </cell>
          <cell r="C1304" t="str">
            <v>Sonvarsha</v>
          </cell>
          <cell r="D1304" t="str">
            <v>Gomukh Arma</v>
          </cell>
          <cell r="E1304">
            <v>10060026</v>
          </cell>
          <cell r="F1304" t="str">
            <v>0002</v>
          </cell>
          <cell r="G1304">
            <v>10</v>
          </cell>
          <cell r="H1304">
            <v>394.2</v>
          </cell>
          <cell r="I1304">
            <v>16496.621185576001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P1304">
            <v>16497</v>
          </cell>
          <cell r="V1304" t="str">
            <v>Available</v>
          </cell>
        </row>
        <row r="1305">
          <cell r="A1305" t="str">
            <v>100600260017</v>
          </cell>
          <cell r="B1305" t="str">
            <v>Sonvarsha</v>
          </cell>
          <cell r="C1305" t="str">
            <v>Sonvarsha</v>
          </cell>
          <cell r="D1305" t="str">
            <v>Gomukh Arma</v>
          </cell>
          <cell r="E1305">
            <v>10060026</v>
          </cell>
          <cell r="F1305" t="str">
            <v>0017</v>
          </cell>
          <cell r="G1305">
            <v>2</v>
          </cell>
          <cell r="H1305">
            <v>15.2</v>
          </cell>
          <cell r="I1305">
            <v>765.40242998400004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P1305">
            <v>765</v>
          </cell>
          <cell r="V1305" t="str">
            <v>Available</v>
          </cell>
        </row>
        <row r="1306">
          <cell r="A1306" t="str">
            <v>100600260028</v>
          </cell>
          <cell r="B1306" t="str">
            <v>Sonvarsha</v>
          </cell>
          <cell r="C1306" t="str">
            <v>Sonvarsha</v>
          </cell>
          <cell r="D1306" t="str">
            <v>Gomukh Arma</v>
          </cell>
          <cell r="E1306">
            <v>10060026</v>
          </cell>
          <cell r="F1306" t="str">
            <v>0028</v>
          </cell>
          <cell r="G1306">
            <v>2</v>
          </cell>
          <cell r="H1306">
            <v>9.9</v>
          </cell>
          <cell r="I1306">
            <v>616.48338433000004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P1306">
            <v>616</v>
          </cell>
          <cell r="V1306" t="str">
            <v>Available</v>
          </cell>
        </row>
        <row r="1307">
          <cell r="A1307" t="str">
            <v>100600270001</v>
          </cell>
          <cell r="B1307" t="str">
            <v>Gopalpur Bmc</v>
          </cell>
          <cell r="C1307" t="str">
            <v>Gopalpur Bmc</v>
          </cell>
          <cell r="D1307" t="str">
            <v>Singhchak</v>
          </cell>
          <cell r="E1307">
            <v>10060027</v>
          </cell>
          <cell r="F1307" t="str">
            <v>0001</v>
          </cell>
          <cell r="G1307">
            <v>13</v>
          </cell>
          <cell r="H1307">
            <v>20.8</v>
          </cell>
          <cell r="I1307">
            <v>884.92772808000007</v>
          </cell>
          <cell r="J1307">
            <v>0</v>
          </cell>
          <cell r="K1307">
            <v>884.92772808000007</v>
          </cell>
          <cell r="L1307">
            <v>0</v>
          </cell>
          <cell r="M1307">
            <v>0</v>
          </cell>
          <cell r="P1307">
            <v>0</v>
          </cell>
          <cell r="V1307" t="str">
            <v>Not Available</v>
          </cell>
        </row>
        <row r="1308">
          <cell r="A1308" t="str">
            <v>100600270002</v>
          </cell>
          <cell r="B1308" t="str">
            <v>Gopalpur Bmc</v>
          </cell>
          <cell r="C1308" t="str">
            <v>Gopalpur Bmc</v>
          </cell>
          <cell r="D1308" t="str">
            <v>Singhchak</v>
          </cell>
          <cell r="E1308">
            <v>10060027</v>
          </cell>
          <cell r="F1308" t="str">
            <v>0002</v>
          </cell>
          <cell r="G1308">
            <v>13</v>
          </cell>
          <cell r="H1308">
            <v>57.699999999999996</v>
          </cell>
          <cell r="I1308">
            <v>2686.6917485468798</v>
          </cell>
          <cell r="J1308">
            <v>0</v>
          </cell>
          <cell r="K1308">
            <v>0</v>
          </cell>
          <cell r="L1308">
            <v>1465</v>
          </cell>
          <cell r="M1308">
            <v>0</v>
          </cell>
          <cell r="P1308">
            <v>1222</v>
          </cell>
          <cell r="V1308" t="str">
            <v>Available</v>
          </cell>
        </row>
        <row r="1309">
          <cell r="A1309" t="str">
            <v>100600270003</v>
          </cell>
          <cell r="B1309" t="str">
            <v>Gopalpur Bmc</v>
          </cell>
          <cell r="C1309" t="str">
            <v>Gopalpur Bmc</v>
          </cell>
          <cell r="D1309" t="str">
            <v>Singhchak</v>
          </cell>
          <cell r="E1309">
            <v>10060027</v>
          </cell>
          <cell r="F1309" t="str">
            <v>0003</v>
          </cell>
          <cell r="G1309">
            <v>10</v>
          </cell>
          <cell r="H1309">
            <v>13.02</v>
          </cell>
          <cell r="I1309">
            <v>726.49255034868008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P1309">
            <v>726</v>
          </cell>
          <cell r="V1309" t="str">
            <v>Available</v>
          </cell>
        </row>
        <row r="1310">
          <cell r="A1310" t="str">
            <v>100600270012</v>
          </cell>
          <cell r="B1310" t="str">
            <v>Gopalpur Bmc</v>
          </cell>
          <cell r="C1310" t="str">
            <v>Gopalpur Bmc</v>
          </cell>
          <cell r="D1310" t="str">
            <v>Singhchak</v>
          </cell>
          <cell r="E1310">
            <v>10060027</v>
          </cell>
          <cell r="F1310" t="str">
            <v>0012</v>
          </cell>
          <cell r="G1310">
            <v>14</v>
          </cell>
          <cell r="H1310">
            <v>53.239999999999995</v>
          </cell>
          <cell r="I1310">
            <v>1968.3852914484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P1310">
            <v>1968</v>
          </cell>
          <cell r="V1310" t="str">
            <v>Available</v>
          </cell>
        </row>
        <row r="1311">
          <cell r="A1311" t="str">
            <v>100600270014</v>
          </cell>
          <cell r="B1311" t="str">
            <v>Gopalpur Bmc</v>
          </cell>
          <cell r="C1311" t="str">
            <v>Gopalpur Bmc</v>
          </cell>
          <cell r="D1311" t="str">
            <v>Singhchak</v>
          </cell>
          <cell r="E1311">
            <v>10060027</v>
          </cell>
          <cell r="F1311" t="str">
            <v>0014</v>
          </cell>
          <cell r="G1311">
            <v>12</v>
          </cell>
          <cell r="H1311">
            <v>26.4</v>
          </cell>
          <cell r="I1311">
            <v>1555.6235627640801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P1311">
            <v>1556</v>
          </cell>
          <cell r="V1311" t="str">
            <v>Available</v>
          </cell>
        </row>
        <row r="1312">
          <cell r="A1312" t="str">
            <v>100600270020</v>
          </cell>
          <cell r="B1312" t="str">
            <v>Gopalpur Bmc</v>
          </cell>
          <cell r="C1312" t="str">
            <v>Gopalpur Bmc</v>
          </cell>
          <cell r="D1312" t="str">
            <v>Singhchak</v>
          </cell>
          <cell r="E1312">
            <v>10060027</v>
          </cell>
          <cell r="F1312" t="str">
            <v>0020</v>
          </cell>
          <cell r="G1312">
            <v>1</v>
          </cell>
          <cell r="H1312">
            <v>1.28</v>
          </cell>
          <cell r="I1312">
            <v>52.716939264000011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P1312">
            <v>53</v>
          </cell>
          <cell r="V1312" t="str">
            <v>Available</v>
          </cell>
        </row>
        <row r="1313">
          <cell r="A1313" t="str">
            <v>100600270034</v>
          </cell>
          <cell r="B1313" t="str">
            <v>Gopalpur Bmc</v>
          </cell>
          <cell r="C1313" t="str">
            <v>Gopalpur Bmc</v>
          </cell>
          <cell r="D1313" t="str">
            <v>Singhchak</v>
          </cell>
          <cell r="E1313">
            <v>10060027</v>
          </cell>
          <cell r="F1313" t="str">
            <v>0034</v>
          </cell>
          <cell r="G1313">
            <v>6</v>
          </cell>
          <cell r="H1313">
            <v>6.0900000000000007</v>
          </cell>
          <cell r="I1313">
            <v>325.45174592358001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P1313">
            <v>325</v>
          </cell>
          <cell r="V1313" t="str">
            <v>Available</v>
          </cell>
        </row>
        <row r="1314">
          <cell r="A1314" t="str">
            <v>100600270037</v>
          </cell>
          <cell r="B1314" t="str">
            <v>Gopalpur Bmc</v>
          </cell>
          <cell r="C1314" t="str">
            <v>Gopalpur Bmc</v>
          </cell>
          <cell r="D1314" t="str">
            <v>Singhchak</v>
          </cell>
          <cell r="E1314">
            <v>10060027</v>
          </cell>
          <cell r="F1314" t="str">
            <v>0037</v>
          </cell>
          <cell r="G1314">
            <v>13</v>
          </cell>
          <cell r="H1314">
            <v>43.5</v>
          </cell>
          <cell r="I1314">
            <v>1715.1167325600004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P1314">
            <v>1715</v>
          </cell>
          <cell r="V1314" t="str">
            <v>Available</v>
          </cell>
        </row>
        <row r="1315">
          <cell r="A1315" t="str">
            <v>100600270046</v>
          </cell>
          <cell r="B1315" t="str">
            <v>Gopalpur Bmc</v>
          </cell>
          <cell r="C1315" t="str">
            <v>Gopalpur Bmc</v>
          </cell>
          <cell r="D1315" t="str">
            <v>Singhchak</v>
          </cell>
          <cell r="E1315">
            <v>10060027</v>
          </cell>
          <cell r="F1315" t="str">
            <v>0046</v>
          </cell>
          <cell r="G1315">
            <v>5</v>
          </cell>
          <cell r="H1315">
            <v>10.52</v>
          </cell>
          <cell r="I1315">
            <v>405.12508344000003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P1315">
            <v>405</v>
          </cell>
          <cell r="V1315" t="str">
            <v>Available</v>
          </cell>
        </row>
        <row r="1316">
          <cell r="A1316" t="str">
            <v>100600270054</v>
          </cell>
          <cell r="B1316" t="str">
            <v>Gopalpur Bmc</v>
          </cell>
          <cell r="C1316" t="str">
            <v>Gopalpur Bmc</v>
          </cell>
          <cell r="D1316" t="str">
            <v>Singhchak</v>
          </cell>
          <cell r="E1316">
            <v>10060027</v>
          </cell>
          <cell r="F1316" t="str">
            <v>0054</v>
          </cell>
          <cell r="G1316">
            <v>7</v>
          </cell>
          <cell r="H1316">
            <v>4.46</v>
          </cell>
          <cell r="I1316">
            <v>256.41017678010002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P1316">
            <v>256</v>
          </cell>
          <cell r="V1316" t="str">
            <v>Available</v>
          </cell>
        </row>
        <row r="1317">
          <cell r="A1317" t="str">
            <v>100600270055</v>
          </cell>
          <cell r="B1317" t="str">
            <v>Gopalpur Bmc</v>
          </cell>
          <cell r="C1317" t="str">
            <v>Gopalpur Bmc</v>
          </cell>
          <cell r="D1317" t="str">
            <v>Singhchak</v>
          </cell>
          <cell r="E1317">
            <v>10060027</v>
          </cell>
          <cell r="F1317" t="str">
            <v>0055</v>
          </cell>
          <cell r="G1317">
            <v>14</v>
          </cell>
          <cell r="H1317">
            <v>37.56</v>
          </cell>
          <cell r="I1317">
            <v>1504.7629423199999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P1317">
            <v>1505</v>
          </cell>
          <cell r="V1317" t="str">
            <v>Available</v>
          </cell>
        </row>
        <row r="1318">
          <cell r="A1318" t="str">
            <v>100600270056</v>
          </cell>
          <cell r="B1318" t="str">
            <v>Gopalpur Bmc</v>
          </cell>
          <cell r="C1318" t="str">
            <v>Gopalpur Bmc</v>
          </cell>
          <cell r="D1318" t="str">
            <v>Singhchak</v>
          </cell>
          <cell r="E1318">
            <v>10060027</v>
          </cell>
          <cell r="F1318" t="str">
            <v>0056</v>
          </cell>
          <cell r="G1318">
            <v>12</v>
          </cell>
          <cell r="H1318">
            <v>27.640000000000004</v>
          </cell>
          <cell r="I1318">
            <v>1025.9269249680001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P1318">
            <v>1026</v>
          </cell>
          <cell r="V1318" t="str">
            <v>Available</v>
          </cell>
        </row>
        <row r="1319">
          <cell r="A1319" t="str">
            <v>100600270058</v>
          </cell>
          <cell r="B1319" t="str">
            <v>Gopalpur Bmc</v>
          </cell>
          <cell r="C1319" t="str">
            <v>Gopalpur Bmc</v>
          </cell>
          <cell r="D1319" t="str">
            <v>Singhchak</v>
          </cell>
          <cell r="E1319">
            <v>10060027</v>
          </cell>
          <cell r="F1319" t="str">
            <v>0058</v>
          </cell>
          <cell r="G1319">
            <v>11</v>
          </cell>
          <cell r="H1319">
            <v>24.959999999999997</v>
          </cell>
          <cell r="I1319">
            <v>941.34832070400012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P1319">
            <v>941</v>
          </cell>
          <cell r="V1319" t="str">
            <v>Available</v>
          </cell>
        </row>
        <row r="1320">
          <cell r="A1320" t="str">
            <v>100600270064</v>
          </cell>
          <cell r="B1320" t="str">
            <v>Gopalpur Bmc</v>
          </cell>
          <cell r="C1320" t="str">
            <v>Gopalpur Bmc</v>
          </cell>
          <cell r="D1320" t="str">
            <v>Singhchak</v>
          </cell>
          <cell r="E1320">
            <v>10060027</v>
          </cell>
          <cell r="F1320" t="str">
            <v>0064</v>
          </cell>
          <cell r="G1320">
            <v>5</v>
          </cell>
          <cell r="H1320">
            <v>11.400000000000002</v>
          </cell>
          <cell r="I1320">
            <v>547.20191812368012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P1320">
            <v>547</v>
          </cell>
          <cell r="V1320" t="str">
            <v>Available</v>
          </cell>
        </row>
        <row r="1321">
          <cell r="A1321" t="str">
            <v>100600270071</v>
          </cell>
          <cell r="B1321" t="str">
            <v>Gopalpur Bmc</v>
          </cell>
          <cell r="C1321" t="str">
            <v>Gopalpur Bmc</v>
          </cell>
          <cell r="D1321" t="str">
            <v>Singhchak</v>
          </cell>
          <cell r="E1321">
            <v>10060027</v>
          </cell>
          <cell r="F1321" t="str">
            <v>0071</v>
          </cell>
          <cell r="G1321">
            <v>9</v>
          </cell>
          <cell r="H1321">
            <v>24.480000000000004</v>
          </cell>
          <cell r="I1321">
            <v>1296.5731537468002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P1321">
            <v>1297</v>
          </cell>
          <cell r="V1321" t="str">
            <v>Available</v>
          </cell>
        </row>
        <row r="1322">
          <cell r="A1322" t="str">
            <v>100600270073</v>
          </cell>
          <cell r="B1322" t="str">
            <v>Gopalpur Bmc</v>
          </cell>
          <cell r="C1322" t="str">
            <v>Gopalpur Bmc</v>
          </cell>
          <cell r="D1322" t="str">
            <v>Singhchak</v>
          </cell>
          <cell r="E1322">
            <v>10060027</v>
          </cell>
          <cell r="F1322" t="str">
            <v>0073</v>
          </cell>
          <cell r="G1322">
            <v>8</v>
          </cell>
          <cell r="H1322">
            <v>18.3</v>
          </cell>
          <cell r="I1322">
            <v>675.76275043200019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P1322">
            <v>676</v>
          </cell>
          <cell r="V1322" t="str">
            <v>Available</v>
          </cell>
        </row>
        <row r="1323">
          <cell r="A1323" t="str">
            <v>100600270076</v>
          </cell>
          <cell r="B1323" t="str">
            <v>Gopalpur Bmc</v>
          </cell>
          <cell r="C1323" t="str">
            <v>Gopalpur Bmc</v>
          </cell>
          <cell r="D1323" t="str">
            <v>Singhchak</v>
          </cell>
          <cell r="E1323">
            <v>10060027</v>
          </cell>
          <cell r="F1323" t="str">
            <v>0076</v>
          </cell>
          <cell r="G1323">
            <v>7</v>
          </cell>
          <cell r="H1323">
            <v>18.8</v>
          </cell>
          <cell r="I1323">
            <v>804.36586586399994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P1323">
            <v>804</v>
          </cell>
          <cell r="V1323" t="str">
            <v>Available</v>
          </cell>
        </row>
        <row r="1324">
          <cell r="A1324" t="str">
            <v>100600270077</v>
          </cell>
          <cell r="B1324" t="str">
            <v>Gopalpur Bmc</v>
          </cell>
          <cell r="C1324" t="str">
            <v>Gopalpur Bmc</v>
          </cell>
          <cell r="D1324" t="str">
            <v>Singhchak</v>
          </cell>
          <cell r="E1324">
            <v>10060027</v>
          </cell>
          <cell r="F1324" t="str">
            <v>0077</v>
          </cell>
          <cell r="G1324">
            <v>6</v>
          </cell>
          <cell r="H1324">
            <v>11.98</v>
          </cell>
          <cell r="I1324">
            <v>468.56058242400007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P1324">
            <v>469</v>
          </cell>
          <cell r="V1324" t="str">
            <v>Available</v>
          </cell>
        </row>
        <row r="1325">
          <cell r="A1325" t="str">
            <v>100600270079</v>
          </cell>
          <cell r="B1325" t="str">
            <v>Gopalpur Bmc</v>
          </cell>
          <cell r="C1325" t="str">
            <v>Gopalpur Bmc</v>
          </cell>
          <cell r="D1325" t="str">
            <v>Singhchak</v>
          </cell>
          <cell r="E1325">
            <v>10060027</v>
          </cell>
          <cell r="F1325" t="str">
            <v>0079</v>
          </cell>
          <cell r="G1325">
            <v>6</v>
          </cell>
          <cell r="H1325">
            <v>12.12</v>
          </cell>
          <cell r="I1325">
            <v>498.77559864000006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P1325">
            <v>499</v>
          </cell>
          <cell r="V1325" t="str">
            <v>Available</v>
          </cell>
        </row>
        <row r="1326">
          <cell r="A1326" t="str">
            <v>100600270080</v>
          </cell>
          <cell r="B1326" t="str">
            <v>Gopalpur Bmc</v>
          </cell>
          <cell r="C1326" t="str">
            <v>Gopalpur Bmc</v>
          </cell>
          <cell r="D1326" t="str">
            <v>Singhchak</v>
          </cell>
          <cell r="E1326">
            <v>10060027</v>
          </cell>
          <cell r="F1326" t="str">
            <v>0080</v>
          </cell>
          <cell r="G1326">
            <v>13</v>
          </cell>
          <cell r="H1326">
            <v>87.76</v>
          </cell>
          <cell r="I1326">
            <v>3244.4423850960006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P1326">
            <v>3244</v>
          </cell>
          <cell r="V1326" t="str">
            <v>Available</v>
          </cell>
        </row>
        <row r="1327">
          <cell r="A1327" t="str">
            <v>100600270089</v>
          </cell>
          <cell r="B1327" t="str">
            <v>Gopalpur Bmc</v>
          </cell>
          <cell r="C1327" t="str">
            <v>Gopalpur Bmc</v>
          </cell>
          <cell r="D1327" t="str">
            <v>Singhchak</v>
          </cell>
          <cell r="E1327">
            <v>10060027</v>
          </cell>
          <cell r="F1327" t="str">
            <v>0089</v>
          </cell>
          <cell r="G1327">
            <v>4</v>
          </cell>
          <cell r="H1327">
            <v>7.5799999999999992</v>
          </cell>
          <cell r="I1327">
            <v>325.13770476000002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P1327">
            <v>325</v>
          </cell>
          <cell r="V1327" t="str">
            <v>Available</v>
          </cell>
        </row>
        <row r="1328">
          <cell r="A1328" t="str">
            <v>100600270091</v>
          </cell>
          <cell r="B1328" t="str">
            <v>Gopalpur Bmc</v>
          </cell>
          <cell r="C1328" t="str">
            <v>Gopalpur Bmc</v>
          </cell>
          <cell r="D1328" t="str">
            <v>Singhchak</v>
          </cell>
          <cell r="E1328">
            <v>10060027</v>
          </cell>
          <cell r="F1328" t="str">
            <v>0091</v>
          </cell>
          <cell r="G1328">
            <v>1</v>
          </cell>
          <cell r="H1328">
            <v>2.82</v>
          </cell>
          <cell r="I1328">
            <v>115.76980404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P1328">
            <v>116</v>
          </cell>
          <cell r="V1328" t="str">
            <v>Available</v>
          </cell>
        </row>
        <row r="1329">
          <cell r="A1329" t="str">
            <v>100600270092</v>
          </cell>
          <cell r="B1329" t="str">
            <v>Gopalpur Bmc</v>
          </cell>
          <cell r="C1329" t="str">
            <v>Gopalpur Bmc</v>
          </cell>
          <cell r="D1329" t="str">
            <v>Singhchak</v>
          </cell>
          <cell r="E1329">
            <v>10060027</v>
          </cell>
          <cell r="F1329" t="str">
            <v>0092</v>
          </cell>
          <cell r="G1329">
            <v>8</v>
          </cell>
          <cell r="H1329">
            <v>18.14</v>
          </cell>
          <cell r="I1329">
            <v>1160.5638928040403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P1329">
            <v>1161</v>
          </cell>
          <cell r="V1329" t="str">
            <v>Available</v>
          </cell>
        </row>
        <row r="1330">
          <cell r="A1330" t="str">
            <v>100600270096</v>
          </cell>
          <cell r="B1330" t="str">
            <v>Gopalpur Bmc</v>
          </cell>
          <cell r="C1330" t="str">
            <v>Gopalpur Bmc</v>
          </cell>
          <cell r="D1330" t="str">
            <v>Singhchak</v>
          </cell>
          <cell r="E1330">
            <v>10060027</v>
          </cell>
          <cell r="F1330" t="str">
            <v>0096</v>
          </cell>
          <cell r="G1330">
            <v>13</v>
          </cell>
          <cell r="H1330">
            <v>78.16</v>
          </cell>
          <cell r="I1330">
            <v>2812.7855392560004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P1330">
            <v>2813</v>
          </cell>
          <cell r="V1330" t="str">
            <v>Available</v>
          </cell>
        </row>
        <row r="1331">
          <cell r="A1331" t="str">
            <v>100600270104</v>
          </cell>
          <cell r="B1331" t="str">
            <v>Gopalpur Bmc</v>
          </cell>
          <cell r="C1331" t="str">
            <v>Gopalpur Bmc</v>
          </cell>
          <cell r="D1331" t="str">
            <v>Singhchak</v>
          </cell>
          <cell r="E1331">
            <v>10060027</v>
          </cell>
          <cell r="F1331" t="str">
            <v>0104</v>
          </cell>
          <cell r="G1331">
            <v>2</v>
          </cell>
          <cell r="H1331">
            <v>3.38</v>
          </cell>
          <cell r="I1331">
            <v>201.04329888720002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P1331">
            <v>201</v>
          </cell>
          <cell r="V1331" t="str">
            <v>Available</v>
          </cell>
        </row>
        <row r="1332">
          <cell r="A1332" t="str">
            <v>100600270108</v>
          </cell>
          <cell r="B1332" t="str">
            <v>Gopalpur Bmc</v>
          </cell>
          <cell r="C1332" t="str">
            <v>Gopalpur Bmc</v>
          </cell>
          <cell r="D1332" t="str">
            <v>Singhchak</v>
          </cell>
          <cell r="E1332">
            <v>10060027</v>
          </cell>
          <cell r="F1332" t="str">
            <v>0108</v>
          </cell>
          <cell r="G1332">
            <v>11</v>
          </cell>
          <cell r="H1332">
            <v>25.04</v>
          </cell>
          <cell r="I1332">
            <v>1800.4354708466599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P1332">
            <v>1800</v>
          </cell>
          <cell r="V1332" t="str">
            <v>Available</v>
          </cell>
        </row>
        <row r="1333">
          <cell r="A1333" t="str">
            <v>100600270109</v>
          </cell>
          <cell r="B1333" t="str">
            <v>Gopalpur Bmc</v>
          </cell>
          <cell r="C1333" t="str">
            <v>Gopalpur Bmc</v>
          </cell>
          <cell r="D1333" t="str">
            <v>Singhchak</v>
          </cell>
          <cell r="E1333">
            <v>10060027</v>
          </cell>
          <cell r="F1333" t="str">
            <v>0109</v>
          </cell>
          <cell r="G1333">
            <v>5</v>
          </cell>
          <cell r="H1333">
            <v>10.639999999999999</v>
          </cell>
          <cell r="I1333">
            <v>534.37352797908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P1333">
            <v>534</v>
          </cell>
          <cell r="V1333" t="str">
            <v>Available</v>
          </cell>
        </row>
        <row r="1334">
          <cell r="A1334" t="str">
            <v>100600270129</v>
          </cell>
          <cell r="B1334" t="str">
            <v>Gopalpur Bmc</v>
          </cell>
          <cell r="C1334" t="str">
            <v>Gopalpur Bmc</v>
          </cell>
          <cell r="D1334" t="str">
            <v>Singhchak</v>
          </cell>
          <cell r="E1334">
            <v>10060027</v>
          </cell>
          <cell r="F1334" t="str">
            <v>0129</v>
          </cell>
          <cell r="G1334">
            <v>1</v>
          </cell>
          <cell r="H1334">
            <v>0.86</v>
          </cell>
          <cell r="I1334">
            <v>36.327364920000001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P1334">
            <v>36</v>
          </cell>
          <cell r="V1334" t="str">
            <v>Available</v>
          </cell>
        </row>
        <row r="1335">
          <cell r="A1335" t="str">
            <v>100600270132</v>
          </cell>
          <cell r="B1335" t="str">
            <v>Gopalpur Bmc</v>
          </cell>
          <cell r="C1335" t="str">
            <v>Gopalpur Bmc</v>
          </cell>
          <cell r="D1335" t="str">
            <v>Singhchak</v>
          </cell>
          <cell r="E1335">
            <v>10060027</v>
          </cell>
          <cell r="F1335" t="str">
            <v>0132</v>
          </cell>
          <cell r="G1335">
            <v>9</v>
          </cell>
          <cell r="H1335">
            <v>21.54</v>
          </cell>
          <cell r="I1335">
            <v>1238.9605869467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P1335">
            <v>1239</v>
          </cell>
          <cell r="V1335" t="str">
            <v>Available</v>
          </cell>
        </row>
        <row r="1336">
          <cell r="A1336" t="str">
            <v>100600270137</v>
          </cell>
          <cell r="B1336" t="str">
            <v>Gopalpur Bmc</v>
          </cell>
          <cell r="C1336" t="str">
            <v>Gopalpur Bmc</v>
          </cell>
          <cell r="D1336" t="str">
            <v>Singhchak</v>
          </cell>
          <cell r="E1336">
            <v>10060027</v>
          </cell>
          <cell r="F1336" t="str">
            <v>0137</v>
          </cell>
          <cell r="G1336">
            <v>11</v>
          </cell>
          <cell r="H1336">
            <v>51.800000000000004</v>
          </cell>
          <cell r="I1336">
            <v>1930.074029136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P1336">
            <v>1930</v>
          </cell>
          <cell r="V1336" t="str">
            <v>Available</v>
          </cell>
        </row>
        <row r="1337">
          <cell r="A1337" t="str">
            <v>100600270143</v>
          </cell>
          <cell r="B1337" t="str">
            <v>Gopalpur Bmc</v>
          </cell>
          <cell r="C1337" t="str">
            <v>Gopalpur Bmc</v>
          </cell>
          <cell r="D1337" t="str">
            <v>Singhchak</v>
          </cell>
          <cell r="E1337">
            <v>10060027</v>
          </cell>
          <cell r="F1337" t="str">
            <v>0143</v>
          </cell>
          <cell r="G1337">
            <v>14</v>
          </cell>
          <cell r="H1337">
            <v>38.320000000000007</v>
          </cell>
          <cell r="I1337">
            <v>2048.1765114508403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P1337">
            <v>2048</v>
          </cell>
          <cell r="V1337" t="str">
            <v>Available</v>
          </cell>
        </row>
        <row r="1338">
          <cell r="A1338" t="str">
            <v>100600270147</v>
          </cell>
          <cell r="B1338" t="str">
            <v>Gopalpur Bmc</v>
          </cell>
          <cell r="C1338" t="str">
            <v>Gopalpur Bmc</v>
          </cell>
          <cell r="D1338" t="str">
            <v>Singhchak</v>
          </cell>
          <cell r="E1338">
            <v>10060027</v>
          </cell>
          <cell r="F1338" t="str">
            <v>0147</v>
          </cell>
          <cell r="G1338">
            <v>5</v>
          </cell>
          <cell r="H1338">
            <v>6.24</v>
          </cell>
          <cell r="I1338">
            <v>385.16700623804002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P1338">
            <v>385</v>
          </cell>
          <cell r="V1338" t="str">
            <v>Available</v>
          </cell>
        </row>
        <row r="1339">
          <cell r="A1339" t="str">
            <v>100600270150</v>
          </cell>
          <cell r="B1339" t="str">
            <v>Gopalpur Bmc</v>
          </cell>
          <cell r="C1339" t="str">
            <v>Gopalpur Bmc</v>
          </cell>
          <cell r="D1339" t="str">
            <v>Singhchak</v>
          </cell>
          <cell r="E1339">
            <v>10060027</v>
          </cell>
          <cell r="F1339" t="str">
            <v>0150</v>
          </cell>
          <cell r="G1339">
            <v>14</v>
          </cell>
          <cell r="H1339">
            <v>53.13</v>
          </cell>
          <cell r="I1339">
            <v>2275.1868977640002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P1339">
            <v>2275</v>
          </cell>
          <cell r="V1339" t="str">
            <v>Available</v>
          </cell>
        </row>
        <row r="1340">
          <cell r="A1340" t="str">
            <v>100600270161</v>
          </cell>
          <cell r="B1340" t="str">
            <v>Gopalpur Bmc</v>
          </cell>
          <cell r="C1340" t="str">
            <v>Gopalpur Bmc</v>
          </cell>
          <cell r="D1340" t="str">
            <v>Singhchak</v>
          </cell>
          <cell r="E1340">
            <v>10060027</v>
          </cell>
          <cell r="F1340" t="str">
            <v>0161</v>
          </cell>
          <cell r="G1340">
            <v>7</v>
          </cell>
          <cell r="H1340">
            <v>12.86</v>
          </cell>
          <cell r="I1340">
            <v>679.37664197900006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P1340">
            <v>679</v>
          </cell>
          <cell r="V1340" t="str">
            <v>Available</v>
          </cell>
        </row>
        <row r="1341">
          <cell r="A1341" t="str">
            <v>100600270163</v>
          </cell>
          <cell r="B1341" t="str">
            <v>Gopalpur Bmc</v>
          </cell>
          <cell r="C1341" t="str">
            <v>Gopalpur Bmc</v>
          </cell>
          <cell r="D1341" t="str">
            <v>Singhchak</v>
          </cell>
          <cell r="E1341">
            <v>10060027</v>
          </cell>
          <cell r="F1341" t="str">
            <v>0163</v>
          </cell>
          <cell r="G1341">
            <v>6</v>
          </cell>
          <cell r="H1341">
            <v>7.58</v>
          </cell>
          <cell r="I1341">
            <v>335.13272575200006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P1341">
            <v>335</v>
          </cell>
          <cell r="V1341" t="str">
            <v>Available</v>
          </cell>
        </row>
        <row r="1342">
          <cell r="A1342" t="str">
            <v>100600270165</v>
          </cell>
          <cell r="B1342" t="str">
            <v>Gopalpur Bmc</v>
          </cell>
          <cell r="C1342" t="str">
            <v>Gopalpur Bmc</v>
          </cell>
          <cell r="D1342" t="str">
            <v>Singhchak</v>
          </cell>
          <cell r="E1342">
            <v>10060027</v>
          </cell>
          <cell r="F1342" t="str">
            <v>0165</v>
          </cell>
          <cell r="G1342">
            <v>5</v>
          </cell>
          <cell r="H1342">
            <v>13.24</v>
          </cell>
          <cell r="I1342">
            <v>714.83734995079988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P1342">
            <v>715</v>
          </cell>
          <cell r="V1342" t="str">
            <v>Available</v>
          </cell>
        </row>
        <row r="1343">
          <cell r="A1343" t="str">
            <v>100600270166</v>
          </cell>
          <cell r="B1343" t="str">
            <v>Gopalpur Bmc</v>
          </cell>
          <cell r="C1343" t="str">
            <v>Gopalpur Bmc</v>
          </cell>
          <cell r="D1343" t="str">
            <v>Singhchak</v>
          </cell>
          <cell r="E1343">
            <v>10060027</v>
          </cell>
          <cell r="F1343" t="str">
            <v>0166</v>
          </cell>
          <cell r="G1343">
            <v>5</v>
          </cell>
          <cell r="H1343">
            <v>18.059999999999999</v>
          </cell>
          <cell r="I1343">
            <v>682.59140452800011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P1343">
            <v>683</v>
          </cell>
          <cell r="V1343" t="str">
            <v>Available</v>
          </cell>
        </row>
        <row r="1344">
          <cell r="A1344" t="str">
            <v>100600270169</v>
          </cell>
          <cell r="B1344" t="str">
            <v>Gopalpur Bmc</v>
          </cell>
          <cell r="C1344" t="str">
            <v>Gopalpur Bmc</v>
          </cell>
          <cell r="D1344" t="str">
            <v>Singhchak</v>
          </cell>
          <cell r="E1344">
            <v>10060027</v>
          </cell>
          <cell r="F1344" t="str">
            <v>0169</v>
          </cell>
          <cell r="G1344">
            <v>1</v>
          </cell>
          <cell r="H1344">
            <v>0.86</v>
          </cell>
          <cell r="I1344">
            <v>33.602850864000004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P1344">
            <v>34</v>
          </cell>
          <cell r="V1344" t="str">
            <v>Available</v>
          </cell>
        </row>
        <row r="1345">
          <cell r="A1345" t="str">
            <v>100600270170</v>
          </cell>
          <cell r="B1345" t="str">
            <v>Gopalpur Bmc</v>
          </cell>
          <cell r="C1345" t="str">
            <v>Gopalpur Bmc</v>
          </cell>
          <cell r="D1345" t="str">
            <v>Singhchak</v>
          </cell>
          <cell r="E1345">
            <v>10060027</v>
          </cell>
          <cell r="F1345" t="str">
            <v>0170</v>
          </cell>
          <cell r="G1345">
            <v>7</v>
          </cell>
          <cell r="H1345">
            <v>13.540000000000001</v>
          </cell>
          <cell r="I1345">
            <v>789.96772084326005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P1345">
            <v>790</v>
          </cell>
          <cell r="V1345" t="str">
            <v>Available</v>
          </cell>
        </row>
        <row r="1346">
          <cell r="A1346" t="str">
            <v>100600270174</v>
          </cell>
          <cell r="B1346" t="str">
            <v>Gopalpur Bmc</v>
          </cell>
          <cell r="C1346" t="str">
            <v>Gopalpur Bmc</v>
          </cell>
          <cell r="D1346" t="str">
            <v>Singhchak</v>
          </cell>
          <cell r="E1346">
            <v>10060027</v>
          </cell>
          <cell r="F1346" t="str">
            <v>0174</v>
          </cell>
          <cell r="G1346">
            <v>6</v>
          </cell>
          <cell r="H1346">
            <v>15.22</v>
          </cell>
          <cell r="I1346">
            <v>603.28327116864011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P1346">
            <v>603</v>
          </cell>
          <cell r="V1346" t="str">
            <v>Available</v>
          </cell>
        </row>
        <row r="1347">
          <cell r="A1347" t="str">
            <v>100600270175</v>
          </cell>
          <cell r="B1347" t="str">
            <v>Gopalpur Bmc</v>
          </cell>
          <cell r="C1347" t="str">
            <v>Gopalpur Bmc</v>
          </cell>
          <cell r="D1347" t="str">
            <v>Singhchak</v>
          </cell>
          <cell r="E1347">
            <v>10060027</v>
          </cell>
          <cell r="F1347" t="str">
            <v>0175</v>
          </cell>
          <cell r="G1347">
            <v>6</v>
          </cell>
          <cell r="H1347">
            <v>14.379999999999999</v>
          </cell>
          <cell r="I1347">
            <v>504.92669436000006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P1347">
            <v>505</v>
          </cell>
          <cell r="V1347" t="str">
            <v>Available</v>
          </cell>
        </row>
        <row r="1348">
          <cell r="A1348" t="str">
            <v>100600270186</v>
          </cell>
          <cell r="B1348" t="str">
            <v>Gopalpur Bmc</v>
          </cell>
          <cell r="C1348" t="str">
            <v>Gopalpur Bmc</v>
          </cell>
          <cell r="D1348" t="str">
            <v>Singhchak</v>
          </cell>
          <cell r="E1348">
            <v>10060027</v>
          </cell>
          <cell r="F1348" t="str">
            <v>0186</v>
          </cell>
          <cell r="G1348">
            <v>5</v>
          </cell>
          <cell r="H1348">
            <v>15.52</v>
          </cell>
          <cell r="I1348">
            <v>576.99466862400004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P1348">
            <v>577</v>
          </cell>
          <cell r="V1348" t="str">
            <v>Available</v>
          </cell>
        </row>
        <row r="1349">
          <cell r="A1349" t="str">
            <v>100600270190</v>
          </cell>
          <cell r="B1349" t="str">
            <v>Gopalpur Bmc</v>
          </cell>
          <cell r="C1349" t="str">
            <v>Gopalpur Bmc</v>
          </cell>
          <cell r="D1349" t="str">
            <v>Singhchak</v>
          </cell>
          <cell r="E1349">
            <v>10060027</v>
          </cell>
          <cell r="F1349" t="str">
            <v>0190</v>
          </cell>
          <cell r="G1349">
            <v>12</v>
          </cell>
          <cell r="H1349">
            <v>56.899999999999991</v>
          </cell>
          <cell r="I1349">
            <v>2096.4614418000001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P1349">
            <v>2096</v>
          </cell>
          <cell r="V1349" t="str">
            <v>Available</v>
          </cell>
        </row>
        <row r="1350">
          <cell r="A1350" t="str">
            <v>100600270191</v>
          </cell>
          <cell r="B1350" t="str">
            <v>Gopalpur Bmc</v>
          </cell>
          <cell r="C1350" t="str">
            <v>Gopalpur Bmc</v>
          </cell>
          <cell r="D1350" t="str">
            <v>Singhchak</v>
          </cell>
          <cell r="E1350">
            <v>10060027</v>
          </cell>
          <cell r="F1350" t="str">
            <v>0191</v>
          </cell>
          <cell r="G1350">
            <v>13</v>
          </cell>
          <cell r="H1350">
            <v>35.1</v>
          </cell>
          <cell r="I1350">
            <v>1400.5329821999997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P1350">
            <v>1401</v>
          </cell>
          <cell r="V1350" t="str">
            <v>Available</v>
          </cell>
        </row>
        <row r="1351">
          <cell r="A1351" t="str">
            <v>100600270206</v>
          </cell>
          <cell r="B1351" t="str">
            <v>Gopalpur Bmc</v>
          </cell>
          <cell r="C1351" t="str">
            <v>Gopalpur Bmc</v>
          </cell>
          <cell r="D1351" t="str">
            <v>Singhchak</v>
          </cell>
          <cell r="E1351">
            <v>10060027</v>
          </cell>
          <cell r="F1351" t="str">
            <v>0206</v>
          </cell>
          <cell r="G1351">
            <v>5</v>
          </cell>
          <cell r="H1351">
            <v>7.5200000000000005</v>
          </cell>
          <cell r="I1351">
            <v>296.41943865600001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P1351">
            <v>296</v>
          </cell>
          <cell r="V1351" t="str">
            <v>Available</v>
          </cell>
        </row>
        <row r="1352">
          <cell r="A1352" t="str">
            <v>100600270207</v>
          </cell>
          <cell r="B1352" t="str">
            <v>Gopalpur Bmc</v>
          </cell>
          <cell r="C1352" t="str">
            <v>Gopalpur Bmc</v>
          </cell>
          <cell r="D1352" t="str">
            <v>Singhchak</v>
          </cell>
          <cell r="E1352">
            <v>10060027</v>
          </cell>
          <cell r="F1352" t="str">
            <v>0207</v>
          </cell>
          <cell r="G1352">
            <v>10</v>
          </cell>
          <cell r="H1352">
            <v>27.08</v>
          </cell>
          <cell r="I1352">
            <v>1339.5812361329199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P1352">
            <v>1340</v>
          </cell>
          <cell r="V1352" t="str">
            <v>Available</v>
          </cell>
        </row>
        <row r="1353">
          <cell r="A1353" t="str">
            <v>100600270208</v>
          </cell>
          <cell r="B1353" t="str">
            <v>Gopalpur Bmc</v>
          </cell>
          <cell r="C1353" t="str">
            <v>Gopalpur Bmc</v>
          </cell>
          <cell r="D1353" t="str">
            <v>Singhchak</v>
          </cell>
          <cell r="E1353">
            <v>10060027</v>
          </cell>
          <cell r="F1353" t="str">
            <v>0208</v>
          </cell>
          <cell r="G1353">
            <v>4</v>
          </cell>
          <cell r="H1353">
            <v>8.14</v>
          </cell>
          <cell r="I1353">
            <v>285.04174168800006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P1353">
            <v>285</v>
          </cell>
          <cell r="V1353" t="str">
            <v>Available</v>
          </cell>
        </row>
        <row r="1354">
          <cell r="A1354" t="str">
            <v>100600270221</v>
          </cell>
          <cell r="B1354" t="str">
            <v>Gopalpur Bmc</v>
          </cell>
          <cell r="C1354" t="str">
            <v>Gopalpur Bmc</v>
          </cell>
          <cell r="D1354" t="str">
            <v>Singhchak</v>
          </cell>
          <cell r="E1354">
            <v>10060027</v>
          </cell>
          <cell r="F1354" t="str">
            <v>0221</v>
          </cell>
          <cell r="G1354">
            <v>5</v>
          </cell>
          <cell r="H1354">
            <v>17.72</v>
          </cell>
          <cell r="I1354">
            <v>636.44468184000016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P1354">
            <v>636</v>
          </cell>
          <cell r="V1354" t="str">
            <v>Available</v>
          </cell>
        </row>
        <row r="1355">
          <cell r="A1355" t="str">
            <v>100600270222</v>
          </cell>
          <cell r="B1355" t="str">
            <v>Gopalpur Bmc</v>
          </cell>
          <cell r="C1355" t="str">
            <v>Gopalpur Bmc</v>
          </cell>
          <cell r="D1355" t="str">
            <v>Singhchak</v>
          </cell>
          <cell r="E1355">
            <v>10060027</v>
          </cell>
          <cell r="F1355" t="str">
            <v>0222</v>
          </cell>
          <cell r="G1355">
            <v>13</v>
          </cell>
          <cell r="H1355">
            <v>25.919999999999998</v>
          </cell>
          <cell r="I1355">
            <v>1013.1501600000001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P1355">
            <v>1013</v>
          </cell>
          <cell r="V1355" t="str">
            <v>Available</v>
          </cell>
        </row>
        <row r="1356">
          <cell r="A1356" t="str">
            <v>100600270229</v>
          </cell>
          <cell r="B1356" t="str">
            <v>Gopalpur Bmc</v>
          </cell>
          <cell r="C1356" t="str">
            <v>Gopalpur Bmc</v>
          </cell>
          <cell r="D1356" t="str">
            <v>Singhchak</v>
          </cell>
          <cell r="E1356">
            <v>10060027</v>
          </cell>
          <cell r="F1356" t="str">
            <v>0229</v>
          </cell>
          <cell r="G1356">
            <v>2</v>
          </cell>
          <cell r="H1356">
            <v>3.2199999999999998</v>
          </cell>
          <cell r="I1356">
            <v>166.96128967680002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P1356">
            <v>167</v>
          </cell>
          <cell r="V1356" t="str">
            <v>Available</v>
          </cell>
        </row>
        <row r="1357">
          <cell r="A1357" t="str">
            <v>100600270237</v>
          </cell>
          <cell r="B1357" t="str">
            <v>Gopalpur Bmc</v>
          </cell>
          <cell r="C1357" t="str">
            <v>Gopalpur Bmc</v>
          </cell>
          <cell r="D1357" t="str">
            <v>Singhchak</v>
          </cell>
          <cell r="E1357">
            <v>10060027</v>
          </cell>
          <cell r="F1357" t="str">
            <v>0237</v>
          </cell>
          <cell r="G1357">
            <v>4</v>
          </cell>
          <cell r="H1357">
            <v>4.5600000000000005</v>
          </cell>
          <cell r="I1357">
            <v>240.96716102932001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P1357">
            <v>241</v>
          </cell>
          <cell r="V1357" t="str">
            <v>Available</v>
          </cell>
        </row>
        <row r="1358">
          <cell r="A1358" t="str">
            <v>100600270241</v>
          </cell>
          <cell r="B1358" t="str">
            <v>Gopalpur Bmc</v>
          </cell>
          <cell r="C1358" t="str">
            <v>Gopalpur Bmc</v>
          </cell>
          <cell r="D1358" t="str">
            <v>Singhchak</v>
          </cell>
          <cell r="E1358">
            <v>10060027</v>
          </cell>
          <cell r="F1358" t="str">
            <v>0241</v>
          </cell>
          <cell r="G1358">
            <v>7</v>
          </cell>
          <cell r="H1358">
            <v>18.64</v>
          </cell>
          <cell r="I1358">
            <v>679.14969249599994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P1358">
            <v>679</v>
          </cell>
          <cell r="V1358" t="str">
            <v>Available</v>
          </cell>
        </row>
        <row r="1359">
          <cell r="A1359" t="str">
            <v>100600270247</v>
          </cell>
          <cell r="B1359" t="str">
            <v>Gopalpur Bmc</v>
          </cell>
          <cell r="C1359" t="str">
            <v>Gopalpur Bmc</v>
          </cell>
          <cell r="D1359" t="str">
            <v>Singhchak</v>
          </cell>
          <cell r="E1359">
            <v>10060027</v>
          </cell>
          <cell r="F1359" t="str">
            <v>0247</v>
          </cell>
          <cell r="G1359">
            <v>7</v>
          </cell>
          <cell r="H1359">
            <v>11.959999999999999</v>
          </cell>
          <cell r="I1359">
            <v>769.66186973755998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P1359">
            <v>770</v>
          </cell>
          <cell r="V1359" t="str">
            <v>Available</v>
          </cell>
        </row>
        <row r="1360">
          <cell r="A1360" t="str">
            <v>100600270254</v>
          </cell>
          <cell r="B1360" t="str">
            <v>Gopalpur Bmc</v>
          </cell>
          <cell r="C1360" t="str">
            <v>Gopalpur Bmc</v>
          </cell>
          <cell r="D1360" t="str">
            <v>Singhchak</v>
          </cell>
          <cell r="E1360">
            <v>10060027</v>
          </cell>
          <cell r="F1360" t="str">
            <v>0254</v>
          </cell>
          <cell r="G1360">
            <v>9</v>
          </cell>
          <cell r="H1360">
            <v>39.14</v>
          </cell>
          <cell r="I1360">
            <v>1459.3091950800003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P1360">
            <v>1459</v>
          </cell>
          <cell r="V1360" t="str">
            <v>Available</v>
          </cell>
        </row>
        <row r="1361">
          <cell r="A1361" t="str">
            <v>100600270256</v>
          </cell>
          <cell r="B1361" t="str">
            <v>Gopalpur Bmc</v>
          </cell>
          <cell r="C1361" t="str">
            <v>Gopalpur Bmc</v>
          </cell>
          <cell r="D1361" t="str">
            <v>Singhchak</v>
          </cell>
          <cell r="E1361">
            <v>10060027</v>
          </cell>
          <cell r="F1361" t="str">
            <v>0256</v>
          </cell>
          <cell r="G1361">
            <v>13</v>
          </cell>
          <cell r="H1361">
            <v>24.18</v>
          </cell>
          <cell r="I1361">
            <v>1275.9866427618601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P1361">
            <v>1276</v>
          </cell>
          <cell r="V1361" t="str">
            <v>Available</v>
          </cell>
        </row>
        <row r="1362">
          <cell r="A1362" t="str">
            <v>100600270261</v>
          </cell>
          <cell r="B1362" t="str">
            <v>Gopalpur Bmc</v>
          </cell>
          <cell r="C1362" t="str">
            <v>Gopalpur Bmc</v>
          </cell>
          <cell r="D1362" t="str">
            <v>Singhchak</v>
          </cell>
          <cell r="E1362">
            <v>10060027</v>
          </cell>
          <cell r="F1362" t="str">
            <v>0261</v>
          </cell>
          <cell r="G1362">
            <v>10</v>
          </cell>
          <cell r="H1362">
            <v>35.14</v>
          </cell>
          <cell r="I1362">
            <v>1321.0421463360001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P1362">
            <v>1321</v>
          </cell>
          <cell r="V1362" t="str">
            <v>Available</v>
          </cell>
        </row>
        <row r="1363">
          <cell r="A1363" t="str">
            <v>100600270262</v>
          </cell>
          <cell r="B1363" t="str">
            <v>Gopalpur Bmc</v>
          </cell>
          <cell r="C1363" t="str">
            <v>Gopalpur Bmc</v>
          </cell>
          <cell r="D1363" t="str">
            <v>Singhchak</v>
          </cell>
          <cell r="E1363">
            <v>10060027</v>
          </cell>
          <cell r="F1363" t="str">
            <v>0262</v>
          </cell>
          <cell r="G1363">
            <v>3</v>
          </cell>
          <cell r="H1363">
            <v>5.2</v>
          </cell>
          <cell r="I1363">
            <v>249.30207879420001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P1363">
            <v>249</v>
          </cell>
          <cell r="V1363" t="str">
            <v>Available</v>
          </cell>
        </row>
        <row r="1364">
          <cell r="A1364" t="str">
            <v>100600270268</v>
          </cell>
          <cell r="B1364" t="str">
            <v>Gopalpur Bmc</v>
          </cell>
          <cell r="C1364" t="str">
            <v>Gopalpur Bmc</v>
          </cell>
          <cell r="D1364" t="str">
            <v>Singhchak</v>
          </cell>
          <cell r="E1364">
            <v>10060027</v>
          </cell>
          <cell r="F1364" t="str">
            <v>0268</v>
          </cell>
          <cell r="G1364">
            <v>2</v>
          </cell>
          <cell r="H1364">
            <v>2.8200000000000003</v>
          </cell>
          <cell r="I1364">
            <v>150.30204763336002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P1364">
            <v>150</v>
          </cell>
          <cell r="V1364" t="str">
            <v>Available</v>
          </cell>
        </row>
        <row r="1365">
          <cell r="A1365" t="str">
            <v>100600270269</v>
          </cell>
          <cell r="B1365" t="str">
            <v>Gopalpur Bmc</v>
          </cell>
          <cell r="C1365" t="str">
            <v>Gopalpur Bmc</v>
          </cell>
          <cell r="D1365" t="str">
            <v>Singhchak</v>
          </cell>
          <cell r="E1365">
            <v>10060027</v>
          </cell>
          <cell r="F1365" t="str">
            <v>0269</v>
          </cell>
          <cell r="G1365">
            <v>7</v>
          </cell>
          <cell r="H1365">
            <v>46.14</v>
          </cell>
          <cell r="I1365">
            <v>1569.5819290800002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P1365">
            <v>1570</v>
          </cell>
          <cell r="V1365" t="str">
            <v>Available</v>
          </cell>
        </row>
        <row r="1366">
          <cell r="A1366" t="str">
            <v>100600270271</v>
          </cell>
          <cell r="B1366" t="str">
            <v>Gopalpur Bmc</v>
          </cell>
          <cell r="C1366" t="str">
            <v>Gopalpur Bmc</v>
          </cell>
          <cell r="D1366" t="str">
            <v>Singhchak</v>
          </cell>
          <cell r="E1366">
            <v>10060027</v>
          </cell>
          <cell r="F1366" t="str">
            <v>0271</v>
          </cell>
          <cell r="G1366">
            <v>13</v>
          </cell>
          <cell r="H1366">
            <v>47.839999999999996</v>
          </cell>
          <cell r="I1366">
            <v>1892.9888112960004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P1366">
            <v>1893</v>
          </cell>
          <cell r="V1366" t="str">
            <v>Available</v>
          </cell>
        </row>
        <row r="1367">
          <cell r="A1367" t="str">
            <v>100600270274</v>
          </cell>
          <cell r="B1367" t="str">
            <v>Gopalpur Bmc</v>
          </cell>
          <cell r="C1367" t="str">
            <v>Gopalpur Bmc</v>
          </cell>
          <cell r="D1367" t="str">
            <v>Singhchak</v>
          </cell>
          <cell r="E1367">
            <v>10060027</v>
          </cell>
          <cell r="F1367" t="str">
            <v>0274</v>
          </cell>
          <cell r="G1367">
            <v>6</v>
          </cell>
          <cell r="H1367">
            <v>14.620000000000001</v>
          </cell>
          <cell r="I1367">
            <v>741.76603824072004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P1367">
            <v>742</v>
          </cell>
          <cell r="V1367" t="str">
            <v>Available</v>
          </cell>
        </row>
        <row r="1368">
          <cell r="A1368" t="str">
            <v>100600270279</v>
          </cell>
          <cell r="B1368" t="str">
            <v>Gopalpur Bmc</v>
          </cell>
          <cell r="C1368" t="str">
            <v>Gopalpur Bmc</v>
          </cell>
          <cell r="D1368" t="str">
            <v>Singhchak</v>
          </cell>
          <cell r="E1368">
            <v>10060027</v>
          </cell>
          <cell r="F1368" t="str">
            <v>0279</v>
          </cell>
          <cell r="G1368">
            <v>6</v>
          </cell>
          <cell r="H1368">
            <v>9.42</v>
          </cell>
          <cell r="I1368">
            <v>348.07289564519999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P1368">
            <v>348</v>
          </cell>
          <cell r="V1368" t="str">
            <v>Available</v>
          </cell>
        </row>
        <row r="1369">
          <cell r="A1369" t="str">
            <v>100600270282</v>
          </cell>
          <cell r="B1369" t="str">
            <v>Gopalpur Bmc</v>
          </cell>
          <cell r="C1369" t="str">
            <v>Gopalpur Bmc</v>
          </cell>
          <cell r="D1369" t="str">
            <v>Singhchak</v>
          </cell>
          <cell r="E1369">
            <v>10060027</v>
          </cell>
          <cell r="F1369" t="str">
            <v>0282</v>
          </cell>
          <cell r="G1369">
            <v>14</v>
          </cell>
          <cell r="H1369">
            <v>62.04</v>
          </cell>
          <cell r="I1369">
            <v>2265.2555618880001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P1369">
            <v>2265</v>
          </cell>
          <cell r="V1369" t="str">
            <v>Available</v>
          </cell>
        </row>
        <row r="1370">
          <cell r="A1370" t="str">
            <v>100600270288</v>
          </cell>
          <cell r="B1370" t="str">
            <v>Gopalpur Bmc</v>
          </cell>
          <cell r="C1370" t="str">
            <v>Gopalpur Bmc</v>
          </cell>
          <cell r="D1370" t="str">
            <v>Singhchak</v>
          </cell>
          <cell r="E1370">
            <v>10060027</v>
          </cell>
          <cell r="F1370" t="str">
            <v>0288</v>
          </cell>
          <cell r="G1370">
            <v>1</v>
          </cell>
          <cell r="H1370">
            <v>1</v>
          </cell>
          <cell r="I1370">
            <v>68.959289812700007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P1370">
            <v>69</v>
          </cell>
          <cell r="V1370" t="str">
            <v>Available</v>
          </cell>
        </row>
        <row r="1371">
          <cell r="A1371" t="str">
            <v>100600270290</v>
          </cell>
          <cell r="B1371" t="str">
            <v>Gopalpur Bmc</v>
          </cell>
          <cell r="C1371" t="str">
            <v>Gopalpur Bmc</v>
          </cell>
          <cell r="D1371" t="str">
            <v>Singhchak</v>
          </cell>
          <cell r="E1371">
            <v>10060027</v>
          </cell>
          <cell r="F1371" t="str">
            <v>0290</v>
          </cell>
          <cell r="G1371">
            <v>7</v>
          </cell>
          <cell r="H1371">
            <v>15.940000000000001</v>
          </cell>
          <cell r="I1371">
            <v>611.30196468000008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P1371">
            <v>611</v>
          </cell>
          <cell r="V1371" t="str">
            <v>Available</v>
          </cell>
        </row>
        <row r="1372">
          <cell r="A1372" t="str">
            <v>100600270299</v>
          </cell>
          <cell r="B1372" t="str">
            <v>Gopalpur Bmc</v>
          </cell>
          <cell r="C1372" t="str">
            <v>Gopalpur Bmc</v>
          </cell>
          <cell r="D1372" t="str">
            <v>Singhchak</v>
          </cell>
          <cell r="E1372">
            <v>10060027</v>
          </cell>
          <cell r="F1372" t="str">
            <v>0299</v>
          </cell>
          <cell r="G1372">
            <v>4</v>
          </cell>
          <cell r="H1372">
            <v>7.16</v>
          </cell>
          <cell r="I1372">
            <v>298.88260752240001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P1372">
            <v>299</v>
          </cell>
          <cell r="V1372" t="str">
            <v>Available</v>
          </cell>
        </row>
        <row r="1373">
          <cell r="A1373" t="str">
            <v>100600270301</v>
          </cell>
          <cell r="B1373" t="str">
            <v>Gopalpur Bmc</v>
          </cell>
          <cell r="C1373" t="str">
            <v>Gopalpur Bmc</v>
          </cell>
          <cell r="D1373" t="str">
            <v>Singhchak</v>
          </cell>
          <cell r="E1373">
            <v>10060027</v>
          </cell>
          <cell r="F1373" t="str">
            <v>0301</v>
          </cell>
          <cell r="G1373">
            <v>7</v>
          </cell>
          <cell r="H1373">
            <v>16.420000000000002</v>
          </cell>
          <cell r="I1373">
            <v>540.83818641599999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P1373">
            <v>541</v>
          </cell>
          <cell r="V1373" t="str">
            <v>Available</v>
          </cell>
        </row>
        <row r="1374">
          <cell r="A1374" t="str">
            <v>100600290001</v>
          </cell>
          <cell r="B1374" t="str">
            <v>Sonvarsha</v>
          </cell>
          <cell r="C1374" t="str">
            <v>Sonvarsha</v>
          </cell>
          <cell r="D1374" t="str">
            <v>PAWAI</v>
          </cell>
          <cell r="E1374">
            <v>10060029</v>
          </cell>
          <cell r="F1374" t="str">
            <v>0001</v>
          </cell>
          <cell r="G1374">
            <v>9</v>
          </cell>
          <cell r="H1374">
            <v>10.559999999999999</v>
          </cell>
          <cell r="I1374">
            <v>542.11825219033005</v>
          </cell>
          <cell r="J1374">
            <v>0</v>
          </cell>
          <cell r="K1374">
            <v>542.11825219033005</v>
          </cell>
          <cell r="L1374">
            <v>0</v>
          </cell>
          <cell r="M1374">
            <v>0</v>
          </cell>
          <cell r="P1374">
            <v>0</v>
          </cell>
          <cell r="V1374" t="str">
            <v>Not Available</v>
          </cell>
        </row>
        <row r="1375">
          <cell r="A1375" t="str">
            <v>100600290002</v>
          </cell>
          <cell r="B1375" t="str">
            <v>Sonvarsha</v>
          </cell>
          <cell r="C1375" t="str">
            <v>Sonvarsha</v>
          </cell>
          <cell r="D1375" t="str">
            <v>PAWAI</v>
          </cell>
          <cell r="E1375">
            <v>10060029</v>
          </cell>
          <cell r="F1375" t="str">
            <v>0002</v>
          </cell>
          <cell r="G1375">
            <v>4</v>
          </cell>
          <cell r="H1375">
            <v>52.66</v>
          </cell>
          <cell r="I1375">
            <v>2068.1728058497206</v>
          </cell>
          <cell r="J1375">
            <v>0</v>
          </cell>
          <cell r="K1375">
            <v>0</v>
          </cell>
          <cell r="L1375">
            <v>849</v>
          </cell>
          <cell r="M1375">
            <v>0</v>
          </cell>
          <cell r="P1375">
            <v>1102</v>
          </cell>
          <cell r="V1375" t="str">
            <v>Available</v>
          </cell>
        </row>
        <row r="1376">
          <cell r="A1376" t="str">
            <v>100600290003</v>
          </cell>
          <cell r="B1376" t="str">
            <v>Sonvarsha</v>
          </cell>
          <cell r="C1376" t="str">
            <v>Sonvarsha</v>
          </cell>
          <cell r="D1376" t="str">
            <v>PAWAI</v>
          </cell>
          <cell r="E1376">
            <v>10060029</v>
          </cell>
          <cell r="F1376" t="str">
            <v>0003</v>
          </cell>
          <cell r="G1376">
            <v>7</v>
          </cell>
          <cell r="H1376">
            <v>80.790000000000006</v>
          </cell>
          <cell r="I1376">
            <v>3237.6216022920003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P1376">
            <v>3238</v>
          </cell>
          <cell r="V1376" t="str">
            <v>Available</v>
          </cell>
        </row>
        <row r="1377">
          <cell r="A1377" t="str">
            <v>100600290004</v>
          </cell>
          <cell r="B1377" t="str">
            <v>Sonvarsha</v>
          </cell>
          <cell r="C1377" t="str">
            <v>Sonvarsha</v>
          </cell>
          <cell r="D1377" t="str">
            <v>PAWAI</v>
          </cell>
          <cell r="E1377">
            <v>10060029</v>
          </cell>
          <cell r="F1377" t="str">
            <v>0004</v>
          </cell>
          <cell r="G1377">
            <v>6</v>
          </cell>
          <cell r="H1377">
            <v>67.209999999999994</v>
          </cell>
          <cell r="I1377">
            <v>3485.924653476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P1377">
            <v>3486</v>
          </cell>
          <cell r="V1377" t="str">
            <v>Available</v>
          </cell>
        </row>
        <row r="1378">
          <cell r="A1378" t="str">
            <v>100600290005</v>
          </cell>
          <cell r="B1378" t="str">
            <v>Sonvarsha</v>
          </cell>
          <cell r="C1378" t="str">
            <v>Sonvarsha</v>
          </cell>
          <cell r="D1378" t="str">
            <v>PAWAI</v>
          </cell>
          <cell r="E1378">
            <v>10060029</v>
          </cell>
          <cell r="F1378" t="str">
            <v>0005</v>
          </cell>
          <cell r="G1378">
            <v>5</v>
          </cell>
          <cell r="H1378">
            <v>55.949999999999996</v>
          </cell>
          <cell r="I1378">
            <v>2342.9386403627404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P1378">
            <v>2343</v>
          </cell>
          <cell r="V1378" t="str">
            <v>Available</v>
          </cell>
        </row>
        <row r="1379">
          <cell r="A1379" t="str">
            <v>100600290007</v>
          </cell>
          <cell r="B1379" t="str">
            <v>Sonvarsha</v>
          </cell>
          <cell r="C1379" t="str">
            <v>Sonvarsha</v>
          </cell>
          <cell r="D1379" t="str">
            <v>PAWAI</v>
          </cell>
          <cell r="E1379">
            <v>10060029</v>
          </cell>
          <cell r="F1379" t="str">
            <v>0007</v>
          </cell>
          <cell r="G1379">
            <v>4</v>
          </cell>
          <cell r="H1379">
            <v>6.42</v>
          </cell>
          <cell r="I1379">
            <v>264.61942578720004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P1379">
            <v>265</v>
          </cell>
          <cell r="V1379" t="str">
            <v>Available</v>
          </cell>
        </row>
        <row r="1380">
          <cell r="A1380" t="str">
            <v>100600290009</v>
          </cell>
          <cell r="B1380" t="str">
            <v>Sonvarsha</v>
          </cell>
          <cell r="C1380" t="str">
            <v>Sonvarsha</v>
          </cell>
          <cell r="D1380" t="str">
            <v>PAWAI</v>
          </cell>
          <cell r="E1380">
            <v>10060029</v>
          </cell>
          <cell r="F1380" t="str">
            <v>0009</v>
          </cell>
          <cell r="G1380">
            <v>4</v>
          </cell>
          <cell r="H1380">
            <v>4.71</v>
          </cell>
          <cell r="I1380">
            <v>211.53933247104007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P1380">
            <v>212</v>
          </cell>
          <cell r="V1380" t="str">
            <v>Available</v>
          </cell>
        </row>
        <row r="1381">
          <cell r="A1381" t="str">
            <v>100600290011</v>
          </cell>
          <cell r="B1381" t="str">
            <v>Sonvarsha</v>
          </cell>
          <cell r="C1381" t="str">
            <v>Sonvarsha</v>
          </cell>
          <cell r="D1381" t="str">
            <v>PAWAI</v>
          </cell>
          <cell r="E1381">
            <v>10060029</v>
          </cell>
          <cell r="F1381" t="str">
            <v>0011</v>
          </cell>
          <cell r="G1381">
            <v>8</v>
          </cell>
          <cell r="H1381">
            <v>13.790000000000001</v>
          </cell>
          <cell r="I1381">
            <v>656.78788619912007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P1381">
            <v>657</v>
          </cell>
          <cell r="V1381" t="str">
            <v>Available</v>
          </cell>
        </row>
        <row r="1382">
          <cell r="A1382" t="str">
            <v>100600290012</v>
          </cell>
          <cell r="B1382" t="str">
            <v>Sonvarsha</v>
          </cell>
          <cell r="C1382" t="str">
            <v>Sonvarsha</v>
          </cell>
          <cell r="D1382" t="str">
            <v>PAWAI</v>
          </cell>
          <cell r="E1382">
            <v>10060029</v>
          </cell>
          <cell r="F1382" t="str">
            <v>0012</v>
          </cell>
          <cell r="G1382">
            <v>5</v>
          </cell>
          <cell r="H1382">
            <v>14.26</v>
          </cell>
          <cell r="I1382">
            <v>445.88203115940001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P1382">
            <v>446</v>
          </cell>
          <cell r="V1382" t="str">
            <v>Available</v>
          </cell>
        </row>
        <row r="1383">
          <cell r="A1383" t="str">
            <v>100600290013</v>
          </cell>
          <cell r="B1383" t="str">
            <v>Sonvarsha</v>
          </cell>
          <cell r="C1383" t="str">
            <v>Sonvarsha</v>
          </cell>
          <cell r="D1383" t="str">
            <v>PAWAI</v>
          </cell>
          <cell r="E1383">
            <v>10060029</v>
          </cell>
          <cell r="F1383" t="str">
            <v>0013</v>
          </cell>
          <cell r="G1383">
            <v>5</v>
          </cell>
          <cell r="H1383">
            <v>18.38</v>
          </cell>
          <cell r="I1383">
            <v>620.6476140612001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P1383">
            <v>621</v>
          </cell>
          <cell r="V1383" t="str">
            <v>Available</v>
          </cell>
        </row>
        <row r="1384">
          <cell r="A1384" t="str">
            <v>100600290014</v>
          </cell>
          <cell r="B1384" t="str">
            <v>Sonvarsha</v>
          </cell>
          <cell r="C1384" t="str">
            <v>Sonvarsha</v>
          </cell>
          <cell r="D1384" t="str">
            <v>PAWAI</v>
          </cell>
          <cell r="E1384">
            <v>10060029</v>
          </cell>
          <cell r="F1384" t="str">
            <v>0014</v>
          </cell>
          <cell r="G1384">
            <v>9</v>
          </cell>
          <cell r="H1384">
            <v>15.009999999999998</v>
          </cell>
          <cell r="I1384">
            <v>518.13501537599996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P1384">
            <v>518</v>
          </cell>
          <cell r="V1384" t="str">
            <v>Available</v>
          </cell>
        </row>
        <row r="1385">
          <cell r="A1385" t="str">
            <v>100600290015</v>
          </cell>
          <cell r="B1385" t="str">
            <v>Sonvarsha</v>
          </cell>
          <cell r="C1385" t="str">
            <v>Sonvarsha</v>
          </cell>
          <cell r="D1385" t="str">
            <v>PAWAI</v>
          </cell>
          <cell r="E1385">
            <v>10060029</v>
          </cell>
          <cell r="F1385" t="str">
            <v>0015</v>
          </cell>
          <cell r="G1385">
            <v>8</v>
          </cell>
          <cell r="H1385">
            <v>26.680000000000003</v>
          </cell>
          <cell r="I1385">
            <v>1422.13564520572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P1385">
            <v>1422</v>
          </cell>
          <cell r="V1385" t="str">
            <v>Available</v>
          </cell>
        </row>
        <row r="1386">
          <cell r="A1386" t="str">
            <v>100600290016</v>
          </cell>
          <cell r="B1386" t="str">
            <v>Sonvarsha</v>
          </cell>
          <cell r="C1386" t="str">
            <v>Sonvarsha</v>
          </cell>
          <cell r="D1386" t="str">
            <v>PAWAI</v>
          </cell>
          <cell r="E1386">
            <v>10060029</v>
          </cell>
          <cell r="F1386" t="str">
            <v>0016</v>
          </cell>
          <cell r="G1386">
            <v>6</v>
          </cell>
          <cell r="H1386">
            <v>16.899999999999999</v>
          </cell>
          <cell r="I1386">
            <v>605.76666955200005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P1386">
            <v>606</v>
          </cell>
          <cell r="V1386" t="str">
            <v>Available</v>
          </cell>
        </row>
        <row r="1387">
          <cell r="A1387" t="str">
            <v>100600290018</v>
          </cell>
          <cell r="B1387" t="str">
            <v>Sonvarsha</v>
          </cell>
          <cell r="C1387" t="str">
            <v>Sonvarsha</v>
          </cell>
          <cell r="D1387" t="str">
            <v>PAWAI</v>
          </cell>
          <cell r="E1387">
            <v>10060029</v>
          </cell>
          <cell r="F1387" t="str">
            <v>0018</v>
          </cell>
          <cell r="G1387">
            <v>10</v>
          </cell>
          <cell r="H1387">
            <v>32.949999999999996</v>
          </cell>
          <cell r="I1387">
            <v>1471.25951745269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P1387">
            <v>1471</v>
          </cell>
          <cell r="V1387" t="str">
            <v>Available</v>
          </cell>
        </row>
        <row r="1388">
          <cell r="A1388" t="str">
            <v>100600290020</v>
          </cell>
          <cell r="B1388" t="str">
            <v>Sonvarsha</v>
          </cell>
          <cell r="C1388" t="str">
            <v>Sonvarsha</v>
          </cell>
          <cell r="D1388" t="str">
            <v>PAWAI</v>
          </cell>
          <cell r="E1388">
            <v>10060029</v>
          </cell>
          <cell r="F1388" t="str">
            <v>0020</v>
          </cell>
          <cell r="G1388">
            <v>6</v>
          </cell>
          <cell r="H1388">
            <v>12.23</v>
          </cell>
          <cell r="I1388">
            <v>425.34223182000005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P1388">
            <v>425</v>
          </cell>
          <cell r="V1388" t="str">
            <v>Available</v>
          </cell>
        </row>
        <row r="1389">
          <cell r="A1389" t="str">
            <v>100600290022</v>
          </cell>
          <cell r="B1389" t="str">
            <v>Sonvarsha</v>
          </cell>
          <cell r="C1389" t="str">
            <v>Sonvarsha</v>
          </cell>
          <cell r="D1389" t="str">
            <v>PAWAI</v>
          </cell>
          <cell r="E1389">
            <v>10060029</v>
          </cell>
          <cell r="F1389" t="str">
            <v>0022</v>
          </cell>
          <cell r="G1389">
            <v>4</v>
          </cell>
          <cell r="H1389">
            <v>7.4999999999999991</v>
          </cell>
          <cell r="I1389">
            <v>236.00742442200001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P1389">
            <v>236</v>
          </cell>
          <cell r="V1389" t="str">
            <v>Available</v>
          </cell>
        </row>
        <row r="1390">
          <cell r="A1390" t="str">
            <v>100600290029</v>
          </cell>
          <cell r="B1390" t="str">
            <v>Sonvarsha</v>
          </cell>
          <cell r="C1390" t="str">
            <v>Sonvarsha</v>
          </cell>
          <cell r="D1390" t="str">
            <v>PAWAI</v>
          </cell>
          <cell r="E1390">
            <v>10060029</v>
          </cell>
          <cell r="F1390" t="str">
            <v>0029</v>
          </cell>
          <cell r="G1390">
            <v>6</v>
          </cell>
          <cell r="H1390">
            <v>14.72</v>
          </cell>
          <cell r="I1390">
            <v>491.7280402188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P1390">
            <v>492</v>
          </cell>
          <cell r="V1390" t="str">
            <v>Available</v>
          </cell>
        </row>
        <row r="1391">
          <cell r="A1391" t="str">
            <v>100600290035</v>
          </cell>
          <cell r="B1391" t="str">
            <v>Sonvarsha</v>
          </cell>
          <cell r="C1391" t="str">
            <v>Sonvarsha</v>
          </cell>
          <cell r="D1391" t="str">
            <v>PAWAI</v>
          </cell>
          <cell r="E1391">
            <v>10060029</v>
          </cell>
          <cell r="F1391" t="str">
            <v>0035</v>
          </cell>
          <cell r="G1391">
            <v>7</v>
          </cell>
          <cell r="H1391">
            <v>17.920000000000002</v>
          </cell>
          <cell r="I1391">
            <v>711.72174862800011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P1391">
            <v>712</v>
          </cell>
          <cell r="V1391" t="str">
            <v>Available</v>
          </cell>
        </row>
        <row r="1392">
          <cell r="A1392" t="str">
            <v>100600290037</v>
          </cell>
          <cell r="B1392" t="str">
            <v>Sonvarsha</v>
          </cell>
          <cell r="C1392" t="str">
            <v>Sonvarsha</v>
          </cell>
          <cell r="D1392" t="str">
            <v>PAWAI</v>
          </cell>
          <cell r="E1392">
            <v>10060029</v>
          </cell>
          <cell r="F1392" t="str">
            <v>0037</v>
          </cell>
          <cell r="G1392">
            <v>6</v>
          </cell>
          <cell r="H1392">
            <v>42.44</v>
          </cell>
          <cell r="I1392">
            <v>2184.4362302238001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P1392">
            <v>2184</v>
          </cell>
          <cell r="V1392" t="str">
            <v>Available</v>
          </cell>
        </row>
        <row r="1393">
          <cell r="A1393" t="str">
            <v>100600290038</v>
          </cell>
          <cell r="B1393" t="str">
            <v>Sonvarsha</v>
          </cell>
          <cell r="C1393" t="str">
            <v>Sonvarsha</v>
          </cell>
          <cell r="D1393" t="str">
            <v>PAWAI</v>
          </cell>
          <cell r="E1393">
            <v>10060029</v>
          </cell>
          <cell r="F1393" t="str">
            <v>0038</v>
          </cell>
          <cell r="G1393">
            <v>2</v>
          </cell>
          <cell r="H1393">
            <v>3.88</v>
          </cell>
          <cell r="I1393">
            <v>214.17655170960003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P1393">
            <v>214</v>
          </cell>
          <cell r="V1393" t="str">
            <v>Available</v>
          </cell>
        </row>
        <row r="1394">
          <cell r="A1394" t="str">
            <v>100600290039</v>
          </cell>
          <cell r="B1394" t="str">
            <v>Sonvarsha</v>
          </cell>
          <cell r="C1394" t="str">
            <v>Sonvarsha</v>
          </cell>
          <cell r="D1394" t="str">
            <v>PAWAI</v>
          </cell>
          <cell r="E1394">
            <v>10060029</v>
          </cell>
          <cell r="F1394" t="str">
            <v>0039</v>
          </cell>
          <cell r="G1394">
            <v>5</v>
          </cell>
          <cell r="H1394">
            <v>9.5</v>
          </cell>
          <cell r="I1394">
            <v>363.12813899999998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P1394">
            <v>363</v>
          </cell>
          <cell r="V1394" t="str">
            <v>Available</v>
          </cell>
        </row>
        <row r="1395">
          <cell r="A1395" t="str">
            <v>100600290041</v>
          </cell>
          <cell r="B1395" t="str">
            <v>Sonvarsha</v>
          </cell>
          <cell r="C1395" t="str">
            <v>Sonvarsha</v>
          </cell>
          <cell r="D1395" t="str">
            <v>PAWAI</v>
          </cell>
          <cell r="E1395">
            <v>10060029</v>
          </cell>
          <cell r="F1395" t="str">
            <v>0041</v>
          </cell>
          <cell r="G1395">
            <v>7</v>
          </cell>
          <cell r="H1395">
            <v>13.07</v>
          </cell>
          <cell r="I1395">
            <v>523.69826454000008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P1395">
            <v>524</v>
          </cell>
          <cell r="V1395" t="str">
            <v>Available</v>
          </cell>
        </row>
        <row r="1396">
          <cell r="A1396" t="str">
            <v>100600290043</v>
          </cell>
          <cell r="B1396" t="str">
            <v>Sonvarsha</v>
          </cell>
          <cell r="C1396" t="str">
            <v>Sonvarsha</v>
          </cell>
          <cell r="D1396" t="str">
            <v>PAWAI</v>
          </cell>
          <cell r="E1396">
            <v>10060029</v>
          </cell>
          <cell r="F1396" t="str">
            <v>0043</v>
          </cell>
          <cell r="G1396">
            <v>6</v>
          </cell>
          <cell r="H1396">
            <v>17.62</v>
          </cell>
          <cell r="I1396">
            <v>690.46015595040012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P1396">
            <v>690</v>
          </cell>
          <cell r="V1396" t="str">
            <v>Available</v>
          </cell>
        </row>
        <row r="1397">
          <cell r="A1397" t="str">
            <v>100600290049</v>
          </cell>
          <cell r="B1397" t="str">
            <v>Sonvarsha</v>
          </cell>
          <cell r="C1397" t="str">
            <v>Sonvarsha</v>
          </cell>
          <cell r="D1397" t="str">
            <v>PAWAI</v>
          </cell>
          <cell r="E1397">
            <v>10060029</v>
          </cell>
          <cell r="F1397" t="str">
            <v>0049</v>
          </cell>
          <cell r="G1397">
            <v>4</v>
          </cell>
          <cell r="H1397">
            <v>21.94</v>
          </cell>
          <cell r="I1397">
            <v>953.03293668000015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P1397">
            <v>953</v>
          </cell>
          <cell r="V1397" t="str">
            <v>Available</v>
          </cell>
        </row>
        <row r="1398">
          <cell r="A1398" t="str">
            <v>100600290053</v>
          </cell>
          <cell r="B1398" t="str">
            <v>Sonvarsha</v>
          </cell>
          <cell r="C1398" t="str">
            <v>Sonvarsha</v>
          </cell>
          <cell r="D1398" t="str">
            <v>PAWAI</v>
          </cell>
          <cell r="E1398">
            <v>10060029</v>
          </cell>
          <cell r="F1398" t="str">
            <v>0053</v>
          </cell>
          <cell r="G1398">
            <v>4</v>
          </cell>
          <cell r="H1398">
            <v>6.7099999999999991</v>
          </cell>
          <cell r="I1398">
            <v>213.57682677540001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P1398">
            <v>214</v>
          </cell>
          <cell r="V1398" t="str">
            <v>Available</v>
          </cell>
        </row>
        <row r="1399">
          <cell r="A1399" t="str">
            <v>100600290061</v>
          </cell>
          <cell r="B1399" t="str">
            <v>Sonvarsha</v>
          </cell>
          <cell r="C1399" t="str">
            <v>Sonvarsha</v>
          </cell>
          <cell r="D1399" t="str">
            <v>PAWAI</v>
          </cell>
          <cell r="E1399">
            <v>10060029</v>
          </cell>
          <cell r="F1399" t="str">
            <v>0061</v>
          </cell>
          <cell r="G1399">
            <v>3</v>
          </cell>
          <cell r="H1399">
            <v>4.09</v>
          </cell>
          <cell r="I1399">
            <v>164.97290898000003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P1399">
            <v>165</v>
          </cell>
          <cell r="V1399" t="str">
            <v>Available</v>
          </cell>
        </row>
        <row r="1400">
          <cell r="A1400" t="str">
            <v>100600290062</v>
          </cell>
          <cell r="B1400" t="str">
            <v>Sonvarsha</v>
          </cell>
          <cell r="C1400" t="str">
            <v>Sonvarsha</v>
          </cell>
          <cell r="D1400" t="str">
            <v>PAWAI</v>
          </cell>
          <cell r="E1400">
            <v>10060029</v>
          </cell>
          <cell r="F1400" t="str">
            <v>0062</v>
          </cell>
          <cell r="G1400">
            <v>1</v>
          </cell>
          <cell r="H1400">
            <v>8.83</v>
          </cell>
          <cell r="I1400">
            <v>331.02894726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P1400">
            <v>331</v>
          </cell>
          <cell r="V1400" t="str">
            <v>Available</v>
          </cell>
        </row>
        <row r="1401">
          <cell r="A1401" t="str">
            <v>100600290065</v>
          </cell>
          <cell r="B1401" t="str">
            <v>Sonvarsha</v>
          </cell>
          <cell r="C1401" t="str">
            <v>Sonvarsha</v>
          </cell>
          <cell r="D1401" t="str">
            <v>PAWAI</v>
          </cell>
          <cell r="E1401">
            <v>10060029</v>
          </cell>
          <cell r="F1401" t="str">
            <v>0065</v>
          </cell>
          <cell r="G1401">
            <v>5</v>
          </cell>
          <cell r="H1401">
            <v>13.87</v>
          </cell>
          <cell r="I1401">
            <v>581.89500190800004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P1401">
            <v>582</v>
          </cell>
          <cell r="V1401" t="str">
            <v>Available</v>
          </cell>
        </row>
        <row r="1402">
          <cell r="A1402" t="str">
            <v>100600290066</v>
          </cell>
          <cell r="B1402" t="str">
            <v>Sonvarsha</v>
          </cell>
          <cell r="C1402" t="str">
            <v>Sonvarsha</v>
          </cell>
          <cell r="D1402" t="str">
            <v>PAWAI</v>
          </cell>
          <cell r="E1402">
            <v>10060029</v>
          </cell>
          <cell r="F1402" t="str">
            <v>0066</v>
          </cell>
          <cell r="G1402">
            <v>7</v>
          </cell>
          <cell r="H1402">
            <v>18.54</v>
          </cell>
          <cell r="I1402">
            <v>733.04159594080011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P1402">
            <v>733</v>
          </cell>
          <cell r="V1402" t="str">
            <v>Available</v>
          </cell>
        </row>
        <row r="1403">
          <cell r="A1403" t="str">
            <v>100600290067</v>
          </cell>
          <cell r="B1403" t="str">
            <v>Sonvarsha</v>
          </cell>
          <cell r="C1403" t="str">
            <v>Sonvarsha</v>
          </cell>
          <cell r="D1403" t="str">
            <v>PAWAI</v>
          </cell>
          <cell r="E1403">
            <v>10060029</v>
          </cell>
          <cell r="F1403" t="str">
            <v>0067</v>
          </cell>
          <cell r="G1403">
            <v>9</v>
          </cell>
          <cell r="H1403">
            <v>16.98</v>
          </cell>
          <cell r="I1403">
            <v>681.11078032800003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P1403">
            <v>681</v>
          </cell>
          <cell r="V1403" t="str">
            <v>Available</v>
          </cell>
        </row>
        <row r="1404">
          <cell r="A1404" t="str">
            <v>100600290068</v>
          </cell>
          <cell r="B1404" t="str">
            <v>Sonvarsha</v>
          </cell>
          <cell r="C1404" t="str">
            <v>Sonvarsha</v>
          </cell>
          <cell r="D1404" t="str">
            <v>PAWAI</v>
          </cell>
          <cell r="E1404">
            <v>10060029</v>
          </cell>
          <cell r="F1404" t="str">
            <v>0068</v>
          </cell>
          <cell r="G1404">
            <v>6</v>
          </cell>
          <cell r="H1404">
            <v>34.61</v>
          </cell>
          <cell r="I1404">
            <v>2016.9888038157999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P1404">
            <v>2017</v>
          </cell>
          <cell r="V1404" t="str">
            <v>Available</v>
          </cell>
        </row>
        <row r="1405">
          <cell r="A1405" t="str">
            <v>100600290071</v>
          </cell>
          <cell r="B1405" t="str">
            <v>Sonvarsha</v>
          </cell>
          <cell r="C1405" t="str">
            <v>Sonvarsha</v>
          </cell>
          <cell r="D1405" t="str">
            <v>PAWAI</v>
          </cell>
          <cell r="E1405">
            <v>10060029</v>
          </cell>
          <cell r="F1405" t="str">
            <v>0071</v>
          </cell>
          <cell r="G1405">
            <v>8</v>
          </cell>
          <cell r="H1405">
            <v>39.5</v>
          </cell>
          <cell r="I1405">
            <v>1256.1341275889999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P1405">
            <v>1256</v>
          </cell>
          <cell r="V1405" t="str">
            <v>Available</v>
          </cell>
        </row>
        <row r="1406">
          <cell r="A1406" t="str">
            <v>100600290074</v>
          </cell>
          <cell r="B1406" t="str">
            <v>Sonvarsha</v>
          </cell>
          <cell r="C1406" t="str">
            <v>Sonvarsha</v>
          </cell>
          <cell r="D1406" t="str">
            <v>PAWAI</v>
          </cell>
          <cell r="E1406">
            <v>10060029</v>
          </cell>
          <cell r="F1406" t="str">
            <v>0074</v>
          </cell>
          <cell r="G1406">
            <v>6</v>
          </cell>
          <cell r="H1406">
            <v>10.11</v>
          </cell>
          <cell r="I1406">
            <v>499.34914529610006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P1406">
            <v>499</v>
          </cell>
          <cell r="V1406" t="str">
            <v>Available</v>
          </cell>
        </row>
        <row r="1407">
          <cell r="A1407" t="str">
            <v>100600290076</v>
          </cell>
          <cell r="B1407" t="str">
            <v>Sonvarsha</v>
          </cell>
          <cell r="C1407" t="str">
            <v>Sonvarsha</v>
          </cell>
          <cell r="D1407" t="str">
            <v>PAWAI</v>
          </cell>
          <cell r="E1407">
            <v>10060029</v>
          </cell>
          <cell r="F1407" t="str">
            <v>0076</v>
          </cell>
          <cell r="G1407">
            <v>8</v>
          </cell>
          <cell r="H1407">
            <v>18.86</v>
          </cell>
          <cell r="I1407">
            <v>727.25775606000002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P1407">
            <v>727</v>
          </cell>
          <cell r="V1407" t="str">
            <v>Available</v>
          </cell>
        </row>
        <row r="1408">
          <cell r="A1408" t="str">
            <v>100600290077</v>
          </cell>
          <cell r="B1408" t="str">
            <v>Sonvarsha</v>
          </cell>
          <cell r="C1408" t="str">
            <v>Sonvarsha</v>
          </cell>
          <cell r="D1408" t="str">
            <v>PAWAI</v>
          </cell>
          <cell r="E1408">
            <v>10060029</v>
          </cell>
          <cell r="F1408" t="str">
            <v>0077</v>
          </cell>
          <cell r="G1408">
            <v>2</v>
          </cell>
          <cell r="H1408">
            <v>3.2300000000000004</v>
          </cell>
          <cell r="I1408">
            <v>178.2166387048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P1408">
            <v>178</v>
          </cell>
          <cell r="V1408" t="str">
            <v>Available</v>
          </cell>
        </row>
        <row r="1409">
          <cell r="A1409" t="str">
            <v>100600310095</v>
          </cell>
          <cell r="B1409" t="str">
            <v>Sonvarsha</v>
          </cell>
          <cell r="C1409" t="str">
            <v>Sonvarsha</v>
          </cell>
          <cell r="D1409" t="str">
            <v xml:space="preserve">LAKHOCHAK                                                                                           </v>
          </cell>
          <cell r="E1409">
            <v>10060031</v>
          </cell>
          <cell r="F1409" t="str">
            <v>0095</v>
          </cell>
          <cell r="G1409">
            <v>1</v>
          </cell>
          <cell r="H1409">
            <v>9.06</v>
          </cell>
          <cell r="I1409">
            <v>379.11680532000003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P1409">
            <v>379</v>
          </cell>
          <cell r="V1409" t="str">
            <v>Available</v>
          </cell>
        </row>
        <row r="1410">
          <cell r="A1410" t="str">
            <v>100600310100</v>
          </cell>
          <cell r="B1410" t="str">
            <v>Sonvarsha</v>
          </cell>
          <cell r="C1410" t="str">
            <v>Sonvarsha</v>
          </cell>
          <cell r="D1410" t="str">
            <v xml:space="preserve">LAKHOCHAK                                                                                           </v>
          </cell>
          <cell r="E1410">
            <v>10060031</v>
          </cell>
          <cell r="F1410" t="str">
            <v>0100</v>
          </cell>
          <cell r="G1410">
            <v>1</v>
          </cell>
          <cell r="H1410">
            <v>3.3</v>
          </cell>
          <cell r="I1410">
            <v>238.46389667100001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P1410">
            <v>238</v>
          </cell>
          <cell r="V1410" t="str">
            <v>Available</v>
          </cell>
        </row>
        <row r="1411">
          <cell r="A1411" t="str">
            <v>100600310101</v>
          </cell>
          <cell r="B1411" t="str">
            <v>Sonvarsha</v>
          </cell>
          <cell r="C1411" t="str">
            <v>Sonvarsha</v>
          </cell>
          <cell r="D1411" t="str">
            <v xml:space="preserve">LAKHOCHAK                                                                                           </v>
          </cell>
          <cell r="E1411">
            <v>10060031</v>
          </cell>
          <cell r="F1411" t="str">
            <v>0101</v>
          </cell>
          <cell r="G1411">
            <v>2</v>
          </cell>
          <cell r="H1411">
            <v>7.59</v>
          </cell>
          <cell r="I1411">
            <v>321.64367598000001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P1411">
            <v>322</v>
          </cell>
          <cell r="V1411" t="str">
            <v>Available</v>
          </cell>
        </row>
        <row r="1412">
          <cell r="A1412" t="str">
            <v>100600310105</v>
          </cell>
          <cell r="B1412" t="str">
            <v>Sonvarsha</v>
          </cell>
          <cell r="C1412" t="str">
            <v>Sonvarsha</v>
          </cell>
          <cell r="D1412" t="str">
            <v xml:space="preserve">LAKHOCHAK                                                                                           </v>
          </cell>
          <cell r="E1412">
            <v>10060031</v>
          </cell>
          <cell r="F1412" t="str">
            <v>0105</v>
          </cell>
          <cell r="G1412">
            <v>3</v>
          </cell>
          <cell r="H1412">
            <v>220.95999999999998</v>
          </cell>
          <cell r="I1412">
            <v>8643.4013041200014</v>
          </cell>
          <cell r="J1412">
            <v>0</v>
          </cell>
          <cell r="K1412">
            <v>0</v>
          </cell>
          <cell r="L1412">
            <v>58</v>
          </cell>
          <cell r="M1412">
            <v>0</v>
          </cell>
          <cell r="P1412">
            <v>8401</v>
          </cell>
          <cell r="V1412" t="str">
            <v>Available</v>
          </cell>
        </row>
        <row r="1413">
          <cell r="A1413" t="str">
            <v>100600310108</v>
          </cell>
          <cell r="B1413" t="str">
            <v>Sonvarsha</v>
          </cell>
          <cell r="C1413" t="str">
            <v>Sonvarsha</v>
          </cell>
          <cell r="D1413" t="str">
            <v xml:space="preserve">LAKHOCHAK                                                                                           </v>
          </cell>
          <cell r="E1413">
            <v>10060031</v>
          </cell>
          <cell r="F1413" t="str">
            <v>0108</v>
          </cell>
          <cell r="G1413">
            <v>1</v>
          </cell>
          <cell r="H1413">
            <v>1.91</v>
          </cell>
          <cell r="I1413">
            <v>120.21176924280002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P1413">
            <v>120</v>
          </cell>
          <cell r="V1413" t="str">
            <v>Available</v>
          </cell>
        </row>
        <row r="1414">
          <cell r="A1414" t="str">
            <v>100600310118</v>
          </cell>
          <cell r="B1414" t="str">
            <v>Sonvarsha</v>
          </cell>
          <cell r="C1414" t="str">
            <v>Sonvarsha</v>
          </cell>
          <cell r="D1414" t="str">
            <v xml:space="preserve">LAKHOCHAK                                                                                           </v>
          </cell>
          <cell r="E1414">
            <v>10060031</v>
          </cell>
          <cell r="F1414" t="str">
            <v>0118</v>
          </cell>
          <cell r="G1414">
            <v>2</v>
          </cell>
          <cell r="H1414">
            <v>5.9600000000000009</v>
          </cell>
          <cell r="I1414">
            <v>217.14121083600006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P1414">
            <v>217</v>
          </cell>
          <cell r="V1414" t="str">
            <v>Available</v>
          </cell>
        </row>
        <row r="1415">
          <cell r="A1415" t="str">
            <v>100600320001</v>
          </cell>
          <cell r="B1415" t="str">
            <v>Gopalpur Bmc</v>
          </cell>
          <cell r="C1415" t="str">
            <v>Gopalpur Bmc</v>
          </cell>
          <cell r="D1415" t="str">
            <v xml:space="preserve">BATTA RAMPUR                                                                                        </v>
          </cell>
          <cell r="E1415">
            <v>10060032</v>
          </cell>
          <cell r="F1415" t="str">
            <v>0001</v>
          </cell>
          <cell r="G1415">
            <v>14</v>
          </cell>
          <cell r="H1415">
            <v>26.62</v>
          </cell>
          <cell r="I1415">
            <v>1679.7608959042002</v>
          </cell>
          <cell r="J1415">
            <v>0</v>
          </cell>
          <cell r="K1415">
            <v>1679.7608959042002</v>
          </cell>
          <cell r="L1415">
            <v>0</v>
          </cell>
          <cell r="M1415">
            <v>0</v>
          </cell>
          <cell r="P1415">
            <v>0</v>
          </cell>
          <cell r="V1415" t="str">
            <v>Not Available</v>
          </cell>
        </row>
        <row r="1416">
          <cell r="A1416" t="str">
            <v>100600320002</v>
          </cell>
          <cell r="B1416" t="str">
            <v>Gopalpur Bmc</v>
          </cell>
          <cell r="C1416" t="str">
            <v>Gopalpur Bmc</v>
          </cell>
          <cell r="D1416" t="str">
            <v xml:space="preserve">BATTA RAMPUR                                                                                        </v>
          </cell>
          <cell r="E1416">
            <v>10060032</v>
          </cell>
          <cell r="F1416" t="str">
            <v>0002</v>
          </cell>
          <cell r="G1416">
            <v>14</v>
          </cell>
          <cell r="H1416">
            <v>273.37999999999994</v>
          </cell>
          <cell r="I1416">
            <v>12987.56341764528</v>
          </cell>
          <cell r="J1416">
            <v>0</v>
          </cell>
          <cell r="K1416">
            <v>0</v>
          </cell>
          <cell r="L1416">
            <v>3557</v>
          </cell>
          <cell r="M1416">
            <v>0</v>
          </cell>
          <cell r="P1416">
            <v>9431</v>
          </cell>
          <cell r="V1416" t="str">
            <v>Available</v>
          </cell>
        </row>
        <row r="1417">
          <cell r="A1417" t="str">
            <v>100600320003</v>
          </cell>
          <cell r="B1417" t="str">
            <v>Gopalpur Bmc</v>
          </cell>
          <cell r="C1417" t="str">
            <v>Gopalpur Bmc</v>
          </cell>
          <cell r="D1417" t="str">
            <v xml:space="preserve">BATTA RAMPUR                                                                                        </v>
          </cell>
          <cell r="E1417">
            <v>10060032</v>
          </cell>
          <cell r="F1417" t="str">
            <v>0003</v>
          </cell>
          <cell r="G1417">
            <v>2</v>
          </cell>
          <cell r="H1417">
            <v>2.1500000000000004</v>
          </cell>
          <cell r="I1417">
            <v>115.32418867900002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P1417">
            <v>115</v>
          </cell>
          <cell r="V1417" t="str">
            <v>Available</v>
          </cell>
        </row>
        <row r="1418">
          <cell r="A1418" t="str">
            <v>100600320005</v>
          </cell>
          <cell r="B1418" t="str">
            <v>Gopalpur Bmc</v>
          </cell>
          <cell r="C1418" t="str">
            <v>Gopalpur Bmc</v>
          </cell>
          <cell r="D1418" t="str">
            <v xml:space="preserve">BATTA RAMPUR                                                                                        </v>
          </cell>
          <cell r="E1418">
            <v>10060032</v>
          </cell>
          <cell r="F1418" t="str">
            <v>0005</v>
          </cell>
          <cell r="G1418">
            <v>7</v>
          </cell>
          <cell r="H1418">
            <v>31.090000000000003</v>
          </cell>
          <cell r="I1418">
            <v>1203.5156748120003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P1418">
            <v>1204</v>
          </cell>
          <cell r="V1418" t="str">
            <v>Available</v>
          </cell>
        </row>
        <row r="1419">
          <cell r="A1419" t="str">
            <v>100600320006</v>
          </cell>
          <cell r="B1419" t="str">
            <v>Gopalpur Bmc</v>
          </cell>
          <cell r="C1419" t="str">
            <v>Gopalpur Bmc</v>
          </cell>
          <cell r="D1419" t="str">
            <v xml:space="preserve">BATTA RAMPUR                                                                                        </v>
          </cell>
          <cell r="E1419">
            <v>10060032</v>
          </cell>
          <cell r="F1419" t="str">
            <v>0006</v>
          </cell>
          <cell r="G1419">
            <v>7</v>
          </cell>
          <cell r="H1419">
            <v>23.68</v>
          </cell>
          <cell r="I1419">
            <v>923.63727941100012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P1419">
            <v>924</v>
          </cell>
          <cell r="V1419" t="str">
            <v>Available</v>
          </cell>
        </row>
        <row r="1420">
          <cell r="A1420" t="str">
            <v>100600320007</v>
          </cell>
          <cell r="B1420" t="str">
            <v>Gopalpur Bmc</v>
          </cell>
          <cell r="C1420" t="str">
            <v>Gopalpur Bmc</v>
          </cell>
          <cell r="D1420" t="str">
            <v xml:space="preserve">BATTA RAMPUR                                                                                        </v>
          </cell>
          <cell r="E1420">
            <v>10060032</v>
          </cell>
          <cell r="F1420" t="str">
            <v>0007</v>
          </cell>
          <cell r="G1420">
            <v>6</v>
          </cell>
          <cell r="H1420">
            <v>20.549999999999997</v>
          </cell>
          <cell r="I1420">
            <v>1055.28195371533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P1420">
            <v>1055</v>
          </cell>
          <cell r="V1420" t="str">
            <v>Available</v>
          </cell>
        </row>
        <row r="1421">
          <cell r="A1421" t="str">
            <v>100600320008</v>
          </cell>
          <cell r="B1421" t="str">
            <v>Gopalpur Bmc</v>
          </cell>
          <cell r="C1421" t="str">
            <v>Gopalpur Bmc</v>
          </cell>
          <cell r="D1421" t="str">
            <v xml:space="preserve">BATTA RAMPUR                                                                                        </v>
          </cell>
          <cell r="E1421">
            <v>10060032</v>
          </cell>
          <cell r="F1421" t="str">
            <v>0008</v>
          </cell>
          <cell r="G1421">
            <v>7</v>
          </cell>
          <cell r="H1421">
            <v>13.19</v>
          </cell>
          <cell r="I1421">
            <v>688.67450988012001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P1421">
            <v>689</v>
          </cell>
          <cell r="V1421" t="str">
            <v>Available</v>
          </cell>
        </row>
        <row r="1422">
          <cell r="A1422" t="str">
            <v>100600320010</v>
          </cell>
          <cell r="B1422" t="str">
            <v>Gopalpur Bmc</v>
          </cell>
          <cell r="C1422" t="str">
            <v>Gopalpur Bmc</v>
          </cell>
          <cell r="D1422" t="str">
            <v xml:space="preserve">BATTA RAMPUR                                                                                        </v>
          </cell>
          <cell r="E1422">
            <v>10060032</v>
          </cell>
          <cell r="F1422" t="str">
            <v>0010</v>
          </cell>
          <cell r="G1422">
            <v>7</v>
          </cell>
          <cell r="H1422">
            <v>15.68</v>
          </cell>
          <cell r="I1422">
            <v>637.5115300949999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P1422">
            <v>638</v>
          </cell>
          <cell r="V1422" t="str">
            <v>Available</v>
          </cell>
        </row>
        <row r="1423">
          <cell r="A1423" t="str">
            <v>100600320011</v>
          </cell>
          <cell r="B1423" t="str">
            <v>Gopalpur Bmc</v>
          </cell>
          <cell r="C1423" t="str">
            <v>Gopalpur Bmc</v>
          </cell>
          <cell r="D1423" t="str">
            <v xml:space="preserve">BATTA RAMPUR                                                                                        </v>
          </cell>
          <cell r="E1423">
            <v>10060032</v>
          </cell>
          <cell r="F1423" t="str">
            <v>0011</v>
          </cell>
          <cell r="G1423">
            <v>7</v>
          </cell>
          <cell r="H1423">
            <v>10.71</v>
          </cell>
          <cell r="I1423">
            <v>607.14639474758997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P1423">
            <v>607</v>
          </cell>
          <cell r="V1423" t="str">
            <v>Available</v>
          </cell>
        </row>
        <row r="1424">
          <cell r="A1424" t="str">
            <v>100600320015</v>
          </cell>
          <cell r="B1424" t="str">
            <v>Gopalpur Bmc</v>
          </cell>
          <cell r="C1424" t="str">
            <v>Gopalpur Bmc</v>
          </cell>
          <cell r="D1424" t="str">
            <v xml:space="preserve">BATTA RAMPUR                                                                                        </v>
          </cell>
          <cell r="E1424">
            <v>10060032</v>
          </cell>
          <cell r="F1424" t="str">
            <v>0015</v>
          </cell>
          <cell r="G1424">
            <v>7</v>
          </cell>
          <cell r="H1424">
            <v>16.930000000000003</v>
          </cell>
          <cell r="I1424">
            <v>646.93507364640004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P1424">
            <v>647</v>
          </cell>
          <cell r="V1424" t="str">
            <v>Available</v>
          </cell>
        </row>
        <row r="1425">
          <cell r="A1425" t="str">
            <v>100600320017</v>
          </cell>
          <cell r="B1425" t="str">
            <v>Gopalpur Bmc</v>
          </cell>
          <cell r="C1425" t="str">
            <v>Gopalpur Bmc</v>
          </cell>
          <cell r="D1425" t="str">
            <v xml:space="preserve">BATTA RAMPUR                                                                                        </v>
          </cell>
          <cell r="E1425">
            <v>10060032</v>
          </cell>
          <cell r="F1425" t="str">
            <v>0017</v>
          </cell>
          <cell r="G1425">
            <v>1</v>
          </cell>
          <cell r="H1425">
            <v>1.55</v>
          </cell>
          <cell r="I1425">
            <v>60.154057260000016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P1425">
            <v>60</v>
          </cell>
          <cell r="V1425" t="str">
            <v>Available</v>
          </cell>
        </row>
        <row r="1426">
          <cell r="A1426" t="str">
            <v>100600320018</v>
          </cell>
          <cell r="B1426" t="str">
            <v>Gopalpur Bmc</v>
          </cell>
          <cell r="C1426" t="str">
            <v>Gopalpur Bmc</v>
          </cell>
          <cell r="D1426" t="str">
            <v xml:space="preserve">BATTA RAMPUR                                                                                        </v>
          </cell>
          <cell r="E1426">
            <v>10060032</v>
          </cell>
          <cell r="F1426" t="str">
            <v>0018</v>
          </cell>
          <cell r="G1426">
            <v>7</v>
          </cell>
          <cell r="H1426">
            <v>10.050000000000001</v>
          </cell>
          <cell r="I1426">
            <v>514.67081206609009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P1426">
            <v>515</v>
          </cell>
          <cell r="V1426" t="str">
            <v>Available</v>
          </cell>
        </row>
        <row r="1427">
          <cell r="A1427" t="str">
            <v>100600320020</v>
          </cell>
          <cell r="B1427" t="str">
            <v>Gopalpur Bmc</v>
          </cell>
          <cell r="C1427" t="str">
            <v>Gopalpur Bmc</v>
          </cell>
          <cell r="D1427" t="str">
            <v xml:space="preserve">BATTA RAMPUR                                                                                        </v>
          </cell>
          <cell r="E1427">
            <v>10060032</v>
          </cell>
          <cell r="F1427" t="str">
            <v>0020</v>
          </cell>
          <cell r="G1427">
            <v>14</v>
          </cell>
          <cell r="H1427">
            <v>230.47</v>
          </cell>
          <cell r="I1427">
            <v>8822.3728820040014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P1427">
            <v>8822</v>
          </cell>
          <cell r="V1427" t="str">
            <v>Available</v>
          </cell>
        </row>
        <row r="1428">
          <cell r="A1428" t="str">
            <v>100600320024</v>
          </cell>
          <cell r="B1428" t="str">
            <v>Gopalpur Bmc</v>
          </cell>
          <cell r="C1428" t="str">
            <v>Gopalpur Bmc</v>
          </cell>
          <cell r="D1428" t="str">
            <v xml:space="preserve">BATTA RAMPUR                                                                                        </v>
          </cell>
          <cell r="E1428">
            <v>10060032</v>
          </cell>
          <cell r="F1428" t="str">
            <v>0024</v>
          </cell>
          <cell r="G1428">
            <v>7</v>
          </cell>
          <cell r="H1428">
            <v>69.749999999999986</v>
          </cell>
          <cell r="I1428">
            <v>2712.3185600280003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P1428">
            <v>2712</v>
          </cell>
          <cell r="V1428" t="str">
            <v>Available</v>
          </cell>
        </row>
        <row r="1429">
          <cell r="A1429" t="str">
            <v>100600320026</v>
          </cell>
          <cell r="B1429" t="str">
            <v>Gopalpur Bmc</v>
          </cell>
          <cell r="C1429" t="str">
            <v>Gopalpur Bmc</v>
          </cell>
          <cell r="D1429" t="str">
            <v xml:space="preserve">BATTA RAMPUR                                                                                        </v>
          </cell>
          <cell r="E1429">
            <v>10060032</v>
          </cell>
          <cell r="F1429" t="str">
            <v>0026</v>
          </cell>
          <cell r="G1429">
            <v>6</v>
          </cell>
          <cell r="H1429">
            <v>21.900000000000002</v>
          </cell>
          <cell r="I1429">
            <v>839.43475902000012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P1429">
            <v>839</v>
          </cell>
          <cell r="V1429" t="str">
            <v>Available</v>
          </cell>
        </row>
        <row r="1430">
          <cell r="A1430" t="str">
            <v>100600320028</v>
          </cell>
          <cell r="B1430" t="str">
            <v>Gopalpur Bmc</v>
          </cell>
          <cell r="C1430" t="str">
            <v>Gopalpur Bmc</v>
          </cell>
          <cell r="D1430" t="str">
            <v xml:space="preserve">BATTA RAMPUR                                                                                        </v>
          </cell>
          <cell r="E1430">
            <v>10060032</v>
          </cell>
          <cell r="F1430" t="str">
            <v>0028</v>
          </cell>
          <cell r="G1430">
            <v>12</v>
          </cell>
          <cell r="H1430">
            <v>33.44</v>
          </cell>
          <cell r="I1430">
            <v>1270.2515530320002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P1430">
            <v>1270</v>
          </cell>
          <cell r="V1430" t="str">
            <v>Available</v>
          </cell>
        </row>
        <row r="1431">
          <cell r="A1431" t="str">
            <v>100600320031</v>
          </cell>
          <cell r="B1431" t="str">
            <v>Gopalpur Bmc</v>
          </cell>
          <cell r="C1431" t="str">
            <v>Gopalpur Bmc</v>
          </cell>
          <cell r="D1431" t="str">
            <v xml:space="preserve">BATTA RAMPUR                                                                                        </v>
          </cell>
          <cell r="E1431">
            <v>10060032</v>
          </cell>
          <cell r="F1431" t="str">
            <v>0031</v>
          </cell>
          <cell r="G1431">
            <v>14</v>
          </cell>
          <cell r="H1431">
            <v>80.17</v>
          </cell>
          <cell r="I1431">
            <v>3067.9226796240005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P1431">
            <v>3068</v>
          </cell>
          <cell r="V1431" t="str">
            <v>Available</v>
          </cell>
        </row>
        <row r="1432">
          <cell r="A1432" t="str">
            <v>100600320035</v>
          </cell>
          <cell r="B1432" t="str">
            <v>Gopalpur Bmc</v>
          </cell>
          <cell r="C1432" t="str">
            <v>Gopalpur Bmc</v>
          </cell>
          <cell r="D1432" t="str">
            <v xml:space="preserve">BATTA RAMPUR                                                                                        </v>
          </cell>
          <cell r="E1432">
            <v>10060032</v>
          </cell>
          <cell r="F1432" t="str">
            <v>0035</v>
          </cell>
          <cell r="G1432">
            <v>1</v>
          </cell>
          <cell r="H1432">
            <v>2.1800000000000002</v>
          </cell>
          <cell r="I1432">
            <v>82.877297184000014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P1432">
            <v>83</v>
          </cell>
          <cell r="V1432" t="str">
            <v>Available</v>
          </cell>
        </row>
        <row r="1433">
          <cell r="A1433" t="str">
            <v>100600320037</v>
          </cell>
          <cell r="B1433" t="str">
            <v>Gopalpur Bmc</v>
          </cell>
          <cell r="C1433" t="str">
            <v>Gopalpur Bmc</v>
          </cell>
          <cell r="D1433" t="str">
            <v xml:space="preserve">BATTA RAMPUR                                                                                        </v>
          </cell>
          <cell r="E1433">
            <v>10060032</v>
          </cell>
          <cell r="F1433" t="str">
            <v>0037</v>
          </cell>
          <cell r="G1433">
            <v>13</v>
          </cell>
          <cell r="H1433">
            <v>76.760000000000005</v>
          </cell>
          <cell r="I1433">
            <v>2942.9448693479999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P1433">
            <v>2943</v>
          </cell>
          <cell r="V1433" t="str">
            <v>Available</v>
          </cell>
        </row>
        <row r="1434">
          <cell r="A1434" t="str">
            <v>100600320039</v>
          </cell>
          <cell r="B1434" t="str">
            <v>Gopalpur Bmc</v>
          </cell>
          <cell r="C1434" t="str">
            <v>Gopalpur Bmc</v>
          </cell>
          <cell r="D1434" t="str">
            <v xml:space="preserve">BATTA RAMPUR                                                                                        </v>
          </cell>
          <cell r="E1434">
            <v>10060032</v>
          </cell>
          <cell r="F1434" t="str">
            <v>0039</v>
          </cell>
          <cell r="G1434">
            <v>14</v>
          </cell>
          <cell r="H1434">
            <v>49.67</v>
          </cell>
          <cell r="I1434">
            <v>1901.4737005440002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P1434">
            <v>1901</v>
          </cell>
          <cell r="V1434" t="str">
            <v>Available</v>
          </cell>
        </row>
        <row r="1435">
          <cell r="A1435" t="str">
            <v>100600320040</v>
          </cell>
          <cell r="B1435" t="str">
            <v>Gopalpur Bmc</v>
          </cell>
          <cell r="C1435" t="str">
            <v>Gopalpur Bmc</v>
          </cell>
          <cell r="D1435" t="str">
            <v xml:space="preserve">BATTA RAMPUR                                                                                        </v>
          </cell>
          <cell r="E1435">
            <v>10060032</v>
          </cell>
          <cell r="F1435" t="str">
            <v>0040</v>
          </cell>
          <cell r="G1435">
            <v>14</v>
          </cell>
          <cell r="H1435">
            <v>22.4</v>
          </cell>
          <cell r="I1435">
            <v>943.5557910240002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P1435">
            <v>944</v>
          </cell>
          <cell r="V1435" t="str">
            <v>Available</v>
          </cell>
        </row>
        <row r="1436">
          <cell r="A1436" t="str">
            <v>100600320044</v>
          </cell>
          <cell r="B1436" t="str">
            <v>Gopalpur Bmc</v>
          </cell>
          <cell r="C1436" t="str">
            <v>Gopalpur Bmc</v>
          </cell>
          <cell r="D1436" t="str">
            <v xml:space="preserve">BATTA RAMPUR                                                                                        </v>
          </cell>
          <cell r="E1436">
            <v>10060032</v>
          </cell>
          <cell r="F1436" t="str">
            <v>0044</v>
          </cell>
          <cell r="G1436">
            <v>14</v>
          </cell>
          <cell r="H1436">
            <v>237</v>
          </cell>
          <cell r="I1436">
            <v>16244.71181501058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P1436">
            <v>16245</v>
          </cell>
          <cell r="V1436" t="str">
            <v>Available</v>
          </cell>
        </row>
        <row r="1437">
          <cell r="A1437" t="str">
            <v>100600320046</v>
          </cell>
          <cell r="B1437" t="str">
            <v>Gopalpur Bmc</v>
          </cell>
          <cell r="C1437" t="str">
            <v>Gopalpur Bmc</v>
          </cell>
          <cell r="D1437" t="str">
            <v xml:space="preserve">BATTA RAMPUR                                                                                        </v>
          </cell>
          <cell r="E1437">
            <v>10060032</v>
          </cell>
          <cell r="F1437" t="str">
            <v>0046</v>
          </cell>
          <cell r="G1437">
            <v>13</v>
          </cell>
          <cell r="H1437">
            <v>33.44</v>
          </cell>
          <cell r="I1437">
            <v>2341.9625525852366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P1437">
            <v>2342</v>
          </cell>
          <cell r="V1437" t="str">
            <v>Available</v>
          </cell>
        </row>
        <row r="1438">
          <cell r="A1438" t="str">
            <v>100600320049</v>
          </cell>
          <cell r="B1438" t="str">
            <v>Gopalpur Bmc</v>
          </cell>
          <cell r="C1438" t="str">
            <v>Gopalpur Bmc</v>
          </cell>
          <cell r="D1438" t="str">
            <v xml:space="preserve">BATTA RAMPUR                                                                                        </v>
          </cell>
          <cell r="E1438">
            <v>10060032</v>
          </cell>
          <cell r="F1438" t="str">
            <v>0049</v>
          </cell>
          <cell r="G1438">
            <v>8</v>
          </cell>
          <cell r="H1438">
            <v>73.63</v>
          </cell>
          <cell r="I1438">
            <v>3793.8561570035599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P1438">
            <v>3794</v>
          </cell>
          <cell r="V1438" t="str">
            <v>Available</v>
          </cell>
        </row>
        <row r="1439">
          <cell r="A1439" t="str">
            <v>100600320050</v>
          </cell>
          <cell r="B1439" t="str">
            <v>Gopalpur Bmc</v>
          </cell>
          <cell r="C1439" t="str">
            <v>Gopalpur Bmc</v>
          </cell>
          <cell r="D1439" t="str">
            <v xml:space="preserve">BATTA RAMPUR                                                                                        </v>
          </cell>
          <cell r="E1439">
            <v>10060032</v>
          </cell>
          <cell r="F1439" t="str">
            <v>0050</v>
          </cell>
          <cell r="G1439">
            <v>6</v>
          </cell>
          <cell r="H1439">
            <v>15.12</v>
          </cell>
          <cell r="I1439">
            <v>1034.8348687632999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P1439">
            <v>1035</v>
          </cell>
          <cell r="V1439" t="str">
            <v>Available</v>
          </cell>
        </row>
        <row r="1440">
          <cell r="A1440" t="str">
            <v>100600320052</v>
          </cell>
          <cell r="B1440" t="str">
            <v>Gopalpur Bmc</v>
          </cell>
          <cell r="C1440" t="str">
            <v>Gopalpur Bmc</v>
          </cell>
          <cell r="D1440" t="str">
            <v xml:space="preserve">BATTA RAMPUR                                                                                        </v>
          </cell>
          <cell r="E1440">
            <v>10060032</v>
          </cell>
          <cell r="F1440" t="str">
            <v>0052</v>
          </cell>
          <cell r="G1440">
            <v>12</v>
          </cell>
          <cell r="H1440">
            <v>31.96</v>
          </cell>
          <cell r="I1440">
            <v>1698.4284700804001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P1440">
            <v>1698</v>
          </cell>
          <cell r="V1440" t="str">
            <v>Available</v>
          </cell>
        </row>
        <row r="1441">
          <cell r="A1441" t="str">
            <v>100600320054</v>
          </cell>
          <cell r="B1441" t="str">
            <v>Gopalpur Bmc</v>
          </cell>
          <cell r="C1441" t="str">
            <v>Gopalpur Bmc</v>
          </cell>
          <cell r="D1441" t="str">
            <v xml:space="preserve">BATTA RAMPUR                                                                                        </v>
          </cell>
          <cell r="E1441">
            <v>10060032</v>
          </cell>
          <cell r="F1441" t="str">
            <v>0054</v>
          </cell>
          <cell r="G1441">
            <v>13</v>
          </cell>
          <cell r="H1441">
            <v>54.109999999999992</v>
          </cell>
          <cell r="I1441">
            <v>2067.4274326200002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P1441">
            <v>2067</v>
          </cell>
          <cell r="V1441" t="str">
            <v>Available</v>
          </cell>
        </row>
        <row r="1442">
          <cell r="A1442" t="str">
            <v>100600320058</v>
          </cell>
          <cell r="B1442" t="str">
            <v>Gopalpur Bmc</v>
          </cell>
          <cell r="C1442" t="str">
            <v>Gopalpur Bmc</v>
          </cell>
          <cell r="D1442" t="str">
            <v xml:space="preserve">BATTA RAMPUR                                                                                        </v>
          </cell>
          <cell r="E1442">
            <v>10060032</v>
          </cell>
          <cell r="F1442" t="str">
            <v>0058</v>
          </cell>
          <cell r="G1442">
            <v>5</v>
          </cell>
          <cell r="H1442">
            <v>8.48</v>
          </cell>
          <cell r="I1442">
            <v>409.96880960531007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P1442">
            <v>410</v>
          </cell>
          <cell r="V1442" t="str">
            <v>Available</v>
          </cell>
        </row>
        <row r="1443">
          <cell r="A1443" t="str">
            <v>100600320060</v>
          </cell>
          <cell r="B1443" t="str">
            <v>Gopalpur Bmc</v>
          </cell>
          <cell r="C1443" t="str">
            <v>Gopalpur Bmc</v>
          </cell>
          <cell r="D1443" t="str">
            <v xml:space="preserve">BATTA RAMPUR                                                                                        </v>
          </cell>
          <cell r="E1443">
            <v>10060032</v>
          </cell>
          <cell r="F1443" t="str">
            <v>0060</v>
          </cell>
          <cell r="G1443">
            <v>1</v>
          </cell>
          <cell r="H1443">
            <v>0.88</v>
          </cell>
          <cell r="I1443">
            <v>53.660000064000009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P1443">
            <v>54</v>
          </cell>
          <cell r="V1443" t="str">
            <v>Available</v>
          </cell>
        </row>
        <row r="1444">
          <cell r="A1444" t="str">
            <v>100600320061</v>
          </cell>
          <cell r="B1444" t="str">
            <v>Gopalpur Bmc</v>
          </cell>
          <cell r="C1444" t="str">
            <v>Gopalpur Bmc</v>
          </cell>
          <cell r="D1444" t="str">
            <v xml:space="preserve">BATTA RAMPUR                                                                                        </v>
          </cell>
          <cell r="E1444">
            <v>10060032</v>
          </cell>
          <cell r="F1444" t="str">
            <v>0061</v>
          </cell>
          <cell r="G1444">
            <v>7</v>
          </cell>
          <cell r="H1444">
            <v>13.360000000000001</v>
          </cell>
          <cell r="I1444">
            <v>514.01621897999996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P1444">
            <v>514</v>
          </cell>
          <cell r="V1444" t="str">
            <v>Available</v>
          </cell>
        </row>
        <row r="1445">
          <cell r="A1445" t="str">
            <v>100600320062</v>
          </cell>
          <cell r="B1445" t="str">
            <v>Gopalpur Bmc</v>
          </cell>
          <cell r="C1445" t="str">
            <v>Gopalpur Bmc</v>
          </cell>
          <cell r="D1445" t="str">
            <v xml:space="preserve">BATTA RAMPUR                                                                                        </v>
          </cell>
          <cell r="E1445">
            <v>10060032</v>
          </cell>
          <cell r="F1445" t="str">
            <v>0062</v>
          </cell>
          <cell r="G1445">
            <v>11</v>
          </cell>
          <cell r="H1445">
            <v>39.019999999999996</v>
          </cell>
          <cell r="I1445">
            <v>2022.9376240649995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P1445">
            <v>2023</v>
          </cell>
          <cell r="V1445" t="str">
            <v>Available</v>
          </cell>
        </row>
        <row r="1446">
          <cell r="A1446" t="str">
            <v>100600320067</v>
          </cell>
          <cell r="B1446" t="str">
            <v>Gopalpur Bmc</v>
          </cell>
          <cell r="C1446" t="str">
            <v>Gopalpur Bmc</v>
          </cell>
          <cell r="D1446" t="str">
            <v xml:space="preserve">BATTA RAMPUR                                                                                        </v>
          </cell>
          <cell r="E1446">
            <v>10060032</v>
          </cell>
          <cell r="F1446" t="str">
            <v>0067</v>
          </cell>
          <cell r="G1446">
            <v>8</v>
          </cell>
          <cell r="H1446">
            <v>23.25</v>
          </cell>
          <cell r="I1446">
            <v>890.12419111440022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P1446">
            <v>890</v>
          </cell>
          <cell r="V1446" t="str">
            <v>Available</v>
          </cell>
        </row>
        <row r="1447">
          <cell r="A1447" t="str">
            <v>100600320073</v>
          </cell>
          <cell r="B1447" t="str">
            <v>Gopalpur Bmc</v>
          </cell>
          <cell r="C1447" t="str">
            <v>Gopalpur Bmc</v>
          </cell>
          <cell r="D1447" t="str">
            <v xml:space="preserve">BATTA RAMPUR                                                                                        </v>
          </cell>
          <cell r="E1447">
            <v>10060032</v>
          </cell>
          <cell r="F1447" t="str">
            <v>0073</v>
          </cell>
          <cell r="G1447">
            <v>14</v>
          </cell>
          <cell r="H1447">
            <v>75.89</v>
          </cell>
          <cell r="I1447">
            <v>2893.0253418000002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P1447">
            <v>2893</v>
          </cell>
          <cell r="V1447" t="str">
            <v>Available</v>
          </cell>
        </row>
        <row r="1448">
          <cell r="A1448" t="str">
            <v>100600320084</v>
          </cell>
          <cell r="B1448" t="str">
            <v>Gopalpur Bmc</v>
          </cell>
          <cell r="C1448" t="str">
            <v>Gopalpur Bmc</v>
          </cell>
          <cell r="D1448" t="str">
            <v xml:space="preserve">BATTA RAMPUR                                                                                        </v>
          </cell>
          <cell r="E1448">
            <v>10060032</v>
          </cell>
          <cell r="F1448" t="str">
            <v>0084</v>
          </cell>
          <cell r="G1448">
            <v>3</v>
          </cell>
          <cell r="H1448">
            <v>7.36</v>
          </cell>
          <cell r="I1448">
            <v>378.42962603062006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P1448">
            <v>378</v>
          </cell>
          <cell r="V1448" t="str">
            <v>Available</v>
          </cell>
        </row>
        <row r="1449">
          <cell r="A1449" t="str">
            <v>100600320086</v>
          </cell>
          <cell r="B1449" t="str">
            <v>Gopalpur Bmc</v>
          </cell>
          <cell r="C1449" t="str">
            <v>Gopalpur Bmc</v>
          </cell>
          <cell r="D1449" t="str">
            <v xml:space="preserve">BATTA RAMPUR                                                                                        </v>
          </cell>
          <cell r="E1449">
            <v>10060032</v>
          </cell>
          <cell r="F1449" t="str">
            <v>0086</v>
          </cell>
          <cell r="G1449">
            <v>14</v>
          </cell>
          <cell r="H1449">
            <v>468.13000000000005</v>
          </cell>
          <cell r="I1449">
            <v>22589.913562306669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P1449">
            <v>22590</v>
          </cell>
          <cell r="V1449" t="str">
            <v>Available</v>
          </cell>
        </row>
        <row r="1450">
          <cell r="A1450" t="str">
            <v>100600320089</v>
          </cell>
          <cell r="B1450" t="str">
            <v>Gopalpur Bmc</v>
          </cell>
          <cell r="C1450" t="str">
            <v>Gopalpur Bmc</v>
          </cell>
          <cell r="D1450" t="str">
            <v xml:space="preserve">BATTA RAMPUR                                                                                        </v>
          </cell>
          <cell r="E1450">
            <v>10060032</v>
          </cell>
          <cell r="F1450" t="str">
            <v>0089</v>
          </cell>
          <cell r="G1450">
            <v>7</v>
          </cell>
          <cell r="H1450">
            <v>15.61</v>
          </cell>
          <cell r="I1450">
            <v>917.3674213239002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P1450">
            <v>917</v>
          </cell>
          <cell r="V1450" t="str">
            <v>Available</v>
          </cell>
        </row>
        <row r="1451">
          <cell r="A1451" t="str">
            <v>100600320093</v>
          </cell>
          <cell r="B1451" t="str">
            <v>Gopalpur Bmc</v>
          </cell>
          <cell r="C1451" t="str">
            <v>Gopalpur Bmc</v>
          </cell>
          <cell r="D1451" t="str">
            <v xml:space="preserve">BATTA RAMPUR                                                                                        </v>
          </cell>
          <cell r="E1451">
            <v>10060032</v>
          </cell>
          <cell r="F1451" t="str">
            <v>0093</v>
          </cell>
          <cell r="G1451">
            <v>7</v>
          </cell>
          <cell r="H1451">
            <v>15.61</v>
          </cell>
          <cell r="I1451">
            <v>595.61180078400002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P1451">
            <v>596</v>
          </cell>
          <cell r="V1451" t="str">
            <v>Available</v>
          </cell>
        </row>
        <row r="1452">
          <cell r="A1452" t="str">
            <v>100600320103</v>
          </cell>
          <cell r="B1452" t="str">
            <v>Gopalpur Bmc</v>
          </cell>
          <cell r="C1452" t="str">
            <v>Gopalpur Bmc</v>
          </cell>
          <cell r="D1452" t="str">
            <v xml:space="preserve">BATTA RAMPUR                                                                                        </v>
          </cell>
          <cell r="E1452">
            <v>10060032</v>
          </cell>
          <cell r="F1452" t="str">
            <v>0103</v>
          </cell>
          <cell r="G1452">
            <v>8</v>
          </cell>
          <cell r="H1452">
            <v>21.560000000000002</v>
          </cell>
          <cell r="I1452">
            <v>838.76628528000003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P1452">
            <v>839</v>
          </cell>
          <cell r="V1452" t="str">
            <v>Available</v>
          </cell>
        </row>
        <row r="1453">
          <cell r="A1453" t="str">
            <v>100600320109</v>
          </cell>
          <cell r="B1453" t="str">
            <v>Gopalpur Bmc</v>
          </cell>
          <cell r="C1453" t="str">
            <v>Gopalpur Bmc</v>
          </cell>
          <cell r="D1453" t="str">
            <v xml:space="preserve">BATTA RAMPUR                                                                                        </v>
          </cell>
          <cell r="E1453">
            <v>10060032</v>
          </cell>
          <cell r="F1453" t="str">
            <v>0109</v>
          </cell>
          <cell r="G1453">
            <v>6</v>
          </cell>
          <cell r="H1453">
            <v>21.240000000000002</v>
          </cell>
          <cell r="I1453">
            <v>819.5706303840002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P1453">
            <v>820</v>
          </cell>
          <cell r="V1453" t="str">
            <v>Available</v>
          </cell>
        </row>
        <row r="1454">
          <cell r="A1454" t="str">
            <v>100600320121</v>
          </cell>
          <cell r="B1454" t="str">
            <v>Gopalpur Bmc</v>
          </cell>
          <cell r="C1454" t="str">
            <v>Gopalpur Bmc</v>
          </cell>
          <cell r="D1454" t="str">
            <v xml:space="preserve">BATTA RAMPUR                                                                                        </v>
          </cell>
          <cell r="E1454">
            <v>10060032</v>
          </cell>
          <cell r="F1454" t="str">
            <v>0121</v>
          </cell>
          <cell r="G1454">
            <v>14</v>
          </cell>
          <cell r="H1454">
            <v>42.42</v>
          </cell>
          <cell r="I1454">
            <v>1621.3850873154006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P1454">
            <v>1621</v>
          </cell>
          <cell r="V1454" t="str">
            <v>Available</v>
          </cell>
        </row>
        <row r="1455">
          <cell r="A1455" t="str">
            <v>100600320131</v>
          </cell>
          <cell r="B1455" t="str">
            <v>Gopalpur Bmc</v>
          </cell>
          <cell r="C1455" t="str">
            <v>Gopalpur Bmc</v>
          </cell>
          <cell r="D1455" t="str">
            <v xml:space="preserve">BATTA RAMPUR                                                                                        </v>
          </cell>
          <cell r="E1455">
            <v>10060032</v>
          </cell>
          <cell r="F1455" t="str">
            <v>0131</v>
          </cell>
          <cell r="G1455">
            <v>6</v>
          </cell>
          <cell r="H1455">
            <v>19.28</v>
          </cell>
          <cell r="I1455">
            <v>740.60173202400006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P1455">
            <v>741</v>
          </cell>
          <cell r="V1455" t="str">
            <v>Available</v>
          </cell>
        </row>
        <row r="1456">
          <cell r="A1456" t="str">
            <v>100600320133</v>
          </cell>
          <cell r="B1456" t="str">
            <v>Gopalpur Bmc</v>
          </cell>
          <cell r="C1456" t="str">
            <v>Gopalpur Bmc</v>
          </cell>
          <cell r="D1456" t="str">
            <v xml:space="preserve">BATTA RAMPUR                                                                                        </v>
          </cell>
          <cell r="E1456">
            <v>10060032</v>
          </cell>
          <cell r="F1456" t="str">
            <v>0133</v>
          </cell>
          <cell r="G1456">
            <v>14</v>
          </cell>
          <cell r="H1456">
            <v>38.26</v>
          </cell>
          <cell r="I1456">
            <v>1464.4608168959999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P1456">
            <v>1464</v>
          </cell>
          <cell r="V1456" t="str">
            <v>Available</v>
          </cell>
        </row>
        <row r="1457">
          <cell r="A1457" t="str">
            <v>100600320139</v>
          </cell>
          <cell r="B1457" t="str">
            <v>Gopalpur Bmc</v>
          </cell>
          <cell r="C1457" t="str">
            <v>Gopalpur Bmc</v>
          </cell>
          <cell r="D1457" t="str">
            <v xml:space="preserve">BATTA RAMPUR                                                                                        </v>
          </cell>
          <cell r="E1457">
            <v>10060032</v>
          </cell>
          <cell r="F1457" t="str">
            <v>0139</v>
          </cell>
          <cell r="G1457">
            <v>14</v>
          </cell>
          <cell r="H1457">
            <v>67.23</v>
          </cell>
          <cell r="I1457">
            <v>2576.2684388760003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P1457">
            <v>2576</v>
          </cell>
          <cell r="V1457" t="str">
            <v>Available</v>
          </cell>
        </row>
        <row r="1458">
          <cell r="A1458" t="str">
            <v>100600320142</v>
          </cell>
          <cell r="B1458" t="str">
            <v>Gopalpur Bmc</v>
          </cell>
          <cell r="C1458" t="str">
            <v>Gopalpur Bmc</v>
          </cell>
          <cell r="D1458" t="str">
            <v xml:space="preserve">BATTA RAMPUR                                                                                        </v>
          </cell>
          <cell r="E1458">
            <v>10060032</v>
          </cell>
          <cell r="F1458" t="str">
            <v>0142</v>
          </cell>
          <cell r="G1458">
            <v>13</v>
          </cell>
          <cell r="H1458">
            <v>223.92000000000002</v>
          </cell>
          <cell r="I1458">
            <v>16823.28023094606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P1458">
            <v>16823</v>
          </cell>
          <cell r="V1458" t="str">
            <v>Available</v>
          </cell>
        </row>
        <row r="1459">
          <cell r="A1459" t="str">
            <v>100600320146</v>
          </cell>
          <cell r="B1459" t="str">
            <v>Gopalpur Bmc</v>
          </cell>
          <cell r="C1459" t="str">
            <v>Gopalpur Bmc</v>
          </cell>
          <cell r="D1459" t="str">
            <v xml:space="preserve">BATTA RAMPUR                                                                                        </v>
          </cell>
          <cell r="E1459">
            <v>10060032</v>
          </cell>
          <cell r="F1459" t="str">
            <v>0146</v>
          </cell>
          <cell r="G1459">
            <v>14</v>
          </cell>
          <cell r="H1459">
            <v>184.52999999999997</v>
          </cell>
          <cell r="I1459">
            <v>7071.2839992960016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P1459">
            <v>7071</v>
          </cell>
          <cell r="V1459" t="str">
            <v>Available</v>
          </cell>
        </row>
        <row r="1460">
          <cell r="A1460" t="str">
            <v>100600320148</v>
          </cell>
          <cell r="B1460" t="str">
            <v>Gopalpur Bmc</v>
          </cell>
          <cell r="C1460" t="str">
            <v>Gopalpur Bmc</v>
          </cell>
          <cell r="D1460" t="str">
            <v xml:space="preserve">BATTA RAMPUR                                                                                        </v>
          </cell>
          <cell r="E1460">
            <v>10060032</v>
          </cell>
          <cell r="F1460" t="str">
            <v>0148</v>
          </cell>
          <cell r="G1460">
            <v>2</v>
          </cell>
          <cell r="H1460">
            <v>5.2</v>
          </cell>
          <cell r="I1460">
            <v>277.88383367068002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P1460">
            <v>278</v>
          </cell>
          <cell r="V1460" t="str">
            <v>Available</v>
          </cell>
        </row>
        <row r="1461">
          <cell r="A1461" t="str">
            <v>100600320150</v>
          </cell>
          <cell r="B1461" t="str">
            <v>Gopalpur Bmc</v>
          </cell>
          <cell r="C1461" t="str">
            <v>Gopalpur Bmc</v>
          </cell>
          <cell r="D1461" t="str">
            <v xml:space="preserve">BATTA RAMPUR                                                                                        </v>
          </cell>
          <cell r="E1461">
            <v>10060032</v>
          </cell>
          <cell r="F1461" t="str">
            <v>0150</v>
          </cell>
          <cell r="G1461">
            <v>14</v>
          </cell>
          <cell r="H1461">
            <v>113.79</v>
          </cell>
          <cell r="I1461">
            <v>4726.3915385280006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P1461">
            <v>4726</v>
          </cell>
          <cell r="V1461" t="str">
            <v>Available</v>
          </cell>
        </row>
        <row r="1462">
          <cell r="A1462" t="str">
            <v>100600320153</v>
          </cell>
          <cell r="B1462" t="str">
            <v>Gopalpur Bmc</v>
          </cell>
          <cell r="C1462" t="str">
            <v>Gopalpur Bmc</v>
          </cell>
          <cell r="D1462" t="str">
            <v xml:space="preserve">BATTA RAMPUR                                                                                        </v>
          </cell>
          <cell r="E1462">
            <v>10060032</v>
          </cell>
          <cell r="F1462" t="str">
            <v>0153</v>
          </cell>
          <cell r="G1462">
            <v>5</v>
          </cell>
          <cell r="H1462">
            <v>35.01</v>
          </cell>
          <cell r="I1462">
            <v>1368.6889174199998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P1462">
            <v>1369</v>
          </cell>
          <cell r="V1462" t="str">
            <v>Available</v>
          </cell>
        </row>
        <row r="1463">
          <cell r="A1463" t="str">
            <v>100600490001</v>
          </cell>
          <cell r="B1463" t="str">
            <v>Gopalpur Bmc</v>
          </cell>
          <cell r="C1463" t="str">
            <v>Gopalpur Bmc</v>
          </cell>
          <cell r="D1463" t="str">
            <v>MALIYA</v>
          </cell>
          <cell r="E1463">
            <v>10060049</v>
          </cell>
          <cell r="F1463" t="str">
            <v>0001</v>
          </cell>
          <cell r="G1463">
            <v>13</v>
          </cell>
          <cell r="H1463">
            <v>9.1</v>
          </cell>
          <cell r="I1463">
            <v>408.2682617552</v>
          </cell>
          <cell r="J1463">
            <v>0</v>
          </cell>
          <cell r="K1463">
            <v>408.2682617552</v>
          </cell>
          <cell r="L1463">
            <v>0</v>
          </cell>
          <cell r="M1463">
            <v>0</v>
          </cell>
          <cell r="P1463">
            <v>0</v>
          </cell>
          <cell r="V1463" t="str">
            <v>Not Available</v>
          </cell>
        </row>
        <row r="1464">
          <cell r="A1464" t="str">
            <v>100600490002</v>
          </cell>
          <cell r="B1464" t="str">
            <v>Gopalpur Bmc</v>
          </cell>
          <cell r="C1464" t="str">
            <v>Gopalpur Bmc</v>
          </cell>
          <cell r="D1464" t="str">
            <v>MALIYA</v>
          </cell>
          <cell r="E1464">
            <v>10060049</v>
          </cell>
          <cell r="F1464" t="str">
            <v>0002</v>
          </cell>
          <cell r="G1464">
            <v>2</v>
          </cell>
          <cell r="H1464">
            <v>31</v>
          </cell>
          <cell r="I1464">
            <v>1554.513576798</v>
          </cell>
          <cell r="J1464">
            <v>0</v>
          </cell>
          <cell r="K1464">
            <v>0</v>
          </cell>
          <cell r="L1464">
            <v>691</v>
          </cell>
          <cell r="M1464">
            <v>0</v>
          </cell>
          <cell r="P1464">
            <v>864</v>
          </cell>
          <cell r="V1464" t="str">
            <v>Available</v>
          </cell>
        </row>
        <row r="1465">
          <cell r="A1465" t="str">
            <v>100600490004</v>
          </cell>
          <cell r="B1465" t="str">
            <v>Gopalpur Bmc</v>
          </cell>
          <cell r="C1465" t="str">
            <v>Gopalpur Bmc</v>
          </cell>
          <cell r="D1465" t="str">
            <v>MALIYA</v>
          </cell>
          <cell r="E1465">
            <v>10060049</v>
          </cell>
          <cell r="F1465" t="str">
            <v>0004</v>
          </cell>
          <cell r="G1465">
            <v>14</v>
          </cell>
          <cell r="H1465">
            <v>49.370000000000012</v>
          </cell>
          <cell r="I1465">
            <v>1804.0612942440002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P1465">
            <v>1804</v>
          </cell>
          <cell r="V1465" t="str">
            <v>Available</v>
          </cell>
        </row>
        <row r="1466">
          <cell r="A1466" t="str">
            <v>100600490005</v>
          </cell>
          <cell r="B1466" t="str">
            <v>Gopalpur Bmc</v>
          </cell>
          <cell r="C1466" t="str">
            <v>Gopalpur Bmc</v>
          </cell>
          <cell r="D1466" t="str">
            <v>MALIYA</v>
          </cell>
          <cell r="E1466">
            <v>10060049</v>
          </cell>
          <cell r="F1466" t="str">
            <v>0005</v>
          </cell>
          <cell r="G1466">
            <v>3</v>
          </cell>
          <cell r="H1466">
            <v>10.73</v>
          </cell>
          <cell r="I1466">
            <v>584.10254389574004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P1466">
            <v>584</v>
          </cell>
          <cell r="V1466" t="str">
            <v>Available</v>
          </cell>
        </row>
        <row r="1467">
          <cell r="A1467" t="str">
            <v>100600490006</v>
          </cell>
          <cell r="B1467" t="str">
            <v>Gopalpur Bmc</v>
          </cell>
          <cell r="C1467" t="str">
            <v>Gopalpur Bmc</v>
          </cell>
          <cell r="D1467" t="str">
            <v>MALIYA</v>
          </cell>
          <cell r="E1467">
            <v>10060049</v>
          </cell>
          <cell r="F1467" t="str">
            <v>0006</v>
          </cell>
          <cell r="G1467">
            <v>5</v>
          </cell>
          <cell r="H1467">
            <v>13.280000000000001</v>
          </cell>
          <cell r="I1467">
            <v>617.32232261862009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P1467">
            <v>617</v>
          </cell>
          <cell r="V1467" t="str">
            <v>Available</v>
          </cell>
        </row>
        <row r="1468">
          <cell r="A1468" t="str">
            <v>100600490010</v>
          </cell>
          <cell r="B1468" t="str">
            <v>Gopalpur Bmc</v>
          </cell>
          <cell r="C1468" t="str">
            <v>Gopalpur Bmc</v>
          </cell>
          <cell r="D1468" t="str">
            <v>MALIYA</v>
          </cell>
          <cell r="E1468">
            <v>10060049</v>
          </cell>
          <cell r="F1468" t="str">
            <v>0010</v>
          </cell>
          <cell r="G1468">
            <v>14</v>
          </cell>
          <cell r="H1468">
            <v>95.509999999999991</v>
          </cell>
          <cell r="I1468">
            <v>3375.4617867960005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P1468">
            <v>3375</v>
          </cell>
          <cell r="V1468" t="str">
            <v>Available</v>
          </cell>
        </row>
        <row r="1469">
          <cell r="A1469" t="str">
            <v>100600490015</v>
          </cell>
          <cell r="B1469" t="str">
            <v>Gopalpur Bmc</v>
          </cell>
          <cell r="C1469" t="str">
            <v>Gopalpur Bmc</v>
          </cell>
          <cell r="D1469" t="str">
            <v>MALIYA</v>
          </cell>
          <cell r="E1469">
            <v>10060049</v>
          </cell>
          <cell r="F1469" t="str">
            <v>0015</v>
          </cell>
          <cell r="G1469">
            <v>14</v>
          </cell>
          <cell r="H1469">
            <v>23.599999999999998</v>
          </cell>
          <cell r="I1469">
            <v>1116.4117328919401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P1469">
            <v>1116</v>
          </cell>
          <cell r="V1469" t="str">
            <v>Available</v>
          </cell>
        </row>
        <row r="1470">
          <cell r="A1470" t="str">
            <v>100600490023</v>
          </cell>
          <cell r="B1470" t="str">
            <v>Gopalpur Bmc</v>
          </cell>
          <cell r="C1470" t="str">
            <v>Gopalpur Bmc</v>
          </cell>
          <cell r="D1470" t="str">
            <v>MALIYA</v>
          </cell>
          <cell r="E1470">
            <v>10060049</v>
          </cell>
          <cell r="F1470" t="str">
            <v>0023</v>
          </cell>
          <cell r="G1470">
            <v>13</v>
          </cell>
          <cell r="H1470">
            <v>33.74</v>
          </cell>
          <cell r="I1470">
            <v>2158.6091642466999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P1470">
            <v>2159</v>
          </cell>
          <cell r="V1470" t="str">
            <v>Available</v>
          </cell>
        </row>
        <row r="1471">
          <cell r="A1471" t="str">
            <v>100600490027</v>
          </cell>
          <cell r="B1471" t="str">
            <v>Gopalpur Bmc</v>
          </cell>
          <cell r="C1471" t="str">
            <v>Gopalpur Bmc</v>
          </cell>
          <cell r="D1471" t="str">
            <v>MALIYA</v>
          </cell>
          <cell r="E1471">
            <v>10060049</v>
          </cell>
          <cell r="F1471" t="str">
            <v>0027</v>
          </cell>
          <cell r="G1471">
            <v>14</v>
          </cell>
          <cell r="H1471">
            <v>24.460000000000004</v>
          </cell>
          <cell r="I1471">
            <v>1499.49653936818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P1471">
            <v>1499</v>
          </cell>
          <cell r="V1471" t="str">
            <v>Available</v>
          </cell>
        </row>
        <row r="1472">
          <cell r="A1472" t="str">
            <v>100600490035</v>
          </cell>
          <cell r="B1472" t="str">
            <v>Gopalpur Bmc</v>
          </cell>
          <cell r="C1472" t="str">
            <v>Gopalpur Bmc</v>
          </cell>
          <cell r="D1472" t="str">
            <v>MALIYA</v>
          </cell>
          <cell r="E1472">
            <v>10060049</v>
          </cell>
          <cell r="F1472" t="str">
            <v>0035</v>
          </cell>
          <cell r="G1472">
            <v>7</v>
          </cell>
          <cell r="H1472">
            <v>6.7700000000000014</v>
          </cell>
          <cell r="I1472">
            <v>249.730657506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P1472">
            <v>250</v>
          </cell>
          <cell r="V1472" t="str">
            <v>Available</v>
          </cell>
        </row>
        <row r="1473">
          <cell r="A1473" t="str">
            <v>100600490037</v>
          </cell>
          <cell r="B1473" t="str">
            <v>Gopalpur Bmc</v>
          </cell>
          <cell r="C1473" t="str">
            <v>Gopalpur Bmc</v>
          </cell>
          <cell r="D1473" t="str">
            <v>MALIYA</v>
          </cell>
          <cell r="E1473">
            <v>10060049</v>
          </cell>
          <cell r="F1473" t="str">
            <v>0037</v>
          </cell>
          <cell r="G1473">
            <v>7</v>
          </cell>
          <cell r="H1473">
            <v>10.57</v>
          </cell>
          <cell r="I1473">
            <v>567.97462099910001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P1473">
            <v>568</v>
          </cell>
          <cell r="V1473" t="str">
            <v>Available</v>
          </cell>
        </row>
        <row r="1474">
          <cell r="A1474" t="str">
            <v>100600490048</v>
          </cell>
          <cell r="B1474" t="str">
            <v>Gopalpur Bmc</v>
          </cell>
          <cell r="C1474" t="str">
            <v>Gopalpur Bmc</v>
          </cell>
          <cell r="D1474" t="str">
            <v>MALIYA</v>
          </cell>
          <cell r="E1474">
            <v>10060049</v>
          </cell>
          <cell r="F1474" t="str">
            <v>0048</v>
          </cell>
          <cell r="G1474">
            <v>14</v>
          </cell>
          <cell r="H1474">
            <v>49.870000000000005</v>
          </cell>
          <cell r="I1474">
            <v>3029.1157513275307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P1474">
            <v>3029</v>
          </cell>
          <cell r="V1474" t="str">
            <v>Available</v>
          </cell>
        </row>
        <row r="1475">
          <cell r="A1475" t="str">
            <v>100600490053</v>
          </cell>
          <cell r="B1475" t="str">
            <v>Gopalpur Bmc</v>
          </cell>
          <cell r="C1475" t="str">
            <v>Gopalpur Bmc</v>
          </cell>
          <cell r="D1475" t="str">
            <v>MALIYA</v>
          </cell>
          <cell r="E1475">
            <v>10060049</v>
          </cell>
          <cell r="F1475" t="str">
            <v>0053</v>
          </cell>
          <cell r="G1475">
            <v>6</v>
          </cell>
          <cell r="H1475">
            <v>8.68</v>
          </cell>
          <cell r="I1475">
            <v>356.53467366000007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P1475">
            <v>357</v>
          </cell>
          <cell r="V1475" t="str">
            <v>Available</v>
          </cell>
        </row>
        <row r="1476">
          <cell r="A1476" t="str">
            <v>100600490055</v>
          </cell>
          <cell r="B1476" t="str">
            <v>Gopalpur Bmc</v>
          </cell>
          <cell r="C1476" t="str">
            <v>Gopalpur Bmc</v>
          </cell>
          <cell r="D1476" t="str">
            <v>MALIYA</v>
          </cell>
          <cell r="E1476">
            <v>10060049</v>
          </cell>
          <cell r="F1476" t="str">
            <v>0055</v>
          </cell>
          <cell r="G1476">
            <v>1</v>
          </cell>
          <cell r="H1476">
            <v>30.5</v>
          </cell>
          <cell r="I1476">
            <v>1934.1936256335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P1476">
            <v>1934</v>
          </cell>
          <cell r="V1476" t="str">
            <v>Available</v>
          </cell>
        </row>
        <row r="1477">
          <cell r="A1477" t="str">
            <v>100600490060</v>
          </cell>
          <cell r="B1477" t="str">
            <v>Gopalpur Bmc</v>
          </cell>
          <cell r="C1477" t="str">
            <v>Gopalpur Bmc</v>
          </cell>
          <cell r="D1477" t="str">
            <v>MALIYA</v>
          </cell>
          <cell r="E1477">
            <v>10060049</v>
          </cell>
          <cell r="F1477" t="str">
            <v>0060</v>
          </cell>
          <cell r="G1477">
            <v>7</v>
          </cell>
          <cell r="H1477">
            <v>11.659999999999998</v>
          </cell>
          <cell r="I1477">
            <v>383.93416003140004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P1477">
            <v>384</v>
          </cell>
          <cell r="V1477" t="str">
            <v>Available</v>
          </cell>
        </row>
        <row r="1478">
          <cell r="A1478" t="str">
            <v>100600490064</v>
          </cell>
          <cell r="B1478" t="str">
            <v>Gopalpur Bmc</v>
          </cell>
          <cell r="C1478" t="str">
            <v>Gopalpur Bmc</v>
          </cell>
          <cell r="D1478" t="str">
            <v>MALIYA</v>
          </cell>
          <cell r="E1478">
            <v>10060049</v>
          </cell>
          <cell r="F1478" t="str">
            <v>0064</v>
          </cell>
          <cell r="G1478">
            <v>8</v>
          </cell>
          <cell r="H1478">
            <v>25.6</v>
          </cell>
          <cell r="I1478">
            <v>1000.8707738040002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P1478">
            <v>1001</v>
          </cell>
          <cell r="V1478" t="str">
            <v>Available</v>
          </cell>
        </row>
        <row r="1479">
          <cell r="A1479" t="str">
            <v>100600490065</v>
          </cell>
          <cell r="B1479" t="str">
            <v>Gopalpur Bmc</v>
          </cell>
          <cell r="C1479" t="str">
            <v>Gopalpur Bmc</v>
          </cell>
          <cell r="D1479" t="str">
            <v>MALIYA</v>
          </cell>
          <cell r="E1479">
            <v>10060049</v>
          </cell>
          <cell r="F1479" t="str">
            <v>0065</v>
          </cell>
          <cell r="G1479">
            <v>8</v>
          </cell>
          <cell r="H1479">
            <v>24.37</v>
          </cell>
          <cell r="I1479">
            <v>924.68464070400012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P1479">
            <v>925</v>
          </cell>
          <cell r="V1479" t="str">
            <v>Available</v>
          </cell>
        </row>
        <row r="1480">
          <cell r="A1480" t="str">
            <v>100600490069</v>
          </cell>
          <cell r="B1480" t="str">
            <v>Gopalpur Bmc</v>
          </cell>
          <cell r="C1480" t="str">
            <v>Gopalpur Bmc</v>
          </cell>
          <cell r="D1480" t="str">
            <v>MALIYA</v>
          </cell>
          <cell r="E1480">
            <v>10060049</v>
          </cell>
          <cell r="F1480" t="str">
            <v>0069</v>
          </cell>
          <cell r="G1480">
            <v>6</v>
          </cell>
          <cell r="H1480">
            <v>20.29</v>
          </cell>
          <cell r="I1480">
            <v>599.12247182039994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P1480">
            <v>599</v>
          </cell>
          <cell r="V1480" t="str">
            <v>Available</v>
          </cell>
        </row>
        <row r="1481">
          <cell r="A1481" t="str">
            <v>100600490071</v>
          </cell>
          <cell r="B1481" t="str">
            <v>Gopalpur Bmc</v>
          </cell>
          <cell r="C1481" t="str">
            <v>Gopalpur Bmc</v>
          </cell>
          <cell r="D1481" t="str">
            <v>MALIYA</v>
          </cell>
          <cell r="E1481">
            <v>10060049</v>
          </cell>
          <cell r="F1481" t="str">
            <v>0071</v>
          </cell>
          <cell r="G1481">
            <v>7</v>
          </cell>
          <cell r="H1481">
            <v>30.460000000000004</v>
          </cell>
          <cell r="I1481">
            <v>882.25006413060009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P1481">
            <v>882</v>
          </cell>
          <cell r="V1481" t="str">
            <v>Available</v>
          </cell>
        </row>
        <row r="1482">
          <cell r="A1482" t="str">
            <v>100600490078</v>
          </cell>
          <cell r="B1482" t="str">
            <v>Gopalpur Bmc</v>
          </cell>
          <cell r="C1482" t="str">
            <v>Gopalpur Bmc</v>
          </cell>
          <cell r="D1482" t="str">
            <v>MALIYA</v>
          </cell>
          <cell r="E1482">
            <v>10060049</v>
          </cell>
          <cell r="F1482" t="str">
            <v>0078</v>
          </cell>
          <cell r="G1482">
            <v>7</v>
          </cell>
          <cell r="H1482">
            <v>12.419999999999998</v>
          </cell>
          <cell r="I1482">
            <v>451.37464336800008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P1482">
            <v>451</v>
          </cell>
          <cell r="V1482" t="str">
            <v>Available</v>
          </cell>
        </row>
        <row r="1483">
          <cell r="A1483" t="str">
            <v>100600490080</v>
          </cell>
          <cell r="B1483" t="str">
            <v>Gopalpur Bmc</v>
          </cell>
          <cell r="C1483" t="str">
            <v>Gopalpur Bmc</v>
          </cell>
          <cell r="D1483" t="str">
            <v>MALIYA</v>
          </cell>
          <cell r="E1483">
            <v>10060049</v>
          </cell>
          <cell r="F1483" t="str">
            <v>0080</v>
          </cell>
          <cell r="G1483">
            <v>6</v>
          </cell>
          <cell r="H1483">
            <v>12.24</v>
          </cell>
          <cell r="I1483">
            <v>441.61709328000006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P1483">
            <v>442</v>
          </cell>
          <cell r="V1483" t="str">
            <v>Available</v>
          </cell>
        </row>
        <row r="1484">
          <cell r="A1484" t="str">
            <v>100600490099</v>
          </cell>
          <cell r="B1484" t="str">
            <v>Gopalpur Bmc</v>
          </cell>
          <cell r="C1484" t="str">
            <v>Gopalpur Bmc</v>
          </cell>
          <cell r="D1484" t="str">
            <v>MALIYA</v>
          </cell>
          <cell r="E1484">
            <v>10060049</v>
          </cell>
          <cell r="F1484" t="str">
            <v>0099</v>
          </cell>
          <cell r="G1484">
            <v>6</v>
          </cell>
          <cell r="H1484">
            <v>21.990000000000002</v>
          </cell>
          <cell r="I1484">
            <v>747.4100119200001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P1484">
            <v>747</v>
          </cell>
          <cell r="V1484" t="str">
            <v>Available</v>
          </cell>
        </row>
        <row r="1485">
          <cell r="A1485" t="str">
            <v>100600490100</v>
          </cell>
          <cell r="B1485" t="str">
            <v>Gopalpur Bmc</v>
          </cell>
          <cell r="C1485" t="str">
            <v>Gopalpur Bmc</v>
          </cell>
          <cell r="D1485" t="str">
            <v>MALIYA</v>
          </cell>
          <cell r="E1485">
            <v>10060049</v>
          </cell>
          <cell r="F1485" t="str">
            <v>0100</v>
          </cell>
          <cell r="G1485">
            <v>5</v>
          </cell>
          <cell r="H1485">
            <v>14.18</v>
          </cell>
          <cell r="I1485">
            <v>502.08139674000006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P1485">
            <v>502</v>
          </cell>
          <cell r="V1485" t="str">
            <v>Available</v>
          </cell>
        </row>
        <row r="1486">
          <cell r="A1486" t="str">
            <v>100600490102</v>
          </cell>
          <cell r="B1486" t="str">
            <v>Gopalpur Bmc</v>
          </cell>
          <cell r="C1486" t="str">
            <v>Gopalpur Bmc</v>
          </cell>
          <cell r="D1486" t="str">
            <v>MALIYA</v>
          </cell>
          <cell r="E1486">
            <v>10060049</v>
          </cell>
          <cell r="F1486" t="str">
            <v>0102</v>
          </cell>
          <cell r="G1486">
            <v>7</v>
          </cell>
          <cell r="H1486">
            <v>32.03</v>
          </cell>
          <cell r="I1486">
            <v>1158.0204576600001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P1486">
            <v>1158</v>
          </cell>
          <cell r="V1486" t="str">
            <v>Available</v>
          </cell>
        </row>
        <row r="1487">
          <cell r="A1487" t="str">
            <v>100600490104</v>
          </cell>
          <cell r="B1487" t="str">
            <v>Gopalpur Bmc</v>
          </cell>
          <cell r="C1487" t="str">
            <v>Gopalpur Bmc</v>
          </cell>
          <cell r="D1487" t="str">
            <v>MALIYA</v>
          </cell>
          <cell r="E1487">
            <v>10060049</v>
          </cell>
          <cell r="F1487" t="str">
            <v>0104</v>
          </cell>
          <cell r="G1487">
            <v>5</v>
          </cell>
          <cell r="H1487">
            <v>7.46</v>
          </cell>
          <cell r="I1487">
            <v>308.98117023840007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P1487">
            <v>309</v>
          </cell>
          <cell r="V1487" t="str">
            <v>Available</v>
          </cell>
        </row>
        <row r="1488">
          <cell r="A1488" t="str">
            <v>100600500001</v>
          </cell>
          <cell r="B1488" t="str">
            <v>Gopalpur Bmc</v>
          </cell>
          <cell r="C1488" t="str">
            <v>Gopalpur Bmc</v>
          </cell>
          <cell r="D1488" t="str">
            <v>MAHULIYA</v>
          </cell>
          <cell r="E1488">
            <v>10060050</v>
          </cell>
          <cell r="F1488" t="str">
            <v>0001</v>
          </cell>
          <cell r="G1488">
            <v>13</v>
          </cell>
          <cell r="H1488">
            <v>6.2299999999999995</v>
          </cell>
          <cell r="I1488">
            <v>260.85853080422999</v>
          </cell>
          <cell r="J1488">
            <v>0</v>
          </cell>
          <cell r="K1488">
            <v>260.85853080422999</v>
          </cell>
          <cell r="L1488">
            <v>0</v>
          </cell>
          <cell r="M1488">
            <v>0</v>
          </cell>
          <cell r="P1488">
            <v>0</v>
          </cell>
          <cell r="V1488" t="str">
            <v>Not Available</v>
          </cell>
        </row>
        <row r="1489">
          <cell r="A1489" t="str">
            <v>100600500002</v>
          </cell>
          <cell r="B1489" t="str">
            <v>Gopalpur Bmc</v>
          </cell>
          <cell r="C1489" t="str">
            <v>Gopalpur Bmc</v>
          </cell>
          <cell r="D1489" t="str">
            <v>MAHULIYA</v>
          </cell>
          <cell r="E1489">
            <v>10060050</v>
          </cell>
          <cell r="F1489" t="str">
            <v>0002</v>
          </cell>
          <cell r="G1489">
            <v>1</v>
          </cell>
          <cell r="H1489">
            <v>2.4</v>
          </cell>
          <cell r="I1489">
            <v>125.03238912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P1489">
            <v>125</v>
          </cell>
          <cell r="V1489" t="str">
            <v>Available</v>
          </cell>
        </row>
        <row r="1490">
          <cell r="A1490" t="str">
            <v>100600500007</v>
          </cell>
          <cell r="B1490" t="str">
            <v>Gopalpur Bmc</v>
          </cell>
          <cell r="C1490" t="str">
            <v>Gopalpur Bmc</v>
          </cell>
          <cell r="D1490" t="str">
            <v>MAHULIYA</v>
          </cell>
          <cell r="E1490">
            <v>10060050</v>
          </cell>
          <cell r="F1490" t="str">
            <v>0007</v>
          </cell>
          <cell r="G1490">
            <v>12</v>
          </cell>
          <cell r="H1490">
            <v>164.14</v>
          </cell>
          <cell r="I1490">
            <v>6786.9574313250596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P1490">
            <v>6787</v>
          </cell>
          <cell r="V1490" t="str">
            <v>Available</v>
          </cell>
        </row>
        <row r="1491">
          <cell r="A1491" t="str">
            <v>100600500011</v>
          </cell>
          <cell r="B1491" t="str">
            <v>Gopalpur Bmc</v>
          </cell>
          <cell r="C1491" t="str">
            <v>Gopalpur Bmc</v>
          </cell>
          <cell r="D1491" t="str">
            <v>MAHULIYA</v>
          </cell>
          <cell r="E1491">
            <v>10060050</v>
          </cell>
          <cell r="F1491" t="str">
            <v>0011</v>
          </cell>
          <cell r="G1491">
            <v>5</v>
          </cell>
          <cell r="H1491">
            <v>14.94</v>
          </cell>
          <cell r="I1491">
            <v>776.59004784028014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P1491">
            <v>777</v>
          </cell>
          <cell r="V1491" t="str">
            <v>Available</v>
          </cell>
        </row>
        <row r="1492">
          <cell r="A1492" t="str">
            <v>100600500014</v>
          </cell>
          <cell r="B1492" t="str">
            <v>Gopalpur Bmc</v>
          </cell>
          <cell r="C1492" t="str">
            <v>Gopalpur Bmc</v>
          </cell>
          <cell r="D1492" t="str">
            <v>MAHULIYA</v>
          </cell>
          <cell r="E1492">
            <v>10060050</v>
          </cell>
          <cell r="F1492" t="str">
            <v>0014</v>
          </cell>
          <cell r="G1492">
            <v>7</v>
          </cell>
          <cell r="H1492">
            <v>22.929999999999996</v>
          </cell>
          <cell r="I1492">
            <v>960.33898818000011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P1492">
            <v>960</v>
          </cell>
          <cell r="V1492" t="str">
            <v>Available</v>
          </cell>
        </row>
        <row r="1493">
          <cell r="A1493" t="str">
            <v>100600500019</v>
          </cell>
          <cell r="B1493" t="str">
            <v>Gopalpur Bmc</v>
          </cell>
          <cell r="C1493" t="str">
            <v>Gopalpur Bmc</v>
          </cell>
          <cell r="D1493" t="str">
            <v>MAHULIYA</v>
          </cell>
          <cell r="E1493">
            <v>10060050</v>
          </cell>
          <cell r="F1493" t="str">
            <v>0019</v>
          </cell>
          <cell r="G1493">
            <v>6</v>
          </cell>
          <cell r="H1493">
            <v>8.6100000000000012</v>
          </cell>
          <cell r="I1493">
            <v>554.16284666845604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P1493">
            <v>554</v>
          </cell>
          <cell r="V1493" t="str">
            <v>Available</v>
          </cell>
        </row>
        <row r="1494">
          <cell r="A1494" t="str">
            <v>100600500023</v>
          </cell>
          <cell r="B1494" t="str">
            <v>Gopalpur Bmc</v>
          </cell>
          <cell r="C1494" t="str">
            <v>Gopalpur Bmc</v>
          </cell>
          <cell r="D1494" t="str">
            <v>MAHULIYA</v>
          </cell>
          <cell r="E1494">
            <v>10060050</v>
          </cell>
          <cell r="F1494" t="str">
            <v>0023</v>
          </cell>
          <cell r="G1494">
            <v>9</v>
          </cell>
          <cell r="H1494">
            <v>21.15</v>
          </cell>
          <cell r="I1494">
            <v>878.68889136517021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P1494">
            <v>879</v>
          </cell>
          <cell r="V1494" t="str">
            <v>Available</v>
          </cell>
        </row>
        <row r="1495">
          <cell r="A1495" t="str">
            <v>100600500024</v>
          </cell>
          <cell r="B1495" t="str">
            <v>Gopalpur Bmc</v>
          </cell>
          <cell r="C1495" t="str">
            <v>Gopalpur Bmc</v>
          </cell>
          <cell r="D1495" t="str">
            <v>MAHULIYA</v>
          </cell>
          <cell r="E1495">
            <v>10060050</v>
          </cell>
          <cell r="F1495" t="str">
            <v>0024</v>
          </cell>
          <cell r="G1495">
            <v>13</v>
          </cell>
          <cell r="H1495">
            <v>35.980000000000004</v>
          </cell>
          <cell r="I1495">
            <v>1259.6521791545999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P1495">
            <v>1260</v>
          </cell>
          <cell r="V1495" t="str">
            <v>Available</v>
          </cell>
        </row>
        <row r="1496">
          <cell r="A1496" t="str">
            <v>100600500026</v>
          </cell>
          <cell r="B1496" t="str">
            <v>Gopalpur Bmc</v>
          </cell>
          <cell r="C1496" t="str">
            <v>Gopalpur Bmc</v>
          </cell>
          <cell r="D1496" t="str">
            <v>MAHULIYA</v>
          </cell>
          <cell r="E1496">
            <v>10060050</v>
          </cell>
          <cell r="F1496" t="str">
            <v>0026</v>
          </cell>
          <cell r="G1496">
            <v>7</v>
          </cell>
          <cell r="H1496">
            <v>12.020000000000003</v>
          </cell>
          <cell r="I1496">
            <v>638.36107846412017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P1496">
            <v>638</v>
          </cell>
          <cell r="V1496" t="str">
            <v>Available</v>
          </cell>
        </row>
        <row r="1497">
          <cell r="A1497" t="str">
            <v>100600500028</v>
          </cell>
          <cell r="B1497" t="str">
            <v>Gopalpur Bmc</v>
          </cell>
          <cell r="C1497" t="str">
            <v>Gopalpur Bmc</v>
          </cell>
          <cell r="D1497" t="str">
            <v>MAHULIYA</v>
          </cell>
          <cell r="E1497">
            <v>10060050</v>
          </cell>
          <cell r="F1497" t="str">
            <v>0028</v>
          </cell>
          <cell r="G1497">
            <v>7</v>
          </cell>
          <cell r="H1497">
            <v>15.41</v>
          </cell>
          <cell r="I1497">
            <v>603.35303173200009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P1497">
            <v>603</v>
          </cell>
          <cell r="V1497" t="str">
            <v>Available</v>
          </cell>
        </row>
        <row r="1498">
          <cell r="A1498" t="str">
            <v>100600500032</v>
          </cell>
          <cell r="B1498" t="str">
            <v>Gopalpur Bmc</v>
          </cell>
          <cell r="C1498" t="str">
            <v>Gopalpur Bmc</v>
          </cell>
          <cell r="D1498" t="str">
            <v>MAHULIYA</v>
          </cell>
          <cell r="E1498">
            <v>10060050</v>
          </cell>
          <cell r="F1498" t="str">
            <v>0032</v>
          </cell>
          <cell r="G1498">
            <v>13</v>
          </cell>
          <cell r="H1498">
            <v>74.930000000000007</v>
          </cell>
          <cell r="I1498">
            <v>2505.2202494352005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P1498">
            <v>2505</v>
          </cell>
          <cell r="V1498" t="str">
            <v>Available</v>
          </cell>
        </row>
        <row r="1499">
          <cell r="A1499" t="str">
            <v>100600500038</v>
          </cell>
          <cell r="B1499" t="str">
            <v>Gopalpur Bmc</v>
          </cell>
          <cell r="C1499" t="str">
            <v>Gopalpur Bmc</v>
          </cell>
          <cell r="D1499" t="str">
            <v>MAHULIYA</v>
          </cell>
          <cell r="E1499">
            <v>10060050</v>
          </cell>
          <cell r="F1499" t="str">
            <v>0038</v>
          </cell>
          <cell r="G1499">
            <v>6</v>
          </cell>
          <cell r="H1499">
            <v>21.9</v>
          </cell>
          <cell r="I1499">
            <v>747.50282758800017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P1499">
            <v>748</v>
          </cell>
          <cell r="V1499" t="str">
            <v>Available</v>
          </cell>
        </row>
        <row r="1500">
          <cell r="A1500" t="str">
            <v>100600500040</v>
          </cell>
          <cell r="B1500" t="str">
            <v>Gopalpur Bmc</v>
          </cell>
          <cell r="C1500" t="str">
            <v>Gopalpur Bmc</v>
          </cell>
          <cell r="D1500" t="str">
            <v>MAHULIYA</v>
          </cell>
          <cell r="E1500">
            <v>10060050</v>
          </cell>
          <cell r="F1500" t="str">
            <v>0040</v>
          </cell>
          <cell r="G1500">
            <v>5</v>
          </cell>
          <cell r="H1500">
            <v>6.0200000000000005</v>
          </cell>
          <cell r="I1500">
            <v>384.62337769956002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P1500">
            <v>385</v>
          </cell>
          <cell r="V1500" t="str">
            <v>Available</v>
          </cell>
        </row>
        <row r="1501">
          <cell r="A1501" t="str">
            <v>100600500043</v>
          </cell>
          <cell r="B1501" t="str">
            <v>Gopalpur Bmc</v>
          </cell>
          <cell r="C1501" t="str">
            <v>Gopalpur Bmc</v>
          </cell>
          <cell r="D1501" t="str">
            <v>MAHULIYA</v>
          </cell>
          <cell r="E1501">
            <v>10060050</v>
          </cell>
          <cell r="F1501" t="str">
            <v>0043</v>
          </cell>
          <cell r="G1501">
            <v>10</v>
          </cell>
          <cell r="H1501">
            <v>27.32</v>
          </cell>
          <cell r="I1501">
            <v>1089.6281755128002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P1501">
            <v>1090</v>
          </cell>
          <cell r="V1501" t="str">
            <v>Available</v>
          </cell>
        </row>
        <row r="1502">
          <cell r="A1502" t="str">
            <v>100600500050</v>
          </cell>
          <cell r="B1502" t="str">
            <v>Gopalpur Bmc</v>
          </cell>
          <cell r="C1502" t="str">
            <v>Gopalpur Bmc</v>
          </cell>
          <cell r="D1502" t="str">
            <v>MAHULIYA</v>
          </cell>
          <cell r="E1502">
            <v>10060050</v>
          </cell>
          <cell r="F1502" t="str">
            <v>0050</v>
          </cell>
          <cell r="G1502">
            <v>7</v>
          </cell>
          <cell r="H1502">
            <v>27.849999999999998</v>
          </cell>
          <cell r="I1502">
            <v>2168.1621393951195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P1502">
            <v>2168</v>
          </cell>
          <cell r="V1502" t="str">
            <v>Available</v>
          </cell>
        </row>
        <row r="1503">
          <cell r="A1503" t="str">
            <v>100600500053</v>
          </cell>
          <cell r="B1503" t="str">
            <v>Gopalpur Bmc</v>
          </cell>
          <cell r="C1503" t="str">
            <v>Gopalpur Bmc</v>
          </cell>
          <cell r="D1503" t="str">
            <v>MAHULIYA</v>
          </cell>
          <cell r="E1503">
            <v>10060050</v>
          </cell>
          <cell r="F1503" t="str">
            <v>0053</v>
          </cell>
          <cell r="G1503">
            <v>2</v>
          </cell>
          <cell r="H1503">
            <v>15.68</v>
          </cell>
          <cell r="I1503">
            <v>499.60478309940004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P1503">
            <v>500</v>
          </cell>
          <cell r="V1503" t="str">
            <v>Available</v>
          </cell>
        </row>
        <row r="1504">
          <cell r="A1504" t="str">
            <v>100600580001</v>
          </cell>
          <cell r="B1504" t="str">
            <v>Sonvarsha</v>
          </cell>
          <cell r="C1504" t="str">
            <v>Sonvarsha</v>
          </cell>
          <cell r="D1504" t="str">
            <v xml:space="preserve">ABGIL HUSSAINA-2                                                                                    </v>
          </cell>
          <cell r="E1504">
            <v>10060058</v>
          </cell>
          <cell r="F1504" t="str">
            <v>0001</v>
          </cell>
          <cell r="G1504">
            <v>14</v>
          </cell>
          <cell r="H1504">
            <v>6.87</v>
          </cell>
          <cell r="I1504">
            <v>242.50298688000009</v>
          </cell>
          <cell r="J1504">
            <v>0</v>
          </cell>
          <cell r="K1504">
            <v>242.50298688000009</v>
          </cell>
          <cell r="L1504">
            <v>0</v>
          </cell>
          <cell r="M1504">
            <v>0</v>
          </cell>
          <cell r="P1504">
            <v>0</v>
          </cell>
          <cell r="V1504" t="str">
            <v>Not Available</v>
          </cell>
        </row>
        <row r="1505">
          <cell r="A1505" t="str">
            <v>100600580002</v>
          </cell>
          <cell r="B1505" t="str">
            <v>Sonvarsha</v>
          </cell>
          <cell r="C1505" t="str">
            <v>Sonvarsha</v>
          </cell>
          <cell r="D1505" t="str">
            <v xml:space="preserve">ABGIL HUSSAINA-2                                                                                    </v>
          </cell>
          <cell r="E1505">
            <v>10060058</v>
          </cell>
          <cell r="F1505" t="str">
            <v>0002</v>
          </cell>
          <cell r="G1505">
            <v>7</v>
          </cell>
          <cell r="H1505">
            <v>84.539999999999992</v>
          </cell>
          <cell r="I1505">
            <v>3143.0281849560001</v>
          </cell>
          <cell r="J1505">
            <v>0</v>
          </cell>
          <cell r="K1505">
            <v>0</v>
          </cell>
          <cell r="L1505">
            <v>1029</v>
          </cell>
          <cell r="M1505">
            <v>0</v>
          </cell>
          <cell r="P1505">
            <v>2114</v>
          </cell>
          <cell r="V1505" t="str">
            <v>Available</v>
          </cell>
        </row>
        <row r="1506">
          <cell r="A1506" t="str">
            <v>100600580015</v>
          </cell>
          <cell r="B1506" t="str">
            <v>Sonvarsha</v>
          </cell>
          <cell r="C1506" t="str">
            <v>Sonvarsha</v>
          </cell>
          <cell r="D1506" t="str">
            <v xml:space="preserve">ABGIL HUSSAINA-2                                                                                    </v>
          </cell>
          <cell r="E1506">
            <v>10060058</v>
          </cell>
          <cell r="F1506" t="str">
            <v>0015</v>
          </cell>
          <cell r="G1506">
            <v>14</v>
          </cell>
          <cell r="H1506">
            <v>270.92999999999995</v>
          </cell>
          <cell r="I1506">
            <v>10266.868050120001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P1506">
            <v>10267</v>
          </cell>
          <cell r="V1506" t="str">
            <v>Available</v>
          </cell>
        </row>
        <row r="1507">
          <cell r="A1507" t="str">
            <v>100600580019</v>
          </cell>
          <cell r="B1507" t="str">
            <v>Sonvarsha</v>
          </cell>
          <cell r="C1507" t="str">
            <v>Sonvarsha</v>
          </cell>
          <cell r="D1507" t="str">
            <v xml:space="preserve">ABGIL HUSSAINA-2                                                                                    </v>
          </cell>
          <cell r="E1507">
            <v>10060058</v>
          </cell>
          <cell r="F1507" t="str">
            <v>0019</v>
          </cell>
          <cell r="G1507">
            <v>13</v>
          </cell>
          <cell r="H1507">
            <v>16.5</v>
          </cell>
          <cell r="I1507">
            <v>581.82194058120001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P1507">
            <v>582</v>
          </cell>
          <cell r="V1507" t="str">
            <v>Available</v>
          </cell>
        </row>
        <row r="1508">
          <cell r="A1508" t="str">
            <v>100600580051</v>
          </cell>
          <cell r="B1508" t="str">
            <v>Sonvarsha</v>
          </cell>
          <cell r="C1508" t="str">
            <v>Sonvarsha</v>
          </cell>
          <cell r="D1508" t="str">
            <v xml:space="preserve">ABGIL HUSSAINA-2                                                                                    </v>
          </cell>
          <cell r="E1508">
            <v>10060058</v>
          </cell>
          <cell r="F1508" t="str">
            <v>0051</v>
          </cell>
          <cell r="G1508">
            <v>14</v>
          </cell>
          <cell r="H1508">
            <v>274.77</v>
          </cell>
          <cell r="I1508">
            <v>10894.48213194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P1508">
            <v>10894</v>
          </cell>
          <cell r="V1508" t="str">
            <v>Not Available</v>
          </cell>
        </row>
        <row r="1509">
          <cell r="A1509" t="str">
            <v>100600580052</v>
          </cell>
          <cell r="B1509" t="str">
            <v>Sonvarsha</v>
          </cell>
          <cell r="C1509" t="str">
            <v>Sonvarsha</v>
          </cell>
          <cell r="D1509" t="str">
            <v xml:space="preserve">ABGIL HUSSAINA-2                                                                                    </v>
          </cell>
          <cell r="E1509">
            <v>10060058</v>
          </cell>
          <cell r="F1509" t="str">
            <v>0052</v>
          </cell>
          <cell r="G1509">
            <v>14</v>
          </cell>
          <cell r="H1509">
            <v>239.64999999999998</v>
          </cell>
          <cell r="I1509">
            <v>9033.5052751680014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P1509">
            <v>9034</v>
          </cell>
          <cell r="V1509" t="str">
            <v>Not Available</v>
          </cell>
        </row>
        <row r="1510">
          <cell r="A1510" t="str">
            <v>100600690009</v>
          </cell>
          <cell r="B1510" t="str">
            <v>Gopalpur Bmc</v>
          </cell>
          <cell r="C1510" t="str">
            <v>Gopalpur Bmc</v>
          </cell>
          <cell r="D1510" t="str">
            <v>BHANDAR</v>
          </cell>
          <cell r="E1510">
            <v>10060069</v>
          </cell>
          <cell r="F1510" t="str">
            <v>0009</v>
          </cell>
          <cell r="G1510">
            <v>14</v>
          </cell>
          <cell r="H1510">
            <v>266.2</v>
          </cell>
          <cell r="I1510">
            <v>11523.989231686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P1510">
            <v>11524</v>
          </cell>
          <cell r="V1510" t="str">
            <v>Available</v>
          </cell>
        </row>
        <row r="1511">
          <cell r="A1511" t="str">
            <v>100600740001</v>
          </cell>
          <cell r="B1511" t="str">
            <v>Gopalpur Bmc</v>
          </cell>
          <cell r="C1511" t="str">
            <v>Gopalpur Bmc</v>
          </cell>
          <cell r="D1511" t="str">
            <v>BASMATIYA</v>
          </cell>
          <cell r="E1511">
            <v>10060074</v>
          </cell>
          <cell r="F1511" t="str">
            <v>0001</v>
          </cell>
          <cell r="G1511">
            <v>14</v>
          </cell>
          <cell r="H1511">
            <v>6.4</v>
          </cell>
          <cell r="I1511">
            <v>275.96792650980001</v>
          </cell>
          <cell r="J1511">
            <v>0</v>
          </cell>
          <cell r="K1511">
            <v>275.96792650980001</v>
          </cell>
          <cell r="L1511">
            <v>0</v>
          </cell>
          <cell r="M1511">
            <v>0</v>
          </cell>
          <cell r="P1511">
            <v>0</v>
          </cell>
          <cell r="V1511" t="str">
            <v>Not Available</v>
          </cell>
        </row>
        <row r="1512">
          <cell r="A1512" t="str">
            <v>100600740002</v>
          </cell>
          <cell r="B1512" t="str">
            <v>Gopalpur Bmc</v>
          </cell>
          <cell r="C1512" t="str">
            <v>Gopalpur Bmc</v>
          </cell>
          <cell r="D1512" t="str">
            <v>BASMATIYA</v>
          </cell>
          <cell r="E1512">
            <v>10060074</v>
          </cell>
          <cell r="F1512" t="str">
            <v>0002</v>
          </cell>
          <cell r="G1512">
            <v>14</v>
          </cell>
          <cell r="H1512">
            <v>41.210000000000008</v>
          </cell>
          <cell r="I1512">
            <v>1848.2223028981498</v>
          </cell>
          <cell r="J1512">
            <v>0</v>
          </cell>
          <cell r="K1512">
            <v>0</v>
          </cell>
          <cell r="L1512">
            <v>1389</v>
          </cell>
          <cell r="M1512">
            <v>0</v>
          </cell>
          <cell r="P1512">
            <v>459</v>
          </cell>
          <cell r="V1512" t="str">
            <v>Available</v>
          </cell>
        </row>
        <row r="1513">
          <cell r="A1513" t="str">
            <v>100600740008</v>
          </cell>
          <cell r="B1513" t="str">
            <v>Gopalpur Bmc</v>
          </cell>
          <cell r="C1513" t="str">
            <v>Gopalpur Bmc</v>
          </cell>
          <cell r="D1513" t="str">
            <v>BASMATIYA</v>
          </cell>
          <cell r="E1513">
            <v>10060074</v>
          </cell>
          <cell r="F1513" t="str">
            <v>0008</v>
          </cell>
          <cell r="G1513">
            <v>7</v>
          </cell>
          <cell r="H1513">
            <v>17.21</v>
          </cell>
          <cell r="I1513">
            <v>1301.3349017472999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P1513">
            <v>1301</v>
          </cell>
          <cell r="V1513" t="str">
            <v>Available</v>
          </cell>
        </row>
        <row r="1514">
          <cell r="A1514" t="str">
            <v>100600740009</v>
          </cell>
          <cell r="B1514" t="str">
            <v>Gopalpur Bmc</v>
          </cell>
          <cell r="C1514" t="str">
            <v>Gopalpur Bmc</v>
          </cell>
          <cell r="D1514" t="str">
            <v>BASMATIYA</v>
          </cell>
          <cell r="E1514">
            <v>10060074</v>
          </cell>
          <cell r="F1514" t="str">
            <v>0009</v>
          </cell>
          <cell r="G1514">
            <v>6</v>
          </cell>
          <cell r="H1514">
            <v>10.169999999999998</v>
          </cell>
          <cell r="I1514">
            <v>470.72314594040006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P1514">
            <v>471</v>
          </cell>
          <cell r="V1514" t="str">
            <v>Available</v>
          </cell>
        </row>
        <row r="1515">
          <cell r="A1515" t="str">
            <v>100600740012</v>
          </cell>
          <cell r="B1515" t="str">
            <v>Gopalpur Bmc</v>
          </cell>
          <cell r="C1515" t="str">
            <v>Gopalpur Bmc</v>
          </cell>
          <cell r="D1515" t="str">
            <v>BASMATIYA</v>
          </cell>
          <cell r="E1515">
            <v>10060074</v>
          </cell>
          <cell r="F1515" t="str">
            <v>0012</v>
          </cell>
          <cell r="G1515">
            <v>13</v>
          </cell>
          <cell r="H1515">
            <v>61.739999999999995</v>
          </cell>
          <cell r="I1515">
            <v>3092.0934577595026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P1515">
            <v>3092</v>
          </cell>
          <cell r="V1515" t="str">
            <v>Available</v>
          </cell>
        </row>
        <row r="1516">
          <cell r="A1516" t="str">
            <v>100600740014</v>
          </cell>
          <cell r="B1516" t="str">
            <v>Gopalpur Bmc</v>
          </cell>
          <cell r="C1516" t="str">
            <v>Gopalpur Bmc</v>
          </cell>
          <cell r="D1516" t="str">
            <v>BASMATIYA</v>
          </cell>
          <cell r="E1516">
            <v>10060074</v>
          </cell>
          <cell r="F1516" t="str">
            <v>0014</v>
          </cell>
          <cell r="G1516">
            <v>14</v>
          </cell>
          <cell r="H1516">
            <v>52.74</v>
          </cell>
          <cell r="I1516">
            <v>2275.8523745353973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P1516">
            <v>2276</v>
          </cell>
          <cell r="V1516" t="str">
            <v>Available</v>
          </cell>
        </row>
        <row r="1517">
          <cell r="A1517" t="str">
            <v>100600740015</v>
          </cell>
          <cell r="B1517" t="str">
            <v>Gopalpur Bmc</v>
          </cell>
          <cell r="C1517" t="str">
            <v>Gopalpur Bmc</v>
          </cell>
          <cell r="D1517" t="str">
            <v>BASMATIYA</v>
          </cell>
          <cell r="E1517">
            <v>10060074</v>
          </cell>
          <cell r="F1517" t="str">
            <v>0015</v>
          </cell>
          <cell r="G1517">
            <v>8</v>
          </cell>
          <cell r="H1517">
            <v>25.65</v>
          </cell>
          <cell r="I1517">
            <v>914.42041267500008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P1517">
            <v>914</v>
          </cell>
          <cell r="V1517" t="str">
            <v>Available</v>
          </cell>
        </row>
        <row r="1518">
          <cell r="A1518" t="str">
            <v>100600740016</v>
          </cell>
          <cell r="B1518" t="str">
            <v>Gopalpur Bmc</v>
          </cell>
          <cell r="C1518" t="str">
            <v>Gopalpur Bmc</v>
          </cell>
          <cell r="D1518" t="str">
            <v>BASMATIYA</v>
          </cell>
          <cell r="E1518">
            <v>10060074</v>
          </cell>
          <cell r="F1518" t="str">
            <v>0016</v>
          </cell>
          <cell r="G1518">
            <v>7</v>
          </cell>
          <cell r="H1518">
            <v>20.04</v>
          </cell>
          <cell r="I1518">
            <v>1242.4295363576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P1518">
            <v>1242</v>
          </cell>
          <cell r="V1518" t="str">
            <v>Available</v>
          </cell>
        </row>
        <row r="1519">
          <cell r="A1519" t="str">
            <v>100600740036</v>
          </cell>
          <cell r="B1519" t="str">
            <v>Gopalpur Bmc</v>
          </cell>
          <cell r="C1519" t="str">
            <v>Gopalpur Bmc</v>
          </cell>
          <cell r="D1519" t="str">
            <v>BASMATIYA</v>
          </cell>
          <cell r="E1519">
            <v>10060074</v>
          </cell>
          <cell r="F1519" t="str">
            <v>0036</v>
          </cell>
          <cell r="G1519">
            <v>6</v>
          </cell>
          <cell r="H1519">
            <v>9.0299999999999994</v>
          </cell>
          <cell r="I1519">
            <v>438.7556785229001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P1519">
            <v>439</v>
          </cell>
          <cell r="V1519" t="str">
            <v>Available</v>
          </cell>
        </row>
        <row r="1520">
          <cell r="A1520" t="str">
            <v>100600740038</v>
          </cell>
          <cell r="B1520" t="str">
            <v>Gopalpur Bmc</v>
          </cell>
          <cell r="C1520" t="str">
            <v>Gopalpur Bmc</v>
          </cell>
          <cell r="D1520" t="str">
            <v>BASMATIYA</v>
          </cell>
          <cell r="E1520">
            <v>10060074</v>
          </cell>
          <cell r="F1520" t="str">
            <v>0038</v>
          </cell>
          <cell r="G1520">
            <v>11</v>
          </cell>
          <cell r="H1520">
            <v>15.239999999999997</v>
          </cell>
          <cell r="I1520">
            <v>931.05560017809501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P1520">
            <v>931</v>
          </cell>
          <cell r="V1520" t="str">
            <v>Available</v>
          </cell>
        </row>
        <row r="1521">
          <cell r="A1521" t="str">
            <v>100600740039</v>
          </cell>
          <cell r="B1521" t="str">
            <v>Gopalpur Bmc</v>
          </cell>
          <cell r="C1521" t="str">
            <v>Gopalpur Bmc</v>
          </cell>
          <cell r="D1521" t="str">
            <v>BASMATIYA</v>
          </cell>
          <cell r="E1521">
            <v>10060074</v>
          </cell>
          <cell r="F1521" t="str">
            <v>0039</v>
          </cell>
          <cell r="G1521">
            <v>14</v>
          </cell>
          <cell r="H1521">
            <v>175.93</v>
          </cell>
          <cell r="I1521">
            <v>7035.8456935800004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P1521">
            <v>7036</v>
          </cell>
          <cell r="V1521" t="str">
            <v>Available</v>
          </cell>
        </row>
        <row r="1522">
          <cell r="A1522" t="str">
            <v>100600770001</v>
          </cell>
          <cell r="B1522" t="str">
            <v>Sonvarsha</v>
          </cell>
          <cell r="C1522" t="str">
            <v>Sonvarsha</v>
          </cell>
          <cell r="D1522" t="str">
            <v>TILATHI</v>
          </cell>
          <cell r="E1522">
            <v>10060077</v>
          </cell>
          <cell r="F1522" t="str">
            <v>0001</v>
          </cell>
          <cell r="G1522">
            <v>14</v>
          </cell>
          <cell r="H1522">
            <v>19</v>
          </cell>
          <cell r="I1522">
            <v>678.28226399999994</v>
          </cell>
          <cell r="J1522">
            <v>0</v>
          </cell>
          <cell r="K1522">
            <v>678.28226399999994</v>
          </cell>
          <cell r="L1522">
            <v>0</v>
          </cell>
          <cell r="M1522">
            <v>0</v>
          </cell>
          <cell r="P1522">
            <v>0</v>
          </cell>
          <cell r="V1522" t="str">
            <v>Not Available</v>
          </cell>
        </row>
        <row r="1523">
          <cell r="A1523" t="str">
            <v>100600770002</v>
          </cell>
          <cell r="B1523" t="str">
            <v>Sonvarsha</v>
          </cell>
          <cell r="C1523" t="str">
            <v>Sonvarsha</v>
          </cell>
          <cell r="D1523" t="str">
            <v>TILATHI</v>
          </cell>
          <cell r="E1523">
            <v>10060077</v>
          </cell>
          <cell r="F1523" t="str">
            <v>0002</v>
          </cell>
          <cell r="G1523">
            <v>3</v>
          </cell>
          <cell r="H1523">
            <v>8.1</v>
          </cell>
          <cell r="I1523">
            <v>344.17249020000008</v>
          </cell>
          <cell r="J1523">
            <v>0</v>
          </cell>
          <cell r="K1523">
            <v>0</v>
          </cell>
          <cell r="L1523">
            <v>344</v>
          </cell>
          <cell r="M1523">
            <v>0</v>
          </cell>
          <cell r="P1523">
            <v>0</v>
          </cell>
          <cell r="V1523" t="str">
            <v>Available</v>
          </cell>
        </row>
        <row r="1524">
          <cell r="A1524" t="str">
            <v>100600770003</v>
          </cell>
          <cell r="B1524" t="str">
            <v>Sonvarsha</v>
          </cell>
          <cell r="C1524" t="str">
            <v>Sonvarsha</v>
          </cell>
          <cell r="D1524" t="str">
            <v>TILATHI</v>
          </cell>
          <cell r="E1524">
            <v>10060077</v>
          </cell>
          <cell r="F1524" t="str">
            <v>0003</v>
          </cell>
          <cell r="G1524">
            <v>14</v>
          </cell>
          <cell r="H1524">
            <v>121.10000000000001</v>
          </cell>
          <cell r="I1524">
            <v>4947.6471303599992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P1524">
            <v>4948</v>
          </cell>
          <cell r="V1524" t="str">
            <v>Available</v>
          </cell>
        </row>
        <row r="1525">
          <cell r="A1525" t="str">
            <v>100600770007</v>
          </cell>
          <cell r="B1525" t="str">
            <v>Sonvarsha</v>
          </cell>
          <cell r="C1525" t="str">
            <v>Sonvarsha</v>
          </cell>
          <cell r="D1525" t="str">
            <v>TILATHI</v>
          </cell>
          <cell r="E1525">
            <v>10060077</v>
          </cell>
          <cell r="F1525" t="str">
            <v>0007</v>
          </cell>
          <cell r="G1525">
            <v>14</v>
          </cell>
          <cell r="H1525">
            <v>36.099999999999994</v>
          </cell>
          <cell r="I1525">
            <v>1318.3485479999999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P1525">
            <v>1318</v>
          </cell>
          <cell r="V1525" t="str">
            <v>Available</v>
          </cell>
        </row>
        <row r="1526">
          <cell r="A1526" t="str">
            <v>100600770015</v>
          </cell>
          <cell r="B1526" t="str">
            <v>Sonvarsha</v>
          </cell>
          <cell r="C1526" t="str">
            <v>Sonvarsha</v>
          </cell>
          <cell r="D1526" t="str">
            <v>TILATHI</v>
          </cell>
          <cell r="E1526">
            <v>10060077</v>
          </cell>
          <cell r="F1526" t="str">
            <v>0015</v>
          </cell>
          <cell r="G1526">
            <v>14</v>
          </cell>
          <cell r="H1526">
            <v>48.3</v>
          </cell>
          <cell r="I1526">
            <v>1793.11274604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P1526">
            <v>1793</v>
          </cell>
          <cell r="V1526" t="str">
            <v>Available</v>
          </cell>
        </row>
        <row r="1527">
          <cell r="A1527" t="str">
            <v>100600770017</v>
          </cell>
          <cell r="B1527" t="str">
            <v>Sonvarsha</v>
          </cell>
          <cell r="C1527" t="str">
            <v>Sonvarsha</v>
          </cell>
          <cell r="D1527" t="str">
            <v>TILATHI</v>
          </cell>
          <cell r="E1527">
            <v>10060077</v>
          </cell>
          <cell r="F1527" t="str">
            <v>0017</v>
          </cell>
          <cell r="G1527">
            <v>12</v>
          </cell>
          <cell r="H1527">
            <v>29.5</v>
          </cell>
          <cell r="I1527">
            <v>1124.14366548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P1527">
            <v>1124</v>
          </cell>
          <cell r="V1527" t="str">
            <v>Available</v>
          </cell>
        </row>
        <row r="1528">
          <cell r="A1528" t="str">
            <v>100600770019</v>
          </cell>
          <cell r="B1528" t="str">
            <v>Sonvarsha</v>
          </cell>
          <cell r="C1528" t="str">
            <v>Sonvarsha</v>
          </cell>
          <cell r="D1528" t="str">
            <v>TILATHI</v>
          </cell>
          <cell r="E1528">
            <v>10060077</v>
          </cell>
          <cell r="F1528" t="str">
            <v>0019</v>
          </cell>
          <cell r="G1528">
            <v>14</v>
          </cell>
          <cell r="H1528">
            <v>63.800000000000004</v>
          </cell>
          <cell r="I1528">
            <v>2504.7961337520005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P1528">
            <v>2505</v>
          </cell>
          <cell r="V1528" t="str">
            <v>Available</v>
          </cell>
        </row>
        <row r="1529">
          <cell r="A1529" t="str">
            <v>100600770020</v>
          </cell>
          <cell r="B1529" t="str">
            <v>Sonvarsha</v>
          </cell>
          <cell r="C1529" t="str">
            <v>Sonvarsha</v>
          </cell>
          <cell r="D1529" t="str">
            <v>TILATHI</v>
          </cell>
          <cell r="E1529">
            <v>10060077</v>
          </cell>
          <cell r="F1529" t="str">
            <v>0020</v>
          </cell>
          <cell r="G1529">
            <v>13</v>
          </cell>
          <cell r="H1529">
            <v>24.9</v>
          </cell>
          <cell r="I1529">
            <v>1005.3519181199999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P1529">
            <v>1005</v>
          </cell>
          <cell r="V1529" t="str">
            <v>Available</v>
          </cell>
        </row>
        <row r="1530">
          <cell r="A1530" t="str">
            <v>100600770022</v>
          </cell>
          <cell r="B1530" t="str">
            <v>Sonvarsha</v>
          </cell>
          <cell r="C1530" t="str">
            <v>Sonvarsha</v>
          </cell>
          <cell r="D1530" t="str">
            <v>TILATHI</v>
          </cell>
          <cell r="E1530">
            <v>10060077</v>
          </cell>
          <cell r="F1530" t="str">
            <v>0022</v>
          </cell>
          <cell r="G1530">
            <v>12</v>
          </cell>
          <cell r="H1530">
            <v>25.8</v>
          </cell>
          <cell r="I1530">
            <v>1022.9381892180003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P1530">
            <v>1023</v>
          </cell>
          <cell r="V1530" t="str">
            <v>Available</v>
          </cell>
        </row>
        <row r="1531">
          <cell r="A1531" t="str">
            <v>100600770023</v>
          </cell>
          <cell r="B1531" t="str">
            <v>Sonvarsha</v>
          </cell>
          <cell r="C1531" t="str">
            <v>Sonvarsha</v>
          </cell>
          <cell r="D1531" t="str">
            <v>TILATHI</v>
          </cell>
          <cell r="E1531">
            <v>10060077</v>
          </cell>
          <cell r="F1531" t="str">
            <v>0023</v>
          </cell>
          <cell r="G1531">
            <v>14</v>
          </cell>
          <cell r="H1531">
            <v>66.599999999999994</v>
          </cell>
          <cell r="I1531">
            <v>2569.8396637980004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P1531">
            <v>2570</v>
          </cell>
          <cell r="V1531" t="str">
            <v>Available</v>
          </cell>
        </row>
        <row r="1532">
          <cell r="A1532" t="str">
            <v>100600770027</v>
          </cell>
          <cell r="B1532" t="str">
            <v>Sonvarsha</v>
          </cell>
          <cell r="C1532" t="str">
            <v>Sonvarsha</v>
          </cell>
          <cell r="D1532" t="str">
            <v>TILATHI</v>
          </cell>
          <cell r="E1532">
            <v>10060077</v>
          </cell>
          <cell r="F1532" t="str">
            <v>0027</v>
          </cell>
          <cell r="G1532">
            <v>13</v>
          </cell>
          <cell r="H1532">
            <v>20.100000000000001</v>
          </cell>
          <cell r="I1532">
            <v>805.17992009400007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P1532">
            <v>805</v>
          </cell>
          <cell r="V1532" t="str">
            <v>Available</v>
          </cell>
        </row>
        <row r="1533">
          <cell r="A1533" t="str">
            <v>100600770030</v>
          </cell>
          <cell r="B1533" t="str">
            <v>Sonvarsha</v>
          </cell>
          <cell r="C1533" t="str">
            <v>Sonvarsha</v>
          </cell>
          <cell r="D1533" t="str">
            <v>TILATHI</v>
          </cell>
          <cell r="E1533">
            <v>10060077</v>
          </cell>
          <cell r="F1533" t="str">
            <v>0030</v>
          </cell>
          <cell r="G1533">
            <v>10</v>
          </cell>
          <cell r="H1533">
            <v>20.5</v>
          </cell>
          <cell r="I1533">
            <v>933.52777411500017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P1533">
            <v>934</v>
          </cell>
          <cell r="V1533" t="str">
            <v>Available</v>
          </cell>
        </row>
        <row r="1534">
          <cell r="A1534" t="str">
            <v>100600770036</v>
          </cell>
          <cell r="B1534" t="str">
            <v>Sonvarsha</v>
          </cell>
          <cell r="C1534" t="str">
            <v>Sonvarsha</v>
          </cell>
          <cell r="D1534" t="str">
            <v>TILATHI</v>
          </cell>
          <cell r="E1534">
            <v>10060077</v>
          </cell>
          <cell r="F1534" t="str">
            <v>0036</v>
          </cell>
          <cell r="G1534">
            <v>13</v>
          </cell>
          <cell r="H1534">
            <v>30.299999999999997</v>
          </cell>
          <cell r="I1534">
            <v>1842.8716508934801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P1534">
            <v>1843</v>
          </cell>
          <cell r="V1534" t="str">
            <v>Not Available</v>
          </cell>
        </row>
        <row r="1535">
          <cell r="A1535" t="str">
            <v>100600770038</v>
          </cell>
          <cell r="B1535" t="str">
            <v>Sonvarsha</v>
          </cell>
          <cell r="C1535" t="str">
            <v>Sonvarsha</v>
          </cell>
          <cell r="D1535" t="str">
            <v>TILATHI</v>
          </cell>
          <cell r="E1535">
            <v>10060077</v>
          </cell>
          <cell r="F1535" t="str">
            <v>0038</v>
          </cell>
          <cell r="G1535">
            <v>1</v>
          </cell>
          <cell r="H1535">
            <v>2.9</v>
          </cell>
          <cell r="I1535">
            <v>154.4972661324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P1535">
            <v>154</v>
          </cell>
          <cell r="V1535" t="str">
            <v>Available</v>
          </cell>
        </row>
        <row r="1536">
          <cell r="A1536" t="str">
            <v>100600770042</v>
          </cell>
          <cell r="B1536" t="str">
            <v>Sonvarsha</v>
          </cell>
          <cell r="C1536" t="str">
            <v>Sonvarsha</v>
          </cell>
          <cell r="D1536" t="str">
            <v>TILATHI</v>
          </cell>
          <cell r="E1536">
            <v>10060077</v>
          </cell>
          <cell r="F1536" t="str">
            <v>0042</v>
          </cell>
          <cell r="G1536">
            <v>7</v>
          </cell>
          <cell r="H1536">
            <v>12.799999999999999</v>
          </cell>
          <cell r="I1536">
            <v>496.31046715800005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P1536">
            <v>496</v>
          </cell>
          <cell r="V1536" t="str">
            <v>Available</v>
          </cell>
        </row>
        <row r="1537">
          <cell r="A1537" t="str">
            <v>100600770051</v>
          </cell>
          <cell r="B1537" t="str">
            <v>Sonvarsha</v>
          </cell>
          <cell r="C1537" t="str">
            <v>Sonvarsha</v>
          </cell>
          <cell r="D1537" t="str">
            <v>TILATHI</v>
          </cell>
          <cell r="E1537">
            <v>10060077</v>
          </cell>
          <cell r="F1537" t="str">
            <v>0051</v>
          </cell>
          <cell r="G1537">
            <v>12</v>
          </cell>
          <cell r="H1537">
            <v>34.9</v>
          </cell>
          <cell r="I1537">
            <v>1940.5954990058003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P1537">
            <v>1941</v>
          </cell>
          <cell r="V1537" t="str">
            <v>Available</v>
          </cell>
        </row>
        <row r="1538">
          <cell r="A1538" t="str">
            <v>100600770057</v>
          </cell>
          <cell r="B1538" t="str">
            <v>Sonvarsha</v>
          </cell>
          <cell r="C1538" t="str">
            <v>Sonvarsha</v>
          </cell>
          <cell r="D1538" t="str">
            <v>TILATHI</v>
          </cell>
          <cell r="E1538">
            <v>10060077</v>
          </cell>
          <cell r="F1538" t="str">
            <v>0057</v>
          </cell>
          <cell r="G1538">
            <v>14</v>
          </cell>
          <cell r="H1538">
            <v>82.4</v>
          </cell>
          <cell r="I1538">
            <v>2987.2206144000002</v>
          </cell>
          <cell r="J1538">
            <v>0</v>
          </cell>
          <cell r="K1538">
            <v>0</v>
          </cell>
          <cell r="L1538">
            <v>811</v>
          </cell>
          <cell r="M1538">
            <v>0</v>
          </cell>
          <cell r="P1538">
            <v>2176</v>
          </cell>
          <cell r="V1538" t="str">
            <v>Available</v>
          </cell>
        </row>
        <row r="1539">
          <cell r="A1539" t="str">
            <v>100600770060</v>
          </cell>
          <cell r="B1539" t="str">
            <v>Sonvarsha</v>
          </cell>
          <cell r="C1539" t="str">
            <v>Sonvarsha</v>
          </cell>
          <cell r="D1539" t="str">
            <v>TILATHI</v>
          </cell>
          <cell r="E1539">
            <v>10060077</v>
          </cell>
          <cell r="F1539" t="str">
            <v>0060</v>
          </cell>
          <cell r="G1539">
            <v>14</v>
          </cell>
          <cell r="H1539">
            <v>25.5</v>
          </cell>
          <cell r="I1539">
            <v>1016.8291059300002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P1539">
            <v>1017</v>
          </cell>
          <cell r="V1539" t="str">
            <v>Available</v>
          </cell>
        </row>
        <row r="1540">
          <cell r="A1540" t="str">
            <v>100600770064</v>
          </cell>
          <cell r="B1540" t="str">
            <v>Sonvarsha</v>
          </cell>
          <cell r="C1540" t="str">
            <v>Sonvarsha</v>
          </cell>
          <cell r="D1540" t="str">
            <v>TILATHI</v>
          </cell>
          <cell r="E1540">
            <v>10060077</v>
          </cell>
          <cell r="F1540" t="str">
            <v>0064</v>
          </cell>
          <cell r="G1540">
            <v>14</v>
          </cell>
          <cell r="H1540">
            <v>60.70000000000001</v>
          </cell>
          <cell r="I1540">
            <v>2318.5180751039998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P1540">
            <v>2319</v>
          </cell>
          <cell r="V1540" t="str">
            <v>Available</v>
          </cell>
        </row>
        <row r="1541">
          <cell r="A1541" t="str">
            <v>100600770066</v>
          </cell>
          <cell r="B1541" t="str">
            <v>Sonvarsha</v>
          </cell>
          <cell r="C1541" t="str">
            <v>Sonvarsha</v>
          </cell>
          <cell r="D1541" t="str">
            <v>TILATHI</v>
          </cell>
          <cell r="E1541">
            <v>10060077</v>
          </cell>
          <cell r="F1541" t="str">
            <v>0066</v>
          </cell>
          <cell r="G1541">
            <v>11</v>
          </cell>
          <cell r="H1541">
            <v>21.2</v>
          </cell>
          <cell r="I1541">
            <v>783.57438720000005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P1541">
            <v>784</v>
          </cell>
          <cell r="V1541" t="str">
            <v>Available</v>
          </cell>
        </row>
        <row r="1542">
          <cell r="A1542" t="str">
            <v>100600770068</v>
          </cell>
          <cell r="B1542" t="str">
            <v>Sonvarsha</v>
          </cell>
          <cell r="C1542" t="str">
            <v>Sonvarsha</v>
          </cell>
          <cell r="D1542" t="str">
            <v>TILATHI</v>
          </cell>
          <cell r="E1542">
            <v>10060077</v>
          </cell>
          <cell r="F1542" t="str">
            <v>0068</v>
          </cell>
          <cell r="G1542">
            <v>14</v>
          </cell>
          <cell r="H1542">
            <v>111.2</v>
          </cell>
          <cell r="I1542">
            <v>4017.8676621600002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P1542">
            <v>4018</v>
          </cell>
          <cell r="V1542" t="str">
            <v>Available</v>
          </cell>
        </row>
        <row r="1543">
          <cell r="A1543" t="str">
            <v>100600770069</v>
          </cell>
          <cell r="B1543" t="str">
            <v>Sonvarsha</v>
          </cell>
          <cell r="C1543" t="str">
            <v>Sonvarsha</v>
          </cell>
          <cell r="D1543" t="str">
            <v>TILATHI</v>
          </cell>
          <cell r="E1543">
            <v>10060077</v>
          </cell>
          <cell r="F1543" t="str">
            <v>0069</v>
          </cell>
          <cell r="G1543">
            <v>4</v>
          </cell>
          <cell r="H1543">
            <v>5.8000000000000007</v>
          </cell>
          <cell r="I1543">
            <v>215.16614064000004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P1543">
            <v>215</v>
          </cell>
          <cell r="V1543" t="str">
            <v>Available</v>
          </cell>
        </row>
        <row r="1544">
          <cell r="A1544" t="str">
            <v>100600770070</v>
          </cell>
          <cell r="B1544" t="str">
            <v>Sonvarsha</v>
          </cell>
          <cell r="C1544" t="str">
            <v>Sonvarsha</v>
          </cell>
          <cell r="D1544" t="str">
            <v>TILATHI</v>
          </cell>
          <cell r="E1544">
            <v>10060077</v>
          </cell>
          <cell r="F1544" t="str">
            <v>0070</v>
          </cell>
          <cell r="G1544">
            <v>13</v>
          </cell>
          <cell r="H1544">
            <v>28.100000000000005</v>
          </cell>
          <cell r="I1544">
            <v>1131.8659117920001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P1544">
            <v>1132</v>
          </cell>
          <cell r="V1544" t="str">
            <v>Available</v>
          </cell>
        </row>
        <row r="1545">
          <cell r="A1545" t="str">
            <v>100600770075</v>
          </cell>
          <cell r="B1545" t="str">
            <v>Sonvarsha</v>
          </cell>
          <cell r="C1545" t="str">
            <v>Sonvarsha</v>
          </cell>
          <cell r="D1545" t="str">
            <v>TILATHI</v>
          </cell>
          <cell r="E1545">
            <v>10060077</v>
          </cell>
          <cell r="F1545" t="str">
            <v>0075</v>
          </cell>
          <cell r="G1545">
            <v>6</v>
          </cell>
          <cell r="H1545">
            <v>14.7</v>
          </cell>
          <cell r="I1545">
            <v>586.56758014800005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P1545">
            <v>587</v>
          </cell>
          <cell r="V1545" t="str">
            <v>Available</v>
          </cell>
        </row>
        <row r="1546">
          <cell r="A1546" t="str">
            <v>100600770076</v>
          </cell>
          <cell r="B1546" t="str">
            <v>Sonvarsha</v>
          </cell>
          <cell r="C1546" t="str">
            <v>Sonvarsha</v>
          </cell>
          <cell r="D1546" t="str">
            <v>TILATHI</v>
          </cell>
          <cell r="E1546">
            <v>10060077</v>
          </cell>
          <cell r="F1546" t="str">
            <v>0076</v>
          </cell>
          <cell r="G1546">
            <v>14</v>
          </cell>
          <cell r="H1546">
            <v>30.3</v>
          </cell>
          <cell r="I1546">
            <v>1117.1084522399999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P1546">
            <v>1117</v>
          </cell>
          <cell r="V1546" t="str">
            <v>Available</v>
          </cell>
        </row>
        <row r="1547">
          <cell r="A1547" t="str">
            <v>100600770078</v>
          </cell>
          <cell r="B1547" t="str">
            <v>Sonvarsha</v>
          </cell>
          <cell r="C1547" t="str">
            <v>Sonvarsha</v>
          </cell>
          <cell r="D1547" t="str">
            <v>TILATHI</v>
          </cell>
          <cell r="E1547">
            <v>10060077</v>
          </cell>
          <cell r="F1547" t="str">
            <v>0078</v>
          </cell>
          <cell r="G1547">
            <v>12</v>
          </cell>
          <cell r="H1547">
            <v>24.099999999999998</v>
          </cell>
          <cell r="I1547">
            <v>981.77550768000015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P1547">
            <v>982</v>
          </cell>
          <cell r="V1547" t="str">
            <v>Available</v>
          </cell>
        </row>
        <row r="1548">
          <cell r="A1548" t="str">
            <v>100600770079</v>
          </cell>
          <cell r="B1548" t="str">
            <v>Sonvarsha</v>
          </cell>
          <cell r="C1548" t="str">
            <v>Sonvarsha</v>
          </cell>
          <cell r="D1548" t="str">
            <v>TILATHI</v>
          </cell>
          <cell r="E1548">
            <v>10060077</v>
          </cell>
          <cell r="F1548" t="str">
            <v>0079</v>
          </cell>
          <cell r="G1548">
            <v>14</v>
          </cell>
          <cell r="H1548">
            <v>37.500000000000007</v>
          </cell>
          <cell r="I1548">
            <v>1403.87311548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P1548">
            <v>1404</v>
          </cell>
          <cell r="V1548" t="str">
            <v>Available</v>
          </cell>
        </row>
        <row r="1549">
          <cell r="A1549" t="str">
            <v>100600770080</v>
          </cell>
          <cell r="B1549" t="str">
            <v>Sonvarsha</v>
          </cell>
          <cell r="C1549" t="str">
            <v>Sonvarsha</v>
          </cell>
          <cell r="D1549" t="str">
            <v>TILATHI</v>
          </cell>
          <cell r="E1549">
            <v>10060077</v>
          </cell>
          <cell r="F1549" t="str">
            <v>0080</v>
          </cell>
          <cell r="G1549">
            <v>9</v>
          </cell>
          <cell r="H1549">
            <v>28.6</v>
          </cell>
          <cell r="I1549">
            <v>1109.7155876400002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P1549">
            <v>1110</v>
          </cell>
          <cell r="V1549" t="str">
            <v>Available</v>
          </cell>
        </row>
        <row r="1550">
          <cell r="A1550" t="str">
            <v>100600770081</v>
          </cell>
          <cell r="B1550" t="str">
            <v>Sonvarsha</v>
          </cell>
          <cell r="C1550" t="str">
            <v>Sonvarsha</v>
          </cell>
          <cell r="D1550" t="str">
            <v>TILATHI</v>
          </cell>
          <cell r="E1550">
            <v>10060077</v>
          </cell>
          <cell r="F1550" t="str">
            <v>0081</v>
          </cell>
          <cell r="G1550">
            <v>14</v>
          </cell>
          <cell r="H1550">
            <v>93.2</v>
          </cell>
          <cell r="I1550">
            <v>3556.2071080799997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P1550">
            <v>3556</v>
          </cell>
          <cell r="V1550" t="str">
            <v>Available</v>
          </cell>
        </row>
        <row r="1551">
          <cell r="A1551" t="str">
            <v>100600770082</v>
          </cell>
          <cell r="B1551" t="str">
            <v>Sonvarsha</v>
          </cell>
          <cell r="C1551" t="str">
            <v>Sonvarsha</v>
          </cell>
          <cell r="D1551" t="str">
            <v>TILATHI</v>
          </cell>
          <cell r="E1551">
            <v>10060077</v>
          </cell>
          <cell r="F1551" t="str">
            <v>0082</v>
          </cell>
          <cell r="G1551">
            <v>7</v>
          </cell>
          <cell r="H1551">
            <v>21.400000000000002</v>
          </cell>
          <cell r="I1551">
            <v>850.7108768400002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P1551">
            <v>851</v>
          </cell>
          <cell r="V1551" t="str">
            <v>Available</v>
          </cell>
        </row>
        <row r="1552">
          <cell r="A1552" t="str">
            <v>100600770084</v>
          </cell>
          <cell r="B1552" t="str">
            <v>Sonvarsha</v>
          </cell>
          <cell r="C1552" t="str">
            <v>Sonvarsha</v>
          </cell>
          <cell r="D1552" t="str">
            <v>TILATHI</v>
          </cell>
          <cell r="E1552">
            <v>10060077</v>
          </cell>
          <cell r="F1552" t="str">
            <v>0084</v>
          </cell>
          <cell r="G1552">
            <v>13</v>
          </cell>
          <cell r="H1552">
            <v>26</v>
          </cell>
          <cell r="I1552">
            <v>960.82911143999991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P1552">
            <v>961</v>
          </cell>
          <cell r="V1552" t="str">
            <v>Available</v>
          </cell>
        </row>
        <row r="1553">
          <cell r="A1553" t="str">
            <v>100600770085</v>
          </cell>
          <cell r="B1553" t="str">
            <v>Sonvarsha</v>
          </cell>
          <cell r="C1553" t="str">
            <v>Sonvarsha</v>
          </cell>
          <cell r="D1553" t="str">
            <v>TILATHI</v>
          </cell>
          <cell r="E1553">
            <v>10060077</v>
          </cell>
          <cell r="F1553" t="str">
            <v>0085</v>
          </cell>
          <cell r="G1553">
            <v>14</v>
          </cell>
          <cell r="H1553">
            <v>38.000000000000007</v>
          </cell>
          <cell r="I1553">
            <v>1397.3526032399998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P1553">
            <v>1397</v>
          </cell>
          <cell r="V1553" t="str">
            <v>Available</v>
          </cell>
        </row>
        <row r="1554">
          <cell r="A1554" t="str">
            <v>100600770086</v>
          </cell>
          <cell r="B1554" t="str">
            <v>Sonvarsha</v>
          </cell>
          <cell r="C1554" t="str">
            <v>Sonvarsha</v>
          </cell>
          <cell r="D1554" t="str">
            <v>TILATHI</v>
          </cell>
          <cell r="E1554">
            <v>10060077</v>
          </cell>
          <cell r="F1554" t="str">
            <v>0086</v>
          </cell>
          <cell r="G1554">
            <v>13</v>
          </cell>
          <cell r="H1554">
            <v>24.1</v>
          </cell>
          <cell r="I1554">
            <v>977.65689978000012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P1554">
            <v>978</v>
          </cell>
          <cell r="V1554" t="str">
            <v>Available</v>
          </cell>
        </row>
        <row r="1555">
          <cell r="A1555" t="str">
            <v>100600770087</v>
          </cell>
          <cell r="B1555" t="str">
            <v>Sonvarsha</v>
          </cell>
          <cell r="C1555" t="str">
            <v>Sonvarsha</v>
          </cell>
          <cell r="D1555" t="str">
            <v>TILATHI</v>
          </cell>
          <cell r="E1555">
            <v>10060077</v>
          </cell>
          <cell r="F1555" t="str">
            <v>0087</v>
          </cell>
          <cell r="G1555">
            <v>12</v>
          </cell>
          <cell r="H1555">
            <v>22</v>
          </cell>
          <cell r="I1555">
            <v>845.39154348000011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P1555">
            <v>845</v>
          </cell>
          <cell r="V1555" t="str">
            <v>Available</v>
          </cell>
        </row>
        <row r="1556">
          <cell r="A1556" t="str">
            <v>100600770088</v>
          </cell>
          <cell r="B1556" t="str">
            <v>Sonvarsha</v>
          </cell>
          <cell r="C1556" t="str">
            <v>Sonvarsha</v>
          </cell>
          <cell r="D1556" t="str">
            <v>TILATHI</v>
          </cell>
          <cell r="E1556">
            <v>10060077</v>
          </cell>
          <cell r="F1556" t="str">
            <v>0088</v>
          </cell>
          <cell r="G1556">
            <v>4</v>
          </cell>
          <cell r="H1556">
            <v>10.8</v>
          </cell>
          <cell r="I1556">
            <v>413.96861246400005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P1556">
            <v>414</v>
          </cell>
          <cell r="V1556" t="str">
            <v>Available</v>
          </cell>
        </row>
        <row r="1557">
          <cell r="A1557" t="str">
            <v>100600900002</v>
          </cell>
          <cell r="B1557" t="str">
            <v>Gopalpur Bmc</v>
          </cell>
          <cell r="C1557" t="str">
            <v>Gopalpur Bmc</v>
          </cell>
          <cell r="D1557" t="str">
            <v>SANGRAMPUR</v>
          </cell>
          <cell r="E1557">
            <v>10060090</v>
          </cell>
          <cell r="F1557" t="str">
            <v>0002</v>
          </cell>
          <cell r="G1557">
            <v>14</v>
          </cell>
          <cell r="H1557">
            <v>203.30000000000004</v>
          </cell>
          <cell r="I1557">
            <v>9271.8426314390017</v>
          </cell>
          <cell r="J1557">
            <v>0</v>
          </cell>
          <cell r="K1557">
            <v>0</v>
          </cell>
          <cell r="L1557">
            <v>4</v>
          </cell>
          <cell r="M1557">
            <v>0</v>
          </cell>
          <cell r="P1557">
            <v>9268</v>
          </cell>
          <cell r="V1557" t="str">
            <v>Available</v>
          </cell>
        </row>
        <row r="1558">
          <cell r="A1558" t="str">
            <v>100600900012</v>
          </cell>
          <cell r="B1558" t="str">
            <v>Gopalpur Bmc</v>
          </cell>
          <cell r="C1558" t="str">
            <v>Gopalpur Bmc</v>
          </cell>
          <cell r="D1558" t="str">
            <v>SANGRAMPUR</v>
          </cell>
          <cell r="E1558">
            <v>10060090</v>
          </cell>
          <cell r="F1558" t="str">
            <v>0012</v>
          </cell>
          <cell r="G1558">
            <v>7</v>
          </cell>
          <cell r="H1558">
            <v>199.2</v>
          </cell>
          <cell r="I1558">
            <v>7933.0527599309999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P1558">
            <v>7933</v>
          </cell>
          <cell r="V1558" t="str">
            <v>Available</v>
          </cell>
        </row>
        <row r="1559">
          <cell r="A1559" t="str">
            <v>100600900018</v>
          </cell>
          <cell r="B1559" t="str">
            <v>Gopalpur Bmc</v>
          </cell>
          <cell r="C1559" t="str">
            <v>Gopalpur Bmc</v>
          </cell>
          <cell r="D1559" t="str">
            <v>SANGRAMPUR</v>
          </cell>
          <cell r="E1559">
            <v>10060090</v>
          </cell>
          <cell r="F1559" t="str">
            <v>0018</v>
          </cell>
          <cell r="G1559">
            <v>13</v>
          </cell>
          <cell r="H1559">
            <v>235</v>
          </cell>
          <cell r="I1559">
            <v>11520.0772003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P1559">
            <v>11520</v>
          </cell>
          <cell r="V1559" t="str">
            <v>Available</v>
          </cell>
        </row>
        <row r="1560">
          <cell r="A1560" t="str">
            <v>100600980001</v>
          </cell>
          <cell r="B1560" t="str">
            <v>Sonvarsha</v>
          </cell>
          <cell r="C1560" t="str">
            <v>Sonvarsha</v>
          </cell>
          <cell r="D1560" t="str">
            <v>RAMDEV TOLA</v>
          </cell>
          <cell r="E1560">
            <v>10060098</v>
          </cell>
          <cell r="F1560" t="str">
            <v>0001</v>
          </cell>
          <cell r="G1560">
            <v>13</v>
          </cell>
          <cell r="H1560">
            <v>9.49</v>
          </cell>
          <cell r="I1560">
            <v>389.17832778000002</v>
          </cell>
          <cell r="J1560">
            <v>0</v>
          </cell>
          <cell r="K1560">
            <v>389.17832778000002</v>
          </cell>
          <cell r="L1560">
            <v>0</v>
          </cell>
          <cell r="M1560">
            <v>0</v>
          </cell>
          <cell r="P1560">
            <v>0</v>
          </cell>
          <cell r="V1560" t="str">
            <v>Not Available</v>
          </cell>
        </row>
        <row r="1561">
          <cell r="A1561" t="str">
            <v>100600980002</v>
          </cell>
          <cell r="B1561" t="str">
            <v>Sonvarsha</v>
          </cell>
          <cell r="C1561" t="str">
            <v>Sonvarsha</v>
          </cell>
          <cell r="D1561" t="str">
            <v>RAMDEV TOLA</v>
          </cell>
          <cell r="E1561">
            <v>10060098</v>
          </cell>
          <cell r="F1561" t="str">
            <v>0002</v>
          </cell>
          <cell r="G1561">
            <v>12</v>
          </cell>
          <cell r="H1561">
            <v>207.79999999999998</v>
          </cell>
          <cell r="I1561">
            <v>8005.8377087172003</v>
          </cell>
          <cell r="J1561">
            <v>0</v>
          </cell>
          <cell r="K1561">
            <v>0</v>
          </cell>
          <cell r="L1561">
            <v>1730</v>
          </cell>
          <cell r="M1561">
            <v>0</v>
          </cell>
          <cell r="P1561">
            <v>6276</v>
          </cell>
          <cell r="V1561" t="str">
            <v>Available</v>
          </cell>
        </row>
        <row r="1562">
          <cell r="A1562" t="str">
            <v>100600980003</v>
          </cell>
          <cell r="B1562" t="str">
            <v>Sonvarsha</v>
          </cell>
          <cell r="C1562" t="str">
            <v>Sonvarsha</v>
          </cell>
          <cell r="D1562" t="str">
            <v>RAMDEV TOLA</v>
          </cell>
          <cell r="E1562">
            <v>10060098</v>
          </cell>
          <cell r="F1562" t="str">
            <v>0003</v>
          </cell>
          <cell r="G1562">
            <v>12</v>
          </cell>
          <cell r="H1562">
            <v>49.139999999999993</v>
          </cell>
          <cell r="I1562">
            <v>2320.2008095591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P1562">
            <v>2320</v>
          </cell>
          <cell r="V1562" t="str">
            <v>Available</v>
          </cell>
        </row>
        <row r="1563">
          <cell r="A1563" t="str">
            <v>100600980004</v>
          </cell>
          <cell r="B1563" t="str">
            <v>Sonvarsha</v>
          </cell>
          <cell r="C1563" t="str">
            <v>Sonvarsha</v>
          </cell>
          <cell r="D1563" t="str">
            <v>RAMDEV TOLA</v>
          </cell>
          <cell r="E1563">
            <v>10060098</v>
          </cell>
          <cell r="F1563" t="str">
            <v>0004</v>
          </cell>
          <cell r="G1563">
            <v>12</v>
          </cell>
          <cell r="H1563">
            <v>615.68000000000006</v>
          </cell>
          <cell r="I1563">
            <v>29215.668196065704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P1563">
            <v>29216</v>
          </cell>
          <cell r="V1563" t="str">
            <v>Available</v>
          </cell>
        </row>
        <row r="1564">
          <cell r="A1564" t="str">
            <v>100600980005</v>
          </cell>
          <cell r="B1564" t="str">
            <v>Sonvarsha</v>
          </cell>
          <cell r="C1564" t="str">
            <v>Sonvarsha</v>
          </cell>
          <cell r="D1564" t="str">
            <v>RAMDEV TOLA</v>
          </cell>
          <cell r="E1564">
            <v>10060098</v>
          </cell>
          <cell r="F1564" t="str">
            <v>0005</v>
          </cell>
          <cell r="G1564">
            <v>14</v>
          </cell>
          <cell r="H1564">
            <v>81.36</v>
          </cell>
          <cell r="I1564">
            <v>3615.7754701113004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P1564">
            <v>3616</v>
          </cell>
          <cell r="V1564" t="str">
            <v>Available</v>
          </cell>
        </row>
        <row r="1565">
          <cell r="A1565" t="str">
            <v>100600980007</v>
          </cell>
          <cell r="B1565" t="str">
            <v>Sonvarsha</v>
          </cell>
          <cell r="C1565" t="str">
            <v>Sonvarsha</v>
          </cell>
          <cell r="D1565" t="str">
            <v>RAMDEV TOLA</v>
          </cell>
          <cell r="E1565">
            <v>10060098</v>
          </cell>
          <cell r="F1565" t="str">
            <v>0007</v>
          </cell>
          <cell r="G1565">
            <v>14</v>
          </cell>
          <cell r="H1565">
            <v>91.360000000000014</v>
          </cell>
          <cell r="I1565">
            <v>3142.7681729399997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P1565">
            <v>3143</v>
          </cell>
          <cell r="V1565" t="str">
            <v>Available</v>
          </cell>
        </row>
        <row r="1566">
          <cell r="A1566" t="str">
            <v>100600980009</v>
          </cell>
          <cell r="B1566" t="str">
            <v>Sonvarsha</v>
          </cell>
          <cell r="C1566" t="str">
            <v>Sonvarsha</v>
          </cell>
          <cell r="D1566" t="str">
            <v>RAMDEV TOLA</v>
          </cell>
          <cell r="E1566">
            <v>10060098</v>
          </cell>
          <cell r="F1566" t="str">
            <v>0009</v>
          </cell>
          <cell r="G1566">
            <v>12</v>
          </cell>
          <cell r="H1566">
            <v>61.120000000000005</v>
          </cell>
          <cell r="I1566">
            <v>3188.1281494253999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P1566">
            <v>3188</v>
          </cell>
          <cell r="V1566" t="str">
            <v>Available</v>
          </cell>
        </row>
        <row r="1567">
          <cell r="A1567" t="str">
            <v>100600980010</v>
          </cell>
          <cell r="B1567" t="str">
            <v>Sonvarsha</v>
          </cell>
          <cell r="C1567" t="str">
            <v>Sonvarsha</v>
          </cell>
          <cell r="D1567" t="str">
            <v>RAMDEV TOLA</v>
          </cell>
          <cell r="E1567">
            <v>10060098</v>
          </cell>
          <cell r="F1567" t="str">
            <v>0010</v>
          </cell>
          <cell r="G1567">
            <v>3</v>
          </cell>
          <cell r="H1567">
            <v>4.0299999999999994</v>
          </cell>
          <cell r="I1567">
            <v>151.88504166000001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P1567">
            <v>152</v>
          </cell>
          <cell r="V1567" t="str">
            <v>Available</v>
          </cell>
        </row>
        <row r="1568">
          <cell r="A1568" t="str">
            <v>100600980015</v>
          </cell>
          <cell r="B1568" t="str">
            <v>Sonvarsha</v>
          </cell>
          <cell r="C1568" t="str">
            <v>Sonvarsha</v>
          </cell>
          <cell r="D1568" t="str">
            <v>RAMDEV TOLA</v>
          </cell>
          <cell r="E1568">
            <v>10060098</v>
          </cell>
          <cell r="F1568" t="str">
            <v>0015</v>
          </cell>
          <cell r="G1568">
            <v>1</v>
          </cell>
          <cell r="H1568">
            <v>2.34</v>
          </cell>
          <cell r="I1568">
            <v>84.017985480000007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P1568">
            <v>84</v>
          </cell>
          <cell r="V1568" t="str">
            <v>Available</v>
          </cell>
        </row>
        <row r="1569">
          <cell r="A1569" t="str">
            <v>100600980016</v>
          </cell>
          <cell r="B1569" t="str">
            <v>Sonvarsha</v>
          </cell>
          <cell r="C1569" t="str">
            <v>Sonvarsha</v>
          </cell>
          <cell r="D1569" t="str">
            <v>RAMDEV TOLA</v>
          </cell>
          <cell r="E1569">
            <v>10060098</v>
          </cell>
          <cell r="F1569" t="str">
            <v>0016</v>
          </cell>
          <cell r="G1569">
            <v>13</v>
          </cell>
          <cell r="H1569">
            <v>29.05</v>
          </cell>
          <cell r="I1569">
            <v>1290.3382309249803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P1569">
            <v>1290</v>
          </cell>
          <cell r="V1569" t="str">
            <v>Available</v>
          </cell>
        </row>
        <row r="1570">
          <cell r="A1570" t="str">
            <v>100600980019</v>
          </cell>
          <cell r="B1570" t="str">
            <v>Sonvarsha</v>
          </cell>
          <cell r="C1570" t="str">
            <v>Sonvarsha</v>
          </cell>
          <cell r="D1570" t="str">
            <v>RAMDEV TOLA</v>
          </cell>
          <cell r="E1570">
            <v>10060098</v>
          </cell>
          <cell r="F1570" t="str">
            <v>0019</v>
          </cell>
          <cell r="G1570">
            <v>13</v>
          </cell>
          <cell r="H1570">
            <v>34.840000000000003</v>
          </cell>
          <cell r="I1570">
            <v>2069.4002405870001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P1570">
            <v>2069</v>
          </cell>
          <cell r="V1570" t="str">
            <v>Available</v>
          </cell>
        </row>
        <row r="1571">
          <cell r="A1571" t="str">
            <v>100600980021</v>
          </cell>
          <cell r="B1571" t="str">
            <v>Sonvarsha</v>
          </cell>
          <cell r="C1571" t="str">
            <v>Sonvarsha</v>
          </cell>
          <cell r="D1571" t="str">
            <v>RAMDEV TOLA</v>
          </cell>
          <cell r="E1571">
            <v>10060098</v>
          </cell>
          <cell r="F1571" t="str">
            <v>0021</v>
          </cell>
          <cell r="G1571">
            <v>7</v>
          </cell>
          <cell r="H1571">
            <v>22.18</v>
          </cell>
          <cell r="I1571">
            <v>930.65920596000012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P1571">
            <v>931</v>
          </cell>
          <cell r="V1571" t="str">
            <v>Available</v>
          </cell>
        </row>
        <row r="1572">
          <cell r="A1572" t="str">
            <v>100600980023</v>
          </cell>
          <cell r="B1572" t="str">
            <v>Sonvarsha</v>
          </cell>
          <cell r="C1572" t="str">
            <v>Sonvarsha</v>
          </cell>
          <cell r="D1572" t="str">
            <v>RAMDEV TOLA</v>
          </cell>
          <cell r="E1572">
            <v>10060098</v>
          </cell>
          <cell r="F1572" t="str">
            <v>0023</v>
          </cell>
          <cell r="G1572">
            <v>11</v>
          </cell>
          <cell r="H1572">
            <v>19.23</v>
          </cell>
          <cell r="I1572">
            <v>860.30433482399997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P1572">
            <v>860</v>
          </cell>
          <cell r="V1572" t="str">
            <v>Available</v>
          </cell>
        </row>
        <row r="1573">
          <cell r="A1573" t="str">
            <v>100600980025</v>
          </cell>
          <cell r="B1573" t="str">
            <v>Sonvarsha</v>
          </cell>
          <cell r="C1573" t="str">
            <v>Sonvarsha</v>
          </cell>
          <cell r="D1573" t="str">
            <v>RAMDEV TOLA</v>
          </cell>
          <cell r="E1573">
            <v>10060098</v>
          </cell>
          <cell r="F1573" t="str">
            <v>0025</v>
          </cell>
          <cell r="G1573">
            <v>7</v>
          </cell>
          <cell r="H1573">
            <v>13.68</v>
          </cell>
          <cell r="I1573">
            <v>598.03889547599999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P1573">
            <v>598</v>
          </cell>
          <cell r="V1573" t="str">
            <v>Available</v>
          </cell>
        </row>
        <row r="1574">
          <cell r="A1574" t="str">
            <v>100600980030</v>
          </cell>
          <cell r="B1574" t="str">
            <v>Sonvarsha</v>
          </cell>
          <cell r="C1574" t="str">
            <v>Sonvarsha</v>
          </cell>
          <cell r="D1574" t="str">
            <v>RAMDEV TOLA</v>
          </cell>
          <cell r="E1574">
            <v>10060098</v>
          </cell>
          <cell r="F1574" t="str">
            <v>0030</v>
          </cell>
          <cell r="G1574">
            <v>12</v>
          </cell>
          <cell r="H1574">
            <v>194.25999999999996</v>
          </cell>
          <cell r="I1574">
            <v>7487.6816797200008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P1574">
            <v>7488</v>
          </cell>
          <cell r="V1574" t="str">
            <v>Not Available</v>
          </cell>
        </row>
        <row r="1575">
          <cell r="A1575" t="str">
            <v>100600980031</v>
          </cell>
          <cell r="B1575" t="str">
            <v>Sonvarsha</v>
          </cell>
          <cell r="C1575" t="str">
            <v>Sonvarsha</v>
          </cell>
          <cell r="D1575" t="str">
            <v>RAMDEV TOLA</v>
          </cell>
          <cell r="E1575">
            <v>10060098</v>
          </cell>
          <cell r="F1575" t="str">
            <v>0031</v>
          </cell>
          <cell r="G1575">
            <v>11</v>
          </cell>
          <cell r="H1575">
            <v>186.12000000000006</v>
          </cell>
          <cell r="I1575">
            <v>7172.0262266400014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P1575">
            <v>7172</v>
          </cell>
          <cell r="V1575" t="str">
            <v>Not Available</v>
          </cell>
        </row>
        <row r="1576">
          <cell r="A1576" t="str">
            <v>100600980032</v>
          </cell>
          <cell r="B1576" t="str">
            <v>Sonvarsha</v>
          </cell>
          <cell r="C1576" t="str">
            <v>Sonvarsha</v>
          </cell>
          <cell r="D1576" t="str">
            <v>RAMDEV TOLA</v>
          </cell>
          <cell r="E1576">
            <v>10060098</v>
          </cell>
          <cell r="F1576" t="str">
            <v>0032</v>
          </cell>
          <cell r="G1576">
            <v>12</v>
          </cell>
          <cell r="H1576">
            <v>189.26000000000005</v>
          </cell>
          <cell r="I1576">
            <v>7281.1923065640003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P1576">
            <v>7281</v>
          </cell>
          <cell r="V1576" t="str">
            <v>Not Available</v>
          </cell>
        </row>
        <row r="1577">
          <cell r="A1577" t="str">
            <v>100601060001</v>
          </cell>
          <cell r="B1577" t="str">
            <v>Sonvarsha</v>
          </cell>
          <cell r="C1577" t="str">
            <v>Sonvarsha</v>
          </cell>
          <cell r="D1577" t="str">
            <v>PIPARPATI</v>
          </cell>
          <cell r="E1577">
            <v>10060106</v>
          </cell>
          <cell r="F1577" t="str">
            <v>0001</v>
          </cell>
          <cell r="G1577">
            <v>14</v>
          </cell>
          <cell r="H1577">
            <v>7.2799999999999985</v>
          </cell>
          <cell r="I1577">
            <v>312.38485380231003</v>
          </cell>
          <cell r="J1577">
            <v>0</v>
          </cell>
          <cell r="K1577">
            <v>312.38485380231003</v>
          </cell>
          <cell r="L1577">
            <v>0</v>
          </cell>
          <cell r="M1577">
            <v>0</v>
          </cell>
          <cell r="P1577">
            <v>0</v>
          </cell>
          <cell r="V1577" t="str">
            <v>Not Available</v>
          </cell>
        </row>
        <row r="1578">
          <cell r="A1578" t="str">
            <v>100601060002</v>
          </cell>
          <cell r="B1578" t="str">
            <v>Sonvarsha</v>
          </cell>
          <cell r="C1578" t="str">
            <v>Sonvarsha</v>
          </cell>
          <cell r="D1578" t="str">
            <v>PIPARPATI</v>
          </cell>
          <cell r="E1578">
            <v>10060106</v>
          </cell>
          <cell r="F1578" t="str">
            <v>0002</v>
          </cell>
          <cell r="G1578">
            <v>14</v>
          </cell>
          <cell r="H1578">
            <v>272.63</v>
          </cell>
          <cell r="I1578">
            <v>16211.01112135618</v>
          </cell>
          <cell r="J1578">
            <v>0</v>
          </cell>
          <cell r="K1578">
            <v>0</v>
          </cell>
          <cell r="L1578">
            <v>2709</v>
          </cell>
          <cell r="M1578">
            <v>0</v>
          </cell>
          <cell r="P1578">
            <v>13502</v>
          </cell>
          <cell r="V1578" t="str">
            <v>Available</v>
          </cell>
        </row>
        <row r="1579">
          <cell r="A1579" t="str">
            <v>100601060003</v>
          </cell>
          <cell r="B1579" t="str">
            <v>Sonvarsha</v>
          </cell>
          <cell r="C1579" t="str">
            <v>Sonvarsha</v>
          </cell>
          <cell r="D1579" t="str">
            <v>PIPARPATI</v>
          </cell>
          <cell r="E1579">
            <v>10060106</v>
          </cell>
          <cell r="F1579" t="str">
            <v>0003</v>
          </cell>
          <cell r="G1579">
            <v>14</v>
          </cell>
          <cell r="H1579">
            <v>21.779999999999998</v>
          </cell>
          <cell r="I1579">
            <v>943.00719830459991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P1579">
            <v>943</v>
          </cell>
          <cell r="V1579" t="str">
            <v>Available</v>
          </cell>
        </row>
        <row r="1580">
          <cell r="A1580" t="str">
            <v>100601060007</v>
          </cell>
          <cell r="B1580" t="str">
            <v>Sonvarsha</v>
          </cell>
          <cell r="C1580" t="str">
            <v>Sonvarsha</v>
          </cell>
          <cell r="D1580" t="str">
            <v>PIPARPATI</v>
          </cell>
          <cell r="E1580">
            <v>10060106</v>
          </cell>
          <cell r="F1580" t="str">
            <v>0007</v>
          </cell>
          <cell r="G1580">
            <v>14</v>
          </cell>
          <cell r="H1580">
            <v>48.94</v>
          </cell>
          <cell r="I1580">
            <v>3201.7143209308006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P1580">
            <v>3202</v>
          </cell>
          <cell r="V1580" t="str">
            <v>Available</v>
          </cell>
        </row>
        <row r="1581">
          <cell r="A1581" t="str">
            <v>100601060008</v>
          </cell>
          <cell r="B1581" t="str">
            <v>Sonvarsha</v>
          </cell>
          <cell r="C1581" t="str">
            <v>Sonvarsha</v>
          </cell>
          <cell r="D1581" t="str">
            <v>PIPARPATI</v>
          </cell>
          <cell r="E1581">
            <v>10060106</v>
          </cell>
          <cell r="F1581" t="str">
            <v>0008</v>
          </cell>
          <cell r="G1581">
            <v>13</v>
          </cell>
          <cell r="H1581">
            <v>71.38000000000001</v>
          </cell>
          <cell r="I1581">
            <v>2902.9570797438005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P1581">
            <v>2903</v>
          </cell>
          <cell r="V1581" t="str">
            <v>Available</v>
          </cell>
        </row>
        <row r="1582">
          <cell r="A1582" t="str">
            <v>100601060009</v>
          </cell>
          <cell r="B1582" t="str">
            <v>Sonvarsha</v>
          </cell>
          <cell r="C1582" t="str">
            <v>Sonvarsha</v>
          </cell>
          <cell r="D1582" t="str">
            <v>PIPARPATI</v>
          </cell>
          <cell r="E1582">
            <v>10060106</v>
          </cell>
          <cell r="F1582" t="str">
            <v>0009</v>
          </cell>
          <cell r="G1582">
            <v>14</v>
          </cell>
          <cell r="H1582">
            <v>40.58</v>
          </cell>
          <cell r="I1582">
            <v>1675.2654507600002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P1582">
            <v>1675</v>
          </cell>
          <cell r="V1582" t="str">
            <v>Available</v>
          </cell>
        </row>
        <row r="1583">
          <cell r="A1583" t="str">
            <v>100601060013</v>
          </cell>
          <cell r="B1583" t="str">
            <v>Sonvarsha</v>
          </cell>
          <cell r="C1583" t="str">
            <v>Sonvarsha</v>
          </cell>
          <cell r="D1583" t="str">
            <v>PIPARPATI</v>
          </cell>
          <cell r="E1583">
            <v>10060106</v>
          </cell>
          <cell r="F1583" t="str">
            <v>0013</v>
          </cell>
          <cell r="G1583">
            <v>14</v>
          </cell>
          <cell r="H1583">
            <v>29.059999999999995</v>
          </cell>
          <cell r="I1583">
            <v>1082.7767064510001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P1583">
            <v>1083</v>
          </cell>
          <cell r="V1583" t="str">
            <v>Available</v>
          </cell>
        </row>
        <row r="1584">
          <cell r="A1584" t="str">
            <v>100601060015</v>
          </cell>
          <cell r="B1584" t="str">
            <v>Sonvarsha</v>
          </cell>
          <cell r="C1584" t="str">
            <v>Sonvarsha</v>
          </cell>
          <cell r="D1584" t="str">
            <v>PIPARPATI</v>
          </cell>
          <cell r="E1584">
            <v>10060106</v>
          </cell>
          <cell r="F1584" t="str">
            <v>0015</v>
          </cell>
          <cell r="G1584">
            <v>14</v>
          </cell>
          <cell r="H1584">
            <v>36.53</v>
          </cell>
          <cell r="I1584">
            <v>1475.283454524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P1584">
            <v>1475</v>
          </cell>
          <cell r="V1584" t="str">
            <v>Available</v>
          </cell>
        </row>
        <row r="1585">
          <cell r="A1585" t="str">
            <v>100601060016</v>
          </cell>
          <cell r="B1585" t="str">
            <v>Sonvarsha</v>
          </cell>
          <cell r="C1585" t="str">
            <v>Sonvarsha</v>
          </cell>
          <cell r="D1585" t="str">
            <v>PIPARPATI</v>
          </cell>
          <cell r="E1585">
            <v>10060106</v>
          </cell>
          <cell r="F1585" t="str">
            <v>0016</v>
          </cell>
          <cell r="G1585">
            <v>12</v>
          </cell>
          <cell r="H1585">
            <v>27.500000000000004</v>
          </cell>
          <cell r="I1585">
            <v>1039.7348287919999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P1585">
            <v>1040</v>
          </cell>
          <cell r="V1585" t="str">
            <v>Available</v>
          </cell>
        </row>
        <row r="1586">
          <cell r="A1586" t="str">
            <v>100601110008</v>
          </cell>
          <cell r="B1586" t="str">
            <v>Sonvarsha</v>
          </cell>
          <cell r="C1586" t="str">
            <v>Sonvarsha</v>
          </cell>
          <cell r="D1586" t="str">
            <v>KHAJURIYA</v>
          </cell>
          <cell r="E1586">
            <v>10060111</v>
          </cell>
          <cell r="F1586" t="str">
            <v>0008</v>
          </cell>
          <cell r="G1586">
            <v>11</v>
          </cell>
          <cell r="H1586">
            <v>33.22</v>
          </cell>
          <cell r="I1586">
            <v>1206.9261032004001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P1586">
            <v>1207</v>
          </cell>
          <cell r="V1586" t="str">
            <v>Available</v>
          </cell>
        </row>
        <row r="1587">
          <cell r="A1587" t="str">
            <v>100601110013</v>
          </cell>
          <cell r="B1587" t="str">
            <v>Sonvarsha</v>
          </cell>
          <cell r="C1587" t="str">
            <v>Sonvarsha</v>
          </cell>
          <cell r="D1587" t="str">
            <v>KHAJURIYA</v>
          </cell>
          <cell r="E1587">
            <v>10060111</v>
          </cell>
          <cell r="F1587" t="str">
            <v>0013</v>
          </cell>
          <cell r="G1587">
            <v>14</v>
          </cell>
          <cell r="H1587">
            <v>645.67000000000007</v>
          </cell>
          <cell r="I1587">
            <v>38049.006467489104</v>
          </cell>
          <cell r="J1587">
            <v>0</v>
          </cell>
          <cell r="K1587">
            <v>0</v>
          </cell>
          <cell r="L1587">
            <v>15154</v>
          </cell>
          <cell r="M1587">
            <v>13000</v>
          </cell>
          <cell r="P1587">
            <v>9895</v>
          </cell>
          <cell r="V1587" t="str">
            <v>Available</v>
          </cell>
        </row>
        <row r="1588">
          <cell r="A1588" t="str">
            <v>100601110035</v>
          </cell>
          <cell r="B1588" t="str">
            <v>Sonvarsha</v>
          </cell>
          <cell r="C1588" t="str">
            <v>Sonvarsha</v>
          </cell>
          <cell r="D1588" t="str">
            <v>KHAJURIYA</v>
          </cell>
          <cell r="E1588">
            <v>10060111</v>
          </cell>
          <cell r="F1588" t="str">
            <v>0035</v>
          </cell>
          <cell r="G1588">
            <v>6</v>
          </cell>
          <cell r="H1588">
            <v>8.08</v>
          </cell>
          <cell r="I1588">
            <v>328.04861924366401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P1588">
            <v>328</v>
          </cell>
          <cell r="V1588" t="str">
            <v>Available</v>
          </cell>
        </row>
        <row r="1589">
          <cell r="A1589" t="str">
            <v>100601140002</v>
          </cell>
          <cell r="B1589" t="str">
            <v>Sonvarsha</v>
          </cell>
          <cell r="C1589" t="str">
            <v>Sonvarsha</v>
          </cell>
          <cell r="D1589" t="str">
            <v>MANO 2</v>
          </cell>
          <cell r="E1589">
            <v>10060114</v>
          </cell>
          <cell r="F1589" t="str">
            <v>0002</v>
          </cell>
          <cell r="G1589">
            <v>13</v>
          </cell>
          <cell r="H1589">
            <v>346.4</v>
          </cell>
          <cell r="I1589">
            <v>13626.083770200003</v>
          </cell>
          <cell r="J1589">
            <v>0</v>
          </cell>
          <cell r="K1589">
            <v>0</v>
          </cell>
          <cell r="L1589">
            <v>26</v>
          </cell>
          <cell r="M1589">
            <v>0</v>
          </cell>
          <cell r="P1589">
            <v>13600</v>
          </cell>
          <cell r="V1589" t="str">
            <v>Available</v>
          </cell>
        </row>
        <row r="1590">
          <cell r="A1590" t="str">
            <v>100601160001</v>
          </cell>
          <cell r="B1590" t="str">
            <v>Sonvarsha</v>
          </cell>
          <cell r="C1590" t="str">
            <v>Sonvarsha</v>
          </cell>
          <cell r="D1590" t="str">
            <v>LOSDHANI</v>
          </cell>
          <cell r="E1590">
            <v>10060116</v>
          </cell>
          <cell r="F1590" t="str">
            <v>0001</v>
          </cell>
          <cell r="G1590">
            <v>10</v>
          </cell>
          <cell r="H1590">
            <v>2.5</v>
          </cell>
          <cell r="I1590">
            <v>91.069458480000023</v>
          </cell>
          <cell r="J1590">
            <v>0</v>
          </cell>
          <cell r="K1590">
            <v>91.069458480000023</v>
          </cell>
          <cell r="L1590">
            <v>0</v>
          </cell>
          <cell r="M1590">
            <v>0</v>
          </cell>
          <cell r="P1590">
            <v>0</v>
          </cell>
          <cell r="V1590" t="str">
            <v>Not Available</v>
          </cell>
        </row>
        <row r="1591">
          <cell r="A1591" t="str">
            <v>100601160002</v>
          </cell>
          <cell r="B1591" t="str">
            <v>Sonvarsha</v>
          </cell>
          <cell r="C1591" t="str">
            <v>Sonvarsha</v>
          </cell>
          <cell r="D1591" t="str">
            <v>LOSDHANI</v>
          </cell>
          <cell r="E1591">
            <v>10060116</v>
          </cell>
          <cell r="F1591" t="str">
            <v>0002</v>
          </cell>
          <cell r="G1591">
            <v>14</v>
          </cell>
          <cell r="H1591">
            <v>131.6</v>
          </cell>
          <cell r="I1591">
            <v>4840.7711295240006</v>
          </cell>
          <cell r="J1591">
            <v>0</v>
          </cell>
          <cell r="K1591">
            <v>0</v>
          </cell>
          <cell r="L1591">
            <v>140</v>
          </cell>
          <cell r="M1591">
            <v>0</v>
          </cell>
          <cell r="P1591">
            <v>4492</v>
          </cell>
          <cell r="V1591" t="str">
            <v>Available</v>
          </cell>
        </row>
        <row r="1592">
          <cell r="A1592" t="str">
            <v>100601180002</v>
          </cell>
          <cell r="B1592" t="str">
            <v>Sonvarsha</v>
          </cell>
          <cell r="C1592" t="str">
            <v>Sonvarsha</v>
          </cell>
          <cell r="D1592" t="str">
            <v>GOMUKH BAGALWA</v>
          </cell>
          <cell r="E1592">
            <v>10060118</v>
          </cell>
          <cell r="F1592" t="str">
            <v>0002</v>
          </cell>
          <cell r="G1592">
            <v>12</v>
          </cell>
          <cell r="H1592">
            <v>101.6</v>
          </cell>
          <cell r="I1592">
            <v>4104.0933638881506</v>
          </cell>
          <cell r="J1592">
            <v>0</v>
          </cell>
          <cell r="K1592">
            <v>0</v>
          </cell>
          <cell r="L1592">
            <v>4104</v>
          </cell>
          <cell r="M1592">
            <v>0</v>
          </cell>
          <cell r="P1592">
            <v>0</v>
          </cell>
          <cell r="V1592" t="str">
            <v>Available</v>
          </cell>
        </row>
        <row r="1593">
          <cell r="A1593" t="str">
            <v>100601180003</v>
          </cell>
          <cell r="B1593" t="str">
            <v>Sonvarsha</v>
          </cell>
          <cell r="C1593" t="str">
            <v>Sonvarsha</v>
          </cell>
          <cell r="D1593" t="str">
            <v>GOMUKH BAGALWA</v>
          </cell>
          <cell r="E1593">
            <v>10060118</v>
          </cell>
          <cell r="F1593" t="str">
            <v>0003</v>
          </cell>
          <cell r="G1593">
            <v>10</v>
          </cell>
          <cell r="H1593">
            <v>99.95</v>
          </cell>
          <cell r="I1593">
            <v>4935.0873681969697</v>
          </cell>
          <cell r="J1593">
            <v>0</v>
          </cell>
          <cell r="K1593">
            <v>0</v>
          </cell>
          <cell r="L1593">
            <v>817</v>
          </cell>
          <cell r="M1593">
            <v>0</v>
          </cell>
          <cell r="P1593">
            <v>3006</v>
          </cell>
          <cell r="V1593" t="str">
            <v>Not Available</v>
          </cell>
        </row>
        <row r="1594">
          <cell r="A1594" t="str">
            <v>100601180004</v>
          </cell>
          <cell r="B1594" t="str">
            <v>Sonvarsha</v>
          </cell>
          <cell r="C1594" t="str">
            <v>Sonvarsha</v>
          </cell>
          <cell r="D1594" t="str">
            <v>GOMUKH BAGALWA</v>
          </cell>
          <cell r="E1594">
            <v>10060118</v>
          </cell>
          <cell r="F1594" t="str">
            <v>0004</v>
          </cell>
          <cell r="G1594">
            <v>10</v>
          </cell>
          <cell r="H1594">
            <v>106.81000000000002</v>
          </cell>
          <cell r="I1594">
            <v>4817.8785136812303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P1594">
            <v>4818</v>
          </cell>
          <cell r="V1594" t="str">
            <v>Not Available</v>
          </cell>
        </row>
        <row r="1595">
          <cell r="A1595" t="str">
            <v>100601180005</v>
          </cell>
          <cell r="B1595" t="str">
            <v>Sonvarsha</v>
          </cell>
          <cell r="C1595" t="str">
            <v>Sonvarsha</v>
          </cell>
          <cell r="D1595" t="str">
            <v>GOMUKH BAGALWA</v>
          </cell>
          <cell r="E1595">
            <v>10060118</v>
          </cell>
          <cell r="F1595" t="str">
            <v>0005</v>
          </cell>
          <cell r="G1595">
            <v>10</v>
          </cell>
          <cell r="H1595">
            <v>99.2</v>
          </cell>
          <cell r="I1595">
            <v>4675.2644278978496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P1595">
            <v>4675</v>
          </cell>
          <cell r="V1595" t="str">
            <v>Not Available</v>
          </cell>
        </row>
        <row r="1596">
          <cell r="A1596" t="str">
            <v>100601180006</v>
          </cell>
          <cell r="B1596" t="str">
            <v>Sonvarsha</v>
          </cell>
          <cell r="C1596" t="str">
            <v>Sonvarsha</v>
          </cell>
          <cell r="D1596" t="str">
            <v>GOMUKH BAGALWA</v>
          </cell>
          <cell r="E1596">
            <v>10060118</v>
          </cell>
          <cell r="F1596" t="str">
            <v>0006</v>
          </cell>
          <cell r="G1596">
            <v>8</v>
          </cell>
          <cell r="H1596">
            <v>68.970000000000013</v>
          </cell>
          <cell r="I1596">
            <v>2971.1189307294903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P1596">
            <v>2971</v>
          </cell>
          <cell r="V1596" t="str">
            <v>Not Available</v>
          </cell>
        </row>
        <row r="1597">
          <cell r="A1597" t="str">
            <v>100601180007</v>
          </cell>
          <cell r="B1597" t="str">
            <v>Sonvarsha</v>
          </cell>
          <cell r="C1597" t="str">
            <v>Sonvarsha</v>
          </cell>
          <cell r="D1597" t="str">
            <v>GOMUKH BAGALWA</v>
          </cell>
          <cell r="E1597">
            <v>10060118</v>
          </cell>
          <cell r="F1597" t="str">
            <v>0007</v>
          </cell>
          <cell r="G1597">
            <v>4</v>
          </cell>
          <cell r="H1597">
            <v>30.589999999999996</v>
          </cell>
          <cell r="I1597">
            <v>1433.333466791217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P1597">
            <v>1433</v>
          </cell>
          <cell r="V1597" t="str">
            <v>Not Available</v>
          </cell>
        </row>
        <row r="1598">
          <cell r="A1598" t="str">
            <v>100601240002</v>
          </cell>
          <cell r="B1598" t="str">
            <v>Gopalpur Bmc</v>
          </cell>
          <cell r="C1598" t="str">
            <v>Gopalpur Bmc</v>
          </cell>
          <cell r="D1598" t="str">
            <v>SINGHOL</v>
          </cell>
          <cell r="E1598">
            <v>10060124</v>
          </cell>
          <cell r="F1598" t="str">
            <v>0002</v>
          </cell>
          <cell r="G1598">
            <v>4</v>
          </cell>
          <cell r="H1598">
            <v>32.89</v>
          </cell>
          <cell r="I1598">
            <v>1187.7617533320001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P1598">
            <v>1060</v>
          </cell>
          <cell r="V1598" t="str">
            <v>Available</v>
          </cell>
        </row>
        <row r="1599">
          <cell r="A1599" t="str">
            <v>100601260002</v>
          </cell>
          <cell r="B1599" t="str">
            <v>Sonvarsha</v>
          </cell>
          <cell r="C1599" t="str">
            <v>Sonvarsha</v>
          </cell>
          <cell r="D1599" t="str">
            <v>KHUDDIBAN SHIVNAGAR</v>
          </cell>
          <cell r="E1599">
            <v>10060126</v>
          </cell>
          <cell r="F1599" t="str">
            <v>0002</v>
          </cell>
          <cell r="G1599">
            <v>7</v>
          </cell>
          <cell r="H1599">
            <v>160.9</v>
          </cell>
          <cell r="I1599">
            <v>5262.8737293000013</v>
          </cell>
          <cell r="J1599">
            <v>0</v>
          </cell>
          <cell r="K1599">
            <v>0</v>
          </cell>
          <cell r="L1599">
            <v>169</v>
          </cell>
          <cell r="M1599">
            <v>0</v>
          </cell>
          <cell r="P1599">
            <v>4184</v>
          </cell>
          <cell r="V1599" t="str">
            <v>Available</v>
          </cell>
        </row>
        <row r="1600">
          <cell r="A1600" t="str">
            <v>100601290001</v>
          </cell>
          <cell r="B1600" t="str">
            <v>Sonvarsha</v>
          </cell>
          <cell r="C1600" t="str">
            <v>Sonvarsha</v>
          </cell>
          <cell r="D1600" t="str">
            <v>BARIYARPUR</v>
          </cell>
          <cell r="E1600">
            <v>10060129</v>
          </cell>
          <cell r="F1600" t="str">
            <v>0001</v>
          </cell>
          <cell r="G1600">
            <v>12</v>
          </cell>
          <cell r="H1600">
            <v>3.4999999999999996</v>
          </cell>
          <cell r="I1600">
            <v>135.79228079999999</v>
          </cell>
          <cell r="J1600">
            <v>0</v>
          </cell>
          <cell r="K1600">
            <v>135.79228079999999</v>
          </cell>
          <cell r="L1600">
            <v>0</v>
          </cell>
          <cell r="M1600">
            <v>0</v>
          </cell>
          <cell r="P1600">
            <v>0</v>
          </cell>
          <cell r="V1600" t="str">
            <v>Not Available</v>
          </cell>
        </row>
        <row r="1601">
          <cell r="A1601" t="str">
            <v>100601290002</v>
          </cell>
          <cell r="B1601" t="str">
            <v>Sonvarsha</v>
          </cell>
          <cell r="C1601" t="str">
            <v>Sonvarsha</v>
          </cell>
          <cell r="D1601" t="str">
            <v>BARIYARPUR</v>
          </cell>
          <cell r="E1601">
            <v>10060129</v>
          </cell>
          <cell r="F1601" t="str">
            <v>0002</v>
          </cell>
          <cell r="G1601">
            <v>14</v>
          </cell>
          <cell r="H1601">
            <v>255.6</v>
          </cell>
          <cell r="I1601">
            <v>10016.048774159999</v>
          </cell>
          <cell r="J1601">
            <v>0</v>
          </cell>
          <cell r="K1601">
            <v>0</v>
          </cell>
          <cell r="L1601">
            <v>168</v>
          </cell>
          <cell r="M1601">
            <v>0</v>
          </cell>
          <cell r="P1601">
            <v>9848</v>
          </cell>
          <cell r="V1601" t="str">
            <v>Available</v>
          </cell>
        </row>
        <row r="1602">
          <cell r="A1602" t="str">
            <v>100601290025</v>
          </cell>
          <cell r="B1602" t="str">
            <v>Sonvarsha</v>
          </cell>
          <cell r="C1602" t="str">
            <v>Sonvarsha</v>
          </cell>
          <cell r="D1602" t="str">
            <v>BARIYARPUR</v>
          </cell>
          <cell r="E1602">
            <v>10060129</v>
          </cell>
          <cell r="F1602" t="str">
            <v>0025</v>
          </cell>
          <cell r="G1602">
            <v>2</v>
          </cell>
          <cell r="H1602">
            <v>45.2</v>
          </cell>
          <cell r="I1602">
            <v>1697.2530537600003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P1602">
            <v>1697</v>
          </cell>
          <cell r="V1602" t="str">
            <v>Not Available</v>
          </cell>
        </row>
        <row r="1603">
          <cell r="A1603" t="str">
            <v>100601300001</v>
          </cell>
          <cell r="B1603" t="str">
            <v>Sonvarsha</v>
          </cell>
          <cell r="C1603" t="str">
            <v>Sonvarsha</v>
          </cell>
          <cell r="D1603" t="str">
            <v>MASUDAN</v>
          </cell>
          <cell r="E1603">
            <v>10060130</v>
          </cell>
          <cell r="F1603" t="str">
            <v>0001</v>
          </cell>
          <cell r="G1603">
            <v>1</v>
          </cell>
          <cell r="H1603">
            <v>0.41</v>
          </cell>
          <cell r="I1603">
            <v>16.83178002</v>
          </cell>
          <cell r="J1603">
            <v>0</v>
          </cell>
          <cell r="K1603">
            <v>16.83178002</v>
          </cell>
          <cell r="L1603">
            <v>0</v>
          </cell>
          <cell r="M1603">
            <v>0</v>
          </cell>
          <cell r="P1603">
            <v>0</v>
          </cell>
          <cell r="V1603" t="str">
            <v>Not Available</v>
          </cell>
        </row>
        <row r="1604">
          <cell r="A1604" t="str">
            <v>100601300002</v>
          </cell>
          <cell r="B1604" t="str">
            <v>Sonvarsha</v>
          </cell>
          <cell r="C1604" t="str">
            <v>Sonvarsha</v>
          </cell>
          <cell r="D1604" t="str">
            <v>MASUDAN</v>
          </cell>
          <cell r="E1604">
            <v>10060130</v>
          </cell>
          <cell r="F1604" t="str">
            <v>0002</v>
          </cell>
          <cell r="G1604">
            <v>14</v>
          </cell>
          <cell r="H1604">
            <v>194.48999999999998</v>
          </cell>
          <cell r="I1604">
            <v>8016.3300372004878</v>
          </cell>
          <cell r="J1604">
            <v>0</v>
          </cell>
          <cell r="K1604">
            <v>0</v>
          </cell>
          <cell r="L1604">
            <v>601</v>
          </cell>
          <cell r="M1604">
            <v>0</v>
          </cell>
          <cell r="P1604">
            <v>7415</v>
          </cell>
          <cell r="V1604" t="str">
            <v>Available</v>
          </cell>
        </row>
        <row r="1605">
          <cell r="A1605" t="str">
            <v>100601300003</v>
          </cell>
          <cell r="B1605" t="str">
            <v>Sonvarsha</v>
          </cell>
          <cell r="C1605" t="str">
            <v>Sonvarsha</v>
          </cell>
          <cell r="D1605" t="str">
            <v>MASUDAN</v>
          </cell>
          <cell r="E1605">
            <v>10060130</v>
          </cell>
          <cell r="F1605" t="str">
            <v>0003</v>
          </cell>
          <cell r="G1605">
            <v>14</v>
          </cell>
          <cell r="H1605">
            <v>51.040000000000013</v>
          </cell>
          <cell r="I1605">
            <v>2133.0570151439997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P1605">
            <v>2133</v>
          </cell>
          <cell r="V1605" t="str">
            <v>Available</v>
          </cell>
        </row>
        <row r="1606">
          <cell r="A1606" t="str">
            <v>100601300006</v>
          </cell>
          <cell r="B1606" t="str">
            <v>Sonvarsha</v>
          </cell>
          <cell r="C1606" t="str">
            <v>Sonvarsha</v>
          </cell>
          <cell r="D1606" t="str">
            <v>MASUDAN</v>
          </cell>
          <cell r="E1606">
            <v>10060130</v>
          </cell>
          <cell r="F1606" t="str">
            <v>0006</v>
          </cell>
          <cell r="G1606">
            <v>12</v>
          </cell>
          <cell r="H1606">
            <v>55.129999999999995</v>
          </cell>
          <cell r="I1606">
            <v>1946.7169116120003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P1606">
            <v>1947</v>
          </cell>
          <cell r="V1606" t="str">
            <v>Available</v>
          </cell>
        </row>
        <row r="1607">
          <cell r="A1607" t="str">
            <v>100601300008</v>
          </cell>
          <cell r="B1607" t="str">
            <v>Sonvarsha</v>
          </cell>
          <cell r="C1607" t="str">
            <v>Sonvarsha</v>
          </cell>
          <cell r="D1607" t="str">
            <v>MASUDAN</v>
          </cell>
          <cell r="E1607">
            <v>10060130</v>
          </cell>
          <cell r="F1607" t="str">
            <v>0008</v>
          </cell>
          <cell r="G1607">
            <v>14</v>
          </cell>
          <cell r="H1607">
            <v>116.99000000000002</v>
          </cell>
          <cell r="I1607">
            <v>4308.4149269040008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P1607">
            <v>4308</v>
          </cell>
          <cell r="V1607" t="str">
            <v>Available</v>
          </cell>
        </row>
        <row r="1608">
          <cell r="A1608" t="str">
            <v>100601300009</v>
          </cell>
          <cell r="B1608" t="str">
            <v>Sonvarsha</v>
          </cell>
          <cell r="C1608" t="str">
            <v>Sonvarsha</v>
          </cell>
          <cell r="D1608" t="str">
            <v>MASUDAN</v>
          </cell>
          <cell r="E1608">
            <v>10060130</v>
          </cell>
          <cell r="F1608" t="str">
            <v>0009</v>
          </cell>
          <cell r="G1608">
            <v>12</v>
          </cell>
          <cell r="H1608">
            <v>41.47</v>
          </cell>
          <cell r="I1608">
            <v>1462.0435437366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P1608">
            <v>1462</v>
          </cell>
          <cell r="V1608" t="str">
            <v>Available</v>
          </cell>
        </row>
        <row r="1609">
          <cell r="A1609" t="str">
            <v>100601300026</v>
          </cell>
          <cell r="B1609" t="str">
            <v>Sonvarsha</v>
          </cell>
          <cell r="C1609" t="str">
            <v>Sonvarsha</v>
          </cell>
          <cell r="D1609" t="str">
            <v>MASUDAN</v>
          </cell>
          <cell r="E1609">
            <v>10060130</v>
          </cell>
          <cell r="F1609" t="str">
            <v>0026</v>
          </cell>
          <cell r="G1609">
            <v>6</v>
          </cell>
          <cell r="H1609">
            <v>16.27</v>
          </cell>
          <cell r="I1609">
            <v>565.26839186400002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P1609">
            <v>565</v>
          </cell>
          <cell r="V1609" t="str">
            <v>Not Available</v>
          </cell>
        </row>
        <row r="1610">
          <cell r="A1610" t="str">
            <v>100601300027</v>
          </cell>
          <cell r="B1610" t="str">
            <v>Sonvarsha</v>
          </cell>
          <cell r="C1610" t="str">
            <v>Sonvarsha</v>
          </cell>
          <cell r="D1610" t="str">
            <v>MASUDAN</v>
          </cell>
          <cell r="E1610">
            <v>10060130</v>
          </cell>
          <cell r="F1610" t="str">
            <v>0027</v>
          </cell>
          <cell r="G1610">
            <v>6</v>
          </cell>
          <cell r="H1610">
            <v>16.48</v>
          </cell>
          <cell r="I1610">
            <v>1012.6190366193999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P1610">
            <v>1013</v>
          </cell>
          <cell r="V1610" t="str">
            <v>Not Available</v>
          </cell>
        </row>
        <row r="1611">
          <cell r="A1611" t="str">
            <v>100601300028</v>
          </cell>
          <cell r="B1611" t="str">
            <v>Sonvarsha</v>
          </cell>
          <cell r="C1611" t="str">
            <v>Sonvarsha</v>
          </cell>
          <cell r="D1611" t="str">
            <v>MASUDAN</v>
          </cell>
          <cell r="E1611">
            <v>10060130</v>
          </cell>
          <cell r="F1611" t="str">
            <v>0028</v>
          </cell>
          <cell r="G1611">
            <v>6</v>
          </cell>
          <cell r="H1611">
            <v>22.55</v>
          </cell>
          <cell r="I1611">
            <v>1033.5990743558002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P1611">
            <v>1034</v>
          </cell>
          <cell r="V1611" t="str">
            <v>Not Available</v>
          </cell>
        </row>
        <row r="1612">
          <cell r="A1612" t="str">
            <v>100700130001</v>
          </cell>
          <cell r="B1612" t="str">
            <v>Araria</v>
          </cell>
          <cell r="C1612" t="str">
            <v>Araria</v>
          </cell>
          <cell r="D1612" t="str">
            <v xml:space="preserve">Gomukh Fatepur                                                                                      </v>
          </cell>
          <cell r="E1612">
            <v>10070013</v>
          </cell>
          <cell r="F1612" t="str">
            <v>0001</v>
          </cell>
          <cell r="G1612">
            <v>8</v>
          </cell>
          <cell r="H1612">
            <v>2.96</v>
          </cell>
          <cell r="I1612">
            <v>109.93277552400001</v>
          </cell>
          <cell r="J1612">
            <v>0</v>
          </cell>
          <cell r="K1612">
            <v>109.93277552400001</v>
          </cell>
          <cell r="L1612">
            <v>0</v>
          </cell>
          <cell r="M1612">
            <v>0</v>
          </cell>
          <cell r="P1612">
            <v>0</v>
          </cell>
          <cell r="V1612" t="str">
            <v>Not Available</v>
          </cell>
        </row>
        <row r="1613">
          <cell r="A1613" t="str">
            <v>100700130002</v>
          </cell>
          <cell r="B1613" t="str">
            <v>Araria</v>
          </cell>
          <cell r="C1613" t="str">
            <v>Araria</v>
          </cell>
          <cell r="D1613" t="str">
            <v xml:space="preserve">Gomukh Fatepur                                                                                      </v>
          </cell>
          <cell r="E1613">
            <v>10070013</v>
          </cell>
          <cell r="F1613" t="str">
            <v>0002</v>
          </cell>
          <cell r="G1613">
            <v>12</v>
          </cell>
          <cell r="H1613">
            <v>305.52999999999992</v>
          </cell>
          <cell r="I1613">
            <v>11389.500872244003</v>
          </cell>
          <cell r="J1613">
            <v>0</v>
          </cell>
          <cell r="K1613">
            <v>0</v>
          </cell>
          <cell r="L1613">
            <v>7696</v>
          </cell>
          <cell r="M1613">
            <v>0</v>
          </cell>
          <cell r="P1613">
            <v>3694</v>
          </cell>
          <cell r="V1613" t="str">
            <v>Available</v>
          </cell>
        </row>
        <row r="1614">
          <cell r="A1614" t="str">
            <v>100700130004</v>
          </cell>
          <cell r="B1614" t="str">
            <v>Araria</v>
          </cell>
          <cell r="C1614" t="str">
            <v>Araria</v>
          </cell>
          <cell r="D1614" t="str">
            <v xml:space="preserve">Gomukh Fatepur                                                                                      </v>
          </cell>
          <cell r="E1614">
            <v>10070013</v>
          </cell>
          <cell r="F1614" t="str">
            <v>0004</v>
          </cell>
          <cell r="G1614">
            <v>10</v>
          </cell>
          <cell r="H1614">
            <v>110.55</v>
          </cell>
          <cell r="I1614">
            <v>4103.8100781480007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P1614">
            <v>4104</v>
          </cell>
          <cell r="V1614" t="str">
            <v>Available</v>
          </cell>
        </row>
        <row r="1615">
          <cell r="A1615" t="str">
            <v>100700130007</v>
          </cell>
          <cell r="B1615" t="str">
            <v>Araria</v>
          </cell>
          <cell r="C1615" t="str">
            <v>Araria</v>
          </cell>
          <cell r="D1615" t="str">
            <v xml:space="preserve">Gomukh Fatepur                                                                                      </v>
          </cell>
          <cell r="E1615">
            <v>10070013</v>
          </cell>
          <cell r="F1615" t="str">
            <v>0007</v>
          </cell>
          <cell r="G1615">
            <v>8</v>
          </cell>
          <cell r="H1615">
            <v>20.660000000000004</v>
          </cell>
          <cell r="I1615">
            <v>760.90039938000018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P1615">
            <v>761</v>
          </cell>
          <cell r="V1615" t="str">
            <v>Available</v>
          </cell>
        </row>
        <row r="1616">
          <cell r="A1616" t="str">
            <v>100700130013</v>
          </cell>
          <cell r="B1616" t="str">
            <v>Araria</v>
          </cell>
          <cell r="C1616" t="str">
            <v>Araria</v>
          </cell>
          <cell r="D1616" t="str">
            <v xml:space="preserve">Gomukh Fatepur                                                                                      </v>
          </cell>
          <cell r="E1616">
            <v>10070013</v>
          </cell>
          <cell r="F1616" t="str">
            <v>0013</v>
          </cell>
          <cell r="G1616">
            <v>4</v>
          </cell>
          <cell r="H1616">
            <v>4.8899999999999997</v>
          </cell>
          <cell r="I1616">
            <v>176.83239657600001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P1616">
            <v>177</v>
          </cell>
          <cell r="V1616" t="str">
            <v>Not Available</v>
          </cell>
        </row>
        <row r="1617">
          <cell r="A1617" t="str">
            <v>100700130014</v>
          </cell>
          <cell r="B1617" t="str">
            <v>Araria</v>
          </cell>
          <cell r="C1617" t="str">
            <v>Araria</v>
          </cell>
          <cell r="D1617" t="str">
            <v xml:space="preserve">Gomukh Fatepur                                                                                      </v>
          </cell>
          <cell r="E1617">
            <v>10070013</v>
          </cell>
          <cell r="F1617" t="str">
            <v>0014</v>
          </cell>
          <cell r="G1617">
            <v>4</v>
          </cell>
          <cell r="H1617">
            <v>4.0699999999999994</v>
          </cell>
          <cell r="I1617">
            <v>149.39796128399999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P1617">
            <v>149</v>
          </cell>
          <cell r="V1617" t="str">
            <v>Not Available</v>
          </cell>
        </row>
        <row r="1618">
          <cell r="A1618" t="str">
            <v>100700130015</v>
          </cell>
          <cell r="B1618" t="str">
            <v>Araria</v>
          </cell>
          <cell r="C1618" t="str">
            <v>Araria</v>
          </cell>
          <cell r="D1618" t="str">
            <v xml:space="preserve">Gomukh Fatepur                                                                                      </v>
          </cell>
          <cell r="E1618">
            <v>10070013</v>
          </cell>
          <cell r="F1618" t="str">
            <v>0015</v>
          </cell>
          <cell r="G1618">
            <v>4</v>
          </cell>
          <cell r="H1618">
            <v>4.9899999999999993</v>
          </cell>
          <cell r="I1618">
            <v>182.39366494800001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P1618">
            <v>182</v>
          </cell>
          <cell r="V1618" t="str">
            <v>Not Available</v>
          </cell>
        </row>
        <row r="1619">
          <cell r="A1619" t="str">
            <v>100700130016</v>
          </cell>
          <cell r="B1619" t="str">
            <v>Araria</v>
          </cell>
          <cell r="C1619" t="str">
            <v>Araria</v>
          </cell>
          <cell r="D1619" t="str">
            <v xml:space="preserve">Gomukh Fatepur                                                                                      </v>
          </cell>
          <cell r="E1619">
            <v>10070013</v>
          </cell>
          <cell r="F1619" t="str">
            <v>0016</v>
          </cell>
          <cell r="G1619">
            <v>3</v>
          </cell>
          <cell r="H1619">
            <v>3.4499999999999993</v>
          </cell>
          <cell r="I1619">
            <v>126.89657837999999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P1619">
            <v>127</v>
          </cell>
          <cell r="V1619" t="str">
            <v>Not Available</v>
          </cell>
        </row>
        <row r="1620">
          <cell r="A1620" t="str">
            <v>100700130017</v>
          </cell>
          <cell r="B1620" t="str">
            <v>Araria</v>
          </cell>
          <cell r="C1620" t="str">
            <v>Araria</v>
          </cell>
          <cell r="D1620" t="str">
            <v xml:space="preserve">Gomukh Fatepur                                                                                      </v>
          </cell>
          <cell r="E1620">
            <v>10070013</v>
          </cell>
          <cell r="F1620" t="str">
            <v>0017</v>
          </cell>
          <cell r="G1620">
            <v>5</v>
          </cell>
          <cell r="H1620">
            <v>5.6099999999999994</v>
          </cell>
          <cell r="I1620">
            <v>213.38143081200002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P1620">
            <v>213</v>
          </cell>
          <cell r="V1620" t="str">
            <v>Not Available</v>
          </cell>
        </row>
        <row r="1621">
          <cell r="A1621" t="str">
            <v>100700160001</v>
          </cell>
          <cell r="B1621" t="str">
            <v>Araria</v>
          </cell>
          <cell r="C1621" t="str">
            <v>Araria</v>
          </cell>
          <cell r="D1621" t="str">
            <v>Gomukh Gauchhari</v>
          </cell>
          <cell r="E1621">
            <v>10070016</v>
          </cell>
          <cell r="F1621" t="str">
            <v>0001</v>
          </cell>
          <cell r="G1621">
            <v>14</v>
          </cell>
          <cell r="H1621">
            <v>1.4900000000000004</v>
          </cell>
          <cell r="I1621">
            <v>56.66132815200001</v>
          </cell>
          <cell r="J1621">
            <v>0</v>
          </cell>
          <cell r="K1621">
            <v>56.66132815200001</v>
          </cell>
          <cell r="L1621">
            <v>0</v>
          </cell>
          <cell r="M1621">
            <v>0</v>
          </cell>
          <cell r="P1621">
            <v>0</v>
          </cell>
          <cell r="V1621" t="str">
            <v>Not Available</v>
          </cell>
        </row>
        <row r="1622">
          <cell r="A1622" t="str">
            <v>100700160003</v>
          </cell>
          <cell r="B1622" t="str">
            <v>Araria</v>
          </cell>
          <cell r="C1622" t="str">
            <v>Araria</v>
          </cell>
          <cell r="D1622" t="str">
            <v>Gomukh Gauchhari</v>
          </cell>
          <cell r="E1622">
            <v>10070016</v>
          </cell>
          <cell r="F1622" t="str">
            <v>0003</v>
          </cell>
          <cell r="G1622">
            <v>13</v>
          </cell>
          <cell r="H1622">
            <v>115.99</v>
          </cell>
          <cell r="I1622">
            <v>4415.2844519520004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P1622">
            <v>4415</v>
          </cell>
          <cell r="V1622" t="str">
            <v>Available</v>
          </cell>
        </row>
        <row r="1623">
          <cell r="A1623" t="str">
            <v>100700160005</v>
          </cell>
          <cell r="B1623" t="str">
            <v>Araria</v>
          </cell>
          <cell r="C1623" t="str">
            <v>Araria</v>
          </cell>
          <cell r="D1623" t="str">
            <v>Gomukh Gauchhari</v>
          </cell>
          <cell r="E1623">
            <v>10070016</v>
          </cell>
          <cell r="F1623" t="str">
            <v>0005</v>
          </cell>
          <cell r="G1623">
            <v>9</v>
          </cell>
          <cell r="H1623">
            <v>88.490000000000009</v>
          </cell>
          <cell r="I1623">
            <v>3336.2824607640005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P1623">
            <v>3336</v>
          </cell>
          <cell r="V1623" t="str">
            <v>Available</v>
          </cell>
        </row>
        <row r="1624">
          <cell r="A1624" t="str">
            <v>100700160007</v>
          </cell>
          <cell r="B1624" t="str">
            <v>Araria</v>
          </cell>
          <cell r="C1624" t="str">
            <v>Araria</v>
          </cell>
          <cell r="D1624" t="str">
            <v>Gomukh Gauchhari</v>
          </cell>
          <cell r="E1624">
            <v>10070016</v>
          </cell>
          <cell r="F1624" t="str">
            <v>0007</v>
          </cell>
          <cell r="G1624">
            <v>7</v>
          </cell>
          <cell r="H1624">
            <v>68.75</v>
          </cell>
          <cell r="I1624">
            <v>2578.7866135680001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P1624">
            <v>2579</v>
          </cell>
          <cell r="V1624" t="str">
            <v>Available</v>
          </cell>
        </row>
        <row r="1625">
          <cell r="A1625" t="str">
            <v>100700330002</v>
          </cell>
          <cell r="B1625" t="str">
            <v>Parbatta</v>
          </cell>
          <cell r="C1625" t="str">
            <v>Parbatta</v>
          </cell>
          <cell r="D1625" t="str">
            <v>Gomukh Kabela                                                                                       </v>
          </cell>
          <cell r="E1625">
            <v>10070033</v>
          </cell>
          <cell r="F1625" t="str">
            <v>0002</v>
          </cell>
          <cell r="G1625">
            <v>14</v>
          </cell>
          <cell r="H1625">
            <v>255.90000000000003</v>
          </cell>
          <cell r="I1625">
            <v>8937.7691871600018</v>
          </cell>
          <cell r="J1625">
            <v>0</v>
          </cell>
          <cell r="K1625">
            <v>0</v>
          </cell>
          <cell r="L1625">
            <v>381</v>
          </cell>
          <cell r="M1625">
            <v>0</v>
          </cell>
          <cell r="P1625">
            <v>8557</v>
          </cell>
          <cell r="V1625" t="str">
            <v>Available</v>
          </cell>
        </row>
        <row r="1626">
          <cell r="A1626" t="str">
            <v>100700330003</v>
          </cell>
          <cell r="B1626" t="str">
            <v>Parbatta</v>
          </cell>
          <cell r="C1626" t="str">
            <v>Parbatta</v>
          </cell>
          <cell r="D1626" t="str">
            <v>Gomukh Kabela                                                                                       </v>
          </cell>
          <cell r="E1626">
            <v>10070033</v>
          </cell>
          <cell r="F1626" t="str">
            <v>0003</v>
          </cell>
          <cell r="G1626">
            <v>14</v>
          </cell>
          <cell r="H1626">
            <v>322.89999999999998</v>
          </cell>
          <cell r="I1626">
            <v>17245.705913590002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P1626">
            <v>17246</v>
          </cell>
          <cell r="V1626" t="str">
            <v>Available</v>
          </cell>
        </row>
        <row r="1627">
          <cell r="A1627" t="str">
            <v>100700420002</v>
          </cell>
          <cell r="B1627" t="str">
            <v>Araria</v>
          </cell>
          <cell r="C1627" t="str">
            <v>Araria</v>
          </cell>
          <cell r="D1627" t="str">
            <v>Gomukh Sapha</v>
          </cell>
          <cell r="E1627">
            <v>10070042</v>
          </cell>
          <cell r="F1627" t="str">
            <v>0002</v>
          </cell>
          <cell r="G1627">
            <v>1</v>
          </cell>
          <cell r="H1627">
            <v>159.9</v>
          </cell>
          <cell r="I1627">
            <v>6691.035007800001</v>
          </cell>
          <cell r="J1627">
            <v>0</v>
          </cell>
          <cell r="K1627">
            <v>0</v>
          </cell>
          <cell r="L1627">
            <v>11</v>
          </cell>
          <cell r="M1627">
            <v>0</v>
          </cell>
          <cell r="P1627">
            <v>6680</v>
          </cell>
          <cell r="V1627" t="str">
            <v>Available</v>
          </cell>
        </row>
        <row r="1628">
          <cell r="A1628" t="str">
            <v>100700450001</v>
          </cell>
          <cell r="B1628" t="str">
            <v>Araria</v>
          </cell>
          <cell r="C1628" t="str">
            <v>Araria</v>
          </cell>
          <cell r="D1628" t="str">
            <v>Gomukh Gauchhari</v>
          </cell>
          <cell r="E1628">
            <v>10070045</v>
          </cell>
          <cell r="F1628" t="str">
            <v>0001</v>
          </cell>
          <cell r="G1628">
            <v>1</v>
          </cell>
          <cell r="H1628">
            <v>0.44</v>
          </cell>
          <cell r="I1628">
            <v>16.959842064000004</v>
          </cell>
          <cell r="J1628">
            <v>0</v>
          </cell>
          <cell r="K1628">
            <v>16.959842064000004</v>
          </cell>
          <cell r="L1628">
            <v>0</v>
          </cell>
          <cell r="M1628">
            <v>0</v>
          </cell>
          <cell r="P1628">
            <v>0</v>
          </cell>
          <cell r="V1628" t="str">
            <v>Not Available</v>
          </cell>
        </row>
        <row r="1629">
          <cell r="A1629" t="str">
            <v>100700450002</v>
          </cell>
          <cell r="B1629" t="str">
            <v>Araria</v>
          </cell>
          <cell r="C1629" t="str">
            <v>Araria</v>
          </cell>
          <cell r="D1629" t="str">
            <v>Gomukh Gauchhari</v>
          </cell>
          <cell r="E1629">
            <v>10070045</v>
          </cell>
          <cell r="F1629" t="str">
            <v>0002</v>
          </cell>
          <cell r="G1629">
            <v>2</v>
          </cell>
          <cell r="H1629">
            <v>228.78</v>
          </cell>
          <cell r="I1629">
            <v>8518.5908113680016</v>
          </cell>
          <cell r="J1629">
            <v>0</v>
          </cell>
          <cell r="K1629">
            <v>0</v>
          </cell>
          <cell r="L1629">
            <v>223</v>
          </cell>
          <cell r="M1629">
            <v>0</v>
          </cell>
          <cell r="P1629">
            <v>6237</v>
          </cell>
          <cell r="V1629" t="str">
            <v>Available</v>
          </cell>
        </row>
        <row r="1630">
          <cell r="A1630" t="str">
            <v>100700450003</v>
          </cell>
          <cell r="B1630" t="str">
            <v>Araria</v>
          </cell>
          <cell r="C1630" t="str">
            <v>Araria</v>
          </cell>
          <cell r="D1630" t="str">
            <v>Gomukh Gauchhari</v>
          </cell>
          <cell r="E1630">
            <v>10070045</v>
          </cell>
          <cell r="F1630" t="str">
            <v>0003</v>
          </cell>
          <cell r="G1630">
            <v>1</v>
          </cell>
          <cell r="H1630">
            <v>39.58</v>
          </cell>
          <cell r="I1630">
            <v>1525.6148838480003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P1630">
            <v>1526</v>
          </cell>
          <cell r="V1630" t="str">
            <v>Available</v>
          </cell>
        </row>
        <row r="1631">
          <cell r="A1631" t="str">
            <v>100700460001</v>
          </cell>
          <cell r="B1631" t="str">
            <v>Chautham</v>
          </cell>
          <cell r="C1631" t="str">
            <v>Chautham</v>
          </cell>
          <cell r="D1631" t="str">
            <v>Telouch</v>
          </cell>
          <cell r="E1631">
            <v>10070046</v>
          </cell>
          <cell r="F1631" t="str">
            <v>0001</v>
          </cell>
          <cell r="G1631">
            <v>14</v>
          </cell>
          <cell r="H1631">
            <v>6.6999999999999993</v>
          </cell>
          <cell r="I1631">
            <v>236.55107520000001</v>
          </cell>
          <cell r="J1631">
            <v>0</v>
          </cell>
          <cell r="K1631">
            <v>236.55107520000001</v>
          </cell>
          <cell r="L1631">
            <v>0</v>
          </cell>
          <cell r="M1631">
            <v>0</v>
          </cell>
          <cell r="P1631">
            <v>0</v>
          </cell>
          <cell r="V1631" t="str">
            <v>Not Available</v>
          </cell>
        </row>
        <row r="1632">
          <cell r="A1632" t="str">
            <v>100700460002</v>
          </cell>
          <cell r="B1632" t="str">
            <v>Chautham</v>
          </cell>
          <cell r="C1632" t="str">
            <v>Chautham</v>
          </cell>
          <cell r="D1632" t="str">
            <v>Telouch</v>
          </cell>
          <cell r="E1632">
            <v>10070046</v>
          </cell>
          <cell r="F1632" t="str">
            <v>0002</v>
          </cell>
          <cell r="G1632">
            <v>14</v>
          </cell>
          <cell r="H1632">
            <v>277.7</v>
          </cell>
          <cell r="I1632">
            <v>10969.134762960002</v>
          </cell>
          <cell r="J1632">
            <v>0</v>
          </cell>
          <cell r="K1632">
            <v>0</v>
          </cell>
          <cell r="L1632">
            <v>7827</v>
          </cell>
          <cell r="M1632">
            <v>0</v>
          </cell>
          <cell r="P1632">
            <v>3142</v>
          </cell>
          <cell r="V1632" t="str">
            <v>Available</v>
          </cell>
        </row>
        <row r="1633">
          <cell r="A1633" t="str">
            <v>100700460003</v>
          </cell>
          <cell r="B1633" t="str">
            <v>Chautham</v>
          </cell>
          <cell r="C1633" t="str">
            <v>Chautham</v>
          </cell>
          <cell r="D1633" t="str">
            <v>Telouch</v>
          </cell>
          <cell r="E1633">
            <v>10070046</v>
          </cell>
          <cell r="F1633" t="str">
            <v>0003</v>
          </cell>
          <cell r="G1633">
            <v>14</v>
          </cell>
          <cell r="H1633">
            <v>560</v>
          </cell>
          <cell r="I1633">
            <v>21785.889312000003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P1633">
            <v>21786</v>
          </cell>
          <cell r="V1633" t="str">
            <v>Available</v>
          </cell>
        </row>
        <row r="1634">
          <cell r="A1634" t="str">
            <v>100700460004</v>
          </cell>
          <cell r="B1634" t="str">
            <v>Chautham</v>
          </cell>
          <cell r="C1634" t="str">
            <v>Chautham</v>
          </cell>
          <cell r="D1634" t="str">
            <v>Telouch</v>
          </cell>
          <cell r="E1634">
            <v>10070046</v>
          </cell>
          <cell r="F1634" t="str">
            <v>0004</v>
          </cell>
          <cell r="G1634">
            <v>14</v>
          </cell>
          <cell r="H1634">
            <v>560</v>
          </cell>
          <cell r="I1634">
            <v>22631.419197000007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P1634">
            <v>22631</v>
          </cell>
          <cell r="V1634" t="str">
            <v>Available</v>
          </cell>
        </row>
        <row r="1635">
          <cell r="A1635" t="str">
            <v>100700460006</v>
          </cell>
          <cell r="B1635" t="str">
            <v>Chautham</v>
          </cell>
          <cell r="C1635" t="str">
            <v>Chautham</v>
          </cell>
          <cell r="D1635" t="str">
            <v>Telouch</v>
          </cell>
          <cell r="E1635">
            <v>10070046</v>
          </cell>
          <cell r="F1635" t="str">
            <v>0006</v>
          </cell>
          <cell r="G1635">
            <v>13</v>
          </cell>
          <cell r="H1635">
            <v>56.289999999999992</v>
          </cell>
          <cell r="I1635">
            <v>2264.1095640240005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P1635">
            <v>2264</v>
          </cell>
          <cell r="V1635" t="str">
            <v>Available</v>
          </cell>
        </row>
        <row r="1636">
          <cell r="A1636" t="str">
            <v>100700460007</v>
          </cell>
          <cell r="B1636" t="str">
            <v>Chautham</v>
          </cell>
          <cell r="C1636" t="str">
            <v>Chautham</v>
          </cell>
          <cell r="D1636" t="str">
            <v>Telouch</v>
          </cell>
          <cell r="E1636">
            <v>10070046</v>
          </cell>
          <cell r="F1636" t="str">
            <v>0007</v>
          </cell>
          <cell r="G1636">
            <v>14</v>
          </cell>
          <cell r="H1636">
            <v>560</v>
          </cell>
          <cell r="I1636">
            <v>22071.014064000003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P1636">
            <v>22071</v>
          </cell>
          <cell r="V1636" t="str">
            <v>Available</v>
          </cell>
        </row>
        <row r="1637">
          <cell r="A1637" t="str">
            <v>100700460012</v>
          </cell>
          <cell r="B1637" t="str">
            <v>Chautham</v>
          </cell>
          <cell r="C1637" t="str">
            <v>Chautham</v>
          </cell>
          <cell r="D1637" t="str">
            <v>Telouch</v>
          </cell>
          <cell r="E1637">
            <v>10070046</v>
          </cell>
          <cell r="F1637" t="str">
            <v>0012</v>
          </cell>
          <cell r="G1637">
            <v>14</v>
          </cell>
          <cell r="H1637">
            <v>560</v>
          </cell>
          <cell r="I1637">
            <v>21822.851952000001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P1637">
            <v>21823</v>
          </cell>
          <cell r="V1637" t="str">
            <v>Available</v>
          </cell>
        </row>
        <row r="1638">
          <cell r="A1638" t="str">
            <v>100700480002</v>
          </cell>
          <cell r="B1638" t="str">
            <v>Araria</v>
          </cell>
          <cell r="C1638" t="str">
            <v>Araria</v>
          </cell>
          <cell r="D1638" t="str">
            <v>Gomukh Jhangara B</v>
          </cell>
          <cell r="E1638">
            <v>10070048</v>
          </cell>
          <cell r="F1638" t="str">
            <v>0002</v>
          </cell>
          <cell r="G1638">
            <v>14</v>
          </cell>
          <cell r="H1638">
            <v>521.94000000000005</v>
          </cell>
          <cell r="I1638">
            <v>20553.196583183999</v>
          </cell>
          <cell r="J1638">
            <v>0</v>
          </cell>
          <cell r="K1638">
            <v>0</v>
          </cell>
          <cell r="L1638">
            <v>3724</v>
          </cell>
          <cell r="M1638">
            <v>0</v>
          </cell>
          <cell r="P1638">
            <v>16829</v>
          </cell>
          <cell r="V1638" t="str">
            <v>Available</v>
          </cell>
        </row>
        <row r="1639">
          <cell r="A1639" t="str">
            <v>100700480006</v>
          </cell>
          <cell r="B1639" t="str">
            <v>Araria</v>
          </cell>
          <cell r="C1639" t="str">
            <v>Araria</v>
          </cell>
          <cell r="D1639" t="str">
            <v>Gomukh Jhangara B</v>
          </cell>
          <cell r="E1639">
            <v>10070048</v>
          </cell>
          <cell r="F1639" t="str">
            <v>0006</v>
          </cell>
          <cell r="G1639">
            <v>13</v>
          </cell>
          <cell r="H1639">
            <v>57.39</v>
          </cell>
          <cell r="I1639">
            <v>1987.5169888200003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P1639">
            <v>1988</v>
          </cell>
          <cell r="V1639" t="str">
            <v>Available</v>
          </cell>
        </row>
        <row r="1640">
          <cell r="A1640" t="str">
            <v>100700480007</v>
          </cell>
          <cell r="B1640" t="str">
            <v>Araria</v>
          </cell>
          <cell r="C1640" t="str">
            <v>Araria</v>
          </cell>
          <cell r="D1640" t="str">
            <v>Gomukh Jhangara B</v>
          </cell>
          <cell r="E1640">
            <v>10070048</v>
          </cell>
          <cell r="F1640" t="str">
            <v>0007</v>
          </cell>
          <cell r="G1640">
            <v>14</v>
          </cell>
          <cell r="H1640">
            <v>805.58999999999992</v>
          </cell>
          <cell r="I1640">
            <v>34008.331041804238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P1640">
            <v>34008</v>
          </cell>
          <cell r="V1640" t="str">
            <v>Available</v>
          </cell>
        </row>
        <row r="1641">
          <cell r="A1641" t="str">
            <v>100700480019</v>
          </cell>
          <cell r="B1641" t="str">
            <v>Araria</v>
          </cell>
          <cell r="C1641" t="str">
            <v>Araria</v>
          </cell>
          <cell r="D1641" t="str">
            <v>Gomukh Jhangara B</v>
          </cell>
          <cell r="E1641">
            <v>10070048</v>
          </cell>
          <cell r="F1641" t="str">
            <v>0019</v>
          </cell>
          <cell r="G1641">
            <v>5</v>
          </cell>
          <cell r="H1641">
            <v>6.05</v>
          </cell>
          <cell r="I1641">
            <v>279.52547614860003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P1641">
            <v>280</v>
          </cell>
          <cell r="V1641" t="str">
            <v>Available</v>
          </cell>
        </row>
        <row r="1642">
          <cell r="A1642" t="str">
            <v>100700480020</v>
          </cell>
          <cell r="B1642" t="str">
            <v>Araria</v>
          </cell>
          <cell r="C1642" t="str">
            <v>Araria</v>
          </cell>
          <cell r="D1642" t="str">
            <v>Gomukh Jhangara B</v>
          </cell>
          <cell r="E1642">
            <v>10070048</v>
          </cell>
          <cell r="F1642" t="str">
            <v>0020</v>
          </cell>
          <cell r="G1642">
            <v>13</v>
          </cell>
          <cell r="H1642">
            <v>27.049999999999997</v>
          </cell>
          <cell r="I1642">
            <v>1070.0970093396002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P1642">
            <v>1070</v>
          </cell>
          <cell r="V1642" t="str">
            <v>Available</v>
          </cell>
        </row>
        <row r="1643">
          <cell r="A1643" t="str">
            <v>100700480021</v>
          </cell>
          <cell r="B1643" t="str">
            <v>Araria</v>
          </cell>
          <cell r="C1643" t="str">
            <v>Araria</v>
          </cell>
          <cell r="D1643" t="str">
            <v>Gomukh Jhangara B</v>
          </cell>
          <cell r="E1643">
            <v>10070048</v>
          </cell>
          <cell r="F1643" t="str">
            <v>0021</v>
          </cell>
          <cell r="G1643">
            <v>13</v>
          </cell>
          <cell r="H1643">
            <v>37.309999999999995</v>
          </cell>
          <cell r="I1643">
            <v>1459.8912284791452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P1643">
            <v>1460</v>
          </cell>
          <cell r="V1643" t="str">
            <v>Available</v>
          </cell>
        </row>
        <row r="1644">
          <cell r="A1644" t="str">
            <v>100700480022</v>
          </cell>
          <cell r="B1644" t="str">
            <v>Araria</v>
          </cell>
          <cell r="C1644" t="str">
            <v>Araria</v>
          </cell>
          <cell r="D1644" t="str">
            <v>Gomukh Jhangara B</v>
          </cell>
          <cell r="E1644">
            <v>10070048</v>
          </cell>
          <cell r="F1644" t="str">
            <v>0022</v>
          </cell>
          <cell r="G1644">
            <v>12</v>
          </cell>
          <cell r="H1644">
            <v>27.15</v>
          </cell>
          <cell r="I1644">
            <v>1154.1907285920001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P1644">
            <v>1154</v>
          </cell>
          <cell r="V1644" t="str">
            <v>Available</v>
          </cell>
        </row>
        <row r="1645">
          <cell r="A1645" t="str">
            <v>100700480026</v>
          </cell>
          <cell r="B1645" t="str">
            <v>Araria</v>
          </cell>
          <cell r="C1645" t="str">
            <v>Araria</v>
          </cell>
          <cell r="D1645" t="str">
            <v>Gomukh Jhangara B</v>
          </cell>
          <cell r="E1645">
            <v>10070048</v>
          </cell>
          <cell r="F1645" t="str">
            <v>0026</v>
          </cell>
          <cell r="G1645">
            <v>13</v>
          </cell>
          <cell r="H1645">
            <v>43.49</v>
          </cell>
          <cell r="I1645">
            <v>1502.3793789972001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P1645">
            <v>1502</v>
          </cell>
          <cell r="V1645" t="str">
            <v>Available</v>
          </cell>
        </row>
        <row r="1646">
          <cell r="A1646" t="str">
            <v>100700530002</v>
          </cell>
          <cell r="B1646" t="str">
            <v>Chautham</v>
          </cell>
          <cell r="C1646" t="str">
            <v>Chautham</v>
          </cell>
          <cell r="D1646" t="str">
            <v>Gomukh Saraiya</v>
          </cell>
          <cell r="E1646">
            <v>10070053</v>
          </cell>
          <cell r="F1646" t="str">
            <v>0002</v>
          </cell>
          <cell r="G1646">
            <v>1</v>
          </cell>
          <cell r="H1646">
            <v>15</v>
          </cell>
          <cell r="I1646">
            <v>603.91683</v>
          </cell>
          <cell r="J1646">
            <v>0</v>
          </cell>
          <cell r="K1646">
            <v>0</v>
          </cell>
          <cell r="L1646">
            <v>604</v>
          </cell>
          <cell r="M1646">
            <v>0</v>
          </cell>
          <cell r="P1646">
            <v>0</v>
          </cell>
          <cell r="V1646" t="str">
            <v>Available</v>
          </cell>
        </row>
        <row r="1647">
          <cell r="A1647" t="str">
            <v>100700530003</v>
          </cell>
          <cell r="B1647" t="str">
            <v>Chautham</v>
          </cell>
          <cell r="C1647" t="str">
            <v>Chautham</v>
          </cell>
          <cell r="D1647" t="str">
            <v>Gomukh Saraiya</v>
          </cell>
          <cell r="E1647">
            <v>10070053</v>
          </cell>
          <cell r="F1647" t="str">
            <v>0003</v>
          </cell>
          <cell r="G1647">
            <v>8</v>
          </cell>
          <cell r="H1647">
            <v>456.74</v>
          </cell>
          <cell r="I1647">
            <v>27417.175042862003</v>
          </cell>
          <cell r="J1647">
            <v>0</v>
          </cell>
          <cell r="K1647">
            <v>0</v>
          </cell>
          <cell r="L1647">
            <v>16503</v>
          </cell>
          <cell r="M1647">
            <v>0</v>
          </cell>
          <cell r="P1647">
            <v>10914</v>
          </cell>
          <cell r="V1647" t="str">
            <v>Available</v>
          </cell>
        </row>
        <row r="1648">
          <cell r="A1648" t="str">
            <v>100700630002</v>
          </cell>
          <cell r="B1648" t="str">
            <v>Parbatta</v>
          </cell>
          <cell r="C1648" t="str">
            <v>Parbatta</v>
          </cell>
          <cell r="D1648" t="str">
            <v>Gomukh Bandehra Purbi</v>
          </cell>
          <cell r="E1648">
            <v>10070063</v>
          </cell>
          <cell r="F1648" t="str">
            <v>0002</v>
          </cell>
          <cell r="G1648">
            <v>1</v>
          </cell>
          <cell r="H1648">
            <v>600.29999999999995</v>
          </cell>
          <cell r="I1648">
            <v>24881.907936600001</v>
          </cell>
          <cell r="J1648">
            <v>0</v>
          </cell>
          <cell r="K1648">
            <v>0</v>
          </cell>
          <cell r="L1648">
            <v>2683</v>
          </cell>
          <cell r="M1648">
            <v>0</v>
          </cell>
          <cell r="P1648">
            <v>22199</v>
          </cell>
          <cell r="V1648" t="str">
            <v>Available</v>
          </cell>
        </row>
        <row r="1649">
          <cell r="A1649" t="str">
            <v>100700640001</v>
          </cell>
          <cell r="B1649" t="str">
            <v>Chautham</v>
          </cell>
          <cell r="C1649" t="str">
            <v>Chautham</v>
          </cell>
          <cell r="D1649" t="str">
            <v>Gomukh Tila Tol</v>
          </cell>
          <cell r="E1649">
            <v>10070064</v>
          </cell>
          <cell r="F1649" t="str">
            <v>0001</v>
          </cell>
          <cell r="G1649">
            <v>14</v>
          </cell>
          <cell r="H1649">
            <v>3.9999999999999996</v>
          </cell>
          <cell r="I1649">
            <v>156.72006939600001</v>
          </cell>
          <cell r="J1649">
            <v>0</v>
          </cell>
          <cell r="K1649">
            <v>156.72006939600001</v>
          </cell>
          <cell r="L1649">
            <v>0</v>
          </cell>
          <cell r="M1649">
            <v>0</v>
          </cell>
          <cell r="P1649">
            <v>0</v>
          </cell>
          <cell r="V1649" t="str">
            <v>Not Available</v>
          </cell>
        </row>
        <row r="1650">
          <cell r="A1650" t="str">
            <v>100700640002</v>
          </cell>
          <cell r="B1650" t="str">
            <v>Chautham</v>
          </cell>
          <cell r="C1650" t="str">
            <v>Chautham</v>
          </cell>
          <cell r="D1650" t="str">
            <v>Gomukh Tila Tol</v>
          </cell>
          <cell r="E1650">
            <v>10070064</v>
          </cell>
          <cell r="F1650" t="str">
            <v>0002</v>
          </cell>
          <cell r="G1650">
            <v>14</v>
          </cell>
          <cell r="H1650">
            <v>1221.5200000000002</v>
          </cell>
          <cell r="I1650">
            <v>46096.15328326801</v>
          </cell>
          <cell r="J1650">
            <v>0</v>
          </cell>
          <cell r="K1650">
            <v>0</v>
          </cell>
          <cell r="L1650">
            <v>172</v>
          </cell>
          <cell r="M1650">
            <v>0</v>
          </cell>
          <cell r="P1650">
            <v>45924</v>
          </cell>
          <cell r="V1650" t="str">
            <v>Available</v>
          </cell>
        </row>
        <row r="1651">
          <cell r="A1651" t="str">
            <v>100700770002</v>
          </cell>
          <cell r="B1651" t="str">
            <v>Araria</v>
          </cell>
          <cell r="C1651" t="str">
            <v>Araria</v>
          </cell>
          <cell r="D1651" t="str">
            <v>Gomukh Bari Chak Gogri</v>
          </cell>
          <cell r="E1651">
            <v>10070077</v>
          </cell>
          <cell r="F1651" t="str">
            <v>0002</v>
          </cell>
          <cell r="G1651">
            <v>1</v>
          </cell>
          <cell r="H1651">
            <v>170.6</v>
          </cell>
          <cell r="I1651">
            <v>5855.1766574399999</v>
          </cell>
          <cell r="J1651">
            <v>0</v>
          </cell>
          <cell r="K1651">
            <v>0</v>
          </cell>
          <cell r="L1651">
            <v>0</v>
          </cell>
          <cell r="M1651">
            <v>3900</v>
          </cell>
          <cell r="P1651">
            <v>1955</v>
          </cell>
          <cell r="V1651" t="str">
            <v>Available</v>
          </cell>
        </row>
        <row r="1652">
          <cell r="A1652" t="str">
            <v>100700780002</v>
          </cell>
          <cell r="B1652" t="str">
            <v>Araria</v>
          </cell>
          <cell r="C1652" t="str">
            <v>Araria</v>
          </cell>
          <cell r="D1652" t="str">
            <v>Gomukh Khatha</v>
          </cell>
          <cell r="E1652">
            <v>10070078</v>
          </cell>
          <cell r="F1652" t="str">
            <v>0002</v>
          </cell>
          <cell r="G1652">
            <v>1</v>
          </cell>
          <cell r="H1652">
            <v>1007</v>
          </cell>
          <cell r="I1652">
            <v>36156.417976800003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P1652">
            <v>36156</v>
          </cell>
          <cell r="V1652" t="str">
            <v>Available</v>
          </cell>
        </row>
        <row r="1653">
          <cell r="A1653" t="str">
            <v>100800150001</v>
          </cell>
          <cell r="B1653" t="str">
            <v>Teghra</v>
          </cell>
          <cell r="C1653" t="str">
            <v>Teghra</v>
          </cell>
          <cell r="D1653" t="str">
            <v>GomukhBariyahi Chanan</v>
          </cell>
          <cell r="E1653">
            <v>10080015</v>
          </cell>
          <cell r="F1653" t="str">
            <v>0001</v>
          </cell>
          <cell r="G1653">
            <v>13</v>
          </cell>
          <cell r="H1653">
            <v>3.9999999999999996</v>
          </cell>
          <cell r="I1653">
            <v>137.78851957200001</v>
          </cell>
          <cell r="J1653">
            <v>0</v>
          </cell>
          <cell r="K1653">
            <v>137.78851957200001</v>
          </cell>
          <cell r="L1653">
            <v>0</v>
          </cell>
          <cell r="M1653">
            <v>0</v>
          </cell>
          <cell r="P1653">
            <v>0</v>
          </cell>
          <cell r="V1653" t="str">
            <v>Not Available</v>
          </cell>
        </row>
        <row r="1654">
          <cell r="A1654" t="str">
            <v>100800150002</v>
          </cell>
          <cell r="B1654" t="str">
            <v>Teghra</v>
          </cell>
          <cell r="C1654" t="str">
            <v>Teghra</v>
          </cell>
          <cell r="D1654" t="str">
            <v>GomukhBariyahi Chanan</v>
          </cell>
          <cell r="E1654">
            <v>10080015</v>
          </cell>
          <cell r="F1654" t="str">
            <v>0002</v>
          </cell>
          <cell r="G1654">
            <v>13</v>
          </cell>
          <cell r="H1654">
            <v>681.50000000000011</v>
          </cell>
          <cell r="I1654">
            <v>23912.909242002006</v>
          </cell>
          <cell r="J1654">
            <v>0</v>
          </cell>
          <cell r="K1654">
            <v>0</v>
          </cell>
          <cell r="L1654">
            <v>1478</v>
          </cell>
          <cell r="M1654">
            <v>0</v>
          </cell>
          <cell r="P1654">
            <v>22435</v>
          </cell>
          <cell r="V1654" t="str">
            <v>Available</v>
          </cell>
        </row>
        <row r="1655">
          <cell r="A1655" t="str">
            <v>100800150004</v>
          </cell>
          <cell r="B1655" t="str">
            <v>Teghra</v>
          </cell>
          <cell r="C1655" t="str">
            <v>Teghra</v>
          </cell>
          <cell r="D1655" t="str">
            <v>GomukhBariyahi Chanan</v>
          </cell>
          <cell r="E1655">
            <v>10080015</v>
          </cell>
          <cell r="F1655" t="str">
            <v>0004</v>
          </cell>
          <cell r="G1655">
            <v>13</v>
          </cell>
          <cell r="H1655">
            <v>517.90000000000009</v>
          </cell>
          <cell r="I1655">
            <v>18099.594633780001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P1655">
            <v>18100</v>
          </cell>
          <cell r="V1655" t="str">
            <v>Available</v>
          </cell>
        </row>
        <row r="1656">
          <cell r="A1656" t="str">
            <v>100800150008</v>
          </cell>
          <cell r="B1656" t="str">
            <v>Teghra</v>
          </cell>
          <cell r="C1656" t="str">
            <v>Teghra</v>
          </cell>
          <cell r="D1656" t="str">
            <v>GomukhBariyahi Chanan</v>
          </cell>
          <cell r="E1656">
            <v>10080015</v>
          </cell>
          <cell r="F1656" t="str">
            <v>0008</v>
          </cell>
          <cell r="G1656">
            <v>10</v>
          </cell>
          <cell r="H1656">
            <v>586.5</v>
          </cell>
          <cell r="I1656">
            <v>20600.142453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P1656">
            <v>20600</v>
          </cell>
          <cell r="V1656" t="str">
            <v>Available</v>
          </cell>
        </row>
        <row r="1657">
          <cell r="A1657" t="str">
            <v>100800150009</v>
          </cell>
          <cell r="B1657" t="str">
            <v>Teghra</v>
          </cell>
          <cell r="C1657" t="str">
            <v>Teghra</v>
          </cell>
          <cell r="D1657" t="str">
            <v>GomukhBariyahi Chanan</v>
          </cell>
          <cell r="E1657">
            <v>10080015</v>
          </cell>
          <cell r="F1657" t="str">
            <v>0009</v>
          </cell>
          <cell r="G1657">
            <v>13</v>
          </cell>
          <cell r="H1657">
            <v>536.6</v>
          </cell>
          <cell r="I1657">
            <v>18027.128627442002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P1657">
            <v>18027</v>
          </cell>
          <cell r="V1657" t="str">
            <v>Available</v>
          </cell>
        </row>
        <row r="1658">
          <cell r="A1658" t="str">
            <v>100800150010</v>
          </cell>
          <cell r="B1658" t="str">
            <v>Teghra</v>
          </cell>
          <cell r="C1658" t="str">
            <v>Teghra</v>
          </cell>
          <cell r="D1658" t="str">
            <v>GomukhBariyahi Chanan</v>
          </cell>
          <cell r="E1658">
            <v>10080015</v>
          </cell>
          <cell r="F1658" t="str">
            <v>0010</v>
          </cell>
          <cell r="G1658">
            <v>3</v>
          </cell>
          <cell r="H1658">
            <v>137.1</v>
          </cell>
          <cell r="I1658">
            <v>4960.8862182000003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P1658">
            <v>4961</v>
          </cell>
          <cell r="V1658" t="str">
            <v>Available</v>
          </cell>
        </row>
        <row r="1659">
          <cell r="A1659" t="str">
            <v>100800150012</v>
          </cell>
          <cell r="B1659" t="str">
            <v>Teghra</v>
          </cell>
          <cell r="C1659" t="str">
            <v>Teghra</v>
          </cell>
          <cell r="D1659" t="str">
            <v>GomukhBariyahi Chanan</v>
          </cell>
          <cell r="E1659">
            <v>10080015</v>
          </cell>
          <cell r="F1659" t="str">
            <v>0012</v>
          </cell>
          <cell r="G1659">
            <v>9</v>
          </cell>
          <cell r="H1659">
            <v>166.5</v>
          </cell>
          <cell r="I1659">
            <v>5718.7627696980007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P1659">
            <v>5719</v>
          </cell>
          <cell r="V1659" t="str">
            <v>Available</v>
          </cell>
        </row>
        <row r="1660">
          <cell r="A1660" t="str">
            <v>100800150013</v>
          </cell>
          <cell r="B1660" t="str">
            <v>Teghra</v>
          </cell>
          <cell r="C1660" t="str">
            <v>Teghra</v>
          </cell>
          <cell r="D1660" t="str">
            <v>GomukhBariyahi Chanan</v>
          </cell>
          <cell r="E1660">
            <v>10080015</v>
          </cell>
          <cell r="F1660" t="str">
            <v>0013</v>
          </cell>
          <cell r="G1660">
            <v>1</v>
          </cell>
          <cell r="H1660">
            <v>57.1</v>
          </cell>
          <cell r="I1660">
            <v>2027.5708662000004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P1660">
            <v>2028</v>
          </cell>
          <cell r="V1660" t="str">
            <v>Available</v>
          </cell>
        </row>
        <row r="1661">
          <cell r="A1661" t="str">
            <v>100800150020</v>
          </cell>
          <cell r="B1661" t="str">
            <v>Teghra</v>
          </cell>
          <cell r="C1661" t="str">
            <v>Teghra</v>
          </cell>
          <cell r="D1661" t="str">
            <v>GomukhBariyahi Chanan</v>
          </cell>
          <cell r="E1661">
            <v>10080015</v>
          </cell>
          <cell r="F1661" t="str">
            <v>0020</v>
          </cell>
          <cell r="G1661">
            <v>7</v>
          </cell>
          <cell r="H1661">
            <v>31.6</v>
          </cell>
          <cell r="I1661">
            <v>1111.3383869280001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P1661">
            <v>1111</v>
          </cell>
          <cell r="V1661" t="str">
            <v>Available</v>
          </cell>
        </row>
        <row r="1662">
          <cell r="A1662" t="str">
            <v>100800150025</v>
          </cell>
          <cell r="B1662" t="str">
            <v>Teghra</v>
          </cell>
          <cell r="C1662" t="str">
            <v>Teghra</v>
          </cell>
          <cell r="D1662" t="str">
            <v>GomukhBariyahi Chanan</v>
          </cell>
          <cell r="E1662">
            <v>10080015</v>
          </cell>
          <cell r="F1662" t="str">
            <v>0025</v>
          </cell>
          <cell r="G1662">
            <v>3</v>
          </cell>
          <cell r="H1662">
            <v>22</v>
          </cell>
          <cell r="I1662">
            <v>1048.8644639504002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P1662">
            <v>1049</v>
          </cell>
          <cell r="V1662" t="str">
            <v>Available</v>
          </cell>
        </row>
        <row r="1663">
          <cell r="A1663" t="str">
            <v>100800150026</v>
          </cell>
          <cell r="B1663" t="str">
            <v>Teghra</v>
          </cell>
          <cell r="C1663" t="str">
            <v>Teghra</v>
          </cell>
          <cell r="D1663" t="str">
            <v>GomukhBariyahi Chanan</v>
          </cell>
          <cell r="E1663">
            <v>10080015</v>
          </cell>
          <cell r="F1663" t="str">
            <v>0026</v>
          </cell>
          <cell r="G1663">
            <v>10</v>
          </cell>
          <cell r="H1663">
            <v>394</v>
          </cell>
          <cell r="I1663">
            <v>14139.244962956798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P1663">
            <v>14139</v>
          </cell>
          <cell r="V1663" t="str">
            <v>Available</v>
          </cell>
        </row>
        <row r="1664">
          <cell r="A1664" t="str">
            <v>100800150030</v>
          </cell>
          <cell r="B1664" t="str">
            <v>Teghra</v>
          </cell>
          <cell r="C1664" t="str">
            <v>Teghra</v>
          </cell>
          <cell r="D1664" t="str">
            <v>GomukhBariyahi Chanan</v>
          </cell>
          <cell r="E1664">
            <v>10080015</v>
          </cell>
          <cell r="F1664" t="str">
            <v>0030</v>
          </cell>
          <cell r="G1664">
            <v>1</v>
          </cell>
          <cell r="H1664">
            <v>27.2</v>
          </cell>
          <cell r="I1664">
            <v>940.71352320000005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P1664">
            <v>941</v>
          </cell>
          <cell r="V1664" t="str">
            <v>Available</v>
          </cell>
        </row>
        <row r="1665">
          <cell r="A1665" t="str">
            <v>100800160001</v>
          </cell>
          <cell r="B1665" t="str">
            <v>Teghra</v>
          </cell>
          <cell r="C1665" t="str">
            <v>Teghra</v>
          </cell>
          <cell r="D1665" t="str">
            <v>GomukhGehuni</v>
          </cell>
          <cell r="E1665">
            <v>10080016</v>
          </cell>
          <cell r="F1665" t="str">
            <v>0001</v>
          </cell>
          <cell r="G1665">
            <v>14</v>
          </cell>
          <cell r="H1665">
            <v>1.7000000000000004</v>
          </cell>
          <cell r="I1665">
            <v>59.652523260000009</v>
          </cell>
          <cell r="J1665">
            <v>0</v>
          </cell>
          <cell r="K1665">
            <v>59.652523260000009</v>
          </cell>
          <cell r="L1665">
            <v>0</v>
          </cell>
          <cell r="M1665">
            <v>0</v>
          </cell>
          <cell r="P1665">
            <v>0</v>
          </cell>
          <cell r="V1665" t="str">
            <v>Not Available</v>
          </cell>
        </row>
        <row r="1666">
          <cell r="A1666" t="str">
            <v>100800160002</v>
          </cell>
          <cell r="B1666" t="str">
            <v>Teghra</v>
          </cell>
          <cell r="C1666" t="str">
            <v>Teghra</v>
          </cell>
          <cell r="D1666" t="str">
            <v>GomukhGehuni</v>
          </cell>
          <cell r="E1666">
            <v>10080016</v>
          </cell>
          <cell r="F1666" t="str">
            <v>0002</v>
          </cell>
          <cell r="G1666">
            <v>12</v>
          </cell>
          <cell r="H1666">
            <v>18.600000000000001</v>
          </cell>
          <cell r="I1666">
            <v>671.97896964000006</v>
          </cell>
          <cell r="J1666">
            <v>0</v>
          </cell>
          <cell r="K1666">
            <v>0</v>
          </cell>
          <cell r="L1666">
            <v>165</v>
          </cell>
          <cell r="M1666">
            <v>404</v>
          </cell>
          <cell r="P1666">
            <v>0</v>
          </cell>
          <cell r="V1666" t="str">
            <v>Available</v>
          </cell>
        </row>
        <row r="1667">
          <cell r="A1667" t="str">
            <v>100800160018</v>
          </cell>
          <cell r="B1667" t="str">
            <v>Teghra</v>
          </cell>
          <cell r="C1667" t="str">
            <v>Teghra</v>
          </cell>
          <cell r="D1667" t="str">
            <v>GomukhGehuni</v>
          </cell>
          <cell r="E1667">
            <v>10080016</v>
          </cell>
          <cell r="F1667" t="str">
            <v>0018</v>
          </cell>
          <cell r="G1667">
            <v>13</v>
          </cell>
          <cell r="H1667">
            <v>53.2</v>
          </cell>
          <cell r="I1667">
            <v>2024.8845012000004</v>
          </cell>
          <cell r="J1667">
            <v>0</v>
          </cell>
          <cell r="K1667">
            <v>0</v>
          </cell>
          <cell r="L1667">
            <v>0</v>
          </cell>
          <cell r="M1667">
            <v>2025</v>
          </cell>
          <cell r="P1667">
            <v>0</v>
          </cell>
          <cell r="V1667" t="str">
            <v>Available</v>
          </cell>
        </row>
        <row r="1668">
          <cell r="A1668" t="str">
            <v>100800160021</v>
          </cell>
          <cell r="B1668" t="str">
            <v>Teghra</v>
          </cell>
          <cell r="C1668" t="str">
            <v>Teghra</v>
          </cell>
          <cell r="D1668" t="str">
            <v>GomukhGehuni</v>
          </cell>
          <cell r="E1668">
            <v>10080016</v>
          </cell>
          <cell r="F1668" t="str">
            <v>0021</v>
          </cell>
          <cell r="G1668">
            <v>11</v>
          </cell>
          <cell r="H1668">
            <v>21.999999999999996</v>
          </cell>
          <cell r="I1668">
            <v>769.70981181600018</v>
          </cell>
          <cell r="J1668">
            <v>0</v>
          </cell>
          <cell r="K1668">
            <v>0</v>
          </cell>
          <cell r="L1668">
            <v>0</v>
          </cell>
          <cell r="M1668">
            <v>171</v>
          </cell>
          <cell r="P1668">
            <v>599</v>
          </cell>
          <cell r="V1668" t="str">
            <v>Available</v>
          </cell>
        </row>
        <row r="1669">
          <cell r="A1669" t="str">
            <v>100800220001</v>
          </cell>
          <cell r="B1669" t="str">
            <v>Teghra</v>
          </cell>
          <cell r="C1669" t="str">
            <v>Teghra</v>
          </cell>
          <cell r="D1669" t="str">
            <v>Gomukh Bakhatpur</v>
          </cell>
          <cell r="E1669">
            <v>10080022</v>
          </cell>
          <cell r="F1669" t="str">
            <v>0001</v>
          </cell>
          <cell r="G1669">
            <v>14</v>
          </cell>
          <cell r="H1669">
            <v>4.0200000000000005</v>
          </cell>
          <cell r="I1669">
            <v>156.7538588088</v>
          </cell>
          <cell r="J1669">
            <v>0</v>
          </cell>
          <cell r="K1669">
            <v>156.7538588088</v>
          </cell>
          <cell r="L1669">
            <v>0</v>
          </cell>
          <cell r="M1669">
            <v>0</v>
          </cell>
          <cell r="P1669">
            <v>0</v>
          </cell>
          <cell r="V1669" t="str">
            <v>Not Available</v>
          </cell>
        </row>
        <row r="1670">
          <cell r="A1670" t="str">
            <v>100800220003</v>
          </cell>
          <cell r="B1670" t="str">
            <v>Teghra</v>
          </cell>
          <cell r="C1670" t="str">
            <v>Teghra</v>
          </cell>
          <cell r="D1670" t="str">
            <v>Gomukh Bakhatpur</v>
          </cell>
          <cell r="E1670">
            <v>10080022</v>
          </cell>
          <cell r="F1670" t="str">
            <v>0003</v>
          </cell>
          <cell r="G1670">
            <v>14</v>
          </cell>
          <cell r="H1670">
            <v>131.68</v>
          </cell>
          <cell r="I1670">
            <v>5404.8942565200005</v>
          </cell>
          <cell r="J1670">
            <v>0</v>
          </cell>
          <cell r="K1670">
            <v>0</v>
          </cell>
          <cell r="L1670">
            <v>9</v>
          </cell>
          <cell r="M1670">
            <v>0</v>
          </cell>
          <cell r="P1670">
            <v>5396</v>
          </cell>
          <cell r="V1670" t="str">
            <v>Available</v>
          </cell>
        </row>
        <row r="1671">
          <cell r="A1671" t="str">
            <v>100800220033</v>
          </cell>
          <cell r="B1671" t="str">
            <v>Teghra</v>
          </cell>
          <cell r="C1671" t="str">
            <v>Teghra</v>
          </cell>
          <cell r="D1671" t="str">
            <v>Gomukh Bakhatpur</v>
          </cell>
          <cell r="E1671">
            <v>10080022</v>
          </cell>
          <cell r="F1671" t="str">
            <v>0033</v>
          </cell>
          <cell r="G1671">
            <v>13</v>
          </cell>
          <cell r="H1671">
            <v>30.470000000000006</v>
          </cell>
          <cell r="I1671">
            <v>1318.9639993200001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P1671">
            <v>1319</v>
          </cell>
          <cell r="V1671" t="str">
            <v>Available</v>
          </cell>
        </row>
        <row r="1672">
          <cell r="A1672" t="str">
            <v>100800220041</v>
          </cell>
          <cell r="B1672" t="str">
            <v>Teghra</v>
          </cell>
          <cell r="C1672" t="str">
            <v>Teghra</v>
          </cell>
          <cell r="D1672" t="str">
            <v>Gomukh Bakhatpur</v>
          </cell>
          <cell r="E1672">
            <v>10080022</v>
          </cell>
          <cell r="F1672" t="str">
            <v>0041</v>
          </cell>
          <cell r="G1672">
            <v>13</v>
          </cell>
          <cell r="H1672">
            <v>25.400000000000002</v>
          </cell>
          <cell r="I1672">
            <v>1038.6427788000001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P1672">
            <v>1039</v>
          </cell>
          <cell r="V1672" t="str">
            <v>Available</v>
          </cell>
        </row>
        <row r="1673">
          <cell r="A1673" t="str">
            <v>100800220048</v>
          </cell>
          <cell r="B1673" t="str">
            <v>Teghra</v>
          </cell>
          <cell r="C1673" t="str">
            <v>Teghra</v>
          </cell>
          <cell r="D1673" t="str">
            <v>Gomukh Bakhatpur</v>
          </cell>
          <cell r="E1673">
            <v>10080022</v>
          </cell>
          <cell r="F1673" t="str">
            <v>0048</v>
          </cell>
          <cell r="G1673">
            <v>13</v>
          </cell>
          <cell r="H1673">
            <v>30.650000000000002</v>
          </cell>
          <cell r="I1673">
            <v>1164.9635637354002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P1673">
            <v>1165</v>
          </cell>
          <cell r="V1673" t="str">
            <v>Available</v>
          </cell>
        </row>
        <row r="1674">
          <cell r="A1674" t="str">
            <v>100800220049</v>
          </cell>
          <cell r="B1674" t="str">
            <v>Teghra</v>
          </cell>
          <cell r="C1674" t="str">
            <v>Teghra</v>
          </cell>
          <cell r="D1674" t="str">
            <v>Gomukh Bakhatpur</v>
          </cell>
          <cell r="E1674">
            <v>10080022</v>
          </cell>
          <cell r="F1674" t="str">
            <v>0049</v>
          </cell>
          <cell r="G1674">
            <v>11</v>
          </cell>
          <cell r="H1674">
            <v>27.860000000000003</v>
          </cell>
          <cell r="I1674">
            <v>1355.2680826163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P1674">
            <v>1355</v>
          </cell>
          <cell r="V1674" t="str">
            <v>Available</v>
          </cell>
        </row>
        <row r="1675">
          <cell r="A1675" t="str">
            <v>100800220052</v>
          </cell>
          <cell r="B1675" t="str">
            <v>Teghra</v>
          </cell>
          <cell r="C1675" t="str">
            <v>Teghra</v>
          </cell>
          <cell r="D1675" t="str">
            <v>Gomukh Bakhatpur</v>
          </cell>
          <cell r="E1675">
            <v>10080022</v>
          </cell>
          <cell r="F1675" t="str">
            <v>0052</v>
          </cell>
          <cell r="G1675">
            <v>1</v>
          </cell>
          <cell r="H1675">
            <v>1.55</v>
          </cell>
          <cell r="I1675">
            <v>59.560595523000003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P1675">
            <v>60</v>
          </cell>
          <cell r="V1675" t="str">
            <v>Available</v>
          </cell>
        </row>
        <row r="1676">
          <cell r="A1676" t="str">
            <v>100800250001</v>
          </cell>
          <cell r="B1676" t="str">
            <v>Teghra</v>
          </cell>
          <cell r="C1676" t="str">
            <v>Teghra</v>
          </cell>
          <cell r="D1676" t="str">
            <v>Gomukh Bishanpur</v>
          </cell>
          <cell r="E1676">
            <v>10080025</v>
          </cell>
          <cell r="F1676" t="str">
            <v>0001</v>
          </cell>
          <cell r="G1676">
            <v>13</v>
          </cell>
          <cell r="H1676">
            <v>13.380000000000003</v>
          </cell>
          <cell r="I1676">
            <v>513.75191472000006</v>
          </cell>
          <cell r="J1676">
            <v>0</v>
          </cell>
          <cell r="K1676">
            <v>513.75191472000006</v>
          </cell>
          <cell r="L1676">
            <v>0</v>
          </cell>
          <cell r="M1676">
            <v>0</v>
          </cell>
          <cell r="P1676">
            <v>0</v>
          </cell>
          <cell r="V1676" t="str">
            <v>Not Available</v>
          </cell>
        </row>
        <row r="1677">
          <cell r="A1677" t="str">
            <v>100800250003</v>
          </cell>
          <cell r="B1677" t="str">
            <v>Teghra</v>
          </cell>
          <cell r="C1677" t="str">
            <v>Teghra</v>
          </cell>
          <cell r="D1677" t="str">
            <v>Gomukh Bishanpur</v>
          </cell>
          <cell r="E1677">
            <v>10080025</v>
          </cell>
          <cell r="F1677" t="str">
            <v>0003</v>
          </cell>
          <cell r="G1677">
            <v>13</v>
          </cell>
          <cell r="H1677">
            <v>46.57</v>
          </cell>
          <cell r="I1677">
            <v>1674.9448273800003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P1677">
            <v>1675</v>
          </cell>
          <cell r="V1677" t="str">
            <v>Available</v>
          </cell>
        </row>
        <row r="1678">
          <cell r="A1678" t="str">
            <v>100800250004</v>
          </cell>
          <cell r="B1678" t="str">
            <v>Teghra</v>
          </cell>
          <cell r="C1678" t="str">
            <v>Teghra</v>
          </cell>
          <cell r="D1678" t="str">
            <v>Gomukh Bishanpur</v>
          </cell>
          <cell r="E1678">
            <v>10080025</v>
          </cell>
          <cell r="F1678" t="str">
            <v>0004</v>
          </cell>
          <cell r="G1678">
            <v>14</v>
          </cell>
          <cell r="H1678">
            <v>116.03999999999999</v>
          </cell>
          <cell r="I1678">
            <v>4152.2612875920004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P1678">
            <v>4152</v>
          </cell>
          <cell r="V1678" t="str">
            <v>Available</v>
          </cell>
        </row>
        <row r="1679">
          <cell r="A1679" t="str">
            <v>100800250005</v>
          </cell>
          <cell r="B1679" t="str">
            <v>Teghra</v>
          </cell>
          <cell r="C1679" t="str">
            <v>Teghra</v>
          </cell>
          <cell r="D1679" t="str">
            <v>Gomukh Bishanpur</v>
          </cell>
          <cell r="E1679">
            <v>10080025</v>
          </cell>
          <cell r="F1679" t="str">
            <v>0005</v>
          </cell>
          <cell r="G1679">
            <v>7</v>
          </cell>
          <cell r="H1679">
            <v>22.02</v>
          </cell>
          <cell r="I1679">
            <v>891.24881788799996</v>
          </cell>
          <cell r="J1679">
            <v>0</v>
          </cell>
          <cell r="K1679">
            <v>0</v>
          </cell>
          <cell r="L1679">
            <v>158</v>
          </cell>
          <cell r="M1679">
            <v>0</v>
          </cell>
          <cell r="P1679">
            <v>733</v>
          </cell>
          <cell r="V1679" t="str">
            <v>Available</v>
          </cell>
        </row>
        <row r="1680">
          <cell r="A1680" t="str">
            <v>100800250006</v>
          </cell>
          <cell r="B1680" t="str">
            <v>Teghra</v>
          </cell>
          <cell r="C1680" t="str">
            <v>Teghra</v>
          </cell>
          <cell r="D1680" t="str">
            <v>Gomukh Bishanpur</v>
          </cell>
          <cell r="E1680">
            <v>10080025</v>
          </cell>
          <cell r="F1680" t="str">
            <v>0006</v>
          </cell>
          <cell r="G1680">
            <v>14</v>
          </cell>
          <cell r="H1680">
            <v>27.21</v>
          </cell>
          <cell r="I1680">
            <v>1276.0859737625551</v>
          </cell>
          <cell r="J1680">
            <v>0</v>
          </cell>
          <cell r="K1680">
            <v>0</v>
          </cell>
          <cell r="L1680">
            <v>151</v>
          </cell>
          <cell r="M1680">
            <v>0</v>
          </cell>
          <cell r="P1680">
            <v>1125</v>
          </cell>
          <cell r="V1680" t="str">
            <v>Available</v>
          </cell>
        </row>
        <row r="1681">
          <cell r="A1681" t="str">
            <v>100800250007</v>
          </cell>
          <cell r="B1681" t="str">
            <v>Teghra</v>
          </cell>
          <cell r="C1681" t="str">
            <v>Teghra</v>
          </cell>
          <cell r="D1681" t="str">
            <v>Gomukh Bishanpur</v>
          </cell>
          <cell r="E1681">
            <v>10080025</v>
          </cell>
          <cell r="F1681" t="str">
            <v>0007</v>
          </cell>
          <cell r="G1681">
            <v>10</v>
          </cell>
          <cell r="H1681">
            <v>25.200000000000003</v>
          </cell>
          <cell r="I1681">
            <v>984.03598656000008</v>
          </cell>
          <cell r="J1681">
            <v>0</v>
          </cell>
          <cell r="K1681">
            <v>0</v>
          </cell>
          <cell r="L1681">
            <v>151</v>
          </cell>
          <cell r="M1681">
            <v>0</v>
          </cell>
          <cell r="P1681">
            <v>833</v>
          </cell>
          <cell r="V1681" t="str">
            <v>Available</v>
          </cell>
        </row>
        <row r="1682">
          <cell r="A1682" t="str">
            <v>100800250008</v>
          </cell>
          <cell r="B1682" t="str">
            <v>Teghra</v>
          </cell>
          <cell r="C1682" t="str">
            <v>Teghra</v>
          </cell>
          <cell r="D1682" t="str">
            <v>Gomukh Bishanpur</v>
          </cell>
          <cell r="E1682">
            <v>10080025</v>
          </cell>
          <cell r="F1682" t="str">
            <v>0008</v>
          </cell>
          <cell r="G1682">
            <v>14</v>
          </cell>
          <cell r="H1682">
            <v>64.040000000000006</v>
          </cell>
          <cell r="I1682">
            <v>2397.9043162799999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P1682">
            <v>2398</v>
          </cell>
          <cell r="V1682" t="str">
            <v>Available</v>
          </cell>
        </row>
        <row r="1683">
          <cell r="A1683" t="str">
            <v>100800250010</v>
          </cell>
          <cell r="B1683" t="str">
            <v>Teghra</v>
          </cell>
          <cell r="C1683" t="str">
            <v>Teghra</v>
          </cell>
          <cell r="D1683" t="str">
            <v>Gomukh Bishanpur</v>
          </cell>
          <cell r="E1683">
            <v>10080025</v>
          </cell>
          <cell r="F1683" t="str">
            <v>0010</v>
          </cell>
          <cell r="G1683">
            <v>7</v>
          </cell>
          <cell r="H1683">
            <v>18.919999999999998</v>
          </cell>
          <cell r="I1683">
            <v>826.30989064800008</v>
          </cell>
          <cell r="J1683">
            <v>0</v>
          </cell>
          <cell r="K1683">
            <v>0</v>
          </cell>
          <cell r="L1683">
            <v>151</v>
          </cell>
          <cell r="M1683">
            <v>0</v>
          </cell>
          <cell r="P1683">
            <v>675</v>
          </cell>
          <cell r="V1683" t="str">
            <v>Available</v>
          </cell>
        </row>
        <row r="1684">
          <cell r="A1684" t="str">
            <v>100800250012</v>
          </cell>
          <cell r="B1684" t="str">
            <v>Teghra</v>
          </cell>
          <cell r="C1684" t="str">
            <v>Teghra</v>
          </cell>
          <cell r="D1684" t="str">
            <v>Gomukh Bishanpur</v>
          </cell>
          <cell r="E1684">
            <v>10080025</v>
          </cell>
          <cell r="F1684" t="str">
            <v>0012</v>
          </cell>
          <cell r="G1684">
            <v>2</v>
          </cell>
          <cell r="H1684">
            <v>5.23</v>
          </cell>
          <cell r="I1684">
            <v>195.63250806000002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P1684">
            <v>196</v>
          </cell>
          <cell r="V1684" t="str">
            <v>Available</v>
          </cell>
        </row>
        <row r="1685">
          <cell r="A1685" t="str">
            <v>100800250014</v>
          </cell>
          <cell r="B1685" t="str">
            <v>Teghra</v>
          </cell>
          <cell r="C1685" t="str">
            <v>Teghra</v>
          </cell>
          <cell r="D1685" t="str">
            <v>Gomukh Bishanpur</v>
          </cell>
          <cell r="E1685">
            <v>10080025</v>
          </cell>
          <cell r="F1685" t="str">
            <v>0014</v>
          </cell>
          <cell r="G1685">
            <v>14</v>
          </cell>
          <cell r="H1685">
            <v>55.54</v>
          </cell>
          <cell r="I1685">
            <v>2076.6115834200004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P1685">
            <v>2077</v>
          </cell>
          <cell r="V1685" t="str">
            <v>Available</v>
          </cell>
        </row>
        <row r="1686">
          <cell r="A1686" t="str">
            <v>100800250015</v>
          </cell>
          <cell r="B1686" t="str">
            <v>Teghra</v>
          </cell>
          <cell r="C1686" t="str">
            <v>Teghra</v>
          </cell>
          <cell r="D1686" t="str">
            <v>Gomukh Bishanpur</v>
          </cell>
          <cell r="E1686">
            <v>10080025</v>
          </cell>
          <cell r="F1686" t="str">
            <v>0015</v>
          </cell>
          <cell r="G1686">
            <v>14</v>
          </cell>
          <cell r="H1686">
            <v>52.539999999999992</v>
          </cell>
          <cell r="I1686">
            <v>1820.5306815563999</v>
          </cell>
          <cell r="J1686">
            <v>0</v>
          </cell>
          <cell r="K1686">
            <v>0</v>
          </cell>
          <cell r="L1686">
            <v>151</v>
          </cell>
          <cell r="M1686">
            <v>0</v>
          </cell>
          <cell r="P1686">
            <v>1670</v>
          </cell>
          <cell r="V1686" t="str">
            <v>Available</v>
          </cell>
        </row>
        <row r="1687">
          <cell r="A1687" t="str">
            <v>100800250016</v>
          </cell>
          <cell r="B1687" t="str">
            <v>Teghra</v>
          </cell>
          <cell r="C1687" t="str">
            <v>Teghra</v>
          </cell>
          <cell r="D1687" t="str">
            <v>Gomukh Bishanpur</v>
          </cell>
          <cell r="E1687">
            <v>10080025</v>
          </cell>
          <cell r="F1687" t="str">
            <v>0016</v>
          </cell>
          <cell r="G1687">
            <v>14</v>
          </cell>
          <cell r="H1687">
            <v>78.410000000000011</v>
          </cell>
          <cell r="I1687">
            <v>2951.7301394064002</v>
          </cell>
          <cell r="J1687">
            <v>0</v>
          </cell>
          <cell r="K1687">
            <v>0</v>
          </cell>
          <cell r="L1687">
            <v>151</v>
          </cell>
          <cell r="M1687">
            <v>0</v>
          </cell>
          <cell r="P1687">
            <v>2801</v>
          </cell>
          <cell r="V1687" t="str">
            <v>Available</v>
          </cell>
        </row>
        <row r="1688">
          <cell r="A1688" t="str">
            <v>100800250019</v>
          </cell>
          <cell r="B1688" t="str">
            <v>Teghra</v>
          </cell>
          <cell r="C1688" t="str">
            <v>Teghra</v>
          </cell>
          <cell r="D1688" t="str">
            <v>Gomukh Bishanpur</v>
          </cell>
          <cell r="E1688">
            <v>10080025</v>
          </cell>
          <cell r="F1688" t="str">
            <v>0019</v>
          </cell>
          <cell r="G1688">
            <v>6</v>
          </cell>
          <cell r="H1688">
            <v>6.5500000000000007</v>
          </cell>
          <cell r="I1688">
            <v>280.13912625600005</v>
          </cell>
          <cell r="J1688">
            <v>0</v>
          </cell>
          <cell r="K1688">
            <v>0</v>
          </cell>
          <cell r="L1688">
            <v>151</v>
          </cell>
          <cell r="M1688">
            <v>0</v>
          </cell>
          <cell r="P1688">
            <v>129</v>
          </cell>
          <cell r="V1688" t="str">
            <v>Available</v>
          </cell>
        </row>
        <row r="1689">
          <cell r="A1689" t="str">
            <v>100800250023</v>
          </cell>
          <cell r="B1689" t="str">
            <v>Teghra</v>
          </cell>
          <cell r="C1689" t="str">
            <v>Teghra</v>
          </cell>
          <cell r="D1689" t="str">
            <v>Gomukh Bishanpur</v>
          </cell>
          <cell r="E1689">
            <v>10080025</v>
          </cell>
          <cell r="F1689" t="str">
            <v>0023</v>
          </cell>
          <cell r="G1689">
            <v>9</v>
          </cell>
          <cell r="H1689">
            <v>16.599999999999998</v>
          </cell>
          <cell r="I1689">
            <v>623.50828293600011</v>
          </cell>
          <cell r="J1689">
            <v>0</v>
          </cell>
          <cell r="K1689">
            <v>0</v>
          </cell>
          <cell r="L1689">
            <v>151</v>
          </cell>
          <cell r="M1689">
            <v>0</v>
          </cell>
          <cell r="P1689">
            <v>473</v>
          </cell>
          <cell r="V1689" t="str">
            <v>Available</v>
          </cell>
        </row>
        <row r="1690">
          <cell r="A1690" t="str">
            <v>100800250024</v>
          </cell>
          <cell r="B1690" t="str">
            <v>Teghra</v>
          </cell>
          <cell r="C1690" t="str">
            <v>Teghra</v>
          </cell>
          <cell r="D1690" t="str">
            <v>Gomukh Bishanpur</v>
          </cell>
          <cell r="E1690">
            <v>10080025</v>
          </cell>
          <cell r="F1690" t="str">
            <v>0024</v>
          </cell>
          <cell r="G1690">
            <v>7</v>
          </cell>
          <cell r="H1690">
            <v>7.7099999999999991</v>
          </cell>
          <cell r="I1690">
            <v>306.71847003600004</v>
          </cell>
          <cell r="J1690">
            <v>0</v>
          </cell>
          <cell r="K1690">
            <v>0</v>
          </cell>
          <cell r="L1690">
            <v>151</v>
          </cell>
          <cell r="M1690">
            <v>0</v>
          </cell>
          <cell r="P1690">
            <v>156</v>
          </cell>
          <cell r="V1690" t="str">
            <v>Available</v>
          </cell>
        </row>
        <row r="1691">
          <cell r="A1691" t="str">
            <v>100800250031</v>
          </cell>
          <cell r="B1691" t="str">
            <v>Teghra</v>
          </cell>
          <cell r="C1691" t="str">
            <v>Teghra</v>
          </cell>
          <cell r="D1691" t="str">
            <v>Gomukh Bishanpur</v>
          </cell>
          <cell r="E1691">
            <v>10080025</v>
          </cell>
          <cell r="F1691" t="str">
            <v>0031</v>
          </cell>
          <cell r="G1691">
            <v>4</v>
          </cell>
          <cell r="H1691">
            <v>7.51</v>
          </cell>
          <cell r="I1691">
            <v>284.31530622000002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P1691">
            <v>284</v>
          </cell>
          <cell r="V1691" t="str">
            <v>Available</v>
          </cell>
        </row>
        <row r="1692">
          <cell r="A1692" t="str">
            <v>100800250032</v>
          </cell>
          <cell r="B1692" t="str">
            <v>Teghra</v>
          </cell>
          <cell r="C1692" t="str">
            <v>Teghra</v>
          </cell>
          <cell r="D1692" t="str">
            <v>Gomukh Bishanpur</v>
          </cell>
          <cell r="E1692">
            <v>10080025</v>
          </cell>
          <cell r="F1692" t="str">
            <v>0032</v>
          </cell>
          <cell r="G1692">
            <v>13</v>
          </cell>
          <cell r="H1692">
            <v>50.34</v>
          </cell>
          <cell r="I1692">
            <v>1734.2724733092002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P1692">
            <v>1734</v>
          </cell>
          <cell r="V1692" t="str">
            <v>Available</v>
          </cell>
        </row>
        <row r="1693">
          <cell r="A1693" t="str">
            <v>100800250033</v>
          </cell>
          <cell r="B1693" t="str">
            <v>Teghra</v>
          </cell>
          <cell r="C1693" t="str">
            <v>Teghra</v>
          </cell>
          <cell r="D1693" t="str">
            <v>Gomukh Bishanpur</v>
          </cell>
          <cell r="E1693">
            <v>10080025</v>
          </cell>
          <cell r="F1693" t="str">
            <v>0033</v>
          </cell>
          <cell r="G1693">
            <v>12</v>
          </cell>
          <cell r="H1693">
            <v>33.869999999999997</v>
          </cell>
          <cell r="I1693">
            <v>1272.1662107351999</v>
          </cell>
          <cell r="J1693">
            <v>0</v>
          </cell>
          <cell r="K1693">
            <v>0</v>
          </cell>
          <cell r="L1693">
            <v>151</v>
          </cell>
          <cell r="M1693">
            <v>0</v>
          </cell>
          <cell r="P1693">
            <v>1121</v>
          </cell>
          <cell r="V1693" t="str">
            <v>Available</v>
          </cell>
        </row>
        <row r="1694">
          <cell r="A1694" t="str">
            <v>100800250035</v>
          </cell>
          <cell r="B1694" t="str">
            <v>Teghra</v>
          </cell>
          <cell r="C1694" t="str">
            <v>Teghra</v>
          </cell>
          <cell r="D1694" t="str">
            <v>Gomukh Bishanpur</v>
          </cell>
          <cell r="E1694">
            <v>10080025</v>
          </cell>
          <cell r="F1694" t="str">
            <v>0035</v>
          </cell>
          <cell r="G1694">
            <v>13</v>
          </cell>
          <cell r="H1694">
            <v>28.259999999999994</v>
          </cell>
          <cell r="I1694">
            <v>1117.5693633720002</v>
          </cell>
          <cell r="J1694">
            <v>0</v>
          </cell>
          <cell r="K1694">
            <v>0</v>
          </cell>
          <cell r="L1694">
            <v>151</v>
          </cell>
          <cell r="M1694">
            <v>0</v>
          </cell>
          <cell r="P1694">
            <v>967</v>
          </cell>
          <cell r="V1694" t="str">
            <v>Available</v>
          </cell>
        </row>
        <row r="1695">
          <cell r="A1695" t="str">
            <v>100800250036</v>
          </cell>
          <cell r="B1695" t="str">
            <v>Teghra</v>
          </cell>
          <cell r="C1695" t="str">
            <v>Teghra</v>
          </cell>
          <cell r="D1695" t="str">
            <v>Gomukh Bishanpur</v>
          </cell>
          <cell r="E1695">
            <v>10080025</v>
          </cell>
          <cell r="F1695" t="str">
            <v>0036</v>
          </cell>
          <cell r="G1695">
            <v>4</v>
          </cell>
          <cell r="H1695">
            <v>6.34</v>
          </cell>
          <cell r="I1695">
            <v>258.55407151200006</v>
          </cell>
          <cell r="J1695">
            <v>0</v>
          </cell>
          <cell r="K1695">
            <v>0</v>
          </cell>
          <cell r="L1695">
            <v>151</v>
          </cell>
          <cell r="M1695">
            <v>0</v>
          </cell>
          <cell r="P1695">
            <v>108</v>
          </cell>
          <cell r="V1695" t="str">
            <v>Available</v>
          </cell>
        </row>
        <row r="1696">
          <cell r="A1696" t="str">
            <v>100800250038</v>
          </cell>
          <cell r="B1696" t="str">
            <v>Teghra</v>
          </cell>
          <cell r="C1696" t="str">
            <v>Teghra</v>
          </cell>
          <cell r="D1696" t="str">
            <v>Gomukh Bishanpur</v>
          </cell>
          <cell r="E1696">
            <v>10080025</v>
          </cell>
          <cell r="F1696" t="str">
            <v>0038</v>
          </cell>
          <cell r="G1696">
            <v>7</v>
          </cell>
          <cell r="H1696">
            <v>18.86</v>
          </cell>
          <cell r="I1696">
            <v>722.42745775200012</v>
          </cell>
          <cell r="J1696">
            <v>0</v>
          </cell>
          <cell r="K1696">
            <v>0</v>
          </cell>
          <cell r="L1696">
            <v>151</v>
          </cell>
          <cell r="M1696">
            <v>0</v>
          </cell>
          <cell r="P1696">
            <v>571</v>
          </cell>
          <cell r="V1696" t="str">
            <v>Available</v>
          </cell>
        </row>
        <row r="1697">
          <cell r="A1697" t="str">
            <v>100800250041</v>
          </cell>
          <cell r="B1697" t="str">
            <v>Teghra</v>
          </cell>
          <cell r="C1697" t="str">
            <v>Teghra</v>
          </cell>
          <cell r="D1697" t="str">
            <v>Gomukh Bishanpur</v>
          </cell>
          <cell r="E1697">
            <v>10080025</v>
          </cell>
          <cell r="F1697" t="str">
            <v>0041</v>
          </cell>
          <cell r="G1697">
            <v>6</v>
          </cell>
          <cell r="H1697">
            <v>13.47</v>
          </cell>
          <cell r="I1697">
            <v>490.56797564279998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P1697">
            <v>491</v>
          </cell>
          <cell r="V1697" t="str">
            <v>Available</v>
          </cell>
        </row>
        <row r="1698">
          <cell r="A1698" t="str">
            <v>100800250055</v>
          </cell>
          <cell r="B1698" t="str">
            <v>Teghra</v>
          </cell>
          <cell r="C1698" t="str">
            <v>Teghra</v>
          </cell>
          <cell r="D1698" t="str">
            <v>Gomukh Bishanpur</v>
          </cell>
          <cell r="E1698">
            <v>10080025</v>
          </cell>
          <cell r="F1698" t="str">
            <v>0055</v>
          </cell>
          <cell r="G1698">
            <v>1</v>
          </cell>
          <cell r="H1698">
            <v>5.93</v>
          </cell>
          <cell r="I1698">
            <v>250.48985346000001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P1698">
            <v>250</v>
          </cell>
          <cell r="V1698" t="str">
            <v>Available</v>
          </cell>
        </row>
        <row r="1699">
          <cell r="A1699" t="str">
            <v>100800250056</v>
          </cell>
          <cell r="B1699" t="str">
            <v>Teghra</v>
          </cell>
          <cell r="C1699" t="str">
            <v>Teghra</v>
          </cell>
          <cell r="D1699" t="str">
            <v>Gomukh Bishanpur</v>
          </cell>
          <cell r="E1699">
            <v>10080025</v>
          </cell>
          <cell r="F1699" t="str">
            <v>0056</v>
          </cell>
          <cell r="G1699">
            <v>7</v>
          </cell>
          <cell r="H1699">
            <v>14.95</v>
          </cell>
          <cell r="I1699">
            <v>549.50636242260009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P1699">
            <v>550</v>
          </cell>
          <cell r="V1699" t="str">
            <v>Available</v>
          </cell>
        </row>
        <row r="1700">
          <cell r="A1700" t="str">
            <v>100800250061</v>
          </cell>
          <cell r="B1700" t="str">
            <v>Teghra</v>
          </cell>
          <cell r="C1700" t="str">
            <v>Teghra</v>
          </cell>
          <cell r="D1700" t="str">
            <v>Gomukh Bishanpur</v>
          </cell>
          <cell r="E1700">
            <v>10080025</v>
          </cell>
          <cell r="F1700" t="str">
            <v>0061</v>
          </cell>
          <cell r="G1700">
            <v>13</v>
          </cell>
          <cell r="H1700">
            <v>31.740000000000002</v>
          </cell>
          <cell r="I1700">
            <v>1106.7246605646001</v>
          </cell>
          <cell r="J1700">
            <v>0</v>
          </cell>
          <cell r="K1700">
            <v>0</v>
          </cell>
          <cell r="L1700">
            <v>151</v>
          </cell>
          <cell r="M1700">
            <v>0</v>
          </cell>
          <cell r="P1700">
            <v>956</v>
          </cell>
          <cell r="V1700" t="str">
            <v>Available</v>
          </cell>
        </row>
        <row r="1701">
          <cell r="A1701" t="str">
            <v>100800250062</v>
          </cell>
          <cell r="B1701" t="str">
            <v>Teghra</v>
          </cell>
          <cell r="C1701" t="str">
            <v>Teghra</v>
          </cell>
          <cell r="D1701" t="str">
            <v>Gomukh Bishanpur</v>
          </cell>
          <cell r="E1701">
            <v>10080025</v>
          </cell>
          <cell r="F1701" t="str">
            <v>0062</v>
          </cell>
          <cell r="G1701">
            <v>7</v>
          </cell>
          <cell r="H1701">
            <v>15.409999999999998</v>
          </cell>
          <cell r="I1701">
            <v>535.26465273600002</v>
          </cell>
          <cell r="J1701">
            <v>0</v>
          </cell>
          <cell r="K1701">
            <v>0</v>
          </cell>
          <cell r="L1701">
            <v>151</v>
          </cell>
          <cell r="M1701">
            <v>0</v>
          </cell>
          <cell r="P1701">
            <v>384</v>
          </cell>
          <cell r="V1701" t="str">
            <v>Available</v>
          </cell>
        </row>
        <row r="1702">
          <cell r="A1702" t="str">
            <v>100800250064</v>
          </cell>
          <cell r="B1702" t="str">
            <v>Teghra</v>
          </cell>
          <cell r="C1702" t="str">
            <v>Teghra</v>
          </cell>
          <cell r="D1702" t="str">
            <v>Gomukh Bishanpur</v>
          </cell>
          <cell r="E1702">
            <v>10080025</v>
          </cell>
          <cell r="F1702" t="str">
            <v>0064</v>
          </cell>
          <cell r="G1702">
            <v>7</v>
          </cell>
          <cell r="H1702">
            <v>66.669999999999987</v>
          </cell>
          <cell r="I1702">
            <v>2509.8450109524001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P1702">
            <v>2510</v>
          </cell>
          <cell r="V1702" t="str">
            <v>Available</v>
          </cell>
        </row>
        <row r="1703">
          <cell r="A1703" t="str">
            <v>100800320001</v>
          </cell>
          <cell r="B1703" t="str">
            <v>Teghra</v>
          </cell>
          <cell r="C1703" t="str">
            <v>Teghra</v>
          </cell>
          <cell r="D1703" t="str">
            <v>GOMUKH BEGAMSARAI</v>
          </cell>
          <cell r="E1703">
            <v>10080032</v>
          </cell>
          <cell r="F1703" t="str">
            <v>0001</v>
          </cell>
          <cell r="G1703">
            <v>12</v>
          </cell>
          <cell r="H1703">
            <v>2.1999999999999997</v>
          </cell>
          <cell r="I1703">
            <v>89.722812960000013</v>
          </cell>
          <cell r="J1703">
            <v>0</v>
          </cell>
          <cell r="K1703">
            <v>89.722812960000013</v>
          </cell>
          <cell r="L1703">
            <v>0</v>
          </cell>
          <cell r="M1703">
            <v>0</v>
          </cell>
          <cell r="P1703">
            <v>0</v>
          </cell>
          <cell r="V1703" t="str">
            <v>Not Available</v>
          </cell>
        </row>
        <row r="1704">
          <cell r="A1704" t="str">
            <v>100800320002</v>
          </cell>
          <cell r="B1704" t="str">
            <v>Teghra</v>
          </cell>
          <cell r="C1704" t="str">
            <v>Teghra</v>
          </cell>
          <cell r="D1704" t="str">
            <v>GOMUKH BEGAMSARAI</v>
          </cell>
          <cell r="E1704">
            <v>10080032</v>
          </cell>
          <cell r="F1704" t="str">
            <v>0002</v>
          </cell>
          <cell r="G1704">
            <v>12</v>
          </cell>
          <cell r="H1704">
            <v>145.24</v>
          </cell>
          <cell r="I1704">
            <v>5908.1065599600006</v>
          </cell>
          <cell r="J1704">
            <v>0</v>
          </cell>
          <cell r="K1704">
            <v>0</v>
          </cell>
          <cell r="L1704">
            <v>0</v>
          </cell>
          <cell r="M1704">
            <v>5908</v>
          </cell>
          <cell r="P1704">
            <v>0</v>
          </cell>
          <cell r="V1704" t="str">
            <v>Available</v>
          </cell>
        </row>
        <row r="1705">
          <cell r="A1705" t="str">
            <v>100800320020</v>
          </cell>
          <cell r="B1705" t="str">
            <v>Teghra</v>
          </cell>
          <cell r="C1705" t="str">
            <v>Teghra</v>
          </cell>
          <cell r="D1705" t="str">
            <v>GOMUKH BEGAMSARAI</v>
          </cell>
          <cell r="E1705">
            <v>10080032</v>
          </cell>
          <cell r="F1705" t="str">
            <v>0020</v>
          </cell>
          <cell r="G1705">
            <v>3</v>
          </cell>
          <cell r="H1705">
            <v>47.21</v>
          </cell>
          <cell r="I1705">
            <v>1920.9019001039999</v>
          </cell>
          <cell r="J1705">
            <v>0</v>
          </cell>
          <cell r="K1705">
            <v>0</v>
          </cell>
          <cell r="L1705">
            <v>0</v>
          </cell>
          <cell r="M1705">
            <v>1921</v>
          </cell>
          <cell r="P1705">
            <v>0</v>
          </cell>
          <cell r="V1705" t="str">
            <v>Not Available</v>
          </cell>
        </row>
        <row r="1706">
          <cell r="A1706" t="str">
            <v>100800320021</v>
          </cell>
          <cell r="B1706" t="str">
            <v>Teghra</v>
          </cell>
          <cell r="C1706" t="str">
            <v>Teghra</v>
          </cell>
          <cell r="D1706" t="str">
            <v>GOMUKH BEGAMSARAI</v>
          </cell>
          <cell r="E1706">
            <v>10080032</v>
          </cell>
          <cell r="F1706" t="str">
            <v>0021</v>
          </cell>
          <cell r="G1706">
            <v>1</v>
          </cell>
          <cell r="H1706">
            <v>6.29</v>
          </cell>
          <cell r="I1706">
            <v>264.03601435200005</v>
          </cell>
          <cell r="J1706">
            <v>0</v>
          </cell>
          <cell r="K1706">
            <v>0</v>
          </cell>
          <cell r="L1706">
            <v>0</v>
          </cell>
          <cell r="M1706">
            <v>264</v>
          </cell>
          <cell r="P1706">
            <v>0</v>
          </cell>
          <cell r="V1706" t="str">
            <v>Not Available</v>
          </cell>
        </row>
        <row r="1707">
          <cell r="A1707" t="str">
            <v>100800320024</v>
          </cell>
          <cell r="B1707" t="str">
            <v>Teghra</v>
          </cell>
          <cell r="C1707" t="str">
            <v>Teghra</v>
          </cell>
          <cell r="D1707" t="str">
            <v>GOMUKH BEGAMSARAI</v>
          </cell>
          <cell r="E1707">
            <v>10080032</v>
          </cell>
          <cell r="F1707" t="str">
            <v>0024</v>
          </cell>
          <cell r="G1707">
            <v>12</v>
          </cell>
          <cell r="H1707">
            <v>134.94999999999999</v>
          </cell>
          <cell r="I1707">
            <v>5471.4787526520004</v>
          </cell>
          <cell r="J1707">
            <v>0</v>
          </cell>
          <cell r="K1707">
            <v>0</v>
          </cell>
          <cell r="L1707">
            <v>0</v>
          </cell>
          <cell r="M1707">
            <v>5471</v>
          </cell>
          <cell r="P1707">
            <v>0</v>
          </cell>
          <cell r="V1707" t="str">
            <v>Not Available</v>
          </cell>
        </row>
        <row r="1708">
          <cell r="A1708" t="str">
            <v>100800320027</v>
          </cell>
          <cell r="B1708" t="str">
            <v>Teghra</v>
          </cell>
          <cell r="C1708" t="str">
            <v>Teghra</v>
          </cell>
          <cell r="D1708" t="str">
            <v>GOMUKH BEGAMSARAI</v>
          </cell>
          <cell r="E1708">
            <v>10080032</v>
          </cell>
          <cell r="F1708" t="str">
            <v>0027</v>
          </cell>
          <cell r="G1708">
            <v>10</v>
          </cell>
          <cell r="H1708">
            <v>86.56</v>
          </cell>
          <cell r="I1708">
            <v>3521.8150973280008</v>
          </cell>
          <cell r="J1708">
            <v>0</v>
          </cell>
          <cell r="K1708">
            <v>0</v>
          </cell>
          <cell r="L1708">
            <v>0</v>
          </cell>
          <cell r="M1708">
            <v>3522</v>
          </cell>
          <cell r="P1708">
            <v>0</v>
          </cell>
          <cell r="V1708" t="str">
            <v>Not Available</v>
          </cell>
        </row>
        <row r="1709">
          <cell r="A1709" t="str">
            <v>100800320031</v>
          </cell>
          <cell r="B1709" t="str">
            <v>Teghra</v>
          </cell>
          <cell r="C1709" t="str">
            <v>Teghra</v>
          </cell>
          <cell r="D1709" t="str">
            <v>GOMUKH BEGAMSARAI</v>
          </cell>
          <cell r="E1709">
            <v>10080032</v>
          </cell>
          <cell r="F1709" t="str">
            <v>0031</v>
          </cell>
          <cell r="G1709">
            <v>7</v>
          </cell>
          <cell r="H1709">
            <v>40.54</v>
          </cell>
          <cell r="I1709">
            <v>1713.9653463240002</v>
          </cell>
          <cell r="J1709">
            <v>0</v>
          </cell>
          <cell r="K1709">
            <v>0</v>
          </cell>
          <cell r="L1709">
            <v>0</v>
          </cell>
          <cell r="M1709">
            <v>1714</v>
          </cell>
          <cell r="P1709">
            <v>0</v>
          </cell>
          <cell r="V1709" t="str">
            <v>Available</v>
          </cell>
        </row>
        <row r="1710">
          <cell r="A1710" t="str">
            <v>100800480001</v>
          </cell>
          <cell r="B1710" t="str">
            <v>Teghra</v>
          </cell>
          <cell r="C1710" t="str">
            <v>Teghra</v>
          </cell>
          <cell r="D1710" t="str">
            <v>GOMUKH RANI 3</v>
          </cell>
          <cell r="E1710">
            <v>10080048</v>
          </cell>
          <cell r="F1710" t="str">
            <v>0001</v>
          </cell>
          <cell r="G1710">
            <v>13</v>
          </cell>
          <cell r="H1710">
            <v>1.9</v>
          </cell>
          <cell r="I1710">
            <v>84.907435398000004</v>
          </cell>
          <cell r="J1710">
            <v>0</v>
          </cell>
          <cell r="K1710">
            <v>84.907435398000004</v>
          </cell>
          <cell r="L1710">
            <v>0</v>
          </cell>
          <cell r="M1710">
            <v>0</v>
          </cell>
          <cell r="P1710">
            <v>0</v>
          </cell>
          <cell r="V1710" t="str">
            <v>Not Available</v>
          </cell>
        </row>
        <row r="1711">
          <cell r="A1711" t="str">
            <v>100800480002</v>
          </cell>
          <cell r="B1711" t="str">
            <v>Teghra</v>
          </cell>
          <cell r="C1711" t="str">
            <v>Teghra</v>
          </cell>
          <cell r="D1711" t="str">
            <v>GOMUKH RANI 3</v>
          </cell>
          <cell r="E1711">
            <v>10080048</v>
          </cell>
          <cell r="F1711" t="str">
            <v>0002</v>
          </cell>
          <cell r="G1711">
            <v>3</v>
          </cell>
          <cell r="H1711">
            <v>9.5</v>
          </cell>
          <cell r="I1711">
            <v>382.20166551600005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P1711">
            <v>382</v>
          </cell>
          <cell r="V1711" t="str">
            <v>Available</v>
          </cell>
        </row>
        <row r="1712">
          <cell r="A1712" t="str">
            <v>100800480004</v>
          </cell>
          <cell r="B1712" t="str">
            <v>Teghra</v>
          </cell>
          <cell r="C1712" t="str">
            <v>Teghra</v>
          </cell>
          <cell r="D1712" t="str">
            <v>GOMUKH RANI 3</v>
          </cell>
          <cell r="E1712">
            <v>10080048</v>
          </cell>
          <cell r="F1712" t="str">
            <v>0004</v>
          </cell>
          <cell r="G1712">
            <v>2</v>
          </cell>
          <cell r="H1712">
            <v>18.899999999999999</v>
          </cell>
          <cell r="I1712">
            <v>1051.0225554998401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P1712">
            <v>1051</v>
          </cell>
          <cell r="V1712" t="str">
            <v>Available</v>
          </cell>
        </row>
        <row r="1713">
          <cell r="A1713" t="str">
            <v>100800480016</v>
          </cell>
          <cell r="B1713" t="str">
            <v>Teghra</v>
          </cell>
          <cell r="C1713" t="str">
            <v>Teghra</v>
          </cell>
          <cell r="D1713" t="str">
            <v>GOMUKH RANI 3</v>
          </cell>
          <cell r="E1713">
            <v>10080048</v>
          </cell>
          <cell r="F1713" t="str">
            <v>0016</v>
          </cell>
          <cell r="G1713">
            <v>8</v>
          </cell>
          <cell r="H1713">
            <v>71.009999999999991</v>
          </cell>
          <cell r="I1713">
            <v>2723.1183848880005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P1713">
            <v>2723</v>
          </cell>
          <cell r="V1713" t="str">
            <v>Available</v>
          </cell>
        </row>
        <row r="1714">
          <cell r="A1714" t="str">
            <v>100800480017</v>
          </cell>
          <cell r="B1714" t="str">
            <v>Teghra</v>
          </cell>
          <cell r="C1714" t="str">
            <v>Teghra</v>
          </cell>
          <cell r="D1714" t="str">
            <v>GOMUKH RANI 3</v>
          </cell>
          <cell r="E1714">
            <v>10080048</v>
          </cell>
          <cell r="F1714" t="str">
            <v>0017</v>
          </cell>
          <cell r="G1714">
            <v>14</v>
          </cell>
          <cell r="H1714">
            <v>88.73</v>
          </cell>
          <cell r="I1714">
            <v>4240.3192413691568</v>
          </cell>
          <cell r="J1714">
            <v>0</v>
          </cell>
          <cell r="K1714">
            <v>0</v>
          </cell>
          <cell r="L1714">
            <v>0</v>
          </cell>
          <cell r="M1714">
            <v>3340</v>
          </cell>
          <cell r="P1714">
            <v>900</v>
          </cell>
          <cell r="V1714" t="str">
            <v>Available</v>
          </cell>
        </row>
        <row r="1715">
          <cell r="A1715" t="str">
            <v>100800480019</v>
          </cell>
          <cell r="B1715" t="str">
            <v>Teghra</v>
          </cell>
          <cell r="C1715" t="str">
            <v>Teghra</v>
          </cell>
          <cell r="D1715" t="str">
            <v>GOMUKH RANI 3</v>
          </cell>
          <cell r="E1715">
            <v>10080048</v>
          </cell>
          <cell r="F1715" t="str">
            <v>0019</v>
          </cell>
          <cell r="G1715">
            <v>14</v>
          </cell>
          <cell r="H1715">
            <v>45.19</v>
          </cell>
          <cell r="I1715">
            <v>1680.3272101176001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P1715">
            <v>1680</v>
          </cell>
          <cell r="V1715" t="str">
            <v>Available</v>
          </cell>
        </row>
        <row r="1716">
          <cell r="A1716" t="str">
            <v>100800520001</v>
          </cell>
          <cell r="B1716" t="str">
            <v>Teghra</v>
          </cell>
          <cell r="C1716" t="str">
            <v>Teghra</v>
          </cell>
          <cell r="D1716" t="str">
            <v>GOMUKH NONPUR</v>
          </cell>
          <cell r="E1716">
            <v>10080052</v>
          </cell>
          <cell r="F1716" t="str">
            <v>0001</v>
          </cell>
          <cell r="G1716">
            <v>10</v>
          </cell>
          <cell r="H1716">
            <v>1.4400000000000002</v>
          </cell>
          <cell r="I1716">
            <v>58.398409080000008</v>
          </cell>
          <cell r="J1716">
            <v>0</v>
          </cell>
          <cell r="K1716">
            <v>58.398409080000008</v>
          </cell>
          <cell r="L1716">
            <v>0</v>
          </cell>
          <cell r="M1716">
            <v>0</v>
          </cell>
          <cell r="P1716">
            <v>0</v>
          </cell>
          <cell r="V1716" t="str">
            <v>Not Available</v>
          </cell>
        </row>
        <row r="1717">
          <cell r="A1717" t="str">
            <v>100800520002</v>
          </cell>
          <cell r="B1717" t="str">
            <v>Teghra</v>
          </cell>
          <cell r="C1717" t="str">
            <v>Teghra</v>
          </cell>
          <cell r="D1717" t="str">
            <v>GOMUKH NONPUR</v>
          </cell>
          <cell r="E1717">
            <v>10080052</v>
          </cell>
          <cell r="F1717" t="str">
            <v>0002</v>
          </cell>
          <cell r="G1717">
            <v>10</v>
          </cell>
          <cell r="H1717">
            <v>445.64999999999992</v>
          </cell>
          <cell r="I1717">
            <v>17011.1316573</v>
          </cell>
          <cell r="J1717">
            <v>0</v>
          </cell>
          <cell r="K1717">
            <v>0</v>
          </cell>
          <cell r="L1717">
            <v>2344</v>
          </cell>
          <cell r="M1717">
            <v>6800</v>
          </cell>
          <cell r="P1717">
            <v>7867</v>
          </cell>
          <cell r="V1717" t="str">
            <v>Available</v>
          </cell>
        </row>
        <row r="1718">
          <cell r="A1718" t="str">
            <v>100800520003</v>
          </cell>
          <cell r="B1718" t="str">
            <v>Teghra</v>
          </cell>
          <cell r="C1718" t="str">
            <v>Teghra</v>
          </cell>
          <cell r="D1718" t="str">
            <v>GOMUKH NONPUR</v>
          </cell>
          <cell r="E1718">
            <v>10080052</v>
          </cell>
          <cell r="F1718" t="str">
            <v>0003</v>
          </cell>
          <cell r="G1718">
            <v>9</v>
          </cell>
          <cell r="H1718">
            <v>174.45</v>
          </cell>
          <cell r="I1718">
            <v>7123.7328128999998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P1718">
            <v>7124</v>
          </cell>
          <cell r="V1718" t="str">
            <v>Available</v>
          </cell>
        </row>
        <row r="1719">
          <cell r="A1719" t="str">
            <v>100800520004</v>
          </cell>
          <cell r="B1719" t="str">
            <v>Teghra</v>
          </cell>
          <cell r="C1719" t="str">
            <v>Teghra</v>
          </cell>
          <cell r="D1719" t="str">
            <v>GOMUKH NONPUR</v>
          </cell>
          <cell r="E1719">
            <v>10080052</v>
          </cell>
          <cell r="F1719" t="str">
            <v>0004</v>
          </cell>
          <cell r="G1719">
            <v>1</v>
          </cell>
          <cell r="H1719">
            <v>8.77</v>
          </cell>
          <cell r="I1719">
            <v>360.03587993999997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P1719">
            <v>360</v>
          </cell>
          <cell r="V1719" t="str">
            <v>Available</v>
          </cell>
        </row>
        <row r="1720">
          <cell r="A1720" t="str">
            <v>100800520006</v>
          </cell>
          <cell r="B1720" t="str">
            <v>Teghra</v>
          </cell>
          <cell r="C1720" t="str">
            <v>Teghra</v>
          </cell>
          <cell r="D1720" t="str">
            <v>GOMUKH NONPUR</v>
          </cell>
          <cell r="E1720">
            <v>10080052</v>
          </cell>
          <cell r="F1720" t="str">
            <v>0006</v>
          </cell>
          <cell r="G1720">
            <v>8</v>
          </cell>
          <cell r="H1720">
            <v>100.62</v>
          </cell>
          <cell r="I1720">
            <v>4125.4032956400006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P1720">
            <v>4125</v>
          </cell>
          <cell r="V1720" t="str">
            <v>Available</v>
          </cell>
        </row>
        <row r="1721">
          <cell r="A1721" t="str">
            <v>100800530002</v>
          </cell>
          <cell r="B1721" t="str">
            <v>Teghra</v>
          </cell>
          <cell r="C1721" t="str">
            <v>Teghra</v>
          </cell>
          <cell r="D1721" t="str">
            <v>GOMUKH FATEHA</v>
          </cell>
          <cell r="E1721">
            <v>10080053</v>
          </cell>
          <cell r="F1721" t="str">
            <v>0002</v>
          </cell>
          <cell r="G1721">
            <v>14</v>
          </cell>
          <cell r="H1721">
            <v>501.97</v>
          </cell>
          <cell r="I1721">
            <v>17959.43225500247</v>
          </cell>
          <cell r="J1721">
            <v>0</v>
          </cell>
          <cell r="K1721">
            <v>0</v>
          </cell>
          <cell r="L1721">
            <v>3169</v>
          </cell>
          <cell r="M1721">
            <v>0</v>
          </cell>
          <cell r="P1721">
            <v>14790</v>
          </cell>
          <cell r="V1721" t="str">
            <v>Available</v>
          </cell>
        </row>
        <row r="1722">
          <cell r="A1722" t="str">
            <v>100800530022</v>
          </cell>
          <cell r="B1722" t="str">
            <v>Teghra</v>
          </cell>
          <cell r="C1722" t="str">
            <v>Teghra</v>
          </cell>
          <cell r="D1722" t="str">
            <v>GOMUKH FATEHA</v>
          </cell>
          <cell r="E1722">
            <v>10080053</v>
          </cell>
          <cell r="F1722" t="str">
            <v>0022</v>
          </cell>
          <cell r="G1722">
            <v>11</v>
          </cell>
          <cell r="H1722">
            <v>36.269999999999996</v>
          </cell>
          <cell r="I1722">
            <v>1397.7450820080003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P1722">
            <v>1398</v>
          </cell>
          <cell r="V1722" t="str">
            <v>Available</v>
          </cell>
        </row>
        <row r="1723">
          <cell r="A1723" t="str">
            <v>100800530024</v>
          </cell>
          <cell r="B1723" t="str">
            <v>Teghra</v>
          </cell>
          <cell r="C1723" t="str">
            <v>Teghra</v>
          </cell>
          <cell r="D1723" t="str">
            <v>GOMUKH FATEHA</v>
          </cell>
          <cell r="E1723">
            <v>10080053</v>
          </cell>
          <cell r="F1723" t="str">
            <v>0024</v>
          </cell>
          <cell r="G1723">
            <v>1</v>
          </cell>
          <cell r="H1723">
            <v>0.96</v>
          </cell>
          <cell r="I1723">
            <v>58.928375807999998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P1723">
            <v>59</v>
          </cell>
          <cell r="V1723" t="str">
            <v>Available</v>
          </cell>
        </row>
        <row r="1724">
          <cell r="A1724" t="str">
            <v>100800550002</v>
          </cell>
          <cell r="B1724" t="str">
            <v>Teghra</v>
          </cell>
          <cell r="C1724" t="str">
            <v>Teghra</v>
          </cell>
          <cell r="D1724" t="str">
            <v>Gomukh Rani                                                                                         </v>
          </cell>
          <cell r="E1724">
            <v>10080055</v>
          </cell>
          <cell r="F1724" t="str">
            <v>0002</v>
          </cell>
          <cell r="G1724">
            <v>9</v>
          </cell>
          <cell r="H1724">
            <v>121.72</v>
          </cell>
          <cell r="I1724">
            <v>4858.5384029160005</v>
          </cell>
          <cell r="J1724">
            <v>0</v>
          </cell>
          <cell r="K1724">
            <v>0</v>
          </cell>
          <cell r="L1724">
            <v>938</v>
          </cell>
          <cell r="M1724">
            <v>0</v>
          </cell>
          <cell r="P1724">
            <v>3237</v>
          </cell>
          <cell r="V1724" t="str">
            <v>Available</v>
          </cell>
        </row>
        <row r="1725">
          <cell r="A1725" t="str">
            <v>100800550003</v>
          </cell>
          <cell r="B1725" t="str">
            <v>Teghra</v>
          </cell>
          <cell r="C1725" t="str">
            <v>Teghra</v>
          </cell>
          <cell r="D1725" t="str">
            <v>Gomukh Rani                                                                                         </v>
          </cell>
          <cell r="E1725">
            <v>10080055</v>
          </cell>
          <cell r="F1725" t="str">
            <v>0003</v>
          </cell>
          <cell r="G1725">
            <v>8</v>
          </cell>
          <cell r="H1725">
            <v>81.72</v>
          </cell>
          <cell r="I1725">
            <v>3281.7983319000004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P1725">
            <v>3282</v>
          </cell>
          <cell r="V1725" t="str">
            <v>Available</v>
          </cell>
        </row>
        <row r="1726">
          <cell r="A1726" t="str">
            <v>100800550004</v>
          </cell>
          <cell r="B1726" t="str">
            <v>Teghra</v>
          </cell>
          <cell r="C1726" t="str">
            <v>Teghra</v>
          </cell>
          <cell r="D1726" t="str">
            <v>Gomukh Rani                                                                                         </v>
          </cell>
          <cell r="E1726">
            <v>10080055</v>
          </cell>
          <cell r="F1726" t="str">
            <v>0004</v>
          </cell>
          <cell r="G1726">
            <v>2</v>
          </cell>
          <cell r="H1726">
            <v>19.39</v>
          </cell>
          <cell r="I1726">
            <v>785.92232267999998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P1726">
            <v>786</v>
          </cell>
          <cell r="V1726" t="str">
            <v>Available</v>
          </cell>
        </row>
        <row r="1727">
          <cell r="A1727" t="str">
            <v>100800550005</v>
          </cell>
          <cell r="B1727" t="str">
            <v>Teghra</v>
          </cell>
          <cell r="C1727" t="str">
            <v>Teghra</v>
          </cell>
          <cell r="D1727" t="str">
            <v>Gomukh Rani                                                                                         </v>
          </cell>
          <cell r="E1727">
            <v>10080055</v>
          </cell>
          <cell r="F1727" t="str">
            <v>0005</v>
          </cell>
          <cell r="G1727">
            <v>2</v>
          </cell>
          <cell r="H1727">
            <v>21.14</v>
          </cell>
          <cell r="I1727">
            <v>857.36919708000005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P1727">
            <v>857</v>
          </cell>
          <cell r="V1727" t="str">
            <v>Available</v>
          </cell>
        </row>
        <row r="1728">
          <cell r="A1728" t="str">
            <v>100800610002</v>
          </cell>
          <cell r="B1728" t="str">
            <v>Teghra</v>
          </cell>
          <cell r="C1728" t="str">
            <v>Teghra</v>
          </cell>
          <cell r="D1728" t="str">
            <v>GOMUKH ROOPNAGAR</v>
          </cell>
          <cell r="E1728">
            <v>10080061</v>
          </cell>
          <cell r="F1728" t="str">
            <v>0002</v>
          </cell>
          <cell r="G1728">
            <v>8</v>
          </cell>
          <cell r="H1728">
            <v>124.60000000000001</v>
          </cell>
          <cell r="I1728">
            <v>4361.2222381200008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P1728">
            <v>4309</v>
          </cell>
          <cell r="V1728" t="str">
            <v>Available</v>
          </cell>
        </row>
        <row r="1729">
          <cell r="A1729" t="str">
            <v>100800620002</v>
          </cell>
          <cell r="B1729" t="str">
            <v>Teghra</v>
          </cell>
          <cell r="C1729" t="str">
            <v>Teghra</v>
          </cell>
          <cell r="D1729" t="str">
            <v>GOMUKH SIBUTOL 2</v>
          </cell>
          <cell r="E1729">
            <v>10080062</v>
          </cell>
          <cell r="F1729" t="str">
            <v>0002</v>
          </cell>
          <cell r="G1729">
            <v>1</v>
          </cell>
          <cell r="H1729">
            <v>52</v>
          </cell>
          <cell r="I1729">
            <v>2129.2636622400005</v>
          </cell>
          <cell r="J1729">
            <v>0</v>
          </cell>
          <cell r="K1729">
            <v>0</v>
          </cell>
          <cell r="L1729">
            <v>9</v>
          </cell>
          <cell r="M1729">
            <v>0</v>
          </cell>
          <cell r="P1729">
            <v>1745</v>
          </cell>
          <cell r="V1729" t="str">
            <v>Available</v>
          </cell>
        </row>
        <row r="1730">
          <cell r="A1730" t="str">
            <v>100800670002</v>
          </cell>
          <cell r="B1730" t="str">
            <v>Teghra</v>
          </cell>
          <cell r="C1730" t="str">
            <v>Teghra</v>
          </cell>
          <cell r="D1730" t="str">
            <v>Gomukh Harichak</v>
          </cell>
          <cell r="E1730">
            <v>10080067</v>
          </cell>
          <cell r="F1730" t="str">
            <v>0002</v>
          </cell>
          <cell r="G1730">
            <v>1</v>
          </cell>
          <cell r="H1730">
            <v>62</v>
          </cell>
          <cell r="I1730">
            <v>2136.9038209200003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P1730">
            <v>2072</v>
          </cell>
          <cell r="V1730" t="str">
            <v>Available</v>
          </cell>
        </row>
        <row r="1731">
          <cell r="A1731" t="str">
            <v>100800670005</v>
          </cell>
          <cell r="B1731" t="str">
            <v>Teghra</v>
          </cell>
          <cell r="C1731" t="str">
            <v>Teghra</v>
          </cell>
          <cell r="D1731" t="str">
            <v>Gomukh Harichak</v>
          </cell>
          <cell r="E1731">
            <v>10080067</v>
          </cell>
          <cell r="F1731" t="str">
            <v>0005</v>
          </cell>
          <cell r="G1731">
            <v>1</v>
          </cell>
          <cell r="H1731">
            <v>3.47</v>
          </cell>
          <cell r="I1731">
            <v>96.832367596800026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P1731">
            <v>97</v>
          </cell>
          <cell r="V1731" t="str">
            <v>Available</v>
          </cell>
        </row>
        <row r="1732">
          <cell r="A1732" t="str">
            <v>100800670027</v>
          </cell>
          <cell r="B1732" t="str">
            <v>Teghra</v>
          </cell>
          <cell r="C1732" t="str">
            <v>Teghra</v>
          </cell>
          <cell r="D1732" t="str">
            <v>Gomukh Harichak</v>
          </cell>
          <cell r="E1732">
            <v>10080067</v>
          </cell>
          <cell r="F1732" t="str">
            <v>0027</v>
          </cell>
          <cell r="G1732">
            <v>2</v>
          </cell>
          <cell r="H1732">
            <v>3.19</v>
          </cell>
          <cell r="I1732">
            <v>126.495028836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P1732">
            <v>126</v>
          </cell>
          <cell r="V1732" t="str">
            <v>Available</v>
          </cell>
        </row>
        <row r="1733">
          <cell r="A1733" t="str">
            <v>100800670040</v>
          </cell>
          <cell r="B1733" t="str">
            <v>Teghra</v>
          </cell>
          <cell r="C1733" t="str">
            <v>Teghra</v>
          </cell>
          <cell r="D1733" t="str">
            <v>Gomukh Harichak</v>
          </cell>
          <cell r="E1733">
            <v>10080067</v>
          </cell>
          <cell r="F1733" t="str">
            <v>0040</v>
          </cell>
          <cell r="G1733">
            <v>3</v>
          </cell>
          <cell r="H1733">
            <v>9.5399999999999991</v>
          </cell>
          <cell r="I1733">
            <v>261.17005242240003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P1733">
            <v>261</v>
          </cell>
          <cell r="V1733" t="str">
            <v>Available</v>
          </cell>
        </row>
        <row r="1734">
          <cell r="A1734" t="str">
            <v>100800770001</v>
          </cell>
          <cell r="B1734" t="str">
            <v>Teghra</v>
          </cell>
          <cell r="C1734" t="str">
            <v>Teghra</v>
          </cell>
          <cell r="D1734" t="str">
            <v>Gomukh Amarpur</v>
          </cell>
          <cell r="E1734">
            <v>10080077</v>
          </cell>
          <cell r="F1734" t="str">
            <v>0001</v>
          </cell>
          <cell r="G1734">
            <v>8</v>
          </cell>
          <cell r="H1734">
            <v>1.44</v>
          </cell>
          <cell r="I1734">
            <v>52.365264237000005</v>
          </cell>
          <cell r="J1734">
            <v>0</v>
          </cell>
          <cell r="K1734">
            <v>52.365264237000005</v>
          </cell>
          <cell r="L1734">
            <v>0</v>
          </cell>
          <cell r="M1734">
            <v>0</v>
          </cell>
          <cell r="P1734">
            <v>0</v>
          </cell>
          <cell r="V1734" t="str">
            <v>Not Available</v>
          </cell>
        </row>
        <row r="1735">
          <cell r="A1735" t="str">
            <v>100800770002</v>
          </cell>
          <cell r="B1735" t="str">
            <v>Teghra</v>
          </cell>
          <cell r="C1735" t="str">
            <v>Teghra</v>
          </cell>
          <cell r="D1735" t="str">
            <v>Gomukh Amarpur</v>
          </cell>
          <cell r="E1735">
            <v>10080077</v>
          </cell>
          <cell r="F1735" t="str">
            <v>0002</v>
          </cell>
          <cell r="G1735">
            <v>3</v>
          </cell>
          <cell r="H1735">
            <v>404.28000000000003</v>
          </cell>
          <cell r="I1735">
            <v>14991.248699856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P1735">
            <v>14991</v>
          </cell>
          <cell r="V1735" t="str">
            <v>Available</v>
          </cell>
        </row>
        <row r="1736">
          <cell r="A1736" t="str">
            <v>100800770003</v>
          </cell>
          <cell r="B1736" t="str">
            <v>Teghra</v>
          </cell>
          <cell r="C1736" t="str">
            <v>Teghra</v>
          </cell>
          <cell r="D1736" t="str">
            <v>Gomukh Amarpur</v>
          </cell>
          <cell r="E1736">
            <v>10080077</v>
          </cell>
          <cell r="F1736" t="str">
            <v>0003</v>
          </cell>
          <cell r="G1736">
            <v>7</v>
          </cell>
          <cell r="H1736">
            <v>110.93</v>
          </cell>
          <cell r="I1736">
            <v>4303.4218974125006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P1736">
            <v>4303</v>
          </cell>
          <cell r="V1736" t="str">
            <v>Available</v>
          </cell>
        </row>
        <row r="1737">
          <cell r="A1737" t="str">
            <v>100800770006</v>
          </cell>
          <cell r="B1737" t="str">
            <v>Teghra</v>
          </cell>
          <cell r="C1737" t="str">
            <v>Teghra</v>
          </cell>
          <cell r="D1737" t="str">
            <v>Gomukh Amarpur</v>
          </cell>
          <cell r="E1737">
            <v>10080077</v>
          </cell>
          <cell r="F1737" t="str">
            <v>0006</v>
          </cell>
          <cell r="G1737">
            <v>6</v>
          </cell>
          <cell r="H1737">
            <v>202.74</v>
          </cell>
          <cell r="I1737">
            <v>6846.952098789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P1737">
            <v>6847</v>
          </cell>
          <cell r="V1737" t="str">
            <v>Available</v>
          </cell>
        </row>
        <row r="1738">
          <cell r="A1738" t="str">
            <v>100800770007</v>
          </cell>
          <cell r="B1738" t="str">
            <v>Teghra</v>
          </cell>
          <cell r="C1738" t="str">
            <v>Teghra</v>
          </cell>
          <cell r="D1738" t="str">
            <v>Gomukh Amarpur</v>
          </cell>
          <cell r="E1738">
            <v>10080077</v>
          </cell>
          <cell r="F1738" t="str">
            <v>0007</v>
          </cell>
          <cell r="G1738">
            <v>3</v>
          </cell>
          <cell r="H1738">
            <v>57.760000000000005</v>
          </cell>
          <cell r="I1738">
            <v>2107.6124731200002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P1738">
            <v>2108</v>
          </cell>
          <cell r="V1738" t="str">
            <v>Available</v>
          </cell>
        </row>
        <row r="1739">
          <cell r="A1739" t="str">
            <v>100800770008</v>
          </cell>
          <cell r="B1739" t="str">
            <v>Teghra</v>
          </cell>
          <cell r="C1739" t="str">
            <v>Teghra</v>
          </cell>
          <cell r="D1739" t="str">
            <v>Gomukh Amarpur</v>
          </cell>
          <cell r="E1739">
            <v>10080077</v>
          </cell>
          <cell r="F1739" t="str">
            <v>0008</v>
          </cell>
          <cell r="G1739">
            <v>1</v>
          </cell>
          <cell r="H1739">
            <v>40</v>
          </cell>
          <cell r="I1739">
            <v>1394.4876264000002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P1739">
            <v>1394</v>
          </cell>
          <cell r="V1739" t="str">
            <v>Available</v>
          </cell>
        </row>
        <row r="1740">
          <cell r="A1740" t="str">
            <v>100800770013</v>
          </cell>
          <cell r="B1740" t="str">
            <v>Teghra</v>
          </cell>
          <cell r="C1740" t="str">
            <v>Teghra</v>
          </cell>
          <cell r="D1740" t="str">
            <v>Gomukh Amarpur</v>
          </cell>
          <cell r="E1740">
            <v>10080077</v>
          </cell>
          <cell r="F1740" t="str">
            <v>0013</v>
          </cell>
          <cell r="G1740">
            <v>1</v>
          </cell>
          <cell r="H1740">
            <v>15.97</v>
          </cell>
          <cell r="I1740">
            <v>502.15074857640008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P1740">
            <v>502</v>
          </cell>
          <cell r="V1740" t="str">
            <v>Available</v>
          </cell>
        </row>
        <row r="1741">
          <cell r="A1741" t="str">
            <v>100800770014</v>
          </cell>
          <cell r="B1741" t="str">
            <v>Teghra</v>
          </cell>
          <cell r="C1741" t="str">
            <v>Teghra</v>
          </cell>
          <cell r="D1741" t="str">
            <v>Gomukh Amarpur</v>
          </cell>
          <cell r="E1741">
            <v>10080077</v>
          </cell>
          <cell r="F1741" t="str">
            <v>0014</v>
          </cell>
          <cell r="G1741">
            <v>8</v>
          </cell>
          <cell r="H1741">
            <v>135.76000000000002</v>
          </cell>
          <cell r="I1741">
            <v>4410.0396207054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P1741">
            <v>4410</v>
          </cell>
          <cell r="V1741" t="str">
            <v>Available</v>
          </cell>
        </row>
        <row r="1742">
          <cell r="A1742" t="str">
            <v>100800790002</v>
          </cell>
          <cell r="B1742" t="str">
            <v>Teghra</v>
          </cell>
          <cell r="C1742" t="str">
            <v>Teghra</v>
          </cell>
          <cell r="D1742" t="str">
            <v>Gomukh Barauni 3</v>
          </cell>
          <cell r="E1742">
            <v>10080079</v>
          </cell>
          <cell r="F1742" t="str">
            <v>0002</v>
          </cell>
          <cell r="G1742">
            <v>1</v>
          </cell>
          <cell r="H1742">
            <v>163</v>
          </cell>
          <cell r="I1742">
            <v>6153.7545828000011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P1742">
            <v>6154</v>
          </cell>
          <cell r="V1742" t="str">
            <v>Available</v>
          </cell>
        </row>
        <row r="1743">
          <cell r="A1743" t="str">
            <v>100800870001</v>
          </cell>
          <cell r="B1743" t="str">
            <v>Teghra</v>
          </cell>
          <cell r="C1743" t="str">
            <v>Teghra</v>
          </cell>
          <cell r="D1743" t="str">
            <v>GOMUKH GEHUNI 2</v>
          </cell>
          <cell r="E1743">
            <v>10080087</v>
          </cell>
          <cell r="F1743" t="str">
            <v>0001</v>
          </cell>
          <cell r="G1743">
            <v>13</v>
          </cell>
          <cell r="H1743">
            <v>0.71</v>
          </cell>
          <cell r="I1743">
            <v>27.126754578</v>
          </cell>
          <cell r="J1743">
            <v>0</v>
          </cell>
          <cell r="K1743">
            <v>27.126754578</v>
          </cell>
          <cell r="L1743">
            <v>0</v>
          </cell>
          <cell r="M1743">
            <v>0</v>
          </cell>
          <cell r="P1743">
            <v>0</v>
          </cell>
          <cell r="V1743" t="str">
            <v>Not Available</v>
          </cell>
        </row>
        <row r="1744">
          <cell r="A1744" t="str">
            <v>100800870002</v>
          </cell>
          <cell r="B1744" t="str">
            <v>Teghra</v>
          </cell>
          <cell r="C1744" t="str">
            <v>Teghra</v>
          </cell>
          <cell r="D1744" t="str">
            <v>GOMUKH GEHUNI 2</v>
          </cell>
          <cell r="E1744">
            <v>10080087</v>
          </cell>
          <cell r="F1744" t="str">
            <v>0002</v>
          </cell>
          <cell r="G1744">
            <v>14</v>
          </cell>
          <cell r="H1744">
            <v>438.96000000000004</v>
          </cell>
          <cell r="I1744">
            <v>16636.047521484601</v>
          </cell>
          <cell r="J1744">
            <v>0</v>
          </cell>
          <cell r="K1744">
            <v>0</v>
          </cell>
          <cell r="L1744">
            <v>230</v>
          </cell>
          <cell r="M1744">
            <v>0</v>
          </cell>
          <cell r="P1744">
            <v>16406</v>
          </cell>
          <cell r="V1744" t="str">
            <v>Available</v>
          </cell>
        </row>
        <row r="1745">
          <cell r="A1745" t="str">
            <v>100800870004</v>
          </cell>
          <cell r="B1745" t="str">
            <v>Teghra</v>
          </cell>
          <cell r="C1745" t="str">
            <v>Teghra</v>
          </cell>
          <cell r="D1745" t="str">
            <v>GOMUKH GEHUNI 2</v>
          </cell>
          <cell r="E1745">
            <v>10080087</v>
          </cell>
          <cell r="F1745" t="str">
            <v>0004</v>
          </cell>
          <cell r="G1745">
            <v>3</v>
          </cell>
          <cell r="H1745">
            <v>9.9699999999999989</v>
          </cell>
          <cell r="I1745">
            <v>415.60260742440005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P1745">
            <v>416</v>
          </cell>
          <cell r="V1745" t="str">
            <v>Available</v>
          </cell>
        </row>
        <row r="1746">
          <cell r="A1746" t="str">
            <v>100800880001</v>
          </cell>
          <cell r="B1746" t="str">
            <v>Teghra</v>
          </cell>
          <cell r="C1746" t="str">
            <v>Teghra</v>
          </cell>
          <cell r="D1746" t="str">
            <v>GOMUKH MALHIPUR</v>
          </cell>
          <cell r="E1746">
            <v>10080088</v>
          </cell>
          <cell r="F1746" t="str">
            <v>0001</v>
          </cell>
          <cell r="G1746">
            <v>11</v>
          </cell>
          <cell r="H1746">
            <v>2.4300000000000002</v>
          </cell>
          <cell r="I1746">
            <v>87.066591519600024</v>
          </cell>
          <cell r="J1746">
            <v>0</v>
          </cell>
          <cell r="K1746">
            <v>87.066591519600024</v>
          </cell>
          <cell r="L1746">
            <v>0</v>
          </cell>
          <cell r="M1746">
            <v>0</v>
          </cell>
          <cell r="P1746">
            <v>0</v>
          </cell>
          <cell r="V1746" t="str">
            <v>Not Available</v>
          </cell>
        </row>
        <row r="1747">
          <cell r="A1747" t="str">
            <v>100800880002</v>
          </cell>
          <cell r="B1747" t="str">
            <v>Teghra</v>
          </cell>
          <cell r="C1747" t="str">
            <v>Teghra</v>
          </cell>
          <cell r="D1747" t="str">
            <v>GOMUKH MALHIPUR</v>
          </cell>
          <cell r="E1747">
            <v>10080088</v>
          </cell>
          <cell r="F1747" t="str">
            <v>0002</v>
          </cell>
          <cell r="G1747">
            <v>1</v>
          </cell>
          <cell r="H1747">
            <v>199</v>
          </cell>
          <cell r="I1747">
            <v>7250.1807708000015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P1747">
            <v>7250</v>
          </cell>
          <cell r="V1747" t="str">
            <v>Available</v>
          </cell>
        </row>
        <row r="1748">
          <cell r="A1748" t="str">
            <v>100800880004</v>
          </cell>
          <cell r="B1748" t="str">
            <v>Teghra</v>
          </cell>
          <cell r="C1748" t="str">
            <v>Teghra</v>
          </cell>
          <cell r="D1748" t="str">
            <v>GOMUKH MALHIPUR</v>
          </cell>
          <cell r="E1748">
            <v>10080088</v>
          </cell>
          <cell r="F1748" t="str">
            <v>0004</v>
          </cell>
          <cell r="G1748">
            <v>7</v>
          </cell>
          <cell r="H1748">
            <v>211.47</v>
          </cell>
          <cell r="I1748">
            <v>7580.413714104001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P1748">
            <v>7580</v>
          </cell>
          <cell r="V1748" t="str">
            <v>Available</v>
          </cell>
        </row>
        <row r="1749">
          <cell r="A1749" t="str">
            <v>100800880007</v>
          </cell>
          <cell r="B1749" t="str">
            <v>Teghra</v>
          </cell>
          <cell r="C1749" t="str">
            <v>Teghra</v>
          </cell>
          <cell r="D1749" t="str">
            <v>GOMUKH MALHIPUR</v>
          </cell>
          <cell r="E1749">
            <v>10080088</v>
          </cell>
          <cell r="F1749" t="str">
            <v>0007</v>
          </cell>
          <cell r="G1749">
            <v>12</v>
          </cell>
          <cell r="H1749">
            <v>124.23999999999998</v>
          </cell>
          <cell r="I1749">
            <v>4460.6221382051999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P1749">
            <v>4461</v>
          </cell>
          <cell r="V1749" t="str">
            <v>Available</v>
          </cell>
        </row>
        <row r="1750">
          <cell r="A1750" t="str">
            <v>100800880011</v>
          </cell>
          <cell r="B1750" t="str">
            <v>Teghra</v>
          </cell>
          <cell r="C1750" t="str">
            <v>Teghra</v>
          </cell>
          <cell r="D1750" t="str">
            <v>GOMUKH MALHIPUR</v>
          </cell>
          <cell r="E1750">
            <v>10080088</v>
          </cell>
          <cell r="F1750" t="str">
            <v>0011</v>
          </cell>
          <cell r="G1750">
            <v>12</v>
          </cell>
          <cell r="H1750">
            <v>430.49</v>
          </cell>
          <cell r="I1750">
            <v>15917.760865908003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P1750">
            <v>15918</v>
          </cell>
          <cell r="V1750" t="str">
            <v>Available</v>
          </cell>
        </row>
        <row r="1751">
          <cell r="A1751" t="str">
            <v>100800880012</v>
          </cell>
          <cell r="B1751" t="str">
            <v>Teghra</v>
          </cell>
          <cell r="C1751" t="str">
            <v>Teghra</v>
          </cell>
          <cell r="D1751" t="str">
            <v>GOMUKH MALHIPUR</v>
          </cell>
          <cell r="E1751">
            <v>10080088</v>
          </cell>
          <cell r="F1751" t="str">
            <v>0012</v>
          </cell>
          <cell r="G1751">
            <v>7</v>
          </cell>
          <cell r="H1751">
            <v>235.25</v>
          </cell>
          <cell r="I1751">
            <v>8746.8814985903991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P1751">
            <v>8747</v>
          </cell>
          <cell r="V1751" t="str">
            <v>Available</v>
          </cell>
        </row>
        <row r="1752">
          <cell r="A1752" t="str">
            <v>100800880013</v>
          </cell>
          <cell r="B1752" t="str">
            <v>Teghra</v>
          </cell>
          <cell r="C1752" t="str">
            <v>Teghra</v>
          </cell>
          <cell r="D1752" t="str">
            <v>GOMUKH MALHIPUR</v>
          </cell>
          <cell r="E1752">
            <v>10080088</v>
          </cell>
          <cell r="F1752" t="str">
            <v>0013</v>
          </cell>
          <cell r="G1752">
            <v>5</v>
          </cell>
          <cell r="H1752">
            <v>50.95</v>
          </cell>
          <cell r="I1752">
            <v>1665.4461992190004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P1752">
            <v>1665</v>
          </cell>
          <cell r="V1752" t="str">
            <v>Available</v>
          </cell>
        </row>
        <row r="1753">
          <cell r="A1753" t="str">
            <v>100800880014</v>
          </cell>
          <cell r="B1753" t="str">
            <v>Teghra</v>
          </cell>
          <cell r="C1753" t="str">
            <v>Teghra</v>
          </cell>
          <cell r="D1753" t="str">
            <v>GOMUKH MALHIPUR</v>
          </cell>
          <cell r="E1753">
            <v>10080088</v>
          </cell>
          <cell r="F1753" t="str">
            <v>0014</v>
          </cell>
          <cell r="G1753">
            <v>6</v>
          </cell>
          <cell r="H1753">
            <v>142.94</v>
          </cell>
          <cell r="I1753">
            <v>4432.5956271960004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P1753">
            <v>4433</v>
          </cell>
          <cell r="V1753" t="str">
            <v>Available</v>
          </cell>
        </row>
        <row r="1754">
          <cell r="A1754" t="str">
            <v>100800880015</v>
          </cell>
          <cell r="B1754" t="str">
            <v>Teghra</v>
          </cell>
          <cell r="C1754" t="str">
            <v>Teghra</v>
          </cell>
          <cell r="D1754" t="str">
            <v>GOMUKH MALHIPUR</v>
          </cell>
          <cell r="E1754">
            <v>10080088</v>
          </cell>
          <cell r="F1754" t="str">
            <v>0015</v>
          </cell>
          <cell r="G1754">
            <v>1</v>
          </cell>
          <cell r="H1754">
            <v>9.09</v>
          </cell>
          <cell r="I1754">
            <v>325.41634711080002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P1754">
            <v>325</v>
          </cell>
          <cell r="V1754" t="str">
            <v>Available</v>
          </cell>
        </row>
        <row r="1755">
          <cell r="A1755" t="str">
            <v>100800930002</v>
          </cell>
          <cell r="B1755" t="str">
            <v>Teghra</v>
          </cell>
          <cell r="C1755" t="str">
            <v>Teghra</v>
          </cell>
          <cell r="D1755" t="str">
            <v>Barauni Bariyarpur</v>
          </cell>
          <cell r="E1755">
            <v>10080093</v>
          </cell>
          <cell r="F1755" t="str">
            <v>0002</v>
          </cell>
          <cell r="G1755">
            <v>1</v>
          </cell>
          <cell r="H1755">
            <v>648</v>
          </cell>
          <cell r="I1755">
            <v>23523.127056000005</v>
          </cell>
          <cell r="J1755">
            <v>0</v>
          </cell>
          <cell r="K1755">
            <v>0</v>
          </cell>
          <cell r="L1755">
            <v>3</v>
          </cell>
          <cell r="M1755">
            <v>0</v>
          </cell>
          <cell r="P1755">
            <v>23520</v>
          </cell>
          <cell r="V1755" t="str">
            <v>Available</v>
          </cell>
        </row>
        <row r="1756">
          <cell r="A1756" t="str">
            <v>100800950003</v>
          </cell>
          <cell r="B1756" t="str">
            <v>Teghra</v>
          </cell>
          <cell r="C1756" t="str">
            <v>Teghra</v>
          </cell>
          <cell r="D1756" t="str">
            <v>Jaynagar</v>
          </cell>
          <cell r="E1756">
            <v>10080095</v>
          </cell>
          <cell r="F1756" t="str">
            <v>0003</v>
          </cell>
          <cell r="G1756">
            <v>10</v>
          </cell>
          <cell r="H1756">
            <v>222.6</v>
          </cell>
          <cell r="I1756">
            <v>7755.8876956440017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P1756">
            <v>7756</v>
          </cell>
          <cell r="V1756" t="str">
            <v>Available</v>
          </cell>
        </row>
        <row r="1757">
          <cell r="A1757" t="str">
            <v>100800990002</v>
          </cell>
          <cell r="B1757" t="str">
            <v>Teghra</v>
          </cell>
          <cell r="C1757" t="str">
            <v>Teghra</v>
          </cell>
          <cell r="D1757" t="str">
            <v>Bihat - Chakballi</v>
          </cell>
          <cell r="E1757">
            <v>10080099</v>
          </cell>
          <cell r="F1757" t="str">
            <v>0002</v>
          </cell>
          <cell r="G1757">
            <v>6</v>
          </cell>
          <cell r="H1757">
            <v>1232</v>
          </cell>
          <cell r="I1757">
            <v>40213.787465609996</v>
          </cell>
          <cell r="J1757">
            <v>0</v>
          </cell>
          <cell r="K1757">
            <v>0</v>
          </cell>
          <cell r="L1757">
            <v>398</v>
          </cell>
          <cell r="M1757">
            <v>0</v>
          </cell>
          <cell r="P1757">
            <v>37803</v>
          </cell>
          <cell r="V1757" t="str">
            <v>Available</v>
          </cell>
        </row>
        <row r="1758">
          <cell r="A1758" t="str">
            <v>100800990011</v>
          </cell>
          <cell r="B1758" t="str">
            <v>Teghra</v>
          </cell>
          <cell r="C1758" t="str">
            <v>Teghra</v>
          </cell>
          <cell r="D1758" t="str">
            <v>Bihat - Chakballi</v>
          </cell>
          <cell r="E1758">
            <v>10080099</v>
          </cell>
          <cell r="F1758" t="str">
            <v>0011</v>
          </cell>
          <cell r="G1758">
            <v>1</v>
          </cell>
          <cell r="H1758">
            <v>308.10000000000002</v>
          </cell>
          <cell r="I1758">
            <v>10167.625353600002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P1758">
            <v>10168</v>
          </cell>
          <cell r="V1758" t="str">
            <v>Available</v>
          </cell>
        </row>
        <row r="1759">
          <cell r="A1759" t="str">
            <v>100801000002</v>
          </cell>
          <cell r="B1759" t="str">
            <v>Teghra</v>
          </cell>
          <cell r="C1759" t="str">
            <v>Teghra</v>
          </cell>
          <cell r="D1759" t="str">
            <v>Sibutol- Naya Tola</v>
          </cell>
          <cell r="E1759">
            <v>10080100</v>
          </cell>
          <cell r="F1759" t="str">
            <v>0002</v>
          </cell>
          <cell r="G1759">
            <v>1</v>
          </cell>
          <cell r="H1759">
            <v>3</v>
          </cell>
          <cell r="I1759">
            <v>100.27013436000001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P1759">
            <v>0</v>
          </cell>
          <cell r="V1759" t="str">
            <v>Available</v>
          </cell>
        </row>
        <row r="1760">
          <cell r="A1760" t="str">
            <v>100801150002</v>
          </cell>
          <cell r="B1760" t="str">
            <v>Teghra</v>
          </cell>
          <cell r="C1760" t="str">
            <v>Teghra</v>
          </cell>
          <cell r="D1760" t="str">
            <v>Gaura</v>
          </cell>
          <cell r="E1760">
            <v>10080115</v>
          </cell>
          <cell r="F1760" t="str">
            <v>0002</v>
          </cell>
          <cell r="G1760">
            <v>1</v>
          </cell>
          <cell r="H1760">
            <v>396</v>
          </cell>
          <cell r="I1760">
            <v>15002.4926304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P1760">
            <v>14174</v>
          </cell>
          <cell r="V1760" t="str">
            <v>Available</v>
          </cell>
        </row>
        <row r="1761">
          <cell r="A1761" t="str">
            <v>100801190002</v>
          </cell>
          <cell r="B1761" t="str">
            <v>Teghra</v>
          </cell>
          <cell r="C1761" t="str">
            <v>Teghra</v>
          </cell>
          <cell r="D1761" t="str">
            <v>Mukhtiyarpur</v>
          </cell>
          <cell r="E1761">
            <v>10080119</v>
          </cell>
          <cell r="F1761" t="str">
            <v>0002</v>
          </cell>
          <cell r="G1761">
            <v>5</v>
          </cell>
          <cell r="H1761">
            <v>120.72</v>
          </cell>
          <cell r="I1761">
            <v>4936.5545296320006</v>
          </cell>
          <cell r="J1761">
            <v>0</v>
          </cell>
          <cell r="K1761">
            <v>0</v>
          </cell>
          <cell r="L1761">
            <v>2881</v>
          </cell>
          <cell r="M1761">
            <v>747</v>
          </cell>
          <cell r="P1761">
            <v>0</v>
          </cell>
          <cell r="V1761" t="str">
            <v>Available</v>
          </cell>
        </row>
        <row r="1762">
          <cell r="A1762" t="str">
            <v>100801190003</v>
          </cell>
          <cell r="B1762" t="str">
            <v>Teghra</v>
          </cell>
          <cell r="C1762" t="str">
            <v>Teghra</v>
          </cell>
          <cell r="D1762" t="str">
            <v>Mukhtiyarpur</v>
          </cell>
          <cell r="E1762">
            <v>10080119</v>
          </cell>
          <cell r="F1762" t="str">
            <v>0003</v>
          </cell>
          <cell r="G1762">
            <v>7</v>
          </cell>
          <cell r="H1762">
            <v>208.73</v>
          </cell>
          <cell r="I1762">
            <v>8710.2765446500816</v>
          </cell>
          <cell r="J1762">
            <v>0</v>
          </cell>
          <cell r="K1762">
            <v>0</v>
          </cell>
          <cell r="L1762">
            <v>0</v>
          </cell>
          <cell r="M1762">
            <v>5753</v>
          </cell>
          <cell r="P1762">
            <v>2957</v>
          </cell>
          <cell r="V1762" t="str">
            <v>Available</v>
          </cell>
        </row>
        <row r="1763">
          <cell r="A1763" t="str">
            <v>100801190010</v>
          </cell>
          <cell r="B1763" t="str">
            <v>Teghra</v>
          </cell>
          <cell r="C1763" t="str">
            <v>Teghra</v>
          </cell>
          <cell r="D1763" t="str">
            <v>Mukhtiyarpur</v>
          </cell>
          <cell r="E1763">
            <v>10080119</v>
          </cell>
          <cell r="F1763" t="str">
            <v>0010</v>
          </cell>
          <cell r="G1763">
            <v>1</v>
          </cell>
          <cell r="H1763">
            <v>3.75</v>
          </cell>
          <cell r="I1763">
            <v>138.10915800000004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P1763">
            <v>138</v>
          </cell>
          <cell r="V1763" t="str">
            <v>Not Available</v>
          </cell>
        </row>
        <row r="1764">
          <cell r="A1764" t="str">
            <v>100801190016</v>
          </cell>
          <cell r="B1764" t="str">
            <v>Teghra</v>
          </cell>
          <cell r="C1764" t="str">
            <v>Teghra</v>
          </cell>
          <cell r="D1764" t="str">
            <v>Mukhtiyarpur</v>
          </cell>
          <cell r="E1764">
            <v>10080119</v>
          </cell>
          <cell r="F1764" t="str">
            <v>0016</v>
          </cell>
          <cell r="G1764">
            <v>1</v>
          </cell>
          <cell r="H1764">
            <v>1.82</v>
          </cell>
          <cell r="I1764">
            <v>67.989913992000012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P1764">
            <v>68</v>
          </cell>
          <cell r="V1764" t="str">
            <v>Not Available</v>
          </cell>
        </row>
        <row r="1765">
          <cell r="A1765" t="str">
            <v>100801200002</v>
          </cell>
          <cell r="B1765" t="str">
            <v>Teghra</v>
          </cell>
          <cell r="C1765" t="str">
            <v>Teghra</v>
          </cell>
          <cell r="D1765" t="str">
            <v>Gomukh Rudauli-02</v>
          </cell>
          <cell r="E1765">
            <v>10080120</v>
          </cell>
          <cell r="F1765" t="str">
            <v>0002</v>
          </cell>
          <cell r="G1765">
            <v>9</v>
          </cell>
          <cell r="H1765">
            <v>52.560000000000009</v>
          </cell>
          <cell r="I1765">
            <v>1801.3354229970003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P1765">
            <v>1801</v>
          </cell>
          <cell r="V1765" t="str">
            <v>Available</v>
          </cell>
        </row>
        <row r="1766">
          <cell r="A1766" t="str">
            <v>100801200003</v>
          </cell>
          <cell r="B1766" t="str">
            <v>Teghra</v>
          </cell>
          <cell r="C1766" t="str">
            <v>Teghra</v>
          </cell>
          <cell r="D1766" t="str">
            <v>Gomukh Rudauli-02</v>
          </cell>
          <cell r="E1766">
            <v>10080120</v>
          </cell>
          <cell r="F1766" t="str">
            <v>0003</v>
          </cell>
          <cell r="G1766">
            <v>14</v>
          </cell>
          <cell r="H1766">
            <v>159.52000000000001</v>
          </cell>
          <cell r="I1766">
            <v>5526.0573181292166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P1766">
            <v>5526</v>
          </cell>
          <cell r="V1766" t="str">
            <v>Available</v>
          </cell>
        </row>
        <row r="1767">
          <cell r="A1767" t="str">
            <v>100801200004</v>
          </cell>
          <cell r="B1767" t="str">
            <v>Teghra</v>
          </cell>
          <cell r="C1767" t="str">
            <v>Teghra</v>
          </cell>
          <cell r="D1767" t="str">
            <v>Gomukh Rudauli-02</v>
          </cell>
          <cell r="E1767">
            <v>10080120</v>
          </cell>
          <cell r="F1767" t="str">
            <v>0004</v>
          </cell>
          <cell r="G1767">
            <v>8</v>
          </cell>
          <cell r="H1767">
            <v>37.320000000000007</v>
          </cell>
          <cell r="I1767">
            <v>1298.5065973241999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P1767">
            <v>1299</v>
          </cell>
          <cell r="V1767" t="str">
            <v>Available</v>
          </cell>
        </row>
        <row r="1768">
          <cell r="A1768" t="str">
            <v>100801200005</v>
          </cell>
          <cell r="B1768" t="str">
            <v>Teghra</v>
          </cell>
          <cell r="C1768" t="str">
            <v>Teghra</v>
          </cell>
          <cell r="D1768" t="str">
            <v>Gomukh Rudauli-02</v>
          </cell>
          <cell r="E1768">
            <v>10080120</v>
          </cell>
          <cell r="F1768" t="str">
            <v>0005</v>
          </cell>
          <cell r="G1768">
            <v>7</v>
          </cell>
          <cell r="H1768">
            <v>46.290000000000006</v>
          </cell>
          <cell r="I1768">
            <v>1677.0801593898004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P1768">
            <v>1677</v>
          </cell>
          <cell r="V1768" t="str">
            <v>Available</v>
          </cell>
        </row>
        <row r="1769">
          <cell r="A1769" t="str">
            <v>100801200006</v>
          </cell>
          <cell r="B1769" t="str">
            <v>Teghra</v>
          </cell>
          <cell r="C1769" t="str">
            <v>Teghra</v>
          </cell>
          <cell r="D1769" t="str">
            <v>Gomukh Rudauli-02</v>
          </cell>
          <cell r="E1769">
            <v>10080120</v>
          </cell>
          <cell r="F1769" t="str">
            <v>0006</v>
          </cell>
          <cell r="G1769">
            <v>14</v>
          </cell>
          <cell r="H1769">
            <v>54.25</v>
          </cell>
          <cell r="I1769">
            <v>1781.1425261718002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P1769">
            <v>1781</v>
          </cell>
          <cell r="V1769" t="str">
            <v>Available</v>
          </cell>
        </row>
        <row r="1770">
          <cell r="A1770" t="str">
            <v>100801200009</v>
          </cell>
          <cell r="B1770" t="str">
            <v>Teghra</v>
          </cell>
          <cell r="C1770" t="str">
            <v>Teghra</v>
          </cell>
          <cell r="D1770" t="str">
            <v>Gomukh Rudauli-02</v>
          </cell>
          <cell r="E1770">
            <v>10080120</v>
          </cell>
          <cell r="F1770" t="str">
            <v>0009</v>
          </cell>
          <cell r="G1770">
            <v>6</v>
          </cell>
          <cell r="H1770">
            <v>13.23</v>
          </cell>
          <cell r="I1770">
            <v>415.01270204460002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P1770">
            <v>415</v>
          </cell>
          <cell r="V1770" t="str">
            <v>Available</v>
          </cell>
        </row>
        <row r="1771">
          <cell r="A1771" t="str">
            <v>100801200012</v>
          </cell>
          <cell r="B1771" t="str">
            <v>Teghra</v>
          </cell>
          <cell r="C1771" t="str">
            <v>Teghra</v>
          </cell>
          <cell r="D1771" t="str">
            <v>Gomukh Rudauli-02</v>
          </cell>
          <cell r="E1771">
            <v>10080120</v>
          </cell>
          <cell r="F1771" t="str">
            <v>0012</v>
          </cell>
          <cell r="G1771">
            <v>11</v>
          </cell>
          <cell r="H1771">
            <v>35.57</v>
          </cell>
          <cell r="I1771">
            <v>1041.7525123104003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P1771">
            <v>1042</v>
          </cell>
          <cell r="V1771" t="str">
            <v>Available</v>
          </cell>
        </row>
        <row r="1772">
          <cell r="A1772" t="str">
            <v>100801200013</v>
          </cell>
          <cell r="B1772" t="str">
            <v>Teghra</v>
          </cell>
          <cell r="C1772" t="str">
            <v>Teghra</v>
          </cell>
          <cell r="D1772" t="str">
            <v>Gomukh Rudauli-02</v>
          </cell>
          <cell r="E1772">
            <v>10080120</v>
          </cell>
          <cell r="F1772" t="str">
            <v>0013</v>
          </cell>
          <cell r="G1772">
            <v>3</v>
          </cell>
          <cell r="H1772">
            <v>6.35</v>
          </cell>
          <cell r="I1772">
            <v>208.29294604800003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P1772">
            <v>208</v>
          </cell>
          <cell r="V1772" t="str">
            <v>Available</v>
          </cell>
        </row>
        <row r="1773">
          <cell r="A1773" t="str">
            <v>100801200014</v>
          </cell>
          <cell r="B1773" t="str">
            <v>Teghra</v>
          </cell>
          <cell r="C1773" t="str">
            <v>Teghra</v>
          </cell>
          <cell r="D1773" t="str">
            <v>Gomukh Rudauli-02</v>
          </cell>
          <cell r="E1773">
            <v>10080120</v>
          </cell>
          <cell r="F1773" t="str">
            <v>0014</v>
          </cell>
          <cell r="G1773">
            <v>2</v>
          </cell>
          <cell r="H1773">
            <v>46.96</v>
          </cell>
          <cell r="I1773">
            <v>1679.8922754768003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P1773">
            <v>1680</v>
          </cell>
          <cell r="V1773" t="str">
            <v>Not Available</v>
          </cell>
        </row>
        <row r="1774">
          <cell r="A1774" t="str">
            <v>100801220002</v>
          </cell>
          <cell r="B1774" t="str">
            <v>Teghra</v>
          </cell>
          <cell r="C1774" t="str">
            <v>Teghra</v>
          </cell>
          <cell r="D1774" t="str">
            <v>Gomukh Puranatol Raichiahi</v>
          </cell>
          <cell r="E1774">
            <v>10080122</v>
          </cell>
          <cell r="F1774" t="str">
            <v>0002</v>
          </cell>
          <cell r="G1774">
            <v>13</v>
          </cell>
          <cell r="H1774">
            <v>662.2</v>
          </cell>
          <cell r="I1774">
            <v>24670.673184762003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P1774">
            <v>24671</v>
          </cell>
          <cell r="V1774" t="str">
            <v>Available</v>
          </cell>
        </row>
        <row r="1775">
          <cell r="A1775" t="str">
            <v>100801240003</v>
          </cell>
          <cell r="B1775" t="str">
            <v>Teghra</v>
          </cell>
          <cell r="C1775" t="str">
            <v>Teghra</v>
          </cell>
          <cell r="D1775" t="str">
            <v>Bihat-Gududaspur</v>
          </cell>
          <cell r="E1775">
            <v>10080124</v>
          </cell>
          <cell r="F1775" t="str">
            <v>0003</v>
          </cell>
          <cell r="G1775">
            <v>14</v>
          </cell>
          <cell r="H1775">
            <v>347.6</v>
          </cell>
          <cell r="I1775">
            <v>13878.971025480003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P1775">
            <v>13879</v>
          </cell>
          <cell r="V1775" t="str">
            <v>Available</v>
          </cell>
        </row>
        <row r="1776">
          <cell r="A1776" t="str">
            <v>100801260002</v>
          </cell>
          <cell r="B1776" t="str">
            <v>Teghra</v>
          </cell>
          <cell r="C1776" t="str">
            <v>Teghra</v>
          </cell>
          <cell r="D1776" t="str">
            <v>Labharchak-2</v>
          </cell>
          <cell r="E1776">
            <v>10080126</v>
          </cell>
          <cell r="F1776" t="str">
            <v>0002</v>
          </cell>
          <cell r="G1776">
            <v>1</v>
          </cell>
          <cell r="H1776">
            <v>266.5</v>
          </cell>
          <cell r="I1776">
            <v>10026.0149418</v>
          </cell>
          <cell r="J1776">
            <v>0</v>
          </cell>
          <cell r="K1776">
            <v>0</v>
          </cell>
          <cell r="L1776">
            <v>33</v>
          </cell>
          <cell r="M1776">
            <v>0</v>
          </cell>
          <cell r="P1776">
            <v>9993</v>
          </cell>
          <cell r="V1776" t="str">
            <v>Available</v>
          </cell>
        </row>
        <row r="1777">
          <cell r="A1777" t="str">
            <v>100900020001</v>
          </cell>
          <cell r="B1777" t="str">
            <v>Halsi</v>
          </cell>
          <cell r="C1777" t="str">
            <v>Halsi</v>
          </cell>
          <cell r="D1777" t="str">
            <v>AURO</v>
          </cell>
          <cell r="E1777">
            <v>10090002</v>
          </cell>
          <cell r="F1777" t="str">
            <v>0001</v>
          </cell>
          <cell r="G1777">
            <v>14</v>
          </cell>
          <cell r="H1777">
            <v>14.98</v>
          </cell>
          <cell r="I1777">
            <v>582.60627453600023</v>
          </cell>
          <cell r="J1777">
            <v>0</v>
          </cell>
          <cell r="K1777">
            <v>582.60627453600023</v>
          </cell>
          <cell r="L1777">
            <v>0</v>
          </cell>
          <cell r="M1777">
            <v>0</v>
          </cell>
          <cell r="P1777">
            <v>0</v>
          </cell>
          <cell r="V1777" t="str">
            <v>Not Available</v>
          </cell>
        </row>
        <row r="1778">
          <cell r="A1778" t="str">
            <v>100900020002</v>
          </cell>
          <cell r="B1778" t="str">
            <v>Halsi</v>
          </cell>
          <cell r="C1778" t="str">
            <v>Halsi</v>
          </cell>
          <cell r="D1778" t="str">
            <v>AURO</v>
          </cell>
          <cell r="E1778">
            <v>10090002</v>
          </cell>
          <cell r="F1778" t="str">
            <v>0002</v>
          </cell>
          <cell r="G1778">
            <v>14</v>
          </cell>
          <cell r="H1778">
            <v>186.34999999999997</v>
          </cell>
          <cell r="I1778">
            <v>7912.2286665937299</v>
          </cell>
          <cell r="J1778">
            <v>0</v>
          </cell>
          <cell r="K1778">
            <v>0</v>
          </cell>
          <cell r="L1778">
            <v>741</v>
          </cell>
          <cell r="M1778">
            <v>0</v>
          </cell>
          <cell r="P1778">
            <v>7171</v>
          </cell>
          <cell r="V1778" t="str">
            <v>Available</v>
          </cell>
        </row>
        <row r="1779">
          <cell r="A1779" t="str">
            <v>100900020003</v>
          </cell>
          <cell r="B1779" t="str">
            <v>Halsi</v>
          </cell>
          <cell r="C1779" t="str">
            <v>Halsi</v>
          </cell>
          <cell r="D1779" t="str">
            <v>AURO</v>
          </cell>
          <cell r="E1779">
            <v>10090002</v>
          </cell>
          <cell r="F1779" t="str">
            <v>0003</v>
          </cell>
          <cell r="G1779">
            <v>14</v>
          </cell>
          <cell r="H1779">
            <v>165.39999999999998</v>
          </cell>
          <cell r="I1779">
            <v>6977.3011962609207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P1779">
            <v>6977</v>
          </cell>
          <cell r="V1779" t="str">
            <v>Available</v>
          </cell>
        </row>
        <row r="1780">
          <cell r="A1780" t="str">
            <v>100900020005</v>
          </cell>
          <cell r="B1780" t="str">
            <v>Halsi</v>
          </cell>
          <cell r="C1780" t="str">
            <v>Halsi</v>
          </cell>
          <cell r="D1780" t="str">
            <v>AURO</v>
          </cell>
          <cell r="E1780">
            <v>10090002</v>
          </cell>
          <cell r="F1780" t="str">
            <v>0005</v>
          </cell>
          <cell r="G1780">
            <v>14</v>
          </cell>
          <cell r="H1780">
            <v>195.62999999999994</v>
          </cell>
          <cell r="I1780">
            <v>8151.437713662579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P1780">
            <v>8151</v>
          </cell>
          <cell r="V1780" t="str">
            <v>Available</v>
          </cell>
        </row>
        <row r="1781">
          <cell r="A1781" t="str">
            <v>100900020006</v>
          </cell>
          <cell r="B1781" t="str">
            <v>Halsi</v>
          </cell>
          <cell r="C1781" t="str">
            <v>Halsi</v>
          </cell>
          <cell r="D1781" t="str">
            <v>AURO</v>
          </cell>
          <cell r="E1781">
            <v>10090002</v>
          </cell>
          <cell r="F1781" t="str">
            <v>0006</v>
          </cell>
          <cell r="G1781">
            <v>14</v>
          </cell>
          <cell r="H1781">
            <v>168.48999999999998</v>
          </cell>
          <cell r="I1781">
            <v>7006.5675776128692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P1781">
            <v>7007</v>
          </cell>
          <cell r="V1781" t="str">
            <v>Available</v>
          </cell>
        </row>
        <row r="1782">
          <cell r="A1782" t="str">
            <v>100900020012</v>
          </cell>
          <cell r="B1782" t="str">
            <v>Halsi</v>
          </cell>
          <cell r="C1782" t="str">
            <v>Halsi</v>
          </cell>
          <cell r="D1782" t="str">
            <v>AURO</v>
          </cell>
          <cell r="E1782">
            <v>10090002</v>
          </cell>
          <cell r="F1782" t="str">
            <v>0012</v>
          </cell>
          <cell r="G1782">
            <v>5</v>
          </cell>
          <cell r="H1782">
            <v>9.19</v>
          </cell>
          <cell r="I1782">
            <v>473.45907130122004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P1782">
            <v>473</v>
          </cell>
          <cell r="V1782" t="str">
            <v>Available</v>
          </cell>
        </row>
        <row r="1783">
          <cell r="A1783" t="str">
            <v>100900020013</v>
          </cell>
          <cell r="B1783" t="str">
            <v>Halsi</v>
          </cell>
          <cell r="C1783" t="str">
            <v>Halsi</v>
          </cell>
          <cell r="D1783" t="str">
            <v>AURO</v>
          </cell>
          <cell r="E1783">
            <v>10090002</v>
          </cell>
          <cell r="F1783" t="str">
            <v>0013</v>
          </cell>
          <cell r="G1783">
            <v>14</v>
          </cell>
          <cell r="H1783">
            <v>176.77</v>
          </cell>
          <cell r="I1783">
            <v>7351.7642180442008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P1783">
            <v>7352</v>
          </cell>
          <cell r="V1783" t="str">
            <v>Available</v>
          </cell>
        </row>
        <row r="1784">
          <cell r="A1784" t="str">
            <v>100900020015</v>
          </cell>
          <cell r="B1784" t="str">
            <v>Halsi</v>
          </cell>
          <cell r="C1784" t="str">
            <v>Halsi</v>
          </cell>
          <cell r="D1784" t="str">
            <v>AURO</v>
          </cell>
          <cell r="E1784">
            <v>10090002</v>
          </cell>
          <cell r="F1784" t="str">
            <v>0015</v>
          </cell>
          <cell r="G1784">
            <v>14</v>
          </cell>
          <cell r="H1784">
            <v>180.68999999999997</v>
          </cell>
          <cell r="I1784">
            <v>7493.6349282072506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P1784">
            <v>7494</v>
          </cell>
          <cell r="V1784" t="str">
            <v>Available</v>
          </cell>
        </row>
        <row r="1785">
          <cell r="A1785" t="str">
            <v>100900020022</v>
          </cell>
          <cell r="B1785" t="str">
            <v>Halsi</v>
          </cell>
          <cell r="C1785" t="str">
            <v>Halsi</v>
          </cell>
          <cell r="D1785" t="str">
            <v>AURO</v>
          </cell>
          <cell r="E1785">
            <v>10090002</v>
          </cell>
          <cell r="F1785" t="str">
            <v>0022</v>
          </cell>
          <cell r="G1785">
            <v>1</v>
          </cell>
          <cell r="H1785">
            <v>8.42</v>
          </cell>
          <cell r="I1785">
            <v>321.21538495200002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P1785">
            <v>321</v>
          </cell>
          <cell r="V1785" t="str">
            <v>Not Available</v>
          </cell>
        </row>
        <row r="1786">
          <cell r="A1786" t="str">
            <v>100900020023</v>
          </cell>
          <cell r="B1786" t="str">
            <v>Halsi</v>
          </cell>
          <cell r="C1786" t="str">
            <v>Halsi</v>
          </cell>
          <cell r="D1786" t="str">
            <v>AURO</v>
          </cell>
          <cell r="E1786">
            <v>10090002</v>
          </cell>
          <cell r="F1786" t="str">
            <v>0023</v>
          </cell>
          <cell r="G1786">
            <v>14</v>
          </cell>
          <cell r="H1786">
            <v>177.83999999999997</v>
          </cell>
          <cell r="I1786">
            <v>7444.3879869486382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P1786">
            <v>7444</v>
          </cell>
          <cell r="V1786" t="str">
            <v>Not Available</v>
          </cell>
        </row>
        <row r="1787">
          <cell r="A1787" t="str">
            <v>100900020025</v>
          </cell>
          <cell r="B1787" t="str">
            <v>Halsi</v>
          </cell>
          <cell r="C1787" t="str">
            <v>Halsi</v>
          </cell>
          <cell r="D1787" t="str">
            <v>AURO</v>
          </cell>
          <cell r="E1787">
            <v>10090002</v>
          </cell>
          <cell r="F1787" t="str">
            <v>0025</v>
          </cell>
          <cell r="G1787">
            <v>14</v>
          </cell>
          <cell r="H1787">
            <v>171.22000000000003</v>
          </cell>
          <cell r="I1787">
            <v>7200.1261288498918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P1787">
            <v>7200</v>
          </cell>
          <cell r="V1787" t="str">
            <v>Not Available</v>
          </cell>
        </row>
        <row r="1788">
          <cell r="A1788" t="str">
            <v>100900020026</v>
          </cell>
          <cell r="B1788" t="str">
            <v>Halsi</v>
          </cell>
          <cell r="C1788" t="str">
            <v>Halsi</v>
          </cell>
          <cell r="D1788" t="str">
            <v>AURO</v>
          </cell>
          <cell r="E1788">
            <v>10090002</v>
          </cell>
          <cell r="F1788" t="str">
            <v>0026</v>
          </cell>
          <cell r="G1788">
            <v>14</v>
          </cell>
          <cell r="H1788">
            <v>172.32000000000005</v>
          </cell>
          <cell r="I1788">
            <v>7221.0240086579224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P1788">
            <v>7221</v>
          </cell>
          <cell r="V1788" t="str">
            <v>Not Available</v>
          </cell>
        </row>
        <row r="1789">
          <cell r="A1789" t="str">
            <v>100900020028</v>
          </cell>
          <cell r="B1789" t="str">
            <v>Halsi</v>
          </cell>
          <cell r="C1789" t="str">
            <v>Halsi</v>
          </cell>
          <cell r="D1789" t="str">
            <v>AURO</v>
          </cell>
          <cell r="E1789">
            <v>10090002</v>
          </cell>
          <cell r="F1789" t="str">
            <v>0028</v>
          </cell>
          <cell r="G1789">
            <v>14</v>
          </cell>
          <cell r="H1789">
            <v>272.68</v>
          </cell>
          <cell r="I1789">
            <v>11586.827722817459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P1789">
            <v>11587</v>
          </cell>
          <cell r="V1789" t="str">
            <v>Available</v>
          </cell>
        </row>
        <row r="1790">
          <cell r="A1790" t="str">
            <v>100900020029</v>
          </cell>
          <cell r="B1790" t="str">
            <v>Halsi</v>
          </cell>
          <cell r="C1790" t="str">
            <v>Halsi</v>
          </cell>
          <cell r="D1790" t="str">
            <v>AURO</v>
          </cell>
          <cell r="E1790">
            <v>10090002</v>
          </cell>
          <cell r="F1790" t="str">
            <v>0029</v>
          </cell>
          <cell r="G1790">
            <v>13</v>
          </cell>
          <cell r="H1790">
            <v>29.849999999999994</v>
          </cell>
          <cell r="I1790">
            <v>1301.7179338939991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P1790">
            <v>1302</v>
          </cell>
          <cell r="V1790" t="str">
            <v>Available</v>
          </cell>
        </row>
        <row r="1791">
          <cell r="A1791" t="str">
            <v>100900030001</v>
          </cell>
          <cell r="B1791" t="str">
            <v>Halsi</v>
          </cell>
          <cell r="C1791" t="str">
            <v>Halsi</v>
          </cell>
          <cell r="D1791" t="str">
            <v>PARSHAMA</v>
          </cell>
          <cell r="E1791">
            <v>10090003</v>
          </cell>
          <cell r="F1791" t="str">
            <v>0001</v>
          </cell>
          <cell r="G1791">
            <v>7</v>
          </cell>
          <cell r="H1791">
            <v>0.7</v>
          </cell>
          <cell r="I1791">
            <v>23.816171412000006</v>
          </cell>
          <cell r="J1791">
            <v>0</v>
          </cell>
          <cell r="K1791">
            <v>23.816171412000006</v>
          </cell>
          <cell r="L1791">
            <v>0</v>
          </cell>
          <cell r="M1791">
            <v>0</v>
          </cell>
          <cell r="P1791">
            <v>0</v>
          </cell>
          <cell r="V1791" t="str">
            <v>Not Available</v>
          </cell>
        </row>
        <row r="1792">
          <cell r="A1792" t="str">
            <v>100900030002</v>
          </cell>
          <cell r="B1792" t="str">
            <v>Halsi</v>
          </cell>
          <cell r="C1792" t="str">
            <v>Halsi</v>
          </cell>
          <cell r="D1792" t="str">
            <v>PARSHAMA</v>
          </cell>
          <cell r="E1792">
            <v>10090003</v>
          </cell>
          <cell r="F1792" t="str">
            <v>0002</v>
          </cell>
          <cell r="G1792">
            <v>7</v>
          </cell>
          <cell r="H1792">
            <v>61</v>
          </cell>
          <cell r="I1792">
            <v>2070.3516372000004</v>
          </cell>
          <cell r="J1792">
            <v>0</v>
          </cell>
          <cell r="K1792">
            <v>0</v>
          </cell>
          <cell r="L1792">
            <v>13</v>
          </cell>
          <cell r="M1792">
            <v>0</v>
          </cell>
          <cell r="P1792">
            <v>1988</v>
          </cell>
          <cell r="V1792" t="str">
            <v>Available</v>
          </cell>
        </row>
        <row r="1793">
          <cell r="A1793" t="str">
            <v>100900030012</v>
          </cell>
          <cell r="B1793" t="str">
            <v>Halsi</v>
          </cell>
          <cell r="C1793" t="str">
            <v>Halsi</v>
          </cell>
          <cell r="D1793" t="str">
            <v>PARSHAMA</v>
          </cell>
          <cell r="E1793">
            <v>10090003</v>
          </cell>
          <cell r="F1793" t="str">
            <v>0012</v>
          </cell>
          <cell r="G1793">
            <v>7</v>
          </cell>
          <cell r="H1793">
            <v>44.699999999999996</v>
          </cell>
          <cell r="I1793">
            <v>1524.5676527400001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P1793">
            <v>1525</v>
          </cell>
          <cell r="V1793" t="str">
            <v>Available</v>
          </cell>
        </row>
        <row r="1794">
          <cell r="A1794" t="str">
            <v>100900060002</v>
          </cell>
          <cell r="B1794" t="str">
            <v>Halsi</v>
          </cell>
          <cell r="C1794" t="str">
            <v>Halsi</v>
          </cell>
          <cell r="D1794" t="str">
            <v>BALLOPUR</v>
          </cell>
          <cell r="E1794">
            <v>10090006</v>
          </cell>
          <cell r="F1794" t="str">
            <v>0002</v>
          </cell>
          <cell r="G1794">
            <v>14</v>
          </cell>
          <cell r="H1794">
            <v>210.6</v>
          </cell>
          <cell r="I1794">
            <v>8830.2680524379994</v>
          </cell>
          <cell r="J1794">
            <v>0</v>
          </cell>
          <cell r="K1794">
            <v>0</v>
          </cell>
          <cell r="L1794">
            <v>2678</v>
          </cell>
          <cell r="M1794">
            <v>0</v>
          </cell>
          <cell r="P1794">
            <v>6152</v>
          </cell>
          <cell r="V1794" t="str">
            <v>Available</v>
          </cell>
        </row>
        <row r="1795">
          <cell r="A1795" t="str">
            <v>100900060003</v>
          </cell>
          <cell r="B1795" t="str">
            <v>Halsi</v>
          </cell>
          <cell r="C1795" t="str">
            <v>Halsi</v>
          </cell>
          <cell r="D1795" t="str">
            <v>BALLOPUR</v>
          </cell>
          <cell r="E1795">
            <v>10090006</v>
          </cell>
          <cell r="F1795" t="str">
            <v>0003</v>
          </cell>
          <cell r="G1795">
            <v>14</v>
          </cell>
          <cell r="H1795">
            <v>346.3</v>
          </cell>
          <cell r="I1795">
            <v>13148.548862847998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P1795">
            <v>13149</v>
          </cell>
          <cell r="V1795" t="str">
            <v>Available</v>
          </cell>
        </row>
        <row r="1796">
          <cell r="A1796" t="str">
            <v>100900060004</v>
          </cell>
          <cell r="B1796" t="str">
            <v>Halsi</v>
          </cell>
          <cell r="C1796" t="str">
            <v>Halsi</v>
          </cell>
          <cell r="D1796" t="str">
            <v>BALLOPUR</v>
          </cell>
          <cell r="E1796">
            <v>10090006</v>
          </cell>
          <cell r="F1796" t="str">
            <v>0004</v>
          </cell>
          <cell r="G1796">
            <v>10</v>
          </cell>
          <cell r="H1796">
            <v>109.5</v>
          </cell>
          <cell r="I1796">
            <v>4366.9898314480006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P1796">
            <v>4367</v>
          </cell>
          <cell r="V1796" t="str">
            <v>Available</v>
          </cell>
        </row>
        <row r="1797">
          <cell r="A1797" t="str">
            <v>100900060006</v>
          </cell>
          <cell r="B1797" t="str">
            <v>Halsi</v>
          </cell>
          <cell r="C1797" t="str">
            <v>Halsi</v>
          </cell>
          <cell r="D1797" t="str">
            <v>BALLOPUR</v>
          </cell>
          <cell r="E1797">
            <v>10090006</v>
          </cell>
          <cell r="F1797" t="str">
            <v>0006</v>
          </cell>
          <cell r="G1797">
            <v>14</v>
          </cell>
          <cell r="H1797">
            <v>353.90000000000003</v>
          </cell>
          <cell r="I1797">
            <v>14044.2582056708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P1797">
            <v>14044</v>
          </cell>
          <cell r="V1797" t="str">
            <v>Available</v>
          </cell>
        </row>
        <row r="1798">
          <cell r="A1798" t="str">
            <v>100900060013</v>
          </cell>
          <cell r="B1798" t="str">
            <v>Halsi</v>
          </cell>
          <cell r="C1798" t="str">
            <v>Halsi</v>
          </cell>
          <cell r="D1798" t="str">
            <v>BALLOPUR</v>
          </cell>
          <cell r="E1798">
            <v>10090006</v>
          </cell>
          <cell r="F1798" t="str">
            <v>0013</v>
          </cell>
          <cell r="G1798">
            <v>5</v>
          </cell>
          <cell r="H1798">
            <v>13</v>
          </cell>
          <cell r="I1798">
            <v>600.16828625819994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P1798">
            <v>600</v>
          </cell>
          <cell r="V1798" t="str">
            <v>Available</v>
          </cell>
        </row>
        <row r="1799">
          <cell r="A1799" t="str">
            <v>100900060014</v>
          </cell>
          <cell r="B1799" t="str">
            <v>Halsi</v>
          </cell>
          <cell r="C1799" t="str">
            <v>Halsi</v>
          </cell>
          <cell r="D1799" t="str">
            <v>BALLOPUR</v>
          </cell>
          <cell r="E1799">
            <v>10090006</v>
          </cell>
          <cell r="F1799" t="str">
            <v>0014</v>
          </cell>
          <cell r="G1799">
            <v>14</v>
          </cell>
          <cell r="H1799">
            <v>324.40000000000003</v>
          </cell>
          <cell r="I1799">
            <v>13889.6360563575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P1799">
            <v>13890</v>
          </cell>
          <cell r="V1799" t="str">
            <v>Available</v>
          </cell>
        </row>
        <row r="1800">
          <cell r="A1800" t="str">
            <v>100900060016</v>
          </cell>
          <cell r="B1800" t="str">
            <v>Halsi</v>
          </cell>
          <cell r="C1800" t="str">
            <v>Halsi</v>
          </cell>
          <cell r="D1800" t="str">
            <v>BALLOPUR</v>
          </cell>
          <cell r="E1800">
            <v>10090006</v>
          </cell>
          <cell r="F1800" t="str">
            <v>0016</v>
          </cell>
          <cell r="G1800">
            <v>9</v>
          </cell>
          <cell r="H1800">
            <v>54.499999999999993</v>
          </cell>
          <cell r="I1800">
            <v>3058.8296479371006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P1800">
            <v>3059</v>
          </cell>
          <cell r="V1800" t="str">
            <v>Available</v>
          </cell>
        </row>
        <row r="1801">
          <cell r="A1801" t="str">
            <v>100900060028</v>
          </cell>
          <cell r="B1801" t="str">
            <v>Halsi</v>
          </cell>
          <cell r="C1801" t="str">
            <v>Halsi</v>
          </cell>
          <cell r="D1801" t="str">
            <v>BALLOPUR</v>
          </cell>
          <cell r="E1801">
            <v>10090006</v>
          </cell>
          <cell r="F1801" t="str">
            <v>0028</v>
          </cell>
          <cell r="G1801">
            <v>11</v>
          </cell>
          <cell r="H1801">
            <v>59.1</v>
          </cell>
          <cell r="I1801">
            <v>2345.661985788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P1801">
            <v>2346</v>
          </cell>
          <cell r="V1801" t="str">
            <v>Available</v>
          </cell>
        </row>
        <row r="1802">
          <cell r="A1802" t="str">
            <v>100900060034</v>
          </cell>
          <cell r="B1802" t="str">
            <v>Halsi</v>
          </cell>
          <cell r="C1802" t="str">
            <v>Halsi</v>
          </cell>
          <cell r="D1802" t="str">
            <v>BALLOPUR</v>
          </cell>
          <cell r="E1802">
            <v>10090006</v>
          </cell>
          <cell r="F1802" t="str">
            <v>0034</v>
          </cell>
          <cell r="G1802">
            <v>1</v>
          </cell>
          <cell r="H1802">
            <v>10.4</v>
          </cell>
          <cell r="I1802">
            <v>410.47886879999999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P1802">
            <v>410</v>
          </cell>
          <cell r="V1802" t="str">
            <v>Available</v>
          </cell>
        </row>
        <row r="1803">
          <cell r="A1803" t="str">
            <v>100900060036</v>
          </cell>
          <cell r="B1803" t="str">
            <v>Halsi</v>
          </cell>
          <cell r="C1803" t="str">
            <v>Halsi</v>
          </cell>
          <cell r="D1803" t="str">
            <v>BALLOPUR</v>
          </cell>
          <cell r="E1803">
            <v>10090006</v>
          </cell>
          <cell r="F1803" t="str">
            <v>0036</v>
          </cell>
          <cell r="G1803">
            <v>10</v>
          </cell>
          <cell r="H1803">
            <v>48.4</v>
          </cell>
          <cell r="I1803">
            <v>2001.5567619030001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P1803">
            <v>2002</v>
          </cell>
          <cell r="V1803" t="str">
            <v>Available</v>
          </cell>
        </row>
        <row r="1804">
          <cell r="A1804" t="str">
            <v>100900070002</v>
          </cell>
          <cell r="B1804" t="str">
            <v>Halsi</v>
          </cell>
          <cell r="C1804" t="str">
            <v>Halsi</v>
          </cell>
          <cell r="D1804" t="str">
            <v>KHAIRMA</v>
          </cell>
          <cell r="E1804">
            <v>10090007</v>
          </cell>
          <cell r="F1804" t="str">
            <v>0002</v>
          </cell>
          <cell r="G1804">
            <v>14</v>
          </cell>
          <cell r="H1804">
            <v>435.5</v>
          </cell>
          <cell r="I1804">
            <v>15394.5020394</v>
          </cell>
          <cell r="J1804">
            <v>0</v>
          </cell>
          <cell r="K1804">
            <v>0</v>
          </cell>
          <cell r="L1804">
            <v>1639</v>
          </cell>
          <cell r="M1804">
            <v>0</v>
          </cell>
          <cell r="P1804">
            <v>13752</v>
          </cell>
          <cell r="V1804" t="str">
            <v>Available</v>
          </cell>
        </row>
        <row r="1805">
          <cell r="A1805" t="str">
            <v>100900080001</v>
          </cell>
          <cell r="B1805" t="str">
            <v>Halsi</v>
          </cell>
          <cell r="C1805" t="str">
            <v>Halsi</v>
          </cell>
          <cell r="D1805" t="str">
            <v>MAHASONI</v>
          </cell>
          <cell r="E1805">
            <v>10090008</v>
          </cell>
          <cell r="F1805" t="str">
            <v>0001</v>
          </cell>
          <cell r="G1805">
            <v>14</v>
          </cell>
          <cell r="H1805">
            <v>12.700000000000001</v>
          </cell>
          <cell r="I1805">
            <v>457.73615448000004</v>
          </cell>
          <cell r="J1805">
            <v>0</v>
          </cell>
          <cell r="K1805">
            <v>457.73615448000004</v>
          </cell>
          <cell r="L1805">
            <v>0</v>
          </cell>
          <cell r="M1805">
            <v>0</v>
          </cell>
          <cell r="P1805">
            <v>0</v>
          </cell>
          <cell r="V1805" t="str">
            <v>Not Available</v>
          </cell>
        </row>
        <row r="1806">
          <cell r="A1806" t="str">
            <v>100900080002</v>
          </cell>
          <cell r="B1806" t="str">
            <v>Halsi</v>
          </cell>
          <cell r="C1806" t="str">
            <v>Halsi</v>
          </cell>
          <cell r="D1806" t="str">
            <v>MAHASONI</v>
          </cell>
          <cell r="E1806">
            <v>10090008</v>
          </cell>
          <cell r="F1806" t="str">
            <v>0002</v>
          </cell>
          <cell r="G1806">
            <v>7</v>
          </cell>
          <cell r="H1806">
            <v>14.8</v>
          </cell>
          <cell r="I1806">
            <v>548.82284311800004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P1806">
            <v>549</v>
          </cell>
          <cell r="V1806" t="str">
            <v>Available</v>
          </cell>
        </row>
        <row r="1807">
          <cell r="A1807" t="str">
            <v>100900080004</v>
          </cell>
          <cell r="B1807" t="str">
            <v>Halsi</v>
          </cell>
          <cell r="C1807" t="str">
            <v>Halsi</v>
          </cell>
          <cell r="D1807" t="str">
            <v>MAHASONI</v>
          </cell>
          <cell r="E1807">
            <v>10090008</v>
          </cell>
          <cell r="F1807" t="str">
            <v>0004</v>
          </cell>
          <cell r="G1807">
            <v>7</v>
          </cell>
          <cell r="H1807">
            <v>41.800000000000004</v>
          </cell>
          <cell r="I1807">
            <v>1538.3609208000003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P1807">
            <v>1538</v>
          </cell>
          <cell r="V1807" t="str">
            <v>Available</v>
          </cell>
        </row>
        <row r="1808">
          <cell r="A1808" t="str">
            <v>100900080006</v>
          </cell>
          <cell r="B1808" t="str">
            <v>Halsi</v>
          </cell>
          <cell r="C1808" t="str">
            <v>Halsi</v>
          </cell>
          <cell r="D1808" t="str">
            <v>MAHASONI</v>
          </cell>
          <cell r="E1808">
            <v>10090008</v>
          </cell>
          <cell r="F1808" t="str">
            <v>0006</v>
          </cell>
          <cell r="G1808">
            <v>13</v>
          </cell>
          <cell r="H1808">
            <v>65.100000000000009</v>
          </cell>
          <cell r="I1808">
            <v>2458.4772348180004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P1808">
            <v>2458</v>
          </cell>
          <cell r="V1808" t="str">
            <v>Available</v>
          </cell>
        </row>
        <row r="1809">
          <cell r="A1809" t="str">
            <v>100900080007</v>
          </cell>
          <cell r="B1809" t="str">
            <v>Halsi</v>
          </cell>
          <cell r="C1809" t="str">
            <v>Halsi</v>
          </cell>
          <cell r="D1809" t="str">
            <v>MAHASONI</v>
          </cell>
          <cell r="E1809">
            <v>10090008</v>
          </cell>
          <cell r="F1809" t="str">
            <v>0007</v>
          </cell>
          <cell r="G1809">
            <v>14</v>
          </cell>
          <cell r="H1809">
            <v>50.4</v>
          </cell>
          <cell r="I1809">
            <v>1775.1310610220003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P1809">
            <v>1775</v>
          </cell>
          <cell r="V1809" t="str">
            <v>Available</v>
          </cell>
        </row>
        <row r="1810">
          <cell r="A1810" t="str">
            <v>100900080008</v>
          </cell>
          <cell r="B1810" t="str">
            <v>Halsi</v>
          </cell>
          <cell r="C1810" t="str">
            <v>Halsi</v>
          </cell>
          <cell r="D1810" t="str">
            <v>MAHASONI</v>
          </cell>
          <cell r="E1810">
            <v>10090008</v>
          </cell>
          <cell r="F1810" t="str">
            <v>0008</v>
          </cell>
          <cell r="G1810">
            <v>14</v>
          </cell>
          <cell r="H1810">
            <v>37.299999999999997</v>
          </cell>
          <cell r="I1810">
            <v>1499.5353106800001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P1810">
            <v>1500</v>
          </cell>
          <cell r="V1810" t="str">
            <v>Available</v>
          </cell>
        </row>
        <row r="1811">
          <cell r="A1811" t="str">
            <v>100900080010</v>
          </cell>
          <cell r="B1811" t="str">
            <v>Halsi</v>
          </cell>
          <cell r="C1811" t="str">
            <v>Halsi</v>
          </cell>
          <cell r="D1811" t="str">
            <v>MAHASONI</v>
          </cell>
          <cell r="E1811">
            <v>10090008</v>
          </cell>
          <cell r="F1811" t="str">
            <v>0010</v>
          </cell>
          <cell r="G1811">
            <v>13</v>
          </cell>
          <cell r="H1811">
            <v>50.000000000000007</v>
          </cell>
          <cell r="I1811">
            <v>1960.9576495944602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P1811">
            <v>1961</v>
          </cell>
          <cell r="V1811" t="str">
            <v>Available</v>
          </cell>
        </row>
        <row r="1812">
          <cell r="A1812" t="str">
            <v>100900080011</v>
          </cell>
          <cell r="B1812" t="str">
            <v>Halsi</v>
          </cell>
          <cell r="C1812" t="str">
            <v>Halsi</v>
          </cell>
          <cell r="D1812" t="str">
            <v>MAHASONI</v>
          </cell>
          <cell r="E1812">
            <v>10090008</v>
          </cell>
          <cell r="F1812" t="str">
            <v>0011</v>
          </cell>
          <cell r="G1812">
            <v>12</v>
          </cell>
          <cell r="H1812">
            <v>46.099999999999994</v>
          </cell>
          <cell r="I1812">
            <v>1664.0288676000002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P1812">
            <v>1664</v>
          </cell>
          <cell r="V1812" t="str">
            <v>Available</v>
          </cell>
        </row>
        <row r="1813">
          <cell r="A1813" t="str">
            <v>100900080013</v>
          </cell>
          <cell r="B1813" t="str">
            <v>Halsi</v>
          </cell>
          <cell r="C1813" t="str">
            <v>Halsi</v>
          </cell>
          <cell r="D1813" t="str">
            <v>MAHASONI</v>
          </cell>
          <cell r="E1813">
            <v>10090008</v>
          </cell>
          <cell r="F1813" t="str">
            <v>0013</v>
          </cell>
          <cell r="G1813">
            <v>13</v>
          </cell>
          <cell r="H1813">
            <v>20.9</v>
          </cell>
          <cell r="I1813">
            <v>1014.7264030250551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P1813">
            <v>1015</v>
          </cell>
          <cell r="V1813" t="str">
            <v>Available</v>
          </cell>
        </row>
        <row r="1814">
          <cell r="A1814" t="str">
            <v>100900080014</v>
          </cell>
          <cell r="B1814" t="str">
            <v>Halsi</v>
          </cell>
          <cell r="C1814" t="str">
            <v>Halsi</v>
          </cell>
          <cell r="D1814" t="str">
            <v>MAHASONI</v>
          </cell>
          <cell r="E1814">
            <v>10090008</v>
          </cell>
          <cell r="F1814" t="str">
            <v>0014</v>
          </cell>
          <cell r="G1814">
            <v>4</v>
          </cell>
          <cell r="H1814">
            <v>8.8000000000000007</v>
          </cell>
          <cell r="I1814">
            <v>300.25755678600001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P1814">
            <v>300</v>
          </cell>
          <cell r="V1814" t="str">
            <v>Available</v>
          </cell>
        </row>
        <row r="1815">
          <cell r="A1815" t="str">
            <v>100900080028</v>
          </cell>
          <cell r="B1815" t="str">
            <v>Halsi</v>
          </cell>
          <cell r="C1815" t="str">
            <v>Halsi</v>
          </cell>
          <cell r="D1815" t="str">
            <v>MAHASONI</v>
          </cell>
          <cell r="E1815">
            <v>10090008</v>
          </cell>
          <cell r="F1815" t="str">
            <v>0028</v>
          </cell>
          <cell r="G1815">
            <v>7</v>
          </cell>
          <cell r="H1815">
            <v>27.099999999999998</v>
          </cell>
          <cell r="I1815">
            <v>1389.0979240209251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P1815">
            <v>1389</v>
          </cell>
          <cell r="V1815" t="str">
            <v>Available</v>
          </cell>
        </row>
        <row r="1816">
          <cell r="A1816" t="str">
            <v>100900080034</v>
          </cell>
          <cell r="B1816" t="str">
            <v>Halsi</v>
          </cell>
          <cell r="C1816" t="str">
            <v>Halsi</v>
          </cell>
          <cell r="D1816" t="str">
            <v>MAHASONI</v>
          </cell>
          <cell r="E1816">
            <v>10090008</v>
          </cell>
          <cell r="F1816" t="str">
            <v>0034</v>
          </cell>
          <cell r="G1816">
            <v>5</v>
          </cell>
          <cell r="H1816">
            <v>23.1</v>
          </cell>
          <cell r="I1816">
            <v>773.066115954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P1816">
            <v>773</v>
          </cell>
          <cell r="V1816" t="str">
            <v>Available</v>
          </cell>
        </row>
        <row r="1817">
          <cell r="A1817" t="str">
            <v>100900080038</v>
          </cell>
          <cell r="B1817" t="str">
            <v>Halsi</v>
          </cell>
          <cell r="C1817" t="str">
            <v>Halsi</v>
          </cell>
          <cell r="D1817" t="str">
            <v>MAHASONI</v>
          </cell>
          <cell r="E1817">
            <v>10090008</v>
          </cell>
          <cell r="F1817" t="str">
            <v>0038</v>
          </cell>
          <cell r="G1817">
            <v>4</v>
          </cell>
          <cell r="H1817">
            <v>14.100000000000001</v>
          </cell>
          <cell r="I1817">
            <v>521.303496516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P1817">
            <v>521</v>
          </cell>
          <cell r="V1817" t="str">
            <v>Available</v>
          </cell>
        </row>
        <row r="1818">
          <cell r="A1818" t="str">
            <v>100900080044</v>
          </cell>
          <cell r="B1818" t="str">
            <v>Halsi</v>
          </cell>
          <cell r="C1818" t="str">
            <v>Halsi</v>
          </cell>
          <cell r="D1818" t="str">
            <v>MAHASONI</v>
          </cell>
          <cell r="E1818">
            <v>10090008</v>
          </cell>
          <cell r="F1818" t="str">
            <v>0044</v>
          </cell>
          <cell r="G1818">
            <v>8</v>
          </cell>
          <cell r="H1818">
            <v>14.4</v>
          </cell>
          <cell r="I1818">
            <v>534.29851331999998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P1818">
            <v>534</v>
          </cell>
          <cell r="V1818" t="str">
            <v>Available</v>
          </cell>
        </row>
        <row r="1819">
          <cell r="A1819" t="str">
            <v>100900080046</v>
          </cell>
          <cell r="B1819" t="str">
            <v>Halsi</v>
          </cell>
          <cell r="C1819" t="str">
            <v>Halsi</v>
          </cell>
          <cell r="D1819" t="str">
            <v>MAHASONI</v>
          </cell>
          <cell r="E1819">
            <v>10090008</v>
          </cell>
          <cell r="F1819" t="str">
            <v>0046</v>
          </cell>
          <cell r="G1819">
            <v>5</v>
          </cell>
          <cell r="H1819">
            <v>5.6</v>
          </cell>
          <cell r="I1819">
            <v>252.49292968942504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P1819">
            <v>252</v>
          </cell>
          <cell r="V1819" t="str">
            <v>Available</v>
          </cell>
        </row>
        <row r="1820">
          <cell r="A1820" t="str">
            <v>100900080047</v>
          </cell>
          <cell r="B1820" t="str">
            <v>Halsi</v>
          </cell>
          <cell r="C1820" t="str">
            <v>Halsi</v>
          </cell>
          <cell r="D1820" t="str">
            <v>MAHASONI</v>
          </cell>
          <cell r="E1820">
            <v>10090008</v>
          </cell>
          <cell r="F1820" t="str">
            <v>0047</v>
          </cell>
          <cell r="G1820">
            <v>5</v>
          </cell>
          <cell r="H1820">
            <v>11.100000000000001</v>
          </cell>
          <cell r="I1820">
            <v>373.41351432000005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P1820">
            <v>373</v>
          </cell>
          <cell r="V1820" t="str">
            <v>Available</v>
          </cell>
        </row>
        <row r="1821">
          <cell r="A1821" t="str">
            <v>100900080048</v>
          </cell>
          <cell r="B1821" t="str">
            <v>Halsi</v>
          </cell>
          <cell r="C1821" t="str">
            <v>Halsi</v>
          </cell>
          <cell r="D1821" t="str">
            <v>MAHASONI</v>
          </cell>
          <cell r="E1821">
            <v>10090008</v>
          </cell>
          <cell r="F1821" t="str">
            <v>0048</v>
          </cell>
          <cell r="G1821">
            <v>3</v>
          </cell>
          <cell r="H1821">
            <v>5.4</v>
          </cell>
          <cell r="I1821">
            <v>254.79306541650004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P1821">
            <v>255</v>
          </cell>
          <cell r="V1821" t="str">
            <v>Available</v>
          </cell>
        </row>
        <row r="1822">
          <cell r="A1822" t="str">
            <v>100900080057</v>
          </cell>
          <cell r="B1822" t="str">
            <v>Halsi</v>
          </cell>
          <cell r="C1822" t="str">
            <v>Halsi</v>
          </cell>
          <cell r="D1822" t="str">
            <v>MAHASONI</v>
          </cell>
          <cell r="E1822">
            <v>10090008</v>
          </cell>
          <cell r="F1822" t="str">
            <v>0057</v>
          </cell>
          <cell r="G1822">
            <v>12</v>
          </cell>
          <cell r="H1822">
            <v>40.200000000000003</v>
          </cell>
          <cell r="I1822">
            <v>1223.3450116800002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P1822">
            <v>1223</v>
          </cell>
          <cell r="V1822" t="str">
            <v>Available</v>
          </cell>
        </row>
        <row r="1823">
          <cell r="A1823" t="str">
            <v>100900080058</v>
          </cell>
          <cell r="B1823" t="str">
            <v>Halsi</v>
          </cell>
          <cell r="C1823" t="str">
            <v>Halsi</v>
          </cell>
          <cell r="D1823" t="str">
            <v>MAHASONI</v>
          </cell>
          <cell r="E1823">
            <v>10090008</v>
          </cell>
          <cell r="F1823" t="str">
            <v>0058</v>
          </cell>
          <cell r="G1823">
            <v>13</v>
          </cell>
          <cell r="H1823">
            <v>111.89999999999999</v>
          </cell>
          <cell r="I1823">
            <v>4300.7323936768007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P1823">
            <v>4301</v>
          </cell>
          <cell r="V1823" t="str">
            <v>Available</v>
          </cell>
        </row>
        <row r="1824">
          <cell r="A1824" t="str">
            <v>100900080066</v>
          </cell>
          <cell r="B1824" t="str">
            <v>Halsi</v>
          </cell>
          <cell r="C1824" t="str">
            <v>Halsi</v>
          </cell>
          <cell r="D1824" t="str">
            <v>MAHASONI</v>
          </cell>
          <cell r="E1824">
            <v>10090008</v>
          </cell>
          <cell r="F1824" t="str">
            <v>0066</v>
          </cell>
          <cell r="G1824">
            <v>7</v>
          </cell>
          <cell r="H1824">
            <v>22.7</v>
          </cell>
          <cell r="I1824">
            <v>815.77326223800003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P1824">
            <v>816</v>
          </cell>
          <cell r="V1824" t="str">
            <v>Available</v>
          </cell>
        </row>
        <row r="1825">
          <cell r="A1825" t="str">
            <v>100900080067</v>
          </cell>
          <cell r="B1825" t="str">
            <v>Halsi</v>
          </cell>
          <cell r="C1825" t="str">
            <v>Halsi</v>
          </cell>
          <cell r="D1825" t="str">
            <v>MAHASONI</v>
          </cell>
          <cell r="E1825">
            <v>10090008</v>
          </cell>
          <cell r="F1825" t="str">
            <v>0067</v>
          </cell>
          <cell r="G1825">
            <v>5</v>
          </cell>
          <cell r="H1825">
            <v>10</v>
          </cell>
          <cell r="I1825">
            <v>361.37470782600008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P1825">
            <v>361</v>
          </cell>
          <cell r="V1825" t="str">
            <v>Available</v>
          </cell>
        </row>
        <row r="1826">
          <cell r="A1826" t="str">
            <v>100900080069</v>
          </cell>
          <cell r="B1826" t="str">
            <v>Halsi</v>
          </cell>
          <cell r="C1826" t="str">
            <v>Halsi</v>
          </cell>
          <cell r="D1826" t="str">
            <v>MAHASONI</v>
          </cell>
          <cell r="E1826">
            <v>10090008</v>
          </cell>
          <cell r="F1826" t="str">
            <v>0069</v>
          </cell>
          <cell r="G1826">
            <v>14</v>
          </cell>
          <cell r="H1826">
            <v>38.1</v>
          </cell>
          <cell r="I1826">
            <v>1301.7590586000003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P1826">
            <v>1302</v>
          </cell>
          <cell r="V1826" t="str">
            <v>Available</v>
          </cell>
        </row>
        <row r="1827">
          <cell r="A1827" t="str">
            <v>100900080070</v>
          </cell>
          <cell r="B1827" t="str">
            <v>Halsi</v>
          </cell>
          <cell r="C1827" t="str">
            <v>Halsi</v>
          </cell>
          <cell r="D1827" t="str">
            <v>MAHASONI</v>
          </cell>
          <cell r="E1827">
            <v>10090008</v>
          </cell>
          <cell r="F1827" t="str">
            <v>0070</v>
          </cell>
          <cell r="G1827">
            <v>11</v>
          </cell>
          <cell r="H1827">
            <v>50.800000000000004</v>
          </cell>
          <cell r="I1827">
            <v>1859.5819432080002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P1827">
            <v>1860</v>
          </cell>
          <cell r="V1827" t="str">
            <v>Available</v>
          </cell>
        </row>
        <row r="1828">
          <cell r="A1828" t="str">
            <v>100900080071</v>
          </cell>
          <cell r="B1828" t="str">
            <v>Halsi</v>
          </cell>
          <cell r="C1828" t="str">
            <v>Halsi</v>
          </cell>
          <cell r="D1828" t="str">
            <v>MAHASONI</v>
          </cell>
          <cell r="E1828">
            <v>10090008</v>
          </cell>
          <cell r="F1828" t="str">
            <v>0071</v>
          </cell>
          <cell r="G1828">
            <v>12</v>
          </cell>
          <cell r="H1828">
            <v>47.3</v>
          </cell>
          <cell r="I1828">
            <v>1676.6325958139998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P1828">
            <v>1677</v>
          </cell>
          <cell r="V1828" t="str">
            <v>Available</v>
          </cell>
        </row>
        <row r="1829">
          <cell r="A1829" t="str">
            <v>100900080075</v>
          </cell>
          <cell r="B1829" t="str">
            <v>Halsi</v>
          </cell>
          <cell r="C1829" t="str">
            <v>Halsi</v>
          </cell>
          <cell r="D1829" t="str">
            <v>MAHASONI</v>
          </cell>
          <cell r="E1829">
            <v>10090008</v>
          </cell>
          <cell r="F1829" t="str">
            <v>0075</v>
          </cell>
          <cell r="G1829">
            <v>8</v>
          </cell>
          <cell r="H1829">
            <v>31.6</v>
          </cell>
          <cell r="I1829">
            <v>1055.41679133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P1829">
            <v>1055</v>
          </cell>
          <cell r="V1829" t="str">
            <v>Available</v>
          </cell>
        </row>
        <row r="1830">
          <cell r="A1830" t="str">
            <v>100900080076</v>
          </cell>
          <cell r="B1830" t="str">
            <v>Halsi</v>
          </cell>
          <cell r="C1830" t="str">
            <v>Halsi</v>
          </cell>
          <cell r="D1830" t="str">
            <v>MAHASONI</v>
          </cell>
          <cell r="E1830">
            <v>10090008</v>
          </cell>
          <cell r="F1830" t="str">
            <v>0076</v>
          </cell>
          <cell r="G1830">
            <v>8</v>
          </cell>
          <cell r="H1830">
            <v>28.6</v>
          </cell>
          <cell r="I1830">
            <v>977.38462879199994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P1830">
            <v>977</v>
          </cell>
          <cell r="V1830" t="str">
            <v>Available</v>
          </cell>
        </row>
        <row r="1831">
          <cell r="A1831" t="str">
            <v>100900080077</v>
          </cell>
          <cell r="B1831" t="str">
            <v>Halsi</v>
          </cell>
          <cell r="C1831" t="str">
            <v>Halsi</v>
          </cell>
          <cell r="D1831" t="str">
            <v>MAHASONI</v>
          </cell>
          <cell r="E1831">
            <v>10090008</v>
          </cell>
          <cell r="F1831" t="str">
            <v>0077</v>
          </cell>
          <cell r="G1831">
            <v>13</v>
          </cell>
          <cell r="H1831">
            <v>83.699999999999989</v>
          </cell>
          <cell r="I1831">
            <v>2933.3962696500007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P1831">
            <v>2933</v>
          </cell>
          <cell r="V1831" t="str">
            <v>Available</v>
          </cell>
        </row>
        <row r="1832">
          <cell r="A1832" t="str">
            <v>100900080079</v>
          </cell>
          <cell r="B1832" t="str">
            <v>Halsi</v>
          </cell>
          <cell r="C1832" t="str">
            <v>Halsi</v>
          </cell>
          <cell r="D1832" t="str">
            <v>MAHASONI</v>
          </cell>
          <cell r="E1832">
            <v>10090008</v>
          </cell>
          <cell r="F1832" t="str">
            <v>0079</v>
          </cell>
          <cell r="G1832">
            <v>7</v>
          </cell>
          <cell r="H1832">
            <v>24.200000000000003</v>
          </cell>
          <cell r="I1832">
            <v>895.23749700000019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P1832">
            <v>895</v>
          </cell>
          <cell r="V1832" t="str">
            <v>Available</v>
          </cell>
        </row>
        <row r="1833">
          <cell r="A1833" t="str">
            <v>100900080080</v>
          </cell>
          <cell r="B1833" t="str">
            <v>Halsi</v>
          </cell>
          <cell r="C1833" t="str">
            <v>Halsi</v>
          </cell>
          <cell r="D1833" t="str">
            <v>MAHASONI</v>
          </cell>
          <cell r="E1833">
            <v>10090008</v>
          </cell>
          <cell r="F1833" t="str">
            <v>0080</v>
          </cell>
          <cell r="G1833">
            <v>14</v>
          </cell>
          <cell r="H1833">
            <v>32.400000000000006</v>
          </cell>
          <cell r="I1833">
            <v>1165.079299626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P1833">
            <v>1165</v>
          </cell>
          <cell r="V1833" t="str">
            <v>Available</v>
          </cell>
        </row>
        <row r="1834">
          <cell r="A1834" t="str">
            <v>100900090001</v>
          </cell>
          <cell r="B1834" t="str">
            <v>Halsi</v>
          </cell>
          <cell r="C1834" t="str">
            <v>Halsi</v>
          </cell>
          <cell r="D1834" t="str">
            <v>SONDHI</v>
          </cell>
          <cell r="E1834">
            <v>10090009</v>
          </cell>
          <cell r="F1834" t="str">
            <v>0001</v>
          </cell>
          <cell r="G1834">
            <v>14</v>
          </cell>
          <cell r="H1834">
            <v>6.1000000000000005</v>
          </cell>
          <cell r="I1834">
            <v>253.69761779999999</v>
          </cell>
          <cell r="J1834">
            <v>0</v>
          </cell>
          <cell r="K1834">
            <v>253.69761779999999</v>
          </cell>
          <cell r="L1834">
            <v>0</v>
          </cell>
          <cell r="M1834">
            <v>0</v>
          </cell>
          <cell r="P1834">
            <v>0</v>
          </cell>
          <cell r="V1834" t="str">
            <v>Not Available</v>
          </cell>
        </row>
        <row r="1835">
          <cell r="A1835" t="str">
            <v>100900090002</v>
          </cell>
          <cell r="B1835" t="str">
            <v>Halsi</v>
          </cell>
          <cell r="C1835" t="str">
            <v>Halsi</v>
          </cell>
          <cell r="D1835" t="str">
            <v>SONDHI</v>
          </cell>
          <cell r="E1835">
            <v>10090009</v>
          </cell>
          <cell r="F1835" t="str">
            <v>0002</v>
          </cell>
          <cell r="G1835">
            <v>10</v>
          </cell>
          <cell r="H1835">
            <v>79.900000000000006</v>
          </cell>
          <cell r="I1835">
            <v>3391.871173673801</v>
          </cell>
          <cell r="J1835">
            <v>0</v>
          </cell>
          <cell r="K1835">
            <v>0</v>
          </cell>
          <cell r="L1835">
            <v>2547</v>
          </cell>
          <cell r="M1835">
            <v>0</v>
          </cell>
          <cell r="P1835">
            <v>845</v>
          </cell>
          <cell r="V1835" t="str">
            <v>Available</v>
          </cell>
        </row>
        <row r="1836">
          <cell r="A1836" t="str">
            <v>100900090004</v>
          </cell>
          <cell r="B1836" t="str">
            <v>Halsi</v>
          </cell>
          <cell r="C1836" t="str">
            <v>Halsi</v>
          </cell>
          <cell r="D1836" t="str">
            <v>SONDHI</v>
          </cell>
          <cell r="E1836">
            <v>10090009</v>
          </cell>
          <cell r="F1836" t="str">
            <v>0004</v>
          </cell>
          <cell r="G1836">
            <v>7</v>
          </cell>
          <cell r="H1836">
            <v>29.8</v>
          </cell>
          <cell r="I1836">
            <v>1284.4955050251999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P1836">
            <v>1284</v>
          </cell>
          <cell r="V1836" t="str">
            <v>Available</v>
          </cell>
        </row>
        <row r="1837">
          <cell r="A1837" t="str">
            <v>100900090007</v>
          </cell>
          <cell r="B1837" t="str">
            <v>Halsi</v>
          </cell>
          <cell r="C1837" t="str">
            <v>Halsi</v>
          </cell>
          <cell r="D1837" t="str">
            <v>SONDHI</v>
          </cell>
          <cell r="E1837">
            <v>10090009</v>
          </cell>
          <cell r="F1837" t="str">
            <v>0007</v>
          </cell>
          <cell r="G1837">
            <v>8</v>
          </cell>
          <cell r="H1837">
            <v>39.199999999999996</v>
          </cell>
          <cell r="I1837">
            <v>1383.8158041840004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P1837">
            <v>1384</v>
          </cell>
          <cell r="V1837" t="str">
            <v>Available</v>
          </cell>
        </row>
        <row r="1838">
          <cell r="A1838" t="str">
            <v>100900090009</v>
          </cell>
          <cell r="B1838" t="str">
            <v>Halsi</v>
          </cell>
          <cell r="C1838" t="str">
            <v>Halsi</v>
          </cell>
          <cell r="D1838" t="str">
            <v>SONDHI</v>
          </cell>
          <cell r="E1838">
            <v>10090009</v>
          </cell>
          <cell r="F1838" t="str">
            <v>0009</v>
          </cell>
          <cell r="G1838">
            <v>13</v>
          </cell>
          <cell r="H1838">
            <v>71.7</v>
          </cell>
          <cell r="I1838">
            <v>2655.1540562580003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P1838">
            <v>2655</v>
          </cell>
          <cell r="V1838" t="str">
            <v>Available</v>
          </cell>
        </row>
        <row r="1839">
          <cell r="A1839" t="str">
            <v>100900090012</v>
          </cell>
          <cell r="B1839" t="str">
            <v>Halsi</v>
          </cell>
          <cell r="C1839" t="str">
            <v>Halsi</v>
          </cell>
          <cell r="D1839" t="str">
            <v>SONDHI</v>
          </cell>
          <cell r="E1839">
            <v>10090009</v>
          </cell>
          <cell r="F1839" t="str">
            <v>0012</v>
          </cell>
          <cell r="G1839">
            <v>14</v>
          </cell>
          <cell r="H1839">
            <v>36.200000000000003</v>
          </cell>
          <cell r="I1839">
            <v>1529.5230925200001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P1839">
            <v>1530</v>
          </cell>
          <cell r="V1839" t="str">
            <v>Available</v>
          </cell>
        </row>
        <row r="1840">
          <cell r="A1840" t="str">
            <v>100900090014</v>
          </cell>
          <cell r="B1840" t="str">
            <v>Halsi</v>
          </cell>
          <cell r="C1840" t="str">
            <v>Halsi</v>
          </cell>
          <cell r="D1840" t="str">
            <v>SONDHI</v>
          </cell>
          <cell r="E1840">
            <v>10090009</v>
          </cell>
          <cell r="F1840" t="str">
            <v>0014</v>
          </cell>
          <cell r="G1840">
            <v>12</v>
          </cell>
          <cell r="H1840">
            <v>121.30000000000001</v>
          </cell>
          <cell r="I1840">
            <v>4641.9494019180001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P1840">
            <v>4642</v>
          </cell>
          <cell r="V1840" t="str">
            <v>Available</v>
          </cell>
        </row>
        <row r="1841">
          <cell r="A1841" t="str">
            <v>100900090016</v>
          </cell>
          <cell r="B1841" t="str">
            <v>Halsi</v>
          </cell>
          <cell r="C1841" t="str">
            <v>Halsi</v>
          </cell>
          <cell r="D1841" t="str">
            <v>SONDHI</v>
          </cell>
          <cell r="E1841">
            <v>10090009</v>
          </cell>
          <cell r="F1841" t="str">
            <v>0016</v>
          </cell>
          <cell r="G1841">
            <v>6</v>
          </cell>
          <cell r="H1841">
            <v>10.200000000000001</v>
          </cell>
          <cell r="I1841">
            <v>399.79903590000004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P1841">
            <v>400</v>
          </cell>
          <cell r="V1841" t="str">
            <v>Available</v>
          </cell>
        </row>
        <row r="1842">
          <cell r="A1842" t="str">
            <v>100900090020</v>
          </cell>
          <cell r="B1842" t="str">
            <v>Halsi</v>
          </cell>
          <cell r="C1842" t="str">
            <v>Halsi</v>
          </cell>
          <cell r="D1842" t="str">
            <v>SONDHI</v>
          </cell>
          <cell r="E1842">
            <v>10090009</v>
          </cell>
          <cell r="F1842" t="str">
            <v>0020</v>
          </cell>
          <cell r="G1842">
            <v>11</v>
          </cell>
          <cell r="H1842">
            <v>137.9</v>
          </cell>
          <cell r="I1842">
            <v>5375.1188683890005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P1842">
            <v>5375</v>
          </cell>
          <cell r="V1842" t="str">
            <v>Available</v>
          </cell>
        </row>
        <row r="1843">
          <cell r="A1843" t="str">
            <v>100900090021</v>
          </cell>
          <cell r="B1843" t="str">
            <v>Halsi</v>
          </cell>
          <cell r="C1843" t="str">
            <v>Halsi</v>
          </cell>
          <cell r="D1843" t="str">
            <v>SONDHI</v>
          </cell>
          <cell r="E1843">
            <v>10090009</v>
          </cell>
          <cell r="F1843" t="str">
            <v>0021</v>
          </cell>
          <cell r="G1843">
            <v>8</v>
          </cell>
          <cell r="H1843">
            <v>60.5</v>
          </cell>
          <cell r="I1843">
            <v>2236.7771575524002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P1843">
            <v>2237</v>
          </cell>
          <cell r="V1843" t="str">
            <v>Available</v>
          </cell>
        </row>
        <row r="1844">
          <cell r="A1844" t="str">
            <v>100900090036</v>
          </cell>
          <cell r="B1844" t="str">
            <v>Halsi</v>
          </cell>
          <cell r="C1844" t="str">
            <v>Halsi</v>
          </cell>
          <cell r="D1844" t="str">
            <v>SONDHI</v>
          </cell>
          <cell r="E1844">
            <v>10090009</v>
          </cell>
          <cell r="F1844" t="str">
            <v>0036</v>
          </cell>
          <cell r="G1844">
            <v>14</v>
          </cell>
          <cell r="H1844">
            <v>29.300000000000004</v>
          </cell>
          <cell r="I1844">
            <v>1845.09083796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P1844">
            <v>1845</v>
          </cell>
          <cell r="V1844" t="str">
            <v>Available</v>
          </cell>
        </row>
        <row r="1845">
          <cell r="A1845" t="str">
            <v>100900090054</v>
          </cell>
          <cell r="B1845" t="str">
            <v>Halsi</v>
          </cell>
          <cell r="C1845" t="str">
            <v>Halsi</v>
          </cell>
          <cell r="D1845" t="str">
            <v>SONDHI</v>
          </cell>
          <cell r="E1845">
            <v>10090009</v>
          </cell>
          <cell r="F1845" t="str">
            <v>0054</v>
          </cell>
          <cell r="G1845">
            <v>6</v>
          </cell>
          <cell r="H1845">
            <v>26.2</v>
          </cell>
          <cell r="I1845">
            <v>1143.44464995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P1845">
            <v>1143</v>
          </cell>
          <cell r="V1845" t="str">
            <v>Available</v>
          </cell>
        </row>
        <row r="1846">
          <cell r="A1846" t="str">
            <v>100900210001</v>
          </cell>
          <cell r="B1846" t="str">
            <v>Halsi</v>
          </cell>
          <cell r="C1846" t="str">
            <v>Halsi</v>
          </cell>
          <cell r="D1846" t="str">
            <v>KHURIYARI</v>
          </cell>
          <cell r="E1846">
            <v>10090021</v>
          </cell>
          <cell r="F1846" t="str">
            <v>0001</v>
          </cell>
          <cell r="G1846">
            <v>13</v>
          </cell>
          <cell r="H1846">
            <v>2.5000000000000004</v>
          </cell>
          <cell r="I1846">
            <v>101.51924935290002</v>
          </cell>
          <cell r="J1846">
            <v>0</v>
          </cell>
          <cell r="K1846">
            <v>101.51924935290002</v>
          </cell>
          <cell r="L1846">
            <v>0</v>
          </cell>
          <cell r="M1846">
            <v>0</v>
          </cell>
          <cell r="P1846">
            <v>0</v>
          </cell>
          <cell r="V1846" t="str">
            <v>Not Available</v>
          </cell>
        </row>
        <row r="1847">
          <cell r="A1847" t="str">
            <v>100900210002</v>
          </cell>
          <cell r="B1847" t="str">
            <v>Halsi</v>
          </cell>
          <cell r="C1847" t="str">
            <v>Halsi</v>
          </cell>
          <cell r="D1847" t="str">
            <v>KHURIYARI</v>
          </cell>
          <cell r="E1847">
            <v>10090021</v>
          </cell>
          <cell r="F1847" t="str">
            <v>0002</v>
          </cell>
          <cell r="G1847">
            <v>13</v>
          </cell>
          <cell r="H1847">
            <v>386.59999999999997</v>
          </cell>
          <cell r="I1847">
            <v>15679.901853682002</v>
          </cell>
          <cell r="J1847">
            <v>0</v>
          </cell>
          <cell r="K1847">
            <v>0</v>
          </cell>
          <cell r="L1847">
            <v>11865</v>
          </cell>
          <cell r="M1847">
            <v>0</v>
          </cell>
          <cell r="P1847">
            <v>3815</v>
          </cell>
          <cell r="V1847" t="str">
            <v>Available</v>
          </cell>
        </row>
        <row r="1848">
          <cell r="A1848" t="str">
            <v>100900210005</v>
          </cell>
          <cell r="B1848" t="str">
            <v>Halsi</v>
          </cell>
          <cell r="C1848" t="str">
            <v>Halsi</v>
          </cell>
          <cell r="D1848" t="str">
            <v>KHURIYARI</v>
          </cell>
          <cell r="E1848">
            <v>10090021</v>
          </cell>
          <cell r="F1848" t="str">
            <v>0005</v>
          </cell>
          <cell r="G1848">
            <v>14</v>
          </cell>
          <cell r="H1848">
            <v>301.40000000000009</v>
          </cell>
          <cell r="I1848">
            <v>12610.818186819602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P1848">
            <v>12611</v>
          </cell>
          <cell r="V1848" t="str">
            <v>Available</v>
          </cell>
        </row>
        <row r="1849">
          <cell r="A1849" t="str">
            <v>100900210040</v>
          </cell>
          <cell r="B1849" t="str">
            <v>Halsi</v>
          </cell>
          <cell r="C1849" t="str">
            <v>Halsi</v>
          </cell>
          <cell r="D1849" t="str">
            <v>KHURIYARI</v>
          </cell>
          <cell r="E1849">
            <v>10090021</v>
          </cell>
          <cell r="F1849" t="str">
            <v>0040</v>
          </cell>
          <cell r="G1849">
            <v>14</v>
          </cell>
          <cell r="H1849">
            <v>373.29999999999995</v>
          </cell>
          <cell r="I1849">
            <v>15681.897086652998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P1849">
            <v>15682</v>
          </cell>
          <cell r="V1849" t="str">
            <v>Available</v>
          </cell>
        </row>
        <row r="1850">
          <cell r="A1850" t="str">
            <v>100900290001</v>
          </cell>
          <cell r="B1850" t="str">
            <v>Halsi</v>
          </cell>
          <cell r="C1850" t="str">
            <v>Halsi</v>
          </cell>
          <cell r="D1850" t="str">
            <v>RAMNAGAR</v>
          </cell>
          <cell r="E1850">
            <v>10090029</v>
          </cell>
          <cell r="F1850" t="str">
            <v>0001</v>
          </cell>
          <cell r="G1850">
            <v>1</v>
          </cell>
          <cell r="H1850">
            <v>6.73</v>
          </cell>
          <cell r="I1850">
            <v>252.30152455200002</v>
          </cell>
          <cell r="J1850">
            <v>0</v>
          </cell>
          <cell r="K1850">
            <v>252.30152455200002</v>
          </cell>
          <cell r="L1850">
            <v>0</v>
          </cell>
          <cell r="M1850">
            <v>0</v>
          </cell>
          <cell r="P1850">
            <v>0</v>
          </cell>
          <cell r="V1850" t="str">
            <v>Not Available</v>
          </cell>
        </row>
        <row r="1851">
          <cell r="A1851" t="str">
            <v>100900290002</v>
          </cell>
          <cell r="B1851" t="str">
            <v>Halsi</v>
          </cell>
          <cell r="C1851" t="str">
            <v>Halsi</v>
          </cell>
          <cell r="D1851" t="str">
            <v>RAMNAGAR</v>
          </cell>
          <cell r="E1851">
            <v>10090029</v>
          </cell>
          <cell r="F1851" t="str">
            <v>0002</v>
          </cell>
          <cell r="G1851">
            <v>10</v>
          </cell>
          <cell r="H1851">
            <v>158.65000000000003</v>
          </cell>
          <cell r="I1851">
            <v>8732.2696525208412</v>
          </cell>
          <cell r="J1851">
            <v>0</v>
          </cell>
          <cell r="K1851">
            <v>0</v>
          </cell>
          <cell r="L1851">
            <v>255</v>
          </cell>
          <cell r="M1851">
            <v>0</v>
          </cell>
          <cell r="P1851">
            <v>8477</v>
          </cell>
          <cell r="V1851" t="str">
            <v>Available</v>
          </cell>
        </row>
        <row r="1852">
          <cell r="A1852" t="str">
            <v>100900290003</v>
          </cell>
          <cell r="B1852" t="str">
            <v>Halsi</v>
          </cell>
          <cell r="C1852" t="str">
            <v>Halsi</v>
          </cell>
          <cell r="D1852" t="str">
            <v>RAMNAGAR</v>
          </cell>
          <cell r="E1852">
            <v>10090029</v>
          </cell>
          <cell r="F1852" t="str">
            <v>0003</v>
          </cell>
          <cell r="G1852">
            <v>14</v>
          </cell>
          <cell r="H1852">
            <v>77.929999999999993</v>
          </cell>
          <cell r="I1852">
            <v>2732.3190738360004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P1852">
            <v>2732</v>
          </cell>
          <cell r="V1852" t="str">
            <v>Available</v>
          </cell>
        </row>
        <row r="1853">
          <cell r="A1853" t="str">
            <v>100900290004</v>
          </cell>
          <cell r="B1853" t="str">
            <v>Halsi</v>
          </cell>
          <cell r="C1853" t="str">
            <v>Halsi</v>
          </cell>
          <cell r="D1853" t="str">
            <v>RAMNAGAR</v>
          </cell>
          <cell r="E1853">
            <v>10090029</v>
          </cell>
          <cell r="F1853" t="str">
            <v>0004</v>
          </cell>
          <cell r="G1853">
            <v>14</v>
          </cell>
          <cell r="H1853">
            <v>62.960000000000008</v>
          </cell>
          <cell r="I1853">
            <v>2226.3670325160006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P1853">
            <v>2226</v>
          </cell>
          <cell r="V1853" t="str">
            <v>Available</v>
          </cell>
        </row>
        <row r="1854">
          <cell r="A1854" t="str">
            <v>100900290005</v>
          </cell>
          <cell r="B1854" t="str">
            <v>Halsi</v>
          </cell>
          <cell r="C1854" t="str">
            <v>Halsi</v>
          </cell>
          <cell r="D1854" t="str">
            <v>RAMNAGAR</v>
          </cell>
          <cell r="E1854">
            <v>10090029</v>
          </cell>
          <cell r="F1854" t="str">
            <v>0005</v>
          </cell>
          <cell r="G1854">
            <v>7</v>
          </cell>
          <cell r="H1854">
            <v>12.73</v>
          </cell>
          <cell r="I1854">
            <v>419.66604072360008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P1854">
            <v>420</v>
          </cell>
          <cell r="V1854" t="str">
            <v>Available</v>
          </cell>
        </row>
        <row r="1855">
          <cell r="A1855" t="str">
            <v>100900290006</v>
          </cell>
          <cell r="B1855" t="str">
            <v>Halsi</v>
          </cell>
          <cell r="C1855" t="str">
            <v>Halsi</v>
          </cell>
          <cell r="D1855" t="str">
            <v>RAMNAGAR</v>
          </cell>
          <cell r="E1855">
            <v>10090029</v>
          </cell>
          <cell r="F1855" t="str">
            <v>0006</v>
          </cell>
          <cell r="G1855">
            <v>14</v>
          </cell>
          <cell r="H1855">
            <v>18.86</v>
          </cell>
          <cell r="I1855">
            <v>882.69835399510009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P1855">
            <v>883</v>
          </cell>
          <cell r="V1855" t="str">
            <v>Available</v>
          </cell>
        </row>
        <row r="1856">
          <cell r="A1856" t="str">
            <v>100900290007</v>
          </cell>
          <cell r="B1856" t="str">
            <v>Halsi</v>
          </cell>
          <cell r="C1856" t="str">
            <v>Halsi</v>
          </cell>
          <cell r="D1856" t="str">
            <v>RAMNAGAR</v>
          </cell>
          <cell r="E1856">
            <v>10090029</v>
          </cell>
          <cell r="F1856" t="str">
            <v>0007</v>
          </cell>
          <cell r="G1856">
            <v>7</v>
          </cell>
          <cell r="H1856">
            <v>10.08</v>
          </cell>
          <cell r="I1856">
            <v>351.14822384400003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P1856">
            <v>351</v>
          </cell>
          <cell r="V1856" t="str">
            <v>Available</v>
          </cell>
        </row>
        <row r="1857">
          <cell r="A1857" t="str">
            <v>100900290008</v>
          </cell>
          <cell r="B1857" t="str">
            <v>Halsi</v>
          </cell>
          <cell r="C1857" t="str">
            <v>Halsi</v>
          </cell>
          <cell r="D1857" t="str">
            <v>RAMNAGAR</v>
          </cell>
          <cell r="E1857">
            <v>10090029</v>
          </cell>
          <cell r="F1857" t="str">
            <v>0008</v>
          </cell>
          <cell r="G1857">
            <v>5</v>
          </cell>
          <cell r="H1857">
            <v>5.9700000000000006</v>
          </cell>
          <cell r="I1857">
            <v>365.84072706789999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P1857">
            <v>366</v>
          </cell>
          <cell r="V1857" t="str">
            <v>Available</v>
          </cell>
        </row>
        <row r="1858">
          <cell r="A1858" t="str">
            <v>100900290011</v>
          </cell>
          <cell r="B1858" t="str">
            <v>Halsi</v>
          </cell>
          <cell r="C1858" t="str">
            <v>Halsi</v>
          </cell>
          <cell r="D1858" t="str">
            <v>RAMNAGAR</v>
          </cell>
          <cell r="E1858">
            <v>10090029</v>
          </cell>
          <cell r="F1858" t="str">
            <v>0011</v>
          </cell>
          <cell r="G1858">
            <v>10</v>
          </cell>
          <cell r="H1858">
            <v>35.61</v>
          </cell>
          <cell r="I1858">
            <v>1266.1404936840001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P1858">
            <v>1266</v>
          </cell>
          <cell r="V1858" t="str">
            <v>Available</v>
          </cell>
        </row>
        <row r="1859">
          <cell r="A1859" t="str">
            <v>100900290014</v>
          </cell>
          <cell r="B1859" t="str">
            <v>Halsi</v>
          </cell>
          <cell r="C1859" t="str">
            <v>Halsi</v>
          </cell>
          <cell r="D1859" t="str">
            <v>RAMNAGAR</v>
          </cell>
          <cell r="E1859">
            <v>10090029</v>
          </cell>
          <cell r="F1859" t="str">
            <v>0014</v>
          </cell>
          <cell r="G1859">
            <v>6</v>
          </cell>
          <cell r="H1859">
            <v>13.780000000000001</v>
          </cell>
          <cell r="I1859">
            <v>818.75904881230008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P1859">
            <v>819</v>
          </cell>
          <cell r="V1859" t="str">
            <v>Available</v>
          </cell>
        </row>
        <row r="1860">
          <cell r="A1860" t="str">
            <v>100900290017</v>
          </cell>
          <cell r="B1860" t="str">
            <v>Halsi</v>
          </cell>
          <cell r="C1860" t="str">
            <v>Halsi</v>
          </cell>
          <cell r="D1860" t="str">
            <v>RAMNAGAR</v>
          </cell>
          <cell r="E1860">
            <v>10090029</v>
          </cell>
          <cell r="F1860" t="str">
            <v>0017</v>
          </cell>
          <cell r="G1860">
            <v>14</v>
          </cell>
          <cell r="H1860">
            <v>52.579999999999991</v>
          </cell>
          <cell r="I1860">
            <v>1831.1994558000001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P1860">
            <v>1831</v>
          </cell>
          <cell r="V1860" t="str">
            <v>Available</v>
          </cell>
        </row>
        <row r="1861">
          <cell r="A1861" t="str">
            <v>100900290020</v>
          </cell>
          <cell r="B1861" t="str">
            <v>Halsi</v>
          </cell>
          <cell r="C1861" t="str">
            <v>Halsi</v>
          </cell>
          <cell r="D1861" t="str">
            <v>RAMNAGAR</v>
          </cell>
          <cell r="E1861">
            <v>10090029</v>
          </cell>
          <cell r="F1861" t="str">
            <v>0020</v>
          </cell>
          <cell r="G1861">
            <v>7</v>
          </cell>
          <cell r="H1861">
            <v>12.05</v>
          </cell>
          <cell r="I1861">
            <v>736.12066459312996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P1861">
            <v>736</v>
          </cell>
          <cell r="V1861" t="str">
            <v>Available</v>
          </cell>
        </row>
        <row r="1862">
          <cell r="A1862" t="str">
            <v>100900290022</v>
          </cell>
          <cell r="B1862" t="str">
            <v>Halsi</v>
          </cell>
          <cell r="C1862" t="str">
            <v>Halsi</v>
          </cell>
          <cell r="D1862" t="str">
            <v>RAMNAGAR</v>
          </cell>
          <cell r="E1862">
            <v>10090029</v>
          </cell>
          <cell r="F1862" t="str">
            <v>0022</v>
          </cell>
          <cell r="G1862">
            <v>7</v>
          </cell>
          <cell r="H1862">
            <v>36.520000000000003</v>
          </cell>
          <cell r="I1862">
            <v>1398.8039361120002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P1862">
            <v>1399</v>
          </cell>
          <cell r="V1862" t="str">
            <v>Available</v>
          </cell>
        </row>
        <row r="1863">
          <cell r="A1863" t="str">
            <v>100900290027</v>
          </cell>
          <cell r="B1863" t="str">
            <v>Halsi</v>
          </cell>
          <cell r="C1863" t="str">
            <v>Halsi</v>
          </cell>
          <cell r="D1863" t="str">
            <v>RAMNAGAR</v>
          </cell>
          <cell r="E1863">
            <v>10090029</v>
          </cell>
          <cell r="F1863" t="str">
            <v>0027</v>
          </cell>
          <cell r="G1863">
            <v>7</v>
          </cell>
          <cell r="H1863">
            <v>58.53</v>
          </cell>
          <cell r="I1863">
            <v>2022.3425836746005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P1863">
            <v>2022</v>
          </cell>
          <cell r="V1863" t="str">
            <v>Available</v>
          </cell>
        </row>
        <row r="1864">
          <cell r="A1864" t="str">
            <v>100900290028</v>
          </cell>
          <cell r="B1864" t="str">
            <v>Halsi</v>
          </cell>
          <cell r="C1864" t="str">
            <v>Halsi</v>
          </cell>
          <cell r="D1864" t="str">
            <v>RAMNAGAR</v>
          </cell>
          <cell r="E1864">
            <v>10090029</v>
          </cell>
          <cell r="F1864" t="str">
            <v>0028</v>
          </cell>
          <cell r="G1864">
            <v>7</v>
          </cell>
          <cell r="H1864">
            <v>28.459999999999997</v>
          </cell>
          <cell r="I1864">
            <v>1122.3510059520002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P1864">
            <v>1122</v>
          </cell>
          <cell r="V1864" t="str">
            <v>Available</v>
          </cell>
        </row>
        <row r="1865">
          <cell r="A1865" t="str">
            <v>100900290030</v>
          </cell>
          <cell r="B1865" t="str">
            <v>Halsi</v>
          </cell>
          <cell r="C1865" t="str">
            <v>Halsi</v>
          </cell>
          <cell r="D1865" t="str">
            <v>RAMNAGAR</v>
          </cell>
          <cell r="E1865">
            <v>10090029</v>
          </cell>
          <cell r="F1865" t="str">
            <v>0030</v>
          </cell>
          <cell r="G1865">
            <v>14</v>
          </cell>
          <cell r="H1865">
            <v>39.549999999999997</v>
          </cell>
          <cell r="I1865">
            <v>1330.6989156119998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P1865">
            <v>1331</v>
          </cell>
          <cell r="V1865" t="str">
            <v>Available</v>
          </cell>
        </row>
        <row r="1866">
          <cell r="A1866" t="str">
            <v>100900290031</v>
          </cell>
          <cell r="B1866" t="str">
            <v>Halsi</v>
          </cell>
          <cell r="C1866" t="str">
            <v>Halsi</v>
          </cell>
          <cell r="D1866" t="str">
            <v>RAMNAGAR</v>
          </cell>
          <cell r="E1866">
            <v>10090029</v>
          </cell>
          <cell r="F1866" t="str">
            <v>0031</v>
          </cell>
          <cell r="G1866">
            <v>7</v>
          </cell>
          <cell r="H1866">
            <v>10.78</v>
          </cell>
          <cell r="I1866">
            <v>708.32701290273997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P1866">
            <v>708</v>
          </cell>
          <cell r="V1866" t="str">
            <v>Available</v>
          </cell>
        </row>
        <row r="1867">
          <cell r="A1867" t="str">
            <v>100900290032</v>
          </cell>
          <cell r="B1867" t="str">
            <v>Halsi</v>
          </cell>
          <cell r="C1867" t="str">
            <v>Halsi</v>
          </cell>
          <cell r="D1867" t="str">
            <v>RAMNAGAR</v>
          </cell>
          <cell r="E1867">
            <v>10090029</v>
          </cell>
          <cell r="F1867" t="str">
            <v>0032</v>
          </cell>
          <cell r="G1867">
            <v>9</v>
          </cell>
          <cell r="H1867">
            <v>22.439999999999998</v>
          </cell>
          <cell r="I1867">
            <v>715.61499429420007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P1867">
            <v>716</v>
          </cell>
          <cell r="V1867" t="str">
            <v>Available</v>
          </cell>
        </row>
        <row r="1868">
          <cell r="A1868" t="str">
            <v>100900290033</v>
          </cell>
          <cell r="B1868" t="str">
            <v>Halsi</v>
          </cell>
          <cell r="C1868" t="str">
            <v>Halsi</v>
          </cell>
          <cell r="D1868" t="str">
            <v>RAMNAGAR</v>
          </cell>
          <cell r="E1868">
            <v>10090029</v>
          </cell>
          <cell r="F1868" t="str">
            <v>0033</v>
          </cell>
          <cell r="G1868">
            <v>13</v>
          </cell>
          <cell r="H1868">
            <v>39.85</v>
          </cell>
          <cell r="I1868">
            <v>1407.1524563448004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P1868">
            <v>1407</v>
          </cell>
          <cell r="V1868" t="str">
            <v>Available</v>
          </cell>
        </row>
        <row r="1869">
          <cell r="A1869" t="str">
            <v>100900290034</v>
          </cell>
          <cell r="B1869" t="str">
            <v>Halsi</v>
          </cell>
          <cell r="C1869" t="str">
            <v>Halsi</v>
          </cell>
          <cell r="D1869" t="str">
            <v>RAMNAGAR</v>
          </cell>
          <cell r="E1869">
            <v>10090029</v>
          </cell>
          <cell r="F1869" t="str">
            <v>0034</v>
          </cell>
          <cell r="G1869">
            <v>14</v>
          </cell>
          <cell r="H1869">
            <v>25.97</v>
          </cell>
          <cell r="I1869">
            <v>1534.62868235117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P1869">
            <v>1535</v>
          </cell>
          <cell r="V1869" t="str">
            <v>Available</v>
          </cell>
        </row>
        <row r="1870">
          <cell r="A1870" t="str">
            <v>100900290036</v>
          </cell>
          <cell r="B1870" t="str">
            <v>Halsi</v>
          </cell>
          <cell r="C1870" t="str">
            <v>Halsi</v>
          </cell>
          <cell r="D1870" t="str">
            <v>RAMNAGAR</v>
          </cell>
          <cell r="E1870">
            <v>10090029</v>
          </cell>
          <cell r="F1870" t="str">
            <v>0036</v>
          </cell>
          <cell r="G1870">
            <v>14</v>
          </cell>
          <cell r="H1870">
            <v>31.55</v>
          </cell>
          <cell r="I1870">
            <v>1098.7365750570002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P1870">
            <v>1099</v>
          </cell>
          <cell r="V1870" t="str">
            <v>Available</v>
          </cell>
        </row>
        <row r="1871">
          <cell r="A1871" t="str">
            <v>100900330001</v>
          </cell>
          <cell r="B1871" t="str">
            <v>Halsi</v>
          </cell>
          <cell r="C1871" t="str">
            <v>Halsi</v>
          </cell>
          <cell r="D1871" t="str">
            <v>SANDH MAAF 2</v>
          </cell>
          <cell r="E1871">
            <v>10090033</v>
          </cell>
          <cell r="F1871" t="str">
            <v>0001</v>
          </cell>
          <cell r="G1871">
            <v>13</v>
          </cell>
          <cell r="H1871">
            <v>6.33</v>
          </cell>
          <cell r="I1871">
            <v>305.92021456590004</v>
          </cell>
          <cell r="J1871">
            <v>0</v>
          </cell>
          <cell r="K1871">
            <v>305.92021456590004</v>
          </cell>
          <cell r="L1871">
            <v>0</v>
          </cell>
          <cell r="M1871">
            <v>0</v>
          </cell>
          <cell r="P1871">
            <v>0</v>
          </cell>
          <cell r="V1871" t="str">
            <v>Not Available</v>
          </cell>
        </row>
        <row r="1872">
          <cell r="A1872" t="str">
            <v>100900330002</v>
          </cell>
          <cell r="B1872" t="str">
            <v>Halsi</v>
          </cell>
          <cell r="C1872" t="str">
            <v>Halsi</v>
          </cell>
          <cell r="D1872" t="str">
            <v>SANDH MAAF 2</v>
          </cell>
          <cell r="E1872">
            <v>10090033</v>
          </cell>
          <cell r="F1872" t="str">
            <v>0002</v>
          </cell>
          <cell r="G1872">
            <v>14</v>
          </cell>
          <cell r="H1872">
            <v>530.29</v>
          </cell>
          <cell r="I1872">
            <v>24983.742253566863</v>
          </cell>
          <cell r="J1872">
            <v>0</v>
          </cell>
          <cell r="K1872">
            <v>0</v>
          </cell>
          <cell r="L1872">
            <v>3010</v>
          </cell>
          <cell r="M1872">
            <v>0</v>
          </cell>
          <cell r="P1872">
            <v>21974</v>
          </cell>
          <cell r="V1872" t="str">
            <v>Available</v>
          </cell>
        </row>
        <row r="1873">
          <cell r="A1873" t="str">
            <v>100900330006</v>
          </cell>
          <cell r="B1873" t="str">
            <v>Halsi</v>
          </cell>
          <cell r="C1873" t="str">
            <v>Halsi</v>
          </cell>
          <cell r="D1873" t="str">
            <v>SANDH MAAF 2</v>
          </cell>
          <cell r="E1873">
            <v>10090033</v>
          </cell>
          <cell r="F1873" t="str">
            <v>0006</v>
          </cell>
          <cell r="G1873">
            <v>14</v>
          </cell>
          <cell r="H1873">
            <v>39.57</v>
          </cell>
          <cell r="I1873">
            <v>2252.5428613689801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P1873">
            <v>2253</v>
          </cell>
          <cell r="V1873" t="str">
            <v>Available</v>
          </cell>
        </row>
        <row r="1874">
          <cell r="A1874" t="str">
            <v>100900330010</v>
          </cell>
          <cell r="B1874" t="str">
            <v>Halsi</v>
          </cell>
          <cell r="C1874" t="str">
            <v>Halsi</v>
          </cell>
          <cell r="D1874" t="str">
            <v>SANDH MAAF 2</v>
          </cell>
          <cell r="E1874">
            <v>10090033</v>
          </cell>
          <cell r="F1874" t="str">
            <v>0010</v>
          </cell>
          <cell r="G1874">
            <v>9</v>
          </cell>
          <cell r="H1874">
            <v>12.82</v>
          </cell>
          <cell r="I1874">
            <v>899.34404188630003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P1874">
            <v>899</v>
          </cell>
          <cell r="V1874" t="str">
            <v>Available</v>
          </cell>
        </row>
        <row r="1875">
          <cell r="A1875" t="str">
            <v>100900330011</v>
          </cell>
          <cell r="B1875" t="str">
            <v>Halsi</v>
          </cell>
          <cell r="C1875" t="str">
            <v>Halsi</v>
          </cell>
          <cell r="D1875" t="str">
            <v>SANDH MAAF 2</v>
          </cell>
          <cell r="E1875">
            <v>10090033</v>
          </cell>
          <cell r="F1875" t="str">
            <v>0011</v>
          </cell>
          <cell r="G1875">
            <v>1</v>
          </cell>
          <cell r="H1875">
            <v>4.57</v>
          </cell>
          <cell r="I1875">
            <v>194.85164754000004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P1875">
            <v>195</v>
          </cell>
          <cell r="V1875" t="str">
            <v>Available</v>
          </cell>
        </row>
        <row r="1876">
          <cell r="A1876" t="str">
            <v>100900330015</v>
          </cell>
          <cell r="B1876" t="str">
            <v>Halsi</v>
          </cell>
          <cell r="C1876" t="str">
            <v>Halsi</v>
          </cell>
          <cell r="D1876" t="str">
            <v>SANDH MAAF 2</v>
          </cell>
          <cell r="E1876">
            <v>10090033</v>
          </cell>
          <cell r="F1876" t="str">
            <v>0015</v>
          </cell>
          <cell r="G1876">
            <v>14</v>
          </cell>
          <cell r="H1876">
            <v>34.479999999999997</v>
          </cell>
          <cell r="I1876">
            <v>1804.1060137258203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P1876">
            <v>1804</v>
          </cell>
          <cell r="V1876" t="str">
            <v>Available</v>
          </cell>
        </row>
        <row r="1877">
          <cell r="A1877" t="str">
            <v>100900330041</v>
          </cell>
          <cell r="B1877" t="str">
            <v>Halsi</v>
          </cell>
          <cell r="C1877" t="str">
            <v>Halsi</v>
          </cell>
          <cell r="D1877" t="str">
            <v>SANDH MAAF 2</v>
          </cell>
          <cell r="E1877">
            <v>10090033</v>
          </cell>
          <cell r="F1877" t="str">
            <v>0041</v>
          </cell>
          <cell r="G1877">
            <v>14</v>
          </cell>
          <cell r="H1877">
            <v>36.799999999999997</v>
          </cell>
          <cell r="I1877">
            <v>1901.9316940786998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P1877">
            <v>1902</v>
          </cell>
          <cell r="V1877" t="str">
            <v>Available</v>
          </cell>
        </row>
        <row r="1878">
          <cell r="A1878" t="str">
            <v>100900330043</v>
          </cell>
          <cell r="B1878" t="str">
            <v>Halsi</v>
          </cell>
          <cell r="C1878" t="str">
            <v>Halsi</v>
          </cell>
          <cell r="D1878" t="str">
            <v>SANDH MAAF 2</v>
          </cell>
          <cell r="E1878">
            <v>10090033</v>
          </cell>
          <cell r="F1878" t="str">
            <v>0043</v>
          </cell>
          <cell r="G1878">
            <v>14</v>
          </cell>
          <cell r="H1878">
            <v>24.92</v>
          </cell>
          <cell r="I1878">
            <v>1376.3763815801999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P1878">
            <v>1376</v>
          </cell>
          <cell r="V1878" t="str">
            <v>Available</v>
          </cell>
        </row>
        <row r="1879">
          <cell r="A1879" t="str">
            <v>100900330046</v>
          </cell>
          <cell r="B1879" t="str">
            <v>Halsi</v>
          </cell>
          <cell r="C1879" t="str">
            <v>Halsi</v>
          </cell>
          <cell r="D1879" t="str">
            <v>SANDH MAAF 2</v>
          </cell>
          <cell r="E1879">
            <v>10090033</v>
          </cell>
          <cell r="F1879" t="str">
            <v>0046</v>
          </cell>
          <cell r="G1879">
            <v>14</v>
          </cell>
          <cell r="H1879">
            <v>37.04</v>
          </cell>
          <cell r="I1879">
            <v>1976.2522957671799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P1879">
            <v>1976</v>
          </cell>
          <cell r="V1879" t="str">
            <v>Available</v>
          </cell>
        </row>
        <row r="1880">
          <cell r="A1880" t="str">
            <v>100900330062</v>
          </cell>
          <cell r="B1880" t="str">
            <v>Halsi</v>
          </cell>
          <cell r="C1880" t="str">
            <v>Halsi</v>
          </cell>
          <cell r="D1880" t="str">
            <v>SANDH MAAF 2</v>
          </cell>
          <cell r="E1880">
            <v>10090033</v>
          </cell>
          <cell r="F1880" t="str">
            <v>0062</v>
          </cell>
          <cell r="G1880">
            <v>14</v>
          </cell>
          <cell r="H1880">
            <v>51.93</v>
          </cell>
          <cell r="I1880">
            <v>3494.8724296862001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P1880">
            <v>3495</v>
          </cell>
          <cell r="V1880" t="str">
            <v>Available</v>
          </cell>
        </row>
        <row r="1881">
          <cell r="A1881" t="str">
            <v>100900330064</v>
          </cell>
          <cell r="B1881" t="str">
            <v>Halsi</v>
          </cell>
          <cell r="C1881" t="str">
            <v>Halsi</v>
          </cell>
          <cell r="D1881" t="str">
            <v>SANDH MAAF 2</v>
          </cell>
          <cell r="E1881">
            <v>10090033</v>
          </cell>
          <cell r="F1881" t="str">
            <v>0064</v>
          </cell>
          <cell r="G1881">
            <v>14</v>
          </cell>
          <cell r="H1881">
            <v>319.92</v>
          </cell>
          <cell r="I1881">
            <v>14592.9768003068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P1881">
            <v>14593</v>
          </cell>
          <cell r="V1881" t="str">
            <v>Available</v>
          </cell>
        </row>
        <row r="1882">
          <cell r="A1882" t="str">
            <v>100900340001</v>
          </cell>
          <cell r="B1882" t="str">
            <v>Halsi</v>
          </cell>
          <cell r="C1882" t="str">
            <v>Halsi</v>
          </cell>
          <cell r="D1882" t="str">
            <v xml:space="preserve">BHATTA                                                                                              </v>
          </cell>
          <cell r="E1882">
            <v>10090034</v>
          </cell>
          <cell r="F1882" t="str">
            <v>0001</v>
          </cell>
          <cell r="G1882">
            <v>7</v>
          </cell>
          <cell r="H1882">
            <v>2.74</v>
          </cell>
          <cell r="I1882">
            <v>112.73107428</v>
          </cell>
          <cell r="J1882">
            <v>0</v>
          </cell>
          <cell r="K1882">
            <v>112.73107428</v>
          </cell>
          <cell r="L1882">
            <v>0</v>
          </cell>
          <cell r="M1882">
            <v>0</v>
          </cell>
          <cell r="P1882">
            <v>0</v>
          </cell>
          <cell r="V1882" t="str">
            <v>Not Available</v>
          </cell>
        </row>
        <row r="1883">
          <cell r="A1883" t="str">
            <v>100900340002</v>
          </cell>
          <cell r="B1883" t="str">
            <v>Halsi</v>
          </cell>
          <cell r="C1883" t="str">
            <v>Halsi</v>
          </cell>
          <cell r="D1883" t="str">
            <v xml:space="preserve">BHATTA                                                                                              </v>
          </cell>
          <cell r="E1883">
            <v>10090034</v>
          </cell>
          <cell r="F1883" t="str">
            <v>0002</v>
          </cell>
          <cell r="G1883">
            <v>8</v>
          </cell>
          <cell r="H1883">
            <v>357.57000000000005</v>
          </cell>
          <cell r="I1883">
            <v>15357.176141758704</v>
          </cell>
          <cell r="J1883">
            <v>0</v>
          </cell>
          <cell r="K1883">
            <v>0</v>
          </cell>
          <cell r="L1883">
            <v>800</v>
          </cell>
          <cell r="M1883">
            <v>0</v>
          </cell>
          <cell r="P1883">
            <v>14515</v>
          </cell>
          <cell r="V1883" t="str">
            <v>Available</v>
          </cell>
        </row>
        <row r="1884">
          <cell r="A1884" t="str">
            <v>100900340018</v>
          </cell>
          <cell r="B1884" t="str">
            <v>Halsi</v>
          </cell>
          <cell r="C1884" t="str">
            <v>Halsi</v>
          </cell>
          <cell r="D1884" t="str">
            <v xml:space="preserve">BHATTA                                                                                              </v>
          </cell>
          <cell r="E1884">
            <v>10090034</v>
          </cell>
          <cell r="F1884" t="str">
            <v>0018</v>
          </cell>
          <cell r="G1884">
            <v>3</v>
          </cell>
          <cell r="H1884">
            <v>2.8499999999999996</v>
          </cell>
          <cell r="I1884">
            <v>98.179517700000019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P1884">
            <v>98</v>
          </cell>
          <cell r="V1884" t="str">
            <v>Available</v>
          </cell>
        </row>
        <row r="1885">
          <cell r="A1885" t="str">
            <v>100900340032</v>
          </cell>
          <cell r="B1885" t="str">
            <v>Halsi</v>
          </cell>
          <cell r="C1885" t="str">
            <v>Halsi</v>
          </cell>
          <cell r="D1885" t="str">
            <v xml:space="preserve">BHATTA                                                                                              </v>
          </cell>
          <cell r="E1885">
            <v>10090034</v>
          </cell>
          <cell r="F1885" t="str">
            <v>0032</v>
          </cell>
          <cell r="G1885">
            <v>5</v>
          </cell>
          <cell r="H1885">
            <v>180.52999999999997</v>
          </cell>
          <cell r="I1885">
            <v>7189.9022598480014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P1885">
            <v>7190</v>
          </cell>
          <cell r="V1885" t="str">
            <v>Available</v>
          </cell>
        </row>
        <row r="1886">
          <cell r="A1886" t="str">
            <v>100900340033</v>
          </cell>
          <cell r="B1886" t="str">
            <v>Halsi</v>
          </cell>
          <cell r="C1886" t="str">
            <v>Halsi</v>
          </cell>
          <cell r="D1886" t="str">
            <v xml:space="preserve">BHATTA                                                                                              </v>
          </cell>
          <cell r="E1886">
            <v>10090034</v>
          </cell>
          <cell r="F1886" t="str">
            <v>0033</v>
          </cell>
          <cell r="G1886">
            <v>8</v>
          </cell>
          <cell r="H1886">
            <v>209.24999999999997</v>
          </cell>
          <cell r="I1886">
            <v>7589.2223385000007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P1886">
            <v>7589</v>
          </cell>
          <cell r="V1886" t="str">
            <v>Available</v>
          </cell>
        </row>
        <row r="1887">
          <cell r="A1887" t="str">
            <v>100900340041</v>
          </cell>
          <cell r="B1887" t="str">
            <v>Halsi</v>
          </cell>
          <cell r="C1887" t="str">
            <v>Halsi</v>
          </cell>
          <cell r="D1887" t="str">
            <v xml:space="preserve">BHATTA                                                                                              </v>
          </cell>
          <cell r="E1887">
            <v>10090034</v>
          </cell>
          <cell r="F1887" t="str">
            <v>0041</v>
          </cell>
          <cell r="G1887">
            <v>3</v>
          </cell>
          <cell r="H1887">
            <v>4.8100000000000005</v>
          </cell>
          <cell r="I1887">
            <v>332.48539598120004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P1887">
            <v>332</v>
          </cell>
          <cell r="V1887" t="str">
            <v>Available</v>
          </cell>
        </row>
        <row r="1888">
          <cell r="A1888" t="str">
            <v>100900360002</v>
          </cell>
          <cell r="B1888" t="str">
            <v>Halsi</v>
          </cell>
          <cell r="C1888" t="str">
            <v>Halsi</v>
          </cell>
          <cell r="D1888" t="str">
            <v xml:space="preserve">TAAL-SHAHARSHA                                                                                      </v>
          </cell>
          <cell r="E1888">
            <v>10090036</v>
          </cell>
          <cell r="F1888" t="str">
            <v>0002</v>
          </cell>
          <cell r="G1888">
            <v>2</v>
          </cell>
          <cell r="H1888">
            <v>86.6</v>
          </cell>
          <cell r="I1888">
            <v>3319.5648420000007</v>
          </cell>
          <cell r="J1888">
            <v>0</v>
          </cell>
          <cell r="K1888">
            <v>0</v>
          </cell>
          <cell r="L1888">
            <v>31</v>
          </cell>
          <cell r="M1888">
            <v>0</v>
          </cell>
          <cell r="P1888">
            <v>1924</v>
          </cell>
          <cell r="V1888" t="str">
            <v>Available</v>
          </cell>
        </row>
        <row r="1889">
          <cell r="A1889" t="str">
            <v>100900370001</v>
          </cell>
          <cell r="B1889" t="str">
            <v>Halsi</v>
          </cell>
          <cell r="C1889" t="str">
            <v>Halsi</v>
          </cell>
          <cell r="D1889" t="str">
            <v>Dhira</v>
          </cell>
          <cell r="E1889">
            <v>10090037</v>
          </cell>
          <cell r="F1889" t="str">
            <v>0001</v>
          </cell>
          <cell r="G1889">
            <v>14</v>
          </cell>
          <cell r="H1889">
            <v>4.9800000000000004</v>
          </cell>
          <cell r="I1889">
            <v>202.63739086799998</v>
          </cell>
          <cell r="J1889">
            <v>0</v>
          </cell>
          <cell r="K1889">
            <v>202.63739086799998</v>
          </cell>
          <cell r="L1889">
            <v>0</v>
          </cell>
          <cell r="M1889">
            <v>0</v>
          </cell>
          <cell r="P1889">
            <v>0</v>
          </cell>
          <cell r="V1889" t="str">
            <v>Not Available</v>
          </cell>
        </row>
        <row r="1890">
          <cell r="A1890" t="str">
            <v>100900370009</v>
          </cell>
          <cell r="B1890" t="str">
            <v>Halsi</v>
          </cell>
          <cell r="C1890" t="str">
            <v>Halsi</v>
          </cell>
          <cell r="D1890" t="str">
            <v>Dhira</v>
          </cell>
          <cell r="E1890">
            <v>10090037</v>
          </cell>
          <cell r="F1890" t="str">
            <v>0009</v>
          </cell>
          <cell r="G1890">
            <v>12</v>
          </cell>
          <cell r="H1890">
            <v>74.27</v>
          </cell>
          <cell r="I1890">
            <v>3008.5220163095987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P1890">
            <v>3009</v>
          </cell>
          <cell r="V1890" t="str">
            <v>Available</v>
          </cell>
        </row>
        <row r="1891">
          <cell r="A1891" t="str">
            <v>100900370010</v>
          </cell>
          <cell r="B1891" t="str">
            <v>Halsi</v>
          </cell>
          <cell r="C1891" t="str">
            <v>Halsi</v>
          </cell>
          <cell r="D1891" t="str">
            <v>Dhira</v>
          </cell>
          <cell r="E1891">
            <v>10090037</v>
          </cell>
          <cell r="F1891" t="str">
            <v>0010</v>
          </cell>
          <cell r="G1891">
            <v>14</v>
          </cell>
          <cell r="H1891">
            <v>100.80000000000001</v>
          </cell>
          <cell r="I1891">
            <v>4413.4432272778804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P1891">
            <v>4413</v>
          </cell>
          <cell r="V1891" t="str">
            <v>Available</v>
          </cell>
        </row>
        <row r="1892">
          <cell r="A1892" t="str">
            <v>100900370011</v>
          </cell>
          <cell r="B1892" t="str">
            <v>Halsi</v>
          </cell>
          <cell r="C1892" t="str">
            <v>Halsi</v>
          </cell>
          <cell r="D1892" t="str">
            <v>Dhira</v>
          </cell>
          <cell r="E1892">
            <v>10090037</v>
          </cell>
          <cell r="F1892" t="str">
            <v>0011</v>
          </cell>
          <cell r="G1892">
            <v>13</v>
          </cell>
          <cell r="H1892">
            <v>144.47</v>
          </cell>
          <cell r="I1892">
            <v>6366.9338011942318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P1892">
            <v>6367</v>
          </cell>
          <cell r="V1892" t="str">
            <v>Available</v>
          </cell>
        </row>
        <row r="1893">
          <cell r="A1893" t="str">
            <v>100900370012</v>
          </cell>
          <cell r="B1893" t="str">
            <v>Halsi</v>
          </cell>
          <cell r="C1893" t="str">
            <v>Halsi</v>
          </cell>
          <cell r="D1893" t="str">
            <v>Dhira</v>
          </cell>
          <cell r="E1893">
            <v>10090037</v>
          </cell>
          <cell r="F1893" t="str">
            <v>0012</v>
          </cell>
          <cell r="G1893">
            <v>13</v>
          </cell>
          <cell r="H1893">
            <v>86.77000000000001</v>
          </cell>
          <cell r="I1893">
            <v>3526.8452843110335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P1893">
            <v>3527</v>
          </cell>
          <cell r="V1893" t="str">
            <v>Available</v>
          </cell>
        </row>
        <row r="1894">
          <cell r="A1894" t="str">
            <v>100900420001</v>
          </cell>
          <cell r="B1894" t="str">
            <v>Halsi</v>
          </cell>
          <cell r="C1894" t="str">
            <v>Halsi</v>
          </cell>
          <cell r="D1894" t="str">
            <v>REWAI</v>
          </cell>
          <cell r="E1894">
            <v>10090042</v>
          </cell>
          <cell r="F1894" t="str">
            <v>0001</v>
          </cell>
          <cell r="G1894">
            <v>8</v>
          </cell>
          <cell r="H1894">
            <v>1.27</v>
          </cell>
          <cell r="I1894">
            <v>50.088323794500006</v>
          </cell>
          <cell r="J1894">
            <v>0</v>
          </cell>
          <cell r="K1894">
            <v>50.088323794500006</v>
          </cell>
          <cell r="L1894">
            <v>0</v>
          </cell>
          <cell r="M1894">
            <v>0</v>
          </cell>
          <cell r="P1894">
            <v>0</v>
          </cell>
          <cell r="V1894" t="str">
            <v>Not Available</v>
          </cell>
        </row>
        <row r="1895">
          <cell r="A1895" t="str">
            <v>100900420002</v>
          </cell>
          <cell r="B1895" t="str">
            <v>Halsi</v>
          </cell>
          <cell r="C1895" t="str">
            <v>Halsi</v>
          </cell>
          <cell r="D1895" t="str">
            <v>REWAI</v>
          </cell>
          <cell r="E1895">
            <v>10090042</v>
          </cell>
          <cell r="F1895" t="str">
            <v>0002</v>
          </cell>
          <cell r="G1895">
            <v>14</v>
          </cell>
          <cell r="H1895">
            <v>206.52</v>
          </cell>
          <cell r="I1895">
            <v>8145.7070713480407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P1895">
            <v>8146</v>
          </cell>
          <cell r="V1895" t="str">
            <v>Available</v>
          </cell>
        </row>
        <row r="1896">
          <cell r="A1896" t="str">
            <v>100900420004</v>
          </cell>
          <cell r="B1896" t="str">
            <v>Halsi</v>
          </cell>
          <cell r="C1896" t="str">
            <v>Halsi</v>
          </cell>
          <cell r="D1896" t="str">
            <v>REWAI</v>
          </cell>
          <cell r="E1896">
            <v>10090042</v>
          </cell>
          <cell r="F1896" t="str">
            <v>0004</v>
          </cell>
          <cell r="G1896">
            <v>2</v>
          </cell>
          <cell r="H1896">
            <v>9.77</v>
          </cell>
          <cell r="I1896">
            <v>290.05330469940009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P1896">
            <v>290</v>
          </cell>
          <cell r="V1896" t="str">
            <v>Available</v>
          </cell>
        </row>
        <row r="1897">
          <cell r="A1897" t="str">
            <v>100900420008</v>
          </cell>
          <cell r="B1897" t="str">
            <v>Halsi</v>
          </cell>
          <cell r="C1897" t="str">
            <v>Halsi</v>
          </cell>
          <cell r="D1897" t="str">
            <v>REWAI</v>
          </cell>
          <cell r="E1897">
            <v>10090042</v>
          </cell>
          <cell r="F1897" t="str">
            <v>0008</v>
          </cell>
          <cell r="G1897">
            <v>3</v>
          </cell>
          <cell r="H1897">
            <v>22.87</v>
          </cell>
          <cell r="I1897">
            <v>865.99275598385009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P1897">
            <v>866</v>
          </cell>
          <cell r="V1897" t="str">
            <v>Available</v>
          </cell>
        </row>
        <row r="1898">
          <cell r="A1898" t="str">
            <v>100900420015</v>
          </cell>
          <cell r="B1898" t="str">
            <v>Halsi</v>
          </cell>
          <cell r="C1898" t="str">
            <v>Halsi</v>
          </cell>
          <cell r="D1898" t="str">
            <v>REWAI</v>
          </cell>
          <cell r="E1898">
            <v>10090042</v>
          </cell>
          <cell r="F1898" t="str">
            <v>0015</v>
          </cell>
          <cell r="G1898">
            <v>13</v>
          </cell>
          <cell r="H1898">
            <v>147.96</v>
          </cell>
          <cell r="I1898">
            <v>5007.4764792822007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P1898">
            <v>5007</v>
          </cell>
          <cell r="V1898" t="str">
            <v>Available</v>
          </cell>
        </row>
        <row r="1899">
          <cell r="A1899" t="str">
            <v>100900420016</v>
          </cell>
          <cell r="B1899" t="str">
            <v>Halsi</v>
          </cell>
          <cell r="C1899" t="str">
            <v>Halsi</v>
          </cell>
          <cell r="D1899" t="str">
            <v>REWAI</v>
          </cell>
          <cell r="E1899">
            <v>10090042</v>
          </cell>
          <cell r="F1899" t="str">
            <v>0016</v>
          </cell>
          <cell r="G1899">
            <v>8</v>
          </cell>
          <cell r="H1899">
            <v>95.490000000000009</v>
          </cell>
          <cell r="I1899">
            <v>3257.2415770884004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P1899">
            <v>3257</v>
          </cell>
          <cell r="V1899" t="str">
            <v>Available</v>
          </cell>
        </row>
        <row r="1900">
          <cell r="A1900" t="str">
            <v>100900430002</v>
          </cell>
          <cell r="B1900" t="str">
            <v>Halsi</v>
          </cell>
          <cell r="C1900" t="str">
            <v>Halsi</v>
          </cell>
          <cell r="D1900" t="str">
            <v>BAKHIYA</v>
          </cell>
          <cell r="E1900">
            <v>10090043</v>
          </cell>
          <cell r="F1900" t="str">
            <v>0002</v>
          </cell>
          <cell r="G1900">
            <v>5</v>
          </cell>
          <cell r="H1900">
            <v>61.34</v>
          </cell>
          <cell r="I1900">
            <v>2817.2867710600003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P1900">
            <v>2576</v>
          </cell>
          <cell r="V1900" t="str">
            <v>Available</v>
          </cell>
        </row>
        <row r="1901">
          <cell r="A1901" t="str">
            <v>100900430003</v>
          </cell>
          <cell r="B1901" t="str">
            <v>Halsi</v>
          </cell>
          <cell r="C1901" t="str">
            <v>Halsi</v>
          </cell>
          <cell r="D1901" t="str">
            <v>BAKHIYA</v>
          </cell>
          <cell r="E1901">
            <v>10090043</v>
          </cell>
          <cell r="F1901" t="str">
            <v>0003</v>
          </cell>
          <cell r="G1901">
            <v>3</v>
          </cell>
          <cell r="H1901">
            <v>26.060000000000002</v>
          </cell>
          <cell r="I1901">
            <v>1102.7256554658002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P1901">
            <v>1103</v>
          </cell>
          <cell r="V1901" t="str">
            <v>Available</v>
          </cell>
        </row>
        <row r="1902">
          <cell r="A1902" t="str">
            <v>100900430005</v>
          </cell>
          <cell r="B1902" t="str">
            <v>Halsi</v>
          </cell>
          <cell r="C1902" t="str">
            <v>Halsi</v>
          </cell>
          <cell r="D1902" t="str">
            <v>BAKHIYA</v>
          </cell>
          <cell r="E1902">
            <v>10090043</v>
          </cell>
          <cell r="F1902" t="str">
            <v>0005</v>
          </cell>
          <cell r="G1902">
            <v>1</v>
          </cell>
          <cell r="H1902">
            <v>5.0999999999999996</v>
          </cell>
          <cell r="I1902">
            <v>284.93091449130003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P1902">
            <v>285</v>
          </cell>
          <cell r="V1902" t="str">
            <v>Available</v>
          </cell>
        </row>
        <row r="1903">
          <cell r="A1903" t="str">
            <v>100900430010</v>
          </cell>
          <cell r="B1903" t="str">
            <v>Halsi</v>
          </cell>
          <cell r="C1903" t="str">
            <v>Halsi</v>
          </cell>
          <cell r="D1903" t="str">
            <v>BAKHIYA</v>
          </cell>
          <cell r="E1903">
            <v>10090043</v>
          </cell>
          <cell r="F1903" t="str">
            <v>0010</v>
          </cell>
          <cell r="G1903">
            <v>3</v>
          </cell>
          <cell r="H1903">
            <v>9.1999999999999993</v>
          </cell>
          <cell r="I1903">
            <v>405.45686298060002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P1903">
            <v>405</v>
          </cell>
          <cell r="V1903" t="str">
            <v>Available</v>
          </cell>
        </row>
        <row r="1904">
          <cell r="A1904" t="str">
            <v>100900430011</v>
          </cell>
          <cell r="B1904" t="str">
            <v>Halsi</v>
          </cell>
          <cell r="C1904" t="str">
            <v>Halsi</v>
          </cell>
          <cell r="D1904" t="str">
            <v>BAKHIYA</v>
          </cell>
          <cell r="E1904">
            <v>10090043</v>
          </cell>
          <cell r="F1904" t="str">
            <v>0011</v>
          </cell>
          <cell r="G1904">
            <v>2</v>
          </cell>
          <cell r="H1904">
            <v>10.780000000000001</v>
          </cell>
          <cell r="I1904">
            <v>586.26559809636001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P1904">
            <v>586</v>
          </cell>
          <cell r="V1904" t="str">
            <v>Available</v>
          </cell>
        </row>
        <row r="1905">
          <cell r="A1905" t="str">
            <v>100900450002</v>
          </cell>
          <cell r="B1905" t="str">
            <v>Halsi</v>
          </cell>
          <cell r="C1905" t="str">
            <v>Halsi</v>
          </cell>
          <cell r="D1905" t="str">
            <v>MANJOS</v>
          </cell>
          <cell r="E1905">
            <v>10090045</v>
          </cell>
          <cell r="F1905" t="str">
            <v>0002</v>
          </cell>
          <cell r="G1905">
            <v>13</v>
          </cell>
          <cell r="H1905">
            <v>243.20000000000002</v>
          </cell>
          <cell r="I1905">
            <v>10064.663337960001</v>
          </cell>
          <cell r="J1905">
            <v>0</v>
          </cell>
          <cell r="K1905">
            <v>0</v>
          </cell>
          <cell r="L1905">
            <v>146</v>
          </cell>
          <cell r="M1905">
            <v>0</v>
          </cell>
          <cell r="P1905">
            <v>9919</v>
          </cell>
          <cell r="V1905" t="str">
            <v>Available</v>
          </cell>
        </row>
        <row r="1906">
          <cell r="A1906" t="str">
            <v>100900450004</v>
          </cell>
          <cell r="B1906" t="str">
            <v>Halsi</v>
          </cell>
          <cell r="C1906" t="str">
            <v>Halsi</v>
          </cell>
          <cell r="D1906" t="str">
            <v>MANJOS</v>
          </cell>
          <cell r="E1906">
            <v>10090045</v>
          </cell>
          <cell r="F1906" t="str">
            <v>0004</v>
          </cell>
          <cell r="G1906">
            <v>13</v>
          </cell>
          <cell r="H1906">
            <v>252.1</v>
          </cell>
          <cell r="I1906">
            <v>10450.984480200001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P1906">
            <v>10451</v>
          </cell>
          <cell r="V1906" t="str">
            <v>Available</v>
          </cell>
        </row>
        <row r="1907">
          <cell r="A1907" t="str">
            <v>100900450006</v>
          </cell>
          <cell r="B1907" t="str">
            <v>Halsi</v>
          </cell>
          <cell r="C1907" t="str">
            <v>Halsi</v>
          </cell>
          <cell r="D1907" t="str">
            <v>MANJOS</v>
          </cell>
          <cell r="E1907">
            <v>10090045</v>
          </cell>
          <cell r="F1907" t="str">
            <v>0006</v>
          </cell>
          <cell r="G1907">
            <v>13</v>
          </cell>
          <cell r="H1907">
            <v>241.5</v>
          </cell>
          <cell r="I1907">
            <v>10029.562765200002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P1907">
            <v>10030</v>
          </cell>
          <cell r="V1907" t="str">
            <v>Available</v>
          </cell>
        </row>
        <row r="1908">
          <cell r="A1908" t="str">
            <v>100900460002</v>
          </cell>
          <cell r="B1908" t="str">
            <v>Halsi</v>
          </cell>
          <cell r="C1908" t="str">
            <v>Halsi</v>
          </cell>
          <cell r="D1908" t="str">
            <v>RATA</v>
          </cell>
          <cell r="E1908">
            <v>10090046</v>
          </cell>
          <cell r="F1908" t="str">
            <v>0002</v>
          </cell>
          <cell r="G1908">
            <v>13</v>
          </cell>
          <cell r="H1908">
            <v>459.61000000000007</v>
          </cell>
          <cell r="I1908">
            <v>18540.9485049492</v>
          </cell>
          <cell r="J1908">
            <v>0</v>
          </cell>
          <cell r="K1908">
            <v>0</v>
          </cell>
          <cell r="L1908">
            <v>4269</v>
          </cell>
          <cell r="M1908">
            <v>0</v>
          </cell>
          <cell r="P1908">
            <v>14272</v>
          </cell>
          <cell r="V1908" t="str">
            <v>Available</v>
          </cell>
        </row>
        <row r="1909">
          <cell r="A1909" t="str">
            <v>100900460005</v>
          </cell>
          <cell r="B1909" t="str">
            <v>Halsi</v>
          </cell>
          <cell r="C1909" t="str">
            <v>Halsi</v>
          </cell>
          <cell r="D1909" t="str">
            <v>RATA</v>
          </cell>
          <cell r="E1909">
            <v>10090046</v>
          </cell>
          <cell r="F1909" t="str">
            <v>0005</v>
          </cell>
          <cell r="G1909">
            <v>1</v>
          </cell>
          <cell r="H1909">
            <v>2.71</v>
          </cell>
          <cell r="I1909">
            <v>224.56296380589995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P1909">
            <v>225</v>
          </cell>
          <cell r="V1909" t="str">
            <v>Available</v>
          </cell>
        </row>
        <row r="1910">
          <cell r="A1910" t="str">
            <v>100900460012</v>
          </cell>
          <cell r="B1910" t="str">
            <v>Halsi</v>
          </cell>
          <cell r="C1910" t="str">
            <v>Halsi</v>
          </cell>
          <cell r="D1910" t="str">
            <v>RATA</v>
          </cell>
          <cell r="E1910">
            <v>10090046</v>
          </cell>
          <cell r="F1910" t="str">
            <v>0012</v>
          </cell>
          <cell r="G1910">
            <v>4</v>
          </cell>
          <cell r="H1910">
            <v>15.35</v>
          </cell>
          <cell r="I1910">
            <v>545.89720767120002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P1910">
            <v>546</v>
          </cell>
          <cell r="V1910" t="str">
            <v>Available</v>
          </cell>
        </row>
        <row r="1911">
          <cell r="A1911" t="str">
            <v>100900460018</v>
          </cell>
          <cell r="B1911" t="str">
            <v>Halsi</v>
          </cell>
          <cell r="C1911" t="str">
            <v>Halsi</v>
          </cell>
          <cell r="D1911" t="str">
            <v>RATA</v>
          </cell>
          <cell r="E1911">
            <v>10090046</v>
          </cell>
          <cell r="F1911" t="str">
            <v>0018</v>
          </cell>
          <cell r="G1911">
            <v>2</v>
          </cell>
          <cell r="H1911">
            <v>17.53</v>
          </cell>
          <cell r="I1911">
            <v>751.50173863395003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P1911">
            <v>752</v>
          </cell>
          <cell r="V1911" t="str">
            <v>Available</v>
          </cell>
        </row>
        <row r="1912">
          <cell r="A1912" t="str">
            <v>100900460022</v>
          </cell>
          <cell r="B1912" t="str">
            <v>Halsi</v>
          </cell>
          <cell r="C1912" t="str">
            <v>Halsi</v>
          </cell>
          <cell r="D1912" t="str">
            <v>RATA</v>
          </cell>
          <cell r="E1912">
            <v>10090046</v>
          </cell>
          <cell r="F1912" t="str">
            <v>0022</v>
          </cell>
          <cell r="G1912">
            <v>5</v>
          </cell>
          <cell r="H1912">
            <v>93.62</v>
          </cell>
          <cell r="I1912">
            <v>4058.6895505197008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P1912">
            <v>4059</v>
          </cell>
          <cell r="V1912" t="str">
            <v>Available</v>
          </cell>
        </row>
        <row r="1913">
          <cell r="A1913" t="str">
            <v>100900470001</v>
          </cell>
          <cell r="B1913" t="str">
            <v>Halsi</v>
          </cell>
          <cell r="C1913" t="str">
            <v>Halsi</v>
          </cell>
          <cell r="D1913" t="str">
            <v>BARUI</v>
          </cell>
          <cell r="E1913">
            <v>10090047</v>
          </cell>
          <cell r="F1913" t="str">
            <v>0001</v>
          </cell>
          <cell r="G1913">
            <v>7</v>
          </cell>
          <cell r="H1913">
            <v>5.6000000000000005</v>
          </cell>
          <cell r="I1913">
            <v>229.68610632000002</v>
          </cell>
          <cell r="J1913">
            <v>0</v>
          </cell>
          <cell r="K1913">
            <v>229.68610632000002</v>
          </cell>
          <cell r="L1913">
            <v>0</v>
          </cell>
          <cell r="M1913">
            <v>0</v>
          </cell>
          <cell r="P1913">
            <v>0</v>
          </cell>
          <cell r="V1913" t="str">
            <v>Not Available</v>
          </cell>
        </row>
        <row r="1914">
          <cell r="A1914" t="str">
            <v>100900470002</v>
          </cell>
          <cell r="B1914" t="str">
            <v>Halsi</v>
          </cell>
          <cell r="C1914" t="str">
            <v>Halsi</v>
          </cell>
          <cell r="D1914" t="str">
            <v>BARUI</v>
          </cell>
          <cell r="E1914">
            <v>10090047</v>
          </cell>
          <cell r="F1914" t="str">
            <v>0002</v>
          </cell>
          <cell r="G1914">
            <v>4</v>
          </cell>
          <cell r="H1914">
            <v>8.2999999999999989</v>
          </cell>
          <cell r="I1914">
            <v>370.89530509200006</v>
          </cell>
          <cell r="J1914">
            <v>0</v>
          </cell>
          <cell r="K1914">
            <v>0</v>
          </cell>
          <cell r="L1914">
            <v>71</v>
          </cell>
          <cell r="M1914">
            <v>0</v>
          </cell>
          <cell r="P1914">
            <v>300</v>
          </cell>
          <cell r="V1914" t="str">
            <v>Available</v>
          </cell>
        </row>
        <row r="1915">
          <cell r="A1915" t="str">
            <v>100900470009</v>
          </cell>
          <cell r="B1915" t="str">
            <v>Halsi</v>
          </cell>
          <cell r="C1915" t="str">
            <v>Halsi</v>
          </cell>
          <cell r="D1915" t="str">
            <v>BARUI</v>
          </cell>
          <cell r="E1915">
            <v>10090047</v>
          </cell>
          <cell r="F1915" t="str">
            <v>0009</v>
          </cell>
          <cell r="G1915">
            <v>3</v>
          </cell>
          <cell r="H1915">
            <v>3.2</v>
          </cell>
          <cell r="I1915">
            <v>133.21797588000004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P1915">
            <v>133</v>
          </cell>
          <cell r="V1915" t="str">
            <v>Available</v>
          </cell>
        </row>
        <row r="1916">
          <cell r="A1916" t="str">
            <v>100900470012</v>
          </cell>
          <cell r="B1916" t="str">
            <v>Halsi</v>
          </cell>
          <cell r="C1916" t="str">
            <v>Halsi</v>
          </cell>
          <cell r="D1916" t="str">
            <v>BARUI</v>
          </cell>
          <cell r="E1916">
            <v>10090047</v>
          </cell>
          <cell r="F1916" t="str">
            <v>0012</v>
          </cell>
          <cell r="G1916">
            <v>13</v>
          </cell>
          <cell r="H1916">
            <v>40.700000000000003</v>
          </cell>
          <cell r="I1916">
            <v>2199.0294282904001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P1916">
            <v>2199</v>
          </cell>
          <cell r="V1916" t="str">
            <v>Available</v>
          </cell>
        </row>
        <row r="1917">
          <cell r="A1917" t="str">
            <v>100900470019</v>
          </cell>
          <cell r="B1917" t="str">
            <v>Halsi</v>
          </cell>
          <cell r="C1917" t="str">
            <v>Halsi</v>
          </cell>
          <cell r="D1917" t="str">
            <v>BARUI</v>
          </cell>
          <cell r="E1917">
            <v>10090047</v>
          </cell>
          <cell r="F1917" t="str">
            <v>0019</v>
          </cell>
          <cell r="G1917">
            <v>7</v>
          </cell>
          <cell r="H1917">
            <v>14.299999999999999</v>
          </cell>
          <cell r="I1917">
            <v>765.25337614199998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P1917">
            <v>765</v>
          </cell>
          <cell r="V1917" t="str">
            <v>Available</v>
          </cell>
        </row>
        <row r="1918">
          <cell r="A1918" t="str">
            <v>100900470029</v>
          </cell>
          <cell r="B1918" t="str">
            <v>Halsi</v>
          </cell>
          <cell r="C1918" t="str">
            <v>Halsi</v>
          </cell>
          <cell r="D1918" t="str">
            <v>BARUI</v>
          </cell>
          <cell r="E1918">
            <v>10090047</v>
          </cell>
          <cell r="F1918" t="str">
            <v>0029</v>
          </cell>
          <cell r="G1918">
            <v>7</v>
          </cell>
          <cell r="H1918">
            <v>16.299999999999997</v>
          </cell>
          <cell r="I1918">
            <v>997.382847535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P1918">
            <v>997</v>
          </cell>
          <cell r="V1918" t="str">
            <v>Available</v>
          </cell>
        </row>
        <row r="1919">
          <cell r="A1919" t="str">
            <v>100900470035</v>
          </cell>
          <cell r="B1919" t="str">
            <v>Halsi</v>
          </cell>
          <cell r="C1919" t="str">
            <v>Halsi</v>
          </cell>
          <cell r="D1919" t="str">
            <v>BARUI</v>
          </cell>
          <cell r="E1919">
            <v>10090047</v>
          </cell>
          <cell r="F1919" t="str">
            <v>0035</v>
          </cell>
          <cell r="G1919">
            <v>7</v>
          </cell>
          <cell r="H1919">
            <v>28.8</v>
          </cell>
          <cell r="I1919">
            <v>1782.3958304850003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P1919">
            <v>1782</v>
          </cell>
          <cell r="V1919" t="str">
            <v>Available</v>
          </cell>
        </row>
        <row r="1920">
          <cell r="A1920" t="str">
            <v>100900470050</v>
          </cell>
          <cell r="B1920" t="str">
            <v>Halsi</v>
          </cell>
          <cell r="C1920" t="str">
            <v>Halsi</v>
          </cell>
          <cell r="D1920" t="str">
            <v>BARUI</v>
          </cell>
          <cell r="E1920">
            <v>10090047</v>
          </cell>
          <cell r="F1920" t="str">
            <v>0050</v>
          </cell>
          <cell r="G1920">
            <v>1</v>
          </cell>
          <cell r="H1920">
            <v>0.8</v>
          </cell>
          <cell r="I1920">
            <v>52.609014086400002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P1920">
            <v>53</v>
          </cell>
          <cell r="V1920" t="str">
            <v>Available</v>
          </cell>
        </row>
        <row r="1921">
          <cell r="A1921" t="str">
            <v>100900470061</v>
          </cell>
          <cell r="B1921" t="str">
            <v>Halsi</v>
          </cell>
          <cell r="C1921" t="str">
            <v>Halsi</v>
          </cell>
          <cell r="D1921" t="str">
            <v>BARUI</v>
          </cell>
          <cell r="E1921">
            <v>10090047</v>
          </cell>
          <cell r="F1921" t="str">
            <v>0061</v>
          </cell>
          <cell r="G1921">
            <v>13</v>
          </cell>
          <cell r="H1921">
            <v>45.7</v>
          </cell>
          <cell r="I1921">
            <v>2179.8968673851004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P1921">
            <v>2180</v>
          </cell>
          <cell r="V1921" t="str">
            <v>Available</v>
          </cell>
        </row>
        <row r="1922">
          <cell r="A1922" t="str">
            <v>100900470077</v>
          </cell>
          <cell r="B1922" t="str">
            <v>Halsi</v>
          </cell>
          <cell r="C1922" t="str">
            <v>Halsi</v>
          </cell>
          <cell r="D1922" t="str">
            <v>BARUI</v>
          </cell>
          <cell r="E1922">
            <v>10090047</v>
          </cell>
          <cell r="F1922" t="str">
            <v>0077</v>
          </cell>
          <cell r="G1922">
            <v>8</v>
          </cell>
          <cell r="H1922">
            <v>24.3</v>
          </cell>
          <cell r="I1922">
            <v>1316.535654565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P1922">
            <v>1317</v>
          </cell>
          <cell r="V1922" t="str">
            <v>Available</v>
          </cell>
        </row>
        <row r="1923">
          <cell r="A1923" t="str">
            <v>100900470080</v>
          </cell>
          <cell r="B1923" t="str">
            <v>Halsi</v>
          </cell>
          <cell r="C1923" t="str">
            <v>Halsi</v>
          </cell>
          <cell r="D1923" t="str">
            <v>BARUI</v>
          </cell>
          <cell r="E1923">
            <v>10090047</v>
          </cell>
          <cell r="F1923" t="str">
            <v>0080</v>
          </cell>
          <cell r="G1923">
            <v>11</v>
          </cell>
          <cell r="H1923">
            <v>76.300000000000011</v>
          </cell>
          <cell r="I1923">
            <v>2871.7322119199998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P1923">
            <v>2872</v>
          </cell>
          <cell r="V1923" t="str">
            <v>Available</v>
          </cell>
        </row>
        <row r="1924">
          <cell r="A1924" t="str">
            <v>100900470086</v>
          </cell>
          <cell r="B1924" t="str">
            <v>Halsi</v>
          </cell>
          <cell r="C1924" t="str">
            <v>Halsi</v>
          </cell>
          <cell r="D1924" t="str">
            <v>BARUI</v>
          </cell>
          <cell r="E1924">
            <v>10090047</v>
          </cell>
          <cell r="F1924" t="str">
            <v>0086</v>
          </cell>
          <cell r="G1924">
            <v>7</v>
          </cell>
          <cell r="H1924">
            <v>27.099999999999998</v>
          </cell>
          <cell r="I1924">
            <v>1333.3140312970404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P1924">
            <v>1333</v>
          </cell>
          <cell r="V1924" t="str">
            <v>Available</v>
          </cell>
        </row>
        <row r="1925">
          <cell r="A1925" t="str">
            <v>100900470087</v>
          </cell>
          <cell r="B1925" t="str">
            <v>Halsi</v>
          </cell>
          <cell r="C1925" t="str">
            <v>Halsi</v>
          </cell>
          <cell r="D1925" t="str">
            <v>BARUI</v>
          </cell>
          <cell r="E1925">
            <v>10090047</v>
          </cell>
          <cell r="F1925" t="str">
            <v>0087</v>
          </cell>
          <cell r="G1925">
            <v>11</v>
          </cell>
          <cell r="H1925">
            <v>44.600000000000009</v>
          </cell>
          <cell r="I1925">
            <v>1873.96684826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P1925">
            <v>1874</v>
          </cell>
          <cell r="V1925" t="str">
            <v>Available</v>
          </cell>
        </row>
        <row r="1926">
          <cell r="A1926" t="str">
            <v>100900490001</v>
          </cell>
          <cell r="B1926" t="str">
            <v>Halsi</v>
          </cell>
          <cell r="C1926" t="str">
            <v>Halsi</v>
          </cell>
          <cell r="D1926" t="str">
            <v>LAHUARA                                                                                             </v>
          </cell>
          <cell r="E1926">
            <v>10090049</v>
          </cell>
          <cell r="F1926" t="str">
            <v>0001</v>
          </cell>
          <cell r="G1926">
            <v>13</v>
          </cell>
          <cell r="H1926">
            <v>5.0199999999999996</v>
          </cell>
          <cell r="I1926">
            <v>266.56213142500002</v>
          </cell>
          <cell r="J1926">
            <v>0</v>
          </cell>
          <cell r="K1926">
            <v>266.56213142500002</v>
          </cell>
          <cell r="L1926">
            <v>0</v>
          </cell>
          <cell r="M1926">
            <v>0</v>
          </cell>
          <cell r="P1926">
            <v>0</v>
          </cell>
          <cell r="V1926" t="str">
            <v>Not Available</v>
          </cell>
        </row>
        <row r="1927">
          <cell r="A1927" t="str">
            <v>100900490002</v>
          </cell>
          <cell r="B1927" t="str">
            <v>Halsi</v>
          </cell>
          <cell r="C1927" t="str">
            <v>Halsi</v>
          </cell>
          <cell r="D1927" t="str">
            <v>LAHUARA                                                                                             </v>
          </cell>
          <cell r="E1927">
            <v>10090049</v>
          </cell>
          <cell r="F1927" t="str">
            <v>0002</v>
          </cell>
          <cell r="G1927">
            <v>13</v>
          </cell>
          <cell r="H1927">
            <v>119.57</v>
          </cell>
          <cell r="I1927">
            <v>6292.89173798917</v>
          </cell>
          <cell r="J1927">
            <v>0</v>
          </cell>
          <cell r="K1927">
            <v>0</v>
          </cell>
          <cell r="L1927">
            <v>848</v>
          </cell>
          <cell r="M1927">
            <v>0</v>
          </cell>
          <cell r="P1927">
            <v>5445</v>
          </cell>
          <cell r="V1927" t="str">
            <v>Available</v>
          </cell>
        </row>
        <row r="1928">
          <cell r="A1928" t="str">
            <v>100900490003</v>
          </cell>
          <cell r="B1928" t="str">
            <v>Halsi</v>
          </cell>
          <cell r="C1928" t="str">
            <v>Halsi</v>
          </cell>
          <cell r="D1928" t="str">
            <v>LAHUARA                                                                                             </v>
          </cell>
          <cell r="E1928">
            <v>10090049</v>
          </cell>
          <cell r="F1928" t="str">
            <v>0003</v>
          </cell>
          <cell r="G1928">
            <v>13</v>
          </cell>
          <cell r="H1928">
            <v>65.099999999999994</v>
          </cell>
          <cell r="I1928">
            <v>3312.1651706890702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P1928">
            <v>3312</v>
          </cell>
          <cell r="V1928" t="str">
            <v>Available</v>
          </cell>
        </row>
        <row r="1929">
          <cell r="A1929" t="str">
            <v>100900490004</v>
          </cell>
          <cell r="B1929" t="str">
            <v>Halsi</v>
          </cell>
          <cell r="C1929" t="str">
            <v>Halsi</v>
          </cell>
          <cell r="D1929" t="str">
            <v>LAHUARA                                                                                             </v>
          </cell>
          <cell r="E1929">
            <v>10090049</v>
          </cell>
          <cell r="F1929" t="str">
            <v>0004</v>
          </cell>
          <cell r="G1929">
            <v>8</v>
          </cell>
          <cell r="H1929">
            <v>13.2</v>
          </cell>
          <cell r="I1929">
            <v>452.90079683640005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P1929">
            <v>453</v>
          </cell>
          <cell r="V1929" t="str">
            <v>Available</v>
          </cell>
        </row>
        <row r="1930">
          <cell r="A1930" t="str">
            <v>100900490009</v>
          </cell>
          <cell r="B1930" t="str">
            <v>Halsi</v>
          </cell>
          <cell r="C1930" t="str">
            <v>Halsi</v>
          </cell>
          <cell r="D1930" t="str">
            <v>LAHUARA                                                                                             </v>
          </cell>
          <cell r="E1930">
            <v>10090049</v>
          </cell>
          <cell r="F1930" t="str">
            <v>0009</v>
          </cell>
          <cell r="G1930">
            <v>5</v>
          </cell>
          <cell r="H1930">
            <v>14.549999999999999</v>
          </cell>
          <cell r="I1930">
            <v>880.20602102409998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P1930">
            <v>880</v>
          </cell>
          <cell r="V1930" t="str">
            <v>Available</v>
          </cell>
        </row>
        <row r="1931">
          <cell r="A1931" t="str">
            <v>100900490015</v>
          </cell>
          <cell r="B1931" t="str">
            <v>Halsi</v>
          </cell>
          <cell r="C1931" t="str">
            <v>Halsi</v>
          </cell>
          <cell r="D1931" t="str">
            <v>LAHUARA                                                                                             </v>
          </cell>
          <cell r="E1931">
            <v>10090049</v>
          </cell>
          <cell r="F1931" t="str">
            <v>0015</v>
          </cell>
          <cell r="G1931">
            <v>13</v>
          </cell>
          <cell r="H1931">
            <v>71.27000000000001</v>
          </cell>
          <cell r="I1931">
            <v>3762.5164695426402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P1931">
            <v>3763</v>
          </cell>
          <cell r="V1931" t="str">
            <v>Available</v>
          </cell>
        </row>
        <row r="1932">
          <cell r="A1932" t="str">
            <v>100900490016</v>
          </cell>
          <cell r="B1932" t="str">
            <v>Halsi</v>
          </cell>
          <cell r="C1932" t="str">
            <v>Halsi</v>
          </cell>
          <cell r="D1932" t="str">
            <v>LAHUARA                                                                                             </v>
          </cell>
          <cell r="E1932">
            <v>10090049</v>
          </cell>
          <cell r="F1932" t="str">
            <v>0016</v>
          </cell>
          <cell r="G1932">
            <v>13</v>
          </cell>
          <cell r="H1932">
            <v>73.429999999999993</v>
          </cell>
          <cell r="I1932">
            <v>3849.3120640184698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P1932">
            <v>3849</v>
          </cell>
          <cell r="V1932" t="str">
            <v>Available</v>
          </cell>
        </row>
        <row r="1933">
          <cell r="A1933" t="str">
            <v>100900490021</v>
          </cell>
          <cell r="B1933" t="str">
            <v>Halsi</v>
          </cell>
          <cell r="C1933" t="str">
            <v>Halsi</v>
          </cell>
          <cell r="D1933" t="str">
            <v>LAHUARA                                                                                             </v>
          </cell>
          <cell r="E1933">
            <v>10090049</v>
          </cell>
          <cell r="F1933" t="str">
            <v>0021</v>
          </cell>
          <cell r="G1933">
            <v>5</v>
          </cell>
          <cell r="H1933">
            <v>13</v>
          </cell>
          <cell r="I1933">
            <v>776.24597420860005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P1933">
            <v>776</v>
          </cell>
          <cell r="V1933" t="str">
            <v>Available</v>
          </cell>
        </row>
        <row r="1934">
          <cell r="A1934" t="str">
            <v>100900490023</v>
          </cell>
          <cell r="B1934" t="str">
            <v>Halsi</v>
          </cell>
          <cell r="C1934" t="str">
            <v>Halsi</v>
          </cell>
          <cell r="D1934" t="str">
            <v>LAHUARA                                                                                             </v>
          </cell>
          <cell r="E1934">
            <v>10090049</v>
          </cell>
          <cell r="F1934" t="str">
            <v>0023</v>
          </cell>
          <cell r="G1934">
            <v>1</v>
          </cell>
          <cell r="H1934">
            <v>3.14</v>
          </cell>
          <cell r="I1934">
            <v>143.13725701799999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P1934">
            <v>143</v>
          </cell>
          <cell r="V1934" t="str">
            <v>Available</v>
          </cell>
        </row>
        <row r="1935">
          <cell r="A1935" t="str">
            <v>100900490024</v>
          </cell>
          <cell r="B1935" t="str">
            <v>Halsi</v>
          </cell>
          <cell r="C1935" t="str">
            <v>Halsi</v>
          </cell>
          <cell r="D1935" t="str">
            <v>LAHUARA                                                                                             </v>
          </cell>
          <cell r="E1935">
            <v>10090049</v>
          </cell>
          <cell r="F1935" t="str">
            <v>0024</v>
          </cell>
          <cell r="G1935">
            <v>3</v>
          </cell>
          <cell r="H1935">
            <v>4.9000000000000004</v>
          </cell>
          <cell r="I1935">
            <v>181.28041897680001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P1935">
            <v>181</v>
          </cell>
          <cell r="V1935" t="str">
            <v>Available</v>
          </cell>
        </row>
        <row r="1936">
          <cell r="A1936" t="str">
            <v>100900490025</v>
          </cell>
          <cell r="B1936" t="str">
            <v>Halsi</v>
          </cell>
          <cell r="C1936" t="str">
            <v>Halsi</v>
          </cell>
          <cell r="D1936" t="str">
            <v>LAHUARA                                                                                             </v>
          </cell>
          <cell r="E1936">
            <v>10090049</v>
          </cell>
          <cell r="F1936" t="str">
            <v>0025</v>
          </cell>
          <cell r="G1936">
            <v>13</v>
          </cell>
          <cell r="H1936">
            <v>81.960000000000008</v>
          </cell>
          <cell r="I1936">
            <v>4473.5949327023009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P1936">
            <v>4474</v>
          </cell>
          <cell r="V1936" t="str">
            <v>Available</v>
          </cell>
        </row>
        <row r="1937">
          <cell r="A1937" t="str">
            <v>100900490030</v>
          </cell>
          <cell r="B1937" t="str">
            <v>Halsi</v>
          </cell>
          <cell r="C1937" t="str">
            <v>Halsi</v>
          </cell>
          <cell r="D1937" t="str">
            <v>LAHUARA                                                                                             </v>
          </cell>
          <cell r="E1937">
            <v>10090049</v>
          </cell>
          <cell r="F1937" t="str">
            <v>0030</v>
          </cell>
          <cell r="G1937">
            <v>13</v>
          </cell>
          <cell r="H1937">
            <v>66.84</v>
          </cell>
          <cell r="I1937">
            <v>3342.3583523495499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P1937">
            <v>3342</v>
          </cell>
          <cell r="V1937" t="str">
            <v>Available</v>
          </cell>
        </row>
        <row r="1938">
          <cell r="A1938" t="str">
            <v>100900520001</v>
          </cell>
          <cell r="B1938" t="str">
            <v>Halsi</v>
          </cell>
          <cell r="C1938" t="str">
            <v>Halsi</v>
          </cell>
          <cell r="D1938" t="str">
            <v>LACHHUAR</v>
          </cell>
          <cell r="E1938">
            <v>10090052</v>
          </cell>
          <cell r="F1938" t="str">
            <v>0001</v>
          </cell>
          <cell r="G1938">
            <v>10</v>
          </cell>
          <cell r="H1938">
            <v>1.87</v>
          </cell>
          <cell r="I1938">
            <v>74.43414491958751</v>
          </cell>
          <cell r="J1938">
            <v>0</v>
          </cell>
          <cell r="K1938">
            <v>74.43414491958751</v>
          </cell>
          <cell r="L1938">
            <v>0</v>
          </cell>
          <cell r="M1938">
            <v>0</v>
          </cell>
          <cell r="P1938">
            <v>0</v>
          </cell>
          <cell r="V1938" t="str">
            <v>Not Available</v>
          </cell>
        </row>
        <row r="1939">
          <cell r="A1939" t="str">
            <v>100900520002</v>
          </cell>
          <cell r="B1939" t="str">
            <v>Halsi</v>
          </cell>
          <cell r="C1939" t="str">
            <v>Halsi</v>
          </cell>
          <cell r="D1939" t="str">
            <v>LACHHUAR</v>
          </cell>
          <cell r="E1939">
            <v>10090052</v>
          </cell>
          <cell r="F1939" t="str">
            <v>0002</v>
          </cell>
          <cell r="G1939">
            <v>14</v>
          </cell>
          <cell r="H1939">
            <v>221.95000000000002</v>
          </cell>
          <cell r="I1939">
            <v>9539.8086651720005</v>
          </cell>
          <cell r="J1939">
            <v>0</v>
          </cell>
          <cell r="K1939">
            <v>0</v>
          </cell>
          <cell r="L1939">
            <v>620</v>
          </cell>
          <cell r="M1939">
            <v>0</v>
          </cell>
          <cell r="P1939">
            <v>8920</v>
          </cell>
          <cell r="V1939" t="str">
            <v>Available</v>
          </cell>
        </row>
        <row r="1940">
          <cell r="A1940" t="str">
            <v>100900520003</v>
          </cell>
          <cell r="B1940" t="str">
            <v>Halsi</v>
          </cell>
          <cell r="C1940" t="str">
            <v>Halsi</v>
          </cell>
          <cell r="D1940" t="str">
            <v>LACHHUAR</v>
          </cell>
          <cell r="E1940">
            <v>10090052</v>
          </cell>
          <cell r="F1940" t="str">
            <v>0003</v>
          </cell>
          <cell r="G1940">
            <v>11</v>
          </cell>
          <cell r="H1940">
            <v>125.78000000000002</v>
          </cell>
          <cell r="I1940">
            <v>5033.1858551878686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P1940">
            <v>5033</v>
          </cell>
          <cell r="V1940" t="str">
            <v>Available</v>
          </cell>
        </row>
        <row r="1941">
          <cell r="A1941" t="str">
            <v>100900520005</v>
          </cell>
          <cell r="B1941" t="str">
            <v>Halsi</v>
          </cell>
          <cell r="C1941" t="str">
            <v>Halsi</v>
          </cell>
          <cell r="D1941" t="str">
            <v>LACHHUAR</v>
          </cell>
          <cell r="E1941">
            <v>10090052</v>
          </cell>
          <cell r="F1941" t="str">
            <v>0005</v>
          </cell>
          <cell r="G1941">
            <v>10</v>
          </cell>
          <cell r="H1941">
            <v>142.93</v>
          </cell>
          <cell r="I1941">
            <v>5516.7796906827225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P1941">
            <v>5517</v>
          </cell>
          <cell r="V1941" t="str">
            <v>Available</v>
          </cell>
        </row>
        <row r="1942">
          <cell r="A1942" t="str">
            <v>100900520007</v>
          </cell>
          <cell r="B1942" t="str">
            <v>Halsi</v>
          </cell>
          <cell r="C1942" t="str">
            <v>Halsi</v>
          </cell>
          <cell r="D1942" t="str">
            <v>LACHHUAR</v>
          </cell>
          <cell r="E1942">
            <v>10090052</v>
          </cell>
          <cell r="F1942" t="str">
            <v>0007</v>
          </cell>
          <cell r="G1942">
            <v>11</v>
          </cell>
          <cell r="H1942">
            <v>125.09</v>
          </cell>
          <cell r="I1942">
            <v>5143.2664941552302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P1942">
            <v>5143</v>
          </cell>
          <cell r="V1942" t="str">
            <v>Available</v>
          </cell>
        </row>
        <row r="1943">
          <cell r="A1943" t="str">
            <v>100900560001</v>
          </cell>
          <cell r="B1943" t="str">
            <v>Halsi</v>
          </cell>
          <cell r="C1943" t="str">
            <v>Halsi</v>
          </cell>
          <cell r="D1943" t="str">
            <v>NARAYANPUR</v>
          </cell>
          <cell r="E1943">
            <v>10090056</v>
          </cell>
          <cell r="F1943" t="str">
            <v>0001</v>
          </cell>
          <cell r="G1943">
            <v>14</v>
          </cell>
          <cell r="H1943">
            <v>1.9499999999999997</v>
          </cell>
          <cell r="I1943">
            <v>81.459042345000015</v>
          </cell>
          <cell r="J1943">
            <v>0</v>
          </cell>
          <cell r="K1943">
            <v>81.459042345000015</v>
          </cell>
          <cell r="L1943">
            <v>0</v>
          </cell>
          <cell r="M1943">
            <v>0</v>
          </cell>
          <cell r="P1943">
            <v>0</v>
          </cell>
          <cell r="V1943" t="str">
            <v>Not Available</v>
          </cell>
        </row>
        <row r="1944">
          <cell r="A1944" t="str">
            <v>100900560002</v>
          </cell>
          <cell r="B1944" t="str">
            <v>Halsi</v>
          </cell>
          <cell r="C1944" t="str">
            <v>Halsi</v>
          </cell>
          <cell r="D1944" t="str">
            <v>NARAYANPUR</v>
          </cell>
          <cell r="E1944">
            <v>10090056</v>
          </cell>
          <cell r="F1944" t="str">
            <v>0002</v>
          </cell>
          <cell r="G1944">
            <v>14</v>
          </cell>
          <cell r="H1944">
            <v>547.31999999999994</v>
          </cell>
          <cell r="I1944">
            <v>21980.689133040003</v>
          </cell>
          <cell r="J1944">
            <v>0</v>
          </cell>
          <cell r="K1944">
            <v>0</v>
          </cell>
          <cell r="L1944">
            <v>6132</v>
          </cell>
          <cell r="M1944">
            <v>0</v>
          </cell>
          <cell r="P1944">
            <v>15849</v>
          </cell>
          <cell r="V1944" t="str">
            <v>Available</v>
          </cell>
        </row>
        <row r="1945">
          <cell r="A1945" t="str">
            <v>100900560004</v>
          </cell>
          <cell r="B1945" t="str">
            <v>Halsi</v>
          </cell>
          <cell r="C1945" t="str">
            <v>Halsi</v>
          </cell>
          <cell r="D1945" t="str">
            <v>NARAYANPUR</v>
          </cell>
          <cell r="E1945">
            <v>10090056</v>
          </cell>
          <cell r="F1945" t="str">
            <v>0004</v>
          </cell>
          <cell r="G1945">
            <v>13</v>
          </cell>
          <cell r="H1945">
            <v>105.58000000000001</v>
          </cell>
          <cell r="I1945">
            <v>4281.9870677760009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P1945">
            <v>4282</v>
          </cell>
          <cell r="V1945" t="str">
            <v>Available</v>
          </cell>
        </row>
        <row r="1946">
          <cell r="A1946" t="str">
            <v>100900560006</v>
          </cell>
          <cell r="B1946" t="str">
            <v>Halsi</v>
          </cell>
          <cell r="C1946" t="str">
            <v>Halsi</v>
          </cell>
          <cell r="D1946" t="str">
            <v>NARAYANPUR</v>
          </cell>
          <cell r="E1946">
            <v>10090056</v>
          </cell>
          <cell r="F1946" t="str">
            <v>0006</v>
          </cell>
          <cell r="G1946">
            <v>12</v>
          </cell>
          <cell r="H1946">
            <v>279.45999999999998</v>
          </cell>
          <cell r="I1946">
            <v>11234.836194120002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P1946">
            <v>11235</v>
          </cell>
          <cell r="V1946" t="str">
            <v>Available</v>
          </cell>
        </row>
        <row r="1947">
          <cell r="A1947" t="str">
            <v>100900580001</v>
          </cell>
          <cell r="B1947" t="str">
            <v>Halsi</v>
          </cell>
          <cell r="C1947" t="str">
            <v>Halsi</v>
          </cell>
          <cell r="D1947" t="str">
            <v>NAWKADIH</v>
          </cell>
          <cell r="E1947">
            <v>10090058</v>
          </cell>
          <cell r="F1947" t="str">
            <v>0001</v>
          </cell>
          <cell r="G1947">
            <v>1</v>
          </cell>
          <cell r="H1947">
            <v>0.42</v>
          </cell>
          <cell r="I1947">
            <v>23.584316411040003</v>
          </cell>
          <cell r="J1947">
            <v>0</v>
          </cell>
          <cell r="K1947">
            <v>23.584316411040003</v>
          </cell>
          <cell r="L1947">
            <v>0</v>
          </cell>
          <cell r="M1947">
            <v>0</v>
          </cell>
          <cell r="P1947">
            <v>0</v>
          </cell>
          <cell r="V1947" t="str">
            <v>Not Available</v>
          </cell>
        </row>
        <row r="1948">
          <cell r="A1948" t="str">
            <v>100900580002</v>
          </cell>
          <cell r="B1948" t="str">
            <v>Halsi</v>
          </cell>
          <cell r="C1948" t="str">
            <v>Halsi</v>
          </cell>
          <cell r="D1948" t="str">
            <v>NAWKADIH</v>
          </cell>
          <cell r="E1948">
            <v>10090058</v>
          </cell>
          <cell r="F1948" t="str">
            <v>0002</v>
          </cell>
          <cell r="G1948">
            <v>14</v>
          </cell>
          <cell r="H1948">
            <v>496.99000000000007</v>
          </cell>
          <cell r="I1948">
            <v>22624.38686216022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P1948">
            <v>22624</v>
          </cell>
          <cell r="V1948" t="str">
            <v>Available</v>
          </cell>
        </row>
        <row r="1949">
          <cell r="A1949" t="str">
            <v>100900580003</v>
          </cell>
          <cell r="B1949" t="str">
            <v>Halsi</v>
          </cell>
          <cell r="C1949" t="str">
            <v>Halsi</v>
          </cell>
          <cell r="D1949" t="str">
            <v>NAWKADIH</v>
          </cell>
          <cell r="E1949">
            <v>10090058</v>
          </cell>
          <cell r="F1949" t="str">
            <v>0003</v>
          </cell>
          <cell r="G1949">
            <v>5</v>
          </cell>
          <cell r="H1949">
            <v>88.550000000000011</v>
          </cell>
          <cell r="I1949">
            <v>3868.6296617507105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P1949">
            <v>3869</v>
          </cell>
          <cell r="V1949" t="str">
            <v>Available</v>
          </cell>
        </row>
        <row r="1950">
          <cell r="A1950" t="str">
            <v>100900590002</v>
          </cell>
          <cell r="B1950" t="str">
            <v>Halsi</v>
          </cell>
          <cell r="C1950" t="str">
            <v>Halsi</v>
          </cell>
          <cell r="D1950" t="str">
            <v>CHOTAHA</v>
          </cell>
          <cell r="E1950">
            <v>10090059</v>
          </cell>
          <cell r="F1950" t="str">
            <v>0002</v>
          </cell>
          <cell r="G1950">
            <v>14</v>
          </cell>
          <cell r="H1950">
            <v>788.5</v>
          </cell>
          <cell r="I1950">
            <v>31419.709041599999</v>
          </cell>
          <cell r="J1950">
            <v>0</v>
          </cell>
          <cell r="K1950">
            <v>0</v>
          </cell>
          <cell r="L1950">
            <v>1068</v>
          </cell>
          <cell r="M1950">
            <v>13000</v>
          </cell>
          <cell r="P1950">
            <v>17352</v>
          </cell>
          <cell r="V1950" t="str">
            <v>Available</v>
          </cell>
        </row>
        <row r="1951">
          <cell r="A1951" t="str">
            <v>100900600002</v>
          </cell>
          <cell r="B1951" t="str">
            <v>Halsi</v>
          </cell>
          <cell r="C1951" t="str">
            <v>Halsi</v>
          </cell>
          <cell r="D1951" t="str">
            <v xml:space="preserve">KHARAGWADA </v>
          </cell>
          <cell r="E1951">
            <v>10090060</v>
          </cell>
          <cell r="F1951" t="str">
            <v>0002</v>
          </cell>
          <cell r="G1951">
            <v>14</v>
          </cell>
          <cell r="H1951">
            <v>248.1</v>
          </cell>
          <cell r="I1951">
            <v>10249.41518568</v>
          </cell>
          <cell r="J1951">
            <v>0</v>
          </cell>
          <cell r="K1951">
            <v>0</v>
          </cell>
          <cell r="L1951">
            <v>2243</v>
          </cell>
          <cell r="M1951">
            <v>0</v>
          </cell>
          <cell r="P1951">
            <v>7995</v>
          </cell>
          <cell r="V1951" t="str">
            <v>Available</v>
          </cell>
        </row>
        <row r="1952">
          <cell r="A1952" t="str">
            <v>100900610002</v>
          </cell>
          <cell r="B1952" t="str">
            <v>Halsi</v>
          </cell>
          <cell r="C1952" t="str">
            <v>Halsi</v>
          </cell>
          <cell r="D1952" t="str">
            <v>UFFAPUR</v>
          </cell>
          <cell r="E1952">
            <v>10090061</v>
          </cell>
          <cell r="F1952" t="str">
            <v>0002</v>
          </cell>
          <cell r="G1952">
            <v>14</v>
          </cell>
          <cell r="H1952">
            <v>184.5</v>
          </cell>
          <cell r="I1952">
            <v>8053.2686914200012</v>
          </cell>
          <cell r="J1952">
            <v>0</v>
          </cell>
          <cell r="K1952">
            <v>0</v>
          </cell>
          <cell r="L1952">
            <v>1494</v>
          </cell>
          <cell r="M1952">
            <v>0</v>
          </cell>
          <cell r="P1952">
            <v>6559</v>
          </cell>
          <cell r="V1952" t="str">
            <v>Available</v>
          </cell>
        </row>
        <row r="1953">
          <cell r="A1953" t="str">
            <v>100900630002</v>
          </cell>
          <cell r="B1953" t="str">
            <v>Halsi</v>
          </cell>
          <cell r="C1953" t="str">
            <v>Halsi</v>
          </cell>
          <cell r="D1953" t="str">
            <v>BIHRAURA</v>
          </cell>
          <cell r="E1953">
            <v>10090063</v>
          </cell>
          <cell r="F1953" t="str">
            <v>0002</v>
          </cell>
          <cell r="G1953">
            <v>7</v>
          </cell>
          <cell r="H1953">
            <v>158</v>
          </cell>
          <cell r="I1953">
            <v>7086.9795692999996</v>
          </cell>
          <cell r="J1953">
            <v>0</v>
          </cell>
          <cell r="K1953">
            <v>0</v>
          </cell>
          <cell r="L1953">
            <v>2224</v>
          </cell>
          <cell r="M1953">
            <v>0</v>
          </cell>
          <cell r="P1953">
            <v>4608</v>
          </cell>
          <cell r="V1953" t="str">
            <v>Available</v>
          </cell>
        </row>
        <row r="1954">
          <cell r="A1954" t="str">
            <v>100900640002</v>
          </cell>
          <cell r="B1954" t="str">
            <v>Halsi</v>
          </cell>
          <cell r="C1954" t="str">
            <v>Halsi</v>
          </cell>
          <cell r="D1954" t="str">
            <v>SHIJHORI</v>
          </cell>
          <cell r="E1954">
            <v>10090064</v>
          </cell>
          <cell r="F1954" t="str">
            <v>0002</v>
          </cell>
          <cell r="G1954">
            <v>14</v>
          </cell>
          <cell r="H1954">
            <v>433.66</v>
          </cell>
          <cell r="I1954">
            <v>17219.849146465756</v>
          </cell>
          <cell r="J1954">
            <v>0</v>
          </cell>
          <cell r="K1954">
            <v>0</v>
          </cell>
          <cell r="L1954">
            <v>552</v>
          </cell>
          <cell r="M1954">
            <v>0</v>
          </cell>
          <cell r="P1954">
            <v>16668</v>
          </cell>
          <cell r="V1954" t="str">
            <v>Available</v>
          </cell>
        </row>
        <row r="1955">
          <cell r="A1955" t="str">
            <v>100900650002</v>
          </cell>
          <cell r="B1955" t="str">
            <v>Halsi</v>
          </cell>
          <cell r="C1955" t="str">
            <v>Halsi</v>
          </cell>
          <cell r="D1955" t="str">
            <v>RAM PRAVESH YADAV</v>
          </cell>
          <cell r="E1955">
            <v>10090065</v>
          </cell>
          <cell r="F1955" t="str">
            <v>0002</v>
          </cell>
          <cell r="G1955">
            <v>14</v>
          </cell>
          <cell r="H1955">
            <v>440.74999999999994</v>
          </cell>
          <cell r="I1955">
            <v>17382.135549192604</v>
          </cell>
          <cell r="J1955">
            <v>0</v>
          </cell>
          <cell r="K1955">
            <v>0</v>
          </cell>
          <cell r="L1955">
            <v>217</v>
          </cell>
          <cell r="M1955">
            <v>0</v>
          </cell>
          <cell r="P1955">
            <v>17165</v>
          </cell>
          <cell r="V1955" t="str">
            <v>Available</v>
          </cell>
        </row>
        <row r="1956">
          <cell r="A1956" t="str">
            <v>100900650006</v>
          </cell>
          <cell r="B1956" t="str">
            <v>Halsi</v>
          </cell>
          <cell r="C1956" t="str">
            <v>Halsi</v>
          </cell>
          <cell r="D1956" t="str">
            <v>RAM PRAVESH YADAV</v>
          </cell>
          <cell r="E1956">
            <v>10090065</v>
          </cell>
          <cell r="F1956" t="str">
            <v>0006</v>
          </cell>
          <cell r="G1956">
            <v>14</v>
          </cell>
          <cell r="H1956">
            <v>49.96</v>
          </cell>
          <cell r="I1956">
            <v>2596.5571651522605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P1956">
            <v>2597</v>
          </cell>
          <cell r="V1956" t="str">
            <v>Available</v>
          </cell>
        </row>
        <row r="1957">
          <cell r="A1957" t="str">
            <v>100900720002</v>
          </cell>
          <cell r="B1957" t="str">
            <v>Halsi</v>
          </cell>
          <cell r="C1957" t="str">
            <v>Halsi</v>
          </cell>
          <cell r="D1957" t="str">
            <v>BOUDHNAGAR</v>
          </cell>
          <cell r="E1957">
            <v>10090072</v>
          </cell>
          <cell r="F1957" t="str">
            <v>0002</v>
          </cell>
          <cell r="G1957">
            <v>13</v>
          </cell>
          <cell r="H1957">
            <v>374.27</v>
          </cell>
          <cell r="I1957">
            <v>14129.861875846203</v>
          </cell>
          <cell r="J1957">
            <v>0</v>
          </cell>
          <cell r="K1957">
            <v>0</v>
          </cell>
          <cell r="L1957">
            <v>2646</v>
          </cell>
          <cell r="M1957">
            <v>0</v>
          </cell>
          <cell r="P1957">
            <v>11484</v>
          </cell>
          <cell r="V1957" t="str">
            <v>Available</v>
          </cell>
        </row>
        <row r="1958">
          <cell r="A1958" t="str">
            <v>100900720003</v>
          </cell>
          <cell r="B1958" t="str">
            <v>Halsi</v>
          </cell>
          <cell r="C1958" t="str">
            <v>Halsi</v>
          </cell>
          <cell r="D1958" t="str">
            <v>BOUDHNAGAR</v>
          </cell>
          <cell r="E1958">
            <v>10090072</v>
          </cell>
          <cell r="F1958" t="str">
            <v>0003</v>
          </cell>
          <cell r="G1958">
            <v>5</v>
          </cell>
          <cell r="H1958">
            <v>136.11000000000001</v>
          </cell>
          <cell r="I1958">
            <v>4755.9373000128007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P1958">
            <v>4756</v>
          </cell>
          <cell r="V1958" t="str">
            <v>Available</v>
          </cell>
        </row>
        <row r="1959">
          <cell r="A1959" t="str">
            <v>100900740002</v>
          </cell>
          <cell r="B1959" t="str">
            <v>Halsi</v>
          </cell>
          <cell r="C1959" t="str">
            <v>Halsi</v>
          </cell>
          <cell r="D1959" t="str">
            <v>MOHADDINGAR</v>
          </cell>
          <cell r="E1959">
            <v>10090074</v>
          </cell>
          <cell r="F1959" t="str">
            <v>0002</v>
          </cell>
          <cell r="G1959">
            <v>10</v>
          </cell>
          <cell r="H1959">
            <v>251.57</v>
          </cell>
          <cell r="I1959">
            <v>9469.1098448721605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P1959">
            <v>9469</v>
          </cell>
          <cell r="V1959" t="str">
            <v>Available</v>
          </cell>
        </row>
        <row r="1960">
          <cell r="A1960" t="str">
            <v>100900740003</v>
          </cell>
          <cell r="B1960" t="str">
            <v>Halsi</v>
          </cell>
          <cell r="C1960" t="str">
            <v>Halsi</v>
          </cell>
          <cell r="D1960" t="str">
            <v>MOHADDINGAR</v>
          </cell>
          <cell r="E1960">
            <v>10090074</v>
          </cell>
          <cell r="F1960" t="str">
            <v>0003</v>
          </cell>
          <cell r="G1960">
            <v>12</v>
          </cell>
          <cell r="H1960">
            <v>182.25</v>
          </cell>
          <cell r="I1960">
            <v>7134.4020289932005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P1960">
            <v>7134</v>
          </cell>
          <cell r="V1960" t="str">
            <v>Available</v>
          </cell>
        </row>
        <row r="1961">
          <cell r="A1961" t="str">
            <v>100900740005</v>
          </cell>
          <cell r="B1961" t="str">
            <v>Halsi</v>
          </cell>
          <cell r="C1961" t="str">
            <v>Halsi</v>
          </cell>
          <cell r="D1961" t="str">
            <v>MOHADDINGAR</v>
          </cell>
          <cell r="E1961">
            <v>10090074</v>
          </cell>
          <cell r="F1961" t="str">
            <v>0005</v>
          </cell>
          <cell r="G1961">
            <v>14</v>
          </cell>
          <cell r="H1961">
            <v>101.27999999999999</v>
          </cell>
          <cell r="I1961">
            <v>4416.9275599344101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P1961">
            <v>4417</v>
          </cell>
          <cell r="V1961" t="str">
            <v>Available</v>
          </cell>
        </row>
        <row r="1962">
          <cell r="A1962" t="str">
            <v>100900750002</v>
          </cell>
          <cell r="B1962" t="str">
            <v>Halsi</v>
          </cell>
          <cell r="C1962" t="str">
            <v>Halsi</v>
          </cell>
          <cell r="D1962" t="str">
            <v>PACHAUTA</v>
          </cell>
          <cell r="E1962">
            <v>10090075</v>
          </cell>
          <cell r="F1962" t="str">
            <v>0002</v>
          </cell>
          <cell r="G1962">
            <v>11</v>
          </cell>
          <cell r="H1962">
            <v>429.46000000000004</v>
          </cell>
          <cell r="I1962">
            <v>17606.213676216004</v>
          </cell>
          <cell r="J1962">
            <v>0</v>
          </cell>
          <cell r="K1962">
            <v>0</v>
          </cell>
          <cell r="L1962">
            <v>3598</v>
          </cell>
          <cell r="M1962">
            <v>0</v>
          </cell>
          <cell r="P1962">
            <v>14008</v>
          </cell>
          <cell r="V1962" t="str">
            <v>Available</v>
          </cell>
        </row>
        <row r="1963">
          <cell r="A1963" t="str">
            <v>100900750003</v>
          </cell>
          <cell r="B1963" t="str">
            <v>Halsi</v>
          </cell>
          <cell r="C1963" t="str">
            <v>Halsi</v>
          </cell>
          <cell r="D1963" t="str">
            <v>PACHAUTA</v>
          </cell>
          <cell r="E1963">
            <v>10090075</v>
          </cell>
          <cell r="F1963" t="str">
            <v>0003</v>
          </cell>
          <cell r="G1963">
            <v>14</v>
          </cell>
          <cell r="H1963">
            <v>106.49</v>
          </cell>
          <cell r="I1963">
            <v>4915.0359151313614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P1963">
            <v>4915</v>
          </cell>
          <cell r="V1963" t="str">
            <v>Available</v>
          </cell>
        </row>
        <row r="1964">
          <cell r="A1964" t="str">
            <v>100900750006</v>
          </cell>
          <cell r="B1964" t="str">
            <v>Halsi</v>
          </cell>
          <cell r="C1964" t="str">
            <v>Halsi</v>
          </cell>
          <cell r="D1964" t="str">
            <v>PACHAUTA</v>
          </cell>
          <cell r="E1964">
            <v>10090075</v>
          </cell>
          <cell r="F1964" t="str">
            <v>0006</v>
          </cell>
          <cell r="G1964">
            <v>3</v>
          </cell>
          <cell r="H1964">
            <v>123.94</v>
          </cell>
          <cell r="I1964">
            <v>5096.8011057479998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P1964">
            <v>5097</v>
          </cell>
          <cell r="V1964" t="str">
            <v>Available</v>
          </cell>
        </row>
        <row r="1965">
          <cell r="A1965" t="str">
            <v>100900780002</v>
          </cell>
          <cell r="B1965" t="str">
            <v>Halsi</v>
          </cell>
          <cell r="C1965" t="str">
            <v>Halsi</v>
          </cell>
          <cell r="D1965" t="str">
            <v>TIYAY</v>
          </cell>
          <cell r="E1965">
            <v>10090078</v>
          </cell>
          <cell r="F1965" t="str">
            <v>0002</v>
          </cell>
          <cell r="G1965">
            <v>14</v>
          </cell>
          <cell r="H1965">
            <v>349.6</v>
          </cell>
          <cell r="I1965">
            <v>13122.624200399998</v>
          </cell>
          <cell r="J1965">
            <v>0</v>
          </cell>
          <cell r="K1965">
            <v>0</v>
          </cell>
          <cell r="L1965">
            <v>1251</v>
          </cell>
          <cell r="M1965">
            <v>0</v>
          </cell>
          <cell r="P1965">
            <v>11872</v>
          </cell>
          <cell r="V1965" t="str">
            <v>Available</v>
          </cell>
        </row>
        <row r="1966">
          <cell r="A1966" t="str">
            <v>100900790002</v>
          </cell>
          <cell r="B1966" t="str">
            <v>Halsi</v>
          </cell>
          <cell r="C1966" t="str">
            <v>Halsi</v>
          </cell>
          <cell r="D1966" t="str">
            <v>BILLO 2</v>
          </cell>
          <cell r="E1966">
            <v>10090079</v>
          </cell>
          <cell r="F1966" t="str">
            <v>0002</v>
          </cell>
          <cell r="G1966">
            <v>14</v>
          </cell>
          <cell r="H1966">
            <v>382.90000000000003</v>
          </cell>
          <cell r="I1966">
            <v>13861.165812120002</v>
          </cell>
          <cell r="J1966">
            <v>0</v>
          </cell>
          <cell r="K1966">
            <v>0</v>
          </cell>
          <cell r="L1966">
            <v>1918</v>
          </cell>
          <cell r="M1966">
            <v>0</v>
          </cell>
          <cell r="P1966">
            <v>11943</v>
          </cell>
          <cell r="V1966" t="str">
            <v>Available</v>
          </cell>
        </row>
        <row r="1967">
          <cell r="A1967" t="str">
            <v>100900800002</v>
          </cell>
          <cell r="B1967" t="str">
            <v>Halsi</v>
          </cell>
          <cell r="C1967" t="str">
            <v>Halsi</v>
          </cell>
          <cell r="D1967" t="str">
            <v>NAWADIH 2</v>
          </cell>
          <cell r="E1967">
            <v>10090080</v>
          </cell>
          <cell r="F1967" t="str">
            <v>0002</v>
          </cell>
          <cell r="G1967">
            <v>1</v>
          </cell>
          <cell r="H1967">
            <v>188.2</v>
          </cell>
          <cell r="I1967">
            <v>8421.7897288799995</v>
          </cell>
          <cell r="J1967">
            <v>0</v>
          </cell>
          <cell r="K1967">
            <v>0</v>
          </cell>
          <cell r="L1967">
            <v>123</v>
          </cell>
          <cell r="M1967">
            <v>0</v>
          </cell>
          <cell r="P1967">
            <v>8299</v>
          </cell>
          <cell r="V1967" t="str">
            <v>Available</v>
          </cell>
        </row>
        <row r="1968">
          <cell r="A1968" t="str">
            <v>101000010001</v>
          </cell>
          <cell r="B1968" t="str">
            <v>Parbatta</v>
          </cell>
          <cell r="C1968" t="str">
            <v>Parbatta</v>
          </cell>
          <cell r="D1968" t="str">
            <v>Vishan Pur</v>
          </cell>
          <cell r="E1968">
            <v>10100001</v>
          </cell>
          <cell r="F1968" t="str">
            <v>0001</v>
          </cell>
          <cell r="G1968">
            <v>14</v>
          </cell>
          <cell r="H1968">
            <v>9.16</v>
          </cell>
          <cell r="I1968">
            <v>366.20719502399999</v>
          </cell>
          <cell r="J1968">
            <v>0</v>
          </cell>
          <cell r="K1968">
            <v>366.20719502399999</v>
          </cell>
          <cell r="L1968">
            <v>0</v>
          </cell>
          <cell r="M1968">
            <v>0</v>
          </cell>
          <cell r="P1968">
            <v>0</v>
          </cell>
          <cell r="V1968" t="str">
            <v>Not Available</v>
          </cell>
        </row>
        <row r="1969">
          <cell r="A1969" t="str">
            <v>101000010002</v>
          </cell>
          <cell r="B1969" t="str">
            <v>Parbatta</v>
          </cell>
          <cell r="C1969" t="str">
            <v>Parbatta</v>
          </cell>
          <cell r="D1969" t="str">
            <v>Vishan Pur</v>
          </cell>
          <cell r="E1969">
            <v>10100001</v>
          </cell>
          <cell r="F1969" t="str">
            <v>0002</v>
          </cell>
          <cell r="G1969">
            <v>13</v>
          </cell>
          <cell r="H1969">
            <v>33.79</v>
          </cell>
          <cell r="I1969">
            <v>1324.2189854520002</v>
          </cell>
          <cell r="J1969">
            <v>0</v>
          </cell>
          <cell r="K1969">
            <v>0</v>
          </cell>
          <cell r="L1969">
            <v>1324</v>
          </cell>
          <cell r="M1969">
            <v>0</v>
          </cell>
          <cell r="P1969">
            <v>0</v>
          </cell>
          <cell r="V1969" t="str">
            <v>Available</v>
          </cell>
        </row>
        <row r="1970">
          <cell r="A1970" t="str">
            <v>101000010013</v>
          </cell>
          <cell r="B1970" t="str">
            <v>Parbatta</v>
          </cell>
          <cell r="C1970" t="str">
            <v>Parbatta</v>
          </cell>
          <cell r="D1970" t="str">
            <v>Vishan Pur</v>
          </cell>
          <cell r="E1970">
            <v>10100001</v>
          </cell>
          <cell r="F1970" t="str">
            <v>0013</v>
          </cell>
          <cell r="G1970">
            <v>14</v>
          </cell>
          <cell r="H1970">
            <v>189.95999999999998</v>
          </cell>
          <cell r="I1970">
            <v>6967.721033658001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P1970">
            <v>6968</v>
          </cell>
          <cell r="V1970" t="str">
            <v>Available</v>
          </cell>
        </row>
        <row r="1971">
          <cell r="A1971" t="str">
            <v>101000010024</v>
          </cell>
          <cell r="B1971" t="str">
            <v>Parbatta</v>
          </cell>
          <cell r="C1971" t="str">
            <v>Parbatta</v>
          </cell>
          <cell r="D1971" t="str">
            <v>Vishan Pur</v>
          </cell>
          <cell r="E1971">
            <v>10100001</v>
          </cell>
          <cell r="F1971" t="str">
            <v>0024</v>
          </cell>
          <cell r="G1971">
            <v>2</v>
          </cell>
          <cell r="H1971">
            <v>3.91</v>
          </cell>
          <cell r="I1971">
            <v>143.122568688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P1971">
            <v>143</v>
          </cell>
          <cell r="V1971" t="str">
            <v>Available</v>
          </cell>
        </row>
        <row r="1972">
          <cell r="A1972" t="str">
            <v>101000010027</v>
          </cell>
          <cell r="B1972" t="str">
            <v>Parbatta</v>
          </cell>
          <cell r="C1972" t="str">
            <v>Parbatta</v>
          </cell>
          <cell r="D1972" t="str">
            <v>Vishan Pur</v>
          </cell>
          <cell r="E1972">
            <v>10100001</v>
          </cell>
          <cell r="F1972" t="str">
            <v>0027</v>
          </cell>
          <cell r="G1972">
            <v>10</v>
          </cell>
          <cell r="H1972">
            <v>112.85000000000001</v>
          </cell>
          <cell r="I1972">
            <v>4498.8915957480003</v>
          </cell>
          <cell r="J1972">
            <v>0</v>
          </cell>
          <cell r="K1972">
            <v>0</v>
          </cell>
          <cell r="L1972">
            <v>405</v>
          </cell>
          <cell r="M1972">
            <v>0</v>
          </cell>
          <cell r="P1972">
            <v>4094</v>
          </cell>
          <cell r="V1972" t="str">
            <v>Available</v>
          </cell>
        </row>
        <row r="1973">
          <cell r="A1973" t="str">
            <v>101000010030</v>
          </cell>
          <cell r="B1973" t="str">
            <v>Parbatta</v>
          </cell>
          <cell r="C1973" t="str">
            <v>Parbatta</v>
          </cell>
          <cell r="D1973" t="str">
            <v>Vishan Pur</v>
          </cell>
          <cell r="E1973">
            <v>10100001</v>
          </cell>
          <cell r="F1973" t="str">
            <v>0030</v>
          </cell>
          <cell r="G1973">
            <v>14</v>
          </cell>
          <cell r="H1973">
            <v>121.77999999999999</v>
          </cell>
          <cell r="I1973">
            <v>4988.0321409600001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P1973">
            <v>4988</v>
          </cell>
          <cell r="V1973" t="str">
            <v>Available</v>
          </cell>
        </row>
        <row r="1974">
          <cell r="A1974" t="str">
            <v>101000010031</v>
          </cell>
          <cell r="B1974" t="str">
            <v>Parbatta</v>
          </cell>
          <cell r="C1974" t="str">
            <v>Parbatta</v>
          </cell>
          <cell r="D1974" t="str">
            <v>Vishan Pur</v>
          </cell>
          <cell r="E1974">
            <v>10100001</v>
          </cell>
          <cell r="F1974" t="str">
            <v>0031</v>
          </cell>
          <cell r="G1974">
            <v>14</v>
          </cell>
          <cell r="H1974">
            <v>253.93999999999997</v>
          </cell>
          <cell r="I1974">
            <v>10305.930140352002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P1974">
            <v>10306</v>
          </cell>
          <cell r="V1974" t="str">
            <v>Available</v>
          </cell>
        </row>
        <row r="1975">
          <cell r="A1975" t="str">
            <v>101000010038</v>
          </cell>
          <cell r="B1975" t="str">
            <v>Parbatta</v>
          </cell>
          <cell r="C1975" t="str">
            <v>Parbatta</v>
          </cell>
          <cell r="D1975" t="str">
            <v>Vishan Pur</v>
          </cell>
          <cell r="E1975">
            <v>10100001</v>
          </cell>
          <cell r="F1975" t="str">
            <v>0038</v>
          </cell>
          <cell r="G1975">
            <v>1</v>
          </cell>
          <cell r="H1975">
            <v>6.5</v>
          </cell>
          <cell r="I1975">
            <v>248.82703560000002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P1975">
            <v>249</v>
          </cell>
          <cell r="V1975" t="str">
            <v>Available</v>
          </cell>
        </row>
        <row r="1976">
          <cell r="A1976" t="str">
            <v>101000010040</v>
          </cell>
          <cell r="B1976" t="str">
            <v>Parbatta</v>
          </cell>
          <cell r="C1976" t="str">
            <v>Parbatta</v>
          </cell>
          <cell r="D1976" t="str">
            <v>Vishan Pur</v>
          </cell>
          <cell r="E1976">
            <v>10100001</v>
          </cell>
          <cell r="F1976" t="str">
            <v>0040</v>
          </cell>
          <cell r="G1976">
            <v>12</v>
          </cell>
          <cell r="H1976">
            <v>59.65</v>
          </cell>
          <cell r="I1976">
            <v>2289.6290437416005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P1976">
            <v>2290</v>
          </cell>
          <cell r="V1976" t="str">
            <v>Available</v>
          </cell>
        </row>
        <row r="1977">
          <cell r="A1977" t="str">
            <v>101000010042</v>
          </cell>
          <cell r="B1977" t="str">
            <v>Parbatta</v>
          </cell>
          <cell r="C1977" t="str">
            <v>Parbatta</v>
          </cell>
          <cell r="D1977" t="str">
            <v>Vishan Pur</v>
          </cell>
          <cell r="E1977">
            <v>10100001</v>
          </cell>
          <cell r="F1977" t="str">
            <v>0042</v>
          </cell>
          <cell r="G1977">
            <v>7</v>
          </cell>
          <cell r="H1977">
            <v>133.38</v>
          </cell>
          <cell r="I1977">
            <v>5406.7483649520009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P1977">
            <v>5407</v>
          </cell>
          <cell r="V1977" t="str">
            <v>Available</v>
          </cell>
        </row>
        <row r="1978">
          <cell r="A1978" t="str">
            <v>101000010044</v>
          </cell>
          <cell r="B1978" t="str">
            <v>Parbatta</v>
          </cell>
          <cell r="C1978" t="str">
            <v>Parbatta</v>
          </cell>
          <cell r="D1978" t="str">
            <v>Vishan Pur</v>
          </cell>
          <cell r="E1978">
            <v>10100001</v>
          </cell>
          <cell r="F1978" t="str">
            <v>0044</v>
          </cell>
          <cell r="G1978">
            <v>4</v>
          </cell>
          <cell r="H1978">
            <v>8.4499999999999993</v>
          </cell>
          <cell r="I1978">
            <v>299.80362523320002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P1978">
            <v>300</v>
          </cell>
          <cell r="V1978" t="str">
            <v>Available</v>
          </cell>
        </row>
        <row r="1979">
          <cell r="A1979" t="str">
            <v>101000010046</v>
          </cell>
          <cell r="B1979" t="str">
            <v>Parbatta</v>
          </cell>
          <cell r="C1979" t="str">
            <v>Parbatta</v>
          </cell>
          <cell r="D1979" t="str">
            <v>Vishan Pur</v>
          </cell>
          <cell r="E1979">
            <v>10100001</v>
          </cell>
          <cell r="F1979" t="str">
            <v>0046</v>
          </cell>
          <cell r="G1979">
            <v>7</v>
          </cell>
          <cell r="H1979">
            <v>13.26</v>
          </cell>
          <cell r="I1979">
            <v>543.10483616400006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P1979">
            <v>543</v>
          </cell>
          <cell r="V1979" t="str">
            <v>Available</v>
          </cell>
        </row>
        <row r="1980">
          <cell r="A1980" t="str">
            <v>101000030001</v>
          </cell>
          <cell r="B1980" t="str">
            <v>Parbatta</v>
          </cell>
          <cell r="C1980" t="str">
            <v>Parbatta</v>
          </cell>
          <cell r="D1980" t="str">
            <v>Gomukh Madhawpur</v>
          </cell>
          <cell r="E1980">
            <v>10100003</v>
          </cell>
          <cell r="F1980" t="str">
            <v>0001</v>
          </cell>
          <cell r="G1980">
            <v>14</v>
          </cell>
          <cell r="H1980">
            <v>7</v>
          </cell>
          <cell r="I1980">
            <v>326.57981373999996</v>
          </cell>
          <cell r="J1980">
            <v>0</v>
          </cell>
          <cell r="K1980">
            <v>326.57981373999996</v>
          </cell>
          <cell r="L1980">
            <v>0</v>
          </cell>
          <cell r="M1980">
            <v>0</v>
          </cell>
          <cell r="P1980">
            <v>0</v>
          </cell>
          <cell r="V1980" t="str">
            <v>Not Available</v>
          </cell>
        </row>
        <row r="1981">
          <cell r="A1981" t="str">
            <v>101000030002</v>
          </cell>
          <cell r="B1981" t="str">
            <v>Parbatta</v>
          </cell>
          <cell r="C1981" t="str">
            <v>Parbatta</v>
          </cell>
          <cell r="D1981" t="str">
            <v>Gomukh Madhawpur</v>
          </cell>
          <cell r="E1981">
            <v>10100003</v>
          </cell>
          <cell r="F1981" t="str">
            <v>0002</v>
          </cell>
          <cell r="G1981">
            <v>14</v>
          </cell>
          <cell r="H1981">
            <v>546</v>
          </cell>
          <cell r="I1981">
            <v>22349.046607446002</v>
          </cell>
          <cell r="J1981">
            <v>0</v>
          </cell>
          <cell r="K1981">
            <v>0</v>
          </cell>
          <cell r="L1981">
            <v>11194</v>
          </cell>
          <cell r="M1981">
            <v>6500</v>
          </cell>
          <cell r="P1981">
            <v>4655</v>
          </cell>
          <cell r="V1981" t="str">
            <v>Available</v>
          </cell>
        </row>
        <row r="1982">
          <cell r="A1982" t="str">
            <v>101000030003</v>
          </cell>
          <cell r="B1982" t="str">
            <v>Parbatta</v>
          </cell>
          <cell r="C1982" t="str">
            <v>Parbatta</v>
          </cell>
          <cell r="D1982" t="str">
            <v>Gomukh Madhawpur</v>
          </cell>
          <cell r="E1982">
            <v>10100003</v>
          </cell>
          <cell r="F1982" t="str">
            <v>0003</v>
          </cell>
          <cell r="G1982">
            <v>14</v>
          </cell>
          <cell r="H1982">
            <v>429</v>
          </cell>
          <cell r="I1982">
            <v>17665.373821618003</v>
          </cell>
          <cell r="J1982">
            <v>0</v>
          </cell>
          <cell r="K1982">
            <v>0</v>
          </cell>
          <cell r="L1982">
            <v>0</v>
          </cell>
          <cell r="M1982">
            <v>6500</v>
          </cell>
          <cell r="P1982">
            <v>11165</v>
          </cell>
          <cell r="V1982" t="str">
            <v>Available</v>
          </cell>
        </row>
        <row r="1983">
          <cell r="A1983" t="str">
            <v>101000030004</v>
          </cell>
          <cell r="B1983" t="str">
            <v>Parbatta</v>
          </cell>
          <cell r="C1983" t="str">
            <v>Parbatta</v>
          </cell>
          <cell r="D1983" t="str">
            <v>Gomukh Madhawpur</v>
          </cell>
          <cell r="E1983">
            <v>10100003</v>
          </cell>
          <cell r="F1983" t="str">
            <v>0004</v>
          </cell>
          <cell r="G1983">
            <v>8</v>
          </cell>
          <cell r="H1983">
            <v>245</v>
          </cell>
          <cell r="I1983">
            <v>10784.681265600002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P1983">
            <v>10785</v>
          </cell>
          <cell r="V1983" t="str">
            <v>Available</v>
          </cell>
        </row>
        <row r="1984">
          <cell r="A1984" t="str">
            <v>101000030016</v>
          </cell>
          <cell r="B1984" t="str">
            <v>Parbatta</v>
          </cell>
          <cell r="C1984" t="str">
            <v>Parbatta</v>
          </cell>
          <cell r="D1984" t="str">
            <v>Gomukh Madhawpur</v>
          </cell>
          <cell r="E1984">
            <v>10100003</v>
          </cell>
          <cell r="F1984" t="str">
            <v>0016</v>
          </cell>
          <cell r="G1984">
            <v>12</v>
          </cell>
          <cell r="H1984">
            <v>388.5</v>
          </cell>
          <cell r="I1984">
            <v>18164.389249523003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P1984">
            <v>18164</v>
          </cell>
          <cell r="V1984" t="str">
            <v>Available</v>
          </cell>
        </row>
        <row r="1985">
          <cell r="A1985" t="str">
            <v>101000090002</v>
          </cell>
          <cell r="B1985" t="str">
            <v>Parbatta</v>
          </cell>
          <cell r="C1985" t="str">
            <v>Parbatta</v>
          </cell>
          <cell r="D1985" t="str">
            <v>Gomukh Kanhaiyachak Pachhim</v>
          </cell>
          <cell r="E1985">
            <v>10100009</v>
          </cell>
          <cell r="F1985" t="str">
            <v>0002</v>
          </cell>
          <cell r="G1985">
            <v>13</v>
          </cell>
          <cell r="H1985">
            <v>414.71</v>
          </cell>
          <cell r="I1985">
            <v>16926.286595134516</v>
          </cell>
          <cell r="J1985">
            <v>0</v>
          </cell>
          <cell r="K1985">
            <v>0</v>
          </cell>
          <cell r="L1985">
            <v>4632</v>
          </cell>
          <cell r="M1985">
            <v>0</v>
          </cell>
          <cell r="P1985">
            <v>12294</v>
          </cell>
          <cell r="V1985" t="str">
            <v>Available</v>
          </cell>
        </row>
        <row r="1986">
          <cell r="A1986" t="str">
            <v>101000090009</v>
          </cell>
          <cell r="B1986" t="str">
            <v>Parbatta</v>
          </cell>
          <cell r="C1986" t="str">
            <v>Parbatta</v>
          </cell>
          <cell r="D1986" t="str">
            <v>Gomukh Kanhaiyachak Pachhim</v>
          </cell>
          <cell r="E1986">
            <v>10100009</v>
          </cell>
          <cell r="F1986" t="str">
            <v>0009</v>
          </cell>
          <cell r="G1986">
            <v>13</v>
          </cell>
          <cell r="H1986">
            <v>703.84</v>
          </cell>
          <cell r="I1986">
            <v>31620.013666665549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P1986">
            <v>31620</v>
          </cell>
          <cell r="V1986" t="str">
            <v>Available</v>
          </cell>
        </row>
        <row r="1987">
          <cell r="A1987" t="str">
            <v>101000090022</v>
          </cell>
          <cell r="B1987" t="str">
            <v>Parbatta</v>
          </cell>
          <cell r="C1987" t="str">
            <v>Parbatta</v>
          </cell>
          <cell r="D1987" t="str">
            <v>Gomukh Kanhaiyachak Pachhim</v>
          </cell>
          <cell r="E1987">
            <v>10100009</v>
          </cell>
          <cell r="F1987" t="str">
            <v>0022</v>
          </cell>
          <cell r="G1987">
            <v>6</v>
          </cell>
          <cell r="H1987">
            <v>11.78</v>
          </cell>
          <cell r="I1987">
            <v>478.89472593600004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P1987">
            <v>479</v>
          </cell>
          <cell r="V1987" t="str">
            <v>Available</v>
          </cell>
        </row>
        <row r="1988">
          <cell r="A1988" t="str">
            <v>101000090040</v>
          </cell>
          <cell r="B1988" t="str">
            <v>Parbatta</v>
          </cell>
          <cell r="C1988" t="str">
            <v>Parbatta</v>
          </cell>
          <cell r="D1988" t="str">
            <v>Gomukh Kanhaiyachak Pachhim</v>
          </cell>
          <cell r="E1988">
            <v>10100009</v>
          </cell>
          <cell r="F1988" t="str">
            <v>0040</v>
          </cell>
          <cell r="G1988">
            <v>1</v>
          </cell>
          <cell r="H1988">
            <v>2.25</v>
          </cell>
          <cell r="I1988">
            <v>116.97831031319998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P1988">
            <v>117</v>
          </cell>
          <cell r="V1988" t="str">
            <v>Available</v>
          </cell>
        </row>
        <row r="1989">
          <cell r="A1989" t="str">
            <v>101000090046</v>
          </cell>
          <cell r="B1989" t="str">
            <v>Parbatta</v>
          </cell>
          <cell r="C1989" t="str">
            <v>Parbatta</v>
          </cell>
          <cell r="D1989" t="str">
            <v>Gomukh Kanhaiyachak Pachhim</v>
          </cell>
          <cell r="E1989">
            <v>10100009</v>
          </cell>
          <cell r="F1989" t="str">
            <v>0046</v>
          </cell>
          <cell r="G1989">
            <v>5</v>
          </cell>
          <cell r="H1989">
            <v>7.129999999999999</v>
          </cell>
          <cell r="I1989">
            <v>281.69233901820002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P1989">
            <v>282</v>
          </cell>
          <cell r="V1989" t="str">
            <v>Available</v>
          </cell>
        </row>
        <row r="1990">
          <cell r="A1990" t="str">
            <v>101000090056</v>
          </cell>
          <cell r="B1990" t="str">
            <v>Parbatta</v>
          </cell>
          <cell r="C1990" t="str">
            <v>Parbatta</v>
          </cell>
          <cell r="D1990" t="str">
            <v>Gomukh Kanhaiyachak Pachhim</v>
          </cell>
          <cell r="E1990">
            <v>10100009</v>
          </cell>
          <cell r="F1990" t="str">
            <v>0056</v>
          </cell>
          <cell r="G1990">
            <v>1</v>
          </cell>
          <cell r="H1990">
            <v>2.2999999999999998</v>
          </cell>
          <cell r="I1990">
            <v>93.571511615999981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P1990">
            <v>94</v>
          </cell>
          <cell r="V1990" t="str">
            <v>Available</v>
          </cell>
        </row>
        <row r="1991">
          <cell r="A1991" t="str">
            <v>101000140003</v>
          </cell>
          <cell r="B1991" t="str">
            <v>Parbatta</v>
          </cell>
          <cell r="C1991" t="str">
            <v>Parbatta</v>
          </cell>
          <cell r="D1991" t="str">
            <v>Gomukh Srirampur Thuthi</v>
          </cell>
          <cell r="E1991">
            <v>10100014</v>
          </cell>
          <cell r="F1991" t="str">
            <v>0003</v>
          </cell>
          <cell r="G1991">
            <v>13</v>
          </cell>
          <cell r="H1991">
            <v>93.44</v>
          </cell>
          <cell r="I1991">
            <v>3435.4236854520004</v>
          </cell>
          <cell r="J1991">
            <v>0</v>
          </cell>
          <cell r="K1991">
            <v>0</v>
          </cell>
          <cell r="L1991">
            <v>1032</v>
          </cell>
          <cell r="M1991">
            <v>0</v>
          </cell>
          <cell r="P1991">
            <v>2403</v>
          </cell>
          <cell r="V1991" t="str">
            <v>Available</v>
          </cell>
        </row>
        <row r="1992">
          <cell r="A1992" t="str">
            <v>101000140014</v>
          </cell>
          <cell r="B1992" t="str">
            <v>Parbatta</v>
          </cell>
          <cell r="C1992" t="str">
            <v>Parbatta</v>
          </cell>
          <cell r="D1992" t="str">
            <v>Gomukh Srirampur Thuthi</v>
          </cell>
          <cell r="E1992">
            <v>10100014</v>
          </cell>
          <cell r="F1992" t="str">
            <v>0014</v>
          </cell>
          <cell r="G1992">
            <v>13</v>
          </cell>
          <cell r="H1992">
            <v>245.56000000000006</v>
          </cell>
          <cell r="I1992">
            <v>9499.609318320001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P1992">
            <v>9500</v>
          </cell>
          <cell r="V1992" t="str">
            <v>Available</v>
          </cell>
        </row>
        <row r="1993">
          <cell r="A1993" t="str">
            <v>101000140015</v>
          </cell>
          <cell r="B1993" t="str">
            <v>Parbatta</v>
          </cell>
          <cell r="C1993" t="str">
            <v>Parbatta</v>
          </cell>
          <cell r="D1993" t="str">
            <v>Gomukh Srirampur Thuthi</v>
          </cell>
          <cell r="E1993">
            <v>10100014</v>
          </cell>
          <cell r="F1993" t="str">
            <v>0015</v>
          </cell>
          <cell r="G1993">
            <v>13</v>
          </cell>
          <cell r="H1993">
            <v>24.45</v>
          </cell>
          <cell r="I1993">
            <v>951.38575290000006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P1993">
            <v>951</v>
          </cell>
          <cell r="V1993" t="str">
            <v>Available</v>
          </cell>
        </row>
        <row r="1994">
          <cell r="A1994" t="str">
            <v>101000140025</v>
          </cell>
          <cell r="B1994" t="str">
            <v>Parbatta</v>
          </cell>
          <cell r="C1994" t="str">
            <v>Parbatta</v>
          </cell>
          <cell r="D1994" t="str">
            <v>Gomukh Srirampur Thuthi</v>
          </cell>
          <cell r="E1994">
            <v>10100014</v>
          </cell>
          <cell r="F1994" t="str">
            <v>0025</v>
          </cell>
          <cell r="G1994">
            <v>1</v>
          </cell>
          <cell r="H1994">
            <v>12.27</v>
          </cell>
          <cell r="I1994">
            <v>484.28612693999997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P1994">
            <v>484</v>
          </cell>
          <cell r="V1994" t="str">
            <v>Available</v>
          </cell>
        </row>
        <row r="1995">
          <cell r="A1995" t="str">
            <v>101000140028</v>
          </cell>
          <cell r="B1995" t="str">
            <v>Parbatta</v>
          </cell>
          <cell r="C1995" t="str">
            <v>Parbatta</v>
          </cell>
          <cell r="D1995" t="str">
            <v>Gomukh Srirampur Thuthi</v>
          </cell>
          <cell r="E1995">
            <v>10100014</v>
          </cell>
          <cell r="F1995" t="str">
            <v>0028</v>
          </cell>
          <cell r="G1995">
            <v>12</v>
          </cell>
          <cell r="H1995">
            <v>30.92</v>
          </cell>
          <cell r="I1995">
            <v>1199.2665722400002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P1995">
            <v>1199</v>
          </cell>
          <cell r="V1995" t="str">
            <v>Available</v>
          </cell>
        </row>
        <row r="1996">
          <cell r="A1996" t="str">
            <v>101000160002</v>
          </cell>
          <cell r="B1996" t="str">
            <v>Parbatta</v>
          </cell>
          <cell r="C1996" t="str">
            <v>Parbatta</v>
          </cell>
          <cell r="D1996" t="str">
            <v>Gomukh Dumariya Bujurg Madhay</v>
          </cell>
          <cell r="E1996">
            <v>10100016</v>
          </cell>
          <cell r="F1996" t="str">
            <v>0002</v>
          </cell>
          <cell r="G1996">
            <v>1</v>
          </cell>
          <cell r="H1996">
            <v>10</v>
          </cell>
          <cell r="I1996">
            <v>396.01108800000009</v>
          </cell>
          <cell r="J1996">
            <v>0</v>
          </cell>
          <cell r="K1996">
            <v>0</v>
          </cell>
          <cell r="L1996">
            <v>270</v>
          </cell>
          <cell r="M1996">
            <v>0</v>
          </cell>
          <cell r="P1996">
            <v>126</v>
          </cell>
          <cell r="V1996" t="str">
            <v>Available</v>
          </cell>
        </row>
        <row r="1997">
          <cell r="A1997" t="str">
            <v>101000160010</v>
          </cell>
          <cell r="B1997" t="str">
            <v>Parbatta</v>
          </cell>
          <cell r="C1997" t="str">
            <v>Parbatta</v>
          </cell>
          <cell r="D1997" t="str">
            <v>Gomukh Dumariya Bujurg Madhay</v>
          </cell>
          <cell r="E1997">
            <v>10100016</v>
          </cell>
          <cell r="F1997" t="str">
            <v>0010</v>
          </cell>
          <cell r="G1997">
            <v>1</v>
          </cell>
          <cell r="H1997">
            <v>110</v>
          </cell>
          <cell r="I1997">
            <v>4646.5234200000004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P1997">
            <v>4647</v>
          </cell>
          <cell r="V1997" t="str">
            <v>Available</v>
          </cell>
        </row>
        <row r="1998">
          <cell r="A1998" t="str">
            <v>101000210002</v>
          </cell>
          <cell r="B1998" t="str">
            <v>Parbatta</v>
          </cell>
          <cell r="C1998" t="str">
            <v>Parbatta</v>
          </cell>
          <cell r="D1998" t="str">
            <v xml:space="preserve">Gomukh Bandahera                                                                                    </v>
          </cell>
          <cell r="E1998">
            <v>10100021</v>
          </cell>
          <cell r="F1998" t="str">
            <v>0002</v>
          </cell>
          <cell r="G1998">
            <v>1</v>
          </cell>
          <cell r="H1998">
            <v>521</v>
          </cell>
          <cell r="I1998">
            <v>21594.992562000003</v>
          </cell>
          <cell r="J1998">
            <v>0</v>
          </cell>
          <cell r="K1998">
            <v>0</v>
          </cell>
          <cell r="L1998">
            <v>2298</v>
          </cell>
          <cell r="M1998">
            <v>0</v>
          </cell>
          <cell r="P1998">
            <v>19297</v>
          </cell>
          <cell r="V1998" t="str">
            <v>Available</v>
          </cell>
        </row>
        <row r="1999">
          <cell r="A1999" t="str">
            <v>101000370002</v>
          </cell>
          <cell r="B1999" t="str">
            <v>Araria</v>
          </cell>
          <cell r="C1999" t="str">
            <v>Araria</v>
          </cell>
          <cell r="D1999" t="str">
            <v>Gomukh Tehay</v>
          </cell>
          <cell r="E1999">
            <v>10100037</v>
          </cell>
          <cell r="F1999" t="str">
            <v>0002</v>
          </cell>
          <cell r="G1999">
            <v>14</v>
          </cell>
          <cell r="H1999">
            <v>171.1</v>
          </cell>
          <cell r="I1999">
            <v>8507.3163594755006</v>
          </cell>
          <cell r="J1999">
            <v>0</v>
          </cell>
          <cell r="K1999">
            <v>0</v>
          </cell>
          <cell r="L1999">
            <v>2073</v>
          </cell>
          <cell r="M1999">
            <v>0</v>
          </cell>
          <cell r="P1999">
            <v>6434</v>
          </cell>
          <cell r="V1999" t="str">
            <v>Available</v>
          </cell>
        </row>
        <row r="2000">
          <cell r="A2000" t="str">
            <v>101000370003</v>
          </cell>
          <cell r="B2000" t="str">
            <v>Araria</v>
          </cell>
          <cell r="C2000" t="str">
            <v>Araria</v>
          </cell>
          <cell r="D2000" t="str">
            <v>Gomukh Tehay</v>
          </cell>
          <cell r="E2000">
            <v>10100037</v>
          </cell>
          <cell r="F2000" t="str">
            <v>0003</v>
          </cell>
          <cell r="G2000">
            <v>3</v>
          </cell>
          <cell r="H2000">
            <v>38</v>
          </cell>
          <cell r="I2000">
            <v>1967.4028002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P2000">
            <v>1967</v>
          </cell>
          <cell r="V2000" t="str">
            <v>Available</v>
          </cell>
        </row>
        <row r="2001">
          <cell r="A2001" t="str">
            <v>101000490002</v>
          </cell>
          <cell r="B2001" t="str">
            <v>Araria</v>
          </cell>
          <cell r="C2001" t="str">
            <v>Araria</v>
          </cell>
          <cell r="D2001" t="str">
            <v>Gomukh Govind Pur</v>
          </cell>
          <cell r="E2001">
            <v>10100049</v>
          </cell>
          <cell r="F2001" t="str">
            <v>0002</v>
          </cell>
          <cell r="G2001">
            <v>1</v>
          </cell>
          <cell r="H2001">
            <v>125.8</v>
          </cell>
          <cell r="I2001">
            <v>4550.0722264800006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P2001">
            <v>4216</v>
          </cell>
          <cell r="V2001" t="str">
            <v>Available</v>
          </cell>
        </row>
        <row r="2002">
          <cell r="A2002" t="str">
            <v>101000510001</v>
          </cell>
          <cell r="B2002" t="str">
            <v>Araria</v>
          </cell>
          <cell r="C2002" t="str">
            <v>Araria</v>
          </cell>
          <cell r="D2002" t="str">
            <v>Gomukh Sondiha</v>
          </cell>
          <cell r="E2002">
            <v>10100051</v>
          </cell>
          <cell r="F2002" t="str">
            <v>0001</v>
          </cell>
          <cell r="G2002">
            <v>1</v>
          </cell>
          <cell r="H2002">
            <v>0.5</v>
          </cell>
          <cell r="I2002">
            <v>16.441095330000003</v>
          </cell>
          <cell r="J2002">
            <v>0</v>
          </cell>
          <cell r="K2002">
            <v>16.441095330000003</v>
          </cell>
          <cell r="L2002">
            <v>0</v>
          </cell>
          <cell r="M2002">
            <v>0</v>
          </cell>
          <cell r="P2002">
            <v>0</v>
          </cell>
          <cell r="V2002" t="str">
            <v>Not Available</v>
          </cell>
        </row>
        <row r="2003">
          <cell r="A2003" t="str">
            <v>101000510002</v>
          </cell>
          <cell r="B2003" t="str">
            <v>Araria</v>
          </cell>
          <cell r="C2003" t="str">
            <v>Araria</v>
          </cell>
          <cell r="D2003" t="str">
            <v>Gomukh Sondiha</v>
          </cell>
          <cell r="E2003">
            <v>10100051</v>
          </cell>
          <cell r="F2003" t="str">
            <v>0002</v>
          </cell>
          <cell r="G2003">
            <v>9</v>
          </cell>
          <cell r="H2003">
            <v>384</v>
          </cell>
          <cell r="I2003">
            <v>14276.7418662</v>
          </cell>
          <cell r="J2003">
            <v>0</v>
          </cell>
          <cell r="K2003">
            <v>0</v>
          </cell>
          <cell r="L2003">
            <v>5251</v>
          </cell>
          <cell r="M2003">
            <v>0</v>
          </cell>
          <cell r="P2003">
            <v>9026</v>
          </cell>
          <cell r="V2003" t="str">
            <v>Available</v>
          </cell>
        </row>
        <row r="2004">
          <cell r="A2004" t="str">
            <v>101000510003</v>
          </cell>
          <cell r="B2004" t="str">
            <v>Araria</v>
          </cell>
          <cell r="C2004" t="str">
            <v>Araria</v>
          </cell>
          <cell r="D2004" t="str">
            <v>Gomukh Sondiha</v>
          </cell>
          <cell r="E2004">
            <v>10100051</v>
          </cell>
          <cell r="F2004" t="str">
            <v>0003</v>
          </cell>
          <cell r="G2004">
            <v>14</v>
          </cell>
          <cell r="H2004">
            <v>896.5</v>
          </cell>
          <cell r="I2004">
            <v>33376.716608399998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P2004">
            <v>33377</v>
          </cell>
          <cell r="V2004" t="str">
            <v>Available</v>
          </cell>
        </row>
        <row r="2005">
          <cell r="A2005" t="str">
            <v>101000540001</v>
          </cell>
          <cell r="B2005" t="str">
            <v>Araria</v>
          </cell>
          <cell r="C2005" t="str">
            <v>Araria</v>
          </cell>
          <cell r="D2005" t="str">
            <v>Gomukh Thebhay B</v>
          </cell>
          <cell r="E2005">
            <v>10100054</v>
          </cell>
          <cell r="F2005" t="str">
            <v>0001</v>
          </cell>
          <cell r="G2005">
            <v>13</v>
          </cell>
          <cell r="H2005">
            <v>3.1100000000000003</v>
          </cell>
          <cell r="I2005">
            <v>123.08282751600001</v>
          </cell>
          <cell r="J2005">
            <v>0</v>
          </cell>
          <cell r="K2005">
            <v>123.08282751600001</v>
          </cell>
          <cell r="L2005">
            <v>0</v>
          </cell>
          <cell r="M2005">
            <v>0</v>
          </cell>
          <cell r="P2005">
            <v>0</v>
          </cell>
          <cell r="V2005" t="str">
            <v>Not Available</v>
          </cell>
        </row>
        <row r="2006">
          <cell r="A2006" t="str">
            <v>101000540002</v>
          </cell>
          <cell r="B2006" t="str">
            <v>Araria</v>
          </cell>
          <cell r="C2006" t="str">
            <v>Araria</v>
          </cell>
          <cell r="D2006" t="str">
            <v>Gomukh Thebhay B</v>
          </cell>
          <cell r="E2006">
            <v>10100054</v>
          </cell>
          <cell r="F2006" t="str">
            <v>0002</v>
          </cell>
          <cell r="G2006">
            <v>14</v>
          </cell>
          <cell r="H2006">
            <v>360.51</v>
          </cell>
          <cell r="I2006">
            <v>14775.747056136004</v>
          </cell>
          <cell r="J2006">
            <v>0</v>
          </cell>
          <cell r="K2006">
            <v>0</v>
          </cell>
          <cell r="L2006">
            <v>8572</v>
          </cell>
          <cell r="M2006">
            <v>0</v>
          </cell>
          <cell r="P2006">
            <v>6204</v>
          </cell>
          <cell r="V2006" t="str">
            <v>Available</v>
          </cell>
        </row>
        <row r="2007">
          <cell r="A2007" t="str">
            <v>101000540008</v>
          </cell>
          <cell r="B2007" t="str">
            <v>Araria</v>
          </cell>
          <cell r="C2007" t="str">
            <v>Araria</v>
          </cell>
          <cell r="D2007" t="str">
            <v>Gomukh Thebhay B</v>
          </cell>
          <cell r="E2007">
            <v>10100054</v>
          </cell>
          <cell r="F2007" t="str">
            <v>0008</v>
          </cell>
          <cell r="G2007">
            <v>7</v>
          </cell>
          <cell r="H2007">
            <v>61.739999999999995</v>
          </cell>
          <cell r="I2007">
            <v>2246.9536810710006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P2007">
            <v>2247</v>
          </cell>
          <cell r="V2007" t="str">
            <v>Available</v>
          </cell>
        </row>
        <row r="2008">
          <cell r="A2008" t="str">
            <v>101000540009</v>
          </cell>
          <cell r="B2008" t="str">
            <v>Araria</v>
          </cell>
          <cell r="C2008" t="str">
            <v>Araria</v>
          </cell>
          <cell r="D2008" t="str">
            <v>Gomukh Thebhay B</v>
          </cell>
          <cell r="E2008">
            <v>10100054</v>
          </cell>
          <cell r="F2008" t="str">
            <v>0009</v>
          </cell>
          <cell r="G2008">
            <v>13</v>
          </cell>
          <cell r="H2008">
            <v>14.82</v>
          </cell>
          <cell r="I2008">
            <v>601.1532525240001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P2008">
            <v>601</v>
          </cell>
          <cell r="V2008" t="str">
            <v>Available</v>
          </cell>
        </row>
        <row r="2009">
          <cell r="A2009" t="str">
            <v>101000540013</v>
          </cell>
          <cell r="B2009" t="str">
            <v>Araria</v>
          </cell>
          <cell r="C2009" t="str">
            <v>Araria</v>
          </cell>
          <cell r="D2009" t="str">
            <v>Gomukh Thebhay B</v>
          </cell>
          <cell r="E2009">
            <v>10100054</v>
          </cell>
          <cell r="F2009" t="str">
            <v>0013</v>
          </cell>
          <cell r="G2009">
            <v>6</v>
          </cell>
          <cell r="H2009">
            <v>10.58</v>
          </cell>
          <cell r="I2009">
            <v>406.80888659904008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P2009">
            <v>407</v>
          </cell>
          <cell r="V2009" t="str">
            <v>Available</v>
          </cell>
        </row>
        <row r="2010">
          <cell r="A2010" t="str">
            <v>101000540015</v>
          </cell>
          <cell r="B2010" t="str">
            <v>Araria</v>
          </cell>
          <cell r="C2010" t="str">
            <v>Araria</v>
          </cell>
          <cell r="D2010" t="str">
            <v>Gomukh Thebhay B</v>
          </cell>
          <cell r="E2010">
            <v>10100054</v>
          </cell>
          <cell r="F2010" t="str">
            <v>0015</v>
          </cell>
          <cell r="G2010">
            <v>11</v>
          </cell>
          <cell r="H2010">
            <v>6.99</v>
          </cell>
          <cell r="I2010">
            <v>295.88442962939996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P2010">
            <v>296</v>
          </cell>
          <cell r="V2010" t="str">
            <v>Available</v>
          </cell>
        </row>
        <row r="2011">
          <cell r="A2011" t="str">
            <v>101000540024</v>
          </cell>
          <cell r="B2011" t="str">
            <v>Araria</v>
          </cell>
          <cell r="C2011" t="str">
            <v>Araria</v>
          </cell>
          <cell r="D2011" t="str">
            <v>Gomukh Thebhay B</v>
          </cell>
          <cell r="E2011">
            <v>10100054</v>
          </cell>
          <cell r="F2011" t="str">
            <v>0024</v>
          </cell>
          <cell r="G2011">
            <v>7</v>
          </cell>
          <cell r="H2011">
            <v>17.29</v>
          </cell>
          <cell r="I2011">
            <v>727.69947030000003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P2011">
            <v>728</v>
          </cell>
          <cell r="V2011" t="str">
            <v>Available</v>
          </cell>
        </row>
        <row r="2012">
          <cell r="A2012" t="str">
            <v>101000540037</v>
          </cell>
          <cell r="B2012" t="str">
            <v>Araria</v>
          </cell>
          <cell r="C2012" t="str">
            <v>Araria</v>
          </cell>
          <cell r="D2012" t="str">
            <v>Gomukh Thebhay B</v>
          </cell>
          <cell r="E2012">
            <v>10100054</v>
          </cell>
          <cell r="F2012" t="str">
            <v>0037</v>
          </cell>
          <cell r="G2012">
            <v>5</v>
          </cell>
          <cell r="H2012">
            <v>13.5</v>
          </cell>
          <cell r="I2012">
            <v>598.63552429120011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P2012">
            <v>599</v>
          </cell>
          <cell r="V2012" t="str">
            <v>Available</v>
          </cell>
        </row>
        <row r="2013">
          <cell r="A2013" t="str">
            <v>101000600002</v>
          </cell>
          <cell r="B2013" t="str">
            <v>Araria</v>
          </cell>
          <cell r="C2013" t="str">
            <v>Araria</v>
          </cell>
          <cell r="D2013" t="str">
            <v>Gomukh Baisa</v>
          </cell>
          <cell r="E2013">
            <v>10100060</v>
          </cell>
          <cell r="F2013" t="str">
            <v>0002</v>
          </cell>
          <cell r="G2013">
            <v>6</v>
          </cell>
          <cell r="H2013">
            <v>76</v>
          </cell>
          <cell r="I2013">
            <v>2829.6342360000003</v>
          </cell>
          <cell r="J2013">
            <v>0</v>
          </cell>
          <cell r="K2013">
            <v>0</v>
          </cell>
          <cell r="L2013">
            <v>472</v>
          </cell>
          <cell r="M2013">
            <v>0</v>
          </cell>
          <cell r="P2013">
            <v>2358</v>
          </cell>
          <cell r="V2013" t="str">
            <v>Available</v>
          </cell>
        </row>
        <row r="2014">
          <cell r="A2014" t="str">
            <v>101000600004</v>
          </cell>
          <cell r="B2014" t="str">
            <v>Araria</v>
          </cell>
          <cell r="C2014" t="str">
            <v>Araria</v>
          </cell>
          <cell r="D2014" t="str">
            <v>Gomukh Baisa</v>
          </cell>
          <cell r="E2014">
            <v>10100060</v>
          </cell>
          <cell r="F2014" t="str">
            <v>0004</v>
          </cell>
          <cell r="G2014">
            <v>6</v>
          </cell>
          <cell r="H2014">
            <v>78.400000000000006</v>
          </cell>
          <cell r="I2014">
            <v>2920.0823190000001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P2014">
            <v>2920</v>
          </cell>
          <cell r="V2014" t="str">
            <v>Available</v>
          </cell>
        </row>
        <row r="2015">
          <cell r="A2015" t="str">
            <v>101000600006</v>
          </cell>
          <cell r="B2015" t="str">
            <v>Araria</v>
          </cell>
          <cell r="C2015" t="str">
            <v>Araria</v>
          </cell>
          <cell r="D2015" t="str">
            <v>Gomukh Baisa</v>
          </cell>
          <cell r="E2015">
            <v>10100060</v>
          </cell>
          <cell r="F2015" t="str">
            <v>0006</v>
          </cell>
          <cell r="G2015">
            <v>2</v>
          </cell>
          <cell r="H2015">
            <v>32.6</v>
          </cell>
          <cell r="I2015">
            <v>1234.7630222400001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P2015">
            <v>1235</v>
          </cell>
          <cell r="V2015" t="str">
            <v>Available</v>
          </cell>
        </row>
        <row r="2016">
          <cell r="A2016" t="str">
            <v>101000600007</v>
          </cell>
          <cell r="B2016" t="str">
            <v>Araria</v>
          </cell>
          <cell r="C2016" t="str">
            <v>Araria</v>
          </cell>
          <cell r="D2016" t="str">
            <v>Gomukh Baisa</v>
          </cell>
          <cell r="E2016">
            <v>10100060</v>
          </cell>
          <cell r="F2016" t="str">
            <v>0007</v>
          </cell>
          <cell r="G2016">
            <v>6</v>
          </cell>
          <cell r="H2016">
            <v>105</v>
          </cell>
          <cell r="I2016">
            <v>3927.3765300000005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P2016">
            <v>3927</v>
          </cell>
          <cell r="V2016" t="str">
            <v>Available</v>
          </cell>
        </row>
        <row r="2017">
          <cell r="A2017" t="str">
            <v>101100010001</v>
          </cell>
          <cell r="B2017" t="str">
            <v>Matihani</v>
          </cell>
          <cell r="C2017" t="str">
            <v>Matihani</v>
          </cell>
          <cell r="D2017" t="str">
            <v>Gomukh Mahendrapur</v>
          </cell>
          <cell r="E2017">
            <v>10110001</v>
          </cell>
          <cell r="F2017" t="str">
            <v>0001</v>
          </cell>
          <cell r="G2017">
            <v>13</v>
          </cell>
          <cell r="H2017">
            <v>39</v>
          </cell>
          <cell r="I2017">
            <v>1568.9956391999999</v>
          </cell>
          <cell r="J2017">
            <v>0</v>
          </cell>
          <cell r="K2017">
            <v>1568.9956391999999</v>
          </cell>
          <cell r="L2017">
            <v>0</v>
          </cell>
          <cell r="M2017">
            <v>0</v>
          </cell>
          <cell r="P2017">
            <v>0</v>
          </cell>
          <cell r="V2017" t="str">
            <v>Not Available</v>
          </cell>
        </row>
        <row r="2018">
          <cell r="A2018" t="str">
            <v>101100010002</v>
          </cell>
          <cell r="B2018" t="str">
            <v>Matihani</v>
          </cell>
          <cell r="C2018" t="str">
            <v>Matihani</v>
          </cell>
          <cell r="D2018" t="str">
            <v>Gomukh Mahendrapur</v>
          </cell>
          <cell r="E2018">
            <v>10110001</v>
          </cell>
          <cell r="F2018" t="str">
            <v>0002</v>
          </cell>
          <cell r="G2018">
            <v>9</v>
          </cell>
          <cell r="H2018">
            <v>365</v>
          </cell>
          <cell r="I2018">
            <v>14543.641530000001</v>
          </cell>
          <cell r="J2018">
            <v>0</v>
          </cell>
          <cell r="K2018">
            <v>0</v>
          </cell>
          <cell r="L2018">
            <v>2726</v>
          </cell>
          <cell r="M2018">
            <v>2600</v>
          </cell>
          <cell r="P2018">
            <v>9218</v>
          </cell>
          <cell r="V2018" t="str">
            <v>Available</v>
          </cell>
        </row>
        <row r="2019">
          <cell r="A2019" t="str">
            <v>101100010009</v>
          </cell>
          <cell r="B2019" t="str">
            <v>Matihani</v>
          </cell>
          <cell r="C2019" t="str">
            <v>Matihani</v>
          </cell>
          <cell r="D2019" t="str">
            <v>Gomukh Mahendrapur</v>
          </cell>
          <cell r="E2019">
            <v>10110001</v>
          </cell>
          <cell r="F2019" t="str">
            <v>0009</v>
          </cell>
          <cell r="G2019">
            <v>13</v>
          </cell>
          <cell r="H2019">
            <v>68.499999999999986</v>
          </cell>
          <cell r="I2019">
            <v>2540.8788570000006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P2019">
            <v>2541</v>
          </cell>
          <cell r="V2019" t="str">
            <v>Available</v>
          </cell>
        </row>
        <row r="2020">
          <cell r="A2020" t="str">
            <v>101100010010</v>
          </cell>
          <cell r="B2020" t="str">
            <v>Matihani</v>
          </cell>
          <cell r="C2020" t="str">
            <v>Matihani</v>
          </cell>
          <cell r="D2020" t="str">
            <v>Gomukh Mahendrapur</v>
          </cell>
          <cell r="E2020">
            <v>10110001</v>
          </cell>
          <cell r="F2020" t="str">
            <v>0010</v>
          </cell>
          <cell r="G2020">
            <v>13</v>
          </cell>
          <cell r="H2020">
            <v>684</v>
          </cell>
          <cell r="I2020">
            <v>28029.431229461999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P2020">
            <v>28029</v>
          </cell>
          <cell r="V2020" t="str">
            <v>Available</v>
          </cell>
        </row>
        <row r="2021">
          <cell r="A2021" t="str">
            <v>101100010015</v>
          </cell>
          <cell r="B2021" t="str">
            <v>Matihani</v>
          </cell>
          <cell r="C2021" t="str">
            <v>Matihani</v>
          </cell>
          <cell r="D2021" t="str">
            <v>Gomukh Mahendrapur</v>
          </cell>
          <cell r="E2021">
            <v>10110001</v>
          </cell>
          <cell r="F2021" t="str">
            <v>0015</v>
          </cell>
          <cell r="G2021">
            <v>7</v>
          </cell>
          <cell r="H2021">
            <v>36.9</v>
          </cell>
          <cell r="I2021">
            <v>1356.3018018000002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P2021">
            <v>1356</v>
          </cell>
          <cell r="V2021" t="str">
            <v>Available</v>
          </cell>
        </row>
        <row r="2022">
          <cell r="A2022" t="str">
            <v>101100010018</v>
          </cell>
          <cell r="B2022" t="str">
            <v>Matihani</v>
          </cell>
          <cell r="C2022" t="str">
            <v>Matihani</v>
          </cell>
          <cell r="D2022" t="str">
            <v>Gomukh Mahendrapur</v>
          </cell>
          <cell r="E2022">
            <v>10110001</v>
          </cell>
          <cell r="F2022" t="str">
            <v>0018</v>
          </cell>
          <cell r="G2022">
            <v>12</v>
          </cell>
          <cell r="H2022">
            <v>97.3</v>
          </cell>
          <cell r="I2022">
            <v>3648.325170600001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P2022">
            <v>3648</v>
          </cell>
          <cell r="V2022" t="str">
            <v>Available</v>
          </cell>
        </row>
        <row r="2023">
          <cell r="A2023" t="str">
            <v>101100010048</v>
          </cell>
          <cell r="B2023" t="str">
            <v>Matihani</v>
          </cell>
          <cell r="C2023" t="str">
            <v>Matihani</v>
          </cell>
          <cell r="D2023" t="str">
            <v>Gomukh Mahendrapur</v>
          </cell>
          <cell r="E2023">
            <v>10110001</v>
          </cell>
          <cell r="F2023" t="str">
            <v>0048</v>
          </cell>
          <cell r="G2023">
            <v>6</v>
          </cell>
          <cell r="H2023">
            <v>18.2</v>
          </cell>
          <cell r="I2023">
            <v>702.26042040000016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P2023">
            <v>702</v>
          </cell>
          <cell r="V2023" t="str">
            <v>Available</v>
          </cell>
        </row>
        <row r="2024">
          <cell r="A2024" t="str">
            <v>101100010068</v>
          </cell>
          <cell r="B2024" t="str">
            <v>Matihani</v>
          </cell>
          <cell r="C2024" t="str">
            <v>Matihani</v>
          </cell>
          <cell r="D2024" t="str">
            <v>Gomukh Mahendrapur</v>
          </cell>
          <cell r="E2024">
            <v>10110001</v>
          </cell>
          <cell r="F2024" t="str">
            <v>0068</v>
          </cell>
          <cell r="G2024">
            <v>7</v>
          </cell>
          <cell r="H2024">
            <v>15.200000000000003</v>
          </cell>
          <cell r="I2024">
            <v>564.60745440000005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P2024">
            <v>565</v>
          </cell>
          <cell r="V2024" t="str">
            <v>Available</v>
          </cell>
        </row>
        <row r="2025">
          <cell r="A2025" t="str">
            <v>101100010072</v>
          </cell>
          <cell r="B2025" t="str">
            <v>Matihani</v>
          </cell>
          <cell r="C2025" t="str">
            <v>Matihani</v>
          </cell>
          <cell r="D2025" t="str">
            <v>Gomukh Mahendrapur</v>
          </cell>
          <cell r="E2025">
            <v>10110001</v>
          </cell>
          <cell r="F2025" t="str">
            <v>0072</v>
          </cell>
          <cell r="G2025">
            <v>12</v>
          </cell>
          <cell r="H2025">
            <v>72.199999999999989</v>
          </cell>
          <cell r="I2025">
            <v>2670.718208400001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P2025">
            <v>2671</v>
          </cell>
          <cell r="V2025" t="str">
            <v>Available</v>
          </cell>
        </row>
        <row r="2026">
          <cell r="A2026" t="str">
            <v>101100010077</v>
          </cell>
          <cell r="B2026" t="str">
            <v>Matihani</v>
          </cell>
          <cell r="C2026" t="str">
            <v>Matihani</v>
          </cell>
          <cell r="D2026" t="str">
            <v>Gomukh Mahendrapur</v>
          </cell>
          <cell r="E2026">
            <v>10110001</v>
          </cell>
          <cell r="F2026" t="str">
            <v>0077</v>
          </cell>
          <cell r="G2026">
            <v>13</v>
          </cell>
          <cell r="H2026">
            <v>180.29999999999998</v>
          </cell>
          <cell r="I2026">
            <v>7164.7926965999995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P2026">
            <v>7165</v>
          </cell>
          <cell r="V2026" t="str">
            <v>Available</v>
          </cell>
        </row>
        <row r="2027">
          <cell r="A2027" t="str">
            <v>101100010084</v>
          </cell>
          <cell r="B2027" t="str">
            <v>Matihani</v>
          </cell>
          <cell r="C2027" t="str">
            <v>Matihani</v>
          </cell>
          <cell r="D2027" t="str">
            <v>Gomukh Mahendrapur</v>
          </cell>
          <cell r="E2027">
            <v>10110001</v>
          </cell>
          <cell r="F2027" t="str">
            <v>0084</v>
          </cell>
          <cell r="G2027">
            <v>13</v>
          </cell>
          <cell r="H2027">
            <v>134.5</v>
          </cell>
          <cell r="I2027">
            <v>5042.2869090000004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P2027">
            <v>5042</v>
          </cell>
          <cell r="V2027" t="str">
            <v>Available</v>
          </cell>
        </row>
        <row r="2028">
          <cell r="A2028" t="str">
            <v>101100010086</v>
          </cell>
          <cell r="B2028" t="str">
            <v>Matihani</v>
          </cell>
          <cell r="C2028" t="str">
            <v>Matihani</v>
          </cell>
          <cell r="D2028" t="str">
            <v>Gomukh Mahendrapur</v>
          </cell>
          <cell r="E2028">
            <v>10110001</v>
          </cell>
          <cell r="F2028" t="str">
            <v>0086</v>
          </cell>
          <cell r="G2028">
            <v>13</v>
          </cell>
          <cell r="H2028">
            <v>133.5</v>
          </cell>
          <cell r="I2028">
            <v>6186.2309146878997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P2028">
            <v>6186</v>
          </cell>
          <cell r="V2028" t="str">
            <v>Available</v>
          </cell>
        </row>
        <row r="2029">
          <cell r="A2029" t="str">
            <v>101100010088</v>
          </cell>
          <cell r="B2029" t="str">
            <v>Matihani</v>
          </cell>
          <cell r="C2029" t="str">
            <v>Matihani</v>
          </cell>
          <cell r="D2029" t="str">
            <v>Gomukh Mahendrapur</v>
          </cell>
          <cell r="E2029">
            <v>10110001</v>
          </cell>
          <cell r="F2029" t="str">
            <v>0088</v>
          </cell>
          <cell r="G2029">
            <v>6</v>
          </cell>
          <cell r="H2029">
            <v>105.10000000000002</v>
          </cell>
          <cell r="I2029">
            <v>4016.8911222000002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P2029">
            <v>4017</v>
          </cell>
          <cell r="V2029" t="str">
            <v>Available</v>
          </cell>
        </row>
        <row r="2030">
          <cell r="A2030" t="str">
            <v>101100020002</v>
          </cell>
          <cell r="B2030" t="str">
            <v>Matihani</v>
          </cell>
          <cell r="C2030" t="str">
            <v>Matihani</v>
          </cell>
          <cell r="D2030" t="str">
            <v>Gomukh Balahpur</v>
          </cell>
          <cell r="E2030">
            <v>10110002</v>
          </cell>
          <cell r="F2030" t="str">
            <v>0002</v>
          </cell>
          <cell r="G2030">
            <v>12</v>
          </cell>
          <cell r="H2030">
            <v>291.59999999999997</v>
          </cell>
          <cell r="I2030">
            <v>10446.532921440001</v>
          </cell>
          <cell r="J2030">
            <v>0</v>
          </cell>
          <cell r="K2030">
            <v>0</v>
          </cell>
          <cell r="L2030">
            <v>517</v>
          </cell>
          <cell r="M2030">
            <v>0</v>
          </cell>
          <cell r="P2030">
            <v>9930</v>
          </cell>
          <cell r="V2030" t="str">
            <v>Available</v>
          </cell>
        </row>
        <row r="2031">
          <cell r="A2031" t="str">
            <v>101100020011</v>
          </cell>
          <cell r="B2031" t="str">
            <v>Matihani</v>
          </cell>
          <cell r="C2031" t="str">
            <v>Matihani</v>
          </cell>
          <cell r="D2031" t="str">
            <v>Gomukh Balahpur</v>
          </cell>
          <cell r="E2031">
            <v>10110002</v>
          </cell>
          <cell r="F2031" t="str">
            <v>0011</v>
          </cell>
          <cell r="G2031">
            <v>14</v>
          </cell>
          <cell r="H2031">
            <v>69.099999999999994</v>
          </cell>
          <cell r="I2031">
            <v>2645.2255301999999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P2031">
            <v>2645</v>
          </cell>
          <cell r="V2031" t="str">
            <v>Available</v>
          </cell>
        </row>
        <row r="2032">
          <cell r="A2032" t="str">
            <v>101100040001</v>
          </cell>
          <cell r="B2032" t="str">
            <v>Sahibpur Kamal</v>
          </cell>
          <cell r="C2032" t="str">
            <v>Sahibpur Kamal</v>
          </cell>
          <cell r="D2032" t="str">
            <v>Gomukh Danauli</v>
          </cell>
          <cell r="E2032">
            <v>10110004</v>
          </cell>
          <cell r="F2032" t="str">
            <v>0001</v>
          </cell>
          <cell r="G2032">
            <v>14</v>
          </cell>
          <cell r="H2032">
            <v>1.4000000000000001</v>
          </cell>
          <cell r="I2032">
            <v>52.101917999999998</v>
          </cell>
          <cell r="J2032">
            <v>0</v>
          </cell>
          <cell r="K2032">
            <v>52.101917999999998</v>
          </cell>
          <cell r="L2032">
            <v>0</v>
          </cell>
          <cell r="M2032">
            <v>0</v>
          </cell>
          <cell r="P2032">
            <v>0</v>
          </cell>
          <cell r="V2032" t="str">
            <v>Not Available</v>
          </cell>
        </row>
        <row r="2033">
          <cell r="A2033" t="str">
            <v>101100040002</v>
          </cell>
          <cell r="B2033" t="str">
            <v>Sahibpur Kamal</v>
          </cell>
          <cell r="C2033" t="str">
            <v>Sahibpur Kamal</v>
          </cell>
          <cell r="D2033" t="str">
            <v>Gomukh Danauli</v>
          </cell>
          <cell r="E2033">
            <v>10110004</v>
          </cell>
          <cell r="F2033" t="str">
            <v>0002</v>
          </cell>
          <cell r="G2033">
            <v>14</v>
          </cell>
          <cell r="H2033">
            <v>280.29999999999995</v>
          </cell>
          <cell r="I2033">
            <v>10405.87698744</v>
          </cell>
          <cell r="J2033">
            <v>0</v>
          </cell>
          <cell r="K2033">
            <v>0</v>
          </cell>
          <cell r="L2033">
            <v>24</v>
          </cell>
          <cell r="M2033">
            <v>0</v>
          </cell>
          <cell r="P2033">
            <v>10382</v>
          </cell>
          <cell r="V2033" t="str">
            <v>Available</v>
          </cell>
        </row>
        <row r="2034">
          <cell r="A2034" t="str">
            <v>101100040004</v>
          </cell>
          <cell r="B2034" t="str">
            <v>Sahibpur Kamal</v>
          </cell>
          <cell r="C2034" t="str">
            <v>Sahibpur Kamal</v>
          </cell>
          <cell r="D2034" t="str">
            <v>Gomukh Danauli</v>
          </cell>
          <cell r="E2034">
            <v>10110004</v>
          </cell>
          <cell r="F2034" t="str">
            <v>0004</v>
          </cell>
          <cell r="G2034">
            <v>14</v>
          </cell>
          <cell r="H2034">
            <v>265</v>
          </cell>
          <cell r="I2034">
            <v>9841.8114828000016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P2034">
            <v>9842</v>
          </cell>
          <cell r="V2034" t="str">
            <v>Available</v>
          </cell>
        </row>
        <row r="2035">
          <cell r="A2035" t="str">
            <v>101100050001</v>
          </cell>
          <cell r="B2035" t="str">
            <v>Matihani</v>
          </cell>
          <cell r="C2035" t="str">
            <v>Matihani</v>
          </cell>
          <cell r="D2035" t="str">
            <v>NAYAGAW</v>
          </cell>
          <cell r="E2035">
            <v>10110005</v>
          </cell>
          <cell r="F2035" t="str">
            <v>0001</v>
          </cell>
          <cell r="G2035">
            <v>14</v>
          </cell>
          <cell r="H2035">
            <v>30.560000000000002</v>
          </cell>
          <cell r="I2035">
            <v>2219.6385274160398</v>
          </cell>
          <cell r="J2035">
            <v>0</v>
          </cell>
          <cell r="K2035">
            <v>2219.6385274160398</v>
          </cell>
          <cell r="L2035">
            <v>0</v>
          </cell>
          <cell r="M2035">
            <v>0</v>
          </cell>
          <cell r="P2035">
            <v>0</v>
          </cell>
          <cell r="V2035" t="str">
            <v>Not Available</v>
          </cell>
        </row>
        <row r="2036">
          <cell r="A2036" t="str">
            <v>101100050002</v>
          </cell>
          <cell r="B2036" t="str">
            <v>Matihani</v>
          </cell>
          <cell r="C2036" t="str">
            <v>Matihani</v>
          </cell>
          <cell r="D2036" t="str">
            <v>NAYAGAW</v>
          </cell>
          <cell r="E2036">
            <v>10110005</v>
          </cell>
          <cell r="F2036" t="str">
            <v>0002</v>
          </cell>
          <cell r="G2036">
            <v>14</v>
          </cell>
          <cell r="H2036">
            <v>395.05999999999995</v>
          </cell>
          <cell r="I2036">
            <v>15307.585229376</v>
          </cell>
          <cell r="J2036">
            <v>0</v>
          </cell>
          <cell r="K2036">
            <v>0</v>
          </cell>
          <cell r="L2036">
            <v>1436</v>
          </cell>
          <cell r="M2036">
            <v>0</v>
          </cell>
          <cell r="P2036">
            <v>13872</v>
          </cell>
          <cell r="V2036" t="str">
            <v>Available</v>
          </cell>
        </row>
        <row r="2037">
          <cell r="A2037" t="str">
            <v>101100050004</v>
          </cell>
          <cell r="B2037" t="str">
            <v>Matihani</v>
          </cell>
          <cell r="C2037" t="str">
            <v>Matihani</v>
          </cell>
          <cell r="D2037" t="str">
            <v>NAYAGAW</v>
          </cell>
          <cell r="E2037">
            <v>10110005</v>
          </cell>
          <cell r="F2037" t="str">
            <v>0004</v>
          </cell>
          <cell r="G2037">
            <v>14</v>
          </cell>
          <cell r="H2037">
            <v>112.72999999999999</v>
          </cell>
          <cell r="I2037">
            <v>4336.9034305014002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P2037">
            <v>4337</v>
          </cell>
          <cell r="V2037" t="str">
            <v>Available</v>
          </cell>
        </row>
        <row r="2038">
          <cell r="A2038" t="str">
            <v>101100050005</v>
          </cell>
          <cell r="B2038" t="str">
            <v>Matihani</v>
          </cell>
          <cell r="C2038" t="str">
            <v>Matihani</v>
          </cell>
          <cell r="D2038" t="str">
            <v>NAYAGAW</v>
          </cell>
          <cell r="E2038">
            <v>10110005</v>
          </cell>
          <cell r="F2038" t="str">
            <v>0005</v>
          </cell>
          <cell r="G2038">
            <v>14</v>
          </cell>
          <cell r="H2038">
            <v>369.84</v>
          </cell>
          <cell r="I2038">
            <v>14335.977324636002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P2038">
            <v>14336</v>
          </cell>
          <cell r="V2038" t="str">
            <v>Available</v>
          </cell>
        </row>
        <row r="2039">
          <cell r="A2039" t="str">
            <v>101100050006</v>
          </cell>
          <cell r="B2039" t="str">
            <v>Matihani</v>
          </cell>
          <cell r="C2039" t="str">
            <v>Matihani</v>
          </cell>
          <cell r="D2039" t="str">
            <v>NAYAGAW</v>
          </cell>
          <cell r="E2039">
            <v>10110005</v>
          </cell>
          <cell r="F2039" t="str">
            <v>0006</v>
          </cell>
          <cell r="G2039">
            <v>13</v>
          </cell>
          <cell r="H2039">
            <v>33.330000000000005</v>
          </cell>
          <cell r="I2039">
            <v>1328.1151847040003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P2039">
            <v>1328</v>
          </cell>
          <cell r="V2039" t="str">
            <v>Available</v>
          </cell>
        </row>
        <row r="2040">
          <cell r="A2040" t="str">
            <v>101100050007</v>
          </cell>
          <cell r="B2040" t="str">
            <v>Matihani</v>
          </cell>
          <cell r="C2040" t="str">
            <v>Matihani</v>
          </cell>
          <cell r="D2040" t="str">
            <v>NAYAGAW</v>
          </cell>
          <cell r="E2040">
            <v>10110005</v>
          </cell>
          <cell r="F2040" t="str">
            <v>0007</v>
          </cell>
          <cell r="G2040">
            <v>14</v>
          </cell>
          <cell r="H2040">
            <v>91.149999999999991</v>
          </cell>
          <cell r="I2040">
            <v>3830.272697642401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P2040">
            <v>3830</v>
          </cell>
          <cell r="V2040" t="str">
            <v>Available</v>
          </cell>
        </row>
        <row r="2041">
          <cell r="A2041" t="str">
            <v>101100050008</v>
          </cell>
          <cell r="B2041" t="str">
            <v>Matihani</v>
          </cell>
          <cell r="C2041" t="str">
            <v>Matihani</v>
          </cell>
          <cell r="D2041" t="str">
            <v>NAYAGAW</v>
          </cell>
          <cell r="E2041">
            <v>10110005</v>
          </cell>
          <cell r="F2041" t="str">
            <v>0008</v>
          </cell>
          <cell r="G2041">
            <v>14</v>
          </cell>
          <cell r="H2041">
            <v>381.08</v>
          </cell>
          <cell r="I2041">
            <v>14827.873443768001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P2041">
            <v>14828</v>
          </cell>
          <cell r="V2041" t="str">
            <v>Available</v>
          </cell>
        </row>
        <row r="2042">
          <cell r="A2042" t="str">
            <v>101100050009</v>
          </cell>
          <cell r="B2042" t="str">
            <v>Matihani</v>
          </cell>
          <cell r="C2042" t="str">
            <v>Matihani</v>
          </cell>
          <cell r="D2042" t="str">
            <v>NAYAGAW</v>
          </cell>
          <cell r="E2042">
            <v>10110005</v>
          </cell>
          <cell r="F2042" t="str">
            <v>0009</v>
          </cell>
          <cell r="G2042">
            <v>14</v>
          </cell>
          <cell r="H2042">
            <v>144.57</v>
          </cell>
          <cell r="I2042">
            <v>6603.8853641487885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P2042">
            <v>6604</v>
          </cell>
          <cell r="V2042" t="str">
            <v>Available</v>
          </cell>
        </row>
        <row r="2043">
          <cell r="A2043" t="str">
            <v>101100050012</v>
          </cell>
          <cell r="B2043" t="str">
            <v>Matihani</v>
          </cell>
          <cell r="C2043" t="str">
            <v>Matihani</v>
          </cell>
          <cell r="D2043" t="str">
            <v>NAYAGAW</v>
          </cell>
          <cell r="E2043">
            <v>10110005</v>
          </cell>
          <cell r="F2043" t="str">
            <v>0012</v>
          </cell>
          <cell r="G2043">
            <v>13</v>
          </cell>
          <cell r="H2043">
            <v>40.430000000000007</v>
          </cell>
          <cell r="I2043">
            <v>1614.1026374352002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P2043">
            <v>1614</v>
          </cell>
          <cell r="V2043" t="str">
            <v>Available</v>
          </cell>
        </row>
        <row r="2044">
          <cell r="A2044" t="str">
            <v>101100050014</v>
          </cell>
          <cell r="B2044" t="str">
            <v>Matihani</v>
          </cell>
          <cell r="C2044" t="str">
            <v>Matihani</v>
          </cell>
          <cell r="D2044" t="str">
            <v>NAYAGAW</v>
          </cell>
          <cell r="E2044">
            <v>10110005</v>
          </cell>
          <cell r="F2044" t="str">
            <v>0014</v>
          </cell>
          <cell r="G2044">
            <v>14</v>
          </cell>
          <cell r="H2044">
            <v>296.2700000000001</v>
          </cell>
          <cell r="I2044">
            <v>11013.548684688003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P2044">
            <v>11014</v>
          </cell>
          <cell r="V2044" t="str">
            <v>Available</v>
          </cell>
        </row>
        <row r="2045">
          <cell r="A2045" t="str">
            <v>101100050015</v>
          </cell>
          <cell r="B2045" t="str">
            <v>Matihani</v>
          </cell>
          <cell r="C2045" t="str">
            <v>Matihani</v>
          </cell>
          <cell r="D2045" t="str">
            <v>NAYAGAW</v>
          </cell>
          <cell r="E2045">
            <v>10110005</v>
          </cell>
          <cell r="F2045" t="str">
            <v>0015</v>
          </cell>
          <cell r="G2045">
            <v>14</v>
          </cell>
          <cell r="H2045">
            <v>120.37</v>
          </cell>
          <cell r="I2045">
            <v>6866.4201365563204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P2045">
            <v>6866</v>
          </cell>
          <cell r="V2045" t="str">
            <v>Available</v>
          </cell>
        </row>
        <row r="2046">
          <cell r="A2046" t="str">
            <v>101100050016</v>
          </cell>
          <cell r="B2046" t="str">
            <v>Matihani</v>
          </cell>
          <cell r="C2046" t="str">
            <v>Matihani</v>
          </cell>
          <cell r="D2046" t="str">
            <v>NAYAGAW</v>
          </cell>
          <cell r="E2046">
            <v>10110005</v>
          </cell>
          <cell r="F2046" t="str">
            <v>0016</v>
          </cell>
          <cell r="G2046">
            <v>13</v>
          </cell>
          <cell r="H2046">
            <v>99.76</v>
          </cell>
          <cell r="I2046">
            <v>3744.8883018360002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P2046">
            <v>3745</v>
          </cell>
          <cell r="V2046" t="str">
            <v>Available</v>
          </cell>
        </row>
        <row r="2047">
          <cell r="A2047" t="str">
            <v>101100050017</v>
          </cell>
          <cell r="B2047" t="str">
            <v>Matihani</v>
          </cell>
          <cell r="C2047" t="str">
            <v>Matihani</v>
          </cell>
          <cell r="D2047" t="str">
            <v>NAYAGAW</v>
          </cell>
          <cell r="E2047">
            <v>10110005</v>
          </cell>
          <cell r="F2047" t="str">
            <v>0017</v>
          </cell>
          <cell r="G2047">
            <v>13</v>
          </cell>
          <cell r="H2047">
            <v>73.09</v>
          </cell>
          <cell r="I2047">
            <v>2791.4654207880003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P2047">
            <v>2791</v>
          </cell>
          <cell r="V2047" t="str">
            <v>Available</v>
          </cell>
        </row>
        <row r="2048">
          <cell r="A2048" t="str">
            <v>101100050021</v>
          </cell>
          <cell r="B2048" t="str">
            <v>Matihani</v>
          </cell>
          <cell r="C2048" t="str">
            <v>Matihani</v>
          </cell>
          <cell r="D2048" t="str">
            <v>NAYAGAW</v>
          </cell>
          <cell r="E2048">
            <v>10110005</v>
          </cell>
          <cell r="F2048" t="str">
            <v>0021</v>
          </cell>
          <cell r="G2048">
            <v>14</v>
          </cell>
          <cell r="H2048">
            <v>235.80999999999997</v>
          </cell>
          <cell r="I2048">
            <v>10981.401242703889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P2048">
            <v>10981</v>
          </cell>
          <cell r="V2048" t="str">
            <v>Available</v>
          </cell>
        </row>
        <row r="2049">
          <cell r="A2049" t="str">
            <v>101100050023</v>
          </cell>
          <cell r="B2049" t="str">
            <v>Matihani</v>
          </cell>
          <cell r="C2049" t="str">
            <v>Matihani</v>
          </cell>
          <cell r="D2049" t="str">
            <v>NAYAGAW</v>
          </cell>
          <cell r="E2049">
            <v>10110005</v>
          </cell>
          <cell r="F2049" t="str">
            <v>0023</v>
          </cell>
          <cell r="G2049">
            <v>12</v>
          </cell>
          <cell r="H2049">
            <v>20.73</v>
          </cell>
          <cell r="I2049">
            <v>1610.2113549309599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P2049">
            <v>1610</v>
          </cell>
          <cell r="V2049" t="str">
            <v>Available</v>
          </cell>
        </row>
        <row r="2050">
          <cell r="A2050" t="str">
            <v>101100050024</v>
          </cell>
          <cell r="B2050" t="str">
            <v>Matihani</v>
          </cell>
          <cell r="C2050" t="str">
            <v>Matihani</v>
          </cell>
          <cell r="D2050" t="str">
            <v>NAYAGAW</v>
          </cell>
          <cell r="E2050">
            <v>10110005</v>
          </cell>
          <cell r="F2050" t="str">
            <v>0024</v>
          </cell>
          <cell r="G2050">
            <v>13</v>
          </cell>
          <cell r="H2050">
            <v>92.18</v>
          </cell>
          <cell r="I2050">
            <v>6286.6082001103005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P2050">
            <v>6287</v>
          </cell>
          <cell r="V2050" t="str">
            <v>Available</v>
          </cell>
        </row>
        <row r="2051">
          <cell r="A2051" t="str">
            <v>101100050025</v>
          </cell>
          <cell r="B2051" t="str">
            <v>Matihani</v>
          </cell>
          <cell r="C2051" t="str">
            <v>Matihani</v>
          </cell>
          <cell r="D2051" t="str">
            <v>NAYAGAW</v>
          </cell>
          <cell r="E2051">
            <v>10110005</v>
          </cell>
          <cell r="F2051" t="str">
            <v>0025</v>
          </cell>
          <cell r="G2051">
            <v>11</v>
          </cell>
          <cell r="H2051">
            <v>63.57</v>
          </cell>
          <cell r="I2051">
            <v>2572.6457627640002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P2051">
            <v>2573</v>
          </cell>
          <cell r="V2051" t="str">
            <v>Available</v>
          </cell>
        </row>
        <row r="2052">
          <cell r="A2052" t="str">
            <v>101100050026</v>
          </cell>
          <cell r="B2052" t="str">
            <v>Matihani</v>
          </cell>
          <cell r="C2052" t="str">
            <v>Matihani</v>
          </cell>
          <cell r="D2052" t="str">
            <v>NAYAGAW</v>
          </cell>
          <cell r="E2052">
            <v>10110005</v>
          </cell>
          <cell r="F2052" t="str">
            <v>0026</v>
          </cell>
          <cell r="G2052">
            <v>14</v>
          </cell>
          <cell r="H2052">
            <v>206.66</v>
          </cell>
          <cell r="I2052">
            <v>7929.0480067920007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P2052">
            <v>7929</v>
          </cell>
          <cell r="V2052" t="str">
            <v>Available</v>
          </cell>
        </row>
        <row r="2053">
          <cell r="A2053" t="str">
            <v>101100050029</v>
          </cell>
          <cell r="B2053" t="str">
            <v>Matihani</v>
          </cell>
          <cell r="C2053" t="str">
            <v>Matihani</v>
          </cell>
          <cell r="D2053" t="str">
            <v>NAYAGAW</v>
          </cell>
          <cell r="E2053">
            <v>10110005</v>
          </cell>
          <cell r="F2053" t="str">
            <v>0029</v>
          </cell>
          <cell r="G2053">
            <v>12</v>
          </cell>
          <cell r="H2053">
            <v>250.55999999999997</v>
          </cell>
          <cell r="I2053">
            <v>9632.7111153240003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P2053">
            <v>9633</v>
          </cell>
          <cell r="V2053" t="str">
            <v>Available</v>
          </cell>
        </row>
        <row r="2054">
          <cell r="A2054" t="str">
            <v>101100050030</v>
          </cell>
          <cell r="B2054" t="str">
            <v>Matihani</v>
          </cell>
          <cell r="C2054" t="str">
            <v>Matihani</v>
          </cell>
          <cell r="D2054" t="str">
            <v>NAYAGAW</v>
          </cell>
          <cell r="E2054">
            <v>10110005</v>
          </cell>
          <cell r="F2054" t="str">
            <v>0030</v>
          </cell>
          <cell r="G2054">
            <v>7</v>
          </cell>
          <cell r="H2054">
            <v>51.399999999999991</v>
          </cell>
          <cell r="I2054">
            <v>1932.5915978688001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P2054">
            <v>1933</v>
          </cell>
          <cell r="V2054" t="str">
            <v>Available</v>
          </cell>
        </row>
        <row r="2055">
          <cell r="A2055" t="str">
            <v>101100050032</v>
          </cell>
          <cell r="B2055" t="str">
            <v>Matihani</v>
          </cell>
          <cell r="C2055" t="str">
            <v>Matihani</v>
          </cell>
          <cell r="D2055" t="str">
            <v>NAYAGAW</v>
          </cell>
          <cell r="E2055">
            <v>10110005</v>
          </cell>
          <cell r="F2055" t="str">
            <v>0032</v>
          </cell>
          <cell r="G2055">
            <v>14</v>
          </cell>
          <cell r="H2055">
            <v>120.23999999999998</v>
          </cell>
          <cell r="I2055">
            <v>4794.9423734520005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P2055">
            <v>4795</v>
          </cell>
          <cell r="V2055" t="str">
            <v>Available</v>
          </cell>
        </row>
        <row r="2056">
          <cell r="A2056" t="str">
            <v>101100050035</v>
          </cell>
          <cell r="B2056" t="str">
            <v>Matihani</v>
          </cell>
          <cell r="C2056" t="str">
            <v>Matihani</v>
          </cell>
          <cell r="D2056" t="str">
            <v>NAYAGAW</v>
          </cell>
          <cell r="E2056">
            <v>10110005</v>
          </cell>
          <cell r="F2056" t="str">
            <v>0035</v>
          </cell>
          <cell r="G2056">
            <v>13</v>
          </cell>
          <cell r="H2056">
            <v>51.04</v>
          </cell>
          <cell r="I2056">
            <v>1946.8315468800004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P2056">
            <v>1947</v>
          </cell>
          <cell r="V2056" t="str">
            <v>Available</v>
          </cell>
        </row>
        <row r="2057">
          <cell r="A2057" t="str">
            <v>101100050036</v>
          </cell>
          <cell r="B2057" t="str">
            <v>Matihani</v>
          </cell>
          <cell r="C2057" t="str">
            <v>Matihani</v>
          </cell>
          <cell r="D2057" t="str">
            <v>NAYAGAW</v>
          </cell>
          <cell r="E2057">
            <v>10110005</v>
          </cell>
          <cell r="F2057" t="str">
            <v>0036</v>
          </cell>
          <cell r="G2057">
            <v>14</v>
          </cell>
          <cell r="H2057">
            <v>205.25000000000003</v>
          </cell>
          <cell r="I2057">
            <v>8408.9438690400002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P2057">
            <v>8409</v>
          </cell>
          <cell r="V2057" t="str">
            <v>Available</v>
          </cell>
        </row>
        <row r="2058">
          <cell r="A2058" t="str">
            <v>101100050039</v>
          </cell>
          <cell r="B2058" t="str">
            <v>Matihani</v>
          </cell>
          <cell r="C2058" t="str">
            <v>Matihani</v>
          </cell>
          <cell r="D2058" t="str">
            <v>NAYAGAW</v>
          </cell>
          <cell r="E2058">
            <v>10110005</v>
          </cell>
          <cell r="F2058" t="str">
            <v>0039</v>
          </cell>
          <cell r="G2058">
            <v>14</v>
          </cell>
          <cell r="H2058">
            <v>61.7</v>
          </cell>
          <cell r="I2058">
            <v>2424.8956461840003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P2058">
            <v>2425</v>
          </cell>
          <cell r="V2058" t="str">
            <v>Available</v>
          </cell>
        </row>
        <row r="2059">
          <cell r="A2059" t="str">
            <v>101100050040</v>
          </cell>
          <cell r="B2059" t="str">
            <v>Matihani</v>
          </cell>
          <cell r="C2059" t="str">
            <v>Matihani</v>
          </cell>
          <cell r="D2059" t="str">
            <v>NAYAGAW</v>
          </cell>
          <cell r="E2059">
            <v>10110005</v>
          </cell>
          <cell r="F2059" t="str">
            <v>0040</v>
          </cell>
          <cell r="G2059">
            <v>5</v>
          </cell>
          <cell r="H2059">
            <v>28.869999999999997</v>
          </cell>
          <cell r="I2059">
            <v>1066.6829792520002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P2059">
            <v>1067</v>
          </cell>
          <cell r="V2059" t="str">
            <v>Available</v>
          </cell>
        </row>
        <row r="2060">
          <cell r="A2060" t="str">
            <v>101100050041</v>
          </cell>
          <cell r="B2060" t="str">
            <v>Matihani</v>
          </cell>
          <cell r="C2060" t="str">
            <v>Matihani</v>
          </cell>
          <cell r="D2060" t="str">
            <v>NAYAGAW</v>
          </cell>
          <cell r="E2060">
            <v>10110005</v>
          </cell>
          <cell r="F2060" t="str">
            <v>0041</v>
          </cell>
          <cell r="G2060">
            <v>11</v>
          </cell>
          <cell r="H2060">
            <v>31.129999999999995</v>
          </cell>
          <cell r="I2060">
            <v>1158.2377583040002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P2060">
            <v>1158</v>
          </cell>
          <cell r="V2060" t="str">
            <v>Available</v>
          </cell>
        </row>
        <row r="2061">
          <cell r="A2061" t="str">
            <v>101100050043</v>
          </cell>
          <cell r="B2061" t="str">
            <v>Matihani</v>
          </cell>
          <cell r="C2061" t="str">
            <v>Matihani</v>
          </cell>
          <cell r="D2061" t="str">
            <v>NAYAGAW</v>
          </cell>
          <cell r="E2061">
            <v>10110005</v>
          </cell>
          <cell r="F2061" t="str">
            <v>0043</v>
          </cell>
          <cell r="G2061">
            <v>14</v>
          </cell>
          <cell r="H2061">
            <v>85.35</v>
          </cell>
          <cell r="I2061">
            <v>3216.34880226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P2061">
            <v>3216</v>
          </cell>
          <cell r="V2061" t="str">
            <v>Available</v>
          </cell>
        </row>
        <row r="2062">
          <cell r="A2062" t="str">
            <v>101100050044</v>
          </cell>
          <cell r="B2062" t="str">
            <v>Matihani</v>
          </cell>
          <cell r="C2062" t="str">
            <v>Matihani</v>
          </cell>
          <cell r="D2062" t="str">
            <v>NAYAGAW</v>
          </cell>
          <cell r="E2062">
            <v>10110005</v>
          </cell>
          <cell r="F2062" t="str">
            <v>0044</v>
          </cell>
          <cell r="G2062">
            <v>14</v>
          </cell>
          <cell r="H2062">
            <v>173.50999999999996</v>
          </cell>
          <cell r="I2062">
            <v>6462.3203009640001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P2062">
            <v>6462</v>
          </cell>
          <cell r="V2062" t="str">
            <v>Available</v>
          </cell>
        </row>
        <row r="2063">
          <cell r="A2063" t="str">
            <v>101100050045</v>
          </cell>
          <cell r="B2063" t="str">
            <v>Matihani</v>
          </cell>
          <cell r="C2063" t="str">
            <v>Matihani</v>
          </cell>
          <cell r="D2063" t="str">
            <v>NAYAGAW</v>
          </cell>
          <cell r="E2063">
            <v>10110005</v>
          </cell>
          <cell r="F2063" t="str">
            <v>0045</v>
          </cell>
          <cell r="G2063">
            <v>14</v>
          </cell>
          <cell r="H2063">
            <v>115.25999999999999</v>
          </cell>
          <cell r="I2063">
            <v>4396.7900251440005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P2063">
            <v>4397</v>
          </cell>
          <cell r="V2063" t="str">
            <v>Available</v>
          </cell>
        </row>
        <row r="2064">
          <cell r="A2064" t="str">
            <v>101100050046</v>
          </cell>
          <cell r="B2064" t="str">
            <v>Matihani</v>
          </cell>
          <cell r="C2064" t="str">
            <v>Matihani</v>
          </cell>
          <cell r="D2064" t="str">
            <v>NAYAGAW</v>
          </cell>
          <cell r="E2064">
            <v>10110005</v>
          </cell>
          <cell r="F2064" t="str">
            <v>0046</v>
          </cell>
          <cell r="G2064">
            <v>14</v>
          </cell>
          <cell r="H2064">
            <v>86.499999999999986</v>
          </cell>
          <cell r="I2064">
            <v>3797.0307829080007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P2064">
            <v>3797</v>
          </cell>
          <cell r="V2064" t="str">
            <v>Available</v>
          </cell>
        </row>
        <row r="2065">
          <cell r="A2065" t="str">
            <v>101100050049</v>
          </cell>
          <cell r="B2065" t="str">
            <v>Matihani</v>
          </cell>
          <cell r="C2065" t="str">
            <v>Matihani</v>
          </cell>
          <cell r="D2065" t="str">
            <v>NAYAGAW</v>
          </cell>
          <cell r="E2065">
            <v>10110005</v>
          </cell>
          <cell r="F2065" t="str">
            <v>0049</v>
          </cell>
          <cell r="G2065">
            <v>6</v>
          </cell>
          <cell r="H2065">
            <v>17.64</v>
          </cell>
          <cell r="I2065">
            <v>677.70474092640006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P2065">
            <v>678</v>
          </cell>
          <cell r="V2065" t="str">
            <v>Available</v>
          </cell>
        </row>
        <row r="2066">
          <cell r="A2066" t="str">
            <v>101100050055</v>
          </cell>
          <cell r="B2066" t="str">
            <v>Matihani</v>
          </cell>
          <cell r="C2066" t="str">
            <v>Matihani</v>
          </cell>
          <cell r="D2066" t="str">
            <v>NAYAGAW</v>
          </cell>
          <cell r="E2066">
            <v>10110005</v>
          </cell>
          <cell r="F2066" t="str">
            <v>0055</v>
          </cell>
          <cell r="G2066">
            <v>13</v>
          </cell>
          <cell r="H2066">
            <v>48.010000000000005</v>
          </cell>
          <cell r="I2066">
            <v>1802.870944776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P2066">
            <v>1803</v>
          </cell>
          <cell r="V2066" t="str">
            <v>Available</v>
          </cell>
        </row>
        <row r="2067">
          <cell r="A2067" t="str">
            <v>101100050059</v>
          </cell>
          <cell r="B2067" t="str">
            <v>Matihani</v>
          </cell>
          <cell r="C2067" t="str">
            <v>Matihani</v>
          </cell>
          <cell r="D2067" t="str">
            <v>NAYAGAW</v>
          </cell>
          <cell r="E2067">
            <v>10110005</v>
          </cell>
          <cell r="F2067" t="str">
            <v>0059</v>
          </cell>
          <cell r="G2067">
            <v>14</v>
          </cell>
          <cell r="H2067">
            <v>94.56</v>
          </cell>
          <cell r="I2067">
            <v>3521.5841675520014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P2067">
            <v>3522</v>
          </cell>
          <cell r="V2067" t="str">
            <v>Available</v>
          </cell>
        </row>
        <row r="2068">
          <cell r="A2068" t="str">
            <v>101100050060</v>
          </cell>
          <cell r="B2068" t="str">
            <v>Matihani</v>
          </cell>
          <cell r="C2068" t="str">
            <v>Matihani</v>
          </cell>
          <cell r="D2068" t="str">
            <v>NAYAGAW</v>
          </cell>
          <cell r="E2068">
            <v>10110005</v>
          </cell>
          <cell r="F2068" t="str">
            <v>0060</v>
          </cell>
          <cell r="G2068">
            <v>6</v>
          </cell>
          <cell r="H2068">
            <v>19.25</v>
          </cell>
          <cell r="I2068">
            <v>1501.6529959443196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P2068">
            <v>1502</v>
          </cell>
          <cell r="V2068" t="str">
            <v>Available</v>
          </cell>
        </row>
        <row r="2069">
          <cell r="A2069" t="str">
            <v>101100050061</v>
          </cell>
          <cell r="B2069" t="str">
            <v>Matihani</v>
          </cell>
          <cell r="C2069" t="str">
            <v>Matihani</v>
          </cell>
          <cell r="D2069" t="str">
            <v>NAYAGAW</v>
          </cell>
          <cell r="E2069">
            <v>10110005</v>
          </cell>
          <cell r="F2069" t="str">
            <v>0061</v>
          </cell>
          <cell r="G2069">
            <v>13</v>
          </cell>
          <cell r="H2069">
            <v>47.940000000000005</v>
          </cell>
          <cell r="I2069">
            <v>1876.181457744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P2069">
            <v>1876</v>
          </cell>
          <cell r="V2069" t="str">
            <v>Available</v>
          </cell>
        </row>
        <row r="2070">
          <cell r="A2070" t="str">
            <v>101100050063</v>
          </cell>
          <cell r="B2070" t="str">
            <v>Matihani</v>
          </cell>
          <cell r="C2070" t="str">
            <v>Matihani</v>
          </cell>
          <cell r="D2070" t="str">
            <v>NAYAGAW</v>
          </cell>
          <cell r="E2070">
            <v>10110005</v>
          </cell>
          <cell r="F2070" t="str">
            <v>0063</v>
          </cell>
          <cell r="G2070">
            <v>11</v>
          </cell>
          <cell r="H2070">
            <v>38.31</v>
          </cell>
          <cell r="I2070">
            <v>1443.7097405280001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P2070">
            <v>1444</v>
          </cell>
          <cell r="V2070" t="str">
            <v>Available</v>
          </cell>
        </row>
        <row r="2071">
          <cell r="A2071" t="str">
            <v>101100070001</v>
          </cell>
          <cell r="B2071" t="str">
            <v>Sahibpur Kamal</v>
          </cell>
          <cell r="C2071" t="str">
            <v>Sahibpur Kamal</v>
          </cell>
          <cell r="D2071" t="str">
            <v>Dandari</v>
          </cell>
          <cell r="E2071">
            <v>10110007</v>
          </cell>
          <cell r="F2071" t="str">
            <v>0001</v>
          </cell>
          <cell r="G2071">
            <v>12</v>
          </cell>
          <cell r="H2071">
            <v>2.4</v>
          </cell>
          <cell r="I2071">
            <v>88.223370444000011</v>
          </cell>
          <cell r="J2071">
            <v>0</v>
          </cell>
          <cell r="K2071">
            <v>88.223370444000011</v>
          </cell>
          <cell r="L2071">
            <v>0</v>
          </cell>
          <cell r="M2071">
            <v>0</v>
          </cell>
          <cell r="P2071">
            <v>0</v>
          </cell>
          <cell r="V2071" t="str">
            <v>Not Available</v>
          </cell>
        </row>
        <row r="2072">
          <cell r="A2072" t="str">
            <v>101100070002</v>
          </cell>
          <cell r="B2072" t="str">
            <v>Sahibpur Kamal</v>
          </cell>
          <cell r="C2072" t="str">
            <v>Sahibpur Kamal</v>
          </cell>
          <cell r="D2072" t="str">
            <v>Dandari</v>
          </cell>
          <cell r="E2072">
            <v>10110007</v>
          </cell>
          <cell r="F2072" t="str">
            <v>0002</v>
          </cell>
          <cell r="G2072">
            <v>12</v>
          </cell>
          <cell r="H2072">
            <v>254.7</v>
          </cell>
          <cell r="I2072">
            <v>9340.8156933299997</v>
          </cell>
          <cell r="J2072">
            <v>0</v>
          </cell>
          <cell r="K2072">
            <v>0</v>
          </cell>
          <cell r="L2072">
            <v>1</v>
          </cell>
          <cell r="M2072">
            <v>0</v>
          </cell>
          <cell r="P2072">
            <v>9340</v>
          </cell>
          <cell r="V2072" t="str">
            <v>Available</v>
          </cell>
        </row>
        <row r="2073">
          <cell r="A2073" t="str">
            <v>101100070004</v>
          </cell>
          <cell r="B2073" t="str">
            <v>Sahibpur Kamal</v>
          </cell>
          <cell r="C2073" t="str">
            <v>Sahibpur Kamal</v>
          </cell>
          <cell r="D2073" t="str">
            <v>Dandari</v>
          </cell>
          <cell r="E2073">
            <v>10110007</v>
          </cell>
          <cell r="F2073" t="str">
            <v>0004</v>
          </cell>
          <cell r="G2073">
            <v>12</v>
          </cell>
          <cell r="H2073">
            <v>50.3</v>
          </cell>
          <cell r="I2073">
            <v>1821.0034840140004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P2073">
            <v>1821</v>
          </cell>
          <cell r="V2073" t="str">
            <v>Available</v>
          </cell>
        </row>
        <row r="2074">
          <cell r="A2074" t="str">
            <v>101100070010</v>
          </cell>
          <cell r="B2074" t="str">
            <v>Sahibpur Kamal</v>
          </cell>
          <cell r="C2074" t="str">
            <v>Sahibpur Kamal</v>
          </cell>
          <cell r="D2074" t="str">
            <v>Dandari</v>
          </cell>
          <cell r="E2074">
            <v>10110007</v>
          </cell>
          <cell r="F2074" t="str">
            <v>0010</v>
          </cell>
          <cell r="G2074">
            <v>12</v>
          </cell>
          <cell r="H2074">
            <v>240</v>
          </cell>
          <cell r="I2074">
            <v>8821.1483910000024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P2074">
            <v>8821</v>
          </cell>
          <cell r="V2074" t="str">
            <v>Available</v>
          </cell>
        </row>
        <row r="2075">
          <cell r="A2075" t="str">
            <v>101100070011</v>
          </cell>
          <cell r="B2075" t="str">
            <v>Sahibpur Kamal</v>
          </cell>
          <cell r="C2075" t="str">
            <v>Sahibpur Kamal</v>
          </cell>
          <cell r="D2075" t="str">
            <v>Dandari</v>
          </cell>
          <cell r="E2075">
            <v>10110007</v>
          </cell>
          <cell r="F2075" t="str">
            <v>0011</v>
          </cell>
          <cell r="G2075">
            <v>12</v>
          </cell>
          <cell r="H2075">
            <v>240</v>
          </cell>
          <cell r="I2075">
            <v>8821.1483910000006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P2075">
            <v>8821</v>
          </cell>
          <cell r="V2075" t="str">
            <v>Available</v>
          </cell>
        </row>
        <row r="2076">
          <cell r="A2076" t="str">
            <v>101100070027</v>
          </cell>
          <cell r="B2076" t="str">
            <v>Sahibpur Kamal</v>
          </cell>
          <cell r="C2076" t="str">
            <v>Sahibpur Kamal</v>
          </cell>
          <cell r="D2076" t="str">
            <v>Dandari</v>
          </cell>
          <cell r="E2076">
            <v>10110007</v>
          </cell>
          <cell r="F2076" t="str">
            <v>0027</v>
          </cell>
          <cell r="G2076">
            <v>12</v>
          </cell>
          <cell r="H2076">
            <v>170</v>
          </cell>
          <cell r="I2076">
            <v>6169.0618044000003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P2076">
            <v>6169</v>
          </cell>
          <cell r="V2076" t="str">
            <v>Available</v>
          </cell>
        </row>
        <row r="2077">
          <cell r="A2077" t="str">
            <v>101100130001</v>
          </cell>
          <cell r="B2077" t="str">
            <v>Sahibpur Kamal</v>
          </cell>
          <cell r="C2077" t="str">
            <v>Sahibpur Kamal</v>
          </cell>
          <cell r="D2077" t="str">
            <v xml:space="preserve">Gomukh Mohanpur                                                                                     </v>
          </cell>
          <cell r="E2077">
            <v>10110013</v>
          </cell>
          <cell r="F2077" t="str">
            <v>0001</v>
          </cell>
          <cell r="G2077">
            <v>5</v>
          </cell>
          <cell r="H2077">
            <v>1.5</v>
          </cell>
          <cell r="I2077">
            <v>55.758399839999996</v>
          </cell>
          <cell r="J2077">
            <v>0</v>
          </cell>
          <cell r="K2077">
            <v>55.758399839999996</v>
          </cell>
          <cell r="L2077">
            <v>0</v>
          </cell>
          <cell r="M2077">
            <v>0</v>
          </cell>
          <cell r="P2077">
            <v>0</v>
          </cell>
          <cell r="V2077" t="str">
            <v>Not Available</v>
          </cell>
        </row>
        <row r="2078">
          <cell r="A2078" t="str">
            <v>101100130002</v>
          </cell>
          <cell r="B2078" t="str">
            <v>Sahibpur Kamal</v>
          </cell>
          <cell r="C2078" t="str">
            <v>Sahibpur Kamal</v>
          </cell>
          <cell r="D2078" t="str">
            <v xml:space="preserve">Gomukh Mohanpur                                                                                     </v>
          </cell>
          <cell r="E2078">
            <v>10110013</v>
          </cell>
          <cell r="F2078" t="str">
            <v>0002</v>
          </cell>
          <cell r="G2078">
            <v>5</v>
          </cell>
          <cell r="H2078">
            <v>194</v>
          </cell>
          <cell r="I2078">
            <v>7183.6455240000005</v>
          </cell>
          <cell r="J2078">
            <v>0</v>
          </cell>
          <cell r="K2078">
            <v>0</v>
          </cell>
          <cell r="L2078">
            <v>775</v>
          </cell>
          <cell r="M2078">
            <v>0</v>
          </cell>
          <cell r="P2078">
            <v>6409</v>
          </cell>
          <cell r="V2078" t="str">
            <v>Available</v>
          </cell>
        </row>
        <row r="2079">
          <cell r="A2079" t="str">
            <v>101100130006</v>
          </cell>
          <cell r="B2079" t="str">
            <v>Sahibpur Kamal</v>
          </cell>
          <cell r="C2079" t="str">
            <v>Sahibpur Kamal</v>
          </cell>
          <cell r="D2079" t="str">
            <v xml:space="preserve">Gomukh Mohanpur                                                                                     </v>
          </cell>
          <cell r="E2079">
            <v>10110013</v>
          </cell>
          <cell r="F2079" t="str">
            <v>0006</v>
          </cell>
          <cell r="G2079">
            <v>5</v>
          </cell>
          <cell r="H2079">
            <v>167</v>
          </cell>
          <cell r="I2079">
            <v>6301.8575135999999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P2079">
            <v>6302</v>
          </cell>
          <cell r="V2079" t="str">
            <v>Available</v>
          </cell>
        </row>
        <row r="2080">
          <cell r="A2080" t="str">
            <v>101100130008</v>
          </cell>
          <cell r="B2080" t="str">
            <v>Sahibpur Kamal</v>
          </cell>
          <cell r="C2080" t="str">
            <v>Sahibpur Kamal</v>
          </cell>
          <cell r="D2080" t="str">
            <v xml:space="preserve">Gomukh Mohanpur                                                                                     </v>
          </cell>
          <cell r="E2080">
            <v>10110013</v>
          </cell>
          <cell r="F2080" t="str">
            <v>0008</v>
          </cell>
          <cell r="G2080">
            <v>5</v>
          </cell>
          <cell r="H2080">
            <v>220</v>
          </cell>
          <cell r="I2080">
            <v>8194.397587200001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P2080">
            <v>8194</v>
          </cell>
          <cell r="V2080" t="str">
            <v>Available</v>
          </cell>
        </row>
        <row r="2081">
          <cell r="A2081" t="str">
            <v>101100130010</v>
          </cell>
          <cell r="B2081" t="str">
            <v>Sahibpur Kamal</v>
          </cell>
          <cell r="C2081" t="str">
            <v>Sahibpur Kamal</v>
          </cell>
          <cell r="D2081" t="str">
            <v xml:space="preserve">Gomukh Mohanpur                                                                                     </v>
          </cell>
          <cell r="E2081">
            <v>10110013</v>
          </cell>
          <cell r="F2081" t="str">
            <v>0010</v>
          </cell>
          <cell r="G2081">
            <v>5</v>
          </cell>
          <cell r="H2081">
            <v>180</v>
          </cell>
          <cell r="I2081">
            <v>6710.1479675999999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P2081">
            <v>6710</v>
          </cell>
          <cell r="V2081" t="str">
            <v>Available</v>
          </cell>
        </row>
        <row r="2082">
          <cell r="A2082" t="str">
            <v>101100130014</v>
          </cell>
          <cell r="B2082" t="str">
            <v>Sahibpur Kamal</v>
          </cell>
          <cell r="C2082" t="str">
            <v>Sahibpur Kamal</v>
          </cell>
          <cell r="D2082" t="str">
            <v xml:space="preserve">Gomukh Mohanpur                                                                                     </v>
          </cell>
          <cell r="E2082">
            <v>10110013</v>
          </cell>
          <cell r="F2082" t="str">
            <v>0014</v>
          </cell>
          <cell r="G2082">
            <v>5</v>
          </cell>
          <cell r="H2082">
            <v>13</v>
          </cell>
          <cell r="I2082">
            <v>483.13385999999997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P2082">
            <v>483</v>
          </cell>
          <cell r="V2082" t="str">
            <v>Available</v>
          </cell>
        </row>
        <row r="2083">
          <cell r="A2083" t="str">
            <v>101100130015</v>
          </cell>
          <cell r="B2083" t="str">
            <v>Sahibpur Kamal</v>
          </cell>
          <cell r="C2083" t="str">
            <v>Sahibpur Kamal</v>
          </cell>
          <cell r="D2083" t="str">
            <v xml:space="preserve">Gomukh Mohanpur                                                                                     </v>
          </cell>
          <cell r="E2083">
            <v>10110013</v>
          </cell>
          <cell r="F2083" t="str">
            <v>0015</v>
          </cell>
          <cell r="G2083">
            <v>5</v>
          </cell>
          <cell r="H2083">
            <v>202</v>
          </cell>
          <cell r="I2083">
            <v>7539.9237143999999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P2083">
            <v>7540</v>
          </cell>
          <cell r="V2083" t="str">
            <v>Available</v>
          </cell>
        </row>
        <row r="2084">
          <cell r="A2084" t="str">
            <v>101100140001</v>
          </cell>
          <cell r="B2084" t="str">
            <v>Sahibpur Kamal</v>
          </cell>
          <cell r="C2084" t="str">
            <v>Sahibpur Kamal</v>
          </cell>
          <cell r="D2084" t="str">
            <v>Gomukh Raghunathpur</v>
          </cell>
          <cell r="E2084">
            <v>10110014</v>
          </cell>
          <cell r="F2084" t="str">
            <v>0001</v>
          </cell>
          <cell r="G2084">
            <v>14</v>
          </cell>
          <cell r="H2084">
            <v>17.8</v>
          </cell>
          <cell r="I2084">
            <v>769.70691121350012</v>
          </cell>
          <cell r="J2084">
            <v>0</v>
          </cell>
          <cell r="K2084">
            <v>769.70691121350012</v>
          </cell>
          <cell r="L2084">
            <v>0</v>
          </cell>
          <cell r="M2084">
            <v>0</v>
          </cell>
          <cell r="P2084">
            <v>0</v>
          </cell>
          <cell r="V2084" t="str">
            <v>Not Available</v>
          </cell>
        </row>
        <row r="2085">
          <cell r="A2085" t="str">
            <v>101100140002</v>
          </cell>
          <cell r="B2085" t="str">
            <v>Sahibpur Kamal</v>
          </cell>
          <cell r="C2085" t="str">
            <v>Sahibpur Kamal</v>
          </cell>
          <cell r="D2085" t="str">
            <v>Gomukh Raghunathpur</v>
          </cell>
          <cell r="E2085">
            <v>10110014</v>
          </cell>
          <cell r="F2085" t="str">
            <v>0002</v>
          </cell>
          <cell r="G2085">
            <v>12</v>
          </cell>
          <cell r="H2085">
            <v>44.9</v>
          </cell>
          <cell r="I2085">
            <v>3115.7002496733289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P2085">
            <v>3116</v>
          </cell>
          <cell r="V2085" t="str">
            <v>Available</v>
          </cell>
        </row>
        <row r="2086">
          <cell r="A2086" t="str">
            <v>101100140008</v>
          </cell>
          <cell r="B2086" t="str">
            <v>Sahibpur Kamal</v>
          </cell>
          <cell r="C2086" t="str">
            <v>Sahibpur Kamal</v>
          </cell>
          <cell r="D2086" t="str">
            <v>Gomukh Raghunathpur</v>
          </cell>
          <cell r="E2086">
            <v>10110014</v>
          </cell>
          <cell r="F2086" t="str">
            <v>0008</v>
          </cell>
          <cell r="G2086">
            <v>13</v>
          </cell>
          <cell r="H2086">
            <v>79.900000000000006</v>
          </cell>
          <cell r="I2086">
            <v>2782.8382168620001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P2086">
            <v>2783</v>
          </cell>
          <cell r="V2086" t="str">
            <v>Available</v>
          </cell>
        </row>
        <row r="2087">
          <cell r="A2087" t="str">
            <v>101100140012</v>
          </cell>
          <cell r="B2087" t="str">
            <v>Sahibpur Kamal</v>
          </cell>
          <cell r="C2087" t="str">
            <v>Sahibpur Kamal</v>
          </cell>
          <cell r="D2087" t="str">
            <v>Gomukh Raghunathpur</v>
          </cell>
          <cell r="E2087">
            <v>10110014</v>
          </cell>
          <cell r="F2087" t="str">
            <v>0012</v>
          </cell>
          <cell r="G2087">
            <v>13</v>
          </cell>
          <cell r="H2087">
            <v>59.099999999999994</v>
          </cell>
          <cell r="I2087">
            <v>2824.1810328052193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P2087">
            <v>2824</v>
          </cell>
          <cell r="V2087" t="str">
            <v>Available</v>
          </cell>
        </row>
        <row r="2088">
          <cell r="A2088" t="str">
            <v>101100140013</v>
          </cell>
          <cell r="B2088" t="str">
            <v>Sahibpur Kamal</v>
          </cell>
          <cell r="C2088" t="str">
            <v>Sahibpur Kamal</v>
          </cell>
          <cell r="D2088" t="str">
            <v>Gomukh Raghunathpur</v>
          </cell>
          <cell r="E2088">
            <v>10110014</v>
          </cell>
          <cell r="F2088" t="str">
            <v>0013</v>
          </cell>
          <cell r="G2088">
            <v>14</v>
          </cell>
          <cell r="H2088">
            <v>45.7</v>
          </cell>
          <cell r="I2088">
            <v>2123.0584556964004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P2088">
            <v>2123</v>
          </cell>
          <cell r="V2088" t="str">
            <v>Available</v>
          </cell>
        </row>
        <row r="2089">
          <cell r="A2089" t="str">
            <v>101100140020</v>
          </cell>
          <cell r="B2089" t="str">
            <v>Sahibpur Kamal</v>
          </cell>
          <cell r="C2089" t="str">
            <v>Sahibpur Kamal</v>
          </cell>
          <cell r="D2089" t="str">
            <v>Gomukh Raghunathpur</v>
          </cell>
          <cell r="E2089">
            <v>10110014</v>
          </cell>
          <cell r="F2089" t="str">
            <v>0020</v>
          </cell>
          <cell r="G2089">
            <v>5</v>
          </cell>
          <cell r="H2089">
            <v>6.6</v>
          </cell>
          <cell r="I2089">
            <v>246.37203360000001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P2089">
            <v>246</v>
          </cell>
          <cell r="V2089" t="str">
            <v>Available</v>
          </cell>
        </row>
        <row r="2090">
          <cell r="A2090" t="str">
            <v>101100140023</v>
          </cell>
          <cell r="B2090" t="str">
            <v>Sahibpur Kamal</v>
          </cell>
          <cell r="C2090" t="str">
            <v>Sahibpur Kamal</v>
          </cell>
          <cell r="D2090" t="str">
            <v>Gomukh Raghunathpur</v>
          </cell>
          <cell r="E2090">
            <v>10110014</v>
          </cell>
          <cell r="F2090" t="str">
            <v>0023</v>
          </cell>
          <cell r="G2090">
            <v>12</v>
          </cell>
          <cell r="H2090">
            <v>14.900000000000002</v>
          </cell>
          <cell r="I2090">
            <v>873.42553518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P2090">
            <v>873</v>
          </cell>
          <cell r="V2090" t="str">
            <v>Available</v>
          </cell>
        </row>
        <row r="2091">
          <cell r="A2091" t="str">
            <v>101100140024</v>
          </cell>
          <cell r="B2091" t="str">
            <v>Sahibpur Kamal</v>
          </cell>
          <cell r="C2091" t="str">
            <v>Sahibpur Kamal</v>
          </cell>
          <cell r="D2091" t="str">
            <v>Gomukh Raghunathpur</v>
          </cell>
          <cell r="E2091">
            <v>10110014</v>
          </cell>
          <cell r="F2091" t="str">
            <v>0024</v>
          </cell>
          <cell r="G2091">
            <v>14</v>
          </cell>
          <cell r="H2091">
            <v>24.5</v>
          </cell>
          <cell r="I2091">
            <v>950.71765536000021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P2091">
            <v>951</v>
          </cell>
          <cell r="V2091" t="str">
            <v>Available</v>
          </cell>
        </row>
        <row r="2092">
          <cell r="A2092" t="str">
            <v>101100140028</v>
          </cell>
          <cell r="B2092" t="str">
            <v>Sahibpur Kamal</v>
          </cell>
          <cell r="C2092" t="str">
            <v>Sahibpur Kamal</v>
          </cell>
          <cell r="D2092" t="str">
            <v>Gomukh Raghunathpur</v>
          </cell>
          <cell r="E2092">
            <v>10110014</v>
          </cell>
          <cell r="F2092" t="str">
            <v>0028</v>
          </cell>
          <cell r="G2092">
            <v>7</v>
          </cell>
          <cell r="H2092">
            <v>22.299999999999997</v>
          </cell>
          <cell r="I2092">
            <v>805.77410482799996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P2092">
            <v>806</v>
          </cell>
          <cell r="V2092" t="str">
            <v>Available</v>
          </cell>
        </row>
        <row r="2093">
          <cell r="A2093" t="str">
            <v>101100140030</v>
          </cell>
          <cell r="B2093" t="str">
            <v>Sahibpur Kamal</v>
          </cell>
          <cell r="C2093" t="str">
            <v>Sahibpur Kamal</v>
          </cell>
          <cell r="D2093" t="str">
            <v>Gomukh Raghunathpur</v>
          </cell>
          <cell r="E2093">
            <v>10110014</v>
          </cell>
          <cell r="F2093" t="str">
            <v>0030</v>
          </cell>
          <cell r="G2093">
            <v>14</v>
          </cell>
          <cell r="H2093">
            <v>94.8</v>
          </cell>
          <cell r="I2093">
            <v>3328.3676123280002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P2093">
            <v>3328</v>
          </cell>
          <cell r="V2093" t="str">
            <v>Available</v>
          </cell>
        </row>
        <row r="2094">
          <cell r="A2094" t="str">
            <v>101100140038</v>
          </cell>
          <cell r="B2094" t="str">
            <v>Sahibpur Kamal</v>
          </cell>
          <cell r="C2094" t="str">
            <v>Sahibpur Kamal</v>
          </cell>
          <cell r="D2094" t="str">
            <v>Gomukh Raghunathpur</v>
          </cell>
          <cell r="E2094">
            <v>10110014</v>
          </cell>
          <cell r="F2094" t="str">
            <v>0038</v>
          </cell>
          <cell r="G2094">
            <v>6</v>
          </cell>
          <cell r="H2094">
            <v>15</v>
          </cell>
          <cell r="I2094">
            <v>1044.305469851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P2094">
            <v>1044</v>
          </cell>
          <cell r="V2094" t="str">
            <v>Available</v>
          </cell>
        </row>
        <row r="2095">
          <cell r="A2095" t="str">
            <v>101100140039</v>
          </cell>
          <cell r="B2095" t="str">
            <v>Sahibpur Kamal</v>
          </cell>
          <cell r="C2095" t="str">
            <v>Sahibpur Kamal</v>
          </cell>
          <cell r="D2095" t="str">
            <v>Gomukh Raghunathpur</v>
          </cell>
          <cell r="E2095">
            <v>10110014</v>
          </cell>
          <cell r="F2095" t="str">
            <v>0039</v>
          </cell>
          <cell r="G2095">
            <v>14</v>
          </cell>
          <cell r="H2095">
            <v>62</v>
          </cell>
          <cell r="I2095">
            <v>2354.3045119439998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P2095">
            <v>2354</v>
          </cell>
          <cell r="V2095" t="str">
            <v>Available</v>
          </cell>
        </row>
        <row r="2096">
          <cell r="A2096" t="str">
            <v>101100140050</v>
          </cell>
          <cell r="B2096" t="str">
            <v>Sahibpur Kamal</v>
          </cell>
          <cell r="C2096" t="str">
            <v>Sahibpur Kamal</v>
          </cell>
          <cell r="D2096" t="str">
            <v>Gomukh Raghunathpur</v>
          </cell>
          <cell r="E2096">
            <v>10110014</v>
          </cell>
          <cell r="F2096" t="str">
            <v>0050</v>
          </cell>
          <cell r="G2096">
            <v>13</v>
          </cell>
          <cell r="H2096">
            <v>25.2</v>
          </cell>
          <cell r="I2096">
            <v>1208.2379230158003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P2096">
            <v>1208</v>
          </cell>
          <cell r="V2096" t="str">
            <v>Available</v>
          </cell>
        </row>
        <row r="2097">
          <cell r="A2097" t="str">
            <v>101100140053</v>
          </cell>
          <cell r="B2097" t="str">
            <v>Sahibpur Kamal</v>
          </cell>
          <cell r="C2097" t="str">
            <v>Sahibpur Kamal</v>
          </cell>
          <cell r="D2097" t="str">
            <v>Gomukh Raghunathpur</v>
          </cell>
          <cell r="E2097">
            <v>10110014</v>
          </cell>
          <cell r="F2097" t="str">
            <v>0053</v>
          </cell>
          <cell r="G2097">
            <v>1</v>
          </cell>
          <cell r="H2097">
            <v>4.0999999999999996</v>
          </cell>
          <cell r="I2097">
            <v>159.6583296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P2097">
            <v>160</v>
          </cell>
          <cell r="V2097" t="str">
            <v>Available</v>
          </cell>
        </row>
        <row r="2098">
          <cell r="A2098" t="str">
            <v>101100140055</v>
          </cell>
          <cell r="B2098" t="str">
            <v>Sahibpur Kamal</v>
          </cell>
          <cell r="C2098" t="str">
            <v>Sahibpur Kamal</v>
          </cell>
          <cell r="D2098" t="str">
            <v>Gomukh Raghunathpur</v>
          </cell>
          <cell r="E2098">
            <v>10110014</v>
          </cell>
          <cell r="F2098" t="str">
            <v>0055</v>
          </cell>
          <cell r="G2098">
            <v>14</v>
          </cell>
          <cell r="H2098">
            <v>52.1</v>
          </cell>
          <cell r="I2098">
            <v>2050.8603077292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P2098">
            <v>2051</v>
          </cell>
          <cell r="V2098" t="str">
            <v>Available</v>
          </cell>
        </row>
        <row r="2099">
          <cell r="A2099" t="str">
            <v>101100140070</v>
          </cell>
          <cell r="B2099" t="str">
            <v>Sahibpur Kamal</v>
          </cell>
          <cell r="C2099" t="str">
            <v>Sahibpur Kamal</v>
          </cell>
          <cell r="D2099" t="str">
            <v>Gomukh Raghunathpur</v>
          </cell>
          <cell r="E2099">
            <v>10110014</v>
          </cell>
          <cell r="F2099" t="str">
            <v>0070</v>
          </cell>
          <cell r="G2099">
            <v>12</v>
          </cell>
          <cell r="H2099">
            <v>43.699999999999996</v>
          </cell>
          <cell r="I2099">
            <v>1863.81085163529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P2099">
            <v>1864</v>
          </cell>
          <cell r="V2099" t="str">
            <v>Available</v>
          </cell>
        </row>
        <row r="2100">
          <cell r="A2100" t="str">
            <v>101100140071</v>
          </cell>
          <cell r="B2100" t="str">
            <v>Sahibpur Kamal</v>
          </cell>
          <cell r="C2100" t="str">
            <v>Sahibpur Kamal</v>
          </cell>
          <cell r="D2100" t="str">
            <v>Gomukh Raghunathpur</v>
          </cell>
          <cell r="E2100">
            <v>10110014</v>
          </cell>
          <cell r="F2100" t="str">
            <v>0071</v>
          </cell>
          <cell r="G2100">
            <v>10</v>
          </cell>
          <cell r="H2100">
            <v>19.700000000000003</v>
          </cell>
          <cell r="I2100">
            <v>1091.322175019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P2100">
            <v>1091</v>
          </cell>
          <cell r="V2100" t="str">
            <v>Available</v>
          </cell>
        </row>
        <row r="2101">
          <cell r="A2101" t="str">
            <v>101100140072</v>
          </cell>
          <cell r="B2101" t="str">
            <v>Sahibpur Kamal</v>
          </cell>
          <cell r="C2101" t="str">
            <v>Sahibpur Kamal</v>
          </cell>
          <cell r="D2101" t="str">
            <v>Gomukh Raghunathpur</v>
          </cell>
          <cell r="E2101">
            <v>10110014</v>
          </cell>
          <cell r="F2101" t="str">
            <v>0072</v>
          </cell>
          <cell r="G2101">
            <v>5</v>
          </cell>
          <cell r="H2101">
            <v>37.699999999999996</v>
          </cell>
          <cell r="I2101">
            <v>1648.0616684400002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P2101">
            <v>1648</v>
          </cell>
          <cell r="V2101" t="str">
            <v>Available</v>
          </cell>
        </row>
        <row r="2102">
          <cell r="A2102" t="str">
            <v>101100140077</v>
          </cell>
          <cell r="B2102" t="str">
            <v>Sahibpur Kamal</v>
          </cell>
          <cell r="C2102" t="str">
            <v>Sahibpur Kamal</v>
          </cell>
          <cell r="D2102" t="str">
            <v>Gomukh Raghunathpur</v>
          </cell>
          <cell r="E2102">
            <v>10110014</v>
          </cell>
          <cell r="F2102" t="str">
            <v>0077</v>
          </cell>
          <cell r="G2102">
            <v>8</v>
          </cell>
          <cell r="H2102">
            <v>17.200000000000003</v>
          </cell>
          <cell r="I2102">
            <v>645.22767573000021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P2102">
            <v>645</v>
          </cell>
          <cell r="V2102" t="str">
            <v>Available</v>
          </cell>
        </row>
        <row r="2103">
          <cell r="A2103" t="str">
            <v>101100140078</v>
          </cell>
          <cell r="B2103" t="str">
            <v>Sahibpur Kamal</v>
          </cell>
          <cell r="C2103" t="str">
            <v>Sahibpur Kamal</v>
          </cell>
          <cell r="D2103" t="str">
            <v>Gomukh Raghunathpur</v>
          </cell>
          <cell r="E2103">
            <v>10110014</v>
          </cell>
          <cell r="F2103" t="str">
            <v>0078</v>
          </cell>
          <cell r="G2103">
            <v>7</v>
          </cell>
          <cell r="H2103">
            <v>13.2</v>
          </cell>
          <cell r="I2103">
            <v>439.41181006800002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P2103">
            <v>439</v>
          </cell>
          <cell r="V2103" t="str">
            <v>Available</v>
          </cell>
        </row>
        <row r="2104">
          <cell r="A2104" t="str">
            <v>101100140079</v>
          </cell>
          <cell r="B2104" t="str">
            <v>Sahibpur Kamal</v>
          </cell>
          <cell r="C2104" t="str">
            <v>Sahibpur Kamal</v>
          </cell>
          <cell r="D2104" t="str">
            <v>Gomukh Raghunathpur</v>
          </cell>
          <cell r="E2104">
            <v>10110014</v>
          </cell>
          <cell r="F2104" t="str">
            <v>0079</v>
          </cell>
          <cell r="G2104">
            <v>7</v>
          </cell>
          <cell r="H2104">
            <v>12.200000000000001</v>
          </cell>
          <cell r="I2104">
            <v>437.12863187400006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P2104">
            <v>437</v>
          </cell>
          <cell r="V2104" t="str">
            <v>Available</v>
          </cell>
        </row>
        <row r="2105">
          <cell r="A2105" t="str">
            <v>101100140084</v>
          </cell>
          <cell r="B2105" t="str">
            <v>Sahibpur Kamal</v>
          </cell>
          <cell r="C2105" t="str">
            <v>Sahibpur Kamal</v>
          </cell>
          <cell r="D2105" t="str">
            <v>Gomukh Raghunathpur</v>
          </cell>
          <cell r="E2105">
            <v>10110014</v>
          </cell>
          <cell r="F2105" t="str">
            <v>0084</v>
          </cell>
          <cell r="G2105">
            <v>14</v>
          </cell>
          <cell r="H2105">
            <v>47.8</v>
          </cell>
          <cell r="I2105">
            <v>2207.2922909249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P2105">
            <v>2207</v>
          </cell>
          <cell r="V2105" t="str">
            <v>Available</v>
          </cell>
        </row>
        <row r="2106">
          <cell r="A2106" t="str">
            <v>101100140085</v>
          </cell>
          <cell r="B2106" t="str">
            <v>Sahibpur Kamal</v>
          </cell>
          <cell r="C2106" t="str">
            <v>Sahibpur Kamal</v>
          </cell>
          <cell r="D2106" t="str">
            <v>Gomukh Raghunathpur</v>
          </cell>
          <cell r="E2106">
            <v>10110014</v>
          </cell>
          <cell r="F2106" t="str">
            <v>0085</v>
          </cell>
          <cell r="G2106">
            <v>5</v>
          </cell>
          <cell r="H2106">
            <v>5.4</v>
          </cell>
          <cell r="I2106">
            <v>194.82574458599998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P2106">
            <v>195</v>
          </cell>
          <cell r="V2106" t="str">
            <v>Available</v>
          </cell>
        </row>
        <row r="2107">
          <cell r="A2107" t="str">
            <v>101100140089</v>
          </cell>
          <cell r="B2107" t="str">
            <v>Sahibpur Kamal</v>
          </cell>
          <cell r="C2107" t="str">
            <v>Sahibpur Kamal</v>
          </cell>
          <cell r="D2107" t="str">
            <v>Gomukh Raghunathpur</v>
          </cell>
          <cell r="E2107">
            <v>10110014</v>
          </cell>
          <cell r="F2107" t="str">
            <v>0089</v>
          </cell>
          <cell r="G2107">
            <v>5</v>
          </cell>
          <cell r="H2107">
            <v>8.1</v>
          </cell>
          <cell r="I2107">
            <v>383.11378188600008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P2107">
            <v>383</v>
          </cell>
          <cell r="V2107" t="str">
            <v>Available</v>
          </cell>
        </row>
        <row r="2108">
          <cell r="A2108" t="str">
            <v>101100140092</v>
          </cell>
          <cell r="B2108" t="str">
            <v>Sahibpur Kamal</v>
          </cell>
          <cell r="C2108" t="str">
            <v>Sahibpur Kamal</v>
          </cell>
          <cell r="D2108" t="str">
            <v>Gomukh Raghunathpur</v>
          </cell>
          <cell r="E2108">
            <v>10110014</v>
          </cell>
          <cell r="F2108" t="str">
            <v>0092</v>
          </cell>
          <cell r="G2108">
            <v>14</v>
          </cell>
          <cell r="H2108">
            <v>38.800000000000004</v>
          </cell>
          <cell r="I2108">
            <v>1432.9514622060001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P2108">
            <v>1433</v>
          </cell>
          <cell r="V2108" t="str">
            <v>Available</v>
          </cell>
        </row>
        <row r="2109">
          <cell r="A2109" t="str">
            <v>101100140100</v>
          </cell>
          <cell r="B2109" t="str">
            <v>Sahibpur Kamal</v>
          </cell>
          <cell r="C2109" t="str">
            <v>Sahibpur Kamal</v>
          </cell>
          <cell r="D2109" t="str">
            <v>Gomukh Raghunathpur</v>
          </cell>
          <cell r="E2109">
            <v>10110014</v>
          </cell>
          <cell r="F2109" t="str">
            <v>0100</v>
          </cell>
          <cell r="G2109">
            <v>9</v>
          </cell>
          <cell r="H2109">
            <v>16.299999999999997</v>
          </cell>
          <cell r="I2109">
            <v>1046.0170865083001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P2109">
            <v>1046</v>
          </cell>
          <cell r="V2109" t="str">
            <v>Available</v>
          </cell>
        </row>
        <row r="2110">
          <cell r="A2110" t="str">
            <v>101100140120</v>
          </cell>
          <cell r="B2110" t="str">
            <v>Sahibpur Kamal</v>
          </cell>
          <cell r="C2110" t="str">
            <v>Sahibpur Kamal</v>
          </cell>
          <cell r="D2110" t="str">
            <v>Gomukh Raghunathpur</v>
          </cell>
          <cell r="E2110">
            <v>10110014</v>
          </cell>
          <cell r="F2110" t="str">
            <v>0120</v>
          </cell>
          <cell r="G2110">
            <v>11</v>
          </cell>
          <cell r="H2110">
            <v>23.700000000000003</v>
          </cell>
          <cell r="I2110">
            <v>838.73532520800006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P2110">
            <v>839</v>
          </cell>
          <cell r="V2110" t="str">
            <v>Available</v>
          </cell>
        </row>
        <row r="2111">
          <cell r="A2111" t="str">
            <v>101100140126</v>
          </cell>
          <cell r="B2111" t="str">
            <v>Sahibpur Kamal</v>
          </cell>
          <cell r="C2111" t="str">
            <v>Sahibpur Kamal</v>
          </cell>
          <cell r="D2111" t="str">
            <v>Gomukh Raghunathpur</v>
          </cell>
          <cell r="E2111">
            <v>10110014</v>
          </cell>
          <cell r="F2111" t="str">
            <v>0126</v>
          </cell>
          <cell r="G2111">
            <v>7</v>
          </cell>
          <cell r="H2111">
            <v>26.9</v>
          </cell>
          <cell r="I2111">
            <v>993.3941437200001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P2111">
            <v>993</v>
          </cell>
          <cell r="V2111" t="str">
            <v>Available</v>
          </cell>
        </row>
        <row r="2112">
          <cell r="A2112" t="str">
            <v>101100140132</v>
          </cell>
          <cell r="B2112" t="str">
            <v>Sahibpur Kamal</v>
          </cell>
          <cell r="C2112" t="str">
            <v>Sahibpur Kamal</v>
          </cell>
          <cell r="D2112" t="str">
            <v>Gomukh Raghunathpur</v>
          </cell>
          <cell r="E2112">
            <v>10110014</v>
          </cell>
          <cell r="F2112" t="str">
            <v>0132</v>
          </cell>
          <cell r="G2112">
            <v>9</v>
          </cell>
          <cell r="H2112">
            <v>69.2</v>
          </cell>
          <cell r="I2112">
            <v>2981.1386286000002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P2112">
            <v>2981</v>
          </cell>
          <cell r="V2112" t="str">
            <v>Available</v>
          </cell>
        </row>
        <row r="2113">
          <cell r="A2113" t="str">
            <v>101100140140</v>
          </cell>
          <cell r="B2113" t="str">
            <v>Sahibpur Kamal</v>
          </cell>
          <cell r="C2113" t="str">
            <v>Sahibpur Kamal</v>
          </cell>
          <cell r="D2113" t="str">
            <v>Gomukh Raghunathpur</v>
          </cell>
          <cell r="E2113">
            <v>10110014</v>
          </cell>
          <cell r="F2113" t="str">
            <v>0140</v>
          </cell>
          <cell r="G2113">
            <v>11</v>
          </cell>
          <cell r="H2113">
            <v>38.5</v>
          </cell>
          <cell r="I2113">
            <v>2491.7569273416002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P2113">
            <v>2492</v>
          </cell>
          <cell r="V2113" t="str">
            <v>Available</v>
          </cell>
        </row>
        <row r="2114">
          <cell r="A2114" t="str">
            <v>101100140147</v>
          </cell>
          <cell r="B2114" t="str">
            <v>Sahibpur Kamal</v>
          </cell>
          <cell r="C2114" t="str">
            <v>Sahibpur Kamal</v>
          </cell>
          <cell r="D2114" t="str">
            <v>Gomukh Raghunathpur</v>
          </cell>
          <cell r="E2114">
            <v>10110014</v>
          </cell>
          <cell r="F2114" t="str">
            <v>0147</v>
          </cell>
          <cell r="G2114">
            <v>7</v>
          </cell>
          <cell r="H2114">
            <v>37.200000000000003</v>
          </cell>
          <cell r="I2114">
            <v>1367.2550370599999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P2114">
            <v>1367</v>
          </cell>
          <cell r="V2114" t="str">
            <v>Available</v>
          </cell>
        </row>
        <row r="2115">
          <cell r="A2115" t="str">
            <v>101100140153</v>
          </cell>
          <cell r="B2115" t="str">
            <v>Sahibpur Kamal</v>
          </cell>
          <cell r="C2115" t="str">
            <v>Sahibpur Kamal</v>
          </cell>
          <cell r="D2115" t="str">
            <v>Gomukh Raghunathpur</v>
          </cell>
          <cell r="E2115">
            <v>10110014</v>
          </cell>
          <cell r="F2115" t="str">
            <v>0153</v>
          </cell>
          <cell r="G2115">
            <v>13</v>
          </cell>
          <cell r="H2115">
            <v>47.099999999999994</v>
          </cell>
          <cell r="I2115">
            <v>1936.4128344000003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P2115">
            <v>1936</v>
          </cell>
          <cell r="V2115" t="str">
            <v>Available</v>
          </cell>
        </row>
        <row r="2116">
          <cell r="A2116" t="str">
            <v>101100140171</v>
          </cell>
          <cell r="B2116" t="str">
            <v>Sahibpur Kamal</v>
          </cell>
          <cell r="C2116" t="str">
            <v>Sahibpur Kamal</v>
          </cell>
          <cell r="D2116" t="str">
            <v>Gomukh Raghunathpur</v>
          </cell>
          <cell r="E2116">
            <v>10110014</v>
          </cell>
          <cell r="F2116" t="str">
            <v>0171</v>
          </cell>
          <cell r="G2116">
            <v>2</v>
          </cell>
          <cell r="H2116">
            <v>3.3</v>
          </cell>
          <cell r="I2116">
            <v>204.04347891099999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P2116">
            <v>204</v>
          </cell>
          <cell r="V2116" t="str">
            <v>Available</v>
          </cell>
        </row>
        <row r="2117">
          <cell r="A2117" t="str">
            <v>101100150002</v>
          </cell>
          <cell r="B2117" t="str">
            <v>Matihani</v>
          </cell>
          <cell r="C2117" t="str">
            <v>Matihani</v>
          </cell>
          <cell r="D2117" t="str">
            <v>Gomukh Chhitraur</v>
          </cell>
          <cell r="E2117">
            <v>10110015</v>
          </cell>
          <cell r="F2117" t="str">
            <v>0002</v>
          </cell>
          <cell r="G2117">
            <v>14</v>
          </cell>
          <cell r="H2117">
            <v>149.57000000000002</v>
          </cell>
          <cell r="I2117">
            <v>6172.9590197880007</v>
          </cell>
          <cell r="J2117">
            <v>0</v>
          </cell>
          <cell r="K2117">
            <v>0</v>
          </cell>
          <cell r="L2117">
            <v>2256</v>
          </cell>
          <cell r="M2117">
            <v>0</v>
          </cell>
          <cell r="P2117">
            <v>3917</v>
          </cell>
          <cell r="V2117" t="str">
            <v>Available</v>
          </cell>
        </row>
        <row r="2118">
          <cell r="A2118" t="str">
            <v>101100150003</v>
          </cell>
          <cell r="B2118" t="str">
            <v>Matihani</v>
          </cell>
          <cell r="C2118" t="str">
            <v>Matihani</v>
          </cell>
          <cell r="D2118" t="str">
            <v>Gomukh Chhitraur</v>
          </cell>
          <cell r="E2118">
            <v>10110015</v>
          </cell>
          <cell r="F2118" t="str">
            <v>0003</v>
          </cell>
          <cell r="G2118">
            <v>14</v>
          </cell>
          <cell r="H2118">
            <v>163.09</v>
          </cell>
          <cell r="I2118">
            <v>6783.1782214679997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P2118">
            <v>6783</v>
          </cell>
          <cell r="V2118" t="str">
            <v>Available</v>
          </cell>
        </row>
        <row r="2119">
          <cell r="A2119" t="str">
            <v>101100150008</v>
          </cell>
          <cell r="B2119" t="str">
            <v>Matihani</v>
          </cell>
          <cell r="C2119" t="str">
            <v>Matihani</v>
          </cell>
          <cell r="D2119" t="str">
            <v>Gomukh Chhitraur</v>
          </cell>
          <cell r="E2119">
            <v>10110015</v>
          </cell>
          <cell r="F2119" t="str">
            <v>0008</v>
          </cell>
          <cell r="G2119">
            <v>14</v>
          </cell>
          <cell r="H2119">
            <v>165.45000000000002</v>
          </cell>
          <cell r="I2119">
            <v>6947.0726383080018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P2119">
            <v>6947</v>
          </cell>
          <cell r="V2119" t="str">
            <v>Available</v>
          </cell>
        </row>
        <row r="2120">
          <cell r="A2120" t="str">
            <v>101100150009</v>
          </cell>
          <cell r="B2120" t="str">
            <v>Matihani</v>
          </cell>
          <cell r="C2120" t="str">
            <v>Matihani</v>
          </cell>
          <cell r="D2120" t="str">
            <v>Gomukh Chhitraur</v>
          </cell>
          <cell r="E2120">
            <v>10110015</v>
          </cell>
          <cell r="F2120" t="str">
            <v>0009</v>
          </cell>
          <cell r="G2120">
            <v>14</v>
          </cell>
          <cell r="H2120">
            <v>165.75</v>
          </cell>
          <cell r="I2120">
            <v>7219.8269710866007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P2120">
            <v>7220</v>
          </cell>
          <cell r="V2120" t="str">
            <v>Available</v>
          </cell>
        </row>
        <row r="2121">
          <cell r="A2121" t="str">
            <v>101100150016</v>
          </cell>
          <cell r="B2121" t="str">
            <v>Matihani</v>
          </cell>
          <cell r="C2121" t="str">
            <v>Matihani</v>
          </cell>
          <cell r="D2121" t="str">
            <v>Gomukh Chhitraur</v>
          </cell>
          <cell r="E2121">
            <v>10110015</v>
          </cell>
          <cell r="F2121" t="str">
            <v>0016</v>
          </cell>
          <cell r="G2121">
            <v>13</v>
          </cell>
          <cell r="H2121">
            <v>29.880000000000003</v>
          </cell>
          <cell r="I2121">
            <v>1851.7349793344265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P2121">
            <v>1852</v>
          </cell>
          <cell r="V2121" t="str">
            <v>Available</v>
          </cell>
        </row>
        <row r="2122">
          <cell r="A2122" t="str">
            <v>101100150025</v>
          </cell>
          <cell r="B2122" t="str">
            <v>Matihani</v>
          </cell>
          <cell r="C2122" t="str">
            <v>Matihani</v>
          </cell>
          <cell r="D2122" t="str">
            <v>Gomukh Chhitraur</v>
          </cell>
          <cell r="E2122">
            <v>10110015</v>
          </cell>
          <cell r="F2122" t="str">
            <v>0025</v>
          </cell>
          <cell r="G2122">
            <v>14</v>
          </cell>
          <cell r="H2122">
            <v>161.97999999999999</v>
          </cell>
          <cell r="I2122">
            <v>6628.0153678199995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P2122">
            <v>6628</v>
          </cell>
          <cell r="V2122" t="str">
            <v>Available</v>
          </cell>
        </row>
        <row r="2123">
          <cell r="A2123" t="str">
            <v>101100150041</v>
          </cell>
          <cell r="B2123" t="str">
            <v>Matihani</v>
          </cell>
          <cell r="C2123" t="str">
            <v>Matihani</v>
          </cell>
          <cell r="D2123" t="str">
            <v>Gomukh Chhitraur</v>
          </cell>
          <cell r="E2123">
            <v>10110015</v>
          </cell>
          <cell r="F2123" t="str">
            <v>0041</v>
          </cell>
          <cell r="G2123">
            <v>14</v>
          </cell>
          <cell r="H2123">
            <v>161.26000000000002</v>
          </cell>
          <cell r="I2123">
            <v>6436.5876003923995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P2123">
            <v>6437</v>
          </cell>
          <cell r="V2123" t="str">
            <v>Available</v>
          </cell>
        </row>
        <row r="2124">
          <cell r="A2124" t="str">
            <v>101100150046</v>
          </cell>
          <cell r="B2124" t="str">
            <v>Matihani</v>
          </cell>
          <cell r="C2124" t="str">
            <v>Matihani</v>
          </cell>
          <cell r="D2124" t="str">
            <v>Gomukh Chhitraur</v>
          </cell>
          <cell r="E2124">
            <v>10110015</v>
          </cell>
          <cell r="F2124" t="str">
            <v>0046</v>
          </cell>
          <cell r="G2124">
            <v>14</v>
          </cell>
          <cell r="H2124">
            <v>164.78</v>
          </cell>
          <cell r="I2124">
            <v>7474.6683246520197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P2124">
            <v>7475</v>
          </cell>
          <cell r="V2124" t="str">
            <v>Available</v>
          </cell>
        </row>
        <row r="2125">
          <cell r="A2125" t="str">
            <v>101100160001</v>
          </cell>
          <cell r="B2125" t="str">
            <v>Matihani</v>
          </cell>
          <cell r="C2125" t="str">
            <v>Matihani</v>
          </cell>
          <cell r="D2125" t="str">
            <v>Gomukh Khorampur Chakaur</v>
          </cell>
          <cell r="E2125">
            <v>10110016</v>
          </cell>
          <cell r="F2125" t="str">
            <v>0001</v>
          </cell>
          <cell r="G2125">
            <v>14</v>
          </cell>
          <cell r="H2125">
            <v>3.3</v>
          </cell>
          <cell r="I2125">
            <v>133.8121026</v>
          </cell>
          <cell r="J2125">
            <v>0</v>
          </cell>
          <cell r="K2125">
            <v>133.8121026</v>
          </cell>
          <cell r="L2125">
            <v>0</v>
          </cell>
          <cell r="M2125">
            <v>0</v>
          </cell>
          <cell r="P2125">
            <v>0</v>
          </cell>
          <cell r="V2125" t="str">
            <v>Not Available</v>
          </cell>
        </row>
        <row r="2126">
          <cell r="A2126" t="str">
            <v>101100160002</v>
          </cell>
          <cell r="B2126" t="str">
            <v>Matihani</v>
          </cell>
          <cell r="C2126" t="str">
            <v>Matihani</v>
          </cell>
          <cell r="D2126" t="str">
            <v>Gomukh Khorampur Chakaur</v>
          </cell>
          <cell r="E2126">
            <v>10110016</v>
          </cell>
          <cell r="F2126" t="str">
            <v>0002</v>
          </cell>
          <cell r="G2126">
            <v>14</v>
          </cell>
          <cell r="H2126">
            <v>151.6</v>
          </cell>
          <cell r="I2126">
            <v>6139.7012952000005</v>
          </cell>
          <cell r="J2126">
            <v>0</v>
          </cell>
          <cell r="K2126">
            <v>0</v>
          </cell>
          <cell r="L2126">
            <v>320</v>
          </cell>
          <cell r="M2126">
            <v>0</v>
          </cell>
          <cell r="P2126">
            <v>5820</v>
          </cell>
          <cell r="V2126" t="str">
            <v>Available</v>
          </cell>
        </row>
        <row r="2127">
          <cell r="A2127" t="str">
            <v>101100160003</v>
          </cell>
          <cell r="B2127" t="str">
            <v>Matihani</v>
          </cell>
          <cell r="C2127" t="str">
            <v>Matihani</v>
          </cell>
          <cell r="D2127" t="str">
            <v>Gomukh Khorampur Chakaur</v>
          </cell>
          <cell r="E2127">
            <v>10110016</v>
          </cell>
          <cell r="F2127" t="str">
            <v>0003</v>
          </cell>
          <cell r="G2127">
            <v>12</v>
          </cell>
          <cell r="H2127">
            <v>141</v>
          </cell>
          <cell r="I2127">
            <v>5683.5502020000004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P2127">
            <v>5684</v>
          </cell>
          <cell r="V2127" t="str">
            <v>Available</v>
          </cell>
        </row>
        <row r="2128">
          <cell r="A2128" t="str">
            <v>101100160030</v>
          </cell>
          <cell r="B2128" t="str">
            <v>Matihani</v>
          </cell>
          <cell r="C2128" t="str">
            <v>Matihani</v>
          </cell>
          <cell r="D2128" t="str">
            <v>Gomukh Khorampur Chakaur</v>
          </cell>
          <cell r="E2128">
            <v>10110016</v>
          </cell>
          <cell r="F2128" t="str">
            <v>0030</v>
          </cell>
          <cell r="G2128">
            <v>14</v>
          </cell>
          <cell r="H2128">
            <v>155</v>
          </cell>
          <cell r="I2128">
            <v>6275.7179100000003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P2128">
            <v>6276</v>
          </cell>
          <cell r="V2128" t="str">
            <v>Available</v>
          </cell>
        </row>
        <row r="2129">
          <cell r="A2129" t="str">
            <v>101100160031</v>
          </cell>
          <cell r="B2129" t="str">
            <v>Matihani</v>
          </cell>
          <cell r="C2129" t="str">
            <v>Matihani</v>
          </cell>
          <cell r="D2129" t="str">
            <v>Gomukh Khorampur Chakaur</v>
          </cell>
          <cell r="E2129">
            <v>10110016</v>
          </cell>
          <cell r="F2129" t="str">
            <v>0031</v>
          </cell>
          <cell r="G2129">
            <v>14</v>
          </cell>
          <cell r="H2129">
            <v>151</v>
          </cell>
          <cell r="I2129">
            <v>6112.2974220000006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P2129">
            <v>6112</v>
          </cell>
          <cell r="V2129" t="str">
            <v>Available</v>
          </cell>
        </row>
        <row r="2130">
          <cell r="A2130" t="str">
            <v>101100160032</v>
          </cell>
          <cell r="B2130" t="str">
            <v>Matihani</v>
          </cell>
          <cell r="C2130" t="str">
            <v>Matihani</v>
          </cell>
          <cell r="D2130" t="str">
            <v>Gomukh Khorampur Chakaur</v>
          </cell>
          <cell r="E2130">
            <v>10110016</v>
          </cell>
          <cell r="F2130" t="str">
            <v>0032</v>
          </cell>
          <cell r="G2130">
            <v>12</v>
          </cell>
          <cell r="H2130">
            <v>141</v>
          </cell>
          <cell r="I2130">
            <v>5683.5502020000004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P2130">
            <v>5684</v>
          </cell>
          <cell r="V2130" t="str">
            <v>Available</v>
          </cell>
        </row>
        <row r="2131">
          <cell r="A2131" t="str">
            <v>101100210001</v>
          </cell>
          <cell r="B2131" t="str">
            <v>Sahibpur Kamal</v>
          </cell>
          <cell r="C2131" t="str">
            <v>Sahibpur Kamal</v>
          </cell>
          <cell r="D2131" t="str">
            <v>GOMUKH Mathar</v>
          </cell>
          <cell r="E2131">
            <v>10110021</v>
          </cell>
          <cell r="F2131" t="str">
            <v>0001</v>
          </cell>
          <cell r="G2131">
            <v>9</v>
          </cell>
          <cell r="H2131">
            <v>0.8899999999999999</v>
          </cell>
          <cell r="I2131">
            <v>33.25815144036001</v>
          </cell>
          <cell r="J2131">
            <v>0</v>
          </cell>
          <cell r="K2131">
            <v>33.25815144036001</v>
          </cell>
          <cell r="L2131">
            <v>0</v>
          </cell>
          <cell r="M2131">
            <v>0</v>
          </cell>
          <cell r="P2131">
            <v>0</v>
          </cell>
          <cell r="V2131" t="str">
            <v>Not Available</v>
          </cell>
        </row>
        <row r="2132">
          <cell r="A2132" t="str">
            <v>101100210007</v>
          </cell>
          <cell r="B2132" t="str">
            <v>Sahibpur Kamal</v>
          </cell>
          <cell r="C2132" t="str">
            <v>Sahibpur Kamal</v>
          </cell>
          <cell r="D2132" t="str">
            <v>GOMUKH Mathar</v>
          </cell>
          <cell r="E2132">
            <v>10110021</v>
          </cell>
          <cell r="F2132" t="str">
            <v>0007</v>
          </cell>
          <cell r="G2132">
            <v>9</v>
          </cell>
          <cell r="H2132">
            <v>51.400000000000006</v>
          </cell>
          <cell r="I2132">
            <v>1902.4773916698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P2132">
            <v>1868</v>
          </cell>
          <cell r="V2132" t="str">
            <v>Available</v>
          </cell>
        </row>
        <row r="2133">
          <cell r="A2133" t="str">
            <v>101100210048</v>
          </cell>
          <cell r="B2133" t="str">
            <v>Sahibpur Kamal</v>
          </cell>
          <cell r="C2133" t="str">
            <v>Sahibpur Kamal</v>
          </cell>
          <cell r="D2133" t="str">
            <v>GOMUKH Mathar</v>
          </cell>
          <cell r="E2133">
            <v>10110021</v>
          </cell>
          <cell r="F2133" t="str">
            <v>0048</v>
          </cell>
          <cell r="G2133">
            <v>3</v>
          </cell>
          <cell r="H2133">
            <v>5.2700000000000005</v>
          </cell>
          <cell r="I2133">
            <v>205.90845299837997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P2133">
            <v>206</v>
          </cell>
          <cell r="V2133" t="str">
            <v>Available</v>
          </cell>
        </row>
        <row r="2134">
          <cell r="A2134" t="str">
            <v>101100320001</v>
          </cell>
          <cell r="B2134" t="str">
            <v>Sahibpur Kamal</v>
          </cell>
          <cell r="C2134" t="str">
            <v>Sahibpur Kamal</v>
          </cell>
          <cell r="D2134" t="str">
            <v>Gomukh Kumar Chakki</v>
          </cell>
          <cell r="E2134">
            <v>10110032</v>
          </cell>
          <cell r="F2134" t="str">
            <v>0001</v>
          </cell>
          <cell r="G2134">
            <v>5</v>
          </cell>
          <cell r="H2134">
            <v>0.79999999999999993</v>
          </cell>
          <cell r="I2134">
            <v>29.846048760000006</v>
          </cell>
          <cell r="J2134">
            <v>0</v>
          </cell>
          <cell r="K2134">
            <v>29.846048760000006</v>
          </cell>
          <cell r="L2134">
            <v>0</v>
          </cell>
          <cell r="M2134">
            <v>0</v>
          </cell>
          <cell r="P2134">
            <v>0</v>
          </cell>
          <cell r="V2134" t="str">
            <v>Not Available</v>
          </cell>
        </row>
        <row r="2135">
          <cell r="A2135" t="str">
            <v>101100320002</v>
          </cell>
          <cell r="B2135" t="str">
            <v>Sahibpur Kamal</v>
          </cell>
          <cell r="C2135" t="str">
            <v>Sahibpur Kamal</v>
          </cell>
          <cell r="D2135" t="str">
            <v>Gomukh Kumar Chakki</v>
          </cell>
          <cell r="E2135">
            <v>10110032</v>
          </cell>
          <cell r="F2135" t="str">
            <v>0002</v>
          </cell>
          <cell r="G2135">
            <v>5</v>
          </cell>
          <cell r="H2135">
            <v>169.89999999999998</v>
          </cell>
          <cell r="I2135">
            <v>6346.9252123200013</v>
          </cell>
          <cell r="J2135">
            <v>0</v>
          </cell>
          <cell r="K2135">
            <v>0</v>
          </cell>
          <cell r="L2135">
            <v>182</v>
          </cell>
          <cell r="M2135">
            <v>0</v>
          </cell>
          <cell r="P2135">
            <v>5912</v>
          </cell>
          <cell r="V2135" t="str">
            <v>Available</v>
          </cell>
        </row>
        <row r="2136">
          <cell r="A2136" t="str">
            <v>101100320003</v>
          </cell>
          <cell r="B2136" t="str">
            <v>Sahibpur Kamal</v>
          </cell>
          <cell r="C2136" t="str">
            <v>Sahibpur Kamal</v>
          </cell>
          <cell r="D2136" t="str">
            <v>Gomukh Kumar Chakki</v>
          </cell>
          <cell r="E2136">
            <v>10110032</v>
          </cell>
          <cell r="F2136" t="str">
            <v>0003</v>
          </cell>
          <cell r="G2136">
            <v>1</v>
          </cell>
          <cell r="H2136">
            <v>39</v>
          </cell>
          <cell r="I2136">
            <v>1426.0371840000003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P2136">
            <v>1426</v>
          </cell>
          <cell r="V2136" t="str">
            <v>Available</v>
          </cell>
        </row>
        <row r="2137">
          <cell r="A2137" t="str">
            <v>101100320038</v>
          </cell>
          <cell r="B2137" t="str">
            <v>Sahibpur Kamal</v>
          </cell>
          <cell r="C2137" t="str">
            <v>Sahibpur Kamal</v>
          </cell>
          <cell r="D2137" t="str">
            <v>Gomukh Kumar Chakki</v>
          </cell>
          <cell r="E2137">
            <v>10110032</v>
          </cell>
          <cell r="F2137" t="str">
            <v>0038</v>
          </cell>
          <cell r="G2137">
            <v>1</v>
          </cell>
          <cell r="H2137">
            <v>56</v>
          </cell>
          <cell r="I2137">
            <v>2106.7798751999999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P2137">
            <v>2107</v>
          </cell>
          <cell r="V2137" t="str">
            <v>Available</v>
          </cell>
        </row>
        <row r="2138">
          <cell r="A2138" t="str">
            <v>101100490001</v>
          </cell>
          <cell r="B2138" t="str">
            <v>Sahibpur Kamal</v>
          </cell>
          <cell r="C2138" t="str">
            <v>Sahibpur Kamal</v>
          </cell>
          <cell r="D2138" t="str">
            <v xml:space="preserve">Gomukh Kalyanpur                                                                                    </v>
          </cell>
          <cell r="E2138">
            <v>10110049</v>
          </cell>
          <cell r="F2138" t="str">
            <v>0001</v>
          </cell>
          <cell r="G2138">
            <v>12</v>
          </cell>
          <cell r="H2138">
            <v>23.700000000000006</v>
          </cell>
          <cell r="I2138">
            <v>900.88664688000006</v>
          </cell>
          <cell r="J2138">
            <v>0</v>
          </cell>
          <cell r="K2138">
            <v>900.88664688000006</v>
          </cell>
          <cell r="L2138">
            <v>0</v>
          </cell>
          <cell r="M2138">
            <v>0</v>
          </cell>
          <cell r="P2138">
            <v>0</v>
          </cell>
          <cell r="V2138" t="str">
            <v>Not Available</v>
          </cell>
        </row>
        <row r="2139">
          <cell r="A2139" t="str">
            <v>101100490002</v>
          </cell>
          <cell r="B2139" t="str">
            <v>Sahibpur Kamal</v>
          </cell>
          <cell r="C2139" t="str">
            <v>Sahibpur Kamal</v>
          </cell>
          <cell r="D2139" t="str">
            <v xml:space="preserve">Gomukh Kalyanpur                                                                                    </v>
          </cell>
          <cell r="E2139">
            <v>10110049</v>
          </cell>
          <cell r="F2139" t="str">
            <v>0002</v>
          </cell>
          <cell r="G2139">
            <v>14</v>
          </cell>
          <cell r="H2139">
            <v>212.39999999999998</v>
          </cell>
          <cell r="I2139">
            <v>8162.1108439200007</v>
          </cell>
          <cell r="J2139">
            <v>0</v>
          </cell>
          <cell r="K2139">
            <v>0</v>
          </cell>
          <cell r="L2139">
            <v>598</v>
          </cell>
          <cell r="M2139">
            <v>0</v>
          </cell>
          <cell r="P2139">
            <v>7564</v>
          </cell>
          <cell r="V2139" t="str">
            <v>Available</v>
          </cell>
        </row>
        <row r="2140">
          <cell r="A2140" t="str">
            <v>101100490003</v>
          </cell>
          <cell r="B2140" t="str">
            <v>Sahibpur Kamal</v>
          </cell>
          <cell r="C2140" t="str">
            <v>Sahibpur Kamal</v>
          </cell>
          <cell r="D2140" t="str">
            <v xml:space="preserve">Gomukh Kalyanpur                                                                                    </v>
          </cell>
          <cell r="E2140">
            <v>10110049</v>
          </cell>
          <cell r="F2140" t="str">
            <v>0003</v>
          </cell>
          <cell r="G2140">
            <v>14</v>
          </cell>
          <cell r="H2140">
            <v>242.9</v>
          </cell>
          <cell r="I2140">
            <v>9262.4716522800009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P2140">
            <v>9262</v>
          </cell>
          <cell r="V2140" t="str">
            <v>Available</v>
          </cell>
        </row>
        <row r="2141">
          <cell r="A2141" t="str">
            <v>101100490004</v>
          </cell>
          <cell r="B2141" t="str">
            <v>Sahibpur Kamal</v>
          </cell>
          <cell r="C2141" t="str">
            <v>Sahibpur Kamal</v>
          </cell>
          <cell r="D2141" t="str">
            <v xml:space="preserve">Gomukh Kalyanpur                                                                                    </v>
          </cell>
          <cell r="E2141">
            <v>10110049</v>
          </cell>
          <cell r="F2141" t="str">
            <v>0004</v>
          </cell>
          <cell r="G2141">
            <v>13</v>
          </cell>
          <cell r="H2141">
            <v>270.40000000000003</v>
          </cell>
          <cell r="I2141">
            <v>10272.71940156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P2141">
            <v>10273</v>
          </cell>
          <cell r="V2141" t="str">
            <v>Available</v>
          </cell>
        </row>
        <row r="2142">
          <cell r="A2142" t="str">
            <v>101100490005</v>
          </cell>
          <cell r="B2142" t="str">
            <v>Sahibpur Kamal</v>
          </cell>
          <cell r="C2142" t="str">
            <v>Sahibpur Kamal</v>
          </cell>
          <cell r="D2142" t="str">
            <v xml:space="preserve">Gomukh Kalyanpur                                                                                    </v>
          </cell>
          <cell r="E2142">
            <v>10110049</v>
          </cell>
          <cell r="F2142" t="str">
            <v>0005</v>
          </cell>
          <cell r="G2142">
            <v>9</v>
          </cell>
          <cell r="H2142">
            <v>92.800000000000011</v>
          </cell>
          <cell r="I2142">
            <v>3570.43913028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P2142">
            <v>3570</v>
          </cell>
          <cell r="V2142" t="str">
            <v>Available</v>
          </cell>
        </row>
        <row r="2143">
          <cell r="A2143" t="str">
            <v>101100500006</v>
          </cell>
          <cell r="B2143" t="str">
            <v>Sahibpur Kamal</v>
          </cell>
          <cell r="C2143" t="str">
            <v>Sahibpur Kamal</v>
          </cell>
          <cell r="D2143" t="str">
            <v xml:space="preserve">Gomukh Fatehpur                                                                                     </v>
          </cell>
          <cell r="E2143">
            <v>10110050</v>
          </cell>
          <cell r="F2143" t="str">
            <v>0006</v>
          </cell>
          <cell r="G2143">
            <v>7</v>
          </cell>
          <cell r="H2143">
            <v>697.1</v>
          </cell>
          <cell r="I2143">
            <v>26889.140171550804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P2143">
            <v>24579</v>
          </cell>
          <cell r="V2143" t="str">
            <v>Available</v>
          </cell>
        </row>
        <row r="2144">
          <cell r="A2144" t="str">
            <v>101100530001</v>
          </cell>
          <cell r="B2144" t="str">
            <v>Sahibpur Kamal</v>
          </cell>
          <cell r="C2144" t="str">
            <v>Sahibpur Kamal</v>
          </cell>
          <cell r="D2144" t="str">
            <v>GOMUKH KATAHRI</v>
          </cell>
          <cell r="E2144">
            <v>10110053</v>
          </cell>
          <cell r="F2144" t="str">
            <v>0001</v>
          </cell>
          <cell r="G2144">
            <v>10</v>
          </cell>
          <cell r="H2144">
            <v>1.8</v>
          </cell>
          <cell r="I2144">
            <v>81.814760798300014</v>
          </cell>
          <cell r="J2144">
            <v>0</v>
          </cell>
          <cell r="K2144">
            <v>81.814760798300014</v>
          </cell>
          <cell r="L2144">
            <v>0</v>
          </cell>
          <cell r="M2144">
            <v>0</v>
          </cell>
          <cell r="P2144">
            <v>0</v>
          </cell>
          <cell r="V2144" t="str">
            <v>Not Available</v>
          </cell>
        </row>
        <row r="2145">
          <cell r="A2145" t="str">
            <v>101100530002</v>
          </cell>
          <cell r="B2145" t="str">
            <v>Sahibpur Kamal</v>
          </cell>
          <cell r="C2145" t="str">
            <v>Sahibpur Kamal</v>
          </cell>
          <cell r="D2145" t="str">
            <v>GOMUKH KATAHRI</v>
          </cell>
          <cell r="E2145">
            <v>10110053</v>
          </cell>
          <cell r="F2145" t="str">
            <v>0002</v>
          </cell>
          <cell r="G2145">
            <v>11</v>
          </cell>
          <cell r="H2145">
            <v>93.3</v>
          </cell>
          <cell r="I2145">
            <v>4162.6077790310001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P2145">
            <v>4154</v>
          </cell>
          <cell r="V2145" t="str">
            <v>Available</v>
          </cell>
        </row>
        <row r="2146">
          <cell r="A2146" t="str">
            <v>101100550002</v>
          </cell>
          <cell r="B2146" t="str">
            <v>Sahibpur Kamal</v>
          </cell>
          <cell r="C2146" t="str">
            <v>Sahibpur Kamal</v>
          </cell>
          <cell r="D2146" t="str">
            <v>GOMUKH Mathar Ward 10</v>
          </cell>
          <cell r="E2146">
            <v>10110055</v>
          </cell>
          <cell r="F2146" t="str">
            <v>0002</v>
          </cell>
          <cell r="G2146">
            <v>9</v>
          </cell>
          <cell r="H2146">
            <v>95.559999999999988</v>
          </cell>
          <cell r="I2146">
            <v>3985.7876652204004</v>
          </cell>
          <cell r="J2146">
            <v>0</v>
          </cell>
          <cell r="K2146">
            <v>0</v>
          </cell>
          <cell r="L2146">
            <v>3986</v>
          </cell>
          <cell r="M2146">
            <v>0</v>
          </cell>
          <cell r="P2146">
            <v>0</v>
          </cell>
          <cell r="V2146" t="str">
            <v>Available</v>
          </cell>
        </row>
        <row r="2147">
          <cell r="A2147" t="str">
            <v>101100550003</v>
          </cell>
          <cell r="B2147" t="str">
            <v>Sahibpur Kamal</v>
          </cell>
          <cell r="C2147" t="str">
            <v>Sahibpur Kamal</v>
          </cell>
          <cell r="D2147" t="str">
            <v>GOMUKH Mathar Ward 10</v>
          </cell>
          <cell r="E2147">
            <v>10110055</v>
          </cell>
          <cell r="F2147" t="str">
            <v>0003</v>
          </cell>
          <cell r="G2147">
            <v>3</v>
          </cell>
          <cell r="H2147">
            <v>40.42</v>
          </cell>
          <cell r="I2147">
            <v>1895.9469055728005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P2147">
            <v>1896</v>
          </cell>
          <cell r="V2147" t="str">
            <v>Available</v>
          </cell>
        </row>
        <row r="2148">
          <cell r="A2148" t="str">
            <v>101100550004</v>
          </cell>
          <cell r="B2148" t="str">
            <v>Sahibpur Kamal</v>
          </cell>
          <cell r="C2148" t="str">
            <v>Sahibpur Kamal</v>
          </cell>
          <cell r="D2148" t="str">
            <v>GOMUKH Mathar Ward 10</v>
          </cell>
          <cell r="E2148">
            <v>10110055</v>
          </cell>
          <cell r="F2148" t="str">
            <v>0004</v>
          </cell>
          <cell r="G2148">
            <v>14</v>
          </cell>
          <cell r="H2148">
            <v>235.10000000000002</v>
          </cell>
          <cell r="I2148">
            <v>10583.718237732599</v>
          </cell>
          <cell r="J2148">
            <v>0</v>
          </cell>
          <cell r="K2148">
            <v>0</v>
          </cell>
          <cell r="L2148">
            <v>586</v>
          </cell>
          <cell r="M2148">
            <v>0</v>
          </cell>
          <cell r="P2148">
            <v>9998</v>
          </cell>
          <cell r="V2148" t="str">
            <v>Available</v>
          </cell>
        </row>
        <row r="2149">
          <cell r="A2149" t="str">
            <v>101100550006</v>
          </cell>
          <cell r="B2149" t="str">
            <v>Sahibpur Kamal</v>
          </cell>
          <cell r="C2149" t="str">
            <v>Sahibpur Kamal</v>
          </cell>
          <cell r="D2149" t="str">
            <v>GOMUKH Mathar Ward 10</v>
          </cell>
          <cell r="E2149">
            <v>10110055</v>
          </cell>
          <cell r="F2149" t="str">
            <v>0006</v>
          </cell>
          <cell r="G2149">
            <v>13</v>
          </cell>
          <cell r="H2149">
            <v>212.28000000000003</v>
          </cell>
          <cell r="I2149">
            <v>8746.5052540799988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P2149">
            <v>8747</v>
          </cell>
          <cell r="V2149" t="str">
            <v>Available</v>
          </cell>
        </row>
        <row r="2150">
          <cell r="A2150" t="str">
            <v>101100550013</v>
          </cell>
          <cell r="B2150" t="str">
            <v>Sahibpur Kamal</v>
          </cell>
          <cell r="C2150" t="str">
            <v>Sahibpur Kamal</v>
          </cell>
          <cell r="D2150" t="str">
            <v>GOMUKH Mathar Ward 10</v>
          </cell>
          <cell r="E2150">
            <v>10110055</v>
          </cell>
          <cell r="F2150" t="str">
            <v>0013</v>
          </cell>
          <cell r="G2150">
            <v>14</v>
          </cell>
          <cell r="H2150">
            <v>199.02</v>
          </cell>
          <cell r="I2150">
            <v>8235.7661778479996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P2150">
            <v>8236</v>
          </cell>
          <cell r="V2150" t="str">
            <v>Not Available</v>
          </cell>
        </row>
        <row r="2151">
          <cell r="A2151" t="str">
            <v>101100570003</v>
          </cell>
          <cell r="B2151" t="str">
            <v>Sahibpur Kamal</v>
          </cell>
          <cell r="C2151" t="str">
            <v>Sahibpur Kamal</v>
          </cell>
          <cell r="D2151" t="str">
            <v>GOMUKH Tartor 2</v>
          </cell>
          <cell r="E2151">
            <v>10110057</v>
          </cell>
          <cell r="F2151" t="str">
            <v>0003</v>
          </cell>
          <cell r="G2151">
            <v>13</v>
          </cell>
          <cell r="H2151">
            <v>291.3</v>
          </cell>
          <cell r="I2151">
            <v>13653.156236445</v>
          </cell>
          <cell r="J2151">
            <v>0</v>
          </cell>
          <cell r="K2151">
            <v>0</v>
          </cell>
          <cell r="L2151">
            <v>1370</v>
          </cell>
          <cell r="M2151">
            <v>0</v>
          </cell>
          <cell r="P2151">
            <v>12283</v>
          </cell>
          <cell r="V2151" t="str">
            <v>Available</v>
          </cell>
        </row>
        <row r="2152">
          <cell r="A2152" t="str">
            <v>101100650001</v>
          </cell>
          <cell r="B2152" t="str">
            <v>Sahibpur Kamal</v>
          </cell>
          <cell r="C2152" t="str">
            <v>Sahibpur Kamal</v>
          </cell>
          <cell r="D2152" t="str">
            <v>Gomukh Chaidha</v>
          </cell>
          <cell r="E2152">
            <v>10110065</v>
          </cell>
          <cell r="F2152" t="str">
            <v>0001</v>
          </cell>
          <cell r="G2152">
            <v>11</v>
          </cell>
          <cell r="H2152">
            <v>5.2800000000000011</v>
          </cell>
          <cell r="I2152">
            <v>193.6528396704</v>
          </cell>
          <cell r="J2152">
            <v>0</v>
          </cell>
          <cell r="K2152">
            <v>193.6528396704</v>
          </cell>
          <cell r="L2152">
            <v>0</v>
          </cell>
          <cell r="M2152">
            <v>0</v>
          </cell>
          <cell r="P2152">
            <v>0</v>
          </cell>
          <cell r="V2152" t="str">
            <v>Not Available</v>
          </cell>
        </row>
        <row r="2153">
          <cell r="A2153" t="str">
            <v>101100650002</v>
          </cell>
          <cell r="B2153" t="str">
            <v>Sahibpur Kamal</v>
          </cell>
          <cell r="C2153" t="str">
            <v>Sahibpur Kamal</v>
          </cell>
          <cell r="D2153" t="str">
            <v>Gomukh Chaidha</v>
          </cell>
          <cell r="E2153">
            <v>10110065</v>
          </cell>
          <cell r="F2153" t="str">
            <v>0002</v>
          </cell>
          <cell r="G2153">
            <v>6</v>
          </cell>
          <cell r="H2153">
            <v>25.759999999999998</v>
          </cell>
          <cell r="I2153">
            <v>932.41289516760025</v>
          </cell>
          <cell r="J2153">
            <v>0</v>
          </cell>
          <cell r="K2153">
            <v>0</v>
          </cell>
          <cell r="L2153">
            <v>154</v>
          </cell>
          <cell r="M2153">
            <v>0</v>
          </cell>
          <cell r="P2153">
            <v>778</v>
          </cell>
          <cell r="V2153" t="str">
            <v>Available</v>
          </cell>
        </row>
        <row r="2154">
          <cell r="A2154" t="str">
            <v>101100650012</v>
          </cell>
          <cell r="B2154" t="str">
            <v>Sahibpur Kamal</v>
          </cell>
          <cell r="C2154" t="str">
            <v>Sahibpur Kamal</v>
          </cell>
          <cell r="D2154" t="str">
            <v>Gomukh Chaidha</v>
          </cell>
          <cell r="E2154">
            <v>10110065</v>
          </cell>
          <cell r="F2154" t="str">
            <v>0012</v>
          </cell>
          <cell r="G2154">
            <v>12</v>
          </cell>
          <cell r="H2154">
            <v>32.72</v>
          </cell>
          <cell r="I2154">
            <v>1194.9217663680004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P2154">
            <v>1195</v>
          </cell>
          <cell r="V2154" t="str">
            <v>Available</v>
          </cell>
        </row>
        <row r="2155">
          <cell r="A2155" t="str">
            <v>101100650017</v>
          </cell>
          <cell r="B2155" t="str">
            <v>Sahibpur Kamal</v>
          </cell>
          <cell r="C2155" t="str">
            <v>Sahibpur Kamal</v>
          </cell>
          <cell r="D2155" t="str">
            <v>Gomukh Chaidha</v>
          </cell>
          <cell r="E2155">
            <v>10110065</v>
          </cell>
          <cell r="F2155" t="str">
            <v>0017</v>
          </cell>
          <cell r="G2155">
            <v>13</v>
          </cell>
          <cell r="H2155">
            <v>47.399999999999991</v>
          </cell>
          <cell r="I2155">
            <v>1902.1452568668001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P2155">
            <v>1902</v>
          </cell>
          <cell r="V2155" t="str">
            <v>Available</v>
          </cell>
        </row>
        <row r="2156">
          <cell r="A2156" t="str">
            <v>101100650018</v>
          </cell>
          <cell r="B2156" t="str">
            <v>Sahibpur Kamal</v>
          </cell>
          <cell r="C2156" t="str">
            <v>Sahibpur Kamal</v>
          </cell>
          <cell r="D2156" t="str">
            <v>Gomukh Chaidha</v>
          </cell>
          <cell r="E2156">
            <v>10110065</v>
          </cell>
          <cell r="F2156" t="str">
            <v>0018</v>
          </cell>
          <cell r="G2156">
            <v>14</v>
          </cell>
          <cell r="H2156">
            <v>49.039999999999992</v>
          </cell>
          <cell r="I2156">
            <v>1688.2794228959999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P2156">
            <v>1688</v>
          </cell>
          <cell r="V2156" t="str">
            <v>Available</v>
          </cell>
        </row>
        <row r="2157">
          <cell r="A2157" t="str">
            <v>101100650024</v>
          </cell>
          <cell r="B2157" t="str">
            <v>Sahibpur Kamal</v>
          </cell>
          <cell r="C2157" t="str">
            <v>Sahibpur Kamal</v>
          </cell>
          <cell r="D2157" t="str">
            <v>Gomukh Chaidha</v>
          </cell>
          <cell r="E2157">
            <v>10110065</v>
          </cell>
          <cell r="F2157" t="str">
            <v>0024</v>
          </cell>
          <cell r="G2157">
            <v>14</v>
          </cell>
          <cell r="H2157">
            <v>101.22</v>
          </cell>
          <cell r="I2157">
            <v>3819.6916963920003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P2157">
            <v>3820</v>
          </cell>
          <cell r="V2157" t="str">
            <v>Available</v>
          </cell>
        </row>
        <row r="2158">
          <cell r="A2158" t="str">
            <v>101100650031</v>
          </cell>
          <cell r="B2158" t="str">
            <v>Sahibpur Kamal</v>
          </cell>
          <cell r="C2158" t="str">
            <v>Sahibpur Kamal</v>
          </cell>
          <cell r="D2158" t="str">
            <v>Gomukh Chaidha</v>
          </cell>
          <cell r="E2158">
            <v>10110065</v>
          </cell>
          <cell r="F2158" t="str">
            <v>0031</v>
          </cell>
          <cell r="G2158">
            <v>14</v>
          </cell>
          <cell r="H2158">
            <v>82.96</v>
          </cell>
          <cell r="I2158">
            <v>3000.4401973392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P2158">
            <v>3000</v>
          </cell>
          <cell r="V2158" t="str">
            <v>Available</v>
          </cell>
        </row>
        <row r="2159">
          <cell r="A2159" t="str">
            <v>101100650034</v>
          </cell>
          <cell r="B2159" t="str">
            <v>Sahibpur Kamal</v>
          </cell>
          <cell r="C2159" t="str">
            <v>Sahibpur Kamal</v>
          </cell>
          <cell r="D2159" t="str">
            <v>Gomukh Chaidha</v>
          </cell>
          <cell r="E2159">
            <v>10110065</v>
          </cell>
          <cell r="F2159" t="str">
            <v>0034</v>
          </cell>
          <cell r="G2159">
            <v>13</v>
          </cell>
          <cell r="H2159">
            <v>42.640000000000008</v>
          </cell>
          <cell r="I2159">
            <v>1827.2024733600001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P2159">
            <v>1827</v>
          </cell>
          <cell r="V2159" t="str">
            <v>Available</v>
          </cell>
        </row>
        <row r="2160">
          <cell r="A2160" t="str">
            <v>101100650036</v>
          </cell>
          <cell r="B2160" t="str">
            <v>Sahibpur Kamal</v>
          </cell>
          <cell r="C2160" t="str">
            <v>Sahibpur Kamal</v>
          </cell>
          <cell r="D2160" t="str">
            <v>Gomukh Chaidha</v>
          </cell>
          <cell r="E2160">
            <v>10110065</v>
          </cell>
          <cell r="F2160" t="str">
            <v>0036</v>
          </cell>
          <cell r="G2160">
            <v>14</v>
          </cell>
          <cell r="H2160">
            <v>70.78</v>
          </cell>
          <cell r="I2160">
            <v>2734.0977351600004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P2160">
            <v>2734</v>
          </cell>
          <cell r="V2160" t="str">
            <v>Available</v>
          </cell>
        </row>
        <row r="2161">
          <cell r="A2161" t="str">
            <v>101100650039</v>
          </cell>
          <cell r="B2161" t="str">
            <v>Sahibpur Kamal</v>
          </cell>
          <cell r="C2161" t="str">
            <v>Sahibpur Kamal</v>
          </cell>
          <cell r="D2161" t="str">
            <v>Gomukh Chaidha</v>
          </cell>
          <cell r="E2161">
            <v>10110065</v>
          </cell>
          <cell r="F2161" t="str">
            <v>0039</v>
          </cell>
          <cell r="G2161">
            <v>7</v>
          </cell>
          <cell r="H2161">
            <v>23.7</v>
          </cell>
          <cell r="I2161">
            <v>1016.8278714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P2161">
            <v>1017</v>
          </cell>
          <cell r="V2161" t="str">
            <v>Available</v>
          </cell>
        </row>
        <row r="2162">
          <cell r="A2162" t="str">
            <v>101100650042</v>
          </cell>
          <cell r="B2162" t="str">
            <v>Sahibpur Kamal</v>
          </cell>
          <cell r="C2162" t="str">
            <v>Sahibpur Kamal</v>
          </cell>
          <cell r="D2162" t="str">
            <v>Gomukh Chaidha</v>
          </cell>
          <cell r="E2162">
            <v>10110065</v>
          </cell>
          <cell r="F2162" t="str">
            <v>0042</v>
          </cell>
          <cell r="G2162">
            <v>8</v>
          </cell>
          <cell r="H2162">
            <v>18.34</v>
          </cell>
          <cell r="I2162">
            <v>645.17057748000002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P2162">
            <v>645</v>
          </cell>
          <cell r="V2162" t="str">
            <v>Available</v>
          </cell>
        </row>
        <row r="2163">
          <cell r="A2163" t="str">
            <v>101100650044</v>
          </cell>
          <cell r="B2163" t="str">
            <v>Sahibpur Kamal</v>
          </cell>
          <cell r="C2163" t="str">
            <v>Sahibpur Kamal</v>
          </cell>
          <cell r="D2163" t="str">
            <v>Gomukh Chaidha</v>
          </cell>
          <cell r="E2163">
            <v>10110065</v>
          </cell>
          <cell r="F2163" t="str">
            <v>0044</v>
          </cell>
          <cell r="G2163">
            <v>2</v>
          </cell>
          <cell r="H2163">
            <v>2.2800000000000002</v>
          </cell>
          <cell r="I2163">
            <v>80.71258060800001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P2163">
            <v>81</v>
          </cell>
          <cell r="V2163" t="str">
            <v>Available</v>
          </cell>
        </row>
        <row r="2164">
          <cell r="A2164" t="str">
            <v>101100650053</v>
          </cell>
          <cell r="B2164" t="str">
            <v>Sahibpur Kamal</v>
          </cell>
          <cell r="C2164" t="str">
            <v>Sahibpur Kamal</v>
          </cell>
          <cell r="D2164" t="str">
            <v>Gomukh Chaidha</v>
          </cell>
          <cell r="E2164">
            <v>10110065</v>
          </cell>
          <cell r="F2164" t="str">
            <v>0053</v>
          </cell>
          <cell r="G2164">
            <v>14</v>
          </cell>
          <cell r="H2164">
            <v>47.84</v>
          </cell>
          <cell r="I2164">
            <v>1873.5030848160002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P2164">
            <v>1874</v>
          </cell>
          <cell r="V2164" t="str">
            <v>Available</v>
          </cell>
        </row>
        <row r="2165">
          <cell r="A2165" t="str">
            <v>101100650054</v>
          </cell>
          <cell r="B2165" t="str">
            <v>Sahibpur Kamal</v>
          </cell>
          <cell r="C2165" t="str">
            <v>Sahibpur Kamal</v>
          </cell>
          <cell r="D2165" t="str">
            <v>Gomukh Chaidha</v>
          </cell>
          <cell r="E2165">
            <v>10110065</v>
          </cell>
          <cell r="F2165" t="str">
            <v>0054</v>
          </cell>
          <cell r="G2165">
            <v>10</v>
          </cell>
          <cell r="H2165">
            <v>41.72</v>
          </cell>
          <cell r="I2165">
            <v>1641.8679805440004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P2165">
            <v>1642</v>
          </cell>
          <cell r="V2165" t="str">
            <v>Available</v>
          </cell>
        </row>
        <row r="2166">
          <cell r="A2166" t="str">
            <v>101100650056</v>
          </cell>
          <cell r="B2166" t="str">
            <v>Sahibpur Kamal</v>
          </cell>
          <cell r="C2166" t="str">
            <v>Sahibpur Kamal</v>
          </cell>
          <cell r="D2166" t="str">
            <v>Gomukh Chaidha</v>
          </cell>
          <cell r="E2166">
            <v>10110065</v>
          </cell>
          <cell r="F2166" t="str">
            <v>0056</v>
          </cell>
          <cell r="G2166">
            <v>14</v>
          </cell>
          <cell r="H2166">
            <v>93.62</v>
          </cell>
          <cell r="I2166">
            <v>3270.9900144240005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P2166">
            <v>3271</v>
          </cell>
          <cell r="V2166" t="str">
            <v>Available</v>
          </cell>
        </row>
        <row r="2167">
          <cell r="A2167" t="str">
            <v>101100650057</v>
          </cell>
          <cell r="B2167" t="str">
            <v>Sahibpur Kamal</v>
          </cell>
          <cell r="C2167" t="str">
            <v>Sahibpur Kamal</v>
          </cell>
          <cell r="D2167" t="str">
            <v>Gomukh Chaidha</v>
          </cell>
          <cell r="E2167">
            <v>10110065</v>
          </cell>
          <cell r="F2167" t="str">
            <v>0057</v>
          </cell>
          <cell r="G2167">
            <v>12</v>
          </cell>
          <cell r="H2167">
            <v>34</v>
          </cell>
          <cell r="I2167">
            <v>1176.1933569408002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P2167">
            <v>1176</v>
          </cell>
          <cell r="V2167" t="str">
            <v>Available</v>
          </cell>
        </row>
        <row r="2168">
          <cell r="A2168" t="str">
            <v>101100650058</v>
          </cell>
          <cell r="B2168" t="str">
            <v>Sahibpur Kamal</v>
          </cell>
          <cell r="C2168" t="str">
            <v>Sahibpur Kamal</v>
          </cell>
          <cell r="D2168" t="str">
            <v>Gomukh Chaidha</v>
          </cell>
          <cell r="E2168">
            <v>10110065</v>
          </cell>
          <cell r="F2168" t="str">
            <v>0058</v>
          </cell>
          <cell r="G2168">
            <v>13</v>
          </cell>
          <cell r="H2168">
            <v>65.56</v>
          </cell>
          <cell r="I2168">
            <v>2446.990403616001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P2168">
            <v>2447</v>
          </cell>
          <cell r="V2168" t="str">
            <v>Available</v>
          </cell>
        </row>
        <row r="2169">
          <cell r="A2169" t="str">
            <v>101100650059</v>
          </cell>
          <cell r="B2169" t="str">
            <v>Sahibpur Kamal</v>
          </cell>
          <cell r="C2169" t="str">
            <v>Sahibpur Kamal</v>
          </cell>
          <cell r="D2169" t="str">
            <v>Gomukh Chaidha</v>
          </cell>
          <cell r="E2169">
            <v>10110065</v>
          </cell>
          <cell r="F2169" t="str">
            <v>0059</v>
          </cell>
          <cell r="G2169">
            <v>6</v>
          </cell>
          <cell r="H2169">
            <v>9.2799999999999994</v>
          </cell>
          <cell r="I2169">
            <v>415.55194322400007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P2169">
            <v>416</v>
          </cell>
          <cell r="V2169" t="str">
            <v>Available</v>
          </cell>
        </row>
        <row r="2170">
          <cell r="A2170" t="str">
            <v>101100650060</v>
          </cell>
          <cell r="B2170" t="str">
            <v>Sahibpur Kamal</v>
          </cell>
          <cell r="C2170" t="str">
            <v>Sahibpur Kamal</v>
          </cell>
          <cell r="D2170" t="str">
            <v>Gomukh Chaidha</v>
          </cell>
          <cell r="E2170">
            <v>10110065</v>
          </cell>
          <cell r="F2170" t="str">
            <v>0060</v>
          </cell>
          <cell r="G2170">
            <v>7</v>
          </cell>
          <cell r="H2170">
            <v>332.32</v>
          </cell>
          <cell r="I2170">
            <v>14155.259774040003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P2170">
            <v>14155</v>
          </cell>
          <cell r="V2170" t="str">
            <v>Available</v>
          </cell>
        </row>
        <row r="2171">
          <cell r="A2171" t="str">
            <v>101100660001</v>
          </cell>
          <cell r="B2171" t="str">
            <v>Sahibpur Kamal</v>
          </cell>
          <cell r="C2171" t="str">
            <v>Sahibpur Kamal</v>
          </cell>
          <cell r="D2171" t="str">
            <v>Gomukh Bakiya</v>
          </cell>
          <cell r="E2171">
            <v>10110066</v>
          </cell>
          <cell r="F2171" t="str">
            <v>0001</v>
          </cell>
          <cell r="G2171">
            <v>8</v>
          </cell>
          <cell r="H2171">
            <v>4.76</v>
          </cell>
          <cell r="I2171">
            <v>190.72406548800004</v>
          </cell>
          <cell r="J2171">
            <v>0</v>
          </cell>
          <cell r="K2171">
            <v>190.72406548800004</v>
          </cell>
          <cell r="L2171">
            <v>0</v>
          </cell>
          <cell r="M2171">
            <v>0</v>
          </cell>
          <cell r="P2171">
            <v>0</v>
          </cell>
          <cell r="V2171" t="str">
            <v>Not Available</v>
          </cell>
        </row>
        <row r="2172">
          <cell r="A2172" t="str">
            <v>101100660002</v>
          </cell>
          <cell r="B2172" t="str">
            <v>Sahibpur Kamal</v>
          </cell>
          <cell r="C2172" t="str">
            <v>Sahibpur Kamal</v>
          </cell>
          <cell r="D2172" t="str">
            <v>Gomukh Bakiya</v>
          </cell>
          <cell r="E2172">
            <v>10110066</v>
          </cell>
          <cell r="F2172" t="str">
            <v>0002</v>
          </cell>
          <cell r="G2172">
            <v>2</v>
          </cell>
          <cell r="H2172">
            <v>57.4</v>
          </cell>
          <cell r="I2172">
            <v>2129.69588832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P2172">
            <v>2130</v>
          </cell>
          <cell r="V2172" t="str">
            <v>Available</v>
          </cell>
        </row>
        <row r="2173">
          <cell r="A2173" t="str">
            <v>101100660004</v>
          </cell>
          <cell r="B2173" t="str">
            <v>Sahibpur Kamal</v>
          </cell>
          <cell r="C2173" t="str">
            <v>Sahibpur Kamal</v>
          </cell>
          <cell r="D2173" t="str">
            <v>Gomukh Bakiya</v>
          </cell>
          <cell r="E2173">
            <v>10110066</v>
          </cell>
          <cell r="F2173" t="str">
            <v>0004</v>
          </cell>
          <cell r="G2173">
            <v>13</v>
          </cell>
          <cell r="H2173">
            <v>35</v>
          </cell>
          <cell r="I2173">
            <v>1838.0030603556997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P2173">
            <v>1838</v>
          </cell>
          <cell r="V2173" t="str">
            <v>Available</v>
          </cell>
        </row>
        <row r="2174">
          <cell r="A2174" t="str">
            <v>101100660008</v>
          </cell>
          <cell r="B2174" t="str">
            <v>Sahibpur Kamal</v>
          </cell>
          <cell r="C2174" t="str">
            <v>Sahibpur Kamal</v>
          </cell>
          <cell r="D2174" t="str">
            <v>Gomukh Bakiya</v>
          </cell>
          <cell r="E2174">
            <v>10110066</v>
          </cell>
          <cell r="F2174" t="str">
            <v>0008</v>
          </cell>
          <cell r="G2174">
            <v>12</v>
          </cell>
          <cell r="H2174">
            <v>35.300000000000004</v>
          </cell>
          <cell r="I2174">
            <v>1987.9149950062999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P2174">
            <v>1988</v>
          </cell>
          <cell r="V2174" t="str">
            <v>Available</v>
          </cell>
        </row>
        <row r="2175">
          <cell r="A2175" t="str">
            <v>101100660013</v>
          </cell>
          <cell r="B2175" t="str">
            <v>Sahibpur Kamal</v>
          </cell>
          <cell r="C2175" t="str">
            <v>Sahibpur Kamal</v>
          </cell>
          <cell r="D2175" t="str">
            <v>Gomukh Bakiya</v>
          </cell>
          <cell r="E2175">
            <v>10110066</v>
          </cell>
          <cell r="F2175" t="str">
            <v>0013</v>
          </cell>
          <cell r="G2175">
            <v>13</v>
          </cell>
          <cell r="H2175">
            <v>24.02</v>
          </cell>
          <cell r="I2175">
            <v>976.7732626080001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P2175">
            <v>977</v>
          </cell>
          <cell r="V2175" t="str">
            <v>Available</v>
          </cell>
        </row>
        <row r="2176">
          <cell r="A2176" t="str">
            <v>101100660015</v>
          </cell>
          <cell r="B2176" t="str">
            <v>Sahibpur Kamal</v>
          </cell>
          <cell r="C2176" t="str">
            <v>Sahibpur Kamal</v>
          </cell>
          <cell r="D2176" t="str">
            <v>Gomukh Bakiya</v>
          </cell>
          <cell r="E2176">
            <v>10110066</v>
          </cell>
          <cell r="F2176" t="str">
            <v>0015</v>
          </cell>
          <cell r="G2176">
            <v>3</v>
          </cell>
          <cell r="H2176">
            <v>6.48</v>
          </cell>
          <cell r="I2176">
            <v>265.86583056000006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P2176">
            <v>266</v>
          </cell>
          <cell r="V2176" t="str">
            <v>Available</v>
          </cell>
        </row>
        <row r="2177">
          <cell r="A2177" t="str">
            <v>101100660016</v>
          </cell>
          <cell r="B2177" t="str">
            <v>Sahibpur Kamal</v>
          </cell>
          <cell r="C2177" t="str">
            <v>Sahibpur Kamal</v>
          </cell>
          <cell r="D2177" t="str">
            <v>Gomukh Bakiya</v>
          </cell>
          <cell r="E2177">
            <v>10110066</v>
          </cell>
          <cell r="F2177" t="str">
            <v>0016</v>
          </cell>
          <cell r="G2177">
            <v>14</v>
          </cell>
          <cell r="H2177">
            <v>432.6</v>
          </cell>
          <cell r="I2177">
            <v>17745.524988061203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P2177">
            <v>17746</v>
          </cell>
          <cell r="V2177" t="str">
            <v>Available</v>
          </cell>
        </row>
        <row r="2178">
          <cell r="A2178" t="str">
            <v>101100660019</v>
          </cell>
          <cell r="B2178" t="str">
            <v>Sahibpur Kamal</v>
          </cell>
          <cell r="C2178" t="str">
            <v>Sahibpur Kamal</v>
          </cell>
          <cell r="D2178" t="str">
            <v>Gomukh Bakiya</v>
          </cell>
          <cell r="E2178">
            <v>10110066</v>
          </cell>
          <cell r="F2178" t="str">
            <v>0019</v>
          </cell>
          <cell r="G2178">
            <v>14</v>
          </cell>
          <cell r="H2178">
            <v>94.64</v>
          </cell>
          <cell r="I2178">
            <v>3506.4506616479994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P2178">
            <v>3506</v>
          </cell>
          <cell r="V2178" t="str">
            <v>Available</v>
          </cell>
        </row>
        <row r="2179">
          <cell r="A2179" t="str">
            <v>101100660020</v>
          </cell>
          <cell r="B2179" t="str">
            <v>Sahibpur Kamal</v>
          </cell>
          <cell r="C2179" t="str">
            <v>Sahibpur Kamal</v>
          </cell>
          <cell r="D2179" t="str">
            <v>Gomukh Bakiya</v>
          </cell>
          <cell r="E2179">
            <v>10110066</v>
          </cell>
          <cell r="F2179" t="str">
            <v>0020</v>
          </cell>
          <cell r="G2179">
            <v>12</v>
          </cell>
          <cell r="H2179">
            <v>19.100000000000001</v>
          </cell>
          <cell r="I2179">
            <v>671.07820859640003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P2179">
            <v>671</v>
          </cell>
          <cell r="V2179" t="str">
            <v>Available</v>
          </cell>
        </row>
        <row r="2180">
          <cell r="A2180" t="str">
            <v>101100660021</v>
          </cell>
          <cell r="B2180" t="str">
            <v>Sahibpur Kamal</v>
          </cell>
          <cell r="C2180" t="str">
            <v>Sahibpur Kamal</v>
          </cell>
          <cell r="D2180" t="str">
            <v>Gomukh Bakiya</v>
          </cell>
          <cell r="E2180">
            <v>10110066</v>
          </cell>
          <cell r="F2180" t="str">
            <v>0021</v>
          </cell>
          <cell r="G2180">
            <v>12</v>
          </cell>
          <cell r="H2180">
            <v>22.12</v>
          </cell>
          <cell r="I2180">
            <v>808.93650202200001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P2180">
            <v>809</v>
          </cell>
          <cell r="V2180" t="str">
            <v>Available</v>
          </cell>
        </row>
        <row r="2181">
          <cell r="A2181" t="str">
            <v>101100660024</v>
          </cell>
          <cell r="B2181" t="str">
            <v>Sahibpur Kamal</v>
          </cell>
          <cell r="C2181" t="str">
            <v>Sahibpur Kamal</v>
          </cell>
          <cell r="D2181" t="str">
            <v>Gomukh Bakiya</v>
          </cell>
          <cell r="E2181">
            <v>10110066</v>
          </cell>
          <cell r="F2181" t="str">
            <v>0024</v>
          </cell>
          <cell r="G2181">
            <v>7</v>
          </cell>
          <cell r="H2181">
            <v>12.4</v>
          </cell>
          <cell r="I2181">
            <v>545.12481793230006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P2181">
            <v>545</v>
          </cell>
          <cell r="V2181" t="str">
            <v>Available</v>
          </cell>
        </row>
        <row r="2182">
          <cell r="A2182" t="str">
            <v>101100660027</v>
          </cell>
          <cell r="B2182" t="str">
            <v>Sahibpur Kamal</v>
          </cell>
          <cell r="C2182" t="str">
            <v>Sahibpur Kamal</v>
          </cell>
          <cell r="D2182" t="str">
            <v>Gomukh Bakiya</v>
          </cell>
          <cell r="E2182">
            <v>10110066</v>
          </cell>
          <cell r="F2182" t="str">
            <v>0027</v>
          </cell>
          <cell r="G2182">
            <v>12</v>
          </cell>
          <cell r="H2182">
            <v>17.720000000000002</v>
          </cell>
          <cell r="I2182">
            <v>740.07087236438406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P2182">
            <v>740</v>
          </cell>
          <cell r="V2182" t="str">
            <v>Available</v>
          </cell>
        </row>
        <row r="2183">
          <cell r="A2183" t="str">
            <v>101100660028</v>
          </cell>
          <cell r="B2183" t="str">
            <v>Sahibpur Kamal</v>
          </cell>
          <cell r="C2183" t="str">
            <v>Sahibpur Kamal</v>
          </cell>
          <cell r="D2183" t="str">
            <v>Gomukh Bakiya</v>
          </cell>
          <cell r="E2183">
            <v>10110066</v>
          </cell>
          <cell r="F2183" t="str">
            <v>0028</v>
          </cell>
          <cell r="G2183">
            <v>5</v>
          </cell>
          <cell r="H2183">
            <v>9.44</v>
          </cell>
          <cell r="I2183">
            <v>493.74481984620002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P2183">
            <v>494</v>
          </cell>
          <cell r="V2183" t="str">
            <v>Available</v>
          </cell>
        </row>
        <row r="2184">
          <cell r="A2184" t="str">
            <v>101100660032</v>
          </cell>
          <cell r="B2184" t="str">
            <v>Sahibpur Kamal</v>
          </cell>
          <cell r="C2184" t="str">
            <v>Sahibpur Kamal</v>
          </cell>
          <cell r="D2184" t="str">
            <v>Gomukh Bakiya</v>
          </cell>
          <cell r="E2184">
            <v>10110066</v>
          </cell>
          <cell r="F2184" t="str">
            <v>0032</v>
          </cell>
          <cell r="G2184">
            <v>14</v>
          </cell>
          <cell r="H2184">
            <v>81.92</v>
          </cell>
          <cell r="I2184">
            <v>2925.7460416008003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P2184">
            <v>2926</v>
          </cell>
          <cell r="V2184" t="str">
            <v>Available</v>
          </cell>
        </row>
        <row r="2185">
          <cell r="A2185" t="str">
            <v>101100660034</v>
          </cell>
          <cell r="B2185" t="str">
            <v>Sahibpur Kamal</v>
          </cell>
          <cell r="C2185" t="str">
            <v>Sahibpur Kamal</v>
          </cell>
          <cell r="D2185" t="str">
            <v>Gomukh Bakiya</v>
          </cell>
          <cell r="E2185">
            <v>10110066</v>
          </cell>
          <cell r="F2185" t="str">
            <v>0034</v>
          </cell>
          <cell r="G2185">
            <v>6</v>
          </cell>
          <cell r="H2185">
            <v>6.84</v>
          </cell>
          <cell r="I2185">
            <v>246.47792035680001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P2185">
            <v>246</v>
          </cell>
          <cell r="V2185" t="str">
            <v>Available</v>
          </cell>
        </row>
        <row r="2186">
          <cell r="A2186" t="str">
            <v>101100660035</v>
          </cell>
          <cell r="B2186" t="str">
            <v>Sahibpur Kamal</v>
          </cell>
          <cell r="C2186" t="str">
            <v>Sahibpur Kamal</v>
          </cell>
          <cell r="D2186" t="str">
            <v>Gomukh Bakiya</v>
          </cell>
          <cell r="E2186">
            <v>10110066</v>
          </cell>
          <cell r="F2186" t="str">
            <v>0035</v>
          </cell>
          <cell r="G2186">
            <v>14</v>
          </cell>
          <cell r="H2186">
            <v>103.33999999999999</v>
          </cell>
          <cell r="I2186">
            <v>3677.4163423404007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P2186">
            <v>3677</v>
          </cell>
          <cell r="V2186" t="str">
            <v>Available</v>
          </cell>
        </row>
        <row r="2187">
          <cell r="A2187" t="str">
            <v>101100660036</v>
          </cell>
          <cell r="B2187" t="str">
            <v>Sahibpur Kamal</v>
          </cell>
          <cell r="C2187" t="str">
            <v>Sahibpur Kamal</v>
          </cell>
          <cell r="D2187" t="str">
            <v>Gomukh Bakiya</v>
          </cell>
          <cell r="E2187">
            <v>10110066</v>
          </cell>
          <cell r="F2187" t="str">
            <v>0036</v>
          </cell>
          <cell r="G2187">
            <v>6</v>
          </cell>
          <cell r="H2187">
            <v>42.04</v>
          </cell>
          <cell r="I2187">
            <v>1498.2516991728003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P2187">
            <v>1498</v>
          </cell>
          <cell r="V2187" t="str">
            <v>Available</v>
          </cell>
        </row>
        <row r="2188">
          <cell r="A2188" t="str">
            <v>101100710002</v>
          </cell>
          <cell r="B2188" t="str">
            <v>Sahibpur Kamal</v>
          </cell>
          <cell r="C2188" t="str">
            <v>Sahibpur Kamal</v>
          </cell>
          <cell r="D2188" t="str">
            <v>Gomukh Sadpur</v>
          </cell>
          <cell r="E2188">
            <v>10110071</v>
          </cell>
          <cell r="F2188" t="str">
            <v>0002</v>
          </cell>
          <cell r="G2188">
            <v>1</v>
          </cell>
          <cell r="H2188">
            <v>19</v>
          </cell>
          <cell r="I2188">
            <v>700.00162253999997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P2188">
            <v>267</v>
          </cell>
          <cell r="V2188" t="str">
            <v>Available</v>
          </cell>
        </row>
        <row r="2189">
          <cell r="A2189" t="str">
            <v>101100730004</v>
          </cell>
          <cell r="B2189" t="str">
            <v>Sahibpur Kamal</v>
          </cell>
          <cell r="C2189" t="str">
            <v>Sahibpur Kamal</v>
          </cell>
          <cell r="D2189" t="str">
            <v>GOMUKH Nista Tol</v>
          </cell>
          <cell r="E2189">
            <v>10110073</v>
          </cell>
          <cell r="F2189" t="str">
            <v>0004</v>
          </cell>
          <cell r="G2189">
            <v>3</v>
          </cell>
          <cell r="H2189">
            <v>42.17</v>
          </cell>
          <cell r="I2189">
            <v>1487.458158912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P2189">
            <v>931</v>
          </cell>
          <cell r="V2189" t="str">
            <v>Available</v>
          </cell>
        </row>
        <row r="2190">
          <cell r="A2190" t="str">
            <v>101100730010</v>
          </cell>
          <cell r="B2190" t="str">
            <v>Sahibpur Kamal</v>
          </cell>
          <cell r="C2190" t="str">
            <v>Sahibpur Kamal</v>
          </cell>
          <cell r="D2190" t="str">
            <v>GOMUKH Nista Tol</v>
          </cell>
          <cell r="E2190">
            <v>10110073</v>
          </cell>
          <cell r="F2190" t="str">
            <v>0010</v>
          </cell>
          <cell r="G2190">
            <v>3</v>
          </cell>
          <cell r="H2190">
            <v>15.2</v>
          </cell>
          <cell r="I2190">
            <v>527.36743580400002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P2190">
            <v>527</v>
          </cell>
          <cell r="V2190" t="str">
            <v>Available</v>
          </cell>
        </row>
        <row r="2191">
          <cell r="A2191" t="str">
            <v>101100760001</v>
          </cell>
          <cell r="B2191" t="str">
            <v>Sahibpur Kamal</v>
          </cell>
          <cell r="C2191" t="str">
            <v>Sahibpur Kamal</v>
          </cell>
          <cell r="D2191" t="str">
            <v>GOMUKH SRINAGAR</v>
          </cell>
          <cell r="E2191">
            <v>10110076</v>
          </cell>
          <cell r="F2191" t="str">
            <v>0001</v>
          </cell>
          <cell r="G2191">
            <v>14</v>
          </cell>
          <cell r="H2191">
            <v>4.4400000000000013</v>
          </cell>
          <cell r="I2191">
            <v>177.093996777</v>
          </cell>
          <cell r="J2191">
            <v>0</v>
          </cell>
          <cell r="K2191">
            <v>177.093996777</v>
          </cell>
          <cell r="L2191">
            <v>0</v>
          </cell>
          <cell r="M2191">
            <v>0</v>
          </cell>
          <cell r="P2191">
            <v>0</v>
          </cell>
          <cell r="V2191" t="str">
            <v>Not Available</v>
          </cell>
        </row>
        <row r="2192">
          <cell r="A2192" t="str">
            <v>101100760002</v>
          </cell>
          <cell r="B2192" t="str">
            <v>Sahibpur Kamal</v>
          </cell>
          <cell r="C2192" t="str">
            <v>Sahibpur Kamal</v>
          </cell>
          <cell r="D2192" t="str">
            <v>GOMUKH SRINAGAR</v>
          </cell>
          <cell r="E2192">
            <v>10110076</v>
          </cell>
          <cell r="F2192" t="str">
            <v>0002</v>
          </cell>
          <cell r="G2192">
            <v>13</v>
          </cell>
          <cell r="H2192">
            <v>231.11999999999995</v>
          </cell>
          <cell r="I2192">
            <v>11269.363990989739</v>
          </cell>
          <cell r="J2192">
            <v>0</v>
          </cell>
          <cell r="K2192">
            <v>0</v>
          </cell>
          <cell r="L2192">
            <v>3111</v>
          </cell>
          <cell r="M2192">
            <v>0</v>
          </cell>
          <cell r="P2192">
            <v>8158</v>
          </cell>
          <cell r="V2192" t="str">
            <v>Available</v>
          </cell>
        </row>
        <row r="2193">
          <cell r="A2193" t="str">
            <v>101100760004</v>
          </cell>
          <cell r="B2193" t="str">
            <v>Sahibpur Kamal</v>
          </cell>
          <cell r="C2193" t="str">
            <v>Sahibpur Kamal</v>
          </cell>
          <cell r="D2193" t="str">
            <v>GOMUKH SRINAGAR</v>
          </cell>
          <cell r="E2193">
            <v>10110076</v>
          </cell>
          <cell r="F2193" t="str">
            <v>0004</v>
          </cell>
          <cell r="G2193">
            <v>13</v>
          </cell>
          <cell r="H2193">
            <v>206.06</v>
          </cell>
          <cell r="I2193">
            <v>8594.52476402088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P2193">
            <v>8595</v>
          </cell>
          <cell r="V2193" t="str">
            <v>Available</v>
          </cell>
        </row>
        <row r="2194">
          <cell r="A2194" t="str">
            <v>101100760005</v>
          </cell>
          <cell r="B2194" t="str">
            <v>Sahibpur Kamal</v>
          </cell>
          <cell r="C2194" t="str">
            <v>Sahibpur Kamal</v>
          </cell>
          <cell r="D2194" t="str">
            <v>GOMUKH SRINAGAR</v>
          </cell>
          <cell r="E2194">
            <v>10110076</v>
          </cell>
          <cell r="F2194" t="str">
            <v>0005</v>
          </cell>
          <cell r="G2194">
            <v>14</v>
          </cell>
          <cell r="H2194">
            <v>243.98000000000002</v>
          </cell>
          <cell r="I2194">
            <v>10967.812147775519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P2194">
            <v>10968</v>
          </cell>
          <cell r="V2194" t="str">
            <v>Available</v>
          </cell>
        </row>
        <row r="2195">
          <cell r="A2195" t="str">
            <v>101100760008</v>
          </cell>
          <cell r="B2195" t="str">
            <v>Sahibpur Kamal</v>
          </cell>
          <cell r="C2195" t="str">
            <v>Sahibpur Kamal</v>
          </cell>
          <cell r="D2195" t="str">
            <v>GOMUKH SRINAGAR</v>
          </cell>
          <cell r="E2195">
            <v>10110076</v>
          </cell>
          <cell r="F2195" t="str">
            <v>0008</v>
          </cell>
          <cell r="G2195">
            <v>14</v>
          </cell>
          <cell r="H2195">
            <v>191.76</v>
          </cell>
          <cell r="I2195">
            <v>7728.484029991203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P2195">
            <v>7728</v>
          </cell>
          <cell r="V2195" t="str">
            <v>Available</v>
          </cell>
        </row>
        <row r="2196">
          <cell r="A2196" t="str">
            <v>101100760009</v>
          </cell>
          <cell r="B2196" t="str">
            <v>Sahibpur Kamal</v>
          </cell>
          <cell r="C2196" t="str">
            <v>Sahibpur Kamal</v>
          </cell>
          <cell r="D2196" t="str">
            <v>GOMUKH SRINAGAR</v>
          </cell>
          <cell r="E2196">
            <v>10110076</v>
          </cell>
          <cell r="F2196" t="str">
            <v>0009</v>
          </cell>
          <cell r="G2196">
            <v>13</v>
          </cell>
          <cell r="H2196">
            <v>213.72000000000003</v>
          </cell>
          <cell r="I2196">
            <v>8609.7141283912824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P2196">
            <v>8610</v>
          </cell>
          <cell r="V2196" t="str">
            <v>Available</v>
          </cell>
        </row>
        <row r="2197">
          <cell r="A2197" t="str">
            <v>101100760010</v>
          </cell>
          <cell r="B2197" t="str">
            <v>Sahibpur Kamal</v>
          </cell>
          <cell r="C2197" t="str">
            <v>Sahibpur Kamal</v>
          </cell>
          <cell r="D2197" t="str">
            <v>GOMUKH SRINAGAR</v>
          </cell>
          <cell r="E2197">
            <v>10110076</v>
          </cell>
          <cell r="F2197" t="str">
            <v>0010</v>
          </cell>
          <cell r="G2197">
            <v>14</v>
          </cell>
          <cell r="H2197">
            <v>139.07999999999998</v>
          </cell>
          <cell r="I2197">
            <v>5457.6451749006001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P2197">
            <v>5458</v>
          </cell>
          <cell r="V2197" t="str">
            <v>Available</v>
          </cell>
        </row>
        <row r="2198">
          <cell r="A2198" t="str">
            <v>101100760011</v>
          </cell>
          <cell r="B2198" t="str">
            <v>Sahibpur Kamal</v>
          </cell>
          <cell r="C2198" t="str">
            <v>Sahibpur Kamal</v>
          </cell>
          <cell r="D2198" t="str">
            <v>GOMUKH SRINAGAR</v>
          </cell>
          <cell r="E2198">
            <v>10110076</v>
          </cell>
          <cell r="F2198" t="str">
            <v>0011</v>
          </cell>
          <cell r="G2198">
            <v>12</v>
          </cell>
          <cell r="H2198">
            <v>106.56</v>
          </cell>
          <cell r="I2198">
            <v>4231.546107791728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P2198">
            <v>4232</v>
          </cell>
          <cell r="V2198" t="str">
            <v>Not Available</v>
          </cell>
        </row>
        <row r="2199">
          <cell r="A2199" t="str">
            <v>101100760012</v>
          </cell>
          <cell r="B2199" t="str">
            <v>Sahibpur Kamal</v>
          </cell>
          <cell r="C2199" t="str">
            <v>Sahibpur Kamal</v>
          </cell>
          <cell r="D2199" t="str">
            <v>GOMUKH SRINAGAR</v>
          </cell>
          <cell r="E2199">
            <v>10110076</v>
          </cell>
          <cell r="F2199" t="str">
            <v>0012</v>
          </cell>
          <cell r="G2199">
            <v>10</v>
          </cell>
          <cell r="H2199">
            <v>72.759999999999991</v>
          </cell>
          <cell r="I2199">
            <v>2883.5582791840002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P2199">
            <v>2884</v>
          </cell>
          <cell r="V2199" t="str">
            <v>Not Available</v>
          </cell>
        </row>
        <row r="2200">
          <cell r="A2200" t="str">
            <v>101100760014</v>
          </cell>
          <cell r="B2200" t="str">
            <v>Sahibpur Kamal</v>
          </cell>
          <cell r="C2200" t="str">
            <v>Sahibpur Kamal</v>
          </cell>
          <cell r="D2200" t="str">
            <v>GOMUKH SRINAGAR</v>
          </cell>
          <cell r="E2200">
            <v>10110076</v>
          </cell>
          <cell r="F2200" t="str">
            <v>0014</v>
          </cell>
          <cell r="G2200">
            <v>8</v>
          </cell>
          <cell r="H2200">
            <v>67.259999999999991</v>
          </cell>
          <cell r="I2200">
            <v>2968.7666146837205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P2200">
            <v>2969</v>
          </cell>
          <cell r="V2200" t="str">
            <v>Not Available</v>
          </cell>
        </row>
        <row r="2201">
          <cell r="A2201" t="str">
            <v>101100760015</v>
          </cell>
          <cell r="B2201" t="str">
            <v>Sahibpur Kamal</v>
          </cell>
          <cell r="C2201" t="str">
            <v>Sahibpur Kamal</v>
          </cell>
          <cell r="D2201" t="str">
            <v>GOMUKH SRINAGAR</v>
          </cell>
          <cell r="E2201">
            <v>10110076</v>
          </cell>
          <cell r="F2201" t="str">
            <v>0015</v>
          </cell>
          <cell r="G2201">
            <v>6</v>
          </cell>
          <cell r="H2201">
            <v>42.42</v>
          </cell>
          <cell r="I2201">
            <v>1745.1910811831999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P2201">
            <v>1745</v>
          </cell>
          <cell r="V2201" t="str">
            <v>Not Available</v>
          </cell>
        </row>
        <row r="2202">
          <cell r="A2202" t="str">
            <v>101100780002</v>
          </cell>
          <cell r="B2202" t="str">
            <v>Sahibpur Kamal</v>
          </cell>
          <cell r="C2202" t="str">
            <v>Sahibpur Kamal</v>
          </cell>
          <cell r="D2202" t="str">
            <v>GOMUKH THATHA</v>
          </cell>
          <cell r="E2202">
            <v>10110078</v>
          </cell>
          <cell r="F2202" t="str">
            <v>0002</v>
          </cell>
          <cell r="G2202">
            <v>14</v>
          </cell>
          <cell r="H2202">
            <v>465.2</v>
          </cell>
          <cell r="I2202">
            <v>15559.641302040001</v>
          </cell>
          <cell r="J2202">
            <v>0</v>
          </cell>
          <cell r="K2202">
            <v>0</v>
          </cell>
          <cell r="L2202">
            <v>260</v>
          </cell>
          <cell r="M2202">
            <v>0</v>
          </cell>
          <cell r="P2202">
            <v>15300</v>
          </cell>
          <cell r="V2202" t="str">
            <v>Available</v>
          </cell>
        </row>
        <row r="2203">
          <cell r="A2203" t="str">
            <v>101100830002</v>
          </cell>
          <cell r="B2203" t="str">
            <v>Sahibpur Kamal</v>
          </cell>
          <cell r="C2203" t="str">
            <v>Sahibpur Kamal</v>
          </cell>
          <cell r="D2203" t="str">
            <v>GOMUKH SANHA NAYATOLA</v>
          </cell>
          <cell r="E2203">
            <v>10110083</v>
          </cell>
          <cell r="F2203" t="str">
            <v>0002</v>
          </cell>
          <cell r="G2203">
            <v>1</v>
          </cell>
          <cell r="H2203">
            <v>263</v>
          </cell>
          <cell r="I2203">
            <v>9755.4806712000009</v>
          </cell>
          <cell r="J2203">
            <v>0</v>
          </cell>
          <cell r="K2203">
            <v>0</v>
          </cell>
          <cell r="L2203">
            <v>10</v>
          </cell>
          <cell r="M2203">
            <v>0</v>
          </cell>
          <cell r="P2203">
            <v>9223</v>
          </cell>
          <cell r="V2203" t="str">
            <v>Available</v>
          </cell>
        </row>
        <row r="2204">
          <cell r="A2204" t="str">
            <v>101100860001</v>
          </cell>
          <cell r="B2204" t="str">
            <v>Sahibpur Kamal</v>
          </cell>
          <cell r="C2204" t="str">
            <v>Sahibpur Kamal</v>
          </cell>
          <cell r="D2204" t="str">
            <v>Gomukh Durgapur</v>
          </cell>
          <cell r="E2204">
            <v>10110086</v>
          </cell>
          <cell r="F2204" t="str">
            <v>0001</v>
          </cell>
          <cell r="G2204">
            <v>5</v>
          </cell>
          <cell r="H2204">
            <v>1.4</v>
          </cell>
          <cell r="I2204">
            <v>54.068735160000003</v>
          </cell>
          <cell r="J2204">
            <v>0</v>
          </cell>
          <cell r="K2204">
            <v>54.068735160000003</v>
          </cell>
          <cell r="L2204">
            <v>0</v>
          </cell>
          <cell r="M2204">
            <v>0</v>
          </cell>
          <cell r="P2204">
            <v>0</v>
          </cell>
          <cell r="V2204" t="str">
            <v>Not Available</v>
          </cell>
        </row>
        <row r="2205">
          <cell r="A2205" t="str">
            <v>101100860002</v>
          </cell>
          <cell r="B2205" t="str">
            <v>Sahibpur Kamal</v>
          </cell>
          <cell r="C2205" t="str">
            <v>Sahibpur Kamal</v>
          </cell>
          <cell r="D2205" t="str">
            <v>Gomukh Durgapur</v>
          </cell>
          <cell r="E2205">
            <v>10110086</v>
          </cell>
          <cell r="F2205" t="str">
            <v>0002</v>
          </cell>
          <cell r="G2205">
            <v>6</v>
          </cell>
          <cell r="H2205">
            <v>98.200000000000017</v>
          </cell>
          <cell r="I2205">
            <v>3843.7641633600006</v>
          </cell>
          <cell r="J2205">
            <v>0</v>
          </cell>
          <cell r="K2205">
            <v>0</v>
          </cell>
          <cell r="L2205">
            <v>437</v>
          </cell>
          <cell r="M2205">
            <v>0</v>
          </cell>
          <cell r="P2205">
            <v>3407</v>
          </cell>
          <cell r="V2205" t="str">
            <v>Available</v>
          </cell>
        </row>
        <row r="2206">
          <cell r="A2206" t="str">
            <v>101100860003</v>
          </cell>
          <cell r="B2206" t="str">
            <v>Sahibpur Kamal</v>
          </cell>
          <cell r="C2206" t="str">
            <v>Sahibpur Kamal</v>
          </cell>
          <cell r="D2206" t="str">
            <v>Gomukh Durgapur</v>
          </cell>
          <cell r="E2206">
            <v>10110086</v>
          </cell>
          <cell r="F2206" t="str">
            <v>0003</v>
          </cell>
          <cell r="G2206">
            <v>1</v>
          </cell>
          <cell r="H2206">
            <v>22.4</v>
          </cell>
          <cell r="I2206">
            <v>863.41014144000019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P2206">
            <v>863</v>
          </cell>
          <cell r="V2206" t="str">
            <v>Available</v>
          </cell>
        </row>
        <row r="2207">
          <cell r="A2207" t="str">
            <v>101100860004</v>
          </cell>
          <cell r="B2207" t="str">
            <v>Sahibpur Kamal</v>
          </cell>
          <cell r="C2207" t="str">
            <v>Sahibpur Kamal</v>
          </cell>
          <cell r="D2207" t="str">
            <v>Gomukh Durgapur</v>
          </cell>
          <cell r="E2207">
            <v>10110086</v>
          </cell>
          <cell r="F2207" t="str">
            <v>0004</v>
          </cell>
          <cell r="G2207">
            <v>5</v>
          </cell>
          <cell r="H2207">
            <v>131.1</v>
          </cell>
          <cell r="I2207">
            <v>5216.9949255600004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P2207">
            <v>5217</v>
          </cell>
          <cell r="V2207" t="str">
            <v>Available</v>
          </cell>
        </row>
        <row r="2208">
          <cell r="A2208" t="str">
            <v>101100860008</v>
          </cell>
          <cell r="B2208" t="str">
            <v>Sahibpur Kamal</v>
          </cell>
          <cell r="C2208" t="str">
            <v>Sahibpur Kamal</v>
          </cell>
          <cell r="D2208" t="str">
            <v>Gomukh Durgapur</v>
          </cell>
          <cell r="E2208">
            <v>10110086</v>
          </cell>
          <cell r="F2208" t="str">
            <v>0008</v>
          </cell>
          <cell r="G2208">
            <v>5</v>
          </cell>
          <cell r="H2208">
            <v>128.80000000000001</v>
          </cell>
          <cell r="I2208">
            <v>4971.5117139600015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P2208">
            <v>4972</v>
          </cell>
          <cell r="V2208" t="str">
            <v>Available</v>
          </cell>
        </row>
        <row r="2209">
          <cell r="A2209" t="str">
            <v>101100930001</v>
          </cell>
          <cell r="B2209" t="str">
            <v xml:space="preserve">Alauli </v>
          </cell>
          <cell r="C2209" t="str">
            <v xml:space="preserve">Alauli </v>
          </cell>
          <cell r="D2209" t="str">
            <v>Gomukh Koniya</v>
          </cell>
          <cell r="E2209">
            <v>10110093</v>
          </cell>
          <cell r="F2209" t="str">
            <v>0001</v>
          </cell>
          <cell r="G2209">
            <v>12</v>
          </cell>
          <cell r="H2209">
            <v>12</v>
          </cell>
          <cell r="I2209">
            <v>467.8209756</v>
          </cell>
          <cell r="J2209">
            <v>0</v>
          </cell>
          <cell r="K2209">
            <v>467.8209756</v>
          </cell>
          <cell r="L2209">
            <v>0</v>
          </cell>
          <cell r="M2209">
            <v>0</v>
          </cell>
          <cell r="P2209">
            <v>0</v>
          </cell>
          <cell r="V2209" t="str">
            <v>Not Available</v>
          </cell>
        </row>
        <row r="2210">
          <cell r="A2210" t="str">
            <v>101100930002</v>
          </cell>
          <cell r="B2210" t="str">
            <v xml:space="preserve">Alauli </v>
          </cell>
          <cell r="C2210" t="str">
            <v xml:space="preserve">Alauli </v>
          </cell>
          <cell r="D2210" t="str">
            <v>Gomukh Koniya</v>
          </cell>
          <cell r="E2210">
            <v>10110093</v>
          </cell>
          <cell r="F2210" t="str">
            <v>0002</v>
          </cell>
          <cell r="G2210">
            <v>12</v>
          </cell>
          <cell r="H2210">
            <v>506.49999999999994</v>
          </cell>
          <cell r="I2210">
            <v>19856.386210320001</v>
          </cell>
          <cell r="J2210">
            <v>0</v>
          </cell>
          <cell r="K2210">
            <v>0</v>
          </cell>
          <cell r="L2210">
            <v>4418</v>
          </cell>
          <cell r="M2210">
            <v>0</v>
          </cell>
          <cell r="P2210">
            <v>15438</v>
          </cell>
          <cell r="V2210" t="str">
            <v>Available</v>
          </cell>
        </row>
        <row r="2211">
          <cell r="A2211" t="str">
            <v>101100940001</v>
          </cell>
          <cell r="B2211" t="str">
            <v>Sahibpur Kamal</v>
          </cell>
          <cell r="C2211" t="str">
            <v>Sahibpur Kamal</v>
          </cell>
          <cell r="D2211" t="str">
            <v>GOMUKH ROHUA</v>
          </cell>
          <cell r="E2211">
            <v>10110094</v>
          </cell>
          <cell r="F2211" t="str">
            <v>0001</v>
          </cell>
          <cell r="G2211">
            <v>14</v>
          </cell>
          <cell r="H2211">
            <v>5.879999999999999</v>
          </cell>
          <cell r="I2211">
            <v>217.55307142800004</v>
          </cell>
          <cell r="J2211">
            <v>0</v>
          </cell>
          <cell r="K2211">
            <v>217.55307142800004</v>
          </cell>
          <cell r="L2211">
            <v>0</v>
          </cell>
          <cell r="M2211">
            <v>0</v>
          </cell>
          <cell r="P2211">
            <v>0</v>
          </cell>
          <cell r="V2211" t="str">
            <v>Not Available</v>
          </cell>
        </row>
        <row r="2212">
          <cell r="A2212" t="str">
            <v>101100940002</v>
          </cell>
          <cell r="B2212" t="str">
            <v>Sahibpur Kamal</v>
          </cell>
          <cell r="C2212" t="str">
            <v>Sahibpur Kamal</v>
          </cell>
          <cell r="D2212" t="str">
            <v>GOMUKH ROHUA</v>
          </cell>
          <cell r="E2212">
            <v>10110094</v>
          </cell>
          <cell r="F2212" t="str">
            <v>0002</v>
          </cell>
          <cell r="G2212">
            <v>2</v>
          </cell>
          <cell r="H2212">
            <v>7.41</v>
          </cell>
          <cell r="I2212">
            <v>280.95051402000001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P2212">
            <v>281</v>
          </cell>
          <cell r="V2212" t="str">
            <v>Available</v>
          </cell>
        </row>
        <row r="2213">
          <cell r="A2213" t="str">
            <v>101100940018</v>
          </cell>
          <cell r="B2213" t="str">
            <v>Sahibpur Kamal</v>
          </cell>
          <cell r="C2213" t="str">
            <v>Sahibpur Kamal</v>
          </cell>
          <cell r="D2213" t="str">
            <v>GOMUKH ROHUA</v>
          </cell>
          <cell r="E2213">
            <v>10110094</v>
          </cell>
          <cell r="F2213" t="str">
            <v>0018</v>
          </cell>
          <cell r="G2213">
            <v>13</v>
          </cell>
          <cell r="H2213">
            <v>67.09</v>
          </cell>
          <cell r="I2213">
            <v>2338.0625778839999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P2213">
            <v>2338</v>
          </cell>
          <cell r="V2213" t="str">
            <v>Available</v>
          </cell>
        </row>
        <row r="2214">
          <cell r="A2214" t="str">
            <v>101100940020</v>
          </cell>
          <cell r="B2214" t="str">
            <v>Sahibpur Kamal</v>
          </cell>
          <cell r="C2214" t="str">
            <v>Sahibpur Kamal</v>
          </cell>
          <cell r="D2214" t="str">
            <v>GOMUKH ROHUA</v>
          </cell>
          <cell r="E2214">
            <v>10110094</v>
          </cell>
          <cell r="F2214" t="str">
            <v>0020</v>
          </cell>
          <cell r="G2214">
            <v>13</v>
          </cell>
          <cell r="H2214">
            <v>26.209999999999997</v>
          </cell>
          <cell r="I2214">
            <v>967.7068621704002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P2214">
            <v>968</v>
          </cell>
          <cell r="V2214" t="str">
            <v>Available</v>
          </cell>
        </row>
        <row r="2215">
          <cell r="A2215" t="str">
            <v>101100940021</v>
          </cell>
          <cell r="B2215" t="str">
            <v>Sahibpur Kamal</v>
          </cell>
          <cell r="C2215" t="str">
            <v>Sahibpur Kamal</v>
          </cell>
          <cell r="D2215" t="str">
            <v>GOMUKH ROHUA</v>
          </cell>
          <cell r="E2215">
            <v>10110094</v>
          </cell>
          <cell r="F2215" t="str">
            <v>0021</v>
          </cell>
          <cell r="G2215">
            <v>9</v>
          </cell>
          <cell r="H2215">
            <v>23.78</v>
          </cell>
          <cell r="I2215">
            <v>918.78096301200014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P2215">
            <v>919</v>
          </cell>
          <cell r="V2215" t="str">
            <v>Available</v>
          </cell>
        </row>
        <row r="2216">
          <cell r="A2216" t="str">
            <v>101100940028</v>
          </cell>
          <cell r="B2216" t="str">
            <v>Sahibpur Kamal</v>
          </cell>
          <cell r="C2216" t="str">
            <v>Sahibpur Kamal</v>
          </cell>
          <cell r="D2216" t="str">
            <v>GOMUKH ROHUA</v>
          </cell>
          <cell r="E2216">
            <v>10110094</v>
          </cell>
          <cell r="F2216" t="str">
            <v>0028</v>
          </cell>
          <cell r="G2216">
            <v>1</v>
          </cell>
          <cell r="H2216">
            <v>3.15</v>
          </cell>
          <cell r="I2216">
            <v>119.75389272000001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P2216">
            <v>120</v>
          </cell>
          <cell r="V2216" t="str">
            <v>Available</v>
          </cell>
        </row>
        <row r="2217">
          <cell r="A2217" t="str">
            <v>101100940031</v>
          </cell>
          <cell r="B2217" t="str">
            <v>Sahibpur Kamal</v>
          </cell>
          <cell r="C2217" t="str">
            <v>Sahibpur Kamal</v>
          </cell>
          <cell r="D2217" t="str">
            <v>GOMUKH ROHUA</v>
          </cell>
          <cell r="E2217">
            <v>10110094</v>
          </cell>
          <cell r="F2217" t="str">
            <v>0031</v>
          </cell>
          <cell r="G2217">
            <v>2</v>
          </cell>
          <cell r="H2217">
            <v>7.8999999999999995</v>
          </cell>
          <cell r="I2217">
            <v>308.02912668000005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P2217">
            <v>308</v>
          </cell>
          <cell r="V2217" t="str">
            <v>Available</v>
          </cell>
        </row>
        <row r="2218">
          <cell r="A2218" t="str">
            <v>101100940034</v>
          </cell>
          <cell r="B2218" t="str">
            <v>Sahibpur Kamal</v>
          </cell>
          <cell r="C2218" t="str">
            <v>Sahibpur Kamal</v>
          </cell>
          <cell r="D2218" t="str">
            <v>GOMUKH ROHUA</v>
          </cell>
          <cell r="E2218">
            <v>10110094</v>
          </cell>
          <cell r="F2218" t="str">
            <v>0034</v>
          </cell>
          <cell r="G2218">
            <v>9</v>
          </cell>
          <cell r="H2218">
            <v>42.900000000000006</v>
          </cell>
          <cell r="I2218">
            <v>1623.7615141440001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P2218">
            <v>1624</v>
          </cell>
          <cell r="V2218" t="str">
            <v>Available</v>
          </cell>
        </row>
        <row r="2219">
          <cell r="A2219" t="str">
            <v>101100940037</v>
          </cell>
          <cell r="B2219" t="str">
            <v>Sahibpur Kamal</v>
          </cell>
          <cell r="C2219" t="str">
            <v>Sahibpur Kamal</v>
          </cell>
          <cell r="D2219" t="str">
            <v>GOMUKH ROHUA</v>
          </cell>
          <cell r="E2219">
            <v>10110094</v>
          </cell>
          <cell r="F2219" t="str">
            <v>0037</v>
          </cell>
          <cell r="G2219">
            <v>14</v>
          </cell>
          <cell r="H2219">
            <v>79.06</v>
          </cell>
          <cell r="I2219">
            <v>2530.9476292517998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P2219">
            <v>2531</v>
          </cell>
          <cell r="V2219" t="str">
            <v>Available</v>
          </cell>
        </row>
        <row r="2220">
          <cell r="A2220" t="str">
            <v>101100940047</v>
          </cell>
          <cell r="B2220" t="str">
            <v>Sahibpur Kamal</v>
          </cell>
          <cell r="C2220" t="str">
            <v>Sahibpur Kamal</v>
          </cell>
          <cell r="D2220" t="str">
            <v>GOMUKH ROHUA</v>
          </cell>
          <cell r="E2220">
            <v>10110094</v>
          </cell>
          <cell r="F2220" t="str">
            <v>0047</v>
          </cell>
          <cell r="G2220">
            <v>14</v>
          </cell>
          <cell r="H2220">
            <v>91.759999999999991</v>
          </cell>
          <cell r="I2220">
            <v>3359.1472778160005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P2220">
            <v>3359</v>
          </cell>
          <cell r="V2220" t="str">
            <v>Available</v>
          </cell>
        </row>
        <row r="2221">
          <cell r="A2221" t="str">
            <v>101100940052</v>
          </cell>
          <cell r="B2221" t="str">
            <v>Sahibpur Kamal</v>
          </cell>
          <cell r="C2221" t="str">
            <v>Sahibpur Kamal</v>
          </cell>
          <cell r="D2221" t="str">
            <v>GOMUKH ROHUA</v>
          </cell>
          <cell r="E2221">
            <v>10110094</v>
          </cell>
          <cell r="F2221" t="str">
            <v>0052</v>
          </cell>
          <cell r="G2221">
            <v>5</v>
          </cell>
          <cell r="H2221">
            <v>8.68</v>
          </cell>
          <cell r="I2221">
            <v>315.68894319600008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P2221">
            <v>316</v>
          </cell>
          <cell r="V2221" t="str">
            <v>Available</v>
          </cell>
        </row>
        <row r="2222">
          <cell r="A2222" t="str">
            <v>101100940053</v>
          </cell>
          <cell r="B2222" t="str">
            <v>Sahibpur Kamal</v>
          </cell>
          <cell r="C2222" t="str">
            <v>Sahibpur Kamal</v>
          </cell>
          <cell r="D2222" t="str">
            <v>GOMUKH ROHUA</v>
          </cell>
          <cell r="E2222">
            <v>10110094</v>
          </cell>
          <cell r="F2222" t="str">
            <v>0053</v>
          </cell>
          <cell r="G2222">
            <v>6</v>
          </cell>
          <cell r="H2222">
            <v>14.35</v>
          </cell>
          <cell r="I2222">
            <v>575.0938238760001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P2222">
            <v>575</v>
          </cell>
          <cell r="V2222" t="str">
            <v>Available</v>
          </cell>
        </row>
        <row r="2223">
          <cell r="A2223" t="str">
            <v>101100940054</v>
          </cell>
          <cell r="B2223" t="str">
            <v>Sahibpur Kamal</v>
          </cell>
          <cell r="C2223" t="str">
            <v>Sahibpur Kamal</v>
          </cell>
          <cell r="D2223" t="str">
            <v>GOMUKH ROHUA</v>
          </cell>
          <cell r="E2223">
            <v>10110094</v>
          </cell>
          <cell r="F2223" t="str">
            <v>0054</v>
          </cell>
          <cell r="G2223">
            <v>4</v>
          </cell>
          <cell r="H2223">
            <v>6.78</v>
          </cell>
          <cell r="I2223">
            <v>250.46176716000002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P2223">
            <v>250</v>
          </cell>
          <cell r="V2223" t="str">
            <v>Available</v>
          </cell>
        </row>
        <row r="2224">
          <cell r="A2224" t="str">
            <v>101100940055</v>
          </cell>
          <cell r="B2224" t="str">
            <v>Sahibpur Kamal</v>
          </cell>
          <cell r="C2224" t="str">
            <v>Sahibpur Kamal</v>
          </cell>
          <cell r="D2224" t="str">
            <v>GOMUKH ROHUA</v>
          </cell>
          <cell r="E2224">
            <v>10110094</v>
          </cell>
          <cell r="F2224" t="str">
            <v>0055</v>
          </cell>
          <cell r="G2224">
            <v>11</v>
          </cell>
          <cell r="H2224">
            <v>36.550000000000004</v>
          </cell>
          <cell r="I2224">
            <v>1442.0721336120002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P2224">
            <v>1442</v>
          </cell>
          <cell r="V2224" t="str">
            <v>Available</v>
          </cell>
        </row>
        <row r="2225">
          <cell r="A2225" t="str">
            <v>101100950001</v>
          </cell>
          <cell r="B2225" t="str">
            <v>Sahibpur Kamal</v>
          </cell>
          <cell r="C2225" t="str">
            <v>Sahibpur Kamal</v>
          </cell>
          <cell r="D2225" t="str">
            <v>GOMUKH LAXMIPUR</v>
          </cell>
          <cell r="E2225">
            <v>10110095</v>
          </cell>
          <cell r="F2225" t="str">
            <v>0001</v>
          </cell>
          <cell r="G2225">
            <v>14</v>
          </cell>
          <cell r="H2225">
            <v>7.03</v>
          </cell>
          <cell r="I2225">
            <v>319.92851437470006</v>
          </cell>
          <cell r="J2225">
            <v>0</v>
          </cell>
          <cell r="K2225">
            <v>319.92851437470006</v>
          </cell>
          <cell r="L2225">
            <v>0</v>
          </cell>
          <cell r="M2225">
            <v>0</v>
          </cell>
          <cell r="P2225">
            <v>0</v>
          </cell>
          <cell r="V2225" t="str">
            <v>Not Available</v>
          </cell>
        </row>
        <row r="2226">
          <cell r="A2226" t="str">
            <v>101100950002</v>
          </cell>
          <cell r="B2226" t="str">
            <v>Sahibpur Kamal</v>
          </cell>
          <cell r="C2226" t="str">
            <v>Sahibpur Kamal</v>
          </cell>
          <cell r="D2226" t="str">
            <v>GOMUKH LAXMIPUR</v>
          </cell>
          <cell r="E2226">
            <v>10110095</v>
          </cell>
          <cell r="F2226" t="str">
            <v>0002</v>
          </cell>
          <cell r="G2226">
            <v>1</v>
          </cell>
          <cell r="H2226">
            <v>2.4900000000000002</v>
          </cell>
          <cell r="I2226">
            <v>135.43273129860003</v>
          </cell>
          <cell r="J2226">
            <v>0</v>
          </cell>
          <cell r="K2226">
            <v>0</v>
          </cell>
          <cell r="L2226">
            <v>135</v>
          </cell>
          <cell r="M2226">
            <v>0</v>
          </cell>
          <cell r="P2226">
            <v>0</v>
          </cell>
          <cell r="V2226" t="str">
            <v>Available</v>
          </cell>
        </row>
        <row r="2227">
          <cell r="A2227" t="str">
            <v>101100950005</v>
          </cell>
          <cell r="B2227" t="str">
            <v>Sahibpur Kamal</v>
          </cell>
          <cell r="C2227" t="str">
            <v>Sahibpur Kamal</v>
          </cell>
          <cell r="D2227" t="str">
            <v>GOMUKH LAXMIPUR</v>
          </cell>
          <cell r="E2227">
            <v>10110095</v>
          </cell>
          <cell r="F2227" t="str">
            <v>0005</v>
          </cell>
          <cell r="G2227">
            <v>14</v>
          </cell>
          <cell r="H2227">
            <v>41.89</v>
          </cell>
          <cell r="I2227">
            <v>1561.8580108560004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P2227">
            <v>1562</v>
          </cell>
          <cell r="V2227" t="str">
            <v>Available</v>
          </cell>
        </row>
        <row r="2228">
          <cell r="A2228" t="str">
            <v>101100950006</v>
          </cell>
          <cell r="B2228" t="str">
            <v>Sahibpur Kamal</v>
          </cell>
          <cell r="C2228" t="str">
            <v>Sahibpur Kamal</v>
          </cell>
          <cell r="D2228" t="str">
            <v>GOMUKH LAXMIPUR</v>
          </cell>
          <cell r="E2228">
            <v>10110095</v>
          </cell>
          <cell r="F2228" t="str">
            <v>0006</v>
          </cell>
          <cell r="G2228">
            <v>13</v>
          </cell>
          <cell r="H2228">
            <v>34.929999999999993</v>
          </cell>
          <cell r="I2228">
            <v>2306.2420099581</v>
          </cell>
          <cell r="J2228">
            <v>0</v>
          </cell>
          <cell r="K2228">
            <v>0</v>
          </cell>
          <cell r="L2228">
            <v>50</v>
          </cell>
          <cell r="M2228">
            <v>0</v>
          </cell>
          <cell r="P2228">
            <v>2256</v>
          </cell>
          <cell r="V2228" t="str">
            <v>Available</v>
          </cell>
        </row>
        <row r="2229">
          <cell r="A2229" t="str">
            <v>101100950007</v>
          </cell>
          <cell r="B2229" t="str">
            <v>Sahibpur Kamal</v>
          </cell>
          <cell r="C2229" t="str">
            <v>Sahibpur Kamal</v>
          </cell>
          <cell r="D2229" t="str">
            <v>GOMUKH LAXMIPUR</v>
          </cell>
          <cell r="E2229">
            <v>10110095</v>
          </cell>
          <cell r="F2229" t="str">
            <v>0007</v>
          </cell>
          <cell r="G2229">
            <v>13</v>
          </cell>
          <cell r="H2229">
            <v>92.75</v>
          </cell>
          <cell r="I2229">
            <v>3923.8320512160008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P2229">
            <v>3924</v>
          </cell>
          <cell r="V2229" t="str">
            <v>Available</v>
          </cell>
        </row>
        <row r="2230">
          <cell r="A2230" t="str">
            <v>101100950008</v>
          </cell>
          <cell r="B2230" t="str">
            <v>Sahibpur Kamal</v>
          </cell>
          <cell r="C2230" t="str">
            <v>Sahibpur Kamal</v>
          </cell>
          <cell r="D2230" t="str">
            <v>GOMUKH LAXMIPUR</v>
          </cell>
          <cell r="E2230">
            <v>10110095</v>
          </cell>
          <cell r="F2230" t="str">
            <v>0008</v>
          </cell>
          <cell r="G2230">
            <v>7</v>
          </cell>
          <cell r="H2230">
            <v>11.440000000000001</v>
          </cell>
          <cell r="I2230">
            <v>506.54141157312006</v>
          </cell>
          <cell r="J2230">
            <v>0</v>
          </cell>
          <cell r="K2230">
            <v>0</v>
          </cell>
          <cell r="L2230">
            <v>50</v>
          </cell>
          <cell r="M2230">
            <v>0</v>
          </cell>
          <cell r="P2230">
            <v>457</v>
          </cell>
          <cell r="V2230" t="str">
            <v>Available</v>
          </cell>
        </row>
        <row r="2231">
          <cell r="A2231" t="str">
            <v>101100950010</v>
          </cell>
          <cell r="B2231" t="str">
            <v>Sahibpur Kamal</v>
          </cell>
          <cell r="C2231" t="str">
            <v>Sahibpur Kamal</v>
          </cell>
          <cell r="D2231" t="str">
            <v>GOMUKH LAXMIPUR</v>
          </cell>
          <cell r="E2231">
            <v>10110095</v>
          </cell>
          <cell r="F2231" t="str">
            <v>0010</v>
          </cell>
          <cell r="G2231">
            <v>14</v>
          </cell>
          <cell r="H2231">
            <v>69.569999999999993</v>
          </cell>
          <cell r="I2231">
            <v>3111.1903331819999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P2231">
            <v>3111</v>
          </cell>
          <cell r="V2231" t="str">
            <v>Available</v>
          </cell>
        </row>
        <row r="2232">
          <cell r="A2232" t="str">
            <v>101100950011</v>
          </cell>
          <cell r="B2232" t="str">
            <v>Sahibpur Kamal</v>
          </cell>
          <cell r="C2232" t="str">
            <v>Sahibpur Kamal</v>
          </cell>
          <cell r="D2232" t="str">
            <v>GOMUKH LAXMIPUR</v>
          </cell>
          <cell r="E2232">
            <v>10110095</v>
          </cell>
          <cell r="F2232" t="str">
            <v>0011</v>
          </cell>
          <cell r="G2232">
            <v>7</v>
          </cell>
          <cell r="H2232">
            <v>24.46</v>
          </cell>
          <cell r="I2232">
            <v>1351.9524638749801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P2232">
            <v>1352</v>
          </cell>
          <cell r="V2232" t="str">
            <v>Available</v>
          </cell>
        </row>
        <row r="2233">
          <cell r="A2233" t="str">
            <v>101100950012</v>
          </cell>
          <cell r="B2233" t="str">
            <v>Sahibpur Kamal</v>
          </cell>
          <cell r="C2233" t="str">
            <v>Sahibpur Kamal</v>
          </cell>
          <cell r="D2233" t="str">
            <v>GOMUKH LAXMIPUR</v>
          </cell>
          <cell r="E2233">
            <v>10110095</v>
          </cell>
          <cell r="F2233" t="str">
            <v>0012</v>
          </cell>
          <cell r="G2233">
            <v>6</v>
          </cell>
          <cell r="H2233">
            <v>38.470000000000006</v>
          </cell>
          <cell r="I2233">
            <v>1582.5726009720004</v>
          </cell>
          <cell r="J2233">
            <v>0</v>
          </cell>
          <cell r="K2233">
            <v>0</v>
          </cell>
          <cell r="L2233">
            <v>150</v>
          </cell>
          <cell r="M2233">
            <v>0</v>
          </cell>
          <cell r="P2233">
            <v>1433</v>
          </cell>
          <cell r="V2233" t="str">
            <v>Available</v>
          </cell>
        </row>
        <row r="2234">
          <cell r="A2234" t="str">
            <v>101100950017</v>
          </cell>
          <cell r="B2234" t="str">
            <v>Sahibpur Kamal</v>
          </cell>
          <cell r="C2234" t="str">
            <v>Sahibpur Kamal</v>
          </cell>
          <cell r="D2234" t="str">
            <v>GOMUKH LAXMIPUR</v>
          </cell>
          <cell r="E2234">
            <v>10110095</v>
          </cell>
          <cell r="F2234" t="str">
            <v>0017</v>
          </cell>
          <cell r="G2234">
            <v>13</v>
          </cell>
          <cell r="H2234">
            <v>43.3</v>
          </cell>
          <cell r="I2234">
            <v>2275.26465951726</v>
          </cell>
          <cell r="J2234">
            <v>0</v>
          </cell>
          <cell r="K2234">
            <v>0</v>
          </cell>
          <cell r="L2234">
            <v>139</v>
          </cell>
          <cell r="M2234">
            <v>0</v>
          </cell>
          <cell r="P2234">
            <v>2136</v>
          </cell>
          <cell r="V2234" t="str">
            <v>Available</v>
          </cell>
        </row>
        <row r="2235">
          <cell r="A2235" t="str">
            <v>101100950020</v>
          </cell>
          <cell r="B2235" t="str">
            <v>Sahibpur Kamal</v>
          </cell>
          <cell r="C2235" t="str">
            <v>Sahibpur Kamal</v>
          </cell>
          <cell r="D2235" t="str">
            <v>GOMUKH LAXMIPUR</v>
          </cell>
          <cell r="E2235">
            <v>10110095</v>
          </cell>
          <cell r="F2235" t="str">
            <v>0020</v>
          </cell>
          <cell r="G2235">
            <v>7</v>
          </cell>
          <cell r="H2235">
            <v>18.59</v>
          </cell>
          <cell r="I2235">
            <v>742.21714987200005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P2235">
            <v>742</v>
          </cell>
          <cell r="V2235" t="str">
            <v>Available</v>
          </cell>
        </row>
        <row r="2236">
          <cell r="A2236" t="str">
            <v>101100950021</v>
          </cell>
          <cell r="B2236" t="str">
            <v>Sahibpur Kamal</v>
          </cell>
          <cell r="C2236" t="str">
            <v>Sahibpur Kamal</v>
          </cell>
          <cell r="D2236" t="str">
            <v>GOMUKH LAXMIPUR</v>
          </cell>
          <cell r="E2236">
            <v>10110095</v>
          </cell>
          <cell r="F2236" t="str">
            <v>0021</v>
          </cell>
          <cell r="G2236">
            <v>12</v>
          </cell>
          <cell r="H2236">
            <v>34.329999999999991</v>
          </cell>
          <cell r="I2236">
            <v>1491.52560570946</v>
          </cell>
          <cell r="J2236">
            <v>0</v>
          </cell>
          <cell r="K2236">
            <v>0</v>
          </cell>
          <cell r="L2236">
            <v>150</v>
          </cell>
          <cell r="M2236">
            <v>0</v>
          </cell>
          <cell r="P2236">
            <v>1342</v>
          </cell>
          <cell r="V2236" t="str">
            <v>Available</v>
          </cell>
        </row>
        <row r="2237">
          <cell r="A2237" t="str">
            <v>101100970001</v>
          </cell>
          <cell r="B2237" t="str">
            <v xml:space="preserve">Alauli </v>
          </cell>
          <cell r="C2237" t="str">
            <v xml:space="preserve">Alauli </v>
          </cell>
          <cell r="D2237" t="str">
            <v>GOMUKH BACHOTA</v>
          </cell>
          <cell r="E2237">
            <v>10110097</v>
          </cell>
          <cell r="F2237" t="str">
            <v>0001</v>
          </cell>
          <cell r="G2237">
            <v>7</v>
          </cell>
          <cell r="H2237">
            <v>0.74</v>
          </cell>
          <cell r="I2237">
            <v>30.082294835999999</v>
          </cell>
          <cell r="J2237">
            <v>0</v>
          </cell>
          <cell r="K2237">
            <v>30.082294835999999</v>
          </cell>
          <cell r="L2237">
            <v>0</v>
          </cell>
          <cell r="M2237">
            <v>0</v>
          </cell>
          <cell r="P2237">
            <v>0</v>
          </cell>
          <cell r="V2237" t="str">
            <v>Not Available</v>
          </cell>
        </row>
        <row r="2238">
          <cell r="A2238" t="str">
            <v>101100970002</v>
          </cell>
          <cell r="B2238" t="str">
            <v xml:space="preserve">Alauli </v>
          </cell>
          <cell r="C2238" t="str">
            <v xml:space="preserve">Alauli </v>
          </cell>
          <cell r="D2238" t="str">
            <v>GOMUKH BACHOTA</v>
          </cell>
          <cell r="E2238">
            <v>10110097</v>
          </cell>
          <cell r="F2238" t="str">
            <v>0002</v>
          </cell>
          <cell r="G2238">
            <v>7</v>
          </cell>
          <cell r="H2238">
            <v>76.97999999999999</v>
          </cell>
          <cell r="I2238">
            <v>3218.3825781096002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P2238">
            <v>2993</v>
          </cell>
          <cell r="V2238" t="str">
            <v>Available</v>
          </cell>
        </row>
        <row r="2239">
          <cell r="A2239" t="str">
            <v>101100970005</v>
          </cell>
          <cell r="B2239" t="str">
            <v xml:space="preserve">Alauli </v>
          </cell>
          <cell r="C2239" t="str">
            <v xml:space="preserve">Alauli </v>
          </cell>
          <cell r="D2239" t="str">
            <v>GOMUKH BACHOTA</v>
          </cell>
          <cell r="E2239">
            <v>10110097</v>
          </cell>
          <cell r="F2239" t="str">
            <v>0005</v>
          </cell>
          <cell r="G2239">
            <v>6</v>
          </cell>
          <cell r="H2239">
            <v>24.509999999999998</v>
          </cell>
          <cell r="I2239">
            <v>989.14790343599998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P2239">
            <v>989</v>
          </cell>
          <cell r="V2239" t="str">
            <v>Available</v>
          </cell>
        </row>
        <row r="2240">
          <cell r="A2240" t="str">
            <v>101100980002</v>
          </cell>
          <cell r="B2240" t="str">
            <v xml:space="preserve">Alauli </v>
          </cell>
          <cell r="C2240" t="str">
            <v xml:space="preserve">Alauli </v>
          </cell>
          <cell r="D2240" t="str">
            <v>GOMUKH CHATAR</v>
          </cell>
          <cell r="E2240">
            <v>10110098</v>
          </cell>
          <cell r="F2240" t="str">
            <v>0002</v>
          </cell>
          <cell r="G2240">
            <v>13</v>
          </cell>
          <cell r="H2240">
            <v>158.6</v>
          </cell>
          <cell r="I2240">
            <v>6537.1603294800007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P2240">
            <v>6537</v>
          </cell>
          <cell r="V2240" t="str">
            <v>Available</v>
          </cell>
        </row>
        <row r="2241">
          <cell r="A2241" t="str">
            <v>101101000001</v>
          </cell>
          <cell r="B2241" t="str">
            <v xml:space="preserve">Alauli </v>
          </cell>
          <cell r="C2241" t="str">
            <v xml:space="preserve">Alauli </v>
          </cell>
          <cell r="D2241" t="str">
            <v>GOMUKH BATHNAMA</v>
          </cell>
          <cell r="E2241">
            <v>10110100</v>
          </cell>
          <cell r="F2241" t="str">
            <v>0001</v>
          </cell>
          <cell r="G2241">
            <v>10</v>
          </cell>
          <cell r="H2241">
            <v>6.3999999999999995</v>
          </cell>
          <cell r="I2241">
            <v>262.10610835200004</v>
          </cell>
          <cell r="J2241">
            <v>0</v>
          </cell>
          <cell r="K2241">
            <v>262.10610835200004</v>
          </cell>
          <cell r="L2241">
            <v>0</v>
          </cell>
          <cell r="M2241">
            <v>0</v>
          </cell>
          <cell r="P2241">
            <v>0</v>
          </cell>
          <cell r="V2241" t="str">
            <v>Not Available</v>
          </cell>
        </row>
        <row r="2242">
          <cell r="A2242" t="str">
            <v>101101000002</v>
          </cell>
          <cell r="B2242" t="str">
            <v xml:space="preserve">Alauli </v>
          </cell>
          <cell r="C2242" t="str">
            <v xml:space="preserve">Alauli </v>
          </cell>
          <cell r="D2242" t="str">
            <v>GOMUKH BATHNAMA</v>
          </cell>
          <cell r="E2242">
            <v>10110100</v>
          </cell>
          <cell r="F2242" t="str">
            <v>0002</v>
          </cell>
          <cell r="G2242">
            <v>1</v>
          </cell>
          <cell r="H2242">
            <v>265</v>
          </cell>
          <cell r="I2242">
            <v>10984.017330000001</v>
          </cell>
          <cell r="J2242">
            <v>0</v>
          </cell>
          <cell r="K2242">
            <v>0</v>
          </cell>
          <cell r="L2242">
            <v>10804</v>
          </cell>
          <cell r="M2242">
            <v>0</v>
          </cell>
          <cell r="P2242">
            <v>180</v>
          </cell>
          <cell r="V2242" t="str">
            <v>Available</v>
          </cell>
        </row>
        <row r="2243">
          <cell r="A2243" t="str">
            <v>101101000003</v>
          </cell>
          <cell r="B2243" t="str">
            <v xml:space="preserve">Alauli </v>
          </cell>
          <cell r="C2243" t="str">
            <v xml:space="preserve">Alauli </v>
          </cell>
          <cell r="D2243" t="str">
            <v>GOMUKH BATHNAMA</v>
          </cell>
          <cell r="E2243">
            <v>10110100</v>
          </cell>
          <cell r="F2243" t="str">
            <v>0003</v>
          </cell>
          <cell r="G2243">
            <v>5</v>
          </cell>
          <cell r="H2243">
            <v>12.600000000000001</v>
          </cell>
          <cell r="I2243">
            <v>609.06152850600006</v>
          </cell>
          <cell r="J2243">
            <v>0</v>
          </cell>
          <cell r="K2243">
            <v>0</v>
          </cell>
          <cell r="L2243">
            <v>0</v>
          </cell>
          <cell r="M2243">
            <v>609</v>
          </cell>
          <cell r="P2243">
            <v>0</v>
          </cell>
          <cell r="V2243" t="str">
            <v>Available</v>
          </cell>
        </row>
        <row r="2244">
          <cell r="A2244" t="str">
            <v>101101000004</v>
          </cell>
          <cell r="B2244" t="str">
            <v xml:space="preserve">Alauli </v>
          </cell>
          <cell r="C2244" t="str">
            <v xml:space="preserve">Alauli </v>
          </cell>
          <cell r="D2244" t="str">
            <v>GOMUKH BATHNAMA</v>
          </cell>
          <cell r="E2244">
            <v>10110100</v>
          </cell>
          <cell r="F2244" t="str">
            <v>0004</v>
          </cell>
          <cell r="G2244">
            <v>6</v>
          </cell>
          <cell r="H2244">
            <v>11.86</v>
          </cell>
          <cell r="I2244">
            <v>710.5174414454001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P2244">
            <v>711</v>
          </cell>
          <cell r="V2244" t="str">
            <v>Available</v>
          </cell>
        </row>
        <row r="2245">
          <cell r="A2245" t="str">
            <v>101101000005</v>
          </cell>
          <cell r="B2245" t="str">
            <v xml:space="preserve">Alauli </v>
          </cell>
          <cell r="C2245" t="str">
            <v xml:space="preserve">Alauli </v>
          </cell>
          <cell r="D2245" t="str">
            <v>GOMUKH BATHNAMA</v>
          </cell>
          <cell r="E2245">
            <v>10110100</v>
          </cell>
          <cell r="F2245" t="str">
            <v>0005</v>
          </cell>
          <cell r="G2245">
            <v>13</v>
          </cell>
          <cell r="H2245">
            <v>24.78</v>
          </cell>
          <cell r="I2245">
            <v>1619.359688966</v>
          </cell>
          <cell r="J2245">
            <v>0</v>
          </cell>
          <cell r="K2245">
            <v>0</v>
          </cell>
          <cell r="L2245">
            <v>0</v>
          </cell>
          <cell r="M2245">
            <v>1352</v>
          </cell>
          <cell r="P2245">
            <v>267</v>
          </cell>
          <cell r="V2245" t="str">
            <v>Available</v>
          </cell>
        </row>
        <row r="2246">
          <cell r="A2246" t="str">
            <v>101101000006</v>
          </cell>
          <cell r="B2246" t="str">
            <v xml:space="preserve">Alauli </v>
          </cell>
          <cell r="C2246" t="str">
            <v xml:space="preserve">Alauli </v>
          </cell>
          <cell r="D2246" t="str">
            <v>GOMUKH BATHNAMA</v>
          </cell>
          <cell r="E2246">
            <v>10110100</v>
          </cell>
          <cell r="F2246" t="str">
            <v>0006</v>
          </cell>
          <cell r="G2246">
            <v>13</v>
          </cell>
          <cell r="H2246">
            <v>1657.5799999999997</v>
          </cell>
          <cell r="I2246">
            <v>67046.068044936605</v>
          </cell>
          <cell r="J2246">
            <v>0</v>
          </cell>
          <cell r="K2246">
            <v>0</v>
          </cell>
          <cell r="L2246">
            <v>0</v>
          </cell>
          <cell r="M2246">
            <v>1200</v>
          </cell>
          <cell r="P2246">
            <v>65846</v>
          </cell>
          <cell r="V2246" t="str">
            <v>Available</v>
          </cell>
        </row>
        <row r="2247">
          <cell r="A2247" t="str">
            <v>101101000008</v>
          </cell>
          <cell r="B2247" t="str">
            <v xml:space="preserve">Alauli </v>
          </cell>
          <cell r="C2247" t="str">
            <v xml:space="preserve">Alauli </v>
          </cell>
          <cell r="D2247" t="str">
            <v>GOMUKH BATHNAMA</v>
          </cell>
          <cell r="E2247">
            <v>10110100</v>
          </cell>
          <cell r="F2247" t="str">
            <v>0008</v>
          </cell>
          <cell r="G2247">
            <v>8</v>
          </cell>
          <cell r="H2247">
            <v>227.45999999999998</v>
          </cell>
          <cell r="I2247">
            <v>8375.207854463999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P2247">
            <v>8375</v>
          </cell>
          <cell r="V2247" t="str">
            <v>Available</v>
          </cell>
        </row>
        <row r="2248">
          <cell r="A2248" t="str">
            <v>101101000013</v>
          </cell>
          <cell r="B2248" t="str">
            <v xml:space="preserve">Alauli </v>
          </cell>
          <cell r="C2248" t="str">
            <v xml:space="preserve">Alauli </v>
          </cell>
          <cell r="D2248" t="str">
            <v>GOMUKH BATHNAMA</v>
          </cell>
          <cell r="E2248">
            <v>10110100</v>
          </cell>
          <cell r="F2248" t="str">
            <v>0013</v>
          </cell>
          <cell r="G2248">
            <v>12</v>
          </cell>
          <cell r="H2248">
            <v>982.97999999999979</v>
          </cell>
          <cell r="I2248">
            <v>40245.304025819001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P2248">
            <v>40245</v>
          </cell>
          <cell r="V2248" t="str">
            <v>Available</v>
          </cell>
        </row>
        <row r="2249">
          <cell r="A2249" t="str">
            <v>101101000018</v>
          </cell>
          <cell r="B2249" t="str">
            <v xml:space="preserve">Alauli </v>
          </cell>
          <cell r="C2249" t="str">
            <v xml:space="preserve">Alauli </v>
          </cell>
          <cell r="D2249" t="str">
            <v>GOMUKH BATHNAMA</v>
          </cell>
          <cell r="E2249">
            <v>10110100</v>
          </cell>
          <cell r="F2249" t="str">
            <v>0018</v>
          </cell>
          <cell r="G2249">
            <v>5</v>
          </cell>
          <cell r="H2249">
            <v>9.9</v>
          </cell>
          <cell r="I2249">
            <v>579.5400958081201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P2249">
            <v>580</v>
          </cell>
          <cell r="V2249" t="str">
            <v>Available</v>
          </cell>
        </row>
        <row r="2250">
          <cell r="A2250" t="str">
            <v>101101000020</v>
          </cell>
          <cell r="B2250" t="str">
            <v xml:space="preserve">Alauli </v>
          </cell>
          <cell r="C2250" t="str">
            <v xml:space="preserve">Alauli </v>
          </cell>
          <cell r="D2250" t="str">
            <v>GOMUKH BATHNAMA</v>
          </cell>
          <cell r="E2250">
            <v>10110100</v>
          </cell>
          <cell r="F2250" t="str">
            <v>0020</v>
          </cell>
          <cell r="G2250">
            <v>5</v>
          </cell>
          <cell r="H2250">
            <v>431</v>
          </cell>
          <cell r="I2250">
            <v>17937.297734400003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P2250">
            <v>17937</v>
          </cell>
          <cell r="V2250" t="str">
            <v>Available</v>
          </cell>
        </row>
        <row r="2251">
          <cell r="A2251" t="str">
            <v>101101000023</v>
          </cell>
          <cell r="B2251" t="str">
            <v xml:space="preserve">Alauli </v>
          </cell>
          <cell r="C2251" t="str">
            <v xml:space="preserve">Alauli </v>
          </cell>
          <cell r="D2251" t="str">
            <v>GOMUKH BATHNAMA</v>
          </cell>
          <cell r="E2251">
            <v>10110100</v>
          </cell>
          <cell r="F2251" t="str">
            <v>0023</v>
          </cell>
          <cell r="G2251">
            <v>13</v>
          </cell>
          <cell r="H2251">
            <v>43.82</v>
          </cell>
          <cell r="I2251">
            <v>1556.8641942479999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P2251">
            <v>1557</v>
          </cell>
          <cell r="V2251" t="str">
            <v>Available</v>
          </cell>
        </row>
        <row r="2252">
          <cell r="A2252" t="str">
            <v>101101000025</v>
          </cell>
          <cell r="B2252" t="str">
            <v xml:space="preserve">Alauli </v>
          </cell>
          <cell r="C2252" t="str">
            <v xml:space="preserve">Alauli </v>
          </cell>
          <cell r="D2252" t="str">
            <v>GOMUKH BATHNAMA</v>
          </cell>
          <cell r="E2252">
            <v>10110100</v>
          </cell>
          <cell r="F2252" t="str">
            <v>0025</v>
          </cell>
          <cell r="G2252">
            <v>10</v>
          </cell>
          <cell r="H2252">
            <v>39.720000000000006</v>
          </cell>
          <cell r="I2252">
            <v>1389.8303258400001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P2252">
            <v>1390</v>
          </cell>
          <cell r="V2252" t="str">
            <v>Available</v>
          </cell>
        </row>
        <row r="2253">
          <cell r="A2253" t="str">
            <v>101101000028</v>
          </cell>
          <cell r="B2253" t="str">
            <v xml:space="preserve">Alauli </v>
          </cell>
          <cell r="C2253" t="str">
            <v xml:space="preserve">Alauli </v>
          </cell>
          <cell r="D2253" t="str">
            <v>GOMUKH BATHNAMA</v>
          </cell>
          <cell r="E2253">
            <v>10110100</v>
          </cell>
          <cell r="F2253" t="str">
            <v>0028</v>
          </cell>
          <cell r="G2253">
            <v>7</v>
          </cell>
          <cell r="H2253">
            <v>13.1</v>
          </cell>
          <cell r="I2253">
            <v>653.06062917853797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P2253">
            <v>653</v>
          </cell>
          <cell r="V2253" t="str">
            <v>Available</v>
          </cell>
        </row>
        <row r="2254">
          <cell r="A2254" t="str">
            <v>101101000029</v>
          </cell>
          <cell r="B2254" t="str">
            <v xml:space="preserve">Alauli </v>
          </cell>
          <cell r="C2254" t="str">
            <v xml:space="preserve">Alauli </v>
          </cell>
          <cell r="D2254" t="str">
            <v>GOMUKH BATHNAMA</v>
          </cell>
          <cell r="E2254">
            <v>10110100</v>
          </cell>
          <cell r="F2254" t="str">
            <v>0029</v>
          </cell>
          <cell r="G2254">
            <v>7</v>
          </cell>
          <cell r="H2254">
            <v>24.060000000000002</v>
          </cell>
          <cell r="I2254">
            <v>1551.85452487472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P2254">
            <v>1552</v>
          </cell>
          <cell r="V2254" t="str">
            <v>Available</v>
          </cell>
        </row>
        <row r="2255">
          <cell r="A2255" t="str">
            <v>101101000030</v>
          </cell>
          <cell r="B2255" t="str">
            <v xml:space="preserve">Alauli </v>
          </cell>
          <cell r="C2255" t="str">
            <v xml:space="preserve">Alauli </v>
          </cell>
          <cell r="D2255" t="str">
            <v>GOMUKH BATHNAMA</v>
          </cell>
          <cell r="E2255">
            <v>10110100</v>
          </cell>
          <cell r="F2255" t="str">
            <v>0030</v>
          </cell>
          <cell r="G2255">
            <v>7</v>
          </cell>
          <cell r="H2255">
            <v>27.979999999999997</v>
          </cell>
          <cell r="I2255">
            <v>1170.1742809926002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P2255">
            <v>1170</v>
          </cell>
          <cell r="V2255" t="str">
            <v>Available</v>
          </cell>
        </row>
        <row r="2256">
          <cell r="A2256" t="str">
            <v>101101000031</v>
          </cell>
          <cell r="B2256" t="str">
            <v xml:space="preserve">Alauli </v>
          </cell>
          <cell r="C2256" t="str">
            <v xml:space="preserve">Alauli </v>
          </cell>
          <cell r="D2256" t="str">
            <v>GOMUKH BATHNAMA</v>
          </cell>
          <cell r="E2256">
            <v>10110100</v>
          </cell>
          <cell r="F2256" t="str">
            <v>0031</v>
          </cell>
          <cell r="G2256">
            <v>11</v>
          </cell>
          <cell r="H2256">
            <v>29.200000000000003</v>
          </cell>
          <cell r="I2256">
            <v>1353.6202626280799</v>
          </cell>
          <cell r="J2256">
            <v>0</v>
          </cell>
          <cell r="K2256">
            <v>0</v>
          </cell>
          <cell r="L2256">
            <v>0</v>
          </cell>
          <cell r="M2256">
            <v>1233</v>
          </cell>
          <cell r="P2256">
            <v>121</v>
          </cell>
          <cell r="V2256" t="str">
            <v>Available</v>
          </cell>
        </row>
        <row r="2257">
          <cell r="A2257" t="str">
            <v>101101000032</v>
          </cell>
          <cell r="B2257" t="str">
            <v xml:space="preserve">Alauli </v>
          </cell>
          <cell r="C2257" t="str">
            <v xml:space="preserve">Alauli </v>
          </cell>
          <cell r="D2257" t="str">
            <v>GOMUKH BATHNAMA</v>
          </cell>
          <cell r="E2257">
            <v>10110100</v>
          </cell>
          <cell r="F2257" t="str">
            <v>0032</v>
          </cell>
          <cell r="G2257">
            <v>4</v>
          </cell>
          <cell r="H2257">
            <v>15.219999999999999</v>
          </cell>
          <cell r="I2257">
            <v>541.75260981600002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P2257">
            <v>542</v>
          </cell>
          <cell r="V2257" t="str">
            <v>Available</v>
          </cell>
        </row>
        <row r="2258">
          <cell r="A2258" t="str">
            <v>101101000033</v>
          </cell>
          <cell r="B2258" t="str">
            <v xml:space="preserve">Alauli </v>
          </cell>
          <cell r="C2258" t="str">
            <v xml:space="preserve">Alauli </v>
          </cell>
          <cell r="D2258" t="str">
            <v>GOMUKH BATHNAMA</v>
          </cell>
          <cell r="E2258">
            <v>10110100</v>
          </cell>
          <cell r="F2258" t="str">
            <v>0033</v>
          </cell>
          <cell r="G2258">
            <v>10</v>
          </cell>
          <cell r="H2258">
            <v>42.44</v>
          </cell>
          <cell r="I2258">
            <v>1509.6385275840007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P2258">
            <v>1510</v>
          </cell>
          <cell r="V2258" t="str">
            <v>Available</v>
          </cell>
        </row>
        <row r="2259">
          <cell r="A2259" t="str">
            <v>101101000034</v>
          </cell>
          <cell r="B2259" t="str">
            <v xml:space="preserve">Alauli </v>
          </cell>
          <cell r="C2259" t="str">
            <v xml:space="preserve">Alauli </v>
          </cell>
          <cell r="D2259" t="str">
            <v>GOMUKH BATHNAMA</v>
          </cell>
          <cell r="E2259">
            <v>10110100</v>
          </cell>
          <cell r="F2259" t="str">
            <v>0034</v>
          </cell>
          <cell r="G2259">
            <v>10</v>
          </cell>
          <cell r="H2259">
            <v>12.840000000000002</v>
          </cell>
          <cell r="I2259">
            <v>452.66063356800009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P2259">
            <v>453</v>
          </cell>
          <cell r="V2259" t="str">
            <v>Available</v>
          </cell>
        </row>
        <row r="2260">
          <cell r="A2260" t="str">
            <v>101101010001</v>
          </cell>
          <cell r="B2260" t="str">
            <v xml:space="preserve">Alauli </v>
          </cell>
          <cell r="C2260" t="str">
            <v xml:space="preserve">Alauli </v>
          </cell>
          <cell r="D2260" t="str">
            <v>GOMUKH TILAK NAGAR</v>
          </cell>
          <cell r="E2260">
            <v>10110101</v>
          </cell>
          <cell r="F2260" t="str">
            <v>0001</v>
          </cell>
          <cell r="G2260">
            <v>14</v>
          </cell>
          <cell r="H2260">
            <v>5.4999999999999991</v>
          </cell>
          <cell r="I2260">
            <v>260.56773603335006</v>
          </cell>
          <cell r="J2260">
            <v>0</v>
          </cell>
          <cell r="K2260">
            <v>260.56773603335006</v>
          </cell>
          <cell r="L2260">
            <v>0</v>
          </cell>
          <cell r="M2260">
            <v>0</v>
          </cell>
          <cell r="P2260">
            <v>0</v>
          </cell>
          <cell r="V2260" t="str">
            <v>Not Available</v>
          </cell>
        </row>
        <row r="2261">
          <cell r="A2261" t="str">
            <v>101101010002</v>
          </cell>
          <cell r="B2261" t="str">
            <v xml:space="preserve">Alauli </v>
          </cell>
          <cell r="C2261" t="str">
            <v xml:space="preserve">Alauli </v>
          </cell>
          <cell r="D2261" t="str">
            <v>GOMUKH TILAK NAGAR</v>
          </cell>
          <cell r="E2261">
            <v>10110101</v>
          </cell>
          <cell r="F2261" t="str">
            <v>0002</v>
          </cell>
          <cell r="G2261">
            <v>13</v>
          </cell>
          <cell r="H2261">
            <v>84.749999999999986</v>
          </cell>
          <cell r="I2261">
            <v>4095.5104191239107</v>
          </cell>
          <cell r="J2261">
            <v>0</v>
          </cell>
          <cell r="K2261">
            <v>0</v>
          </cell>
          <cell r="L2261">
            <v>696</v>
          </cell>
          <cell r="M2261">
            <v>0</v>
          </cell>
          <cell r="P2261">
            <v>3400</v>
          </cell>
          <cell r="V2261" t="str">
            <v>Available</v>
          </cell>
        </row>
        <row r="2262">
          <cell r="A2262" t="str">
            <v>101101010004</v>
          </cell>
          <cell r="B2262" t="str">
            <v xml:space="preserve">Alauli </v>
          </cell>
          <cell r="C2262" t="str">
            <v xml:space="preserve">Alauli </v>
          </cell>
          <cell r="D2262" t="str">
            <v>GOMUKH TILAK NAGAR</v>
          </cell>
          <cell r="E2262">
            <v>10110101</v>
          </cell>
          <cell r="F2262" t="str">
            <v>0004</v>
          </cell>
          <cell r="G2262">
            <v>5</v>
          </cell>
          <cell r="H2262">
            <v>7.0400000000000009</v>
          </cell>
          <cell r="I2262">
            <v>285.99763262400006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P2262">
            <v>286</v>
          </cell>
          <cell r="V2262" t="str">
            <v>Available</v>
          </cell>
        </row>
        <row r="2263">
          <cell r="A2263" t="str">
            <v>101101010008</v>
          </cell>
          <cell r="B2263" t="str">
            <v xml:space="preserve">Alauli </v>
          </cell>
          <cell r="C2263" t="str">
            <v xml:space="preserve">Alauli </v>
          </cell>
          <cell r="D2263" t="str">
            <v>GOMUKH TILAK NAGAR</v>
          </cell>
          <cell r="E2263">
            <v>10110101</v>
          </cell>
          <cell r="F2263" t="str">
            <v>0008</v>
          </cell>
          <cell r="G2263">
            <v>10</v>
          </cell>
          <cell r="H2263">
            <v>19.919999999999998</v>
          </cell>
          <cell r="I2263">
            <v>1021.1283938730601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P2263">
            <v>1021</v>
          </cell>
          <cell r="V2263" t="str">
            <v>Available</v>
          </cell>
        </row>
        <row r="2264">
          <cell r="A2264" t="str">
            <v>101101010014</v>
          </cell>
          <cell r="B2264" t="str">
            <v xml:space="preserve">Alauli </v>
          </cell>
          <cell r="C2264" t="str">
            <v xml:space="preserve">Alauli </v>
          </cell>
          <cell r="D2264" t="str">
            <v>GOMUKH TILAK NAGAR</v>
          </cell>
          <cell r="E2264">
            <v>10110101</v>
          </cell>
          <cell r="F2264" t="str">
            <v>0014</v>
          </cell>
          <cell r="G2264">
            <v>6</v>
          </cell>
          <cell r="H2264">
            <v>12.42</v>
          </cell>
          <cell r="I2264">
            <v>506.3017547610001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P2264">
            <v>506</v>
          </cell>
          <cell r="V2264" t="str">
            <v>Available</v>
          </cell>
        </row>
        <row r="2265">
          <cell r="A2265" t="str">
            <v>101101010018</v>
          </cell>
          <cell r="B2265" t="str">
            <v xml:space="preserve">Alauli </v>
          </cell>
          <cell r="C2265" t="str">
            <v xml:space="preserve">Alauli </v>
          </cell>
          <cell r="D2265" t="str">
            <v>GOMUKH TILAK NAGAR</v>
          </cell>
          <cell r="E2265">
            <v>10110101</v>
          </cell>
          <cell r="F2265" t="str">
            <v>0018</v>
          </cell>
          <cell r="G2265">
            <v>7</v>
          </cell>
          <cell r="H2265">
            <v>10.89</v>
          </cell>
          <cell r="I2265">
            <v>475.97383610700001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P2265">
            <v>476</v>
          </cell>
          <cell r="V2265" t="str">
            <v>Available</v>
          </cell>
        </row>
        <row r="2266">
          <cell r="A2266" t="str">
            <v>101101010019</v>
          </cell>
          <cell r="B2266" t="str">
            <v xml:space="preserve">Alauli </v>
          </cell>
          <cell r="C2266" t="str">
            <v xml:space="preserve">Alauli </v>
          </cell>
          <cell r="D2266" t="str">
            <v>GOMUKH TILAK NAGAR</v>
          </cell>
          <cell r="E2266">
            <v>10110101</v>
          </cell>
          <cell r="F2266" t="str">
            <v>0019</v>
          </cell>
          <cell r="G2266">
            <v>11</v>
          </cell>
          <cell r="H2266">
            <v>19.529999999999998</v>
          </cell>
          <cell r="I2266">
            <v>789.93831549600009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P2266">
            <v>790</v>
          </cell>
          <cell r="V2266" t="str">
            <v>Available</v>
          </cell>
        </row>
        <row r="2267">
          <cell r="A2267" t="str">
            <v>101101010021</v>
          </cell>
          <cell r="B2267" t="str">
            <v xml:space="preserve">Alauli </v>
          </cell>
          <cell r="C2267" t="str">
            <v xml:space="preserve">Alauli </v>
          </cell>
          <cell r="D2267" t="str">
            <v>GOMUKH TILAK NAGAR</v>
          </cell>
          <cell r="E2267">
            <v>10110101</v>
          </cell>
          <cell r="F2267" t="str">
            <v>0021</v>
          </cell>
          <cell r="G2267">
            <v>8</v>
          </cell>
          <cell r="H2267">
            <v>10.6</v>
          </cell>
          <cell r="I2267">
            <v>467.45468207170001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P2267">
            <v>467</v>
          </cell>
          <cell r="V2267" t="str">
            <v>Available</v>
          </cell>
        </row>
        <row r="2268">
          <cell r="A2268" t="str">
            <v>101101010023</v>
          </cell>
          <cell r="B2268" t="str">
            <v xml:space="preserve">Alauli </v>
          </cell>
          <cell r="C2268" t="str">
            <v xml:space="preserve">Alauli </v>
          </cell>
          <cell r="D2268" t="str">
            <v>GOMUKH TILAK NAGAR</v>
          </cell>
          <cell r="E2268">
            <v>10110101</v>
          </cell>
          <cell r="F2268" t="str">
            <v>0023</v>
          </cell>
          <cell r="G2268">
            <v>9</v>
          </cell>
          <cell r="H2268">
            <v>15.079999999999998</v>
          </cell>
          <cell r="I2268">
            <v>743.4412118811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P2268">
            <v>743</v>
          </cell>
          <cell r="V2268" t="str">
            <v>Available</v>
          </cell>
        </row>
        <row r="2269">
          <cell r="A2269" t="str">
            <v>101101010024</v>
          </cell>
          <cell r="B2269" t="str">
            <v xml:space="preserve">Alauli </v>
          </cell>
          <cell r="C2269" t="str">
            <v xml:space="preserve">Alauli </v>
          </cell>
          <cell r="D2269" t="str">
            <v>GOMUKH TILAK NAGAR</v>
          </cell>
          <cell r="E2269">
            <v>10110101</v>
          </cell>
          <cell r="F2269" t="str">
            <v>0024</v>
          </cell>
          <cell r="G2269">
            <v>7</v>
          </cell>
          <cell r="H2269">
            <v>13.06</v>
          </cell>
          <cell r="I2269">
            <v>562.57310305479996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P2269">
            <v>563</v>
          </cell>
          <cell r="V2269" t="str">
            <v>Available</v>
          </cell>
        </row>
        <row r="2270">
          <cell r="A2270" t="str">
            <v>101101010025</v>
          </cell>
          <cell r="B2270" t="str">
            <v xml:space="preserve">Alauli </v>
          </cell>
          <cell r="C2270" t="str">
            <v xml:space="preserve">Alauli </v>
          </cell>
          <cell r="D2270" t="str">
            <v>GOMUKH TILAK NAGAR</v>
          </cell>
          <cell r="E2270">
            <v>10110101</v>
          </cell>
          <cell r="F2270" t="str">
            <v>0025</v>
          </cell>
          <cell r="G2270">
            <v>13</v>
          </cell>
          <cell r="H2270">
            <v>63.92</v>
          </cell>
          <cell r="I2270">
            <v>2733.9658475188908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P2270">
            <v>2734</v>
          </cell>
          <cell r="V2270" t="str">
            <v>Available</v>
          </cell>
        </row>
        <row r="2271">
          <cell r="A2271" t="str">
            <v>101101050002</v>
          </cell>
          <cell r="B2271" t="str">
            <v>Sahibpur Kamal</v>
          </cell>
          <cell r="C2271" t="str">
            <v>Sahibpur Kamal</v>
          </cell>
          <cell r="D2271" t="str">
            <v>Gomukh Thatha Purvi</v>
          </cell>
          <cell r="E2271">
            <v>10110105</v>
          </cell>
          <cell r="F2271" t="str">
            <v>0002</v>
          </cell>
          <cell r="G2271">
            <v>10</v>
          </cell>
          <cell r="H2271">
            <v>98.22</v>
          </cell>
          <cell r="I2271">
            <v>3982.5182588399998</v>
          </cell>
          <cell r="J2271">
            <v>0</v>
          </cell>
          <cell r="K2271">
            <v>0</v>
          </cell>
          <cell r="L2271">
            <v>1651</v>
          </cell>
          <cell r="M2271">
            <v>0</v>
          </cell>
          <cell r="P2271">
            <v>2332</v>
          </cell>
          <cell r="V2271" t="str">
            <v>Available</v>
          </cell>
        </row>
        <row r="2272">
          <cell r="A2272" t="str">
            <v>101101050004</v>
          </cell>
          <cell r="B2272" t="str">
            <v>Sahibpur Kamal</v>
          </cell>
          <cell r="C2272" t="str">
            <v>Sahibpur Kamal</v>
          </cell>
          <cell r="D2272" t="str">
            <v>Gomukh Thatha Purvi</v>
          </cell>
          <cell r="E2272">
            <v>10110105</v>
          </cell>
          <cell r="F2272" t="str">
            <v>0004</v>
          </cell>
          <cell r="G2272">
            <v>5</v>
          </cell>
          <cell r="H2272">
            <v>8.9600000000000009</v>
          </cell>
          <cell r="I2272">
            <v>305.4706617600001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P2272">
            <v>305</v>
          </cell>
          <cell r="V2272" t="str">
            <v>Available</v>
          </cell>
        </row>
        <row r="2273">
          <cell r="A2273" t="str">
            <v>101101050006</v>
          </cell>
          <cell r="B2273" t="str">
            <v>Sahibpur Kamal</v>
          </cell>
          <cell r="C2273" t="str">
            <v>Sahibpur Kamal</v>
          </cell>
          <cell r="D2273" t="str">
            <v>Gomukh Thatha Purvi</v>
          </cell>
          <cell r="E2273">
            <v>10110105</v>
          </cell>
          <cell r="F2273" t="str">
            <v>0006</v>
          </cell>
          <cell r="G2273">
            <v>12</v>
          </cell>
          <cell r="H2273">
            <v>46.85</v>
          </cell>
          <cell r="I2273">
            <v>1873.8029177999999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P2273">
            <v>1874</v>
          </cell>
          <cell r="V2273" t="str">
            <v>Available</v>
          </cell>
        </row>
        <row r="2274">
          <cell r="A2274" t="str">
            <v>101101050010</v>
          </cell>
          <cell r="B2274" t="str">
            <v>Sahibpur Kamal</v>
          </cell>
          <cell r="C2274" t="str">
            <v>Sahibpur Kamal</v>
          </cell>
          <cell r="D2274" t="str">
            <v>Gomukh Thatha Purvi</v>
          </cell>
          <cell r="E2274">
            <v>10110105</v>
          </cell>
          <cell r="F2274" t="str">
            <v>0010</v>
          </cell>
          <cell r="G2274">
            <v>7</v>
          </cell>
          <cell r="H2274">
            <v>21.57</v>
          </cell>
          <cell r="I2274">
            <v>747.75393792000011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P2274">
            <v>748</v>
          </cell>
          <cell r="V2274" t="str">
            <v>Available</v>
          </cell>
        </row>
        <row r="2275">
          <cell r="A2275" t="str">
            <v>101101050011</v>
          </cell>
          <cell r="B2275" t="str">
            <v>Sahibpur Kamal</v>
          </cell>
          <cell r="C2275" t="str">
            <v>Sahibpur Kamal</v>
          </cell>
          <cell r="D2275" t="str">
            <v>Gomukh Thatha Purvi</v>
          </cell>
          <cell r="E2275">
            <v>10110105</v>
          </cell>
          <cell r="F2275" t="str">
            <v>0011</v>
          </cell>
          <cell r="G2275">
            <v>4</v>
          </cell>
          <cell r="H2275">
            <v>11.2</v>
          </cell>
          <cell r="I2275">
            <v>386.00622720000007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P2275">
            <v>386</v>
          </cell>
          <cell r="V2275" t="str">
            <v>Available</v>
          </cell>
        </row>
        <row r="2276">
          <cell r="A2276" t="str">
            <v>101101050013</v>
          </cell>
          <cell r="B2276" t="str">
            <v>Sahibpur Kamal</v>
          </cell>
          <cell r="C2276" t="str">
            <v>Sahibpur Kamal</v>
          </cell>
          <cell r="D2276" t="str">
            <v>Gomukh Thatha Purvi</v>
          </cell>
          <cell r="E2276">
            <v>10110105</v>
          </cell>
          <cell r="F2276" t="str">
            <v>0013</v>
          </cell>
          <cell r="G2276">
            <v>11</v>
          </cell>
          <cell r="H2276">
            <v>81.47</v>
          </cell>
          <cell r="I2276">
            <v>2757.41291232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P2276">
            <v>2757</v>
          </cell>
          <cell r="V2276" t="str">
            <v>Available</v>
          </cell>
        </row>
        <row r="2277">
          <cell r="A2277" t="str">
            <v>101101050020</v>
          </cell>
          <cell r="B2277" t="str">
            <v>Sahibpur Kamal</v>
          </cell>
          <cell r="C2277" t="str">
            <v>Sahibpur Kamal</v>
          </cell>
          <cell r="D2277" t="str">
            <v>Gomukh Thatha Purvi</v>
          </cell>
          <cell r="E2277">
            <v>10110105</v>
          </cell>
          <cell r="F2277" t="str">
            <v>0020</v>
          </cell>
          <cell r="G2277">
            <v>7</v>
          </cell>
          <cell r="H2277">
            <v>32.799999999999997</v>
          </cell>
          <cell r="I2277">
            <v>1174.9524149880001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P2277">
            <v>1175</v>
          </cell>
          <cell r="V2277" t="str">
            <v>Available</v>
          </cell>
        </row>
        <row r="2278">
          <cell r="A2278" t="str">
            <v>101101050021</v>
          </cell>
          <cell r="B2278" t="str">
            <v>Sahibpur Kamal</v>
          </cell>
          <cell r="C2278" t="str">
            <v>Sahibpur Kamal</v>
          </cell>
          <cell r="D2278" t="str">
            <v>Gomukh Thatha Purvi</v>
          </cell>
          <cell r="E2278">
            <v>10110105</v>
          </cell>
          <cell r="F2278" t="str">
            <v>0021</v>
          </cell>
          <cell r="G2278">
            <v>12</v>
          </cell>
          <cell r="H2278">
            <v>82.109999999999985</v>
          </cell>
          <cell r="I2278">
            <v>2790.9006681600004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P2278">
            <v>2791</v>
          </cell>
          <cell r="V2278" t="str">
            <v>Available</v>
          </cell>
        </row>
        <row r="2279">
          <cell r="A2279" t="str">
            <v>101101050025</v>
          </cell>
          <cell r="B2279" t="str">
            <v>Sahibpur Kamal</v>
          </cell>
          <cell r="C2279" t="str">
            <v>Sahibpur Kamal</v>
          </cell>
          <cell r="D2279" t="str">
            <v>Gomukh Thatha Purvi</v>
          </cell>
          <cell r="E2279">
            <v>10110105</v>
          </cell>
          <cell r="F2279" t="str">
            <v>0025</v>
          </cell>
          <cell r="G2279">
            <v>2</v>
          </cell>
          <cell r="H2279">
            <v>2.96</v>
          </cell>
          <cell r="I2279">
            <v>101.26296576000001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P2279">
            <v>101</v>
          </cell>
          <cell r="V2279" t="str">
            <v>Available</v>
          </cell>
        </row>
        <row r="2280">
          <cell r="A2280" t="str">
            <v>101101050028</v>
          </cell>
          <cell r="B2280" t="str">
            <v>Sahibpur Kamal</v>
          </cell>
          <cell r="C2280" t="str">
            <v>Sahibpur Kamal</v>
          </cell>
          <cell r="D2280" t="str">
            <v>Gomukh Thatha Purvi</v>
          </cell>
          <cell r="E2280">
            <v>10110105</v>
          </cell>
          <cell r="F2280" t="str">
            <v>0028</v>
          </cell>
          <cell r="G2280">
            <v>8</v>
          </cell>
          <cell r="H2280">
            <v>21.29</v>
          </cell>
          <cell r="I2280">
            <v>724.00822560000006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P2280">
            <v>724</v>
          </cell>
          <cell r="V2280" t="str">
            <v>Available</v>
          </cell>
        </row>
        <row r="2281">
          <cell r="A2281" t="str">
            <v>101101050030</v>
          </cell>
          <cell r="B2281" t="str">
            <v>Sahibpur Kamal</v>
          </cell>
          <cell r="C2281" t="str">
            <v>Sahibpur Kamal</v>
          </cell>
          <cell r="D2281" t="str">
            <v>Gomukh Thatha Purvi</v>
          </cell>
          <cell r="E2281">
            <v>10110105</v>
          </cell>
          <cell r="F2281" t="str">
            <v>0030</v>
          </cell>
          <cell r="G2281">
            <v>4</v>
          </cell>
          <cell r="H2281">
            <v>14.01</v>
          </cell>
          <cell r="I2281">
            <v>475.57130108399997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P2281">
            <v>476</v>
          </cell>
          <cell r="V2281" t="str">
            <v>Available</v>
          </cell>
        </row>
        <row r="2282">
          <cell r="A2282" t="str">
            <v>101101050040</v>
          </cell>
          <cell r="B2282" t="str">
            <v>Sahibpur Kamal</v>
          </cell>
          <cell r="C2282" t="str">
            <v>Sahibpur Kamal</v>
          </cell>
          <cell r="D2282" t="str">
            <v>Gomukh Thatha Purvi</v>
          </cell>
          <cell r="E2282">
            <v>10110105</v>
          </cell>
          <cell r="F2282" t="str">
            <v>0040</v>
          </cell>
          <cell r="G2282">
            <v>10</v>
          </cell>
          <cell r="H2282">
            <v>14.37</v>
          </cell>
          <cell r="I2282">
            <v>743.92675374384487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P2282">
            <v>744</v>
          </cell>
          <cell r="V2282" t="str">
            <v>Available</v>
          </cell>
        </row>
        <row r="2283">
          <cell r="A2283" t="str">
            <v>101101060001</v>
          </cell>
          <cell r="B2283" t="str">
            <v>Sahibpur Kamal</v>
          </cell>
          <cell r="C2283" t="str">
            <v>Sahibpur Kamal</v>
          </cell>
          <cell r="D2283" t="str">
            <v>Gomukh Rahimpur Dakshin</v>
          </cell>
          <cell r="E2283">
            <v>10110106</v>
          </cell>
          <cell r="F2283" t="str">
            <v>0001</v>
          </cell>
          <cell r="G2283">
            <v>14</v>
          </cell>
          <cell r="H2283">
            <v>8.6999999999999993</v>
          </cell>
          <cell r="I2283">
            <v>333.40216139999995</v>
          </cell>
          <cell r="J2283">
            <v>0</v>
          </cell>
          <cell r="K2283">
            <v>333.40216139999995</v>
          </cell>
          <cell r="L2283">
            <v>0</v>
          </cell>
          <cell r="M2283">
            <v>0</v>
          </cell>
          <cell r="P2283">
            <v>0</v>
          </cell>
          <cell r="V2283" t="str">
            <v>Not Available</v>
          </cell>
        </row>
        <row r="2284">
          <cell r="A2284" t="str">
            <v>101101060002</v>
          </cell>
          <cell r="B2284" t="str">
            <v>Sahibpur Kamal</v>
          </cell>
          <cell r="C2284" t="str">
            <v>Sahibpur Kamal</v>
          </cell>
          <cell r="D2284" t="str">
            <v>Gomukh Rahimpur Dakshin</v>
          </cell>
          <cell r="E2284">
            <v>10110106</v>
          </cell>
          <cell r="F2284" t="str">
            <v>0002</v>
          </cell>
          <cell r="G2284">
            <v>14</v>
          </cell>
          <cell r="H2284">
            <v>572.6</v>
          </cell>
          <cell r="I2284">
            <v>25336.981521990001</v>
          </cell>
          <cell r="J2284">
            <v>0</v>
          </cell>
          <cell r="K2284">
            <v>0</v>
          </cell>
          <cell r="L2284">
            <v>3359</v>
          </cell>
          <cell r="M2284">
            <v>0</v>
          </cell>
          <cell r="P2284">
            <v>21978</v>
          </cell>
          <cell r="V2284" t="str">
            <v>Available</v>
          </cell>
        </row>
        <row r="2285">
          <cell r="A2285" t="str">
            <v>101101060003</v>
          </cell>
          <cell r="B2285" t="str">
            <v>Sahibpur Kamal</v>
          </cell>
          <cell r="C2285" t="str">
            <v>Sahibpur Kamal</v>
          </cell>
          <cell r="D2285" t="str">
            <v>Gomukh Rahimpur Dakshin</v>
          </cell>
          <cell r="E2285">
            <v>10110106</v>
          </cell>
          <cell r="F2285" t="str">
            <v>0003</v>
          </cell>
          <cell r="G2285">
            <v>14</v>
          </cell>
          <cell r="H2285">
            <v>541.6</v>
          </cell>
          <cell r="I2285">
            <v>20866.824475199999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P2285">
            <v>20867</v>
          </cell>
          <cell r="V2285" t="str">
            <v>Available</v>
          </cell>
        </row>
        <row r="2286">
          <cell r="A2286" t="str">
            <v>101101060026</v>
          </cell>
          <cell r="B2286" t="str">
            <v>Sahibpur Kamal</v>
          </cell>
          <cell r="C2286" t="str">
            <v>Sahibpur Kamal</v>
          </cell>
          <cell r="D2286" t="str">
            <v>Gomukh Rahimpur Dakshin</v>
          </cell>
          <cell r="E2286">
            <v>10110106</v>
          </cell>
          <cell r="F2286" t="str">
            <v>0026</v>
          </cell>
          <cell r="G2286">
            <v>14</v>
          </cell>
          <cell r="H2286">
            <v>74.08</v>
          </cell>
          <cell r="I2286">
            <v>5635.2455625177599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P2286">
            <v>5635</v>
          </cell>
          <cell r="V2286" t="str">
            <v>Available</v>
          </cell>
        </row>
        <row r="2287">
          <cell r="A2287" t="str">
            <v>101101060032</v>
          </cell>
          <cell r="B2287" t="str">
            <v>Sahibpur Kamal</v>
          </cell>
          <cell r="C2287" t="str">
            <v>Sahibpur Kamal</v>
          </cell>
          <cell r="D2287" t="str">
            <v>Gomukh Rahimpur Dakshin</v>
          </cell>
          <cell r="E2287">
            <v>10110106</v>
          </cell>
          <cell r="F2287" t="str">
            <v>0032</v>
          </cell>
          <cell r="G2287">
            <v>14</v>
          </cell>
          <cell r="H2287">
            <v>635</v>
          </cell>
          <cell r="I2287">
            <v>24342.172470000009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P2287">
            <v>24342</v>
          </cell>
          <cell r="V2287" t="str">
            <v>Not Available</v>
          </cell>
        </row>
        <row r="2288">
          <cell r="A2288" t="str">
            <v>101101060034</v>
          </cell>
          <cell r="B2288" t="str">
            <v>Sahibpur Kamal</v>
          </cell>
          <cell r="C2288" t="str">
            <v>Sahibpur Kamal</v>
          </cell>
          <cell r="D2288" t="str">
            <v>Gomukh Rahimpur Dakshin</v>
          </cell>
          <cell r="E2288">
            <v>10110106</v>
          </cell>
          <cell r="F2288" t="str">
            <v>0034</v>
          </cell>
          <cell r="G2288">
            <v>14</v>
          </cell>
          <cell r="H2288">
            <v>596</v>
          </cell>
          <cell r="I2288">
            <v>22845.248712000004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P2288">
            <v>22845</v>
          </cell>
          <cell r="V2288" t="str">
            <v>Not Available</v>
          </cell>
        </row>
        <row r="2289">
          <cell r="A2289" t="str">
            <v>101101060035</v>
          </cell>
          <cell r="B2289" t="str">
            <v>Sahibpur Kamal</v>
          </cell>
          <cell r="C2289" t="str">
            <v>Sahibpur Kamal</v>
          </cell>
          <cell r="D2289" t="str">
            <v>Gomukh Rahimpur Dakshin</v>
          </cell>
          <cell r="E2289">
            <v>10110106</v>
          </cell>
          <cell r="F2289" t="str">
            <v>0035</v>
          </cell>
          <cell r="G2289">
            <v>14</v>
          </cell>
          <cell r="H2289">
            <v>715</v>
          </cell>
          <cell r="I2289">
            <v>27400.702230000003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P2289">
            <v>27401</v>
          </cell>
          <cell r="V2289" t="str">
            <v>Not Available</v>
          </cell>
        </row>
        <row r="2290">
          <cell r="A2290" t="str">
            <v>101101060036</v>
          </cell>
          <cell r="B2290" t="str">
            <v>Sahibpur Kamal</v>
          </cell>
          <cell r="C2290" t="str">
            <v>Sahibpur Kamal</v>
          </cell>
          <cell r="D2290" t="str">
            <v>Gomukh Rahimpur Dakshin</v>
          </cell>
          <cell r="E2290">
            <v>10110106</v>
          </cell>
          <cell r="F2290" t="str">
            <v>0036</v>
          </cell>
          <cell r="G2290">
            <v>14</v>
          </cell>
          <cell r="H2290">
            <v>685</v>
          </cell>
          <cell r="I2290">
            <v>26220.58857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P2290">
            <v>26221</v>
          </cell>
          <cell r="V2290" t="str">
            <v>Not Available</v>
          </cell>
        </row>
        <row r="2291">
          <cell r="A2291" t="str">
            <v>101101060037</v>
          </cell>
          <cell r="B2291" t="str">
            <v>Sahibpur Kamal</v>
          </cell>
          <cell r="C2291" t="str">
            <v>Sahibpur Kamal</v>
          </cell>
          <cell r="D2291" t="str">
            <v>Gomukh Rahimpur Dakshin</v>
          </cell>
          <cell r="E2291">
            <v>10110106</v>
          </cell>
          <cell r="F2291" t="str">
            <v>0037</v>
          </cell>
          <cell r="G2291">
            <v>13</v>
          </cell>
          <cell r="H2291">
            <v>710</v>
          </cell>
          <cell r="I2291">
            <v>27207.316620000001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P2291">
            <v>27207</v>
          </cell>
          <cell r="V2291" t="str">
            <v>Not Available</v>
          </cell>
        </row>
        <row r="2292">
          <cell r="A2292" t="str">
            <v>101101060038</v>
          </cell>
          <cell r="B2292" t="str">
            <v>Sahibpur Kamal</v>
          </cell>
          <cell r="C2292" t="str">
            <v>Sahibpur Kamal</v>
          </cell>
          <cell r="D2292" t="str">
            <v>Gomukh Rahimpur Dakshin</v>
          </cell>
          <cell r="E2292">
            <v>10110106</v>
          </cell>
          <cell r="F2292" t="str">
            <v>0038</v>
          </cell>
          <cell r="G2292">
            <v>13</v>
          </cell>
          <cell r="H2292">
            <v>565</v>
          </cell>
          <cell r="I2292">
            <v>21620.913930000006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P2292">
            <v>21621</v>
          </cell>
          <cell r="V2292" t="str">
            <v>Not Available</v>
          </cell>
        </row>
        <row r="2293">
          <cell r="A2293" t="str">
            <v>101101090001</v>
          </cell>
          <cell r="B2293" t="str">
            <v xml:space="preserve">Alauli </v>
          </cell>
          <cell r="C2293" t="str">
            <v xml:space="preserve">Alauli </v>
          </cell>
          <cell r="D2293" t="str">
            <v>GOMUKH MORKAHI</v>
          </cell>
          <cell r="E2293">
            <v>10110109</v>
          </cell>
          <cell r="F2293" t="str">
            <v>0001</v>
          </cell>
          <cell r="G2293">
            <v>14</v>
          </cell>
          <cell r="H2293">
            <v>1.4000000000000001</v>
          </cell>
          <cell r="I2293">
            <v>58.678345493100018</v>
          </cell>
          <cell r="J2293">
            <v>0</v>
          </cell>
          <cell r="K2293">
            <v>58.678345493100018</v>
          </cell>
          <cell r="L2293">
            <v>0</v>
          </cell>
          <cell r="M2293">
            <v>0</v>
          </cell>
          <cell r="P2293">
            <v>0</v>
          </cell>
          <cell r="V2293" t="str">
            <v>Not Available</v>
          </cell>
        </row>
        <row r="2294">
          <cell r="A2294" t="str">
            <v>101101090005</v>
          </cell>
          <cell r="B2294" t="str">
            <v xml:space="preserve">Alauli </v>
          </cell>
          <cell r="C2294" t="str">
            <v xml:space="preserve">Alauli </v>
          </cell>
          <cell r="D2294" t="str">
            <v>GOMUKH MORKAHI</v>
          </cell>
          <cell r="E2294">
            <v>10110109</v>
          </cell>
          <cell r="F2294" t="str">
            <v>0005</v>
          </cell>
          <cell r="G2294">
            <v>14</v>
          </cell>
          <cell r="H2294">
            <v>267.85000000000002</v>
          </cell>
          <cell r="I2294">
            <v>11356.323884996404</v>
          </cell>
          <cell r="J2294">
            <v>0</v>
          </cell>
          <cell r="K2294">
            <v>0</v>
          </cell>
          <cell r="L2294">
            <v>73</v>
          </cell>
          <cell r="M2294">
            <v>0</v>
          </cell>
          <cell r="P2294">
            <v>11280</v>
          </cell>
          <cell r="V2294" t="str">
            <v>Available</v>
          </cell>
        </row>
        <row r="2295">
          <cell r="A2295" t="str">
            <v>101101100001</v>
          </cell>
          <cell r="B2295" t="str">
            <v>Matihani</v>
          </cell>
          <cell r="C2295" t="str">
            <v>Matihani</v>
          </cell>
          <cell r="D2295" t="str">
            <v>GOMUKH HANSPUR</v>
          </cell>
          <cell r="E2295">
            <v>10110110</v>
          </cell>
          <cell r="F2295" t="str">
            <v>0001</v>
          </cell>
          <cell r="G2295">
            <v>9</v>
          </cell>
          <cell r="H2295">
            <v>1.2400000000000002</v>
          </cell>
          <cell r="I2295">
            <v>79.731364855000024</v>
          </cell>
          <cell r="J2295">
            <v>0</v>
          </cell>
          <cell r="K2295">
            <v>79.731364855000024</v>
          </cell>
          <cell r="L2295">
            <v>0</v>
          </cell>
          <cell r="M2295">
            <v>0</v>
          </cell>
          <cell r="P2295">
            <v>0</v>
          </cell>
          <cell r="V2295" t="str">
            <v>Not Available</v>
          </cell>
        </row>
        <row r="2296">
          <cell r="A2296" t="str">
            <v>101101100002</v>
          </cell>
          <cell r="B2296" t="str">
            <v>Matihani</v>
          </cell>
          <cell r="C2296" t="str">
            <v>Matihani</v>
          </cell>
          <cell r="D2296" t="str">
            <v>GOMUKH HANSPUR</v>
          </cell>
          <cell r="E2296">
            <v>10110110</v>
          </cell>
          <cell r="F2296" t="str">
            <v>0002</v>
          </cell>
          <cell r="G2296">
            <v>2</v>
          </cell>
          <cell r="H2296">
            <v>10.440000000000001</v>
          </cell>
          <cell r="I2296">
            <v>462.56932518140002</v>
          </cell>
          <cell r="J2296">
            <v>0</v>
          </cell>
          <cell r="K2296">
            <v>0</v>
          </cell>
          <cell r="L2296">
            <v>463</v>
          </cell>
          <cell r="M2296">
            <v>0</v>
          </cell>
          <cell r="P2296">
            <v>0</v>
          </cell>
          <cell r="V2296" t="str">
            <v>Available</v>
          </cell>
        </row>
        <row r="2297">
          <cell r="A2297" t="str">
            <v>101101100006</v>
          </cell>
          <cell r="B2297" t="str">
            <v>Matihani</v>
          </cell>
          <cell r="C2297" t="str">
            <v>Matihani</v>
          </cell>
          <cell r="D2297" t="str">
            <v>GOMUKH HANSPUR</v>
          </cell>
          <cell r="E2297">
            <v>10110110</v>
          </cell>
          <cell r="F2297" t="str">
            <v>0006</v>
          </cell>
          <cell r="G2297">
            <v>14</v>
          </cell>
          <cell r="H2297">
            <v>128.67000000000002</v>
          </cell>
          <cell r="I2297">
            <v>6820.8691717162419</v>
          </cell>
          <cell r="J2297">
            <v>0</v>
          </cell>
          <cell r="K2297">
            <v>0</v>
          </cell>
          <cell r="L2297">
            <v>344</v>
          </cell>
          <cell r="M2297">
            <v>544</v>
          </cell>
          <cell r="P2297">
            <v>5858</v>
          </cell>
          <cell r="V2297" t="str">
            <v>Available</v>
          </cell>
        </row>
        <row r="2298">
          <cell r="A2298" t="str">
            <v>101101100008</v>
          </cell>
          <cell r="B2298" t="str">
            <v>Matihani</v>
          </cell>
          <cell r="C2298" t="str">
            <v>Matihani</v>
          </cell>
          <cell r="D2298" t="str">
            <v>GOMUKH HANSPUR</v>
          </cell>
          <cell r="E2298">
            <v>10110110</v>
          </cell>
          <cell r="F2298" t="str">
            <v>0008</v>
          </cell>
          <cell r="G2298">
            <v>7</v>
          </cell>
          <cell r="H2298">
            <v>20.069999999999997</v>
          </cell>
          <cell r="I2298">
            <v>768.54096435600013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P2298">
            <v>769</v>
          </cell>
          <cell r="V2298" t="str">
            <v>Available</v>
          </cell>
        </row>
        <row r="2299">
          <cell r="A2299" t="str">
            <v>101101110001</v>
          </cell>
          <cell r="B2299" t="str">
            <v>Matihani</v>
          </cell>
          <cell r="C2299" t="str">
            <v>Matihani</v>
          </cell>
          <cell r="D2299" t="str">
            <v>GOMUKH NAYAGAON 2</v>
          </cell>
          <cell r="E2299">
            <v>10110111</v>
          </cell>
          <cell r="F2299" t="str">
            <v>0001</v>
          </cell>
          <cell r="G2299">
            <v>14</v>
          </cell>
          <cell r="H2299">
            <v>3.1800000000000006</v>
          </cell>
          <cell r="I2299">
            <v>194.41411134992001</v>
          </cell>
          <cell r="J2299">
            <v>0</v>
          </cell>
          <cell r="K2299">
            <v>194.41411134992001</v>
          </cell>
          <cell r="L2299">
            <v>0</v>
          </cell>
          <cell r="M2299">
            <v>0</v>
          </cell>
          <cell r="P2299">
            <v>0</v>
          </cell>
          <cell r="V2299" t="str">
            <v>Not Available</v>
          </cell>
        </row>
        <row r="2300">
          <cell r="A2300" t="str">
            <v>101101110002</v>
          </cell>
          <cell r="B2300" t="str">
            <v>Matihani</v>
          </cell>
          <cell r="C2300" t="str">
            <v>Matihani</v>
          </cell>
          <cell r="D2300" t="str">
            <v>GOMUKH NAYAGAON 2</v>
          </cell>
          <cell r="E2300">
            <v>10110111</v>
          </cell>
          <cell r="F2300" t="str">
            <v>0002</v>
          </cell>
          <cell r="G2300">
            <v>1</v>
          </cell>
          <cell r="H2300">
            <v>9.6199999999999992</v>
          </cell>
          <cell r="I2300">
            <v>612.94143679339993</v>
          </cell>
          <cell r="J2300">
            <v>0</v>
          </cell>
          <cell r="K2300">
            <v>0</v>
          </cell>
          <cell r="L2300">
            <v>134</v>
          </cell>
          <cell r="M2300">
            <v>0</v>
          </cell>
          <cell r="P2300">
            <v>479</v>
          </cell>
          <cell r="V2300" t="str">
            <v>Available</v>
          </cell>
        </row>
        <row r="2301">
          <cell r="A2301" t="str">
            <v>101101110009</v>
          </cell>
          <cell r="B2301" t="str">
            <v>Matihani</v>
          </cell>
          <cell r="C2301" t="str">
            <v>Matihani</v>
          </cell>
          <cell r="D2301" t="str">
            <v>GOMUKH NAYAGAON 2</v>
          </cell>
          <cell r="E2301">
            <v>10110111</v>
          </cell>
          <cell r="F2301" t="str">
            <v>0009</v>
          </cell>
          <cell r="G2301">
            <v>13</v>
          </cell>
          <cell r="H2301">
            <v>118.7</v>
          </cell>
          <cell r="I2301">
            <v>7524.522239506201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P2301">
            <v>7525</v>
          </cell>
          <cell r="V2301" t="str">
            <v>Available</v>
          </cell>
        </row>
        <row r="2302">
          <cell r="A2302" t="str">
            <v>101101110016</v>
          </cell>
          <cell r="B2302" t="str">
            <v>Matihani</v>
          </cell>
          <cell r="C2302" t="str">
            <v>Matihani</v>
          </cell>
          <cell r="D2302" t="str">
            <v>GOMUKH NAYAGAON 2</v>
          </cell>
          <cell r="E2302">
            <v>10110111</v>
          </cell>
          <cell r="F2302" t="str">
            <v>0016</v>
          </cell>
          <cell r="G2302">
            <v>14</v>
          </cell>
          <cell r="H2302">
            <v>92.34</v>
          </cell>
          <cell r="I2302">
            <v>3533.6438851032008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P2302">
            <v>3534</v>
          </cell>
          <cell r="V2302" t="str">
            <v>Available</v>
          </cell>
        </row>
        <row r="2303">
          <cell r="A2303" t="str">
            <v>101101140002</v>
          </cell>
          <cell r="B2303" t="str">
            <v xml:space="preserve">Alauli </v>
          </cell>
          <cell r="C2303" t="str">
            <v xml:space="preserve">Alauli </v>
          </cell>
          <cell r="D2303" t="str">
            <v>GOMUKH LABHGAON</v>
          </cell>
          <cell r="E2303">
            <v>10110114</v>
          </cell>
          <cell r="F2303" t="str">
            <v>0002</v>
          </cell>
          <cell r="G2303">
            <v>14</v>
          </cell>
          <cell r="H2303">
            <v>308.93999999999994</v>
          </cell>
          <cell r="I2303">
            <v>11139.010372868404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P2303">
            <v>11139</v>
          </cell>
          <cell r="V2303" t="str">
            <v>Available</v>
          </cell>
        </row>
        <row r="2304">
          <cell r="A2304" t="str">
            <v>101101140006</v>
          </cell>
          <cell r="B2304" t="str">
            <v xml:space="preserve">Alauli </v>
          </cell>
          <cell r="C2304" t="str">
            <v xml:space="preserve">Alauli </v>
          </cell>
          <cell r="D2304" t="str">
            <v>GOMUKH LABHGAON</v>
          </cell>
          <cell r="E2304">
            <v>10110114</v>
          </cell>
          <cell r="F2304" t="str">
            <v>0006</v>
          </cell>
          <cell r="G2304">
            <v>7</v>
          </cell>
          <cell r="H2304">
            <v>219.94</v>
          </cell>
          <cell r="I2304">
            <v>7741.5029429166007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P2304">
            <v>7742</v>
          </cell>
          <cell r="V2304" t="str">
            <v>Available</v>
          </cell>
        </row>
        <row r="2305">
          <cell r="A2305" t="str">
            <v>101101160002</v>
          </cell>
          <cell r="B2305" t="str">
            <v xml:space="preserve">Alauli </v>
          </cell>
          <cell r="C2305" t="str">
            <v xml:space="preserve">Alauli </v>
          </cell>
          <cell r="D2305" t="str">
            <v>GOMUKH CHANDPURA</v>
          </cell>
          <cell r="E2305">
            <v>10110116</v>
          </cell>
          <cell r="F2305" t="str">
            <v>0002</v>
          </cell>
          <cell r="G2305">
            <v>12</v>
          </cell>
          <cell r="H2305">
            <v>248.5</v>
          </cell>
          <cell r="I2305">
            <v>9110.6421317999993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P2305">
            <v>9111</v>
          </cell>
          <cell r="V2305" t="str">
            <v>Available</v>
          </cell>
        </row>
        <row r="2306">
          <cell r="A2306" t="str">
            <v>101101160003</v>
          </cell>
          <cell r="B2306" t="str">
            <v xml:space="preserve">Alauli </v>
          </cell>
          <cell r="C2306" t="str">
            <v xml:space="preserve">Alauli </v>
          </cell>
          <cell r="D2306" t="str">
            <v>GOMUKH CHANDPURA</v>
          </cell>
          <cell r="E2306">
            <v>10110116</v>
          </cell>
          <cell r="F2306" t="str">
            <v>0003</v>
          </cell>
          <cell r="G2306">
            <v>6</v>
          </cell>
          <cell r="H2306">
            <v>7</v>
          </cell>
          <cell r="I2306">
            <v>253.843524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P2306">
            <v>254</v>
          </cell>
          <cell r="V2306" t="str">
            <v>Available</v>
          </cell>
        </row>
        <row r="2307">
          <cell r="A2307" t="str">
            <v>101101160004</v>
          </cell>
          <cell r="B2307" t="str">
            <v xml:space="preserve">Alauli </v>
          </cell>
          <cell r="C2307" t="str">
            <v xml:space="preserve">Alauli </v>
          </cell>
          <cell r="D2307" t="str">
            <v>GOMUKH CHANDPURA</v>
          </cell>
          <cell r="E2307">
            <v>10110116</v>
          </cell>
          <cell r="F2307" t="str">
            <v>0004</v>
          </cell>
          <cell r="G2307">
            <v>12</v>
          </cell>
          <cell r="H2307">
            <v>249</v>
          </cell>
          <cell r="I2307">
            <v>9130.4426663999984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P2307">
            <v>9130</v>
          </cell>
          <cell r="V2307" t="str">
            <v>Available</v>
          </cell>
        </row>
        <row r="2308">
          <cell r="A2308" t="str">
            <v>101101160005</v>
          </cell>
          <cell r="B2308" t="str">
            <v xml:space="preserve">Alauli </v>
          </cell>
          <cell r="C2308" t="str">
            <v xml:space="preserve">Alauli </v>
          </cell>
          <cell r="D2308" t="str">
            <v>GOMUKH CHANDPURA</v>
          </cell>
          <cell r="E2308">
            <v>10110116</v>
          </cell>
          <cell r="F2308" t="str">
            <v>0005</v>
          </cell>
          <cell r="G2308">
            <v>12</v>
          </cell>
          <cell r="H2308">
            <v>18.5</v>
          </cell>
          <cell r="I2308">
            <v>677.77380000000016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P2308">
            <v>678</v>
          </cell>
          <cell r="V2308" t="str">
            <v>Available</v>
          </cell>
        </row>
        <row r="2309">
          <cell r="A2309" t="str">
            <v>101101160006</v>
          </cell>
          <cell r="B2309" t="str">
            <v xml:space="preserve">Alauli </v>
          </cell>
          <cell r="C2309" t="str">
            <v xml:space="preserve">Alauli </v>
          </cell>
          <cell r="D2309" t="str">
            <v>GOMUKH CHANDPURA</v>
          </cell>
          <cell r="E2309">
            <v>10110116</v>
          </cell>
          <cell r="F2309" t="str">
            <v>0006</v>
          </cell>
          <cell r="G2309">
            <v>12</v>
          </cell>
          <cell r="H2309">
            <v>160.40000000000003</v>
          </cell>
          <cell r="I2309">
            <v>5866.9379010000002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P2309">
            <v>5867</v>
          </cell>
          <cell r="V2309" t="str">
            <v>Available</v>
          </cell>
        </row>
        <row r="2310">
          <cell r="A2310" t="str">
            <v>101101180001</v>
          </cell>
          <cell r="B2310" t="str">
            <v xml:space="preserve">Alauli </v>
          </cell>
          <cell r="C2310" t="str">
            <v xml:space="preserve">Alauli </v>
          </cell>
          <cell r="D2310" t="str">
            <v>GOMUKH BADIL TOL</v>
          </cell>
          <cell r="E2310">
            <v>10110118</v>
          </cell>
          <cell r="F2310" t="str">
            <v>0001</v>
          </cell>
          <cell r="G2310">
            <v>14</v>
          </cell>
          <cell r="H2310">
            <v>14.959999999999999</v>
          </cell>
          <cell r="I2310">
            <v>570.3827803524</v>
          </cell>
          <cell r="J2310">
            <v>0</v>
          </cell>
          <cell r="K2310">
            <v>570.3827803524</v>
          </cell>
          <cell r="L2310">
            <v>0</v>
          </cell>
          <cell r="M2310">
            <v>0</v>
          </cell>
          <cell r="P2310">
            <v>0</v>
          </cell>
          <cell r="V2310" t="str">
            <v>Not Available</v>
          </cell>
        </row>
        <row r="2311">
          <cell r="A2311" t="str">
            <v>101101180002</v>
          </cell>
          <cell r="B2311" t="str">
            <v xml:space="preserve">Alauli </v>
          </cell>
          <cell r="C2311" t="str">
            <v xml:space="preserve">Alauli </v>
          </cell>
          <cell r="D2311" t="str">
            <v>GOMUKH BADIL TOL</v>
          </cell>
          <cell r="E2311">
            <v>10110118</v>
          </cell>
          <cell r="F2311" t="str">
            <v>0002</v>
          </cell>
          <cell r="G2311">
            <v>14</v>
          </cell>
          <cell r="H2311">
            <v>130.87</v>
          </cell>
          <cell r="I2311">
            <v>4913.1498433742008</v>
          </cell>
          <cell r="J2311">
            <v>0</v>
          </cell>
          <cell r="K2311">
            <v>0</v>
          </cell>
          <cell r="L2311">
            <v>1343</v>
          </cell>
          <cell r="M2311">
            <v>0</v>
          </cell>
          <cell r="P2311">
            <v>3539</v>
          </cell>
          <cell r="V2311" t="str">
            <v>Available</v>
          </cell>
        </row>
        <row r="2312">
          <cell r="A2312" t="str">
            <v>101101180003</v>
          </cell>
          <cell r="B2312" t="str">
            <v xml:space="preserve">Alauli </v>
          </cell>
          <cell r="C2312" t="str">
            <v xml:space="preserve">Alauli </v>
          </cell>
          <cell r="D2312" t="str">
            <v>GOMUKH BADIL TOL</v>
          </cell>
          <cell r="E2312">
            <v>10110118</v>
          </cell>
          <cell r="F2312" t="str">
            <v>0003</v>
          </cell>
          <cell r="G2312">
            <v>14</v>
          </cell>
          <cell r="H2312">
            <v>62.919999999999995</v>
          </cell>
          <cell r="I2312">
            <v>2684.1352543738008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P2312">
            <v>2684</v>
          </cell>
          <cell r="V2312" t="str">
            <v>Available</v>
          </cell>
        </row>
        <row r="2313">
          <cell r="A2313" t="str">
            <v>101101180004</v>
          </cell>
          <cell r="B2313" t="str">
            <v xml:space="preserve">Alauli </v>
          </cell>
          <cell r="C2313" t="str">
            <v xml:space="preserve">Alauli </v>
          </cell>
          <cell r="D2313" t="str">
            <v>GOMUKH BADIL TOL</v>
          </cell>
          <cell r="E2313">
            <v>10110118</v>
          </cell>
          <cell r="F2313" t="str">
            <v>0004</v>
          </cell>
          <cell r="G2313">
            <v>14</v>
          </cell>
          <cell r="H2313">
            <v>59.260000000000005</v>
          </cell>
          <cell r="I2313">
            <v>2953.6586623937501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P2313">
            <v>2954</v>
          </cell>
          <cell r="V2313" t="str">
            <v>Available</v>
          </cell>
        </row>
        <row r="2314">
          <cell r="A2314" t="str">
            <v>101101180005</v>
          </cell>
          <cell r="B2314" t="str">
            <v xml:space="preserve">Alauli </v>
          </cell>
          <cell r="C2314" t="str">
            <v xml:space="preserve">Alauli </v>
          </cell>
          <cell r="D2314" t="str">
            <v>GOMUKH BADIL TOL</v>
          </cell>
          <cell r="E2314">
            <v>10110118</v>
          </cell>
          <cell r="F2314" t="str">
            <v>0005</v>
          </cell>
          <cell r="G2314">
            <v>14</v>
          </cell>
          <cell r="H2314">
            <v>23.939999999999998</v>
          </cell>
          <cell r="I2314">
            <v>832.94990475840018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P2314">
            <v>833</v>
          </cell>
          <cell r="V2314" t="str">
            <v>Available</v>
          </cell>
        </row>
        <row r="2315">
          <cell r="A2315" t="str">
            <v>101101180006</v>
          </cell>
          <cell r="B2315" t="str">
            <v xml:space="preserve">Alauli </v>
          </cell>
          <cell r="C2315" t="str">
            <v xml:space="preserve">Alauli </v>
          </cell>
          <cell r="D2315" t="str">
            <v>GOMUKH BADIL TOL</v>
          </cell>
          <cell r="E2315">
            <v>10110118</v>
          </cell>
          <cell r="F2315" t="str">
            <v>0006</v>
          </cell>
          <cell r="G2315">
            <v>12</v>
          </cell>
          <cell r="H2315">
            <v>13.179999999999998</v>
          </cell>
          <cell r="I2315">
            <v>772.6375435498361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P2315">
            <v>773</v>
          </cell>
          <cell r="V2315" t="str">
            <v>Available</v>
          </cell>
        </row>
        <row r="2316">
          <cell r="A2316" t="str">
            <v>101101180007</v>
          </cell>
          <cell r="B2316" t="str">
            <v xml:space="preserve">Alauli </v>
          </cell>
          <cell r="C2316" t="str">
            <v xml:space="preserve">Alauli </v>
          </cell>
          <cell r="D2316" t="str">
            <v>GOMUKH BADIL TOL</v>
          </cell>
          <cell r="E2316">
            <v>10110118</v>
          </cell>
          <cell r="F2316" t="str">
            <v>0007</v>
          </cell>
          <cell r="G2316">
            <v>14</v>
          </cell>
          <cell r="H2316">
            <v>40.69</v>
          </cell>
          <cell r="I2316">
            <v>1715.0348210746502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P2316">
            <v>1715</v>
          </cell>
          <cell r="V2316" t="str">
            <v>Available</v>
          </cell>
        </row>
        <row r="2317">
          <cell r="A2317" t="str">
            <v>101101180008</v>
          </cell>
          <cell r="B2317" t="str">
            <v xml:space="preserve">Alauli </v>
          </cell>
          <cell r="C2317" t="str">
            <v xml:space="preserve">Alauli </v>
          </cell>
          <cell r="D2317" t="str">
            <v>GOMUKH BADIL TOL</v>
          </cell>
          <cell r="E2317">
            <v>10110118</v>
          </cell>
          <cell r="F2317" t="str">
            <v>0008</v>
          </cell>
          <cell r="G2317">
            <v>1</v>
          </cell>
          <cell r="H2317">
            <v>0.77</v>
          </cell>
          <cell r="I2317">
            <v>25.756177708800003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P2317">
            <v>26</v>
          </cell>
          <cell r="V2317" t="str">
            <v>Available</v>
          </cell>
        </row>
        <row r="2318">
          <cell r="A2318" t="str">
            <v>101101180010</v>
          </cell>
          <cell r="B2318" t="str">
            <v xml:space="preserve">Alauli </v>
          </cell>
          <cell r="C2318" t="str">
            <v xml:space="preserve">Alauli </v>
          </cell>
          <cell r="D2318" t="str">
            <v>GOMUKH BADIL TOL</v>
          </cell>
          <cell r="E2318">
            <v>10110118</v>
          </cell>
          <cell r="F2318" t="str">
            <v>0010</v>
          </cell>
          <cell r="G2318">
            <v>13</v>
          </cell>
          <cell r="H2318">
            <v>36.450000000000003</v>
          </cell>
          <cell r="I2318">
            <v>1296.7458667065082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P2318">
            <v>1297</v>
          </cell>
          <cell r="V2318" t="str">
            <v>Available</v>
          </cell>
        </row>
        <row r="2319">
          <cell r="A2319" t="str">
            <v>101101180012</v>
          </cell>
          <cell r="B2319" t="str">
            <v xml:space="preserve">Alauli </v>
          </cell>
          <cell r="C2319" t="str">
            <v xml:space="preserve">Alauli </v>
          </cell>
          <cell r="D2319" t="str">
            <v>GOMUKH BADIL TOL</v>
          </cell>
          <cell r="E2319">
            <v>10110118</v>
          </cell>
          <cell r="F2319" t="str">
            <v>0012</v>
          </cell>
          <cell r="G2319">
            <v>13</v>
          </cell>
          <cell r="H2319">
            <v>50.640000000000008</v>
          </cell>
          <cell r="I2319">
            <v>1849.4054456526003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P2319">
            <v>1849</v>
          </cell>
          <cell r="V2319" t="str">
            <v>Not Available</v>
          </cell>
        </row>
        <row r="2320">
          <cell r="A2320" t="str">
            <v>101101180013</v>
          </cell>
          <cell r="B2320" t="str">
            <v xml:space="preserve">Alauli </v>
          </cell>
          <cell r="C2320" t="str">
            <v xml:space="preserve">Alauli </v>
          </cell>
          <cell r="D2320" t="str">
            <v>GOMUKH BADIL TOL</v>
          </cell>
          <cell r="E2320">
            <v>10110118</v>
          </cell>
          <cell r="F2320" t="str">
            <v>0013</v>
          </cell>
          <cell r="G2320">
            <v>12</v>
          </cell>
          <cell r="H2320">
            <v>42.12</v>
          </cell>
          <cell r="I2320">
            <v>1586.8765021872002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P2320">
            <v>1587</v>
          </cell>
          <cell r="V2320" t="str">
            <v>Not Available</v>
          </cell>
        </row>
        <row r="2321">
          <cell r="A2321" t="str">
            <v>101101180014</v>
          </cell>
          <cell r="B2321" t="str">
            <v xml:space="preserve">Alauli </v>
          </cell>
          <cell r="C2321" t="str">
            <v xml:space="preserve">Alauli </v>
          </cell>
          <cell r="D2321" t="str">
            <v>GOMUKH BADIL TOL</v>
          </cell>
          <cell r="E2321">
            <v>10110118</v>
          </cell>
          <cell r="F2321" t="str">
            <v>0014</v>
          </cell>
          <cell r="G2321">
            <v>9</v>
          </cell>
          <cell r="H2321">
            <v>28.04</v>
          </cell>
          <cell r="I2321">
            <v>1024.9535876382001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P2321">
            <v>1025</v>
          </cell>
          <cell r="V2321" t="str">
            <v>Not Available</v>
          </cell>
        </row>
        <row r="2322">
          <cell r="A2322" t="str">
            <v>101101180015</v>
          </cell>
          <cell r="B2322" t="str">
            <v xml:space="preserve">Alauli </v>
          </cell>
          <cell r="C2322" t="str">
            <v xml:space="preserve">Alauli </v>
          </cell>
          <cell r="D2322" t="str">
            <v>GOMUKH BADIL TOL</v>
          </cell>
          <cell r="E2322">
            <v>10110118</v>
          </cell>
          <cell r="F2322" t="str">
            <v>0015</v>
          </cell>
          <cell r="G2322">
            <v>7</v>
          </cell>
          <cell r="H2322">
            <v>21.64</v>
          </cell>
          <cell r="I2322">
            <v>866.68793737339001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P2322">
            <v>867</v>
          </cell>
          <cell r="V2322" t="str">
            <v>Not Available</v>
          </cell>
        </row>
        <row r="2323">
          <cell r="A2323" t="str">
            <v>101101180016</v>
          </cell>
          <cell r="B2323" t="str">
            <v xml:space="preserve">Alauli </v>
          </cell>
          <cell r="C2323" t="str">
            <v xml:space="preserve">Alauli </v>
          </cell>
          <cell r="D2323" t="str">
            <v>GOMUKH BADIL TOL</v>
          </cell>
          <cell r="E2323">
            <v>10110118</v>
          </cell>
          <cell r="F2323" t="str">
            <v>0016</v>
          </cell>
          <cell r="G2323">
            <v>7</v>
          </cell>
          <cell r="H2323">
            <v>17.47</v>
          </cell>
          <cell r="I2323">
            <v>800.84672737120013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P2323">
            <v>801</v>
          </cell>
          <cell r="V2323" t="str">
            <v>Not Available</v>
          </cell>
        </row>
        <row r="2324">
          <cell r="A2324" t="str">
            <v>101101190002</v>
          </cell>
          <cell r="B2324" t="str">
            <v xml:space="preserve">Alauli </v>
          </cell>
          <cell r="C2324" t="str">
            <v xml:space="preserve">Alauli </v>
          </cell>
          <cell r="D2324" t="str">
            <v>GOMUKH TRIBHUVAN TOLA</v>
          </cell>
          <cell r="E2324">
            <v>10110119</v>
          </cell>
          <cell r="F2324" t="str">
            <v>0002</v>
          </cell>
          <cell r="G2324">
            <v>14</v>
          </cell>
          <cell r="H2324">
            <v>28.189999999999998</v>
          </cell>
          <cell r="I2324">
            <v>1548.5782722706601</v>
          </cell>
          <cell r="J2324">
            <v>0</v>
          </cell>
          <cell r="K2324">
            <v>0</v>
          </cell>
          <cell r="L2324">
            <v>550</v>
          </cell>
          <cell r="M2324">
            <v>0</v>
          </cell>
          <cell r="P2324">
            <v>999</v>
          </cell>
          <cell r="V2324" t="str">
            <v>Available</v>
          </cell>
        </row>
        <row r="2325">
          <cell r="A2325" t="str">
            <v>101101190003</v>
          </cell>
          <cell r="B2325" t="str">
            <v xml:space="preserve">Alauli </v>
          </cell>
          <cell r="C2325" t="str">
            <v xml:space="preserve">Alauli </v>
          </cell>
          <cell r="D2325" t="str">
            <v>GOMUKH TRIBHUVAN TOLA</v>
          </cell>
          <cell r="E2325">
            <v>10110119</v>
          </cell>
          <cell r="F2325" t="str">
            <v>0003</v>
          </cell>
          <cell r="G2325">
            <v>7</v>
          </cell>
          <cell r="H2325">
            <v>17.809999999999999</v>
          </cell>
          <cell r="I2325">
            <v>607.30674962760008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P2325">
            <v>607</v>
          </cell>
          <cell r="V2325" t="str">
            <v>Available</v>
          </cell>
        </row>
        <row r="2326">
          <cell r="A2326" t="str">
            <v>101101190004</v>
          </cell>
          <cell r="B2326" t="str">
            <v xml:space="preserve">Alauli </v>
          </cell>
          <cell r="C2326" t="str">
            <v xml:space="preserve">Alauli </v>
          </cell>
          <cell r="D2326" t="str">
            <v>GOMUKH TRIBHUVAN TOLA</v>
          </cell>
          <cell r="E2326">
            <v>10110119</v>
          </cell>
          <cell r="F2326" t="str">
            <v>0004</v>
          </cell>
          <cell r="G2326">
            <v>7</v>
          </cell>
          <cell r="H2326">
            <v>11.71</v>
          </cell>
          <cell r="I2326">
            <v>526.77927680400001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P2326">
            <v>527</v>
          </cell>
          <cell r="V2326" t="str">
            <v>Available</v>
          </cell>
        </row>
        <row r="2327">
          <cell r="A2327" t="str">
            <v>101101190009</v>
          </cell>
          <cell r="B2327" t="str">
            <v xml:space="preserve">Alauli </v>
          </cell>
          <cell r="C2327" t="str">
            <v xml:space="preserve">Alauli </v>
          </cell>
          <cell r="D2327" t="str">
            <v>GOMUKH TRIBHUVAN TOLA</v>
          </cell>
          <cell r="E2327">
            <v>10110119</v>
          </cell>
          <cell r="F2327" t="str">
            <v>0009</v>
          </cell>
          <cell r="G2327">
            <v>7</v>
          </cell>
          <cell r="H2327">
            <v>13.989999999999998</v>
          </cell>
          <cell r="I2327">
            <v>700.77689322978006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P2327">
            <v>701</v>
          </cell>
          <cell r="V2327" t="str">
            <v>Available</v>
          </cell>
        </row>
        <row r="2328">
          <cell r="A2328" t="str">
            <v>101101190011</v>
          </cell>
          <cell r="B2328" t="str">
            <v xml:space="preserve">Alauli </v>
          </cell>
          <cell r="C2328" t="str">
            <v xml:space="preserve">Alauli </v>
          </cell>
          <cell r="D2328" t="str">
            <v>GOMUKH TRIBHUVAN TOLA</v>
          </cell>
          <cell r="E2328">
            <v>10110119</v>
          </cell>
          <cell r="F2328" t="str">
            <v>0011</v>
          </cell>
          <cell r="G2328">
            <v>12</v>
          </cell>
          <cell r="H2328">
            <v>32.020000000000003</v>
          </cell>
          <cell r="I2328">
            <v>1068.8998034088002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P2328">
            <v>1069</v>
          </cell>
          <cell r="V2328" t="str">
            <v>Available</v>
          </cell>
        </row>
        <row r="2329">
          <cell r="A2329" t="str">
            <v>101101190013</v>
          </cell>
          <cell r="B2329" t="str">
            <v xml:space="preserve">Alauli </v>
          </cell>
          <cell r="C2329" t="str">
            <v xml:space="preserve">Alauli </v>
          </cell>
          <cell r="D2329" t="str">
            <v>GOMUKH TRIBHUVAN TOLA</v>
          </cell>
          <cell r="E2329">
            <v>10110119</v>
          </cell>
          <cell r="F2329" t="str">
            <v>0013</v>
          </cell>
          <cell r="G2329">
            <v>10</v>
          </cell>
          <cell r="H2329">
            <v>19.670000000000002</v>
          </cell>
          <cell r="I2329">
            <v>807.30948150419999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P2329">
            <v>807</v>
          </cell>
          <cell r="V2329" t="str">
            <v>Available</v>
          </cell>
        </row>
        <row r="2330">
          <cell r="A2330" t="str">
            <v>101101190014</v>
          </cell>
          <cell r="B2330" t="str">
            <v xml:space="preserve">Alauli </v>
          </cell>
          <cell r="C2330" t="str">
            <v xml:space="preserve">Alauli </v>
          </cell>
          <cell r="D2330" t="str">
            <v>GOMUKH TRIBHUVAN TOLA</v>
          </cell>
          <cell r="E2330">
            <v>10110119</v>
          </cell>
          <cell r="F2330" t="str">
            <v>0014</v>
          </cell>
          <cell r="G2330">
            <v>11</v>
          </cell>
          <cell r="H2330">
            <v>23.53</v>
          </cell>
          <cell r="I2330">
            <v>896.82071846400004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P2330">
            <v>897</v>
          </cell>
          <cell r="V2330" t="str">
            <v>Available</v>
          </cell>
        </row>
        <row r="2331">
          <cell r="A2331" t="str">
            <v>101101190015</v>
          </cell>
          <cell r="B2331" t="str">
            <v xml:space="preserve">Alauli </v>
          </cell>
          <cell r="C2331" t="str">
            <v xml:space="preserve">Alauli </v>
          </cell>
          <cell r="D2331" t="str">
            <v>GOMUKH TRIBHUVAN TOLA</v>
          </cell>
          <cell r="E2331">
            <v>10110119</v>
          </cell>
          <cell r="F2331" t="str">
            <v>0015</v>
          </cell>
          <cell r="G2331">
            <v>9</v>
          </cell>
          <cell r="H2331">
            <v>21.279999999999998</v>
          </cell>
          <cell r="I2331">
            <v>831.12939478800013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P2331">
            <v>831</v>
          </cell>
          <cell r="V2331" t="str">
            <v>Available</v>
          </cell>
        </row>
        <row r="2332">
          <cell r="A2332" t="str">
            <v>101101190020</v>
          </cell>
          <cell r="B2332" t="str">
            <v xml:space="preserve">Alauli </v>
          </cell>
          <cell r="C2332" t="str">
            <v xml:space="preserve">Alauli </v>
          </cell>
          <cell r="D2332" t="str">
            <v>GOMUKH TRIBHUVAN TOLA</v>
          </cell>
          <cell r="E2332">
            <v>10110119</v>
          </cell>
          <cell r="F2332" t="str">
            <v>0020</v>
          </cell>
          <cell r="G2332">
            <v>14</v>
          </cell>
          <cell r="H2332">
            <v>34.590000000000003</v>
          </cell>
          <cell r="I2332">
            <v>1379.1655559880003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P2332">
            <v>1379</v>
          </cell>
          <cell r="V2332" t="str">
            <v>Available</v>
          </cell>
        </row>
        <row r="2333">
          <cell r="A2333" t="str">
            <v>101101190021</v>
          </cell>
          <cell r="B2333" t="str">
            <v xml:space="preserve">Alauli </v>
          </cell>
          <cell r="C2333" t="str">
            <v xml:space="preserve">Alauli </v>
          </cell>
          <cell r="D2333" t="str">
            <v>GOMUKH TRIBHUVAN TOLA</v>
          </cell>
          <cell r="E2333">
            <v>10110119</v>
          </cell>
          <cell r="F2333" t="str">
            <v>0021</v>
          </cell>
          <cell r="G2333">
            <v>12</v>
          </cell>
          <cell r="H2333">
            <v>17.88</v>
          </cell>
          <cell r="I2333">
            <v>587.8314518868001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P2333">
            <v>588</v>
          </cell>
          <cell r="V2333" t="str">
            <v>Available</v>
          </cell>
        </row>
        <row r="2334">
          <cell r="A2334" t="str">
            <v>101101190022</v>
          </cell>
          <cell r="B2334" t="str">
            <v xml:space="preserve">Alauli </v>
          </cell>
          <cell r="C2334" t="str">
            <v xml:space="preserve">Alauli </v>
          </cell>
          <cell r="D2334" t="str">
            <v>GOMUKH TRIBHUVAN TOLA</v>
          </cell>
          <cell r="E2334">
            <v>10110119</v>
          </cell>
          <cell r="F2334" t="str">
            <v>0022</v>
          </cell>
          <cell r="G2334">
            <v>14</v>
          </cell>
          <cell r="H2334">
            <v>65.149999999999991</v>
          </cell>
          <cell r="I2334">
            <v>2292.8868158130008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P2334">
            <v>2293</v>
          </cell>
          <cell r="V2334" t="str">
            <v>Available</v>
          </cell>
        </row>
        <row r="2335">
          <cell r="A2335" t="str">
            <v>101101190023</v>
          </cell>
          <cell r="B2335" t="str">
            <v xml:space="preserve">Alauli </v>
          </cell>
          <cell r="C2335" t="str">
            <v xml:space="preserve">Alauli </v>
          </cell>
          <cell r="D2335" t="str">
            <v>GOMUKH TRIBHUVAN TOLA</v>
          </cell>
          <cell r="E2335">
            <v>10110119</v>
          </cell>
          <cell r="F2335" t="str">
            <v>0023</v>
          </cell>
          <cell r="G2335">
            <v>12</v>
          </cell>
          <cell r="H2335">
            <v>16.040000000000003</v>
          </cell>
          <cell r="I2335">
            <v>623.51159032800012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P2335">
            <v>624</v>
          </cell>
          <cell r="V2335" t="str">
            <v>Available</v>
          </cell>
        </row>
        <row r="2336">
          <cell r="A2336" t="str">
            <v>101101200002</v>
          </cell>
          <cell r="B2336" t="str">
            <v xml:space="preserve">Alauli </v>
          </cell>
          <cell r="C2336" t="str">
            <v xml:space="preserve">Alauli </v>
          </cell>
          <cell r="D2336" t="str">
            <v>GOMUKH SANTOSHPUL</v>
          </cell>
          <cell r="E2336">
            <v>10110120</v>
          </cell>
          <cell r="F2336" t="str">
            <v>0002</v>
          </cell>
          <cell r="G2336">
            <v>14</v>
          </cell>
          <cell r="H2336">
            <v>35.299999999999997</v>
          </cell>
          <cell r="I2336">
            <v>1533.2495361281001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P2336">
            <v>1533</v>
          </cell>
          <cell r="V2336" t="str">
            <v>Available</v>
          </cell>
        </row>
        <row r="2337">
          <cell r="A2337" t="str">
            <v>101101200003</v>
          </cell>
          <cell r="B2337" t="str">
            <v xml:space="preserve">Alauli </v>
          </cell>
          <cell r="C2337" t="str">
            <v xml:space="preserve">Alauli </v>
          </cell>
          <cell r="D2337" t="str">
            <v>GOMUKH SANTOSHPUL</v>
          </cell>
          <cell r="E2337">
            <v>10110120</v>
          </cell>
          <cell r="F2337" t="str">
            <v>0003</v>
          </cell>
          <cell r="G2337">
            <v>14</v>
          </cell>
          <cell r="H2337">
            <v>359.5</v>
          </cell>
          <cell r="I2337">
            <v>15739.046994266004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P2337">
            <v>15739</v>
          </cell>
          <cell r="V2337" t="str">
            <v>Not Available</v>
          </cell>
        </row>
        <row r="2338">
          <cell r="A2338" t="str">
            <v>101101200004</v>
          </cell>
          <cell r="B2338" t="str">
            <v xml:space="preserve">Alauli </v>
          </cell>
          <cell r="C2338" t="str">
            <v xml:space="preserve">Alauli </v>
          </cell>
          <cell r="D2338" t="str">
            <v>GOMUKH SANTOSHPUL</v>
          </cell>
          <cell r="E2338">
            <v>10110120</v>
          </cell>
          <cell r="F2338" t="str">
            <v>0004</v>
          </cell>
          <cell r="G2338">
            <v>14</v>
          </cell>
          <cell r="H2338">
            <v>145</v>
          </cell>
          <cell r="I2338">
            <v>6309.9924495400001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P2338">
            <v>6310</v>
          </cell>
          <cell r="V2338" t="str">
            <v>Not Available</v>
          </cell>
        </row>
        <row r="2339">
          <cell r="A2339" t="str">
            <v>101101200005</v>
          </cell>
          <cell r="B2339" t="str">
            <v xml:space="preserve">Alauli </v>
          </cell>
          <cell r="C2339" t="str">
            <v xml:space="preserve">Alauli </v>
          </cell>
          <cell r="D2339" t="str">
            <v>GOMUKH SANTOSHPUL</v>
          </cell>
          <cell r="E2339">
            <v>10110120</v>
          </cell>
          <cell r="F2339" t="str">
            <v>0005</v>
          </cell>
          <cell r="G2339">
            <v>14</v>
          </cell>
          <cell r="H2339">
            <v>175</v>
          </cell>
          <cell r="I2339">
            <v>7689.629588929999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P2339">
            <v>7690</v>
          </cell>
          <cell r="V2339" t="str">
            <v>Not Available</v>
          </cell>
        </row>
        <row r="2340">
          <cell r="A2340" t="str">
            <v>101101200006</v>
          </cell>
          <cell r="B2340" t="str">
            <v xml:space="preserve">Alauli </v>
          </cell>
          <cell r="C2340" t="str">
            <v xml:space="preserve">Alauli </v>
          </cell>
          <cell r="D2340" t="str">
            <v>GOMUKH SANTOSHPUL</v>
          </cell>
          <cell r="E2340">
            <v>10110120</v>
          </cell>
          <cell r="F2340" t="str">
            <v>0006</v>
          </cell>
          <cell r="G2340">
            <v>14</v>
          </cell>
          <cell r="H2340">
            <v>195</v>
          </cell>
          <cell r="I2340">
            <v>8579.3107995800001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P2340">
            <v>8579</v>
          </cell>
          <cell r="V2340" t="str">
            <v>Not Available</v>
          </cell>
        </row>
        <row r="2341">
          <cell r="A2341" t="str">
            <v>101101200007</v>
          </cell>
          <cell r="B2341" t="str">
            <v xml:space="preserve">Alauli </v>
          </cell>
          <cell r="C2341" t="str">
            <v xml:space="preserve">Alauli </v>
          </cell>
          <cell r="D2341" t="str">
            <v>GOMUKH SANTOSHPUL</v>
          </cell>
          <cell r="E2341">
            <v>10110120</v>
          </cell>
          <cell r="F2341" t="str">
            <v>0007</v>
          </cell>
          <cell r="G2341">
            <v>14</v>
          </cell>
          <cell r="H2341">
            <v>235</v>
          </cell>
          <cell r="I2341">
            <v>10220.114227580001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P2341">
            <v>10220</v>
          </cell>
          <cell r="V2341" t="str">
            <v>Not Available</v>
          </cell>
        </row>
        <row r="2342">
          <cell r="A2342" t="str">
            <v>101101210002</v>
          </cell>
          <cell r="B2342" t="str">
            <v xml:space="preserve">Alauli </v>
          </cell>
          <cell r="C2342" t="str">
            <v xml:space="preserve">Alauli </v>
          </cell>
          <cell r="D2342" t="str">
            <v>GOMUKH AHUNA</v>
          </cell>
          <cell r="E2342">
            <v>10110121</v>
          </cell>
          <cell r="F2342" t="str">
            <v>0002</v>
          </cell>
          <cell r="G2342">
            <v>14</v>
          </cell>
          <cell r="H2342">
            <v>439.42999999999995</v>
          </cell>
          <cell r="I2342">
            <v>15615.592591499999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P2342">
            <v>15616</v>
          </cell>
          <cell r="V2342" t="str">
            <v>Available</v>
          </cell>
        </row>
        <row r="2343">
          <cell r="A2343" t="str">
            <v>101101230001</v>
          </cell>
          <cell r="B2343" t="str">
            <v>Matihani</v>
          </cell>
          <cell r="C2343" t="str">
            <v>Matihani</v>
          </cell>
          <cell r="D2343" t="str">
            <v>GOMUKH SHADIPUR</v>
          </cell>
          <cell r="E2343">
            <v>10110123</v>
          </cell>
          <cell r="F2343" t="str">
            <v>0001</v>
          </cell>
          <cell r="G2343">
            <v>12</v>
          </cell>
          <cell r="H2343">
            <v>8.6300000000000008</v>
          </cell>
          <cell r="I2343">
            <v>321.96133767600003</v>
          </cell>
          <cell r="J2343">
            <v>0</v>
          </cell>
          <cell r="K2343">
            <v>321.96133767600003</v>
          </cell>
          <cell r="L2343">
            <v>0</v>
          </cell>
          <cell r="M2343">
            <v>0</v>
          </cell>
          <cell r="P2343">
            <v>0</v>
          </cell>
          <cell r="V2343" t="str">
            <v>Not Available</v>
          </cell>
        </row>
        <row r="2344">
          <cell r="A2344" t="str">
            <v>101101230002</v>
          </cell>
          <cell r="B2344" t="str">
            <v>Matihani</v>
          </cell>
          <cell r="C2344" t="str">
            <v>Matihani</v>
          </cell>
          <cell r="D2344" t="str">
            <v>GOMUKH SHADIPUR</v>
          </cell>
          <cell r="E2344">
            <v>10110123</v>
          </cell>
          <cell r="F2344" t="str">
            <v>0002</v>
          </cell>
          <cell r="G2344">
            <v>13</v>
          </cell>
          <cell r="H2344">
            <v>96.76</v>
          </cell>
          <cell r="I2344">
            <v>3690.7760490480005</v>
          </cell>
          <cell r="J2344">
            <v>0</v>
          </cell>
          <cell r="K2344">
            <v>0</v>
          </cell>
          <cell r="L2344">
            <v>625</v>
          </cell>
          <cell r="M2344">
            <v>2600</v>
          </cell>
          <cell r="P2344">
            <v>466</v>
          </cell>
          <cell r="V2344" t="str">
            <v>Available</v>
          </cell>
        </row>
        <row r="2345">
          <cell r="A2345" t="str">
            <v>101101230005</v>
          </cell>
          <cell r="B2345" t="str">
            <v>Matihani</v>
          </cell>
          <cell r="C2345" t="str">
            <v>Matihani</v>
          </cell>
          <cell r="D2345" t="str">
            <v>GOMUKH SHADIPUR</v>
          </cell>
          <cell r="E2345">
            <v>10110123</v>
          </cell>
          <cell r="F2345" t="str">
            <v>0005</v>
          </cell>
          <cell r="G2345">
            <v>12</v>
          </cell>
          <cell r="H2345">
            <v>31.47</v>
          </cell>
          <cell r="I2345">
            <v>1203.9513670800002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P2345">
            <v>1204</v>
          </cell>
          <cell r="V2345" t="str">
            <v>Available</v>
          </cell>
        </row>
        <row r="2346">
          <cell r="A2346" t="str">
            <v>101101230006</v>
          </cell>
          <cell r="B2346" t="str">
            <v>Matihani</v>
          </cell>
          <cell r="C2346" t="str">
            <v>Matihani</v>
          </cell>
          <cell r="D2346" t="str">
            <v>GOMUKH SHADIPUR</v>
          </cell>
          <cell r="E2346">
            <v>10110123</v>
          </cell>
          <cell r="F2346" t="str">
            <v>0006</v>
          </cell>
          <cell r="G2346">
            <v>14</v>
          </cell>
          <cell r="H2346">
            <v>242.47999999999996</v>
          </cell>
          <cell r="I2346">
            <v>9001.4654066040021</v>
          </cell>
          <cell r="J2346">
            <v>0</v>
          </cell>
          <cell r="K2346">
            <v>0</v>
          </cell>
          <cell r="L2346">
            <v>0</v>
          </cell>
          <cell r="M2346">
            <v>1350</v>
          </cell>
          <cell r="P2346">
            <v>7651</v>
          </cell>
          <cell r="V2346" t="str">
            <v>Available</v>
          </cell>
        </row>
        <row r="2347">
          <cell r="A2347" t="str">
            <v>101101230007</v>
          </cell>
          <cell r="B2347" t="str">
            <v>Matihani</v>
          </cell>
          <cell r="C2347" t="str">
            <v>Matihani</v>
          </cell>
          <cell r="D2347" t="str">
            <v>GOMUKH SHADIPUR</v>
          </cell>
          <cell r="E2347">
            <v>10110123</v>
          </cell>
          <cell r="F2347" t="str">
            <v>0007</v>
          </cell>
          <cell r="G2347">
            <v>12</v>
          </cell>
          <cell r="H2347">
            <v>122.96000000000001</v>
          </cell>
          <cell r="I2347">
            <v>4620.5416461600007</v>
          </cell>
          <cell r="J2347">
            <v>0</v>
          </cell>
          <cell r="K2347">
            <v>0</v>
          </cell>
          <cell r="L2347">
            <v>0</v>
          </cell>
          <cell r="M2347">
            <v>4621</v>
          </cell>
          <cell r="P2347">
            <v>0</v>
          </cell>
          <cell r="V2347" t="str">
            <v>Available</v>
          </cell>
        </row>
        <row r="2348">
          <cell r="A2348" t="str">
            <v>101101230011</v>
          </cell>
          <cell r="B2348" t="str">
            <v>Matihani</v>
          </cell>
          <cell r="C2348" t="str">
            <v>Matihani</v>
          </cell>
          <cell r="D2348" t="str">
            <v>GOMUKH SHADIPUR</v>
          </cell>
          <cell r="E2348">
            <v>10110123</v>
          </cell>
          <cell r="F2348" t="str">
            <v>0011</v>
          </cell>
          <cell r="G2348">
            <v>14</v>
          </cell>
          <cell r="H2348">
            <v>134.36000000000001</v>
          </cell>
          <cell r="I2348">
            <v>6905.6290209180997</v>
          </cell>
          <cell r="J2348">
            <v>0</v>
          </cell>
          <cell r="K2348">
            <v>0</v>
          </cell>
          <cell r="L2348">
            <v>0</v>
          </cell>
          <cell r="M2348">
            <v>2700</v>
          </cell>
          <cell r="P2348">
            <v>4206</v>
          </cell>
          <cell r="V2348" t="str">
            <v>Available</v>
          </cell>
        </row>
        <row r="2349">
          <cell r="A2349" t="str">
            <v>101101230015</v>
          </cell>
          <cell r="B2349" t="str">
            <v>Matihani</v>
          </cell>
          <cell r="C2349" t="str">
            <v>Matihani</v>
          </cell>
          <cell r="D2349" t="str">
            <v>GOMUKH SHADIPUR</v>
          </cell>
          <cell r="E2349">
            <v>10110123</v>
          </cell>
          <cell r="F2349" t="str">
            <v>0015</v>
          </cell>
          <cell r="G2349">
            <v>14</v>
          </cell>
          <cell r="H2349">
            <v>126.68999999999998</v>
          </cell>
          <cell r="I2349">
            <v>4942.0840372200009</v>
          </cell>
          <cell r="J2349">
            <v>0</v>
          </cell>
          <cell r="K2349">
            <v>0</v>
          </cell>
          <cell r="L2349">
            <v>0</v>
          </cell>
          <cell r="M2349">
            <v>1350</v>
          </cell>
          <cell r="P2349">
            <v>3592</v>
          </cell>
          <cell r="V2349" t="str">
            <v>Available</v>
          </cell>
        </row>
        <row r="2350">
          <cell r="A2350" t="str">
            <v>101101230017</v>
          </cell>
          <cell r="B2350" t="str">
            <v>Matihani</v>
          </cell>
          <cell r="C2350" t="str">
            <v>Matihani</v>
          </cell>
          <cell r="D2350" t="str">
            <v>GOMUKH SHADIPUR</v>
          </cell>
          <cell r="E2350">
            <v>10110123</v>
          </cell>
          <cell r="F2350" t="str">
            <v>0017</v>
          </cell>
          <cell r="G2350">
            <v>13</v>
          </cell>
          <cell r="H2350">
            <v>43.180000000000007</v>
          </cell>
          <cell r="I2350">
            <v>1574.9513759430006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P2350">
            <v>1575</v>
          </cell>
          <cell r="V2350" t="str">
            <v>Available</v>
          </cell>
        </row>
        <row r="2351">
          <cell r="A2351" t="str">
            <v>101101230022</v>
          </cell>
          <cell r="B2351" t="str">
            <v>Matihani</v>
          </cell>
          <cell r="C2351" t="str">
            <v>Matihani</v>
          </cell>
          <cell r="D2351" t="str">
            <v>GOMUKH SHADIPUR</v>
          </cell>
          <cell r="E2351">
            <v>10110123</v>
          </cell>
          <cell r="F2351" t="str">
            <v>0022</v>
          </cell>
          <cell r="G2351">
            <v>14</v>
          </cell>
          <cell r="H2351">
            <v>88.889999999999986</v>
          </cell>
          <cell r="I2351">
            <v>3354.8637264119998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P2351">
            <v>3355</v>
          </cell>
          <cell r="V2351" t="str">
            <v>Available</v>
          </cell>
        </row>
        <row r="2352">
          <cell r="A2352" t="str">
            <v>101101230029</v>
          </cell>
          <cell r="B2352" t="str">
            <v>Matihani</v>
          </cell>
          <cell r="C2352" t="str">
            <v>Matihani</v>
          </cell>
          <cell r="D2352" t="str">
            <v>GOMUKH SHADIPUR</v>
          </cell>
          <cell r="E2352">
            <v>10110123</v>
          </cell>
          <cell r="F2352" t="str">
            <v>0029</v>
          </cell>
          <cell r="G2352">
            <v>7</v>
          </cell>
          <cell r="H2352">
            <v>15.669999999999998</v>
          </cell>
          <cell r="I2352">
            <v>574.02141073200005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P2352">
            <v>574</v>
          </cell>
          <cell r="V2352" t="str">
            <v>Available</v>
          </cell>
        </row>
        <row r="2353">
          <cell r="A2353" t="str">
            <v>101101240001</v>
          </cell>
          <cell r="B2353" t="str">
            <v>Matihani</v>
          </cell>
          <cell r="C2353" t="str">
            <v>Matihani</v>
          </cell>
          <cell r="D2353" t="str">
            <v>GOMUKH ASHRAPHA DIYARA</v>
          </cell>
          <cell r="E2353">
            <v>10110124</v>
          </cell>
          <cell r="F2353" t="str">
            <v>0001</v>
          </cell>
          <cell r="G2353">
            <v>14</v>
          </cell>
          <cell r="H2353">
            <v>8.24</v>
          </cell>
          <cell r="I2353">
            <v>354.02106834299997</v>
          </cell>
          <cell r="J2353">
            <v>0</v>
          </cell>
          <cell r="K2353">
            <v>354.02106834299997</v>
          </cell>
          <cell r="L2353">
            <v>0</v>
          </cell>
          <cell r="M2353">
            <v>0</v>
          </cell>
          <cell r="P2353">
            <v>0</v>
          </cell>
          <cell r="V2353" t="str">
            <v>Not Available</v>
          </cell>
        </row>
        <row r="2354">
          <cell r="A2354" t="str">
            <v>101101240003</v>
          </cell>
          <cell r="B2354" t="str">
            <v>Matihani</v>
          </cell>
          <cell r="C2354" t="str">
            <v>Matihani</v>
          </cell>
          <cell r="D2354" t="str">
            <v>GOMUKH ASHRAPHA DIYARA</v>
          </cell>
          <cell r="E2354">
            <v>10110124</v>
          </cell>
          <cell r="F2354" t="str">
            <v>0003</v>
          </cell>
          <cell r="G2354">
            <v>14</v>
          </cell>
          <cell r="H2354">
            <v>71.73</v>
          </cell>
          <cell r="I2354">
            <v>2913.1442615880005</v>
          </cell>
          <cell r="J2354">
            <v>0</v>
          </cell>
          <cell r="K2354">
            <v>0</v>
          </cell>
          <cell r="L2354">
            <v>50</v>
          </cell>
          <cell r="M2354">
            <v>0</v>
          </cell>
          <cell r="P2354">
            <v>2863</v>
          </cell>
          <cell r="V2354" t="str">
            <v>Available</v>
          </cell>
        </row>
        <row r="2355">
          <cell r="A2355" t="str">
            <v>101101240006</v>
          </cell>
          <cell r="B2355" t="str">
            <v>Matihani</v>
          </cell>
          <cell r="C2355" t="str">
            <v>Matihani</v>
          </cell>
          <cell r="D2355" t="str">
            <v>GOMUKH ASHRAPHA DIYARA</v>
          </cell>
          <cell r="E2355">
            <v>10110124</v>
          </cell>
          <cell r="F2355" t="str">
            <v>0006</v>
          </cell>
          <cell r="G2355">
            <v>13</v>
          </cell>
          <cell r="H2355">
            <v>39.129999999999995</v>
          </cell>
          <cell r="I2355">
            <v>1599.9813383400003</v>
          </cell>
          <cell r="J2355">
            <v>0</v>
          </cell>
          <cell r="K2355">
            <v>0</v>
          </cell>
          <cell r="L2355">
            <v>50</v>
          </cell>
          <cell r="M2355">
            <v>1350</v>
          </cell>
          <cell r="P2355">
            <v>200</v>
          </cell>
          <cell r="V2355" t="str">
            <v>Available</v>
          </cell>
        </row>
        <row r="2356">
          <cell r="A2356" t="str">
            <v>101101240008</v>
          </cell>
          <cell r="B2356" t="str">
            <v>Matihani</v>
          </cell>
          <cell r="C2356" t="str">
            <v>Matihani</v>
          </cell>
          <cell r="D2356" t="str">
            <v>GOMUKH ASHRAPHA DIYARA</v>
          </cell>
          <cell r="E2356">
            <v>10110124</v>
          </cell>
          <cell r="F2356" t="str">
            <v>0008</v>
          </cell>
          <cell r="G2356">
            <v>14</v>
          </cell>
          <cell r="H2356">
            <v>57.910000000000004</v>
          </cell>
          <cell r="I2356">
            <v>2160.5229852822004</v>
          </cell>
          <cell r="J2356">
            <v>0</v>
          </cell>
          <cell r="K2356">
            <v>0</v>
          </cell>
          <cell r="L2356">
            <v>0</v>
          </cell>
          <cell r="M2356">
            <v>1350</v>
          </cell>
          <cell r="P2356">
            <v>811</v>
          </cell>
          <cell r="V2356" t="str">
            <v>Available</v>
          </cell>
        </row>
        <row r="2357">
          <cell r="A2357" t="str">
            <v>101101240009</v>
          </cell>
          <cell r="B2357" t="str">
            <v>Matihani</v>
          </cell>
          <cell r="C2357" t="str">
            <v>Matihani</v>
          </cell>
          <cell r="D2357" t="str">
            <v>GOMUKH ASHRAPHA DIYARA</v>
          </cell>
          <cell r="E2357">
            <v>10110124</v>
          </cell>
          <cell r="F2357" t="str">
            <v>0009</v>
          </cell>
          <cell r="G2357">
            <v>14</v>
          </cell>
          <cell r="H2357">
            <v>90.300000000000011</v>
          </cell>
          <cell r="I2357">
            <v>3642.7064624279997</v>
          </cell>
          <cell r="J2357">
            <v>0</v>
          </cell>
          <cell r="K2357">
            <v>0</v>
          </cell>
          <cell r="L2357">
            <v>0</v>
          </cell>
          <cell r="M2357">
            <v>1350</v>
          </cell>
          <cell r="P2357">
            <v>2293</v>
          </cell>
          <cell r="V2357" t="str">
            <v>Available</v>
          </cell>
        </row>
        <row r="2358">
          <cell r="A2358" t="str">
            <v>101101240012</v>
          </cell>
          <cell r="B2358" t="str">
            <v>Matihani</v>
          </cell>
          <cell r="C2358" t="str">
            <v>Matihani</v>
          </cell>
          <cell r="D2358" t="str">
            <v>GOMUKH ASHRAPHA DIYARA</v>
          </cell>
          <cell r="E2358">
            <v>10110124</v>
          </cell>
          <cell r="F2358" t="str">
            <v>0012</v>
          </cell>
          <cell r="G2358">
            <v>14</v>
          </cell>
          <cell r="H2358">
            <v>52.71</v>
          </cell>
          <cell r="I2358">
            <v>2615.7621293055004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P2358">
            <v>2616</v>
          </cell>
          <cell r="V2358" t="str">
            <v>Available</v>
          </cell>
        </row>
        <row r="2359">
          <cell r="A2359" t="str">
            <v>101101240013</v>
          </cell>
          <cell r="B2359" t="str">
            <v>Matihani</v>
          </cell>
          <cell r="C2359" t="str">
            <v>Matihani</v>
          </cell>
          <cell r="D2359" t="str">
            <v>GOMUKH ASHRAPHA DIYARA</v>
          </cell>
          <cell r="E2359">
            <v>10110124</v>
          </cell>
          <cell r="F2359" t="str">
            <v>0013</v>
          </cell>
          <cell r="G2359">
            <v>14</v>
          </cell>
          <cell r="H2359">
            <v>52.370000000000005</v>
          </cell>
          <cell r="I2359">
            <v>2136.8885361120001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P2359">
            <v>2137</v>
          </cell>
          <cell r="V2359" t="str">
            <v>Available</v>
          </cell>
        </row>
        <row r="2360">
          <cell r="A2360" t="str">
            <v>101101240016</v>
          </cell>
          <cell r="B2360" t="str">
            <v>Matihani</v>
          </cell>
          <cell r="C2360" t="str">
            <v>Matihani</v>
          </cell>
          <cell r="D2360" t="str">
            <v>GOMUKH ASHRAPHA DIYARA</v>
          </cell>
          <cell r="E2360">
            <v>10110124</v>
          </cell>
          <cell r="F2360" t="str">
            <v>0016</v>
          </cell>
          <cell r="G2360">
            <v>14</v>
          </cell>
          <cell r="H2360">
            <v>69.569999999999993</v>
          </cell>
          <cell r="I2360">
            <v>2697.8347348920006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P2360">
            <v>2698</v>
          </cell>
          <cell r="V2360" t="str">
            <v>Available</v>
          </cell>
        </row>
        <row r="2361">
          <cell r="A2361" t="str">
            <v>101101240017</v>
          </cell>
          <cell r="B2361" t="str">
            <v>Matihani</v>
          </cell>
          <cell r="C2361" t="str">
            <v>Matihani</v>
          </cell>
          <cell r="D2361" t="str">
            <v>GOMUKH ASHRAPHA DIYARA</v>
          </cell>
          <cell r="E2361">
            <v>10110124</v>
          </cell>
          <cell r="F2361" t="str">
            <v>0017</v>
          </cell>
          <cell r="G2361">
            <v>12</v>
          </cell>
          <cell r="H2361">
            <v>70.62</v>
          </cell>
          <cell r="I2361">
            <v>3167.9925635160002</v>
          </cell>
          <cell r="J2361">
            <v>0</v>
          </cell>
          <cell r="K2361">
            <v>0</v>
          </cell>
          <cell r="L2361">
            <v>18</v>
          </cell>
          <cell r="M2361">
            <v>0</v>
          </cell>
          <cell r="P2361">
            <v>3150</v>
          </cell>
          <cell r="V2361" t="str">
            <v>Available</v>
          </cell>
        </row>
        <row r="2362">
          <cell r="A2362" t="str">
            <v>101101240024</v>
          </cell>
          <cell r="B2362" t="str">
            <v>Matihani</v>
          </cell>
          <cell r="C2362" t="str">
            <v>Matihani</v>
          </cell>
          <cell r="D2362" t="str">
            <v>GOMUKH ASHRAPHA DIYARA</v>
          </cell>
          <cell r="E2362">
            <v>10110124</v>
          </cell>
          <cell r="F2362" t="str">
            <v>0024</v>
          </cell>
          <cell r="G2362">
            <v>11</v>
          </cell>
          <cell r="H2362">
            <v>21.47</v>
          </cell>
          <cell r="I2362">
            <v>804.40882077600008</v>
          </cell>
          <cell r="J2362">
            <v>0</v>
          </cell>
          <cell r="K2362">
            <v>0</v>
          </cell>
          <cell r="L2362">
            <v>100</v>
          </cell>
          <cell r="M2362">
            <v>0</v>
          </cell>
          <cell r="P2362">
            <v>704</v>
          </cell>
          <cell r="V2362" t="str">
            <v>Available</v>
          </cell>
        </row>
        <row r="2363">
          <cell r="A2363" t="str">
            <v>101101240025</v>
          </cell>
          <cell r="B2363" t="str">
            <v>Matihani</v>
          </cell>
          <cell r="C2363" t="str">
            <v>Matihani</v>
          </cell>
          <cell r="D2363" t="str">
            <v>GOMUKH ASHRAPHA DIYARA</v>
          </cell>
          <cell r="E2363">
            <v>10110124</v>
          </cell>
          <cell r="F2363" t="str">
            <v>0025</v>
          </cell>
          <cell r="G2363">
            <v>10</v>
          </cell>
          <cell r="H2363">
            <v>19.290000000000003</v>
          </cell>
          <cell r="I2363">
            <v>761.23489038239995</v>
          </cell>
          <cell r="J2363">
            <v>0</v>
          </cell>
          <cell r="K2363">
            <v>0</v>
          </cell>
          <cell r="L2363">
            <v>100</v>
          </cell>
          <cell r="M2363">
            <v>0</v>
          </cell>
          <cell r="P2363">
            <v>661</v>
          </cell>
          <cell r="V2363" t="str">
            <v>Available</v>
          </cell>
        </row>
        <row r="2364">
          <cell r="A2364" t="str">
            <v>101101240026</v>
          </cell>
          <cell r="B2364" t="str">
            <v>Matihani</v>
          </cell>
          <cell r="C2364" t="str">
            <v>Matihani</v>
          </cell>
          <cell r="D2364" t="str">
            <v>GOMUKH ASHRAPHA DIYARA</v>
          </cell>
          <cell r="E2364">
            <v>10110124</v>
          </cell>
          <cell r="F2364" t="str">
            <v>0026</v>
          </cell>
          <cell r="G2364">
            <v>8</v>
          </cell>
          <cell r="H2364">
            <v>86.93</v>
          </cell>
          <cell r="I2364">
            <v>3352.8655270439999</v>
          </cell>
          <cell r="J2364">
            <v>0</v>
          </cell>
          <cell r="K2364">
            <v>0</v>
          </cell>
          <cell r="L2364">
            <v>0</v>
          </cell>
          <cell r="M2364">
            <v>1350</v>
          </cell>
          <cell r="P2364">
            <v>2003</v>
          </cell>
          <cell r="V2364" t="str">
            <v>Available</v>
          </cell>
        </row>
        <row r="2365">
          <cell r="A2365" t="str">
            <v>101101280001</v>
          </cell>
          <cell r="B2365" t="str">
            <v>Matihani</v>
          </cell>
          <cell r="C2365" t="str">
            <v>Matihani</v>
          </cell>
          <cell r="D2365" t="str">
            <v>GOMUKH MANIAPPA</v>
          </cell>
          <cell r="E2365">
            <v>10110128</v>
          </cell>
          <cell r="F2365" t="str">
            <v>0001</v>
          </cell>
          <cell r="G2365">
            <v>13</v>
          </cell>
          <cell r="H2365">
            <v>4.03</v>
          </cell>
          <cell r="I2365">
            <v>150.60060912600002</v>
          </cell>
          <cell r="J2365">
            <v>0</v>
          </cell>
          <cell r="K2365">
            <v>150.60060912600002</v>
          </cell>
          <cell r="L2365">
            <v>0</v>
          </cell>
          <cell r="M2365">
            <v>0</v>
          </cell>
          <cell r="P2365">
            <v>0</v>
          </cell>
          <cell r="V2365" t="str">
            <v>Not Available</v>
          </cell>
        </row>
        <row r="2366">
          <cell r="A2366" t="str">
            <v>101101280002</v>
          </cell>
          <cell r="B2366" t="str">
            <v>Matihani</v>
          </cell>
          <cell r="C2366" t="str">
            <v>Matihani</v>
          </cell>
          <cell r="D2366" t="str">
            <v>GOMUKH MANIAPPA</v>
          </cell>
          <cell r="E2366">
            <v>10110128</v>
          </cell>
          <cell r="F2366" t="str">
            <v>0002</v>
          </cell>
          <cell r="G2366">
            <v>14</v>
          </cell>
          <cell r="H2366">
            <v>404.7</v>
          </cell>
          <cell r="I2366">
            <v>15805.214231795999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P2366">
            <v>15701</v>
          </cell>
          <cell r="V2366" t="str">
            <v>Available</v>
          </cell>
        </row>
        <row r="2367">
          <cell r="A2367" t="str">
            <v>101101280004</v>
          </cell>
          <cell r="B2367" t="str">
            <v>Matihani</v>
          </cell>
          <cell r="C2367" t="str">
            <v>Matihani</v>
          </cell>
          <cell r="D2367" t="str">
            <v>GOMUKH MANIAPPA</v>
          </cell>
          <cell r="E2367">
            <v>10110128</v>
          </cell>
          <cell r="F2367" t="str">
            <v>0004</v>
          </cell>
          <cell r="G2367">
            <v>4</v>
          </cell>
          <cell r="H2367">
            <v>76.06</v>
          </cell>
          <cell r="I2367">
            <v>2972.8798038720006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P2367">
            <v>2973</v>
          </cell>
          <cell r="V2367" t="str">
            <v>Available</v>
          </cell>
        </row>
        <row r="2368">
          <cell r="A2368" t="str">
            <v>101101280005</v>
          </cell>
          <cell r="B2368" t="str">
            <v>Matihani</v>
          </cell>
          <cell r="C2368" t="str">
            <v>Matihani</v>
          </cell>
          <cell r="D2368" t="str">
            <v>GOMUKH MANIAPPA</v>
          </cell>
          <cell r="E2368">
            <v>10110128</v>
          </cell>
          <cell r="F2368" t="str">
            <v>0005</v>
          </cell>
          <cell r="G2368">
            <v>7</v>
          </cell>
          <cell r="H2368">
            <v>229.36999999999998</v>
          </cell>
          <cell r="I2368">
            <v>8805.4377162839992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P2368">
            <v>8805</v>
          </cell>
          <cell r="V2368" t="str">
            <v>Available</v>
          </cell>
        </row>
        <row r="2369">
          <cell r="A2369" t="str">
            <v>101101280006</v>
          </cell>
          <cell r="B2369" t="str">
            <v>Matihani</v>
          </cell>
          <cell r="C2369" t="str">
            <v>Matihani</v>
          </cell>
          <cell r="D2369" t="str">
            <v>GOMUKH MANIAPPA</v>
          </cell>
          <cell r="E2369">
            <v>10110128</v>
          </cell>
          <cell r="F2369" t="str">
            <v>0006</v>
          </cell>
          <cell r="G2369">
            <v>2</v>
          </cell>
          <cell r="H2369">
            <v>34.31</v>
          </cell>
          <cell r="I2369">
            <v>1294.5371507640002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P2369">
            <v>1295</v>
          </cell>
          <cell r="V2369" t="str">
            <v>Available</v>
          </cell>
        </row>
        <row r="2370">
          <cell r="A2370" t="str">
            <v>101101280010</v>
          </cell>
          <cell r="B2370" t="str">
            <v>Matihani</v>
          </cell>
          <cell r="C2370" t="str">
            <v>Matihani</v>
          </cell>
          <cell r="D2370" t="str">
            <v>GOMUKH MANIAPPA</v>
          </cell>
          <cell r="E2370">
            <v>10110128</v>
          </cell>
          <cell r="F2370" t="str">
            <v>0010</v>
          </cell>
          <cell r="G2370">
            <v>10</v>
          </cell>
          <cell r="H2370">
            <v>30.81</v>
          </cell>
          <cell r="I2370">
            <v>1274.1013228680004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P2370">
            <v>1274</v>
          </cell>
          <cell r="V2370" t="str">
            <v>Available</v>
          </cell>
        </row>
        <row r="2371">
          <cell r="A2371" t="str">
            <v>101101280012</v>
          </cell>
          <cell r="B2371" t="str">
            <v>Matihani</v>
          </cell>
          <cell r="C2371" t="str">
            <v>Matihani</v>
          </cell>
          <cell r="D2371" t="str">
            <v>GOMUKH MANIAPPA</v>
          </cell>
          <cell r="E2371">
            <v>10110128</v>
          </cell>
          <cell r="F2371" t="str">
            <v>0012</v>
          </cell>
          <cell r="G2371">
            <v>14</v>
          </cell>
          <cell r="H2371">
            <v>81.03</v>
          </cell>
          <cell r="I2371">
            <v>3181.4160843960003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P2371">
            <v>3181</v>
          </cell>
          <cell r="V2371" t="str">
            <v>Available</v>
          </cell>
        </row>
        <row r="2372">
          <cell r="A2372" t="str">
            <v>101101280013</v>
          </cell>
          <cell r="B2372" t="str">
            <v>Matihani</v>
          </cell>
          <cell r="C2372" t="str">
            <v>Matihani</v>
          </cell>
          <cell r="D2372" t="str">
            <v>GOMUKH MANIAPPA</v>
          </cell>
          <cell r="E2372">
            <v>10110128</v>
          </cell>
          <cell r="F2372" t="str">
            <v>0013</v>
          </cell>
          <cell r="G2372">
            <v>14</v>
          </cell>
          <cell r="H2372">
            <v>62.26</v>
          </cell>
          <cell r="I2372">
            <v>2484.4906219319996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P2372">
            <v>2484</v>
          </cell>
          <cell r="V2372" t="str">
            <v>Available</v>
          </cell>
        </row>
        <row r="2373">
          <cell r="A2373" t="str">
            <v>101101280014</v>
          </cell>
          <cell r="B2373" t="str">
            <v>Matihani</v>
          </cell>
          <cell r="C2373" t="str">
            <v>Matihani</v>
          </cell>
          <cell r="D2373" t="str">
            <v>GOMUKH MANIAPPA</v>
          </cell>
          <cell r="E2373">
            <v>10110128</v>
          </cell>
          <cell r="F2373" t="str">
            <v>0014</v>
          </cell>
          <cell r="G2373">
            <v>12</v>
          </cell>
          <cell r="H2373">
            <v>32.590000000000003</v>
          </cell>
          <cell r="I2373">
            <v>1330.4168646119999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P2373">
            <v>1330</v>
          </cell>
          <cell r="V2373" t="str">
            <v>Available</v>
          </cell>
        </row>
        <row r="2374">
          <cell r="A2374" t="str">
            <v>101101280016</v>
          </cell>
          <cell r="B2374" t="str">
            <v>Matihani</v>
          </cell>
          <cell r="C2374" t="str">
            <v>Matihani</v>
          </cell>
          <cell r="D2374" t="str">
            <v>GOMUKH MANIAPPA</v>
          </cell>
          <cell r="E2374">
            <v>10110128</v>
          </cell>
          <cell r="F2374" t="str">
            <v>0016</v>
          </cell>
          <cell r="G2374">
            <v>11</v>
          </cell>
          <cell r="H2374">
            <v>171.23000000000002</v>
          </cell>
          <cell r="I2374">
            <v>6564.9296184120003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P2374">
            <v>6565</v>
          </cell>
          <cell r="V2374" t="str">
            <v>Available</v>
          </cell>
        </row>
        <row r="2375">
          <cell r="A2375" t="str">
            <v>101101290002</v>
          </cell>
          <cell r="B2375" t="str">
            <v xml:space="preserve">Alauli </v>
          </cell>
          <cell r="C2375" t="str">
            <v xml:space="preserve">Alauli </v>
          </cell>
          <cell r="D2375" t="str">
            <v>GOMUKH D SANJHAUTI</v>
          </cell>
          <cell r="E2375">
            <v>10110129</v>
          </cell>
          <cell r="F2375" t="str">
            <v>0002</v>
          </cell>
          <cell r="G2375">
            <v>12</v>
          </cell>
          <cell r="H2375">
            <v>295</v>
          </cell>
          <cell r="I2375">
            <v>11667.150990000002</v>
          </cell>
          <cell r="J2375">
            <v>0</v>
          </cell>
          <cell r="K2375">
            <v>0</v>
          </cell>
          <cell r="L2375">
            <v>6179</v>
          </cell>
          <cell r="M2375">
            <v>0</v>
          </cell>
          <cell r="P2375">
            <v>5488</v>
          </cell>
          <cell r="V2375" t="str">
            <v>Available</v>
          </cell>
        </row>
        <row r="2376">
          <cell r="A2376" t="str">
            <v>101101290006</v>
          </cell>
          <cell r="B2376" t="str">
            <v xml:space="preserve">Alauli </v>
          </cell>
          <cell r="C2376" t="str">
            <v xml:space="preserve">Alauli </v>
          </cell>
          <cell r="D2376" t="str">
            <v>GOMUKH D SANJHAUTI</v>
          </cell>
          <cell r="E2376">
            <v>10110129</v>
          </cell>
          <cell r="F2376" t="str">
            <v>0006</v>
          </cell>
          <cell r="G2376">
            <v>12</v>
          </cell>
          <cell r="H2376">
            <v>295</v>
          </cell>
          <cell r="I2376">
            <v>11705.429340000001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P2376">
            <v>11705</v>
          </cell>
          <cell r="V2376" t="str">
            <v>Available</v>
          </cell>
        </row>
        <row r="2377">
          <cell r="A2377" t="str">
            <v>101101290007</v>
          </cell>
          <cell r="B2377" t="str">
            <v xml:space="preserve">Alauli </v>
          </cell>
          <cell r="C2377" t="str">
            <v xml:space="preserve">Alauli </v>
          </cell>
          <cell r="D2377" t="str">
            <v>GOMUKH D SANJHAUTI</v>
          </cell>
          <cell r="E2377">
            <v>10110129</v>
          </cell>
          <cell r="F2377" t="str">
            <v>0007</v>
          </cell>
          <cell r="G2377">
            <v>12</v>
          </cell>
          <cell r="H2377">
            <v>315</v>
          </cell>
          <cell r="I2377">
            <v>12581.932770000001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P2377">
            <v>12582</v>
          </cell>
          <cell r="V2377" t="str">
            <v>Available</v>
          </cell>
        </row>
        <row r="2378">
          <cell r="A2378" t="str">
            <v>101101320002</v>
          </cell>
          <cell r="B2378" t="str">
            <v xml:space="preserve">Alauli </v>
          </cell>
          <cell r="C2378" t="str">
            <v xml:space="preserve">Alauli </v>
          </cell>
          <cell r="D2378" t="str">
            <v>GOMUKH DHUSMURI BISHANPUR</v>
          </cell>
          <cell r="E2378">
            <v>10110132</v>
          </cell>
          <cell r="F2378" t="str">
            <v>0002</v>
          </cell>
          <cell r="G2378">
            <v>12</v>
          </cell>
          <cell r="H2378">
            <v>315.14</v>
          </cell>
          <cell r="I2378">
            <v>12075.296796683999</v>
          </cell>
          <cell r="J2378">
            <v>0</v>
          </cell>
          <cell r="K2378">
            <v>0</v>
          </cell>
          <cell r="L2378">
            <v>1346</v>
          </cell>
          <cell r="M2378">
            <v>0</v>
          </cell>
          <cell r="P2378">
            <v>10729</v>
          </cell>
          <cell r="V2378" t="str">
            <v>Available</v>
          </cell>
        </row>
        <row r="2379">
          <cell r="A2379" t="str">
            <v>101101330002</v>
          </cell>
          <cell r="B2379" t="str">
            <v xml:space="preserve">Alauli </v>
          </cell>
          <cell r="C2379" t="str">
            <v xml:space="preserve">Alauli </v>
          </cell>
          <cell r="D2379" t="str">
            <v>GOMUKH ANANDPUR PARAS</v>
          </cell>
          <cell r="E2379">
            <v>10110133</v>
          </cell>
          <cell r="F2379" t="str">
            <v>0002</v>
          </cell>
          <cell r="G2379">
            <v>1</v>
          </cell>
          <cell r="H2379">
            <v>314.39999999999998</v>
          </cell>
          <cell r="I2379">
            <v>12326.07375648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P2379">
            <v>12326</v>
          </cell>
          <cell r="V2379" t="str">
            <v>Available</v>
          </cell>
        </row>
        <row r="2380">
          <cell r="A2380" t="str">
            <v>101101330006</v>
          </cell>
          <cell r="B2380" t="str">
            <v xml:space="preserve">Alauli </v>
          </cell>
          <cell r="C2380" t="str">
            <v xml:space="preserve">Alauli </v>
          </cell>
          <cell r="D2380" t="str">
            <v>GOMUKH ANANDPUR PARAS</v>
          </cell>
          <cell r="E2380">
            <v>10110133</v>
          </cell>
          <cell r="F2380" t="str">
            <v>0006</v>
          </cell>
          <cell r="G2380">
            <v>1</v>
          </cell>
          <cell r="H2380">
            <v>266.39999999999998</v>
          </cell>
          <cell r="I2380">
            <v>10022.252834879999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P2380">
            <v>10022</v>
          </cell>
          <cell r="V2380" t="str">
            <v>Available</v>
          </cell>
        </row>
        <row r="2381">
          <cell r="A2381" t="str">
            <v>101101330015</v>
          </cell>
          <cell r="B2381" t="str">
            <v xml:space="preserve">Alauli </v>
          </cell>
          <cell r="C2381" t="str">
            <v xml:space="preserve">Alauli </v>
          </cell>
          <cell r="D2381" t="str">
            <v>GOMUKH ANANDPUR PARAS</v>
          </cell>
          <cell r="E2381">
            <v>10110133</v>
          </cell>
          <cell r="F2381" t="str">
            <v>0015</v>
          </cell>
          <cell r="G2381">
            <v>5</v>
          </cell>
          <cell r="H2381">
            <v>1755.3999999999999</v>
          </cell>
          <cell r="I2381">
            <v>67593.418033680005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P2381">
            <v>67593</v>
          </cell>
          <cell r="V2381" t="str">
            <v>Available</v>
          </cell>
        </row>
        <row r="2382">
          <cell r="A2382" t="str">
            <v>101101340002</v>
          </cell>
          <cell r="B2382" t="str">
            <v xml:space="preserve">Alauli </v>
          </cell>
          <cell r="C2382" t="str">
            <v xml:space="preserve">Alauli </v>
          </cell>
          <cell r="D2382" t="str">
            <v>Gomukh Bishanpur</v>
          </cell>
          <cell r="E2382">
            <v>10110134</v>
          </cell>
          <cell r="F2382" t="str">
            <v>0002</v>
          </cell>
          <cell r="G2382">
            <v>14</v>
          </cell>
          <cell r="H2382">
            <v>153.68</v>
          </cell>
          <cell r="I2382">
            <v>6113.5355952</v>
          </cell>
          <cell r="J2382">
            <v>0</v>
          </cell>
          <cell r="K2382">
            <v>0</v>
          </cell>
          <cell r="L2382">
            <v>225</v>
          </cell>
          <cell r="M2382">
            <v>0</v>
          </cell>
          <cell r="P2382">
            <v>5889</v>
          </cell>
          <cell r="V2382" t="str">
            <v>Available</v>
          </cell>
        </row>
        <row r="2383">
          <cell r="A2383" t="str">
            <v>101101340003</v>
          </cell>
          <cell r="B2383" t="str">
            <v xml:space="preserve">Alauli </v>
          </cell>
          <cell r="C2383" t="str">
            <v xml:space="preserve">Alauli </v>
          </cell>
          <cell r="D2383" t="str">
            <v>Gomukh Bishanpur</v>
          </cell>
          <cell r="E2383">
            <v>10110134</v>
          </cell>
          <cell r="F2383" t="str">
            <v>0003</v>
          </cell>
          <cell r="G2383">
            <v>7</v>
          </cell>
          <cell r="H2383">
            <v>21.229999999999997</v>
          </cell>
          <cell r="I2383">
            <v>1148.06763594732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P2383">
            <v>1148</v>
          </cell>
          <cell r="V2383" t="str">
            <v>Available</v>
          </cell>
        </row>
        <row r="2384">
          <cell r="A2384" t="str">
            <v>101101340004</v>
          </cell>
          <cell r="B2384" t="str">
            <v xml:space="preserve">Alauli </v>
          </cell>
          <cell r="C2384" t="str">
            <v xml:space="preserve">Alauli </v>
          </cell>
          <cell r="D2384" t="str">
            <v>Gomukh Bishanpur</v>
          </cell>
          <cell r="E2384">
            <v>10110134</v>
          </cell>
          <cell r="F2384" t="str">
            <v>0004</v>
          </cell>
          <cell r="G2384">
            <v>14</v>
          </cell>
          <cell r="H2384">
            <v>36.92</v>
          </cell>
          <cell r="I2384">
            <v>1307.4935550335999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P2384">
            <v>1307</v>
          </cell>
          <cell r="V2384" t="str">
            <v>Available</v>
          </cell>
        </row>
        <row r="2385">
          <cell r="A2385" t="str">
            <v>101101340005</v>
          </cell>
          <cell r="B2385" t="str">
            <v xml:space="preserve">Alauli </v>
          </cell>
          <cell r="C2385" t="str">
            <v xml:space="preserve">Alauli </v>
          </cell>
          <cell r="D2385" t="str">
            <v>Gomukh Bishanpur</v>
          </cell>
          <cell r="E2385">
            <v>10110134</v>
          </cell>
          <cell r="F2385" t="str">
            <v>0005</v>
          </cell>
          <cell r="G2385">
            <v>10</v>
          </cell>
          <cell r="H2385">
            <v>36.650000000000006</v>
          </cell>
          <cell r="I2385">
            <v>1397.053494757125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P2385">
            <v>1397</v>
          </cell>
          <cell r="V2385" t="str">
            <v>Available</v>
          </cell>
        </row>
        <row r="2386">
          <cell r="A2386" t="str">
            <v>101101340006</v>
          </cell>
          <cell r="B2386" t="str">
            <v xml:space="preserve">Alauli </v>
          </cell>
          <cell r="C2386" t="str">
            <v xml:space="preserve">Alauli </v>
          </cell>
          <cell r="D2386" t="str">
            <v>Gomukh Bishanpur</v>
          </cell>
          <cell r="E2386">
            <v>10110134</v>
          </cell>
          <cell r="F2386" t="str">
            <v>0006</v>
          </cell>
          <cell r="G2386">
            <v>14</v>
          </cell>
          <cell r="H2386">
            <v>34.379999999999995</v>
          </cell>
          <cell r="I2386">
            <v>1430.4792292623004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P2386">
            <v>1430</v>
          </cell>
          <cell r="V2386" t="str">
            <v>Available</v>
          </cell>
        </row>
        <row r="2387">
          <cell r="A2387" t="str">
            <v>101101340007</v>
          </cell>
          <cell r="B2387" t="str">
            <v xml:space="preserve">Alauli </v>
          </cell>
          <cell r="C2387" t="str">
            <v xml:space="preserve">Alauli </v>
          </cell>
          <cell r="D2387" t="str">
            <v>Gomukh Bishanpur</v>
          </cell>
          <cell r="E2387">
            <v>10110134</v>
          </cell>
          <cell r="F2387" t="str">
            <v>0007</v>
          </cell>
          <cell r="G2387">
            <v>10</v>
          </cell>
          <cell r="H2387">
            <v>20.09</v>
          </cell>
          <cell r="I2387">
            <v>747.57780244620005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P2387">
            <v>748</v>
          </cell>
          <cell r="V2387" t="str">
            <v>Available</v>
          </cell>
        </row>
        <row r="2388">
          <cell r="A2388" t="str">
            <v>101101350002</v>
          </cell>
          <cell r="B2388" t="str">
            <v xml:space="preserve">Alauli </v>
          </cell>
          <cell r="C2388" t="str">
            <v xml:space="preserve">Alauli </v>
          </cell>
          <cell r="D2388" t="str">
            <v>GOMUKH BISHANPUR 2</v>
          </cell>
          <cell r="E2388">
            <v>10110135</v>
          </cell>
          <cell r="F2388" t="str">
            <v>0002</v>
          </cell>
          <cell r="G2388">
            <v>14</v>
          </cell>
          <cell r="H2388">
            <v>53.599999999999994</v>
          </cell>
          <cell r="I2388">
            <v>2023.9878553785002</v>
          </cell>
          <cell r="J2388">
            <v>0</v>
          </cell>
          <cell r="K2388">
            <v>0</v>
          </cell>
          <cell r="L2388">
            <v>513</v>
          </cell>
          <cell r="M2388">
            <v>0</v>
          </cell>
          <cell r="P2388">
            <v>1511</v>
          </cell>
          <cell r="V2388" t="str">
            <v>Available</v>
          </cell>
        </row>
        <row r="2389">
          <cell r="A2389" t="str">
            <v>101101350004</v>
          </cell>
          <cell r="B2389" t="str">
            <v xml:space="preserve">Alauli </v>
          </cell>
          <cell r="C2389" t="str">
            <v xml:space="preserve">Alauli </v>
          </cell>
          <cell r="D2389" t="str">
            <v>GOMUKH BISHANPUR 2</v>
          </cell>
          <cell r="E2389">
            <v>10110135</v>
          </cell>
          <cell r="F2389" t="str">
            <v>0004</v>
          </cell>
          <cell r="G2389">
            <v>12</v>
          </cell>
          <cell r="H2389">
            <v>56.92</v>
          </cell>
          <cell r="I2389">
            <v>2077.7792068440003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P2389">
            <v>2078</v>
          </cell>
          <cell r="V2389" t="str">
            <v>Available</v>
          </cell>
        </row>
        <row r="2390">
          <cell r="A2390" t="str">
            <v>101101350007</v>
          </cell>
          <cell r="B2390" t="str">
            <v xml:space="preserve">Alauli </v>
          </cell>
          <cell r="C2390" t="str">
            <v xml:space="preserve">Alauli </v>
          </cell>
          <cell r="D2390" t="str">
            <v>GOMUKH BISHANPUR 2</v>
          </cell>
          <cell r="E2390">
            <v>10110135</v>
          </cell>
          <cell r="F2390" t="str">
            <v>0007</v>
          </cell>
          <cell r="G2390">
            <v>8</v>
          </cell>
          <cell r="H2390">
            <v>20.200000000000003</v>
          </cell>
          <cell r="I2390">
            <v>923.77695600801997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P2390">
            <v>924</v>
          </cell>
          <cell r="V2390" t="str">
            <v>Available</v>
          </cell>
        </row>
        <row r="2391">
          <cell r="A2391" t="str">
            <v>101101350008</v>
          </cell>
          <cell r="B2391" t="str">
            <v xml:space="preserve">Alauli </v>
          </cell>
          <cell r="C2391" t="str">
            <v xml:space="preserve">Alauli </v>
          </cell>
          <cell r="D2391" t="str">
            <v>GOMUKH BISHANPUR 2</v>
          </cell>
          <cell r="E2391">
            <v>10110135</v>
          </cell>
          <cell r="F2391" t="str">
            <v>0008</v>
          </cell>
          <cell r="G2391">
            <v>14</v>
          </cell>
          <cell r="H2391">
            <v>39.980000000000004</v>
          </cell>
          <cell r="I2391">
            <v>1724.4018550440003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P2391">
            <v>1724</v>
          </cell>
          <cell r="V2391" t="str">
            <v>Available</v>
          </cell>
        </row>
        <row r="2392">
          <cell r="A2392" t="str">
            <v>101101350009</v>
          </cell>
          <cell r="B2392" t="str">
            <v xml:space="preserve">Alauli </v>
          </cell>
          <cell r="C2392" t="str">
            <v xml:space="preserve">Alauli </v>
          </cell>
          <cell r="D2392" t="str">
            <v>GOMUKH BISHANPUR 2</v>
          </cell>
          <cell r="E2392">
            <v>10110135</v>
          </cell>
          <cell r="F2392" t="str">
            <v>0009</v>
          </cell>
          <cell r="G2392">
            <v>14</v>
          </cell>
          <cell r="H2392">
            <v>193.60999999999999</v>
          </cell>
          <cell r="I2392">
            <v>7194.5365836960009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P2392">
            <v>7195</v>
          </cell>
          <cell r="V2392" t="str">
            <v>Available</v>
          </cell>
        </row>
        <row r="2393">
          <cell r="A2393" t="str">
            <v>101101350012</v>
          </cell>
          <cell r="B2393" t="str">
            <v xml:space="preserve">Alauli </v>
          </cell>
          <cell r="C2393" t="str">
            <v xml:space="preserve">Alauli </v>
          </cell>
          <cell r="D2393" t="str">
            <v>GOMUKH BISHANPUR 2</v>
          </cell>
          <cell r="E2393">
            <v>10110135</v>
          </cell>
          <cell r="F2393" t="str">
            <v>0012</v>
          </cell>
          <cell r="G2393">
            <v>14</v>
          </cell>
          <cell r="H2393">
            <v>59.669999999999995</v>
          </cell>
          <cell r="I2393">
            <v>2123.0779242815997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P2393">
            <v>2123</v>
          </cell>
          <cell r="V2393" t="str">
            <v>Available</v>
          </cell>
        </row>
        <row r="2394">
          <cell r="A2394" t="str">
            <v>101101350013</v>
          </cell>
          <cell r="B2394" t="str">
            <v xml:space="preserve">Alauli </v>
          </cell>
          <cell r="C2394" t="str">
            <v xml:space="preserve">Alauli </v>
          </cell>
          <cell r="D2394" t="str">
            <v>GOMUKH BISHANPUR 2</v>
          </cell>
          <cell r="E2394">
            <v>10110135</v>
          </cell>
          <cell r="F2394" t="str">
            <v>0013</v>
          </cell>
          <cell r="G2394">
            <v>4</v>
          </cell>
          <cell r="H2394">
            <v>5.68</v>
          </cell>
          <cell r="I2394">
            <v>235.38745296000002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P2394">
            <v>235</v>
          </cell>
          <cell r="V2394" t="str">
            <v>Available</v>
          </cell>
        </row>
        <row r="2395">
          <cell r="A2395" t="str">
            <v>101101350016</v>
          </cell>
          <cell r="B2395" t="str">
            <v xml:space="preserve">Alauli </v>
          </cell>
          <cell r="C2395" t="str">
            <v xml:space="preserve">Alauli </v>
          </cell>
          <cell r="D2395" t="str">
            <v>GOMUKH BISHANPUR 2</v>
          </cell>
          <cell r="E2395">
            <v>10110135</v>
          </cell>
          <cell r="F2395" t="str">
            <v>0016</v>
          </cell>
          <cell r="G2395">
            <v>11</v>
          </cell>
          <cell r="H2395">
            <v>25.08</v>
          </cell>
          <cell r="I2395">
            <v>1414.21459186636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P2395">
            <v>1414</v>
          </cell>
          <cell r="V2395" t="str">
            <v>Available</v>
          </cell>
        </row>
        <row r="2396">
          <cell r="A2396" t="str">
            <v>101101350017</v>
          </cell>
          <cell r="B2396" t="str">
            <v xml:space="preserve">Alauli </v>
          </cell>
          <cell r="C2396" t="str">
            <v xml:space="preserve">Alauli </v>
          </cell>
          <cell r="D2396" t="str">
            <v>GOMUKH BISHANPUR 2</v>
          </cell>
          <cell r="E2396">
            <v>10110135</v>
          </cell>
          <cell r="F2396" t="str">
            <v>0017</v>
          </cell>
          <cell r="G2396">
            <v>7</v>
          </cell>
          <cell r="H2396">
            <v>26.37</v>
          </cell>
          <cell r="I2396">
            <v>1791.6974575261002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P2396">
            <v>1792</v>
          </cell>
          <cell r="V2396" t="str">
            <v>Available</v>
          </cell>
        </row>
        <row r="2397">
          <cell r="A2397" t="str">
            <v>101101350018</v>
          </cell>
          <cell r="B2397" t="str">
            <v xml:space="preserve">Alauli </v>
          </cell>
          <cell r="C2397" t="str">
            <v xml:space="preserve">Alauli </v>
          </cell>
          <cell r="D2397" t="str">
            <v>GOMUKH BISHANPUR 2</v>
          </cell>
          <cell r="E2397">
            <v>10110135</v>
          </cell>
          <cell r="F2397" t="str">
            <v>0018</v>
          </cell>
          <cell r="G2397">
            <v>11</v>
          </cell>
          <cell r="H2397">
            <v>24.009999999999998</v>
          </cell>
          <cell r="I2397">
            <v>781.87120070399999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P2397">
            <v>782</v>
          </cell>
          <cell r="V2397" t="str">
            <v>Available</v>
          </cell>
        </row>
        <row r="2398">
          <cell r="A2398" t="str">
            <v>101101350019</v>
          </cell>
          <cell r="B2398" t="str">
            <v xml:space="preserve">Alauli </v>
          </cell>
          <cell r="C2398" t="str">
            <v xml:space="preserve">Alauli </v>
          </cell>
          <cell r="D2398" t="str">
            <v>GOMUKH BISHANPUR 2</v>
          </cell>
          <cell r="E2398">
            <v>10110135</v>
          </cell>
          <cell r="F2398" t="str">
            <v>0019</v>
          </cell>
          <cell r="G2398">
            <v>11</v>
          </cell>
          <cell r="H2398">
            <v>110.43</v>
          </cell>
          <cell r="I2398">
            <v>3649.9432713480005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P2398">
            <v>3650</v>
          </cell>
          <cell r="V2398" t="str">
            <v>Available</v>
          </cell>
        </row>
        <row r="2399">
          <cell r="A2399" t="str">
            <v>101101400001</v>
          </cell>
          <cell r="B2399" t="str">
            <v xml:space="preserve">Alauli </v>
          </cell>
          <cell r="C2399" t="str">
            <v xml:space="preserve">Alauli </v>
          </cell>
          <cell r="D2399" t="str">
            <v>GOMUKH GHAMARIYA</v>
          </cell>
          <cell r="E2399">
            <v>10110140</v>
          </cell>
          <cell r="F2399" t="str">
            <v>0001</v>
          </cell>
          <cell r="G2399">
            <v>12</v>
          </cell>
          <cell r="H2399">
            <v>3.2399999999999998</v>
          </cell>
          <cell r="I2399">
            <v>157.53019981545</v>
          </cell>
          <cell r="J2399">
            <v>0</v>
          </cell>
          <cell r="K2399">
            <v>157.53019981545</v>
          </cell>
          <cell r="L2399">
            <v>0</v>
          </cell>
          <cell r="M2399">
            <v>0</v>
          </cell>
          <cell r="P2399">
            <v>0</v>
          </cell>
          <cell r="V2399" t="str">
            <v>Not Available</v>
          </cell>
        </row>
        <row r="2400">
          <cell r="A2400" t="str">
            <v>101101400002</v>
          </cell>
          <cell r="B2400" t="str">
            <v xml:space="preserve">Alauli </v>
          </cell>
          <cell r="C2400" t="str">
            <v xml:space="preserve">Alauli </v>
          </cell>
          <cell r="D2400" t="str">
            <v>GOMUKH GHAMARIYA</v>
          </cell>
          <cell r="E2400">
            <v>10110140</v>
          </cell>
          <cell r="F2400" t="str">
            <v>0002</v>
          </cell>
          <cell r="G2400">
            <v>13</v>
          </cell>
          <cell r="H2400">
            <v>28.369999999999997</v>
          </cell>
          <cell r="I2400">
            <v>1235.9756902445999</v>
          </cell>
          <cell r="J2400">
            <v>0</v>
          </cell>
          <cell r="K2400">
            <v>0</v>
          </cell>
          <cell r="L2400">
            <v>595</v>
          </cell>
          <cell r="M2400">
            <v>641</v>
          </cell>
          <cell r="P2400">
            <v>0</v>
          </cell>
          <cell r="V2400" t="str">
            <v>Available</v>
          </cell>
        </row>
        <row r="2401">
          <cell r="A2401" t="str">
            <v>101101400004</v>
          </cell>
          <cell r="B2401" t="str">
            <v xml:space="preserve">Alauli </v>
          </cell>
          <cell r="C2401" t="str">
            <v xml:space="preserve">Alauli </v>
          </cell>
          <cell r="D2401" t="str">
            <v>GOMUKH GHAMARIYA</v>
          </cell>
          <cell r="E2401">
            <v>10110140</v>
          </cell>
          <cell r="F2401" t="str">
            <v>0004</v>
          </cell>
          <cell r="G2401">
            <v>14</v>
          </cell>
          <cell r="H2401">
            <v>49.64</v>
          </cell>
          <cell r="I2401">
            <v>2161.7541666442698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P2401">
            <v>2162</v>
          </cell>
          <cell r="V2401" t="str">
            <v>Available</v>
          </cell>
        </row>
        <row r="2402">
          <cell r="A2402" t="str">
            <v>101101400005</v>
          </cell>
          <cell r="B2402" t="str">
            <v xml:space="preserve">Alauli </v>
          </cell>
          <cell r="C2402" t="str">
            <v xml:space="preserve">Alauli </v>
          </cell>
          <cell r="D2402" t="str">
            <v>GOMUKH GHAMARIYA</v>
          </cell>
          <cell r="E2402">
            <v>10110140</v>
          </cell>
          <cell r="F2402" t="str">
            <v>0005</v>
          </cell>
          <cell r="G2402">
            <v>14</v>
          </cell>
          <cell r="H2402">
            <v>46.480000000000004</v>
          </cell>
          <cell r="I2402">
            <v>1746.0482937480003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P2402">
            <v>1746</v>
          </cell>
          <cell r="V2402" t="str">
            <v>Available</v>
          </cell>
        </row>
        <row r="2403">
          <cell r="A2403" t="str">
            <v>101101400008</v>
          </cell>
          <cell r="B2403" t="str">
            <v xml:space="preserve">Alauli </v>
          </cell>
          <cell r="C2403" t="str">
            <v xml:space="preserve">Alauli </v>
          </cell>
          <cell r="D2403" t="str">
            <v>GOMUKH GHAMARIYA</v>
          </cell>
          <cell r="E2403">
            <v>10110140</v>
          </cell>
          <cell r="F2403" t="str">
            <v>0008</v>
          </cell>
          <cell r="G2403">
            <v>14</v>
          </cell>
          <cell r="H2403">
            <v>60.330000000000013</v>
          </cell>
          <cell r="I2403">
            <v>3352.9642593571007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P2403">
            <v>3353</v>
          </cell>
          <cell r="V2403" t="str">
            <v>Available</v>
          </cell>
        </row>
        <row r="2404">
          <cell r="A2404" t="str">
            <v>101101400017</v>
          </cell>
          <cell r="B2404" t="str">
            <v xml:space="preserve">Alauli </v>
          </cell>
          <cell r="C2404" t="str">
            <v xml:space="preserve">Alauli </v>
          </cell>
          <cell r="D2404" t="str">
            <v>GOMUKH GHAMARIYA</v>
          </cell>
          <cell r="E2404">
            <v>10110140</v>
          </cell>
          <cell r="F2404" t="str">
            <v>0017</v>
          </cell>
          <cell r="G2404">
            <v>14</v>
          </cell>
          <cell r="H2404">
            <v>24.61</v>
          </cell>
          <cell r="I2404">
            <v>1123.8307188417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P2404">
            <v>1124</v>
          </cell>
          <cell r="V2404" t="str">
            <v>Available</v>
          </cell>
        </row>
        <row r="2405">
          <cell r="A2405" t="str">
            <v>101101410001</v>
          </cell>
          <cell r="B2405" t="str">
            <v xml:space="preserve">Alauli </v>
          </cell>
          <cell r="C2405" t="str">
            <v xml:space="preserve">Alauli </v>
          </cell>
          <cell r="D2405" t="str">
            <v>GOMUKH MEGHAUMA</v>
          </cell>
          <cell r="E2405">
            <v>10110141</v>
          </cell>
          <cell r="F2405" t="str">
            <v>0001</v>
          </cell>
          <cell r="G2405">
            <v>14</v>
          </cell>
          <cell r="H2405">
            <v>11.95</v>
          </cell>
          <cell r="I2405">
            <v>534.09599654399995</v>
          </cell>
          <cell r="J2405">
            <v>0</v>
          </cell>
          <cell r="K2405">
            <v>534.09599654399995</v>
          </cell>
          <cell r="L2405">
            <v>0</v>
          </cell>
          <cell r="M2405">
            <v>0</v>
          </cell>
          <cell r="P2405">
            <v>0</v>
          </cell>
          <cell r="V2405" t="str">
            <v>Not Available</v>
          </cell>
        </row>
        <row r="2406">
          <cell r="A2406" t="str">
            <v>101101410002</v>
          </cell>
          <cell r="B2406" t="str">
            <v xml:space="preserve">Alauli </v>
          </cell>
          <cell r="C2406" t="str">
            <v xml:space="preserve">Alauli </v>
          </cell>
          <cell r="D2406" t="str">
            <v>GOMUKH MEGHAUMA</v>
          </cell>
          <cell r="E2406">
            <v>10110141</v>
          </cell>
          <cell r="F2406" t="str">
            <v>0002</v>
          </cell>
          <cell r="G2406">
            <v>14</v>
          </cell>
          <cell r="H2406">
            <v>375.74999999999994</v>
          </cell>
          <cell r="I2406">
            <v>15285.978750814202</v>
          </cell>
          <cell r="J2406">
            <v>0</v>
          </cell>
          <cell r="K2406">
            <v>0</v>
          </cell>
          <cell r="L2406">
            <v>1149</v>
          </cell>
          <cell r="M2406">
            <v>0</v>
          </cell>
          <cell r="P2406">
            <v>14137</v>
          </cell>
          <cell r="V2406" t="str">
            <v>Available</v>
          </cell>
        </row>
        <row r="2407">
          <cell r="A2407" t="str">
            <v>101101410004</v>
          </cell>
          <cell r="B2407" t="str">
            <v xml:space="preserve">Alauli </v>
          </cell>
          <cell r="C2407" t="str">
            <v xml:space="preserve">Alauli </v>
          </cell>
          <cell r="D2407" t="str">
            <v>GOMUKH MEGHAUMA</v>
          </cell>
          <cell r="E2407">
            <v>10110141</v>
          </cell>
          <cell r="F2407" t="str">
            <v>0004</v>
          </cell>
          <cell r="G2407">
            <v>14</v>
          </cell>
          <cell r="H2407">
            <v>202.73</v>
          </cell>
          <cell r="I2407">
            <v>7758.9177351840017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P2407">
            <v>7759</v>
          </cell>
          <cell r="V2407" t="str">
            <v>Available</v>
          </cell>
        </row>
        <row r="2408">
          <cell r="A2408" t="str">
            <v>101101410005</v>
          </cell>
          <cell r="B2408" t="str">
            <v xml:space="preserve">Alauli </v>
          </cell>
          <cell r="C2408" t="str">
            <v xml:space="preserve">Alauli </v>
          </cell>
          <cell r="D2408" t="str">
            <v>GOMUKH MEGHAUMA</v>
          </cell>
          <cell r="E2408">
            <v>10110141</v>
          </cell>
          <cell r="F2408" t="str">
            <v>0005</v>
          </cell>
          <cell r="G2408">
            <v>14</v>
          </cell>
          <cell r="H2408">
            <v>101.13</v>
          </cell>
          <cell r="I2408">
            <v>3744.1678420080002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P2408">
            <v>3744</v>
          </cell>
          <cell r="V2408" t="str">
            <v>Available</v>
          </cell>
        </row>
        <row r="2409">
          <cell r="A2409" t="str">
            <v>101101410007</v>
          </cell>
          <cell r="B2409" t="str">
            <v xml:space="preserve">Alauli </v>
          </cell>
          <cell r="C2409" t="str">
            <v xml:space="preserve">Alauli </v>
          </cell>
          <cell r="D2409" t="str">
            <v>GOMUKH MEGHAUMA</v>
          </cell>
          <cell r="E2409">
            <v>10110141</v>
          </cell>
          <cell r="F2409" t="str">
            <v>0007</v>
          </cell>
          <cell r="G2409">
            <v>14</v>
          </cell>
          <cell r="H2409">
            <v>25.389999999999997</v>
          </cell>
          <cell r="I2409">
            <v>992.17084261679986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P2409">
            <v>992</v>
          </cell>
          <cell r="V2409" t="str">
            <v>Available</v>
          </cell>
        </row>
        <row r="2410">
          <cell r="A2410" t="str">
            <v>101101410008</v>
          </cell>
          <cell r="B2410" t="str">
            <v xml:space="preserve">Alauli </v>
          </cell>
          <cell r="C2410" t="str">
            <v xml:space="preserve">Alauli </v>
          </cell>
          <cell r="D2410" t="str">
            <v>GOMUKH MEGHAUMA</v>
          </cell>
          <cell r="E2410">
            <v>10110141</v>
          </cell>
          <cell r="F2410" t="str">
            <v>0008</v>
          </cell>
          <cell r="G2410">
            <v>6</v>
          </cell>
          <cell r="H2410">
            <v>19.2</v>
          </cell>
          <cell r="I2410">
            <v>1012.7271235858096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P2410">
            <v>1013</v>
          </cell>
          <cell r="V2410" t="str">
            <v>Available</v>
          </cell>
        </row>
        <row r="2411">
          <cell r="A2411" t="str">
            <v>101101410010</v>
          </cell>
          <cell r="B2411" t="str">
            <v xml:space="preserve">Alauli </v>
          </cell>
          <cell r="C2411" t="str">
            <v xml:space="preserve">Alauli </v>
          </cell>
          <cell r="D2411" t="str">
            <v>GOMUKH MEGHAUMA</v>
          </cell>
          <cell r="E2411">
            <v>10110141</v>
          </cell>
          <cell r="F2411" t="str">
            <v>0010</v>
          </cell>
          <cell r="G2411">
            <v>11</v>
          </cell>
          <cell r="H2411">
            <v>16.809999999999999</v>
          </cell>
          <cell r="I2411">
            <v>1023.8596322901901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P2411">
            <v>1024</v>
          </cell>
          <cell r="V2411" t="str">
            <v>Available</v>
          </cell>
        </row>
        <row r="2412">
          <cell r="A2412" t="str">
            <v>101101410015</v>
          </cell>
          <cell r="B2412" t="str">
            <v xml:space="preserve">Alauli </v>
          </cell>
          <cell r="C2412" t="str">
            <v xml:space="preserve">Alauli </v>
          </cell>
          <cell r="D2412" t="str">
            <v>GOMUKH MEGHAUMA</v>
          </cell>
          <cell r="E2412">
            <v>10110141</v>
          </cell>
          <cell r="F2412" t="str">
            <v>0015</v>
          </cell>
          <cell r="G2412">
            <v>9</v>
          </cell>
          <cell r="H2412">
            <v>15.520000000000001</v>
          </cell>
          <cell r="I2412">
            <v>1105.6459240198001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P2412">
            <v>1106</v>
          </cell>
          <cell r="V2412" t="str">
            <v>Available</v>
          </cell>
        </row>
        <row r="2413">
          <cell r="A2413" t="str">
            <v>101101410016</v>
          </cell>
          <cell r="B2413" t="str">
            <v xml:space="preserve">Alauli </v>
          </cell>
          <cell r="C2413" t="str">
            <v xml:space="preserve">Alauli </v>
          </cell>
          <cell r="D2413" t="str">
            <v>GOMUKH MEGHAUMA</v>
          </cell>
          <cell r="E2413">
            <v>10110141</v>
          </cell>
          <cell r="F2413" t="str">
            <v>0016</v>
          </cell>
          <cell r="G2413">
            <v>14</v>
          </cell>
          <cell r="H2413">
            <v>20.269999999999996</v>
          </cell>
          <cell r="I2413">
            <v>1002.3781899761801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P2413">
            <v>1002</v>
          </cell>
          <cell r="V2413" t="str">
            <v>Available</v>
          </cell>
        </row>
        <row r="2414">
          <cell r="A2414" t="str">
            <v>101101410018</v>
          </cell>
          <cell r="B2414" t="str">
            <v xml:space="preserve">Alauli </v>
          </cell>
          <cell r="C2414" t="str">
            <v xml:space="preserve">Alauli </v>
          </cell>
          <cell r="D2414" t="str">
            <v>GOMUKH MEGHAUMA</v>
          </cell>
          <cell r="E2414">
            <v>10110141</v>
          </cell>
          <cell r="F2414" t="str">
            <v>0018</v>
          </cell>
          <cell r="G2414">
            <v>10</v>
          </cell>
          <cell r="H2414">
            <v>24.779999999999998</v>
          </cell>
          <cell r="I2414">
            <v>834.21832136940009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P2414">
            <v>834</v>
          </cell>
          <cell r="V2414" t="str">
            <v>Available</v>
          </cell>
        </row>
        <row r="2415">
          <cell r="A2415" t="str">
            <v>101101410024</v>
          </cell>
          <cell r="B2415" t="str">
            <v xml:space="preserve">Alauli </v>
          </cell>
          <cell r="C2415" t="str">
            <v xml:space="preserve">Alauli </v>
          </cell>
          <cell r="D2415" t="str">
            <v>GOMUKH MEGHAUMA</v>
          </cell>
          <cell r="E2415">
            <v>10110141</v>
          </cell>
          <cell r="F2415" t="str">
            <v>0024</v>
          </cell>
          <cell r="G2415">
            <v>3</v>
          </cell>
          <cell r="H2415">
            <v>5.43</v>
          </cell>
          <cell r="I2415">
            <v>234.20445246000003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P2415">
            <v>234</v>
          </cell>
          <cell r="V2415" t="str">
            <v>Available</v>
          </cell>
        </row>
        <row r="2416">
          <cell r="A2416" t="str">
            <v>101101410026</v>
          </cell>
          <cell r="B2416" t="str">
            <v xml:space="preserve">Alauli </v>
          </cell>
          <cell r="C2416" t="str">
            <v xml:space="preserve">Alauli </v>
          </cell>
          <cell r="D2416" t="str">
            <v>GOMUKH MEGHAUMA</v>
          </cell>
          <cell r="E2416">
            <v>10110141</v>
          </cell>
          <cell r="F2416" t="str">
            <v>0026</v>
          </cell>
          <cell r="G2416">
            <v>7</v>
          </cell>
          <cell r="H2416">
            <v>21.080000000000002</v>
          </cell>
          <cell r="I2416">
            <v>932.99341687200001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P2416">
            <v>933</v>
          </cell>
          <cell r="V2416" t="str">
            <v>Available</v>
          </cell>
        </row>
        <row r="2417">
          <cell r="A2417" t="str">
            <v>101101410028</v>
          </cell>
          <cell r="B2417" t="str">
            <v xml:space="preserve">Alauli </v>
          </cell>
          <cell r="C2417" t="str">
            <v xml:space="preserve">Alauli </v>
          </cell>
          <cell r="D2417" t="str">
            <v>GOMUKH MEGHAUMA</v>
          </cell>
          <cell r="E2417">
            <v>10110141</v>
          </cell>
          <cell r="F2417" t="str">
            <v>0028</v>
          </cell>
          <cell r="G2417">
            <v>12</v>
          </cell>
          <cell r="H2417">
            <v>33.979999999999997</v>
          </cell>
          <cell r="I2417">
            <v>1228.088123064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P2417">
            <v>1228</v>
          </cell>
          <cell r="V2417" t="str">
            <v>Available</v>
          </cell>
        </row>
        <row r="2418">
          <cell r="A2418" t="str">
            <v>101101410030</v>
          </cell>
          <cell r="B2418" t="str">
            <v xml:space="preserve">Alauli </v>
          </cell>
          <cell r="C2418" t="str">
            <v xml:space="preserve">Alauli </v>
          </cell>
          <cell r="D2418" t="str">
            <v>GOMUKH MEGHAUMA</v>
          </cell>
          <cell r="E2418">
            <v>10110141</v>
          </cell>
          <cell r="F2418" t="str">
            <v>0030</v>
          </cell>
          <cell r="G2418">
            <v>14</v>
          </cell>
          <cell r="H2418">
            <v>16.82</v>
          </cell>
          <cell r="I2418">
            <v>1362.6533260583799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P2418">
            <v>1363</v>
          </cell>
          <cell r="V2418" t="str">
            <v>Available</v>
          </cell>
        </row>
        <row r="2419">
          <cell r="A2419" t="str">
            <v>101101410031</v>
          </cell>
          <cell r="B2419" t="str">
            <v xml:space="preserve">Alauli </v>
          </cell>
          <cell r="C2419" t="str">
            <v xml:space="preserve">Alauli </v>
          </cell>
          <cell r="D2419" t="str">
            <v>GOMUKH MEGHAUMA</v>
          </cell>
          <cell r="E2419">
            <v>10110141</v>
          </cell>
          <cell r="F2419" t="str">
            <v>0031</v>
          </cell>
          <cell r="G2419">
            <v>12</v>
          </cell>
          <cell r="H2419">
            <v>15.81</v>
          </cell>
          <cell r="I2419">
            <v>604.24382363400014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P2419">
            <v>604</v>
          </cell>
          <cell r="V2419" t="str">
            <v>Available</v>
          </cell>
        </row>
        <row r="2420">
          <cell r="A2420" t="str">
            <v>101101410032</v>
          </cell>
          <cell r="B2420" t="str">
            <v xml:space="preserve">Alauli </v>
          </cell>
          <cell r="C2420" t="str">
            <v xml:space="preserve">Alauli </v>
          </cell>
          <cell r="D2420" t="str">
            <v>GOMUKH MEGHAUMA</v>
          </cell>
          <cell r="E2420">
            <v>10110141</v>
          </cell>
          <cell r="F2420" t="str">
            <v>0032</v>
          </cell>
          <cell r="G2420">
            <v>13</v>
          </cell>
          <cell r="H2420">
            <v>31.52</v>
          </cell>
          <cell r="I2420">
            <v>1325.7728379720006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P2420">
            <v>1326</v>
          </cell>
          <cell r="V2420" t="str">
            <v>Available</v>
          </cell>
        </row>
        <row r="2421">
          <cell r="A2421" t="str">
            <v>101101410034</v>
          </cell>
          <cell r="B2421" t="str">
            <v xml:space="preserve">Alauli </v>
          </cell>
          <cell r="C2421" t="str">
            <v xml:space="preserve">Alauli </v>
          </cell>
          <cell r="D2421" t="str">
            <v>GOMUKH MEGHAUMA</v>
          </cell>
          <cell r="E2421">
            <v>10110141</v>
          </cell>
          <cell r="F2421" t="str">
            <v>0034</v>
          </cell>
          <cell r="G2421">
            <v>7</v>
          </cell>
          <cell r="H2421">
            <v>12.1</v>
          </cell>
          <cell r="I2421">
            <v>499.51562977800006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P2421">
            <v>500</v>
          </cell>
          <cell r="V2421" t="str">
            <v>Available</v>
          </cell>
        </row>
        <row r="2422">
          <cell r="A2422" t="str">
            <v>101101410035</v>
          </cell>
          <cell r="B2422" t="str">
            <v xml:space="preserve">Alauli </v>
          </cell>
          <cell r="C2422" t="str">
            <v xml:space="preserve">Alauli </v>
          </cell>
          <cell r="D2422" t="str">
            <v>GOMUKH MEGHAUMA</v>
          </cell>
          <cell r="E2422">
            <v>10110141</v>
          </cell>
          <cell r="F2422" t="str">
            <v>0035</v>
          </cell>
          <cell r="G2422">
            <v>9</v>
          </cell>
          <cell r="H2422">
            <v>10.67</v>
          </cell>
          <cell r="I2422">
            <v>455.89277644596905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P2422">
            <v>456</v>
          </cell>
          <cell r="V2422" t="str">
            <v>Available</v>
          </cell>
        </row>
        <row r="2423">
          <cell r="A2423" t="str">
            <v>101101410036</v>
          </cell>
          <cell r="B2423" t="str">
            <v xml:space="preserve">Alauli </v>
          </cell>
          <cell r="C2423" t="str">
            <v xml:space="preserve">Alauli </v>
          </cell>
          <cell r="D2423" t="str">
            <v>GOMUKH MEGHAUMA</v>
          </cell>
          <cell r="E2423">
            <v>10110141</v>
          </cell>
          <cell r="F2423" t="str">
            <v>0036</v>
          </cell>
          <cell r="G2423">
            <v>2</v>
          </cell>
          <cell r="H2423">
            <v>1.8199999999999998</v>
          </cell>
          <cell r="I2423">
            <v>149.04413246779995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P2423">
            <v>149</v>
          </cell>
          <cell r="V2423" t="str">
            <v>Available</v>
          </cell>
        </row>
        <row r="2424">
          <cell r="A2424" t="str">
            <v>101101410037</v>
          </cell>
          <cell r="B2424" t="str">
            <v xml:space="preserve">Alauli </v>
          </cell>
          <cell r="C2424" t="str">
            <v xml:space="preserve">Alauli </v>
          </cell>
          <cell r="D2424" t="str">
            <v>GOMUKH MEGHAUMA</v>
          </cell>
          <cell r="E2424">
            <v>10110141</v>
          </cell>
          <cell r="F2424" t="str">
            <v>0037</v>
          </cell>
          <cell r="G2424">
            <v>10</v>
          </cell>
          <cell r="H2424">
            <v>20.330000000000002</v>
          </cell>
          <cell r="I2424">
            <v>805.42559790000018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P2424">
            <v>805</v>
          </cell>
          <cell r="V2424" t="str">
            <v>Available</v>
          </cell>
        </row>
        <row r="2425">
          <cell r="A2425" t="str">
            <v>101101430002</v>
          </cell>
          <cell r="B2425" t="str">
            <v xml:space="preserve">Alauli </v>
          </cell>
          <cell r="C2425" t="str">
            <v xml:space="preserve">Alauli </v>
          </cell>
          <cell r="D2425" t="str">
            <v>GOMUKH AURA</v>
          </cell>
          <cell r="E2425">
            <v>10110143</v>
          </cell>
          <cell r="F2425" t="str">
            <v>0002</v>
          </cell>
          <cell r="G2425">
            <v>9</v>
          </cell>
          <cell r="H2425">
            <v>893</v>
          </cell>
          <cell r="I2425">
            <v>35785.786311000003</v>
          </cell>
          <cell r="J2425">
            <v>0</v>
          </cell>
          <cell r="K2425">
            <v>0</v>
          </cell>
          <cell r="L2425">
            <v>3109</v>
          </cell>
          <cell r="M2425">
            <v>0</v>
          </cell>
          <cell r="P2425">
            <v>32677</v>
          </cell>
          <cell r="V2425" t="str">
            <v>Available</v>
          </cell>
        </row>
        <row r="2426">
          <cell r="A2426" t="str">
            <v>101101430010</v>
          </cell>
          <cell r="B2426" t="str">
            <v xml:space="preserve">Alauli </v>
          </cell>
          <cell r="C2426" t="str">
            <v xml:space="preserve">Alauli </v>
          </cell>
          <cell r="D2426" t="str">
            <v>GOMUKH AURA</v>
          </cell>
          <cell r="E2426">
            <v>10110143</v>
          </cell>
          <cell r="F2426" t="str">
            <v>0010</v>
          </cell>
          <cell r="G2426">
            <v>7</v>
          </cell>
          <cell r="H2426">
            <v>211.49999999999997</v>
          </cell>
          <cell r="I2426">
            <v>7985.2303460160001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P2426">
            <v>7985</v>
          </cell>
          <cell r="V2426" t="str">
            <v>Available</v>
          </cell>
        </row>
        <row r="2427">
          <cell r="A2427" t="str">
            <v>101101440002</v>
          </cell>
          <cell r="B2427" t="str">
            <v xml:space="preserve">Alauli </v>
          </cell>
          <cell r="C2427" t="str">
            <v xml:space="preserve">Alauli </v>
          </cell>
          <cell r="D2427" t="str">
            <v>GOMUKH BEHORBA</v>
          </cell>
          <cell r="E2427">
            <v>10110144</v>
          </cell>
          <cell r="F2427" t="str">
            <v>0002</v>
          </cell>
          <cell r="G2427">
            <v>14</v>
          </cell>
          <cell r="H2427">
            <v>510.33999999999992</v>
          </cell>
          <cell r="I2427">
            <v>20092.270311828004</v>
          </cell>
          <cell r="J2427">
            <v>0</v>
          </cell>
          <cell r="K2427">
            <v>0</v>
          </cell>
          <cell r="L2427">
            <v>6056</v>
          </cell>
          <cell r="M2427">
            <v>14036</v>
          </cell>
          <cell r="P2427">
            <v>0</v>
          </cell>
          <cell r="V2427" t="str">
            <v>Available</v>
          </cell>
        </row>
        <row r="2428">
          <cell r="A2428" t="str">
            <v>101101440008</v>
          </cell>
          <cell r="B2428" t="str">
            <v xml:space="preserve">Alauli </v>
          </cell>
          <cell r="C2428" t="str">
            <v xml:space="preserve">Alauli </v>
          </cell>
          <cell r="D2428" t="str">
            <v>GOMUKH BEHORBA</v>
          </cell>
          <cell r="E2428">
            <v>10110144</v>
          </cell>
          <cell r="F2428" t="str">
            <v>0008</v>
          </cell>
          <cell r="G2428">
            <v>12</v>
          </cell>
          <cell r="H2428">
            <v>71.889999999999986</v>
          </cell>
          <cell r="I2428">
            <v>2600.1471235014001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P2428">
            <v>2600</v>
          </cell>
          <cell r="V2428" t="str">
            <v>Available</v>
          </cell>
        </row>
        <row r="2429">
          <cell r="A2429" t="str">
            <v>101101440010</v>
          </cell>
          <cell r="B2429" t="str">
            <v xml:space="preserve">Alauli </v>
          </cell>
          <cell r="C2429" t="str">
            <v xml:space="preserve">Alauli </v>
          </cell>
          <cell r="D2429" t="str">
            <v>GOMUKH BEHORBA</v>
          </cell>
          <cell r="E2429">
            <v>10110144</v>
          </cell>
          <cell r="F2429" t="str">
            <v>0010</v>
          </cell>
          <cell r="G2429">
            <v>5</v>
          </cell>
          <cell r="H2429">
            <v>72.099999999999994</v>
          </cell>
          <cell r="I2429">
            <v>2932.3776732822002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P2429">
            <v>2932</v>
          </cell>
          <cell r="V2429" t="str">
            <v>Available</v>
          </cell>
        </row>
        <row r="2430">
          <cell r="A2430" t="str">
            <v>101101440012</v>
          </cell>
          <cell r="B2430" t="str">
            <v xml:space="preserve">Alauli </v>
          </cell>
          <cell r="C2430" t="str">
            <v xml:space="preserve">Alauli </v>
          </cell>
          <cell r="D2430" t="str">
            <v>GOMUKH BEHORBA</v>
          </cell>
          <cell r="E2430">
            <v>10110144</v>
          </cell>
          <cell r="F2430" t="str">
            <v>0012</v>
          </cell>
          <cell r="G2430">
            <v>14</v>
          </cell>
          <cell r="H2430">
            <v>98.95</v>
          </cell>
          <cell r="I2430">
            <v>3522.2884526213998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P2430">
            <v>3522</v>
          </cell>
          <cell r="V2430" t="str">
            <v>Available</v>
          </cell>
        </row>
        <row r="2431">
          <cell r="A2431" t="str">
            <v>101101440013</v>
          </cell>
          <cell r="B2431" t="str">
            <v xml:space="preserve">Alauli </v>
          </cell>
          <cell r="C2431" t="str">
            <v xml:space="preserve">Alauli </v>
          </cell>
          <cell r="D2431" t="str">
            <v>GOMUKH BEHORBA</v>
          </cell>
          <cell r="E2431">
            <v>10110144</v>
          </cell>
          <cell r="F2431" t="str">
            <v>0013</v>
          </cell>
          <cell r="G2431">
            <v>14</v>
          </cell>
          <cell r="H2431">
            <v>384.96999999999997</v>
          </cell>
          <cell r="I2431">
            <v>15123.4783773282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P2431">
            <v>15123</v>
          </cell>
          <cell r="V2431" t="str">
            <v>Available</v>
          </cell>
        </row>
        <row r="2432">
          <cell r="A2432" t="str">
            <v>101101440015</v>
          </cell>
          <cell r="B2432" t="str">
            <v xml:space="preserve">Alauli </v>
          </cell>
          <cell r="C2432" t="str">
            <v xml:space="preserve">Alauli </v>
          </cell>
          <cell r="D2432" t="str">
            <v>GOMUKH BEHORBA</v>
          </cell>
          <cell r="E2432">
            <v>10110144</v>
          </cell>
          <cell r="F2432" t="str">
            <v>0015</v>
          </cell>
          <cell r="G2432">
            <v>12</v>
          </cell>
          <cell r="H2432">
            <v>55.11</v>
          </cell>
          <cell r="I2432">
            <v>2044.0227448872001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P2432">
            <v>2044</v>
          </cell>
          <cell r="V2432" t="str">
            <v>Available</v>
          </cell>
        </row>
        <row r="2433">
          <cell r="A2433" t="str">
            <v>101101460002</v>
          </cell>
          <cell r="B2433" t="str">
            <v>Sahibpur Kamal</v>
          </cell>
          <cell r="C2433" t="str">
            <v>Sahibpur Kamal</v>
          </cell>
          <cell r="D2433" t="str">
            <v>GOMUKH SAIDPUR SAMASTIPUR</v>
          </cell>
          <cell r="E2433">
            <v>10110146</v>
          </cell>
          <cell r="F2433" t="str">
            <v>0002</v>
          </cell>
          <cell r="G2433">
            <v>10</v>
          </cell>
          <cell r="H2433">
            <v>168.7</v>
          </cell>
          <cell r="I2433">
            <v>6085.2337563600013</v>
          </cell>
          <cell r="J2433">
            <v>0</v>
          </cell>
          <cell r="K2433">
            <v>0</v>
          </cell>
          <cell r="L2433">
            <v>1297</v>
          </cell>
          <cell r="M2433">
            <v>0</v>
          </cell>
          <cell r="P2433">
            <v>446</v>
          </cell>
          <cell r="V2433" t="str">
            <v>Available</v>
          </cell>
        </row>
        <row r="2434">
          <cell r="A2434" t="str">
            <v>101101460003</v>
          </cell>
          <cell r="B2434" t="str">
            <v>Sahibpur Kamal</v>
          </cell>
          <cell r="C2434" t="str">
            <v>Sahibpur Kamal</v>
          </cell>
          <cell r="D2434" t="str">
            <v>GOMUKH SAIDPUR SAMASTIPUR</v>
          </cell>
          <cell r="E2434">
            <v>10110146</v>
          </cell>
          <cell r="F2434" t="str">
            <v>0003</v>
          </cell>
          <cell r="G2434">
            <v>1</v>
          </cell>
          <cell r="H2434">
            <v>5.3</v>
          </cell>
          <cell r="I2434">
            <v>189.59719680000001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P2434">
            <v>190</v>
          </cell>
          <cell r="V2434" t="str">
            <v>Available</v>
          </cell>
        </row>
        <row r="2435">
          <cell r="A2435" t="str">
            <v>101101460006</v>
          </cell>
          <cell r="B2435" t="str">
            <v>Sahibpur Kamal</v>
          </cell>
          <cell r="C2435" t="str">
            <v>Sahibpur Kamal</v>
          </cell>
          <cell r="D2435" t="str">
            <v>GOMUKH SAIDPUR SAMASTIPUR</v>
          </cell>
          <cell r="E2435">
            <v>10110146</v>
          </cell>
          <cell r="F2435" t="str">
            <v>0006</v>
          </cell>
          <cell r="G2435">
            <v>10</v>
          </cell>
          <cell r="H2435">
            <v>752.09999999999991</v>
          </cell>
          <cell r="I2435">
            <v>27506.924497800006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P2435">
            <v>27507</v>
          </cell>
          <cell r="V2435" t="str">
            <v>Available</v>
          </cell>
        </row>
        <row r="2436">
          <cell r="A2436" t="str">
            <v>101101460007</v>
          </cell>
          <cell r="B2436" t="str">
            <v>Sahibpur Kamal</v>
          </cell>
          <cell r="C2436" t="str">
            <v>Sahibpur Kamal</v>
          </cell>
          <cell r="D2436" t="str">
            <v>GOMUKH SAIDPUR SAMASTIPUR</v>
          </cell>
          <cell r="E2436">
            <v>10110146</v>
          </cell>
          <cell r="F2436" t="str">
            <v>0007</v>
          </cell>
          <cell r="G2436">
            <v>5</v>
          </cell>
          <cell r="H2436">
            <v>499.8</v>
          </cell>
          <cell r="I2436">
            <v>17878.701788640003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P2436">
            <v>17879</v>
          </cell>
          <cell r="V2436" t="str">
            <v>Available</v>
          </cell>
        </row>
        <row r="2437">
          <cell r="A2437" t="str">
            <v>101101490002</v>
          </cell>
          <cell r="B2437" t="str">
            <v xml:space="preserve">Alauli </v>
          </cell>
          <cell r="C2437" t="str">
            <v xml:space="preserve">Alauli </v>
          </cell>
          <cell r="D2437" t="str">
            <v>GOMUKH PHULTAURA</v>
          </cell>
          <cell r="E2437">
            <v>10110149</v>
          </cell>
          <cell r="F2437" t="str">
            <v>0002</v>
          </cell>
          <cell r="G2437">
            <v>13</v>
          </cell>
          <cell r="H2437">
            <v>104.58000000000001</v>
          </cell>
          <cell r="I2437">
            <v>5523.0540355535013</v>
          </cell>
          <cell r="J2437">
            <v>0</v>
          </cell>
          <cell r="K2437">
            <v>0</v>
          </cell>
          <cell r="L2437">
            <v>3927</v>
          </cell>
          <cell r="M2437">
            <v>1596</v>
          </cell>
          <cell r="P2437">
            <v>0</v>
          </cell>
          <cell r="V2437" t="str">
            <v>Available</v>
          </cell>
        </row>
        <row r="2438">
          <cell r="A2438" t="str">
            <v>101101490007</v>
          </cell>
          <cell r="B2438" t="str">
            <v xml:space="preserve">Alauli </v>
          </cell>
          <cell r="C2438" t="str">
            <v xml:space="preserve">Alauli </v>
          </cell>
          <cell r="D2438" t="str">
            <v>GOMUKH PHULTAURA</v>
          </cell>
          <cell r="E2438">
            <v>10110149</v>
          </cell>
          <cell r="F2438" t="str">
            <v>0007</v>
          </cell>
          <cell r="G2438">
            <v>12</v>
          </cell>
          <cell r="H2438">
            <v>116.42999999999998</v>
          </cell>
          <cell r="I2438">
            <v>5007.5694832040008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P2438">
            <v>5008</v>
          </cell>
          <cell r="V2438" t="str">
            <v>Not Available</v>
          </cell>
        </row>
        <row r="2439">
          <cell r="A2439" t="str">
            <v>101101490008</v>
          </cell>
          <cell r="B2439" t="str">
            <v xml:space="preserve">Alauli </v>
          </cell>
          <cell r="C2439" t="str">
            <v xml:space="preserve">Alauli </v>
          </cell>
          <cell r="D2439" t="str">
            <v>GOMUKH PHULTAURA</v>
          </cell>
          <cell r="E2439">
            <v>10110149</v>
          </cell>
          <cell r="F2439" t="str">
            <v>0008</v>
          </cell>
          <cell r="G2439">
            <v>14</v>
          </cell>
          <cell r="H2439">
            <v>192.33999999999997</v>
          </cell>
          <cell r="I2439">
            <v>8355.7834173214014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P2439">
            <v>8356</v>
          </cell>
          <cell r="V2439" t="str">
            <v>Not Available</v>
          </cell>
        </row>
        <row r="2440">
          <cell r="A2440" t="str">
            <v>101101490009</v>
          </cell>
          <cell r="B2440" t="str">
            <v xml:space="preserve">Alauli </v>
          </cell>
          <cell r="C2440" t="str">
            <v xml:space="preserve">Alauli </v>
          </cell>
          <cell r="D2440" t="str">
            <v>GOMUKH PHULTAURA</v>
          </cell>
          <cell r="E2440">
            <v>10110149</v>
          </cell>
          <cell r="F2440" t="str">
            <v>0009</v>
          </cell>
          <cell r="G2440">
            <v>11</v>
          </cell>
          <cell r="H2440">
            <v>49.3</v>
          </cell>
          <cell r="I2440">
            <v>1996.0335495525003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P2440">
            <v>1996</v>
          </cell>
          <cell r="V2440" t="str">
            <v>Not Available</v>
          </cell>
        </row>
        <row r="2441">
          <cell r="A2441" t="str">
            <v>101101580002</v>
          </cell>
          <cell r="B2441" t="str">
            <v>Sahibpur Kamal</v>
          </cell>
          <cell r="C2441" t="str">
            <v>Sahibpur Kamal</v>
          </cell>
          <cell r="D2441" t="str">
            <v>GOMUKH CHOWKI 2</v>
          </cell>
          <cell r="E2441">
            <v>10110158</v>
          </cell>
          <cell r="F2441" t="str">
            <v>0002</v>
          </cell>
          <cell r="G2441">
            <v>11</v>
          </cell>
          <cell r="H2441">
            <v>108.10000000000001</v>
          </cell>
          <cell r="I2441">
            <v>4168.1812803840003</v>
          </cell>
          <cell r="J2441">
            <v>0</v>
          </cell>
          <cell r="K2441">
            <v>0</v>
          </cell>
          <cell r="L2441">
            <v>3967</v>
          </cell>
          <cell r="M2441">
            <v>0</v>
          </cell>
          <cell r="P2441">
            <v>0</v>
          </cell>
          <cell r="V2441" t="str">
            <v>Available</v>
          </cell>
        </row>
        <row r="2442">
          <cell r="A2442" t="str">
            <v>101101580003</v>
          </cell>
          <cell r="B2442" t="str">
            <v>Sahibpur Kamal</v>
          </cell>
          <cell r="C2442" t="str">
            <v>Sahibpur Kamal</v>
          </cell>
          <cell r="D2442" t="str">
            <v>GOMUKH CHOWKI 2</v>
          </cell>
          <cell r="E2442">
            <v>10110158</v>
          </cell>
          <cell r="F2442" t="str">
            <v>0003</v>
          </cell>
          <cell r="G2442">
            <v>11</v>
          </cell>
          <cell r="H2442">
            <v>25.739999999999995</v>
          </cell>
          <cell r="I2442">
            <v>1195.6267445414003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P2442">
            <v>1196</v>
          </cell>
          <cell r="V2442" t="str">
            <v>Available</v>
          </cell>
        </row>
        <row r="2443">
          <cell r="A2443" t="str">
            <v>101101580005</v>
          </cell>
          <cell r="B2443" t="str">
            <v>Sahibpur Kamal</v>
          </cell>
          <cell r="C2443" t="str">
            <v>Sahibpur Kamal</v>
          </cell>
          <cell r="D2443" t="str">
            <v>GOMUKH CHOWKI 2</v>
          </cell>
          <cell r="E2443">
            <v>10110158</v>
          </cell>
          <cell r="F2443" t="str">
            <v>0005</v>
          </cell>
          <cell r="G2443">
            <v>9</v>
          </cell>
          <cell r="H2443">
            <v>32.31</v>
          </cell>
          <cell r="I2443">
            <v>1627.6662596920401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P2443">
            <v>1628</v>
          </cell>
          <cell r="V2443" t="str">
            <v>Available</v>
          </cell>
        </row>
        <row r="2444">
          <cell r="A2444" t="str">
            <v>101101580006</v>
          </cell>
          <cell r="B2444" t="str">
            <v>Sahibpur Kamal</v>
          </cell>
          <cell r="C2444" t="str">
            <v>Sahibpur Kamal</v>
          </cell>
          <cell r="D2444" t="str">
            <v>GOMUKH CHOWKI 2</v>
          </cell>
          <cell r="E2444">
            <v>10110158</v>
          </cell>
          <cell r="F2444" t="str">
            <v>0006</v>
          </cell>
          <cell r="G2444">
            <v>12</v>
          </cell>
          <cell r="H2444">
            <v>869.16000000000008</v>
          </cell>
          <cell r="I2444">
            <v>33065.149624056001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P2444">
            <v>33065</v>
          </cell>
          <cell r="V2444" t="str">
            <v>Available</v>
          </cell>
        </row>
        <row r="2445">
          <cell r="A2445" t="str">
            <v>101101580007</v>
          </cell>
          <cell r="B2445" t="str">
            <v>Sahibpur Kamal</v>
          </cell>
          <cell r="C2445" t="str">
            <v>Sahibpur Kamal</v>
          </cell>
          <cell r="D2445" t="str">
            <v>GOMUKH CHOWKI 2</v>
          </cell>
          <cell r="E2445">
            <v>10110158</v>
          </cell>
          <cell r="F2445" t="str">
            <v>0007</v>
          </cell>
          <cell r="G2445">
            <v>10</v>
          </cell>
          <cell r="H2445">
            <v>57.32</v>
          </cell>
          <cell r="I2445">
            <v>2137.7580143040004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P2445">
            <v>2138</v>
          </cell>
          <cell r="V2445" t="str">
            <v>Available</v>
          </cell>
        </row>
        <row r="2446">
          <cell r="A2446" t="str">
            <v>101101580008</v>
          </cell>
          <cell r="B2446" t="str">
            <v>Sahibpur Kamal</v>
          </cell>
          <cell r="C2446" t="str">
            <v>Sahibpur Kamal</v>
          </cell>
          <cell r="D2446" t="str">
            <v>GOMUKH CHOWKI 2</v>
          </cell>
          <cell r="E2446">
            <v>10110158</v>
          </cell>
          <cell r="F2446" t="str">
            <v>0008</v>
          </cell>
          <cell r="G2446">
            <v>14</v>
          </cell>
          <cell r="H2446">
            <v>68.45999999999998</v>
          </cell>
          <cell r="I2446">
            <v>2715.04489212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P2446">
            <v>2715</v>
          </cell>
          <cell r="V2446" t="str">
            <v>Available</v>
          </cell>
        </row>
        <row r="2447">
          <cell r="A2447" t="str">
            <v>101101580009</v>
          </cell>
          <cell r="B2447" t="str">
            <v>Sahibpur Kamal</v>
          </cell>
          <cell r="C2447" t="str">
            <v>Sahibpur Kamal</v>
          </cell>
          <cell r="D2447" t="str">
            <v>GOMUKH CHOWKI 2</v>
          </cell>
          <cell r="E2447">
            <v>10110158</v>
          </cell>
          <cell r="F2447" t="str">
            <v>0009</v>
          </cell>
          <cell r="G2447">
            <v>6</v>
          </cell>
          <cell r="H2447">
            <v>10.899999999999999</v>
          </cell>
          <cell r="I2447">
            <v>422.20092103200005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P2447">
            <v>422</v>
          </cell>
          <cell r="V2447" t="str">
            <v>Available</v>
          </cell>
        </row>
        <row r="2448">
          <cell r="A2448" t="str">
            <v>101101580011</v>
          </cell>
          <cell r="B2448" t="str">
            <v>Sahibpur Kamal</v>
          </cell>
          <cell r="C2448" t="str">
            <v>Sahibpur Kamal</v>
          </cell>
          <cell r="D2448" t="str">
            <v>GOMUKH CHOWKI 2</v>
          </cell>
          <cell r="E2448">
            <v>10110158</v>
          </cell>
          <cell r="F2448" t="str">
            <v>0011</v>
          </cell>
          <cell r="G2448">
            <v>10</v>
          </cell>
          <cell r="H2448">
            <v>727.95999999999992</v>
          </cell>
          <cell r="I2448">
            <v>27620.788003775997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P2448">
            <v>27621</v>
          </cell>
          <cell r="V2448" t="str">
            <v>Available</v>
          </cell>
        </row>
        <row r="2449">
          <cell r="A2449" t="str">
            <v>101101580012</v>
          </cell>
          <cell r="B2449" t="str">
            <v>Sahibpur Kamal</v>
          </cell>
          <cell r="C2449" t="str">
            <v>Sahibpur Kamal</v>
          </cell>
          <cell r="D2449" t="str">
            <v>GOMUKH CHOWKI 2</v>
          </cell>
          <cell r="E2449">
            <v>10110158</v>
          </cell>
          <cell r="F2449" t="str">
            <v>0012</v>
          </cell>
          <cell r="G2449">
            <v>14</v>
          </cell>
          <cell r="H2449">
            <v>62.88000000000001</v>
          </cell>
          <cell r="I2449">
            <v>4038.2896572746004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P2449">
            <v>4038</v>
          </cell>
          <cell r="V2449" t="str">
            <v>Available</v>
          </cell>
        </row>
        <row r="2450">
          <cell r="A2450" t="str">
            <v>101101580013</v>
          </cell>
          <cell r="B2450" t="str">
            <v>Sahibpur Kamal</v>
          </cell>
          <cell r="C2450" t="str">
            <v>Sahibpur Kamal</v>
          </cell>
          <cell r="D2450" t="str">
            <v>GOMUKH CHOWKI 2</v>
          </cell>
          <cell r="E2450">
            <v>10110158</v>
          </cell>
          <cell r="F2450" t="str">
            <v>0013</v>
          </cell>
          <cell r="G2450">
            <v>11</v>
          </cell>
          <cell r="H2450">
            <v>21.44</v>
          </cell>
          <cell r="I2450">
            <v>1492.7698804709999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P2450">
            <v>1493</v>
          </cell>
          <cell r="V2450" t="str">
            <v>Available</v>
          </cell>
        </row>
        <row r="2451">
          <cell r="A2451" t="str">
            <v>101101580014</v>
          </cell>
          <cell r="B2451" t="str">
            <v>Sahibpur Kamal</v>
          </cell>
          <cell r="C2451" t="str">
            <v>Sahibpur Kamal</v>
          </cell>
          <cell r="D2451" t="str">
            <v>GOMUKH CHOWKI 2</v>
          </cell>
          <cell r="E2451">
            <v>10110158</v>
          </cell>
          <cell r="F2451" t="str">
            <v>0014</v>
          </cell>
          <cell r="G2451">
            <v>10</v>
          </cell>
          <cell r="H2451">
            <v>322.04000000000008</v>
          </cell>
          <cell r="I2451">
            <v>11922.813277848003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P2451">
            <v>11923</v>
          </cell>
          <cell r="V2451" t="str">
            <v>Available</v>
          </cell>
        </row>
        <row r="2452">
          <cell r="A2452" t="str">
            <v>101101580016</v>
          </cell>
          <cell r="B2452" t="str">
            <v>Sahibpur Kamal</v>
          </cell>
          <cell r="C2452" t="str">
            <v>Sahibpur Kamal</v>
          </cell>
          <cell r="D2452" t="str">
            <v>GOMUKH CHOWKI 2</v>
          </cell>
          <cell r="E2452">
            <v>10110158</v>
          </cell>
          <cell r="F2452" t="str">
            <v>0016</v>
          </cell>
          <cell r="G2452">
            <v>14</v>
          </cell>
          <cell r="H2452">
            <v>92.4</v>
          </cell>
          <cell r="I2452">
            <v>4056.2673267272003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P2452">
            <v>4056</v>
          </cell>
          <cell r="V2452" t="str">
            <v>Available</v>
          </cell>
        </row>
        <row r="2453">
          <cell r="A2453" t="str">
            <v>101101580018</v>
          </cell>
          <cell r="B2453" t="str">
            <v>Sahibpur Kamal</v>
          </cell>
          <cell r="C2453" t="str">
            <v>Sahibpur Kamal</v>
          </cell>
          <cell r="D2453" t="str">
            <v>GOMUKH CHOWKI 2</v>
          </cell>
          <cell r="E2453">
            <v>10110158</v>
          </cell>
          <cell r="F2453" t="str">
            <v>0018</v>
          </cell>
          <cell r="G2453">
            <v>10</v>
          </cell>
          <cell r="H2453">
            <v>331.35999999999996</v>
          </cell>
          <cell r="I2453">
            <v>12378.937249008002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P2453">
            <v>11949</v>
          </cell>
          <cell r="V2453" t="str">
            <v>Available</v>
          </cell>
        </row>
        <row r="2454">
          <cell r="A2454" t="str">
            <v>101101580019</v>
          </cell>
          <cell r="B2454" t="str">
            <v>Sahibpur Kamal</v>
          </cell>
          <cell r="C2454" t="str">
            <v>Sahibpur Kamal</v>
          </cell>
          <cell r="D2454" t="str">
            <v>GOMUKH CHOWKI 2</v>
          </cell>
          <cell r="E2454">
            <v>10110158</v>
          </cell>
          <cell r="F2454" t="str">
            <v>0019</v>
          </cell>
          <cell r="G2454">
            <v>11</v>
          </cell>
          <cell r="H2454">
            <v>82.179999999999978</v>
          </cell>
          <cell r="I2454">
            <v>3188.0277093578998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P2454">
            <v>3188</v>
          </cell>
          <cell r="V2454" t="str">
            <v>Not Available</v>
          </cell>
        </row>
        <row r="2455">
          <cell r="A2455" t="str">
            <v>101101580023</v>
          </cell>
          <cell r="B2455" t="str">
            <v>Sahibpur Kamal</v>
          </cell>
          <cell r="C2455" t="str">
            <v>Sahibpur Kamal</v>
          </cell>
          <cell r="D2455" t="str">
            <v>GOMUKH CHOWKI 2</v>
          </cell>
          <cell r="E2455">
            <v>10110158</v>
          </cell>
          <cell r="F2455" t="str">
            <v>0023</v>
          </cell>
          <cell r="G2455">
            <v>12</v>
          </cell>
          <cell r="H2455">
            <v>90.500000000000014</v>
          </cell>
          <cell r="I2455">
            <v>3654.9492210000003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P2455">
            <v>3655</v>
          </cell>
          <cell r="V2455" t="str">
            <v>Available</v>
          </cell>
        </row>
        <row r="2456">
          <cell r="A2456" t="str">
            <v>101101580025</v>
          </cell>
          <cell r="B2456" t="str">
            <v>Sahibpur Kamal</v>
          </cell>
          <cell r="C2456" t="str">
            <v>Sahibpur Kamal</v>
          </cell>
          <cell r="D2456" t="str">
            <v>GOMUKH CHOWKI 2</v>
          </cell>
          <cell r="E2456">
            <v>10110158</v>
          </cell>
          <cell r="F2456" t="str">
            <v>0025</v>
          </cell>
          <cell r="G2456">
            <v>10</v>
          </cell>
          <cell r="H2456">
            <v>171.51999999999998</v>
          </cell>
          <cell r="I2456">
            <v>6688.838212949001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P2456">
            <v>6689</v>
          </cell>
          <cell r="V2456" t="str">
            <v>Not Available</v>
          </cell>
        </row>
        <row r="2457">
          <cell r="A2457" t="str">
            <v>101101580026</v>
          </cell>
          <cell r="B2457" t="str">
            <v>Sahibpur Kamal</v>
          </cell>
          <cell r="C2457" t="str">
            <v>Sahibpur Kamal</v>
          </cell>
          <cell r="D2457" t="str">
            <v>GOMUKH CHOWKI 2</v>
          </cell>
          <cell r="E2457">
            <v>10110158</v>
          </cell>
          <cell r="F2457" t="str">
            <v>0026</v>
          </cell>
          <cell r="G2457">
            <v>5</v>
          </cell>
          <cell r="H2457">
            <v>92.7</v>
          </cell>
          <cell r="I2457">
            <v>3365.8134317280001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P2457">
            <v>3066</v>
          </cell>
          <cell r="V2457" t="str">
            <v>Available</v>
          </cell>
        </row>
        <row r="2458">
          <cell r="A2458" t="str">
            <v>101101580028</v>
          </cell>
          <cell r="B2458" t="str">
            <v>Sahibpur Kamal</v>
          </cell>
          <cell r="C2458" t="str">
            <v>Sahibpur Kamal</v>
          </cell>
          <cell r="D2458" t="str">
            <v>GOMUKH CHOWKI 2</v>
          </cell>
          <cell r="E2458">
            <v>10110158</v>
          </cell>
          <cell r="F2458" t="str">
            <v>0028</v>
          </cell>
          <cell r="G2458">
            <v>10</v>
          </cell>
          <cell r="H2458">
            <v>20.28</v>
          </cell>
          <cell r="I2458">
            <v>972.01262199360008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P2458">
            <v>972</v>
          </cell>
          <cell r="V2458" t="str">
            <v>Not Available</v>
          </cell>
        </row>
        <row r="2459">
          <cell r="A2459" t="str">
            <v>101101580029</v>
          </cell>
          <cell r="B2459" t="str">
            <v>Sahibpur Kamal</v>
          </cell>
          <cell r="C2459" t="str">
            <v>Sahibpur Kamal</v>
          </cell>
          <cell r="D2459" t="str">
            <v>GOMUKH CHOWKI 2</v>
          </cell>
          <cell r="E2459">
            <v>10110158</v>
          </cell>
          <cell r="F2459" t="str">
            <v>0029</v>
          </cell>
          <cell r="G2459">
            <v>9</v>
          </cell>
          <cell r="H2459">
            <v>93.299999999999983</v>
          </cell>
          <cell r="I2459">
            <v>3533.381488296001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P2459">
            <v>3533</v>
          </cell>
          <cell r="V2459" t="str">
            <v>Available</v>
          </cell>
        </row>
        <row r="2460">
          <cell r="A2460" t="str">
            <v>101101580030</v>
          </cell>
          <cell r="B2460" t="str">
            <v>Sahibpur Kamal</v>
          </cell>
          <cell r="C2460" t="str">
            <v>Sahibpur Kamal</v>
          </cell>
          <cell r="D2460" t="str">
            <v>GOMUKH CHOWKI 2</v>
          </cell>
          <cell r="E2460">
            <v>10110158</v>
          </cell>
          <cell r="F2460" t="str">
            <v>0030</v>
          </cell>
          <cell r="G2460">
            <v>9</v>
          </cell>
          <cell r="H2460">
            <v>27.319999999999997</v>
          </cell>
          <cell r="I2460">
            <v>1163.6686211076001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P2460">
            <v>1164</v>
          </cell>
          <cell r="V2460" t="str">
            <v>Available</v>
          </cell>
        </row>
        <row r="2461">
          <cell r="A2461" t="str">
            <v>101101580033</v>
          </cell>
          <cell r="B2461" t="str">
            <v>Sahibpur Kamal</v>
          </cell>
          <cell r="C2461" t="str">
            <v>Sahibpur Kamal</v>
          </cell>
          <cell r="D2461" t="str">
            <v>GOMUKH CHOWKI 2</v>
          </cell>
          <cell r="E2461">
            <v>10110158</v>
          </cell>
          <cell r="F2461" t="str">
            <v>0033</v>
          </cell>
          <cell r="G2461">
            <v>11</v>
          </cell>
          <cell r="H2461">
            <v>35.32</v>
          </cell>
          <cell r="I2461">
            <v>1238.4407122559999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P2461">
            <v>1238</v>
          </cell>
          <cell r="V2461" t="str">
            <v>Available</v>
          </cell>
        </row>
        <row r="2462">
          <cell r="A2462" t="str">
            <v>101101580034</v>
          </cell>
          <cell r="B2462" t="str">
            <v>Sahibpur Kamal</v>
          </cell>
          <cell r="C2462" t="str">
            <v>Sahibpur Kamal</v>
          </cell>
          <cell r="D2462" t="str">
            <v>GOMUKH CHOWKI 2</v>
          </cell>
          <cell r="E2462">
            <v>10110158</v>
          </cell>
          <cell r="F2462" t="str">
            <v>0034</v>
          </cell>
          <cell r="G2462">
            <v>13</v>
          </cell>
          <cell r="H2462">
            <v>25.240000000000002</v>
          </cell>
          <cell r="I2462">
            <v>940.71732717600014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P2462">
            <v>941</v>
          </cell>
          <cell r="V2462" t="str">
            <v>Available</v>
          </cell>
        </row>
        <row r="2463">
          <cell r="A2463" t="str">
            <v>101101580036</v>
          </cell>
          <cell r="B2463" t="str">
            <v>Sahibpur Kamal</v>
          </cell>
          <cell r="C2463" t="str">
            <v>Sahibpur Kamal</v>
          </cell>
          <cell r="D2463" t="str">
            <v>GOMUKH CHOWKI 2</v>
          </cell>
          <cell r="E2463">
            <v>10110158</v>
          </cell>
          <cell r="F2463" t="str">
            <v>0036</v>
          </cell>
          <cell r="G2463">
            <v>5</v>
          </cell>
          <cell r="H2463">
            <v>12.08</v>
          </cell>
          <cell r="I2463">
            <v>728.96545881444013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P2463">
            <v>729</v>
          </cell>
          <cell r="V2463" t="str">
            <v>Available</v>
          </cell>
        </row>
        <row r="2464">
          <cell r="A2464" t="str">
            <v>101101580038</v>
          </cell>
          <cell r="B2464" t="str">
            <v>Sahibpur Kamal</v>
          </cell>
          <cell r="C2464" t="str">
            <v>Sahibpur Kamal</v>
          </cell>
          <cell r="D2464" t="str">
            <v>GOMUKH CHOWKI 2</v>
          </cell>
          <cell r="E2464">
            <v>10110158</v>
          </cell>
          <cell r="F2464" t="str">
            <v>0038</v>
          </cell>
          <cell r="G2464">
            <v>12</v>
          </cell>
          <cell r="H2464">
            <v>31.32</v>
          </cell>
          <cell r="I2464">
            <v>1300.8397010400004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P2464">
            <v>1301</v>
          </cell>
          <cell r="V2464" t="str">
            <v>Available</v>
          </cell>
        </row>
        <row r="2465">
          <cell r="A2465" t="str">
            <v>101101580039</v>
          </cell>
          <cell r="B2465" t="str">
            <v>Sahibpur Kamal</v>
          </cell>
          <cell r="C2465" t="str">
            <v>Sahibpur Kamal</v>
          </cell>
          <cell r="D2465" t="str">
            <v>GOMUKH CHOWKI 2</v>
          </cell>
          <cell r="E2465">
            <v>10110158</v>
          </cell>
          <cell r="F2465" t="str">
            <v>0039</v>
          </cell>
          <cell r="G2465">
            <v>12</v>
          </cell>
          <cell r="H2465">
            <v>87.779999999999987</v>
          </cell>
          <cell r="I2465">
            <v>3320.3676013199997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P2465">
            <v>3320</v>
          </cell>
          <cell r="V2465" t="str">
            <v>Available</v>
          </cell>
        </row>
        <row r="2466">
          <cell r="A2466" t="str">
            <v>101101580040</v>
          </cell>
          <cell r="B2466" t="str">
            <v>Sahibpur Kamal</v>
          </cell>
          <cell r="C2466" t="str">
            <v>Sahibpur Kamal</v>
          </cell>
          <cell r="D2466" t="str">
            <v>GOMUKH CHOWKI 2</v>
          </cell>
          <cell r="E2466">
            <v>10110158</v>
          </cell>
          <cell r="F2466" t="str">
            <v>0040</v>
          </cell>
          <cell r="G2466">
            <v>13</v>
          </cell>
          <cell r="H2466">
            <v>31.72</v>
          </cell>
          <cell r="I2466">
            <v>1316.4029033760003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P2466">
            <v>1316</v>
          </cell>
          <cell r="V2466" t="str">
            <v>Available</v>
          </cell>
        </row>
        <row r="2467">
          <cell r="A2467" t="str">
            <v>101101580041</v>
          </cell>
          <cell r="B2467" t="str">
            <v>Sahibpur Kamal</v>
          </cell>
          <cell r="C2467" t="str">
            <v>Sahibpur Kamal</v>
          </cell>
          <cell r="D2467" t="str">
            <v>GOMUKH CHOWKI 2</v>
          </cell>
          <cell r="E2467">
            <v>10110158</v>
          </cell>
          <cell r="F2467" t="str">
            <v>0041</v>
          </cell>
          <cell r="G2467">
            <v>13</v>
          </cell>
          <cell r="H2467">
            <v>32.840000000000003</v>
          </cell>
          <cell r="I2467">
            <v>1228.6000987920002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P2467">
            <v>1229</v>
          </cell>
          <cell r="V2467" t="str">
            <v>Available</v>
          </cell>
        </row>
        <row r="2468">
          <cell r="A2468" t="str">
            <v>101101580042</v>
          </cell>
          <cell r="B2468" t="str">
            <v>Sahibpur Kamal</v>
          </cell>
          <cell r="C2468" t="str">
            <v>Sahibpur Kamal</v>
          </cell>
          <cell r="D2468" t="str">
            <v>GOMUKH CHOWKI 2</v>
          </cell>
          <cell r="E2468">
            <v>10110158</v>
          </cell>
          <cell r="F2468" t="str">
            <v>0042</v>
          </cell>
          <cell r="G2468">
            <v>10</v>
          </cell>
          <cell r="H2468">
            <v>26.94</v>
          </cell>
          <cell r="I2468">
            <v>1054.3930879679999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P2468">
            <v>1054</v>
          </cell>
          <cell r="V2468" t="str">
            <v>Available</v>
          </cell>
        </row>
        <row r="2469">
          <cell r="A2469" t="str">
            <v>101101590001</v>
          </cell>
          <cell r="B2469" t="str">
            <v>Sahibpur Kamal</v>
          </cell>
          <cell r="C2469" t="str">
            <v>Sahibpur Kamal</v>
          </cell>
          <cell r="D2469" t="str">
            <v>GOMUKH MOHABA</v>
          </cell>
          <cell r="E2469">
            <v>10110159</v>
          </cell>
          <cell r="F2469" t="str">
            <v>0001</v>
          </cell>
          <cell r="G2469">
            <v>14</v>
          </cell>
          <cell r="H2469">
            <v>2.8000000000000003</v>
          </cell>
          <cell r="I2469">
            <v>106.26309144000004</v>
          </cell>
          <cell r="J2469">
            <v>0</v>
          </cell>
          <cell r="K2469">
            <v>106.26309144000004</v>
          </cell>
          <cell r="L2469">
            <v>0</v>
          </cell>
          <cell r="M2469">
            <v>0</v>
          </cell>
          <cell r="P2469">
            <v>0</v>
          </cell>
          <cell r="V2469" t="str">
            <v>Not Available</v>
          </cell>
        </row>
        <row r="2470">
          <cell r="A2470" t="str">
            <v>101101590002</v>
          </cell>
          <cell r="B2470" t="str">
            <v>Sahibpur Kamal</v>
          </cell>
          <cell r="C2470" t="str">
            <v>Sahibpur Kamal</v>
          </cell>
          <cell r="D2470" t="str">
            <v>GOMUKH MOHABA</v>
          </cell>
          <cell r="E2470">
            <v>10110159</v>
          </cell>
          <cell r="F2470" t="str">
            <v>0002</v>
          </cell>
          <cell r="G2470">
            <v>14</v>
          </cell>
          <cell r="H2470">
            <v>427.4</v>
          </cell>
          <cell r="I2470">
            <v>16080.961089599999</v>
          </cell>
          <cell r="J2470">
            <v>0</v>
          </cell>
          <cell r="K2470">
            <v>0</v>
          </cell>
          <cell r="L2470">
            <v>309</v>
          </cell>
          <cell r="M2470">
            <v>0</v>
          </cell>
          <cell r="P2470">
            <v>15772</v>
          </cell>
          <cell r="V2470" t="str">
            <v>Available</v>
          </cell>
        </row>
        <row r="2471">
          <cell r="A2471" t="str">
            <v>101101590005</v>
          </cell>
          <cell r="B2471" t="str">
            <v>Sahibpur Kamal</v>
          </cell>
          <cell r="C2471" t="str">
            <v>Sahibpur Kamal</v>
          </cell>
          <cell r="D2471" t="str">
            <v>GOMUKH MOHABA</v>
          </cell>
          <cell r="E2471">
            <v>10110159</v>
          </cell>
          <cell r="F2471" t="str">
            <v>0005</v>
          </cell>
          <cell r="G2471">
            <v>14</v>
          </cell>
          <cell r="H2471">
            <v>313</v>
          </cell>
          <cell r="I2471">
            <v>11791.772982000002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P2471">
            <v>11792</v>
          </cell>
          <cell r="V2471" t="str">
            <v>Available</v>
          </cell>
        </row>
        <row r="2472">
          <cell r="A2472" t="str">
            <v>101101590006</v>
          </cell>
          <cell r="B2472" t="str">
            <v>Sahibpur Kamal</v>
          </cell>
          <cell r="C2472" t="str">
            <v>Sahibpur Kamal</v>
          </cell>
          <cell r="D2472" t="str">
            <v>GOMUKH MOHABA</v>
          </cell>
          <cell r="E2472">
            <v>10110159</v>
          </cell>
          <cell r="F2472" t="str">
            <v>0006</v>
          </cell>
          <cell r="G2472">
            <v>14</v>
          </cell>
          <cell r="H2472">
            <v>381</v>
          </cell>
          <cell r="I2472">
            <v>14336.675496000002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P2472">
            <v>14337</v>
          </cell>
          <cell r="V2472" t="str">
            <v>Available</v>
          </cell>
        </row>
        <row r="2473">
          <cell r="A2473" t="str">
            <v>101101590008</v>
          </cell>
          <cell r="B2473" t="str">
            <v>Sahibpur Kamal</v>
          </cell>
          <cell r="C2473" t="str">
            <v>Sahibpur Kamal</v>
          </cell>
          <cell r="D2473" t="str">
            <v>GOMUKH MOHABA</v>
          </cell>
          <cell r="E2473">
            <v>10110159</v>
          </cell>
          <cell r="F2473" t="str">
            <v>0008</v>
          </cell>
          <cell r="G2473">
            <v>14</v>
          </cell>
          <cell r="H2473">
            <v>101</v>
          </cell>
          <cell r="I2473">
            <v>3821.6431836000011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P2473">
            <v>3822</v>
          </cell>
          <cell r="V2473" t="str">
            <v>Not Available</v>
          </cell>
        </row>
        <row r="2474">
          <cell r="A2474" t="str">
            <v>101101590009</v>
          </cell>
          <cell r="B2474" t="str">
            <v>Sahibpur Kamal</v>
          </cell>
          <cell r="C2474" t="str">
            <v>Sahibpur Kamal</v>
          </cell>
          <cell r="D2474" t="str">
            <v>GOMUKH MOHABA</v>
          </cell>
          <cell r="E2474">
            <v>10110159</v>
          </cell>
          <cell r="F2474" t="str">
            <v>0009</v>
          </cell>
          <cell r="G2474">
            <v>14</v>
          </cell>
          <cell r="H2474">
            <v>108</v>
          </cell>
          <cell r="I2474">
            <v>4089.8752488000005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P2474">
            <v>4090</v>
          </cell>
          <cell r="V2474" t="str">
            <v>Not Available</v>
          </cell>
        </row>
        <row r="2475">
          <cell r="A2475" t="str">
            <v>101101590010</v>
          </cell>
          <cell r="B2475" t="str">
            <v>Sahibpur Kamal</v>
          </cell>
          <cell r="C2475" t="str">
            <v>Sahibpur Kamal</v>
          </cell>
          <cell r="D2475" t="str">
            <v>GOMUKH MOHABA</v>
          </cell>
          <cell r="E2475">
            <v>10110159</v>
          </cell>
          <cell r="F2475" t="str">
            <v>0010</v>
          </cell>
          <cell r="G2475">
            <v>14</v>
          </cell>
          <cell r="H2475">
            <v>87</v>
          </cell>
          <cell r="I2475">
            <v>3295.6080300000008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P2475">
            <v>3296</v>
          </cell>
          <cell r="V2475" t="str">
            <v>Not Available</v>
          </cell>
        </row>
        <row r="2476">
          <cell r="A2476" t="str">
            <v>101101590011</v>
          </cell>
          <cell r="B2476" t="str">
            <v>Sahibpur Kamal</v>
          </cell>
          <cell r="C2476" t="str">
            <v>Sahibpur Kamal</v>
          </cell>
          <cell r="D2476" t="str">
            <v>GOMUKH MOHABA</v>
          </cell>
          <cell r="E2476">
            <v>10110159</v>
          </cell>
          <cell r="F2476" t="str">
            <v>0011</v>
          </cell>
          <cell r="G2476">
            <v>14</v>
          </cell>
          <cell r="H2476">
            <v>77</v>
          </cell>
          <cell r="I2476">
            <v>2910.1568760000005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P2476">
            <v>2910</v>
          </cell>
          <cell r="V2476" t="str">
            <v>Not Available</v>
          </cell>
        </row>
        <row r="2477">
          <cell r="A2477" t="str">
            <v>101101640002</v>
          </cell>
          <cell r="B2477" t="str">
            <v>Sahibpur Kamal</v>
          </cell>
          <cell r="C2477" t="str">
            <v>Sahibpur Kamal</v>
          </cell>
          <cell r="D2477" t="str">
            <v>GOMUKH JANGLITOL</v>
          </cell>
          <cell r="E2477">
            <v>10110164</v>
          </cell>
          <cell r="F2477" t="str">
            <v>0002</v>
          </cell>
          <cell r="G2477">
            <v>1</v>
          </cell>
          <cell r="H2477">
            <v>7</v>
          </cell>
          <cell r="I2477">
            <v>298.45985400000006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P2477">
            <v>298</v>
          </cell>
          <cell r="V2477" t="str">
            <v>Available</v>
          </cell>
        </row>
        <row r="2478">
          <cell r="A2478" t="str">
            <v>101101640003</v>
          </cell>
          <cell r="B2478" t="str">
            <v>Sahibpur Kamal</v>
          </cell>
          <cell r="C2478" t="str">
            <v>Sahibpur Kamal</v>
          </cell>
          <cell r="D2478" t="str">
            <v>GOMUKH JANGLITOL</v>
          </cell>
          <cell r="E2478">
            <v>10110164</v>
          </cell>
          <cell r="F2478" t="str">
            <v>0003</v>
          </cell>
          <cell r="G2478">
            <v>1</v>
          </cell>
          <cell r="H2478">
            <v>99</v>
          </cell>
          <cell r="I2478">
            <v>4221.0750780000008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P2478">
            <v>4221</v>
          </cell>
          <cell r="V2478" t="str">
            <v>Available</v>
          </cell>
        </row>
        <row r="2479">
          <cell r="A2479" t="str">
            <v>101101640004</v>
          </cell>
          <cell r="B2479" t="str">
            <v>Sahibpur Kamal</v>
          </cell>
          <cell r="C2479" t="str">
            <v>Sahibpur Kamal</v>
          </cell>
          <cell r="D2479" t="str">
            <v>GOMUKH JANGLITOL</v>
          </cell>
          <cell r="E2479">
            <v>10110164</v>
          </cell>
          <cell r="F2479" t="str">
            <v>0004</v>
          </cell>
          <cell r="G2479">
            <v>1</v>
          </cell>
          <cell r="H2479">
            <v>73</v>
          </cell>
          <cell r="I2479">
            <v>3112.5099060000002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P2479">
            <v>3113</v>
          </cell>
          <cell r="V2479" t="str">
            <v>Available</v>
          </cell>
        </row>
        <row r="2480">
          <cell r="A2480" t="str">
            <v>101101640005</v>
          </cell>
          <cell r="B2480" t="str">
            <v>Sahibpur Kamal</v>
          </cell>
          <cell r="C2480" t="str">
            <v>Sahibpur Kamal</v>
          </cell>
          <cell r="D2480" t="str">
            <v>GOMUKH JANGLITOL</v>
          </cell>
          <cell r="E2480">
            <v>10110164</v>
          </cell>
          <cell r="F2480" t="str">
            <v>0005</v>
          </cell>
          <cell r="G2480">
            <v>1</v>
          </cell>
          <cell r="H2480">
            <v>82</v>
          </cell>
          <cell r="I2480">
            <v>3496.2440040000006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P2480">
            <v>3496</v>
          </cell>
          <cell r="V2480" t="str">
            <v>Available</v>
          </cell>
        </row>
        <row r="2481">
          <cell r="A2481" t="str">
            <v>101101670002</v>
          </cell>
          <cell r="B2481" t="str">
            <v>Sahibpur Kamal</v>
          </cell>
          <cell r="C2481" t="str">
            <v>Sahibpur Kamal</v>
          </cell>
          <cell r="D2481" t="str">
            <v xml:space="preserve">Gomukh Raghunathpur 2 </v>
          </cell>
          <cell r="E2481">
            <v>10110167</v>
          </cell>
          <cell r="F2481" t="str">
            <v>0002</v>
          </cell>
          <cell r="G2481">
            <v>7</v>
          </cell>
          <cell r="H2481">
            <v>48.500000000000007</v>
          </cell>
          <cell r="I2481">
            <v>1922.1046772400002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P2481">
            <v>1809</v>
          </cell>
          <cell r="V2481" t="str">
            <v>Available</v>
          </cell>
        </row>
        <row r="2482">
          <cell r="A2482" t="str">
            <v>101101680001</v>
          </cell>
          <cell r="B2482" t="str">
            <v>Sahibpur Kamal</v>
          </cell>
          <cell r="C2482" t="str">
            <v>Sahibpur Kamal</v>
          </cell>
          <cell r="D2482" t="str">
            <v>GOMUKH BARBIGHI</v>
          </cell>
          <cell r="E2482">
            <v>10110168</v>
          </cell>
          <cell r="F2482" t="str">
            <v>0001</v>
          </cell>
          <cell r="G2482">
            <v>11</v>
          </cell>
          <cell r="H2482">
            <v>4.6999999999999993</v>
          </cell>
          <cell r="I2482">
            <v>178.57474272000002</v>
          </cell>
          <cell r="J2482">
            <v>0</v>
          </cell>
          <cell r="K2482">
            <v>178.57474272000002</v>
          </cell>
          <cell r="L2482">
            <v>0</v>
          </cell>
          <cell r="M2482">
            <v>0</v>
          </cell>
          <cell r="P2482">
            <v>0</v>
          </cell>
          <cell r="V2482" t="str">
            <v>Not Available</v>
          </cell>
        </row>
        <row r="2483">
          <cell r="A2483" t="str">
            <v>101101680002</v>
          </cell>
          <cell r="B2483" t="str">
            <v>Sahibpur Kamal</v>
          </cell>
          <cell r="C2483" t="str">
            <v>Sahibpur Kamal</v>
          </cell>
          <cell r="D2483" t="str">
            <v>GOMUKH BARBIGHI</v>
          </cell>
          <cell r="E2483">
            <v>10110168</v>
          </cell>
          <cell r="F2483" t="str">
            <v>0002</v>
          </cell>
          <cell r="G2483">
            <v>11</v>
          </cell>
          <cell r="H2483">
            <v>1089.9000000000001</v>
          </cell>
          <cell r="I2483">
            <v>41006.950007760002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P2483">
            <v>41007</v>
          </cell>
          <cell r="V2483" t="str">
            <v>Available</v>
          </cell>
        </row>
        <row r="2484">
          <cell r="A2484" t="str">
            <v>101101680003</v>
          </cell>
          <cell r="B2484" t="str">
            <v>Sahibpur Kamal</v>
          </cell>
          <cell r="C2484" t="str">
            <v>Sahibpur Kamal</v>
          </cell>
          <cell r="D2484" t="str">
            <v>GOMUKH BARBIGHI</v>
          </cell>
          <cell r="E2484">
            <v>10110168</v>
          </cell>
          <cell r="F2484" t="str">
            <v>0003</v>
          </cell>
          <cell r="G2484">
            <v>11</v>
          </cell>
          <cell r="H2484">
            <v>448.59999999999997</v>
          </cell>
          <cell r="I2484">
            <v>17139.492829800005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P2484">
            <v>17139</v>
          </cell>
          <cell r="V2484" t="str">
            <v>Available</v>
          </cell>
        </row>
        <row r="2485">
          <cell r="A2485" t="str">
            <v>101101720003</v>
          </cell>
          <cell r="B2485" t="str">
            <v>Sahibpur Kamal</v>
          </cell>
          <cell r="C2485" t="str">
            <v>Sahibpur Kamal</v>
          </cell>
          <cell r="D2485" t="str">
            <v>Dandari-2</v>
          </cell>
          <cell r="E2485">
            <v>10110172</v>
          </cell>
          <cell r="F2485" t="str">
            <v>0003</v>
          </cell>
          <cell r="G2485">
            <v>9</v>
          </cell>
          <cell r="H2485">
            <v>296</v>
          </cell>
          <cell r="I2485">
            <v>10491.075878382002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P2485">
            <v>10491</v>
          </cell>
          <cell r="V2485" t="str">
            <v>Available</v>
          </cell>
        </row>
        <row r="2486">
          <cell r="A2486" t="str">
            <v>101101770001</v>
          </cell>
          <cell r="B2486" t="str">
            <v>Sahibpur Kamal</v>
          </cell>
          <cell r="C2486" t="str">
            <v>Sahibpur Kamal</v>
          </cell>
          <cell r="D2486" t="str">
            <v>Hardia</v>
          </cell>
          <cell r="E2486">
            <v>10110177</v>
          </cell>
          <cell r="F2486" t="str">
            <v>0001</v>
          </cell>
          <cell r="G2486">
            <v>14</v>
          </cell>
          <cell r="H2486">
            <v>8.9</v>
          </cell>
          <cell r="I2486">
            <v>393.2789416027</v>
          </cell>
          <cell r="J2486">
            <v>0</v>
          </cell>
          <cell r="K2486">
            <v>393.2789416027</v>
          </cell>
          <cell r="L2486">
            <v>0</v>
          </cell>
          <cell r="M2486">
            <v>0</v>
          </cell>
          <cell r="P2486">
            <v>0</v>
          </cell>
          <cell r="V2486" t="str">
            <v>Not Available</v>
          </cell>
        </row>
        <row r="2487">
          <cell r="A2487" t="str">
            <v>101101770002</v>
          </cell>
          <cell r="B2487" t="str">
            <v>Sahibpur Kamal</v>
          </cell>
          <cell r="C2487" t="str">
            <v>Sahibpur Kamal</v>
          </cell>
          <cell r="D2487" t="str">
            <v>Hardia</v>
          </cell>
          <cell r="E2487">
            <v>10110177</v>
          </cell>
          <cell r="F2487" t="str">
            <v>0002</v>
          </cell>
          <cell r="G2487">
            <v>14</v>
          </cell>
          <cell r="H2487">
            <v>493.10000000000008</v>
          </cell>
          <cell r="I2487">
            <v>21026.251180051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P2487">
            <v>21026</v>
          </cell>
          <cell r="V2487" t="str">
            <v>Available</v>
          </cell>
        </row>
        <row r="2488">
          <cell r="A2488" t="str">
            <v>101101770003</v>
          </cell>
          <cell r="B2488" t="str">
            <v>Sahibpur Kamal</v>
          </cell>
          <cell r="C2488" t="str">
            <v>Sahibpur Kamal</v>
          </cell>
          <cell r="D2488" t="str">
            <v>Hardia</v>
          </cell>
          <cell r="E2488">
            <v>10110177</v>
          </cell>
          <cell r="F2488" t="str">
            <v>0003</v>
          </cell>
          <cell r="G2488">
            <v>4</v>
          </cell>
          <cell r="H2488">
            <v>48.899999999999991</v>
          </cell>
          <cell r="I2488">
            <v>2059.7832894260005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P2488">
            <v>2060</v>
          </cell>
          <cell r="V2488" t="str">
            <v>Available</v>
          </cell>
        </row>
        <row r="2489">
          <cell r="A2489" t="str">
            <v>101101810002</v>
          </cell>
          <cell r="B2489" t="str">
            <v>Sahibpur Kamal</v>
          </cell>
          <cell r="C2489" t="str">
            <v>Sahibpur Kamal</v>
          </cell>
          <cell r="D2489" t="str">
            <v>Gomukh Mirjapur Bari</v>
          </cell>
          <cell r="E2489">
            <v>10110181</v>
          </cell>
          <cell r="F2489" t="str">
            <v>0002</v>
          </cell>
          <cell r="G2489">
            <v>6</v>
          </cell>
          <cell r="H2489">
            <v>67.7</v>
          </cell>
          <cell r="I2489">
            <v>2452.8619567980004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P2489">
            <v>2453</v>
          </cell>
          <cell r="V2489" t="str">
            <v>Available</v>
          </cell>
        </row>
        <row r="2490">
          <cell r="A2490" t="str">
            <v>101101860002</v>
          </cell>
          <cell r="B2490" t="str">
            <v>Sahibpur Kamal</v>
          </cell>
          <cell r="C2490" t="str">
            <v>Sahibpur Kamal</v>
          </cell>
          <cell r="D2490" t="str">
            <v>Farid Nagar</v>
          </cell>
          <cell r="E2490">
            <v>10110186</v>
          </cell>
          <cell r="F2490" t="str">
            <v>0002</v>
          </cell>
          <cell r="G2490">
            <v>1</v>
          </cell>
          <cell r="H2490">
            <v>156</v>
          </cell>
          <cell r="I2490">
            <v>5868.8867952000001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P2490">
            <v>5869</v>
          </cell>
          <cell r="V2490" t="str">
            <v>Available</v>
          </cell>
        </row>
        <row r="2491">
          <cell r="A2491" t="str">
            <v>101200050002</v>
          </cell>
          <cell r="B2491" t="str">
            <v>DalsinghSarai</v>
          </cell>
          <cell r="C2491" t="str">
            <v>DalsinghSarai</v>
          </cell>
          <cell r="D2491" t="str">
            <v>Gomukh Basadhiya Kurni</v>
          </cell>
          <cell r="E2491">
            <v>10120005</v>
          </cell>
          <cell r="F2491" t="str">
            <v>0002</v>
          </cell>
          <cell r="G2491">
            <v>8</v>
          </cell>
          <cell r="H2491">
            <v>13.960000000000003</v>
          </cell>
          <cell r="I2491">
            <v>459.20618472960001</v>
          </cell>
          <cell r="J2491">
            <v>0</v>
          </cell>
          <cell r="K2491">
            <v>0</v>
          </cell>
          <cell r="L2491">
            <v>459</v>
          </cell>
          <cell r="M2491">
            <v>0</v>
          </cell>
          <cell r="P2491">
            <v>0</v>
          </cell>
          <cell r="V2491" t="str">
            <v>Available</v>
          </cell>
        </row>
        <row r="2492">
          <cell r="A2492" t="str">
            <v>101200050003</v>
          </cell>
          <cell r="B2492" t="str">
            <v>DalsinghSarai</v>
          </cell>
          <cell r="C2492" t="str">
            <v>DalsinghSarai</v>
          </cell>
          <cell r="D2492" t="str">
            <v>Gomukh Basadhiya Kurni</v>
          </cell>
          <cell r="E2492">
            <v>10120005</v>
          </cell>
          <cell r="F2492" t="str">
            <v>0003</v>
          </cell>
          <cell r="G2492">
            <v>14</v>
          </cell>
          <cell r="H2492">
            <v>143.64000000000001</v>
          </cell>
          <cell r="I2492">
            <v>5578.5041541900009</v>
          </cell>
          <cell r="J2492">
            <v>0</v>
          </cell>
          <cell r="K2492">
            <v>0</v>
          </cell>
          <cell r="L2492">
            <v>368</v>
          </cell>
          <cell r="M2492">
            <v>0</v>
          </cell>
          <cell r="P2492">
            <v>5211</v>
          </cell>
          <cell r="V2492" t="str">
            <v>Available</v>
          </cell>
        </row>
        <row r="2493">
          <cell r="A2493" t="str">
            <v>101200050005</v>
          </cell>
          <cell r="B2493" t="str">
            <v>DalsinghSarai</v>
          </cell>
          <cell r="C2493" t="str">
            <v>DalsinghSarai</v>
          </cell>
          <cell r="D2493" t="str">
            <v>Gomukh Basadhiya Kurni</v>
          </cell>
          <cell r="E2493">
            <v>10120005</v>
          </cell>
          <cell r="F2493" t="str">
            <v>0005</v>
          </cell>
          <cell r="G2493">
            <v>14</v>
          </cell>
          <cell r="H2493">
            <v>102.67999999999999</v>
          </cell>
          <cell r="I2493">
            <v>3730.0937424497997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P2493">
            <v>3730</v>
          </cell>
          <cell r="V2493" t="str">
            <v>Available</v>
          </cell>
        </row>
        <row r="2494">
          <cell r="A2494" t="str">
            <v>101200050046</v>
          </cell>
          <cell r="B2494" t="str">
            <v>DalsinghSarai</v>
          </cell>
          <cell r="C2494" t="str">
            <v>DalsinghSarai</v>
          </cell>
          <cell r="D2494" t="str">
            <v>Gomukh Basadhiya Kurni</v>
          </cell>
          <cell r="E2494">
            <v>10120005</v>
          </cell>
          <cell r="F2494" t="str">
            <v>0046</v>
          </cell>
          <cell r="G2494">
            <v>14</v>
          </cell>
          <cell r="H2494">
            <v>136.36999999999998</v>
          </cell>
          <cell r="I2494">
            <v>5328.1134463905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P2494">
            <v>5328</v>
          </cell>
          <cell r="V2494" t="str">
            <v>Available</v>
          </cell>
        </row>
        <row r="2495">
          <cell r="A2495" t="str">
            <v>101200060001</v>
          </cell>
          <cell r="B2495" t="str">
            <v>DalsinghSarai</v>
          </cell>
          <cell r="C2495" t="str">
            <v>DalsinghSarai</v>
          </cell>
          <cell r="D2495" t="str">
            <v>KHAJURI</v>
          </cell>
          <cell r="E2495">
            <v>10120006</v>
          </cell>
          <cell r="F2495" t="str">
            <v>0001</v>
          </cell>
          <cell r="G2495">
            <v>10</v>
          </cell>
          <cell r="H2495">
            <v>4.7</v>
          </cell>
          <cell r="I2495">
            <v>167.02943756400003</v>
          </cell>
          <cell r="J2495">
            <v>0</v>
          </cell>
          <cell r="K2495">
            <v>167.02943756400003</v>
          </cell>
          <cell r="L2495">
            <v>0</v>
          </cell>
          <cell r="M2495">
            <v>0</v>
          </cell>
          <cell r="P2495">
            <v>0</v>
          </cell>
          <cell r="V2495" t="str">
            <v>Not Available</v>
          </cell>
        </row>
        <row r="2496">
          <cell r="A2496" t="str">
            <v>101200060002</v>
          </cell>
          <cell r="B2496" t="str">
            <v>DalsinghSarai</v>
          </cell>
          <cell r="C2496" t="str">
            <v>DalsinghSarai</v>
          </cell>
          <cell r="D2496" t="str">
            <v>KHAJURI</v>
          </cell>
          <cell r="E2496">
            <v>10120006</v>
          </cell>
          <cell r="F2496" t="str">
            <v>0002</v>
          </cell>
          <cell r="G2496">
            <v>13</v>
          </cell>
          <cell r="H2496">
            <v>80.769999999999982</v>
          </cell>
          <cell r="I2496">
            <v>2974.6173723304501</v>
          </cell>
          <cell r="J2496">
            <v>0</v>
          </cell>
          <cell r="K2496">
            <v>0</v>
          </cell>
          <cell r="L2496">
            <v>145</v>
          </cell>
          <cell r="M2496">
            <v>0</v>
          </cell>
          <cell r="P2496">
            <v>2830</v>
          </cell>
          <cell r="V2496" t="str">
            <v>Available</v>
          </cell>
        </row>
        <row r="2497">
          <cell r="A2497" t="str">
            <v>101200060003</v>
          </cell>
          <cell r="B2497" t="str">
            <v>DalsinghSarai</v>
          </cell>
          <cell r="C2497" t="str">
            <v>DalsinghSarai</v>
          </cell>
          <cell r="D2497" t="str">
            <v>KHAJURI</v>
          </cell>
          <cell r="E2497">
            <v>10120006</v>
          </cell>
          <cell r="F2497" t="str">
            <v>0003</v>
          </cell>
          <cell r="G2497">
            <v>11</v>
          </cell>
          <cell r="H2497">
            <v>64.7</v>
          </cell>
          <cell r="I2497">
            <v>2352.7372273326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P2497">
            <v>2353</v>
          </cell>
          <cell r="V2497" t="str">
            <v>Available</v>
          </cell>
        </row>
        <row r="2498">
          <cell r="A2498" t="str">
            <v>101200060004</v>
          </cell>
          <cell r="B2498" t="str">
            <v>DalsinghSarai</v>
          </cell>
          <cell r="C2498" t="str">
            <v>DalsinghSarai</v>
          </cell>
          <cell r="D2498" t="str">
            <v>KHAJURI</v>
          </cell>
          <cell r="E2498">
            <v>10120006</v>
          </cell>
          <cell r="F2498" t="str">
            <v>0004</v>
          </cell>
          <cell r="G2498">
            <v>2</v>
          </cell>
          <cell r="H2498">
            <v>5.0999999999999996</v>
          </cell>
          <cell r="I2498">
            <v>161.19282841200004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P2498">
            <v>161</v>
          </cell>
          <cell r="V2498" t="str">
            <v>Not Available</v>
          </cell>
        </row>
        <row r="2499">
          <cell r="A2499" t="str">
            <v>101200060005</v>
          </cell>
          <cell r="B2499" t="str">
            <v>DalsinghSarai</v>
          </cell>
          <cell r="C2499" t="str">
            <v>DalsinghSarai</v>
          </cell>
          <cell r="D2499" t="str">
            <v>KHAJURI</v>
          </cell>
          <cell r="E2499">
            <v>10120006</v>
          </cell>
          <cell r="F2499" t="str">
            <v>0005</v>
          </cell>
          <cell r="G2499">
            <v>1</v>
          </cell>
          <cell r="H2499">
            <v>1.2</v>
          </cell>
          <cell r="I2499">
            <v>47.069388508800003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P2499">
            <v>47</v>
          </cell>
          <cell r="V2499" t="str">
            <v>Available</v>
          </cell>
        </row>
        <row r="2500">
          <cell r="A2500" t="str">
            <v>101200060007</v>
          </cell>
          <cell r="B2500" t="str">
            <v>DalsinghSarai</v>
          </cell>
          <cell r="C2500" t="str">
            <v>DalsinghSarai</v>
          </cell>
          <cell r="D2500" t="str">
            <v>KHAJURI</v>
          </cell>
          <cell r="E2500">
            <v>10120006</v>
          </cell>
          <cell r="F2500" t="str">
            <v>0007</v>
          </cell>
          <cell r="G2500">
            <v>3</v>
          </cell>
          <cell r="H2500">
            <v>8.1</v>
          </cell>
          <cell r="I2500">
            <v>301.06078398000005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P2500">
            <v>301</v>
          </cell>
          <cell r="V2500" t="str">
            <v>Not Available</v>
          </cell>
        </row>
        <row r="2501">
          <cell r="A2501" t="str">
            <v>101200060008</v>
          </cell>
          <cell r="B2501" t="str">
            <v>DalsinghSarai</v>
          </cell>
          <cell r="C2501" t="str">
            <v>DalsinghSarai</v>
          </cell>
          <cell r="D2501" t="str">
            <v>KHAJURI</v>
          </cell>
          <cell r="E2501">
            <v>10120006</v>
          </cell>
          <cell r="F2501" t="str">
            <v>0008</v>
          </cell>
          <cell r="G2501">
            <v>2</v>
          </cell>
          <cell r="H2501">
            <v>5.7</v>
          </cell>
          <cell r="I2501">
            <v>248.36708845620001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P2501">
            <v>248</v>
          </cell>
          <cell r="V2501" t="str">
            <v>Not Available</v>
          </cell>
        </row>
        <row r="2502">
          <cell r="A2502" t="str">
            <v>101200060010</v>
          </cell>
          <cell r="B2502" t="str">
            <v>DalsinghSarai</v>
          </cell>
          <cell r="C2502" t="str">
            <v>DalsinghSarai</v>
          </cell>
          <cell r="D2502" t="str">
            <v>KHAJURI</v>
          </cell>
          <cell r="E2502">
            <v>10120006</v>
          </cell>
          <cell r="F2502" t="str">
            <v>0010</v>
          </cell>
          <cell r="G2502">
            <v>2</v>
          </cell>
          <cell r="H2502">
            <v>3.5</v>
          </cell>
          <cell r="I2502">
            <v>159.84979582000003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P2502">
            <v>160</v>
          </cell>
          <cell r="V2502" t="str">
            <v>Not Available</v>
          </cell>
        </row>
        <row r="2503">
          <cell r="A2503" t="str">
            <v>101200060012</v>
          </cell>
          <cell r="B2503" t="str">
            <v>DalsinghSarai</v>
          </cell>
          <cell r="C2503" t="str">
            <v>DalsinghSarai</v>
          </cell>
          <cell r="D2503" t="str">
            <v>KHAJURI</v>
          </cell>
          <cell r="E2503">
            <v>10120006</v>
          </cell>
          <cell r="F2503" t="str">
            <v>0012</v>
          </cell>
          <cell r="G2503">
            <v>11</v>
          </cell>
          <cell r="H2503">
            <v>39.099999999999994</v>
          </cell>
          <cell r="I2503">
            <v>1469.2017707074499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P2503">
            <v>1469</v>
          </cell>
          <cell r="V2503" t="str">
            <v>Not Available</v>
          </cell>
        </row>
        <row r="2504">
          <cell r="A2504" t="str">
            <v>101200060013</v>
          </cell>
          <cell r="B2504" t="str">
            <v>DalsinghSarai</v>
          </cell>
          <cell r="C2504" t="str">
            <v>DalsinghSarai</v>
          </cell>
          <cell r="D2504" t="str">
            <v>KHAJURI</v>
          </cell>
          <cell r="E2504">
            <v>10120006</v>
          </cell>
          <cell r="F2504" t="str">
            <v>0013</v>
          </cell>
          <cell r="G2504">
            <v>8</v>
          </cell>
          <cell r="H2504">
            <v>22.4</v>
          </cell>
          <cell r="I2504">
            <v>798.34736599200005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P2504">
            <v>798</v>
          </cell>
          <cell r="V2504" t="str">
            <v>Not Available</v>
          </cell>
        </row>
        <row r="2505">
          <cell r="A2505" t="str">
            <v>101200060014</v>
          </cell>
          <cell r="B2505" t="str">
            <v>DalsinghSarai</v>
          </cell>
          <cell r="C2505" t="str">
            <v>DalsinghSarai</v>
          </cell>
          <cell r="D2505" t="str">
            <v>KHAJURI</v>
          </cell>
          <cell r="E2505">
            <v>10120006</v>
          </cell>
          <cell r="F2505" t="str">
            <v>0014</v>
          </cell>
          <cell r="G2505">
            <v>4</v>
          </cell>
          <cell r="H2505">
            <v>18.3</v>
          </cell>
          <cell r="I2505">
            <v>633.27583776600011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P2505">
            <v>633</v>
          </cell>
          <cell r="V2505" t="str">
            <v>Not Available</v>
          </cell>
        </row>
        <row r="2506">
          <cell r="A2506" t="str">
            <v>101200060026</v>
          </cell>
          <cell r="B2506" t="str">
            <v>DalsinghSarai</v>
          </cell>
          <cell r="C2506" t="str">
            <v>DalsinghSarai</v>
          </cell>
          <cell r="D2506" t="str">
            <v>KHAJURI</v>
          </cell>
          <cell r="E2506">
            <v>10120006</v>
          </cell>
          <cell r="F2506" t="str">
            <v>0026</v>
          </cell>
          <cell r="G2506">
            <v>11</v>
          </cell>
          <cell r="H2506">
            <v>70.099999999999994</v>
          </cell>
          <cell r="I2506">
            <v>2701.8858174796001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P2506">
            <v>2702</v>
          </cell>
          <cell r="V2506" t="str">
            <v>Available</v>
          </cell>
        </row>
        <row r="2507">
          <cell r="A2507" t="str">
            <v>101200060029</v>
          </cell>
          <cell r="B2507" t="str">
            <v>DalsinghSarai</v>
          </cell>
          <cell r="C2507" t="str">
            <v>DalsinghSarai</v>
          </cell>
          <cell r="D2507" t="str">
            <v>KHAJURI</v>
          </cell>
          <cell r="E2507">
            <v>10120006</v>
          </cell>
          <cell r="F2507" t="str">
            <v>0029</v>
          </cell>
          <cell r="G2507">
            <v>3</v>
          </cell>
          <cell r="H2507">
            <v>11.2</v>
          </cell>
          <cell r="I2507">
            <v>355.69022445000002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P2507">
            <v>356</v>
          </cell>
          <cell r="V2507" t="str">
            <v>Available</v>
          </cell>
        </row>
        <row r="2508">
          <cell r="A2508" t="str">
            <v>101200060122</v>
          </cell>
          <cell r="B2508" t="str">
            <v>DalsinghSarai</v>
          </cell>
          <cell r="C2508" t="str">
            <v>DalsinghSarai</v>
          </cell>
          <cell r="D2508" t="str">
            <v>KHAJURI</v>
          </cell>
          <cell r="E2508">
            <v>10120006</v>
          </cell>
          <cell r="F2508" t="str">
            <v>0122</v>
          </cell>
          <cell r="G2508">
            <v>7</v>
          </cell>
          <cell r="H2508">
            <v>32.5</v>
          </cell>
          <cell r="I2508">
            <v>1353.1984540988803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P2508">
            <v>1353</v>
          </cell>
          <cell r="V2508" t="str">
            <v>Available</v>
          </cell>
        </row>
        <row r="2509">
          <cell r="A2509" t="str">
            <v>101200070001</v>
          </cell>
          <cell r="B2509" t="str">
            <v>DalsinghSarai</v>
          </cell>
          <cell r="C2509" t="str">
            <v>DalsinghSarai</v>
          </cell>
          <cell r="D2509" t="str">
            <v>ARMAULI-2</v>
          </cell>
          <cell r="E2509">
            <v>10120007</v>
          </cell>
          <cell r="F2509" t="str">
            <v>0001</v>
          </cell>
          <cell r="G2509">
            <v>14</v>
          </cell>
          <cell r="H2509">
            <v>16.100000000000001</v>
          </cell>
          <cell r="I2509">
            <v>635.43278304000023</v>
          </cell>
          <cell r="J2509">
            <v>0</v>
          </cell>
          <cell r="K2509">
            <v>635.43278304000023</v>
          </cell>
          <cell r="L2509">
            <v>0</v>
          </cell>
          <cell r="M2509">
            <v>0</v>
          </cell>
          <cell r="P2509">
            <v>0</v>
          </cell>
          <cell r="V2509" t="str">
            <v>Not Available</v>
          </cell>
        </row>
        <row r="2510">
          <cell r="A2510" t="str">
            <v>101200070002</v>
          </cell>
          <cell r="B2510" t="str">
            <v>DalsinghSarai</v>
          </cell>
          <cell r="C2510" t="str">
            <v>DalsinghSarai</v>
          </cell>
          <cell r="D2510" t="str">
            <v>ARMAULI-2</v>
          </cell>
          <cell r="E2510">
            <v>10120007</v>
          </cell>
          <cell r="F2510" t="str">
            <v>0002</v>
          </cell>
          <cell r="G2510">
            <v>8</v>
          </cell>
          <cell r="H2510">
            <v>30.82</v>
          </cell>
          <cell r="I2510">
            <v>1205.7377016960004</v>
          </cell>
          <cell r="J2510">
            <v>0</v>
          </cell>
          <cell r="K2510">
            <v>0</v>
          </cell>
          <cell r="L2510">
            <v>312</v>
          </cell>
          <cell r="M2510">
            <v>0</v>
          </cell>
          <cell r="P2510">
            <v>894</v>
          </cell>
          <cell r="V2510" t="str">
            <v>Available</v>
          </cell>
        </row>
        <row r="2511">
          <cell r="A2511" t="str">
            <v>101200070003</v>
          </cell>
          <cell r="B2511" t="str">
            <v>DalsinghSarai</v>
          </cell>
          <cell r="C2511" t="str">
            <v>DalsinghSarai</v>
          </cell>
          <cell r="D2511" t="str">
            <v>ARMAULI-2</v>
          </cell>
          <cell r="E2511">
            <v>10120007</v>
          </cell>
          <cell r="F2511" t="str">
            <v>0003</v>
          </cell>
          <cell r="G2511">
            <v>4</v>
          </cell>
          <cell r="H2511">
            <v>17.2</v>
          </cell>
          <cell r="I2511">
            <v>617.35634334000008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P2511">
            <v>617</v>
          </cell>
          <cell r="V2511" t="str">
            <v>Available</v>
          </cell>
        </row>
        <row r="2512">
          <cell r="A2512" t="str">
            <v>101200070005</v>
          </cell>
          <cell r="B2512" t="str">
            <v>DalsinghSarai</v>
          </cell>
          <cell r="C2512" t="str">
            <v>DalsinghSarai</v>
          </cell>
          <cell r="D2512" t="str">
            <v>ARMAULI-2</v>
          </cell>
          <cell r="E2512">
            <v>10120007</v>
          </cell>
          <cell r="F2512" t="str">
            <v>0005</v>
          </cell>
          <cell r="G2512">
            <v>4</v>
          </cell>
          <cell r="H2512">
            <v>19.049999999999997</v>
          </cell>
          <cell r="I2512">
            <v>721.52062250400002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P2512">
            <v>722</v>
          </cell>
          <cell r="V2512" t="str">
            <v>Available</v>
          </cell>
        </row>
        <row r="2513">
          <cell r="A2513" t="str">
            <v>101200070009</v>
          </cell>
          <cell r="B2513" t="str">
            <v>DalsinghSarai</v>
          </cell>
          <cell r="C2513" t="str">
            <v>DalsinghSarai</v>
          </cell>
          <cell r="D2513" t="str">
            <v>ARMAULI-2</v>
          </cell>
          <cell r="E2513">
            <v>10120007</v>
          </cell>
          <cell r="F2513" t="str">
            <v>0009</v>
          </cell>
          <cell r="G2513">
            <v>12</v>
          </cell>
          <cell r="H2513">
            <v>32.71</v>
          </cell>
          <cell r="I2513">
            <v>1256.3593099200002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P2513">
            <v>1256</v>
          </cell>
          <cell r="V2513" t="str">
            <v>Available</v>
          </cell>
        </row>
        <row r="2514">
          <cell r="A2514" t="str">
            <v>101200070011</v>
          </cell>
          <cell r="B2514" t="str">
            <v>DalsinghSarai</v>
          </cell>
          <cell r="C2514" t="str">
            <v>DalsinghSarai</v>
          </cell>
          <cell r="D2514" t="str">
            <v>ARMAULI-2</v>
          </cell>
          <cell r="E2514">
            <v>10120007</v>
          </cell>
          <cell r="F2514" t="str">
            <v>0011</v>
          </cell>
          <cell r="G2514">
            <v>12</v>
          </cell>
          <cell r="H2514">
            <v>21.56</v>
          </cell>
          <cell r="I2514">
            <v>863.30239855200034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P2514">
            <v>863</v>
          </cell>
          <cell r="V2514" t="str">
            <v>Available</v>
          </cell>
        </row>
        <row r="2515">
          <cell r="A2515" t="str">
            <v>101200070014</v>
          </cell>
          <cell r="B2515" t="str">
            <v>DalsinghSarai</v>
          </cell>
          <cell r="C2515" t="str">
            <v>DalsinghSarai</v>
          </cell>
          <cell r="D2515" t="str">
            <v>ARMAULI-2</v>
          </cell>
          <cell r="E2515">
            <v>10120007</v>
          </cell>
          <cell r="F2515" t="str">
            <v>0014</v>
          </cell>
          <cell r="G2515">
            <v>5</v>
          </cell>
          <cell r="H2515">
            <v>13.899999999999999</v>
          </cell>
          <cell r="I2515">
            <v>507.19523580000009</v>
          </cell>
          <cell r="J2515">
            <v>0</v>
          </cell>
          <cell r="K2515">
            <v>0</v>
          </cell>
          <cell r="L2515">
            <v>0</v>
          </cell>
          <cell r="M2515">
            <v>507</v>
          </cell>
          <cell r="P2515">
            <v>0</v>
          </cell>
          <cell r="V2515" t="str">
            <v>Available</v>
          </cell>
        </row>
        <row r="2516">
          <cell r="A2516" t="str">
            <v>101200070022</v>
          </cell>
          <cell r="B2516" t="str">
            <v>DalsinghSarai</v>
          </cell>
          <cell r="C2516" t="str">
            <v>DalsinghSarai</v>
          </cell>
          <cell r="D2516" t="str">
            <v>ARMAULI-2</v>
          </cell>
          <cell r="E2516">
            <v>10120007</v>
          </cell>
          <cell r="F2516" t="str">
            <v>0022</v>
          </cell>
          <cell r="G2516">
            <v>1</v>
          </cell>
          <cell r="H2516">
            <v>6.78</v>
          </cell>
          <cell r="I2516">
            <v>251.49136716000007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P2516">
            <v>251</v>
          </cell>
          <cell r="V2516" t="str">
            <v>Available</v>
          </cell>
        </row>
        <row r="2517">
          <cell r="A2517" t="str">
            <v>101200070032</v>
          </cell>
          <cell r="B2517" t="str">
            <v>DalsinghSarai</v>
          </cell>
          <cell r="C2517" t="str">
            <v>DalsinghSarai</v>
          </cell>
          <cell r="D2517" t="str">
            <v>ARMAULI-2</v>
          </cell>
          <cell r="E2517">
            <v>10120007</v>
          </cell>
          <cell r="F2517" t="str">
            <v>0032</v>
          </cell>
          <cell r="G2517">
            <v>2</v>
          </cell>
          <cell r="H2517">
            <v>10.32</v>
          </cell>
          <cell r="I2517">
            <v>352.91262219840007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P2517">
            <v>353</v>
          </cell>
          <cell r="V2517" t="str">
            <v>Available</v>
          </cell>
        </row>
        <row r="2518">
          <cell r="A2518" t="str">
            <v>101200070038</v>
          </cell>
          <cell r="B2518" t="str">
            <v>DalsinghSarai</v>
          </cell>
          <cell r="C2518" t="str">
            <v>DalsinghSarai</v>
          </cell>
          <cell r="D2518" t="str">
            <v>ARMAULI-2</v>
          </cell>
          <cell r="E2518">
            <v>10120007</v>
          </cell>
          <cell r="F2518" t="str">
            <v>0038</v>
          </cell>
          <cell r="G2518">
            <v>14</v>
          </cell>
          <cell r="H2518">
            <v>62.140000000000008</v>
          </cell>
          <cell r="I2518">
            <v>2651.8457056658162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P2518">
            <v>2652</v>
          </cell>
          <cell r="V2518" t="str">
            <v>Available</v>
          </cell>
        </row>
        <row r="2519">
          <cell r="A2519" t="str">
            <v>101200070040</v>
          </cell>
          <cell r="B2519" t="str">
            <v>DalsinghSarai</v>
          </cell>
          <cell r="C2519" t="str">
            <v>DalsinghSarai</v>
          </cell>
          <cell r="D2519" t="str">
            <v>ARMAULI-2</v>
          </cell>
          <cell r="E2519">
            <v>10120007</v>
          </cell>
          <cell r="F2519" t="str">
            <v>0040</v>
          </cell>
          <cell r="G2519">
            <v>7</v>
          </cell>
          <cell r="H2519">
            <v>27.97</v>
          </cell>
          <cell r="I2519">
            <v>1295.0689247871001</v>
          </cell>
          <cell r="J2519">
            <v>0</v>
          </cell>
          <cell r="K2519">
            <v>0</v>
          </cell>
          <cell r="L2519">
            <v>0</v>
          </cell>
          <cell r="M2519">
            <v>1295</v>
          </cell>
          <cell r="P2519">
            <v>0</v>
          </cell>
          <cell r="V2519" t="str">
            <v>Available</v>
          </cell>
        </row>
        <row r="2520">
          <cell r="A2520" t="str">
            <v>101200070059</v>
          </cell>
          <cell r="B2520" t="str">
            <v>DalsinghSarai</v>
          </cell>
          <cell r="C2520" t="str">
            <v>DalsinghSarai</v>
          </cell>
          <cell r="D2520" t="str">
            <v>ARMAULI-2</v>
          </cell>
          <cell r="E2520">
            <v>10120007</v>
          </cell>
          <cell r="F2520" t="str">
            <v>0059</v>
          </cell>
          <cell r="G2520">
            <v>1</v>
          </cell>
          <cell r="H2520">
            <v>2.54</v>
          </cell>
          <cell r="I2520">
            <v>83.520764276400016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P2520">
            <v>84</v>
          </cell>
          <cell r="V2520" t="str">
            <v>Available</v>
          </cell>
        </row>
        <row r="2521">
          <cell r="A2521" t="str">
            <v>101200070069</v>
          </cell>
          <cell r="B2521" t="str">
            <v>DalsinghSarai</v>
          </cell>
          <cell r="C2521" t="str">
            <v>DalsinghSarai</v>
          </cell>
          <cell r="D2521" t="str">
            <v>ARMAULI-2</v>
          </cell>
          <cell r="E2521">
            <v>10120007</v>
          </cell>
          <cell r="F2521" t="str">
            <v>0069</v>
          </cell>
          <cell r="G2521">
            <v>7</v>
          </cell>
          <cell r="H2521">
            <v>47.34</v>
          </cell>
          <cell r="I2521">
            <v>1904.1828554100002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P2521">
            <v>1904</v>
          </cell>
          <cell r="V2521" t="str">
            <v>Available</v>
          </cell>
        </row>
        <row r="2522">
          <cell r="A2522" t="str">
            <v>101200070072</v>
          </cell>
          <cell r="B2522" t="str">
            <v>DalsinghSarai</v>
          </cell>
          <cell r="C2522" t="str">
            <v>DalsinghSarai</v>
          </cell>
          <cell r="D2522" t="str">
            <v>ARMAULI-2</v>
          </cell>
          <cell r="E2522">
            <v>10120007</v>
          </cell>
          <cell r="F2522" t="str">
            <v>0072</v>
          </cell>
          <cell r="G2522">
            <v>5</v>
          </cell>
          <cell r="H2522">
            <v>9.61</v>
          </cell>
          <cell r="I2522">
            <v>333.34596108000005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P2522">
            <v>333</v>
          </cell>
          <cell r="V2522" t="str">
            <v>Available</v>
          </cell>
        </row>
        <row r="2523">
          <cell r="A2523" t="str">
            <v>101200070074</v>
          </cell>
          <cell r="B2523" t="str">
            <v>DalsinghSarai</v>
          </cell>
          <cell r="C2523" t="str">
            <v>DalsinghSarai</v>
          </cell>
          <cell r="D2523" t="str">
            <v>ARMAULI-2</v>
          </cell>
          <cell r="E2523">
            <v>10120007</v>
          </cell>
          <cell r="F2523" t="str">
            <v>0074</v>
          </cell>
          <cell r="G2523">
            <v>6</v>
          </cell>
          <cell r="H2523">
            <v>28.49</v>
          </cell>
          <cell r="I2523">
            <v>842.35402690560011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P2523">
            <v>842</v>
          </cell>
          <cell r="V2523" t="str">
            <v>Available</v>
          </cell>
        </row>
        <row r="2524">
          <cell r="A2524" t="str">
            <v>101200070076</v>
          </cell>
          <cell r="B2524" t="str">
            <v>DalsinghSarai</v>
          </cell>
          <cell r="C2524" t="str">
            <v>DalsinghSarai</v>
          </cell>
          <cell r="D2524" t="str">
            <v>ARMAULI-2</v>
          </cell>
          <cell r="E2524">
            <v>10120007</v>
          </cell>
          <cell r="F2524" t="str">
            <v>0076</v>
          </cell>
          <cell r="G2524">
            <v>5</v>
          </cell>
          <cell r="H2524">
            <v>9.5</v>
          </cell>
          <cell r="I2524">
            <v>352.99550998799998</v>
          </cell>
          <cell r="J2524">
            <v>0</v>
          </cell>
          <cell r="K2524">
            <v>0</v>
          </cell>
          <cell r="L2524">
            <v>0</v>
          </cell>
          <cell r="M2524">
            <v>232</v>
          </cell>
          <cell r="P2524">
            <v>121</v>
          </cell>
          <cell r="V2524" t="str">
            <v>Available</v>
          </cell>
        </row>
        <row r="2525">
          <cell r="A2525" t="str">
            <v>101200070077</v>
          </cell>
          <cell r="B2525" t="str">
            <v>DalsinghSarai</v>
          </cell>
          <cell r="C2525" t="str">
            <v>DalsinghSarai</v>
          </cell>
          <cell r="D2525" t="str">
            <v>ARMAULI-2</v>
          </cell>
          <cell r="E2525">
            <v>10120007</v>
          </cell>
          <cell r="F2525" t="str">
            <v>0077</v>
          </cell>
          <cell r="G2525">
            <v>13</v>
          </cell>
          <cell r="H2525">
            <v>66.61999999999999</v>
          </cell>
          <cell r="I2525">
            <v>2170.5800569794001</v>
          </cell>
          <cell r="J2525">
            <v>0</v>
          </cell>
          <cell r="K2525">
            <v>0</v>
          </cell>
          <cell r="L2525">
            <v>0</v>
          </cell>
          <cell r="M2525">
            <v>1350</v>
          </cell>
          <cell r="P2525">
            <v>821</v>
          </cell>
          <cell r="V2525" t="str">
            <v>Available</v>
          </cell>
        </row>
        <row r="2526">
          <cell r="A2526" t="str">
            <v>101200070078</v>
          </cell>
          <cell r="B2526" t="str">
            <v>DalsinghSarai</v>
          </cell>
          <cell r="C2526" t="str">
            <v>DalsinghSarai</v>
          </cell>
          <cell r="D2526" t="str">
            <v>ARMAULI-2</v>
          </cell>
          <cell r="E2526">
            <v>10120007</v>
          </cell>
          <cell r="F2526" t="str">
            <v>0078</v>
          </cell>
          <cell r="G2526">
            <v>14</v>
          </cell>
          <cell r="H2526">
            <v>59</v>
          </cell>
          <cell r="I2526">
            <v>2003.5173764826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P2526">
            <v>2004</v>
          </cell>
          <cell r="V2526" t="str">
            <v>Available</v>
          </cell>
        </row>
        <row r="2527">
          <cell r="A2527" t="str">
            <v>101200070079</v>
          </cell>
          <cell r="B2527" t="str">
            <v>DalsinghSarai</v>
          </cell>
          <cell r="C2527" t="str">
            <v>DalsinghSarai</v>
          </cell>
          <cell r="D2527" t="str">
            <v>ARMAULI-2</v>
          </cell>
          <cell r="E2527">
            <v>10120007</v>
          </cell>
          <cell r="F2527" t="str">
            <v>0079</v>
          </cell>
          <cell r="G2527">
            <v>8</v>
          </cell>
          <cell r="H2527">
            <v>23.04</v>
          </cell>
          <cell r="I2527">
            <v>838.5774148224001</v>
          </cell>
          <cell r="J2527">
            <v>0</v>
          </cell>
          <cell r="K2527">
            <v>0</v>
          </cell>
          <cell r="L2527">
            <v>0</v>
          </cell>
          <cell r="M2527">
            <v>839</v>
          </cell>
          <cell r="P2527">
            <v>0</v>
          </cell>
          <cell r="V2527" t="str">
            <v>Available</v>
          </cell>
        </row>
        <row r="2528">
          <cell r="A2528" t="str">
            <v>101200070085</v>
          </cell>
          <cell r="B2528" t="str">
            <v>DalsinghSarai</v>
          </cell>
          <cell r="C2528" t="str">
            <v>DalsinghSarai</v>
          </cell>
          <cell r="D2528" t="str">
            <v>ARMAULI-2</v>
          </cell>
          <cell r="E2528">
            <v>10120007</v>
          </cell>
          <cell r="F2528" t="str">
            <v>0085</v>
          </cell>
          <cell r="G2528">
            <v>6</v>
          </cell>
          <cell r="H2528">
            <v>16.689999999999998</v>
          </cell>
          <cell r="I2528">
            <v>575.74805547599999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P2528">
            <v>576</v>
          </cell>
          <cell r="V2528" t="str">
            <v>Available</v>
          </cell>
        </row>
        <row r="2529">
          <cell r="A2529" t="str">
            <v>101200070092</v>
          </cell>
          <cell r="B2529" t="str">
            <v>DalsinghSarai</v>
          </cell>
          <cell r="C2529" t="str">
            <v>DalsinghSarai</v>
          </cell>
          <cell r="D2529" t="str">
            <v>ARMAULI-2</v>
          </cell>
          <cell r="E2529">
            <v>10120007</v>
          </cell>
          <cell r="F2529" t="str">
            <v>0092</v>
          </cell>
          <cell r="G2529">
            <v>7</v>
          </cell>
          <cell r="H2529">
            <v>17.649999999999999</v>
          </cell>
          <cell r="I2529">
            <v>1062.2088083996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P2529">
            <v>1062</v>
          </cell>
          <cell r="V2529" t="str">
            <v>Available</v>
          </cell>
        </row>
        <row r="2530">
          <cell r="A2530" t="str">
            <v>101200070093</v>
          </cell>
          <cell r="B2530" t="str">
            <v>DalsinghSarai</v>
          </cell>
          <cell r="C2530" t="str">
            <v>DalsinghSarai</v>
          </cell>
          <cell r="D2530" t="str">
            <v>ARMAULI-2</v>
          </cell>
          <cell r="E2530">
            <v>10120007</v>
          </cell>
          <cell r="F2530" t="str">
            <v>0093</v>
          </cell>
          <cell r="G2530">
            <v>11</v>
          </cell>
          <cell r="H2530">
            <v>16.98</v>
          </cell>
          <cell r="I2530">
            <v>714.40404336920005</v>
          </cell>
          <cell r="J2530">
            <v>0</v>
          </cell>
          <cell r="K2530">
            <v>0</v>
          </cell>
          <cell r="L2530">
            <v>0</v>
          </cell>
          <cell r="M2530">
            <v>305</v>
          </cell>
          <cell r="P2530">
            <v>409</v>
          </cell>
          <cell r="V2530" t="str">
            <v>Available</v>
          </cell>
        </row>
        <row r="2531">
          <cell r="A2531" t="str">
            <v>101200070099</v>
          </cell>
          <cell r="B2531" t="str">
            <v>DalsinghSarai</v>
          </cell>
          <cell r="C2531" t="str">
            <v>DalsinghSarai</v>
          </cell>
          <cell r="D2531" t="str">
            <v>ARMAULI-2</v>
          </cell>
          <cell r="E2531">
            <v>10120007</v>
          </cell>
          <cell r="F2531" t="str">
            <v>0099</v>
          </cell>
          <cell r="G2531">
            <v>13</v>
          </cell>
          <cell r="H2531">
            <v>58.68</v>
          </cell>
          <cell r="I2531">
            <v>2345.20159896</v>
          </cell>
          <cell r="J2531">
            <v>0</v>
          </cell>
          <cell r="K2531">
            <v>0</v>
          </cell>
          <cell r="L2531">
            <v>0</v>
          </cell>
          <cell r="M2531">
            <v>1350</v>
          </cell>
          <cell r="P2531">
            <v>995</v>
          </cell>
          <cell r="V2531" t="str">
            <v>Available</v>
          </cell>
        </row>
        <row r="2532">
          <cell r="A2532" t="str">
            <v>101200070104</v>
          </cell>
          <cell r="B2532" t="str">
            <v>DalsinghSarai</v>
          </cell>
          <cell r="C2532" t="str">
            <v>DalsinghSarai</v>
          </cell>
          <cell r="D2532" t="str">
            <v>ARMAULI-2</v>
          </cell>
          <cell r="E2532">
            <v>10120007</v>
          </cell>
          <cell r="F2532" t="str">
            <v>0104</v>
          </cell>
          <cell r="G2532">
            <v>4</v>
          </cell>
          <cell r="H2532">
            <v>8.6300000000000008</v>
          </cell>
          <cell r="I2532">
            <v>366.98816286000005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P2532">
            <v>367</v>
          </cell>
          <cell r="V2532" t="str">
            <v>Available</v>
          </cell>
        </row>
        <row r="2533">
          <cell r="A2533" t="str">
            <v>101200070105</v>
          </cell>
          <cell r="B2533" t="str">
            <v>DalsinghSarai</v>
          </cell>
          <cell r="C2533" t="str">
            <v>DalsinghSarai</v>
          </cell>
          <cell r="D2533" t="str">
            <v>ARMAULI-2</v>
          </cell>
          <cell r="E2533">
            <v>10120007</v>
          </cell>
          <cell r="F2533" t="str">
            <v>0105</v>
          </cell>
          <cell r="G2533">
            <v>14</v>
          </cell>
          <cell r="H2533">
            <v>63.330000000000005</v>
          </cell>
          <cell r="I2533">
            <v>2548.7028832320007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P2533">
            <v>2549</v>
          </cell>
          <cell r="V2533" t="str">
            <v>Available</v>
          </cell>
        </row>
        <row r="2534">
          <cell r="A2534" t="str">
            <v>101200070107</v>
          </cell>
          <cell r="B2534" t="str">
            <v>DalsinghSarai</v>
          </cell>
          <cell r="C2534" t="str">
            <v>DalsinghSarai</v>
          </cell>
          <cell r="D2534" t="str">
            <v>ARMAULI-2</v>
          </cell>
          <cell r="E2534">
            <v>10120007</v>
          </cell>
          <cell r="F2534" t="str">
            <v>0107</v>
          </cell>
          <cell r="G2534">
            <v>13</v>
          </cell>
          <cell r="H2534">
            <v>67.240000000000009</v>
          </cell>
          <cell r="I2534">
            <v>2601.0214424007963</v>
          </cell>
          <cell r="J2534">
            <v>0</v>
          </cell>
          <cell r="K2534">
            <v>0</v>
          </cell>
          <cell r="L2534">
            <v>0</v>
          </cell>
          <cell r="M2534">
            <v>2601</v>
          </cell>
          <cell r="P2534">
            <v>0</v>
          </cell>
          <cell r="V2534" t="str">
            <v>Available</v>
          </cell>
        </row>
        <row r="2535">
          <cell r="A2535" t="str">
            <v>101200070109</v>
          </cell>
          <cell r="B2535" t="str">
            <v>DalsinghSarai</v>
          </cell>
          <cell r="C2535" t="str">
            <v>DalsinghSarai</v>
          </cell>
          <cell r="D2535" t="str">
            <v>ARMAULI-2</v>
          </cell>
          <cell r="E2535">
            <v>10120007</v>
          </cell>
          <cell r="F2535" t="str">
            <v>0109</v>
          </cell>
          <cell r="G2535">
            <v>13</v>
          </cell>
          <cell r="H2535">
            <v>56.680000000000007</v>
          </cell>
          <cell r="I2535">
            <v>2382.2527903812006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P2535">
            <v>2382</v>
          </cell>
          <cell r="V2535" t="str">
            <v>Available</v>
          </cell>
        </row>
        <row r="2536">
          <cell r="A2536" t="str">
            <v>101200070110</v>
          </cell>
          <cell r="B2536" t="str">
            <v>DalsinghSarai</v>
          </cell>
          <cell r="C2536" t="str">
            <v>DalsinghSarai</v>
          </cell>
          <cell r="D2536" t="str">
            <v>ARMAULI-2</v>
          </cell>
          <cell r="E2536">
            <v>10120007</v>
          </cell>
          <cell r="F2536" t="str">
            <v>0110</v>
          </cell>
          <cell r="G2536">
            <v>7</v>
          </cell>
          <cell r="H2536">
            <v>53.9</v>
          </cell>
          <cell r="I2536">
            <v>2083.0165670160004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P2536">
            <v>2083</v>
          </cell>
          <cell r="V2536" t="str">
            <v>Available</v>
          </cell>
        </row>
        <row r="2537">
          <cell r="A2537" t="str">
            <v>101200070116</v>
          </cell>
          <cell r="B2537" t="str">
            <v>DalsinghSarai</v>
          </cell>
          <cell r="C2537" t="str">
            <v>DalsinghSarai</v>
          </cell>
          <cell r="D2537" t="str">
            <v>ARMAULI-2</v>
          </cell>
          <cell r="E2537">
            <v>10120007</v>
          </cell>
          <cell r="F2537" t="str">
            <v>0116</v>
          </cell>
          <cell r="G2537">
            <v>11</v>
          </cell>
          <cell r="H2537">
            <v>25.520000000000003</v>
          </cell>
          <cell r="I2537">
            <v>1078.8330330360002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P2537">
            <v>1079</v>
          </cell>
          <cell r="V2537" t="str">
            <v>Available</v>
          </cell>
        </row>
        <row r="2538">
          <cell r="A2538" t="str">
            <v>101200070120</v>
          </cell>
          <cell r="B2538" t="str">
            <v>DalsinghSarai</v>
          </cell>
          <cell r="C2538" t="str">
            <v>DalsinghSarai</v>
          </cell>
          <cell r="D2538" t="str">
            <v>ARMAULI-2</v>
          </cell>
          <cell r="E2538">
            <v>10120007</v>
          </cell>
          <cell r="F2538" t="str">
            <v>0120</v>
          </cell>
          <cell r="G2538">
            <v>13</v>
          </cell>
          <cell r="H2538">
            <v>31.75</v>
          </cell>
          <cell r="I2538">
            <v>1536.2157892020005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P2538">
            <v>1536</v>
          </cell>
          <cell r="V2538" t="str">
            <v>Available</v>
          </cell>
        </row>
        <row r="2539">
          <cell r="A2539" t="str">
            <v>101200070122</v>
          </cell>
          <cell r="B2539" t="str">
            <v>DalsinghSarai</v>
          </cell>
          <cell r="C2539" t="str">
            <v>DalsinghSarai</v>
          </cell>
          <cell r="D2539" t="str">
            <v>ARMAULI-2</v>
          </cell>
          <cell r="E2539">
            <v>10120007</v>
          </cell>
          <cell r="F2539" t="str">
            <v>0122</v>
          </cell>
          <cell r="G2539">
            <v>12</v>
          </cell>
          <cell r="H2539">
            <v>81.86</v>
          </cell>
          <cell r="I2539">
            <v>3007.434593988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P2539">
            <v>3007</v>
          </cell>
          <cell r="V2539" t="str">
            <v>Available</v>
          </cell>
        </row>
        <row r="2540">
          <cell r="A2540" t="str">
            <v>101200070124</v>
          </cell>
          <cell r="B2540" t="str">
            <v>DalsinghSarai</v>
          </cell>
          <cell r="C2540" t="str">
            <v>DalsinghSarai</v>
          </cell>
          <cell r="D2540" t="str">
            <v>ARMAULI-2</v>
          </cell>
          <cell r="E2540">
            <v>10120007</v>
          </cell>
          <cell r="F2540" t="str">
            <v>0124</v>
          </cell>
          <cell r="G2540">
            <v>14</v>
          </cell>
          <cell r="H2540">
            <v>87.999999999999986</v>
          </cell>
          <cell r="I2540">
            <v>3206.9101834440003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P2540">
            <v>3207</v>
          </cell>
          <cell r="V2540" t="str">
            <v>Available</v>
          </cell>
        </row>
        <row r="2541">
          <cell r="A2541" t="str">
            <v>101200070125</v>
          </cell>
          <cell r="B2541" t="str">
            <v>DalsinghSarai</v>
          </cell>
          <cell r="C2541" t="str">
            <v>DalsinghSarai</v>
          </cell>
          <cell r="D2541" t="str">
            <v>ARMAULI-2</v>
          </cell>
          <cell r="E2541">
            <v>10120007</v>
          </cell>
          <cell r="F2541" t="str">
            <v>0125</v>
          </cell>
          <cell r="G2541">
            <v>7</v>
          </cell>
          <cell r="H2541">
            <v>63.49</v>
          </cell>
          <cell r="I2541">
            <v>2190.4338832200001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P2541">
            <v>2190</v>
          </cell>
          <cell r="V2541" t="str">
            <v>Available</v>
          </cell>
        </row>
        <row r="2542">
          <cell r="A2542" t="str">
            <v>101200070127</v>
          </cell>
          <cell r="B2542" t="str">
            <v>DalsinghSarai</v>
          </cell>
          <cell r="C2542" t="str">
            <v>DalsinghSarai</v>
          </cell>
          <cell r="D2542" t="str">
            <v>ARMAULI-2</v>
          </cell>
          <cell r="E2542">
            <v>10120007</v>
          </cell>
          <cell r="F2542" t="str">
            <v>0127</v>
          </cell>
          <cell r="G2542">
            <v>13</v>
          </cell>
          <cell r="H2542">
            <v>85.41</v>
          </cell>
          <cell r="I2542">
            <v>3350.4425523360001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P2542">
            <v>3350</v>
          </cell>
          <cell r="V2542" t="str">
            <v>Available</v>
          </cell>
        </row>
        <row r="2543">
          <cell r="A2543" t="str">
            <v>101200070128</v>
          </cell>
          <cell r="B2543" t="str">
            <v>DalsinghSarai</v>
          </cell>
          <cell r="C2543" t="str">
            <v>DalsinghSarai</v>
          </cell>
          <cell r="D2543" t="str">
            <v>ARMAULI-2</v>
          </cell>
          <cell r="E2543">
            <v>10120007</v>
          </cell>
          <cell r="F2543" t="str">
            <v>0128</v>
          </cell>
          <cell r="G2543">
            <v>12</v>
          </cell>
          <cell r="H2543">
            <v>24.38</v>
          </cell>
          <cell r="I2543">
            <v>828.89509428000008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P2543">
            <v>829</v>
          </cell>
          <cell r="V2543" t="str">
            <v>Available</v>
          </cell>
        </row>
        <row r="2544">
          <cell r="A2544" t="str">
            <v>101200070149</v>
          </cell>
          <cell r="B2544" t="str">
            <v>DalsinghSarai</v>
          </cell>
          <cell r="C2544" t="str">
            <v>DalsinghSarai</v>
          </cell>
          <cell r="D2544" t="str">
            <v>ARMAULI-2</v>
          </cell>
          <cell r="E2544">
            <v>10120007</v>
          </cell>
          <cell r="F2544" t="str">
            <v>0149</v>
          </cell>
          <cell r="G2544">
            <v>7</v>
          </cell>
          <cell r="H2544">
            <v>29.89</v>
          </cell>
          <cell r="I2544">
            <v>1199.2099240440002</v>
          </cell>
          <cell r="J2544">
            <v>0</v>
          </cell>
          <cell r="K2544">
            <v>0</v>
          </cell>
          <cell r="L2544">
            <v>0</v>
          </cell>
          <cell r="M2544">
            <v>703</v>
          </cell>
          <cell r="P2544">
            <v>496</v>
          </cell>
          <cell r="V2544" t="str">
            <v>Available</v>
          </cell>
        </row>
        <row r="2545">
          <cell r="A2545" t="str">
            <v>101200070155</v>
          </cell>
          <cell r="B2545" t="str">
            <v>DalsinghSarai</v>
          </cell>
          <cell r="C2545" t="str">
            <v>DalsinghSarai</v>
          </cell>
          <cell r="D2545" t="str">
            <v>ARMAULI-2</v>
          </cell>
          <cell r="E2545">
            <v>10120007</v>
          </cell>
          <cell r="F2545" t="str">
            <v>0155</v>
          </cell>
          <cell r="G2545">
            <v>9</v>
          </cell>
          <cell r="H2545">
            <v>14.950000000000001</v>
          </cell>
          <cell r="I2545">
            <v>981.58089077400007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P2545">
            <v>982</v>
          </cell>
          <cell r="V2545" t="str">
            <v>Available</v>
          </cell>
        </row>
        <row r="2546">
          <cell r="A2546" t="str">
            <v>101200070168</v>
          </cell>
          <cell r="B2546" t="str">
            <v>DalsinghSarai</v>
          </cell>
          <cell r="C2546" t="str">
            <v>DalsinghSarai</v>
          </cell>
          <cell r="D2546" t="str">
            <v>ARMAULI-2</v>
          </cell>
          <cell r="E2546">
            <v>10120007</v>
          </cell>
          <cell r="F2546" t="str">
            <v>0168</v>
          </cell>
          <cell r="G2546">
            <v>10</v>
          </cell>
          <cell r="H2546">
            <v>39.820000000000007</v>
          </cell>
          <cell r="I2546">
            <v>2216.0536331673002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P2546">
            <v>2216</v>
          </cell>
          <cell r="V2546" t="str">
            <v>Available</v>
          </cell>
        </row>
        <row r="2547">
          <cell r="A2547" t="str">
            <v>101200120001</v>
          </cell>
          <cell r="B2547" t="str">
            <v>DalsinghSarai</v>
          </cell>
          <cell r="C2547" t="str">
            <v>DalsinghSarai</v>
          </cell>
          <cell r="D2547" t="str">
            <v>Sato Ghachchhi</v>
          </cell>
          <cell r="E2547">
            <v>10120012</v>
          </cell>
          <cell r="F2547" t="str">
            <v>0001</v>
          </cell>
          <cell r="G2547">
            <v>14</v>
          </cell>
          <cell r="H2547">
            <v>14.5</v>
          </cell>
          <cell r="I2547">
            <v>624.15191520000008</v>
          </cell>
          <cell r="J2547">
            <v>0</v>
          </cell>
          <cell r="K2547">
            <v>624.15191520000008</v>
          </cell>
          <cell r="L2547">
            <v>0</v>
          </cell>
          <cell r="M2547">
            <v>0</v>
          </cell>
          <cell r="P2547">
            <v>0</v>
          </cell>
          <cell r="V2547" t="str">
            <v>Not Available</v>
          </cell>
        </row>
        <row r="2548">
          <cell r="A2548" t="str">
            <v>101200120002</v>
          </cell>
          <cell r="B2548" t="str">
            <v>DalsinghSarai</v>
          </cell>
          <cell r="C2548" t="str">
            <v>DalsinghSarai</v>
          </cell>
          <cell r="D2548" t="str">
            <v>Sato Ghachchhi</v>
          </cell>
          <cell r="E2548">
            <v>10120012</v>
          </cell>
          <cell r="F2548" t="str">
            <v>0002</v>
          </cell>
          <cell r="G2548">
            <v>14</v>
          </cell>
          <cell r="H2548">
            <v>41.300000000000011</v>
          </cell>
          <cell r="I2548">
            <v>1778.1469529472008</v>
          </cell>
          <cell r="J2548">
            <v>0</v>
          </cell>
          <cell r="K2548">
            <v>0</v>
          </cell>
          <cell r="L2548">
            <v>34</v>
          </cell>
          <cell r="M2548">
            <v>0</v>
          </cell>
          <cell r="P2548">
            <v>1744</v>
          </cell>
          <cell r="V2548" t="str">
            <v>Available</v>
          </cell>
        </row>
        <row r="2549">
          <cell r="A2549" t="str">
            <v>101200120003</v>
          </cell>
          <cell r="B2549" t="str">
            <v>DalsinghSarai</v>
          </cell>
          <cell r="C2549" t="str">
            <v>DalsinghSarai</v>
          </cell>
          <cell r="D2549" t="str">
            <v>Sato Ghachchhi</v>
          </cell>
          <cell r="E2549">
            <v>10120012</v>
          </cell>
          <cell r="F2549" t="str">
            <v>0003</v>
          </cell>
          <cell r="G2549">
            <v>14</v>
          </cell>
          <cell r="H2549">
            <v>97.199999999999989</v>
          </cell>
          <cell r="I2549">
            <v>4484.3785920794007</v>
          </cell>
          <cell r="J2549">
            <v>0</v>
          </cell>
          <cell r="K2549">
            <v>0</v>
          </cell>
          <cell r="L2549">
            <v>0</v>
          </cell>
          <cell r="M2549">
            <v>900</v>
          </cell>
          <cell r="P2549">
            <v>3584</v>
          </cell>
          <cell r="V2549" t="str">
            <v>Available</v>
          </cell>
        </row>
        <row r="2550">
          <cell r="A2550" t="str">
            <v>101200120005</v>
          </cell>
          <cell r="B2550" t="str">
            <v>DalsinghSarai</v>
          </cell>
          <cell r="C2550" t="str">
            <v>DalsinghSarai</v>
          </cell>
          <cell r="D2550" t="str">
            <v>Sato Ghachchhi</v>
          </cell>
          <cell r="E2550">
            <v>10120012</v>
          </cell>
          <cell r="F2550" t="str">
            <v>0005</v>
          </cell>
          <cell r="G2550">
            <v>14</v>
          </cell>
          <cell r="H2550">
            <v>50.79999999999999</v>
          </cell>
          <cell r="I2550">
            <v>2789.6471528710008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P2550">
            <v>2790</v>
          </cell>
          <cell r="V2550" t="str">
            <v>Available</v>
          </cell>
        </row>
        <row r="2551">
          <cell r="A2551" t="str">
            <v>101200120007</v>
          </cell>
          <cell r="B2551" t="str">
            <v>DalsinghSarai</v>
          </cell>
          <cell r="C2551" t="str">
            <v>DalsinghSarai</v>
          </cell>
          <cell r="D2551" t="str">
            <v>Sato Ghachchhi</v>
          </cell>
          <cell r="E2551">
            <v>10120012</v>
          </cell>
          <cell r="F2551" t="str">
            <v>0007</v>
          </cell>
          <cell r="G2551">
            <v>14</v>
          </cell>
          <cell r="H2551">
            <v>39.199999999999996</v>
          </cell>
          <cell r="I2551">
            <v>2233.7801204700004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P2551">
            <v>2234</v>
          </cell>
          <cell r="V2551" t="str">
            <v>Available</v>
          </cell>
        </row>
        <row r="2552">
          <cell r="A2552" t="str">
            <v>101200120019</v>
          </cell>
          <cell r="B2552" t="str">
            <v>DalsinghSarai</v>
          </cell>
          <cell r="C2552" t="str">
            <v>DalsinghSarai</v>
          </cell>
          <cell r="D2552" t="str">
            <v>Sato Ghachchhi</v>
          </cell>
          <cell r="E2552">
            <v>10120012</v>
          </cell>
          <cell r="F2552" t="str">
            <v>0019</v>
          </cell>
          <cell r="G2552">
            <v>12</v>
          </cell>
          <cell r="H2552">
            <v>115.3</v>
          </cell>
          <cell r="I2552">
            <v>4341.8573193600005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P2552">
            <v>4342</v>
          </cell>
          <cell r="V2552" t="str">
            <v>Available</v>
          </cell>
        </row>
        <row r="2553">
          <cell r="A2553" t="str">
            <v>101200120026</v>
          </cell>
          <cell r="B2553" t="str">
            <v>DalsinghSarai</v>
          </cell>
          <cell r="C2553" t="str">
            <v>DalsinghSarai</v>
          </cell>
          <cell r="D2553" t="str">
            <v>Sato Ghachchhi</v>
          </cell>
          <cell r="E2553">
            <v>10120012</v>
          </cell>
          <cell r="F2553" t="str">
            <v>0026</v>
          </cell>
          <cell r="G2553">
            <v>14</v>
          </cell>
          <cell r="H2553">
            <v>44.7</v>
          </cell>
          <cell r="I2553">
            <v>1622.4873984000003</v>
          </cell>
          <cell r="J2553">
            <v>0</v>
          </cell>
          <cell r="K2553">
            <v>0</v>
          </cell>
          <cell r="L2553">
            <v>0</v>
          </cell>
          <cell r="M2553">
            <v>460</v>
          </cell>
          <cell r="P2553">
            <v>1162</v>
          </cell>
          <cell r="V2553" t="str">
            <v>Available</v>
          </cell>
        </row>
        <row r="2554">
          <cell r="A2554" t="str">
            <v>101200120052</v>
          </cell>
          <cell r="B2554" t="str">
            <v>DalsinghSarai</v>
          </cell>
          <cell r="C2554" t="str">
            <v>DalsinghSarai</v>
          </cell>
          <cell r="D2554" t="str">
            <v>Sato Ghachchhi</v>
          </cell>
          <cell r="E2554">
            <v>10120012</v>
          </cell>
          <cell r="F2554" t="str">
            <v>0052</v>
          </cell>
          <cell r="G2554">
            <v>10</v>
          </cell>
          <cell r="H2554">
            <v>24.099999999999998</v>
          </cell>
          <cell r="I2554">
            <v>1222.2015306840001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P2554">
            <v>1222</v>
          </cell>
          <cell r="V2554" t="str">
            <v>Available</v>
          </cell>
        </row>
        <row r="2555">
          <cell r="A2555" t="str">
            <v>101200120078</v>
          </cell>
          <cell r="B2555" t="str">
            <v>DalsinghSarai</v>
          </cell>
          <cell r="C2555" t="str">
            <v>DalsinghSarai</v>
          </cell>
          <cell r="D2555" t="str">
            <v>Sato Ghachchhi</v>
          </cell>
          <cell r="E2555">
            <v>10120012</v>
          </cell>
          <cell r="F2555" t="str">
            <v>0078</v>
          </cell>
          <cell r="G2555">
            <v>11</v>
          </cell>
          <cell r="H2555">
            <v>18.799999999999997</v>
          </cell>
          <cell r="I2555">
            <v>715.50557792999996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P2555">
            <v>716</v>
          </cell>
          <cell r="V2555" t="str">
            <v>Available</v>
          </cell>
        </row>
        <row r="2556">
          <cell r="A2556" t="str">
            <v>101200120084</v>
          </cell>
          <cell r="B2556" t="str">
            <v>DalsinghSarai</v>
          </cell>
          <cell r="C2556" t="str">
            <v>DalsinghSarai</v>
          </cell>
          <cell r="D2556" t="str">
            <v>Sato Ghachchhi</v>
          </cell>
          <cell r="E2556">
            <v>10120012</v>
          </cell>
          <cell r="F2556" t="str">
            <v>0084</v>
          </cell>
          <cell r="G2556">
            <v>14</v>
          </cell>
          <cell r="H2556">
            <v>47.1</v>
          </cell>
          <cell r="I2556">
            <v>1644.2657484660001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P2556">
            <v>1644</v>
          </cell>
          <cell r="V2556" t="str">
            <v>Available</v>
          </cell>
        </row>
        <row r="2557">
          <cell r="A2557" t="str">
            <v>101200120089</v>
          </cell>
          <cell r="B2557" t="str">
            <v>DalsinghSarai</v>
          </cell>
          <cell r="C2557" t="str">
            <v>DalsinghSarai</v>
          </cell>
          <cell r="D2557" t="str">
            <v>Sato Ghachchhi</v>
          </cell>
          <cell r="E2557">
            <v>10120012</v>
          </cell>
          <cell r="F2557" t="str">
            <v>0089</v>
          </cell>
          <cell r="G2557">
            <v>12</v>
          </cell>
          <cell r="H2557">
            <v>21.6</v>
          </cell>
          <cell r="I2557">
            <v>1216.9563393424801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P2557">
            <v>1217</v>
          </cell>
          <cell r="V2557" t="str">
            <v>Available</v>
          </cell>
        </row>
        <row r="2558">
          <cell r="A2558" t="str">
            <v>101200120093</v>
          </cell>
          <cell r="B2558" t="str">
            <v>DalsinghSarai</v>
          </cell>
          <cell r="C2558" t="str">
            <v>DalsinghSarai</v>
          </cell>
          <cell r="D2558" t="str">
            <v>Sato Ghachchhi</v>
          </cell>
          <cell r="E2558">
            <v>10120012</v>
          </cell>
          <cell r="F2558" t="str">
            <v>0093</v>
          </cell>
          <cell r="G2558">
            <v>3</v>
          </cell>
          <cell r="H2558">
            <v>5.3</v>
          </cell>
          <cell r="I2558">
            <v>329.24723969190006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P2558">
            <v>329</v>
          </cell>
          <cell r="V2558" t="str">
            <v>Available</v>
          </cell>
        </row>
        <row r="2559">
          <cell r="A2559" t="str">
            <v>101200120099</v>
          </cell>
          <cell r="B2559" t="str">
            <v>DalsinghSarai</v>
          </cell>
          <cell r="C2559" t="str">
            <v>DalsinghSarai</v>
          </cell>
          <cell r="D2559" t="str">
            <v>Sato Ghachchhi</v>
          </cell>
          <cell r="E2559">
            <v>10120012</v>
          </cell>
          <cell r="F2559" t="str">
            <v>0099</v>
          </cell>
          <cell r="G2559">
            <v>13</v>
          </cell>
          <cell r="H2559">
            <v>31.900000000000002</v>
          </cell>
          <cell r="I2559">
            <v>1139.8576044240001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P2559">
            <v>1140</v>
          </cell>
          <cell r="V2559" t="str">
            <v>Available</v>
          </cell>
        </row>
        <row r="2560">
          <cell r="A2560" t="str">
            <v>101200120100</v>
          </cell>
          <cell r="B2560" t="str">
            <v>DalsinghSarai</v>
          </cell>
          <cell r="C2560" t="str">
            <v>DalsinghSarai</v>
          </cell>
          <cell r="D2560" t="str">
            <v>Sato Ghachchhi</v>
          </cell>
          <cell r="E2560">
            <v>10120012</v>
          </cell>
          <cell r="F2560" t="str">
            <v>0100</v>
          </cell>
          <cell r="G2560">
            <v>14</v>
          </cell>
          <cell r="H2560">
            <v>31.9</v>
          </cell>
          <cell r="I2560">
            <v>1839.9833296511001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P2560">
            <v>1840</v>
          </cell>
          <cell r="V2560" t="str">
            <v>Available</v>
          </cell>
        </row>
        <row r="2561">
          <cell r="A2561" t="str">
            <v>101200120104</v>
          </cell>
          <cell r="B2561" t="str">
            <v>DalsinghSarai</v>
          </cell>
          <cell r="C2561" t="str">
            <v>DalsinghSarai</v>
          </cell>
          <cell r="D2561" t="str">
            <v>Sato Ghachchhi</v>
          </cell>
          <cell r="E2561">
            <v>10120012</v>
          </cell>
          <cell r="F2561" t="str">
            <v>0104</v>
          </cell>
          <cell r="G2561">
            <v>14</v>
          </cell>
          <cell r="H2561">
            <v>38.800000000000004</v>
          </cell>
          <cell r="I2561">
            <v>1661.5772165565002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P2561">
            <v>1662</v>
          </cell>
          <cell r="V2561" t="str">
            <v>Available</v>
          </cell>
        </row>
        <row r="2562">
          <cell r="A2562" t="str">
            <v>101200120107</v>
          </cell>
          <cell r="B2562" t="str">
            <v>DalsinghSarai</v>
          </cell>
          <cell r="C2562" t="str">
            <v>DalsinghSarai</v>
          </cell>
          <cell r="D2562" t="str">
            <v>Sato Ghachchhi</v>
          </cell>
          <cell r="E2562">
            <v>10120012</v>
          </cell>
          <cell r="F2562" t="str">
            <v>0107</v>
          </cell>
          <cell r="G2562">
            <v>12</v>
          </cell>
          <cell r="H2562">
            <v>21.700000000000003</v>
          </cell>
          <cell r="I2562">
            <v>801.15771918600001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P2562">
            <v>801</v>
          </cell>
          <cell r="V2562" t="str">
            <v>Available</v>
          </cell>
        </row>
        <row r="2563">
          <cell r="A2563" t="str">
            <v>101200120113</v>
          </cell>
          <cell r="B2563" t="str">
            <v>DalsinghSarai</v>
          </cell>
          <cell r="C2563" t="str">
            <v>DalsinghSarai</v>
          </cell>
          <cell r="D2563" t="str">
            <v>Sato Ghachchhi</v>
          </cell>
          <cell r="E2563">
            <v>10120012</v>
          </cell>
          <cell r="F2563" t="str">
            <v>0113</v>
          </cell>
          <cell r="G2563">
            <v>13</v>
          </cell>
          <cell r="H2563">
            <v>20.200000000000003</v>
          </cell>
          <cell r="I2563">
            <v>1060.8956209082003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P2563">
            <v>1061</v>
          </cell>
          <cell r="V2563" t="str">
            <v>Available</v>
          </cell>
        </row>
        <row r="2564">
          <cell r="A2564" t="str">
            <v>101200120114</v>
          </cell>
          <cell r="B2564" t="str">
            <v>DalsinghSarai</v>
          </cell>
          <cell r="C2564" t="str">
            <v>DalsinghSarai</v>
          </cell>
          <cell r="D2564" t="str">
            <v>Sato Ghachchhi</v>
          </cell>
          <cell r="E2564">
            <v>10120012</v>
          </cell>
          <cell r="F2564" t="str">
            <v>0114</v>
          </cell>
          <cell r="G2564">
            <v>11</v>
          </cell>
          <cell r="H2564">
            <v>26.299999999999997</v>
          </cell>
          <cell r="I2564">
            <v>1718.370690106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P2564">
            <v>1718</v>
          </cell>
          <cell r="V2564" t="str">
            <v>Available</v>
          </cell>
        </row>
        <row r="2565">
          <cell r="A2565" t="str">
            <v>101200120115</v>
          </cell>
          <cell r="B2565" t="str">
            <v>DalsinghSarai</v>
          </cell>
          <cell r="C2565" t="str">
            <v>DalsinghSarai</v>
          </cell>
          <cell r="D2565" t="str">
            <v>Sato Ghachchhi</v>
          </cell>
          <cell r="E2565">
            <v>10120012</v>
          </cell>
          <cell r="F2565" t="str">
            <v>0115</v>
          </cell>
          <cell r="G2565">
            <v>7</v>
          </cell>
          <cell r="H2565">
            <v>7.6</v>
          </cell>
          <cell r="I2565">
            <v>462.40354786299997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P2565">
            <v>462</v>
          </cell>
          <cell r="V2565" t="str">
            <v>Available</v>
          </cell>
        </row>
        <row r="2566">
          <cell r="A2566" t="str">
            <v>101200120116</v>
          </cell>
          <cell r="B2566" t="str">
            <v>DalsinghSarai</v>
          </cell>
          <cell r="C2566" t="str">
            <v>DalsinghSarai</v>
          </cell>
          <cell r="D2566" t="str">
            <v>Sato Ghachchhi</v>
          </cell>
          <cell r="E2566">
            <v>10120012</v>
          </cell>
          <cell r="F2566" t="str">
            <v>0116</v>
          </cell>
          <cell r="G2566">
            <v>14</v>
          </cell>
          <cell r="H2566">
            <v>51.899999999999991</v>
          </cell>
          <cell r="I2566">
            <v>1911.5468465940003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P2566">
            <v>1912</v>
          </cell>
          <cell r="V2566" t="str">
            <v>Available</v>
          </cell>
        </row>
        <row r="2567">
          <cell r="A2567" t="str">
            <v>101200120118</v>
          </cell>
          <cell r="B2567" t="str">
            <v>DalsinghSarai</v>
          </cell>
          <cell r="C2567" t="str">
            <v>DalsinghSarai</v>
          </cell>
          <cell r="D2567" t="str">
            <v>Sato Ghachchhi</v>
          </cell>
          <cell r="E2567">
            <v>10120012</v>
          </cell>
          <cell r="F2567" t="str">
            <v>0118</v>
          </cell>
          <cell r="G2567">
            <v>13</v>
          </cell>
          <cell r="H2567">
            <v>47.399999999999991</v>
          </cell>
          <cell r="I2567">
            <v>1815.7527828000002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P2567">
            <v>1816</v>
          </cell>
          <cell r="V2567" t="str">
            <v>Available</v>
          </cell>
        </row>
        <row r="2568">
          <cell r="A2568" t="str">
            <v>101200140002</v>
          </cell>
          <cell r="B2568" t="str">
            <v>DalsinghSarai</v>
          </cell>
          <cell r="C2568" t="str">
            <v>DalsinghSarai</v>
          </cell>
          <cell r="D2568" t="str">
            <v>Borna Rasalpur</v>
          </cell>
          <cell r="E2568">
            <v>10120014</v>
          </cell>
          <cell r="F2568" t="str">
            <v>0002</v>
          </cell>
          <cell r="G2568">
            <v>14</v>
          </cell>
          <cell r="H2568">
            <v>569.00999999999988</v>
          </cell>
          <cell r="I2568">
            <v>23036.226848316004</v>
          </cell>
          <cell r="J2568">
            <v>0</v>
          </cell>
          <cell r="K2568">
            <v>0</v>
          </cell>
          <cell r="L2568">
            <v>736</v>
          </cell>
          <cell r="M2568">
            <v>0</v>
          </cell>
          <cell r="P2568">
            <v>22300</v>
          </cell>
          <cell r="V2568" t="str">
            <v>Available</v>
          </cell>
        </row>
        <row r="2569">
          <cell r="A2569" t="str">
            <v>101200140003</v>
          </cell>
          <cell r="B2569" t="str">
            <v>DalsinghSarai</v>
          </cell>
          <cell r="C2569" t="str">
            <v>DalsinghSarai</v>
          </cell>
          <cell r="D2569" t="str">
            <v>Borna Rasalpur</v>
          </cell>
          <cell r="E2569">
            <v>10120014</v>
          </cell>
          <cell r="F2569" t="str">
            <v>0003</v>
          </cell>
          <cell r="G2569">
            <v>3</v>
          </cell>
          <cell r="H2569">
            <v>40.199999999999996</v>
          </cell>
          <cell r="I2569">
            <v>1743.884474508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P2569">
            <v>1744</v>
          </cell>
          <cell r="V2569" t="str">
            <v>Available</v>
          </cell>
        </row>
        <row r="2570">
          <cell r="A2570" t="str">
            <v>101200140033</v>
          </cell>
          <cell r="B2570" t="str">
            <v>DalsinghSarai</v>
          </cell>
          <cell r="C2570" t="str">
            <v>DalsinghSarai</v>
          </cell>
          <cell r="D2570" t="str">
            <v>Borna Rasalpur</v>
          </cell>
          <cell r="E2570">
            <v>10120014</v>
          </cell>
          <cell r="F2570" t="str">
            <v>0033</v>
          </cell>
          <cell r="G2570">
            <v>7</v>
          </cell>
          <cell r="H2570">
            <v>77.099999999999994</v>
          </cell>
          <cell r="I2570">
            <v>3147.8507359199998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P2570">
            <v>3148</v>
          </cell>
          <cell r="V2570" t="str">
            <v>Not Available</v>
          </cell>
        </row>
        <row r="2571">
          <cell r="A2571" t="str">
            <v>101200140037</v>
          </cell>
          <cell r="B2571" t="str">
            <v>DalsinghSarai</v>
          </cell>
          <cell r="C2571" t="str">
            <v>DalsinghSarai</v>
          </cell>
          <cell r="D2571" t="str">
            <v>Borna Rasalpur</v>
          </cell>
          <cell r="E2571">
            <v>10120014</v>
          </cell>
          <cell r="F2571" t="str">
            <v>0037</v>
          </cell>
          <cell r="G2571">
            <v>7</v>
          </cell>
          <cell r="H2571">
            <v>36.299999999999997</v>
          </cell>
          <cell r="I2571">
            <v>2397.88747775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P2571">
            <v>2398</v>
          </cell>
          <cell r="V2571" t="str">
            <v>Available</v>
          </cell>
        </row>
        <row r="2572">
          <cell r="A2572" t="str">
            <v>101200140041</v>
          </cell>
          <cell r="B2572" t="str">
            <v>DalsinghSarai</v>
          </cell>
          <cell r="C2572" t="str">
            <v>DalsinghSarai</v>
          </cell>
          <cell r="D2572" t="str">
            <v>Borna Rasalpur</v>
          </cell>
          <cell r="E2572">
            <v>10120014</v>
          </cell>
          <cell r="F2572" t="str">
            <v>0041</v>
          </cell>
          <cell r="G2572">
            <v>5</v>
          </cell>
          <cell r="H2572">
            <v>53.1</v>
          </cell>
          <cell r="I2572">
            <v>2277.4421023200002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P2572">
            <v>2277</v>
          </cell>
          <cell r="V2572" t="str">
            <v>Not Available</v>
          </cell>
        </row>
        <row r="2573">
          <cell r="A2573" t="str">
            <v>101200140043</v>
          </cell>
          <cell r="B2573" t="str">
            <v>DalsinghSarai</v>
          </cell>
          <cell r="C2573" t="str">
            <v>DalsinghSarai</v>
          </cell>
          <cell r="D2573" t="str">
            <v>Borna Rasalpur</v>
          </cell>
          <cell r="E2573">
            <v>10120014</v>
          </cell>
          <cell r="F2573" t="str">
            <v>0043</v>
          </cell>
          <cell r="G2573">
            <v>3</v>
          </cell>
          <cell r="H2573">
            <v>27.200000000000003</v>
          </cell>
          <cell r="I2573">
            <v>1294.2388349360001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P2573">
            <v>1294</v>
          </cell>
          <cell r="V2573" t="str">
            <v>Not Available</v>
          </cell>
        </row>
        <row r="2574">
          <cell r="A2574" t="str">
            <v>101200140044</v>
          </cell>
          <cell r="B2574" t="str">
            <v>DalsinghSarai</v>
          </cell>
          <cell r="C2574" t="str">
            <v>DalsinghSarai</v>
          </cell>
          <cell r="D2574" t="str">
            <v>Borna Rasalpur</v>
          </cell>
          <cell r="E2574">
            <v>10120014</v>
          </cell>
          <cell r="F2574" t="str">
            <v>0044</v>
          </cell>
          <cell r="G2574">
            <v>5</v>
          </cell>
          <cell r="H2574">
            <v>57.600000000000009</v>
          </cell>
          <cell r="I2574">
            <v>2433.2470588800002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P2574">
            <v>2433</v>
          </cell>
          <cell r="V2574" t="str">
            <v>Not Available</v>
          </cell>
        </row>
        <row r="2575">
          <cell r="A2575" t="str">
            <v>101200140045</v>
          </cell>
          <cell r="B2575" t="str">
            <v>DalsinghSarai</v>
          </cell>
          <cell r="C2575" t="str">
            <v>DalsinghSarai</v>
          </cell>
          <cell r="D2575" t="str">
            <v>Borna Rasalpur</v>
          </cell>
          <cell r="E2575">
            <v>10120014</v>
          </cell>
          <cell r="F2575" t="str">
            <v>0045</v>
          </cell>
          <cell r="G2575">
            <v>2</v>
          </cell>
          <cell r="H2575">
            <v>21.9</v>
          </cell>
          <cell r="I2575">
            <v>990.57400355099992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P2575">
            <v>991</v>
          </cell>
          <cell r="V2575" t="str">
            <v>Not Available</v>
          </cell>
        </row>
        <row r="2576">
          <cell r="A2576" t="str">
            <v>101200140046</v>
          </cell>
          <cell r="B2576" t="str">
            <v>DalsinghSarai</v>
          </cell>
          <cell r="C2576" t="str">
            <v>DalsinghSarai</v>
          </cell>
          <cell r="D2576" t="str">
            <v>Borna Rasalpur</v>
          </cell>
          <cell r="E2576">
            <v>10120014</v>
          </cell>
          <cell r="F2576" t="str">
            <v>0046</v>
          </cell>
          <cell r="G2576">
            <v>1</v>
          </cell>
          <cell r="H2576">
            <v>13.1</v>
          </cell>
          <cell r="I2576">
            <v>482.4613252800001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P2576">
            <v>482</v>
          </cell>
          <cell r="V2576" t="str">
            <v>Not Available</v>
          </cell>
        </row>
        <row r="2577">
          <cell r="A2577" t="str">
            <v>101200140047</v>
          </cell>
          <cell r="B2577" t="str">
            <v>DalsinghSarai</v>
          </cell>
          <cell r="C2577" t="str">
            <v>DalsinghSarai</v>
          </cell>
          <cell r="D2577" t="str">
            <v>Borna Rasalpur</v>
          </cell>
          <cell r="E2577">
            <v>10120014</v>
          </cell>
          <cell r="F2577" t="str">
            <v>0047</v>
          </cell>
          <cell r="G2577">
            <v>1</v>
          </cell>
          <cell r="H2577">
            <v>5.4</v>
          </cell>
          <cell r="I2577">
            <v>225.96365880000005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P2577">
            <v>226</v>
          </cell>
          <cell r="V2577" t="str">
            <v>Not Available</v>
          </cell>
        </row>
        <row r="2578">
          <cell r="A2578" t="str">
            <v>101200140048</v>
          </cell>
          <cell r="B2578" t="str">
            <v>DalsinghSarai</v>
          </cell>
          <cell r="C2578" t="str">
            <v>DalsinghSarai</v>
          </cell>
          <cell r="D2578" t="str">
            <v>Borna Rasalpur</v>
          </cell>
          <cell r="E2578">
            <v>10120014</v>
          </cell>
          <cell r="F2578" t="str">
            <v>0048</v>
          </cell>
          <cell r="G2578">
            <v>2</v>
          </cell>
          <cell r="H2578">
            <v>26.4</v>
          </cell>
          <cell r="I2578">
            <v>1093.1480208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P2578">
            <v>1093</v>
          </cell>
          <cell r="V2578" t="str">
            <v>Not Available</v>
          </cell>
        </row>
        <row r="2579">
          <cell r="A2579" t="str">
            <v>101200140049</v>
          </cell>
          <cell r="B2579" t="str">
            <v>DalsinghSarai</v>
          </cell>
          <cell r="C2579" t="str">
            <v>DalsinghSarai</v>
          </cell>
          <cell r="D2579" t="str">
            <v>Borna Rasalpur</v>
          </cell>
          <cell r="E2579">
            <v>10120014</v>
          </cell>
          <cell r="F2579" t="str">
            <v>0049</v>
          </cell>
          <cell r="G2579">
            <v>2</v>
          </cell>
          <cell r="H2579">
            <v>17.399999999999999</v>
          </cell>
          <cell r="I2579">
            <v>741.64832280000007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P2579">
            <v>742</v>
          </cell>
          <cell r="V2579" t="str">
            <v>Not Available</v>
          </cell>
        </row>
        <row r="2580">
          <cell r="A2580" t="str">
            <v>101200140050</v>
          </cell>
          <cell r="B2580" t="str">
            <v>DalsinghSarai</v>
          </cell>
          <cell r="C2580" t="str">
            <v>DalsinghSarai</v>
          </cell>
          <cell r="D2580" t="str">
            <v>Borna Rasalpur</v>
          </cell>
          <cell r="E2580">
            <v>10120014</v>
          </cell>
          <cell r="F2580" t="str">
            <v>0050</v>
          </cell>
          <cell r="G2580">
            <v>2</v>
          </cell>
          <cell r="H2580">
            <v>16</v>
          </cell>
          <cell r="I2580">
            <v>763.73024565000003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P2580">
            <v>764</v>
          </cell>
          <cell r="V2580" t="str">
            <v>Not Available</v>
          </cell>
        </row>
        <row r="2581">
          <cell r="A2581" t="str">
            <v>101200140051</v>
          </cell>
          <cell r="B2581" t="str">
            <v>DalsinghSarai</v>
          </cell>
          <cell r="C2581" t="str">
            <v>DalsinghSarai</v>
          </cell>
          <cell r="D2581" t="str">
            <v>Borna Rasalpur</v>
          </cell>
          <cell r="E2581">
            <v>10120014</v>
          </cell>
          <cell r="F2581" t="str">
            <v>0051</v>
          </cell>
          <cell r="G2581">
            <v>1</v>
          </cell>
          <cell r="H2581">
            <v>12.1</v>
          </cell>
          <cell r="I2581">
            <v>511.11757620000003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P2581">
            <v>511</v>
          </cell>
          <cell r="V2581" t="str">
            <v>Not Available</v>
          </cell>
        </row>
        <row r="2582">
          <cell r="A2582" t="str">
            <v>101200140055</v>
          </cell>
          <cell r="B2582" t="str">
            <v>DalsinghSarai</v>
          </cell>
          <cell r="C2582" t="str">
            <v>DalsinghSarai</v>
          </cell>
          <cell r="D2582" t="str">
            <v>Borna Rasalpur</v>
          </cell>
          <cell r="E2582">
            <v>10120014</v>
          </cell>
          <cell r="F2582" t="str">
            <v>0055</v>
          </cell>
          <cell r="G2582">
            <v>1</v>
          </cell>
          <cell r="H2582">
            <v>13</v>
          </cell>
          <cell r="I2582">
            <v>528.54258600000003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P2582">
            <v>529</v>
          </cell>
          <cell r="V2582" t="str">
            <v>Not Available</v>
          </cell>
        </row>
        <row r="2583">
          <cell r="A2583" t="str">
            <v>101200150002</v>
          </cell>
          <cell r="B2583" t="str">
            <v>DalsinghSarai</v>
          </cell>
          <cell r="C2583" t="str">
            <v>DalsinghSarai</v>
          </cell>
          <cell r="D2583" t="str">
            <v>Rasalpur</v>
          </cell>
          <cell r="E2583">
            <v>10120015</v>
          </cell>
          <cell r="F2583" t="str">
            <v>0002</v>
          </cell>
          <cell r="G2583">
            <v>9</v>
          </cell>
          <cell r="H2583">
            <v>276.3</v>
          </cell>
          <cell r="I2583">
            <v>10658.8859965632</v>
          </cell>
          <cell r="J2583">
            <v>0</v>
          </cell>
          <cell r="K2583">
            <v>0</v>
          </cell>
          <cell r="L2583">
            <v>8458</v>
          </cell>
          <cell r="M2583">
            <v>1350</v>
          </cell>
          <cell r="P2583">
            <v>851</v>
          </cell>
          <cell r="V2583" t="str">
            <v>Available</v>
          </cell>
        </row>
        <row r="2584">
          <cell r="A2584" t="str">
            <v>101200150027</v>
          </cell>
          <cell r="B2584" t="str">
            <v>DalsinghSarai</v>
          </cell>
          <cell r="C2584" t="str">
            <v>DalsinghSarai</v>
          </cell>
          <cell r="D2584" t="str">
            <v>Rasalpur</v>
          </cell>
          <cell r="E2584">
            <v>10120015</v>
          </cell>
          <cell r="F2584" t="str">
            <v>0027</v>
          </cell>
          <cell r="G2584">
            <v>13</v>
          </cell>
          <cell r="H2584">
            <v>58.319999999999993</v>
          </cell>
          <cell r="I2584">
            <v>2360.7224569169998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P2584">
            <v>2361</v>
          </cell>
          <cell r="V2584" t="str">
            <v>Available</v>
          </cell>
        </row>
        <row r="2585">
          <cell r="A2585" t="str">
            <v>101200150030</v>
          </cell>
          <cell r="B2585" t="str">
            <v>DalsinghSarai</v>
          </cell>
          <cell r="C2585" t="str">
            <v>DalsinghSarai</v>
          </cell>
          <cell r="D2585" t="str">
            <v>Rasalpur</v>
          </cell>
          <cell r="E2585">
            <v>10120015</v>
          </cell>
          <cell r="F2585" t="str">
            <v>0030</v>
          </cell>
          <cell r="G2585">
            <v>10</v>
          </cell>
          <cell r="H2585">
            <v>199.60999999999999</v>
          </cell>
          <cell r="I2585">
            <v>7883.6982662196006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P2585">
            <v>7884</v>
          </cell>
          <cell r="V2585" t="str">
            <v>Available</v>
          </cell>
        </row>
        <row r="2586">
          <cell r="A2586" t="str">
            <v>101200150031</v>
          </cell>
          <cell r="B2586" t="str">
            <v>DalsinghSarai</v>
          </cell>
          <cell r="C2586" t="str">
            <v>DalsinghSarai</v>
          </cell>
          <cell r="D2586" t="str">
            <v>Rasalpur</v>
          </cell>
          <cell r="E2586">
            <v>10120015</v>
          </cell>
          <cell r="F2586" t="str">
            <v>0031</v>
          </cell>
          <cell r="G2586">
            <v>3</v>
          </cell>
          <cell r="H2586">
            <v>7.34</v>
          </cell>
          <cell r="I2586">
            <v>255.43651349700002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P2586">
            <v>255</v>
          </cell>
          <cell r="V2586" t="str">
            <v>Available</v>
          </cell>
        </row>
        <row r="2587">
          <cell r="A2587" t="str">
            <v>101200150032</v>
          </cell>
          <cell r="B2587" t="str">
            <v>DalsinghSarai</v>
          </cell>
          <cell r="C2587" t="str">
            <v>DalsinghSarai</v>
          </cell>
          <cell r="D2587" t="str">
            <v>Rasalpur</v>
          </cell>
          <cell r="E2587">
            <v>10120015</v>
          </cell>
          <cell r="F2587" t="str">
            <v>0032</v>
          </cell>
          <cell r="G2587">
            <v>8</v>
          </cell>
          <cell r="H2587">
            <v>19.290000000000003</v>
          </cell>
          <cell r="I2587">
            <v>759.29444762551998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P2587">
            <v>759</v>
          </cell>
          <cell r="V2587" t="str">
            <v>Available</v>
          </cell>
        </row>
        <row r="2588">
          <cell r="A2588" t="str">
            <v>101200150033</v>
          </cell>
          <cell r="B2588" t="str">
            <v>DalsinghSarai</v>
          </cell>
          <cell r="C2588" t="str">
            <v>DalsinghSarai</v>
          </cell>
          <cell r="D2588" t="str">
            <v>Rasalpur</v>
          </cell>
          <cell r="E2588">
            <v>10120015</v>
          </cell>
          <cell r="F2588" t="str">
            <v>0033</v>
          </cell>
          <cell r="G2588">
            <v>10</v>
          </cell>
          <cell r="H2588">
            <v>335.48</v>
          </cell>
          <cell r="I2588">
            <v>13223.0822987142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P2588">
            <v>13223</v>
          </cell>
          <cell r="V2588" t="str">
            <v>Available</v>
          </cell>
        </row>
        <row r="2589">
          <cell r="A2589" t="str">
            <v>101200150037</v>
          </cell>
          <cell r="B2589" t="str">
            <v>DalsinghSarai</v>
          </cell>
          <cell r="C2589" t="str">
            <v>DalsinghSarai</v>
          </cell>
          <cell r="D2589" t="str">
            <v>Rasalpur</v>
          </cell>
          <cell r="E2589">
            <v>10120015</v>
          </cell>
          <cell r="F2589" t="str">
            <v>0037</v>
          </cell>
          <cell r="G2589">
            <v>13</v>
          </cell>
          <cell r="H2589">
            <v>46.95</v>
          </cell>
          <cell r="I2589">
            <v>1701.5225993469001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P2589">
            <v>1702</v>
          </cell>
          <cell r="V2589" t="str">
            <v>Available</v>
          </cell>
        </row>
        <row r="2590">
          <cell r="A2590" t="str">
            <v>101200150038</v>
          </cell>
          <cell r="B2590" t="str">
            <v>DalsinghSarai</v>
          </cell>
          <cell r="C2590" t="str">
            <v>DalsinghSarai</v>
          </cell>
          <cell r="D2590" t="str">
            <v>Rasalpur</v>
          </cell>
          <cell r="E2590">
            <v>10120015</v>
          </cell>
          <cell r="F2590" t="str">
            <v>0038</v>
          </cell>
          <cell r="G2590">
            <v>14</v>
          </cell>
          <cell r="H2590">
            <v>47.01</v>
          </cell>
          <cell r="I2590">
            <v>1751.5456753806002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P2590">
            <v>1752</v>
          </cell>
          <cell r="V2590" t="str">
            <v>Available</v>
          </cell>
        </row>
        <row r="2591">
          <cell r="A2591" t="str">
            <v>101200150040</v>
          </cell>
          <cell r="B2591" t="str">
            <v>DalsinghSarai</v>
          </cell>
          <cell r="C2591" t="str">
            <v>DalsinghSarai</v>
          </cell>
          <cell r="D2591" t="str">
            <v>Rasalpur</v>
          </cell>
          <cell r="E2591">
            <v>10120015</v>
          </cell>
          <cell r="F2591" t="str">
            <v>0040</v>
          </cell>
          <cell r="G2591">
            <v>14</v>
          </cell>
          <cell r="H2591">
            <v>51.64</v>
          </cell>
          <cell r="I2591">
            <v>1829.0959701498002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P2591">
            <v>1829</v>
          </cell>
          <cell r="V2591" t="str">
            <v>Available</v>
          </cell>
        </row>
        <row r="2592">
          <cell r="A2592" t="str">
            <v>101200150045</v>
          </cell>
          <cell r="B2592" t="str">
            <v>DalsinghSarai</v>
          </cell>
          <cell r="C2592" t="str">
            <v>DalsinghSarai</v>
          </cell>
          <cell r="D2592" t="str">
            <v>Rasalpur</v>
          </cell>
          <cell r="E2592">
            <v>10120015</v>
          </cell>
          <cell r="F2592" t="str">
            <v>0045</v>
          </cell>
          <cell r="G2592">
            <v>14</v>
          </cell>
          <cell r="H2592">
            <v>44.88</v>
          </cell>
          <cell r="I2592">
            <v>1649.5840582055998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P2592">
            <v>1650</v>
          </cell>
          <cell r="V2592" t="str">
            <v>Not Available</v>
          </cell>
        </row>
        <row r="2593">
          <cell r="A2593" t="str">
            <v>101200150050</v>
          </cell>
          <cell r="B2593" t="str">
            <v>DalsinghSarai</v>
          </cell>
          <cell r="C2593" t="str">
            <v>DalsinghSarai</v>
          </cell>
          <cell r="D2593" t="str">
            <v>Rasalpur</v>
          </cell>
          <cell r="E2593">
            <v>10120015</v>
          </cell>
          <cell r="F2593" t="str">
            <v>0050</v>
          </cell>
          <cell r="G2593">
            <v>1</v>
          </cell>
          <cell r="H2593">
            <v>5.24</v>
          </cell>
          <cell r="I2593">
            <v>175.13850134880002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P2593">
            <v>175</v>
          </cell>
          <cell r="V2593" t="str">
            <v>Not Available</v>
          </cell>
        </row>
        <row r="2594">
          <cell r="A2594" t="str">
            <v>101200150055</v>
          </cell>
          <cell r="B2594" t="str">
            <v>DalsinghSarai</v>
          </cell>
          <cell r="C2594" t="str">
            <v>DalsinghSarai</v>
          </cell>
          <cell r="D2594" t="str">
            <v>Rasalpur</v>
          </cell>
          <cell r="E2594">
            <v>10120015</v>
          </cell>
          <cell r="F2594" t="str">
            <v>0055</v>
          </cell>
          <cell r="G2594">
            <v>7</v>
          </cell>
          <cell r="H2594">
            <v>8.39</v>
          </cell>
          <cell r="I2594">
            <v>356.90071964655601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P2594">
            <v>357</v>
          </cell>
          <cell r="V2594" t="str">
            <v>Not Available</v>
          </cell>
        </row>
        <row r="2595">
          <cell r="A2595" t="str">
            <v>101200150056</v>
          </cell>
          <cell r="B2595" t="str">
            <v>DalsinghSarai</v>
          </cell>
          <cell r="C2595" t="str">
            <v>DalsinghSarai</v>
          </cell>
          <cell r="D2595" t="str">
            <v>Rasalpur</v>
          </cell>
          <cell r="E2595">
            <v>10120015</v>
          </cell>
          <cell r="F2595" t="str">
            <v>0056</v>
          </cell>
          <cell r="G2595">
            <v>14</v>
          </cell>
          <cell r="H2595">
            <v>66.05</v>
          </cell>
          <cell r="I2595">
            <v>2455.008337881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P2595">
            <v>2455</v>
          </cell>
          <cell r="V2595" t="str">
            <v>Not Available</v>
          </cell>
        </row>
        <row r="2596">
          <cell r="A2596" t="str">
            <v>101200150057</v>
          </cell>
          <cell r="B2596" t="str">
            <v>DalsinghSarai</v>
          </cell>
          <cell r="C2596" t="str">
            <v>DalsinghSarai</v>
          </cell>
          <cell r="D2596" t="str">
            <v>Rasalpur</v>
          </cell>
          <cell r="E2596">
            <v>10120015</v>
          </cell>
          <cell r="F2596" t="str">
            <v>0057</v>
          </cell>
          <cell r="G2596">
            <v>14</v>
          </cell>
          <cell r="H2596">
            <v>55.1</v>
          </cell>
          <cell r="I2596">
            <v>1948.3991577666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P2596">
            <v>1948</v>
          </cell>
          <cell r="V2596" t="str">
            <v>Not Available</v>
          </cell>
        </row>
        <row r="2597">
          <cell r="A2597" t="str">
            <v>101200150064</v>
          </cell>
          <cell r="B2597" t="str">
            <v>DalsinghSarai</v>
          </cell>
          <cell r="C2597" t="str">
            <v>DalsinghSarai</v>
          </cell>
          <cell r="D2597" t="str">
            <v>Rasalpur</v>
          </cell>
          <cell r="E2597">
            <v>10120015</v>
          </cell>
          <cell r="F2597" t="str">
            <v>0064</v>
          </cell>
          <cell r="G2597">
            <v>13</v>
          </cell>
          <cell r="H2597">
            <v>18.46</v>
          </cell>
          <cell r="I2597">
            <v>710.8372064376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P2597">
            <v>711</v>
          </cell>
          <cell r="V2597" t="str">
            <v>Available</v>
          </cell>
        </row>
        <row r="2598">
          <cell r="A2598" t="str">
            <v>101200150067</v>
          </cell>
          <cell r="B2598" t="str">
            <v>DalsinghSarai</v>
          </cell>
          <cell r="C2598" t="str">
            <v>DalsinghSarai</v>
          </cell>
          <cell r="D2598" t="str">
            <v>Rasalpur</v>
          </cell>
          <cell r="E2598">
            <v>10120015</v>
          </cell>
          <cell r="F2598" t="str">
            <v>0067</v>
          </cell>
          <cell r="G2598">
            <v>7</v>
          </cell>
          <cell r="H2598">
            <v>17.330000000000002</v>
          </cell>
          <cell r="I2598">
            <v>601.31337272819997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P2598">
            <v>601</v>
          </cell>
          <cell r="V2598" t="str">
            <v>Available</v>
          </cell>
        </row>
        <row r="2599">
          <cell r="A2599" t="str">
            <v>101200150068</v>
          </cell>
          <cell r="B2599" t="str">
            <v>DalsinghSarai</v>
          </cell>
          <cell r="C2599" t="str">
            <v>DalsinghSarai</v>
          </cell>
          <cell r="D2599" t="str">
            <v>Rasalpur</v>
          </cell>
          <cell r="E2599">
            <v>10120015</v>
          </cell>
          <cell r="F2599" t="str">
            <v>0068</v>
          </cell>
          <cell r="G2599">
            <v>7</v>
          </cell>
          <cell r="H2599">
            <v>10.67</v>
          </cell>
          <cell r="I2599">
            <v>410.80791715920003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P2599">
            <v>411</v>
          </cell>
          <cell r="V2599" t="str">
            <v>Available</v>
          </cell>
        </row>
        <row r="2600">
          <cell r="A2600" t="str">
            <v>101200150077</v>
          </cell>
          <cell r="B2600" t="str">
            <v>DalsinghSarai</v>
          </cell>
          <cell r="C2600" t="str">
            <v>DalsinghSarai</v>
          </cell>
          <cell r="D2600" t="str">
            <v>Rasalpur</v>
          </cell>
          <cell r="E2600">
            <v>10120015</v>
          </cell>
          <cell r="F2600" t="str">
            <v>0077</v>
          </cell>
          <cell r="G2600">
            <v>14</v>
          </cell>
          <cell r="H2600">
            <v>68.039999999999992</v>
          </cell>
          <cell r="I2600">
            <v>2746.6182684094006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P2600">
            <v>2747</v>
          </cell>
          <cell r="V2600" t="str">
            <v>Available</v>
          </cell>
        </row>
        <row r="2601">
          <cell r="A2601" t="str">
            <v>101200160001</v>
          </cell>
          <cell r="B2601" t="str">
            <v>DalsinghSarai</v>
          </cell>
          <cell r="C2601" t="str">
            <v>DalsinghSarai</v>
          </cell>
          <cell r="D2601" t="str">
            <v>Narahan</v>
          </cell>
          <cell r="E2601">
            <v>10120016</v>
          </cell>
          <cell r="F2601" t="str">
            <v>0001</v>
          </cell>
          <cell r="G2601">
            <v>12</v>
          </cell>
          <cell r="H2601">
            <v>5.330000000000001</v>
          </cell>
          <cell r="I2601">
            <v>183.98334798360003</v>
          </cell>
          <cell r="J2601">
            <v>0</v>
          </cell>
          <cell r="K2601">
            <v>183.98334798360003</v>
          </cell>
          <cell r="L2601">
            <v>0</v>
          </cell>
          <cell r="M2601">
            <v>0</v>
          </cell>
          <cell r="P2601">
            <v>0</v>
          </cell>
          <cell r="V2601" t="str">
            <v>Not Available</v>
          </cell>
        </row>
        <row r="2602">
          <cell r="A2602" t="str">
            <v>101200160002</v>
          </cell>
          <cell r="B2602" t="str">
            <v>DalsinghSarai</v>
          </cell>
          <cell r="C2602" t="str">
            <v>DalsinghSarai</v>
          </cell>
          <cell r="D2602" t="str">
            <v>Narahan</v>
          </cell>
          <cell r="E2602">
            <v>10120016</v>
          </cell>
          <cell r="F2602" t="str">
            <v>0002</v>
          </cell>
          <cell r="G2602">
            <v>14</v>
          </cell>
          <cell r="H2602">
            <v>96.97999999999999</v>
          </cell>
          <cell r="I2602">
            <v>3402.0119353571999</v>
          </cell>
          <cell r="J2602">
            <v>0</v>
          </cell>
          <cell r="K2602">
            <v>0</v>
          </cell>
          <cell r="L2602">
            <v>0</v>
          </cell>
          <cell r="M2602">
            <v>500</v>
          </cell>
          <cell r="P2602">
            <v>2902</v>
          </cell>
          <cell r="V2602" t="str">
            <v>Available</v>
          </cell>
        </row>
        <row r="2603">
          <cell r="A2603" t="str">
            <v>101200160003</v>
          </cell>
          <cell r="B2603" t="str">
            <v>DalsinghSarai</v>
          </cell>
          <cell r="C2603" t="str">
            <v>DalsinghSarai</v>
          </cell>
          <cell r="D2603" t="str">
            <v>Narahan</v>
          </cell>
          <cell r="E2603">
            <v>10120016</v>
          </cell>
          <cell r="F2603" t="str">
            <v>0003</v>
          </cell>
          <cell r="G2603">
            <v>14</v>
          </cell>
          <cell r="H2603">
            <v>64.459999999999994</v>
          </cell>
          <cell r="I2603">
            <v>2311.5663851939998</v>
          </cell>
          <cell r="J2603">
            <v>0</v>
          </cell>
          <cell r="K2603">
            <v>0</v>
          </cell>
          <cell r="L2603">
            <v>0</v>
          </cell>
          <cell r="M2603">
            <v>600</v>
          </cell>
          <cell r="P2603">
            <v>1712</v>
          </cell>
          <cell r="V2603" t="str">
            <v>Available</v>
          </cell>
        </row>
        <row r="2604">
          <cell r="A2604" t="str">
            <v>101200160005</v>
          </cell>
          <cell r="B2604" t="str">
            <v>DalsinghSarai</v>
          </cell>
          <cell r="C2604" t="str">
            <v>DalsinghSarai</v>
          </cell>
          <cell r="D2604" t="str">
            <v>Narahan</v>
          </cell>
          <cell r="E2604">
            <v>10120016</v>
          </cell>
          <cell r="F2604" t="str">
            <v>0005</v>
          </cell>
          <cell r="G2604">
            <v>14</v>
          </cell>
          <cell r="H2604">
            <v>66.069999999999993</v>
          </cell>
          <cell r="I2604">
            <v>2337.4144095786005</v>
          </cell>
          <cell r="J2604">
            <v>0</v>
          </cell>
          <cell r="K2604">
            <v>0</v>
          </cell>
          <cell r="L2604">
            <v>0</v>
          </cell>
          <cell r="M2604">
            <v>638</v>
          </cell>
          <cell r="P2604">
            <v>1699</v>
          </cell>
          <cell r="V2604" t="str">
            <v>Available</v>
          </cell>
        </row>
        <row r="2605">
          <cell r="A2605" t="str">
            <v>101200160006</v>
          </cell>
          <cell r="B2605" t="str">
            <v>DalsinghSarai</v>
          </cell>
          <cell r="C2605" t="str">
            <v>DalsinghSarai</v>
          </cell>
          <cell r="D2605" t="str">
            <v>Narahan</v>
          </cell>
          <cell r="E2605">
            <v>10120016</v>
          </cell>
          <cell r="F2605" t="str">
            <v>0006</v>
          </cell>
          <cell r="G2605">
            <v>12</v>
          </cell>
          <cell r="H2605">
            <v>55.269999999999996</v>
          </cell>
          <cell r="I2605">
            <v>1958.9367604158003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P2605">
            <v>1959</v>
          </cell>
          <cell r="V2605" t="str">
            <v>Available</v>
          </cell>
        </row>
        <row r="2606">
          <cell r="A2606" t="str">
            <v>101200170002</v>
          </cell>
          <cell r="B2606" t="str">
            <v>DalsinghSarai</v>
          </cell>
          <cell r="C2606" t="str">
            <v>DalsinghSarai</v>
          </cell>
          <cell r="D2606" t="str">
            <v>Gomukh Dumduma</v>
          </cell>
          <cell r="E2606">
            <v>10120017</v>
          </cell>
          <cell r="F2606" t="str">
            <v>0002</v>
          </cell>
          <cell r="G2606">
            <v>14</v>
          </cell>
          <cell r="H2606">
            <v>279.70999999999992</v>
          </cell>
          <cell r="I2606">
            <v>10750.047674256002</v>
          </cell>
          <cell r="J2606">
            <v>0</v>
          </cell>
          <cell r="K2606">
            <v>0</v>
          </cell>
          <cell r="L2606">
            <v>1393</v>
          </cell>
          <cell r="M2606">
            <v>6750</v>
          </cell>
          <cell r="P2606">
            <v>2607</v>
          </cell>
          <cell r="V2606" t="str">
            <v>Available</v>
          </cell>
        </row>
        <row r="2607">
          <cell r="A2607" t="str">
            <v>101200170005</v>
          </cell>
          <cell r="B2607" t="str">
            <v>DalsinghSarai</v>
          </cell>
          <cell r="C2607" t="str">
            <v>DalsinghSarai</v>
          </cell>
          <cell r="D2607" t="str">
            <v>Gomukh Dumduma</v>
          </cell>
          <cell r="E2607">
            <v>10120017</v>
          </cell>
          <cell r="F2607" t="str">
            <v>0005</v>
          </cell>
          <cell r="G2607">
            <v>8</v>
          </cell>
          <cell r="H2607">
            <v>80.500000000000014</v>
          </cell>
          <cell r="I2607">
            <v>3079.0935133200005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P2607">
            <v>3079</v>
          </cell>
          <cell r="V2607" t="str">
            <v>Available</v>
          </cell>
        </row>
        <row r="2608">
          <cell r="A2608" t="str">
            <v>101200170026</v>
          </cell>
          <cell r="B2608" t="str">
            <v>DalsinghSarai</v>
          </cell>
          <cell r="C2608" t="str">
            <v>DalsinghSarai</v>
          </cell>
          <cell r="D2608" t="str">
            <v>Gomukh Dumduma</v>
          </cell>
          <cell r="E2608">
            <v>10120017</v>
          </cell>
          <cell r="F2608" t="str">
            <v>0026</v>
          </cell>
          <cell r="G2608">
            <v>8</v>
          </cell>
          <cell r="H2608">
            <v>79.800000000000011</v>
          </cell>
          <cell r="I2608">
            <v>3051.7687530000003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P2608">
            <v>3052</v>
          </cell>
          <cell r="V2608" t="str">
            <v>Available</v>
          </cell>
        </row>
        <row r="2609">
          <cell r="A2609" t="str">
            <v>101200180002</v>
          </cell>
          <cell r="B2609" t="str">
            <v>DalsinghSarai</v>
          </cell>
          <cell r="C2609" t="str">
            <v>DalsinghSarai</v>
          </cell>
          <cell r="D2609" t="str">
            <v>SUPOL</v>
          </cell>
          <cell r="E2609">
            <v>10120018</v>
          </cell>
          <cell r="F2609" t="str">
            <v>0002</v>
          </cell>
          <cell r="G2609">
            <v>14</v>
          </cell>
          <cell r="H2609">
            <v>240</v>
          </cell>
          <cell r="I2609">
            <v>9947.7892799999991</v>
          </cell>
          <cell r="J2609">
            <v>0</v>
          </cell>
          <cell r="K2609">
            <v>0</v>
          </cell>
          <cell r="L2609">
            <v>4138</v>
          </cell>
          <cell r="M2609">
            <v>0</v>
          </cell>
          <cell r="P2609">
            <v>5741</v>
          </cell>
          <cell r="V2609" t="str">
            <v>Available</v>
          </cell>
        </row>
        <row r="2610">
          <cell r="A2610" t="str">
            <v>101200180003</v>
          </cell>
          <cell r="B2610" t="str">
            <v>DalsinghSarai</v>
          </cell>
          <cell r="C2610" t="str">
            <v>DalsinghSarai</v>
          </cell>
          <cell r="D2610" t="str">
            <v>SUPOL</v>
          </cell>
          <cell r="E2610">
            <v>10120018</v>
          </cell>
          <cell r="F2610" t="str">
            <v>0003</v>
          </cell>
          <cell r="G2610">
            <v>8</v>
          </cell>
          <cell r="H2610">
            <v>110</v>
          </cell>
          <cell r="I2610">
            <v>4559.4034199999996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P2610">
            <v>4559</v>
          </cell>
          <cell r="V2610" t="str">
            <v>Available</v>
          </cell>
        </row>
        <row r="2611">
          <cell r="A2611" t="str">
            <v>101200180006</v>
          </cell>
          <cell r="B2611" t="str">
            <v>DalsinghSarai</v>
          </cell>
          <cell r="C2611" t="str">
            <v>DalsinghSarai</v>
          </cell>
          <cell r="D2611" t="str">
            <v>SUPOL</v>
          </cell>
          <cell r="E2611">
            <v>10120018</v>
          </cell>
          <cell r="F2611" t="str">
            <v>0006</v>
          </cell>
          <cell r="G2611">
            <v>2</v>
          </cell>
          <cell r="H2611">
            <v>20</v>
          </cell>
          <cell r="I2611">
            <v>828.98244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P2611">
            <v>829</v>
          </cell>
          <cell r="V2611" t="str">
            <v>Available</v>
          </cell>
        </row>
        <row r="2612">
          <cell r="A2612" t="str">
            <v>101200190001</v>
          </cell>
          <cell r="B2612" t="str">
            <v>DalsinghSarai</v>
          </cell>
          <cell r="C2612" t="str">
            <v>DalsinghSarai</v>
          </cell>
          <cell r="D2612" t="str">
            <v>BHUSARAI</v>
          </cell>
          <cell r="E2612">
            <v>10120019</v>
          </cell>
          <cell r="F2612" t="str">
            <v>0001</v>
          </cell>
          <cell r="G2612">
            <v>14</v>
          </cell>
          <cell r="H2612">
            <v>13.96</v>
          </cell>
          <cell r="I2612">
            <v>532.07309390399996</v>
          </cell>
          <cell r="J2612">
            <v>0</v>
          </cell>
          <cell r="K2612">
            <v>532.07309390399996</v>
          </cell>
          <cell r="L2612">
            <v>0</v>
          </cell>
          <cell r="M2612">
            <v>0</v>
          </cell>
          <cell r="P2612">
            <v>0</v>
          </cell>
          <cell r="V2612" t="str">
            <v>Not Available</v>
          </cell>
        </row>
        <row r="2613">
          <cell r="A2613" t="str">
            <v>101200190002</v>
          </cell>
          <cell r="B2613" t="str">
            <v>DalsinghSarai</v>
          </cell>
          <cell r="C2613" t="str">
            <v>DalsinghSarai</v>
          </cell>
          <cell r="D2613" t="str">
            <v>BHUSARAI</v>
          </cell>
          <cell r="E2613">
            <v>10120019</v>
          </cell>
          <cell r="F2613" t="str">
            <v>0002</v>
          </cell>
          <cell r="G2613">
            <v>14</v>
          </cell>
          <cell r="H2613">
            <v>76.88000000000001</v>
          </cell>
          <cell r="I2613">
            <v>2839.5455128919998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P2613">
            <v>2840</v>
          </cell>
          <cell r="V2613" t="str">
            <v>Available</v>
          </cell>
        </row>
        <row r="2614">
          <cell r="A2614" t="str">
            <v>101200190005</v>
          </cell>
          <cell r="B2614" t="str">
            <v>DalsinghSarai</v>
          </cell>
          <cell r="C2614" t="str">
            <v>DalsinghSarai</v>
          </cell>
          <cell r="D2614" t="str">
            <v>BHUSARAI</v>
          </cell>
          <cell r="E2614">
            <v>10120019</v>
          </cell>
          <cell r="F2614" t="str">
            <v>0005</v>
          </cell>
          <cell r="G2614">
            <v>13</v>
          </cell>
          <cell r="H2614">
            <v>57.859999999999985</v>
          </cell>
          <cell r="I2614">
            <v>2101.3751432520003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P2614">
            <v>2101</v>
          </cell>
          <cell r="V2614" t="str">
            <v>Available</v>
          </cell>
        </row>
        <row r="2615">
          <cell r="A2615" t="str">
            <v>101200190023</v>
          </cell>
          <cell r="B2615" t="str">
            <v>DalsinghSarai</v>
          </cell>
          <cell r="C2615" t="str">
            <v>DalsinghSarai</v>
          </cell>
          <cell r="D2615" t="str">
            <v>BHUSARAI</v>
          </cell>
          <cell r="E2615">
            <v>10120019</v>
          </cell>
          <cell r="F2615" t="str">
            <v>0023</v>
          </cell>
          <cell r="G2615">
            <v>12</v>
          </cell>
          <cell r="H2615">
            <v>23.809999999999995</v>
          </cell>
          <cell r="I2615">
            <v>875.60323408799991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P2615">
            <v>876</v>
          </cell>
          <cell r="V2615" t="str">
            <v>Available</v>
          </cell>
        </row>
        <row r="2616">
          <cell r="A2616" t="str">
            <v>101200190027</v>
          </cell>
          <cell r="B2616" t="str">
            <v>DalsinghSarai</v>
          </cell>
          <cell r="C2616" t="str">
            <v>DalsinghSarai</v>
          </cell>
          <cell r="D2616" t="str">
            <v>BHUSARAI</v>
          </cell>
          <cell r="E2616">
            <v>10120019</v>
          </cell>
          <cell r="F2616" t="str">
            <v>0027</v>
          </cell>
          <cell r="G2616">
            <v>13</v>
          </cell>
          <cell r="H2616">
            <v>57.859999999999992</v>
          </cell>
          <cell r="I2616">
            <v>2101.3751432520003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P2616">
            <v>2101</v>
          </cell>
          <cell r="V2616" t="str">
            <v>Not Available</v>
          </cell>
        </row>
        <row r="2617">
          <cell r="A2617" t="str">
            <v>101200190028</v>
          </cell>
          <cell r="B2617" t="str">
            <v>DalsinghSarai</v>
          </cell>
          <cell r="C2617" t="str">
            <v>DalsinghSarai</v>
          </cell>
          <cell r="D2617" t="str">
            <v>BHUSARAI</v>
          </cell>
          <cell r="E2617">
            <v>10120019</v>
          </cell>
          <cell r="F2617" t="str">
            <v>0028</v>
          </cell>
          <cell r="G2617">
            <v>13</v>
          </cell>
          <cell r="H2617">
            <v>57.859999999999992</v>
          </cell>
          <cell r="I2617">
            <v>2101.3751432520003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P2617">
            <v>2101</v>
          </cell>
          <cell r="V2617" t="str">
            <v>Not Available</v>
          </cell>
        </row>
        <row r="2618">
          <cell r="A2618" t="str">
            <v>101200250001</v>
          </cell>
          <cell r="B2618" t="str">
            <v>DalsinghSarai</v>
          </cell>
          <cell r="C2618" t="str">
            <v>DalsinghSarai</v>
          </cell>
          <cell r="D2618" t="str">
            <v>Gomukh Tabhka</v>
          </cell>
          <cell r="E2618">
            <v>10120025</v>
          </cell>
          <cell r="F2618" t="str">
            <v>0001</v>
          </cell>
          <cell r="G2618">
            <v>12</v>
          </cell>
          <cell r="H2618">
            <v>13.269999999999998</v>
          </cell>
          <cell r="I2618">
            <v>545.06168467344003</v>
          </cell>
          <cell r="J2618">
            <v>0</v>
          </cell>
          <cell r="K2618">
            <v>545.06168467344003</v>
          </cell>
          <cell r="L2618">
            <v>0</v>
          </cell>
          <cell r="M2618">
            <v>0</v>
          </cell>
          <cell r="P2618">
            <v>0</v>
          </cell>
          <cell r="V2618" t="str">
            <v>Not Available</v>
          </cell>
        </row>
        <row r="2619">
          <cell r="A2619" t="str">
            <v>101200250002</v>
          </cell>
          <cell r="B2619" t="str">
            <v>DalsinghSarai</v>
          </cell>
          <cell r="C2619" t="str">
            <v>DalsinghSarai</v>
          </cell>
          <cell r="D2619" t="str">
            <v>Gomukh Tabhka</v>
          </cell>
          <cell r="E2619">
            <v>10120025</v>
          </cell>
          <cell r="F2619" t="str">
            <v>0002</v>
          </cell>
          <cell r="G2619">
            <v>7</v>
          </cell>
          <cell r="H2619">
            <v>175.08</v>
          </cell>
          <cell r="I2619">
            <v>7077.060254088</v>
          </cell>
          <cell r="J2619">
            <v>0</v>
          </cell>
          <cell r="K2619">
            <v>0</v>
          </cell>
          <cell r="L2619">
            <v>7077</v>
          </cell>
          <cell r="M2619">
            <v>0</v>
          </cell>
          <cell r="P2619">
            <v>0</v>
          </cell>
          <cell r="V2619" t="str">
            <v>Available</v>
          </cell>
        </row>
        <row r="2620">
          <cell r="A2620" t="str">
            <v>101200250003</v>
          </cell>
          <cell r="B2620" t="str">
            <v>DalsinghSarai</v>
          </cell>
          <cell r="C2620" t="str">
            <v>DalsinghSarai</v>
          </cell>
          <cell r="D2620" t="str">
            <v>Gomukh Tabhka</v>
          </cell>
          <cell r="E2620">
            <v>10120025</v>
          </cell>
          <cell r="F2620" t="str">
            <v>0003</v>
          </cell>
          <cell r="G2620">
            <v>7</v>
          </cell>
          <cell r="H2620">
            <v>197.94</v>
          </cell>
          <cell r="I2620">
            <v>7807.0410526680007</v>
          </cell>
          <cell r="J2620">
            <v>0</v>
          </cell>
          <cell r="K2620">
            <v>0</v>
          </cell>
          <cell r="L2620">
            <v>3754</v>
          </cell>
          <cell r="M2620">
            <v>0</v>
          </cell>
          <cell r="P2620">
            <v>3849</v>
          </cell>
          <cell r="V2620" t="str">
            <v>Available</v>
          </cell>
        </row>
        <row r="2621">
          <cell r="A2621" t="str">
            <v>101200250004</v>
          </cell>
          <cell r="B2621" t="str">
            <v>DalsinghSarai</v>
          </cell>
          <cell r="C2621" t="str">
            <v>DalsinghSarai</v>
          </cell>
          <cell r="D2621" t="str">
            <v>Gomukh Tabhka</v>
          </cell>
          <cell r="E2621">
            <v>10120025</v>
          </cell>
          <cell r="F2621" t="str">
            <v>0004</v>
          </cell>
          <cell r="G2621">
            <v>11</v>
          </cell>
          <cell r="H2621">
            <v>215.75</v>
          </cell>
          <cell r="I2621">
            <v>11162.028175057221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P2621">
            <v>11162</v>
          </cell>
          <cell r="V2621" t="str">
            <v>Available</v>
          </cell>
        </row>
        <row r="2622">
          <cell r="A2622" t="str">
            <v>101200250005</v>
          </cell>
          <cell r="B2622" t="str">
            <v>DalsinghSarai</v>
          </cell>
          <cell r="C2622" t="str">
            <v>DalsinghSarai</v>
          </cell>
          <cell r="D2622" t="str">
            <v>Gomukh Tabhka</v>
          </cell>
          <cell r="E2622">
            <v>10120025</v>
          </cell>
          <cell r="F2622" t="str">
            <v>0005</v>
          </cell>
          <cell r="G2622">
            <v>11</v>
          </cell>
          <cell r="H2622">
            <v>200.64</v>
          </cell>
          <cell r="I2622">
            <v>10595.358185142462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P2622">
            <v>10595</v>
          </cell>
          <cell r="V2622" t="str">
            <v>Available</v>
          </cell>
        </row>
        <row r="2623">
          <cell r="A2623" t="str">
            <v>101200250023</v>
          </cell>
          <cell r="B2623" t="str">
            <v>DalsinghSarai</v>
          </cell>
          <cell r="C2623" t="str">
            <v>DalsinghSarai</v>
          </cell>
          <cell r="D2623" t="str">
            <v>Gomukh Tabhka</v>
          </cell>
          <cell r="E2623">
            <v>10120025</v>
          </cell>
          <cell r="F2623" t="str">
            <v>0023</v>
          </cell>
          <cell r="G2623">
            <v>13</v>
          </cell>
          <cell r="H2623">
            <v>137.34</v>
          </cell>
          <cell r="I2623">
            <v>5110.8343582824009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P2623">
            <v>5111</v>
          </cell>
          <cell r="V2623" t="str">
            <v>Available</v>
          </cell>
        </row>
        <row r="2624">
          <cell r="A2624" t="str">
            <v>101200250024</v>
          </cell>
          <cell r="B2624" t="str">
            <v>DalsinghSarai</v>
          </cell>
          <cell r="C2624" t="str">
            <v>DalsinghSarai</v>
          </cell>
          <cell r="D2624" t="str">
            <v>Gomukh Tabhka</v>
          </cell>
          <cell r="E2624">
            <v>10120025</v>
          </cell>
          <cell r="F2624" t="str">
            <v>0024</v>
          </cell>
          <cell r="G2624">
            <v>4</v>
          </cell>
          <cell r="H2624">
            <v>45.56</v>
          </cell>
          <cell r="I2624">
            <v>1705.1529828960001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P2624">
            <v>1705</v>
          </cell>
          <cell r="V2624" t="str">
            <v>Not Available</v>
          </cell>
        </row>
        <row r="2625">
          <cell r="A2625" t="str">
            <v>101200250025</v>
          </cell>
          <cell r="B2625" t="str">
            <v>DalsinghSarai</v>
          </cell>
          <cell r="C2625" t="str">
            <v>DalsinghSarai</v>
          </cell>
          <cell r="D2625" t="str">
            <v>Gomukh Tabhka</v>
          </cell>
          <cell r="E2625">
            <v>10120025</v>
          </cell>
          <cell r="F2625" t="str">
            <v>0025</v>
          </cell>
          <cell r="G2625">
            <v>7</v>
          </cell>
          <cell r="H2625">
            <v>79.09</v>
          </cell>
          <cell r="I2625">
            <v>3108.7780881102003</v>
          </cell>
          <cell r="J2625">
            <v>0</v>
          </cell>
          <cell r="K2625">
            <v>0</v>
          </cell>
          <cell r="L2625">
            <v>0</v>
          </cell>
          <cell r="M2625">
            <v>3000</v>
          </cell>
          <cell r="P2625">
            <v>109</v>
          </cell>
          <cell r="V2625" t="str">
            <v>Not Available</v>
          </cell>
        </row>
        <row r="2626">
          <cell r="A2626" t="str">
            <v>101200250026</v>
          </cell>
          <cell r="B2626" t="str">
            <v>DalsinghSarai</v>
          </cell>
          <cell r="C2626" t="str">
            <v>DalsinghSarai</v>
          </cell>
          <cell r="D2626" t="str">
            <v>Gomukh Tabhka</v>
          </cell>
          <cell r="E2626">
            <v>10120025</v>
          </cell>
          <cell r="F2626" t="str">
            <v>0026</v>
          </cell>
          <cell r="G2626">
            <v>5</v>
          </cell>
          <cell r="H2626">
            <v>50.47</v>
          </cell>
          <cell r="I2626">
            <v>2054.7613888284004</v>
          </cell>
          <cell r="J2626">
            <v>0</v>
          </cell>
          <cell r="K2626">
            <v>0</v>
          </cell>
          <cell r="L2626">
            <v>0</v>
          </cell>
          <cell r="M2626">
            <v>1050</v>
          </cell>
          <cell r="P2626">
            <v>1005</v>
          </cell>
          <cell r="V2626" t="str">
            <v>Not Available</v>
          </cell>
        </row>
        <row r="2627">
          <cell r="A2627" t="str">
            <v>101200250027</v>
          </cell>
          <cell r="B2627" t="str">
            <v>DalsinghSarai</v>
          </cell>
          <cell r="C2627" t="str">
            <v>DalsinghSarai</v>
          </cell>
          <cell r="D2627" t="str">
            <v>Gomukh Tabhka</v>
          </cell>
          <cell r="E2627">
            <v>10120025</v>
          </cell>
          <cell r="F2627" t="str">
            <v>0027</v>
          </cell>
          <cell r="G2627">
            <v>4</v>
          </cell>
          <cell r="H2627">
            <v>44.889999999999993</v>
          </cell>
          <cell r="I2627">
            <v>1712.9315704842002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P2627">
            <v>1713</v>
          </cell>
          <cell r="V2627" t="str">
            <v>Not Available</v>
          </cell>
        </row>
        <row r="2628">
          <cell r="A2628" t="str">
            <v>101200250028</v>
          </cell>
          <cell r="B2628" t="str">
            <v>DalsinghSarai</v>
          </cell>
          <cell r="C2628" t="str">
            <v>DalsinghSarai</v>
          </cell>
          <cell r="D2628" t="str">
            <v>Gomukh Tabhka</v>
          </cell>
          <cell r="E2628">
            <v>10120025</v>
          </cell>
          <cell r="F2628" t="str">
            <v>0028</v>
          </cell>
          <cell r="G2628">
            <v>10</v>
          </cell>
          <cell r="H2628">
            <v>104.41</v>
          </cell>
          <cell r="I2628">
            <v>4001.2961055540013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P2628">
            <v>4001</v>
          </cell>
          <cell r="V2628" t="str">
            <v>Not Available</v>
          </cell>
        </row>
        <row r="2629">
          <cell r="A2629" t="str">
            <v>101200250029</v>
          </cell>
          <cell r="B2629" t="str">
            <v>DalsinghSarai</v>
          </cell>
          <cell r="C2629" t="str">
            <v>DalsinghSarai</v>
          </cell>
          <cell r="D2629" t="str">
            <v>Gomukh Tabhka</v>
          </cell>
          <cell r="E2629">
            <v>10120025</v>
          </cell>
          <cell r="F2629" t="str">
            <v>0029</v>
          </cell>
          <cell r="G2629">
            <v>5</v>
          </cell>
          <cell r="H2629">
            <v>51.3</v>
          </cell>
          <cell r="I2629">
            <v>1988.3000898684004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P2629">
            <v>1988</v>
          </cell>
          <cell r="V2629" t="str">
            <v>Not Available</v>
          </cell>
        </row>
        <row r="2630">
          <cell r="A2630" t="str">
            <v>101200250031</v>
          </cell>
          <cell r="B2630" t="str">
            <v>DalsinghSarai</v>
          </cell>
          <cell r="C2630" t="str">
            <v>DalsinghSarai</v>
          </cell>
          <cell r="D2630" t="str">
            <v>Gomukh Tabhka</v>
          </cell>
          <cell r="E2630">
            <v>10120025</v>
          </cell>
          <cell r="F2630" t="str">
            <v>0031</v>
          </cell>
          <cell r="G2630">
            <v>6</v>
          </cell>
          <cell r="H2630">
            <v>62.57</v>
          </cell>
          <cell r="I2630">
            <v>2379.016379916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P2630">
            <v>2379</v>
          </cell>
          <cell r="V2630" t="str">
            <v>Not Available</v>
          </cell>
        </row>
        <row r="2631">
          <cell r="A2631" t="str">
            <v>101200250032</v>
          </cell>
          <cell r="B2631" t="str">
            <v>DalsinghSarai</v>
          </cell>
          <cell r="C2631" t="str">
            <v>DalsinghSarai</v>
          </cell>
          <cell r="D2631" t="str">
            <v>Gomukh Tabhka</v>
          </cell>
          <cell r="E2631">
            <v>10120025</v>
          </cell>
          <cell r="F2631" t="str">
            <v>0032</v>
          </cell>
          <cell r="G2631">
            <v>4</v>
          </cell>
          <cell r="H2631">
            <v>50.06</v>
          </cell>
          <cell r="I2631">
            <v>2017.2418873200004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P2631">
            <v>2017</v>
          </cell>
          <cell r="V2631" t="str">
            <v>Not Available</v>
          </cell>
        </row>
        <row r="2632">
          <cell r="A2632" t="str">
            <v>101200250033</v>
          </cell>
          <cell r="B2632" t="str">
            <v>DalsinghSarai</v>
          </cell>
          <cell r="C2632" t="str">
            <v>DalsinghSarai</v>
          </cell>
          <cell r="D2632" t="str">
            <v>Gomukh Tabhka</v>
          </cell>
          <cell r="E2632">
            <v>10120025</v>
          </cell>
          <cell r="F2632" t="str">
            <v>0033</v>
          </cell>
          <cell r="G2632">
            <v>1</v>
          </cell>
          <cell r="H2632">
            <v>21.5</v>
          </cell>
          <cell r="I2632">
            <v>840.07212300000015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P2632">
            <v>840</v>
          </cell>
          <cell r="V2632" t="str">
            <v>Not Available</v>
          </cell>
        </row>
        <row r="2633">
          <cell r="A2633" t="str">
            <v>101200250034</v>
          </cell>
          <cell r="B2633" t="str">
            <v>DalsinghSarai</v>
          </cell>
          <cell r="C2633" t="str">
            <v>DalsinghSarai</v>
          </cell>
          <cell r="D2633" t="str">
            <v>Gomukh Tabhka</v>
          </cell>
          <cell r="E2633">
            <v>10120025</v>
          </cell>
          <cell r="F2633" t="str">
            <v>0034</v>
          </cell>
          <cell r="G2633">
            <v>1</v>
          </cell>
          <cell r="H2633">
            <v>9.15</v>
          </cell>
          <cell r="I2633">
            <v>364.76586630000008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P2633">
            <v>365</v>
          </cell>
          <cell r="V2633" t="str">
            <v>Not Available</v>
          </cell>
        </row>
        <row r="2634">
          <cell r="A2634" t="str">
            <v>101200250035</v>
          </cell>
          <cell r="B2634" t="str">
            <v>DalsinghSarai</v>
          </cell>
          <cell r="C2634" t="str">
            <v>DalsinghSarai</v>
          </cell>
          <cell r="D2634" t="str">
            <v>Gomukh Tabhka</v>
          </cell>
          <cell r="E2634">
            <v>10120025</v>
          </cell>
          <cell r="F2634" t="str">
            <v>0035</v>
          </cell>
          <cell r="G2634">
            <v>1</v>
          </cell>
          <cell r="H2634">
            <v>9.7799999999999994</v>
          </cell>
          <cell r="I2634">
            <v>389.88089316000003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P2634">
            <v>390</v>
          </cell>
          <cell r="V2634" t="str">
            <v>Not Available</v>
          </cell>
        </row>
        <row r="2635">
          <cell r="A2635" t="str">
            <v>101200250036</v>
          </cell>
          <cell r="B2635" t="str">
            <v>DalsinghSarai</v>
          </cell>
          <cell r="C2635" t="str">
            <v>DalsinghSarai</v>
          </cell>
          <cell r="D2635" t="str">
            <v>Gomukh Tabhka</v>
          </cell>
          <cell r="E2635">
            <v>10120025</v>
          </cell>
          <cell r="F2635" t="str">
            <v>0036</v>
          </cell>
          <cell r="G2635">
            <v>1</v>
          </cell>
          <cell r="H2635">
            <v>6.64</v>
          </cell>
          <cell r="I2635">
            <v>262.07497007999996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P2635">
            <v>262</v>
          </cell>
          <cell r="V2635" t="str">
            <v>Not Available</v>
          </cell>
        </row>
        <row r="2636">
          <cell r="A2636" t="str">
            <v>101200250037</v>
          </cell>
          <cell r="B2636" t="str">
            <v>DalsinghSarai</v>
          </cell>
          <cell r="C2636" t="str">
            <v>DalsinghSarai</v>
          </cell>
          <cell r="D2636" t="str">
            <v>Gomukh Tabhka</v>
          </cell>
          <cell r="E2636">
            <v>10120025</v>
          </cell>
          <cell r="F2636" t="str">
            <v>0037</v>
          </cell>
          <cell r="G2636">
            <v>1</v>
          </cell>
          <cell r="H2636">
            <v>11.39</v>
          </cell>
          <cell r="I2636">
            <v>449.55329957999999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P2636">
            <v>450</v>
          </cell>
          <cell r="V2636" t="str">
            <v>Not Available</v>
          </cell>
        </row>
        <row r="2637">
          <cell r="A2637" t="str">
            <v>101200250038</v>
          </cell>
          <cell r="B2637" t="str">
            <v>DalsinghSarai</v>
          </cell>
          <cell r="C2637" t="str">
            <v>DalsinghSarai</v>
          </cell>
          <cell r="D2637" t="str">
            <v>Gomukh Tabhka</v>
          </cell>
          <cell r="E2637">
            <v>10120025</v>
          </cell>
          <cell r="F2637" t="str">
            <v>0038</v>
          </cell>
          <cell r="G2637">
            <v>1</v>
          </cell>
          <cell r="H2637">
            <v>10.57</v>
          </cell>
          <cell r="I2637">
            <v>417.18861953999999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P2637">
            <v>417</v>
          </cell>
          <cell r="V2637" t="str">
            <v>Not Available</v>
          </cell>
        </row>
        <row r="2638">
          <cell r="A2638" t="str">
            <v>101200250039</v>
          </cell>
          <cell r="B2638" t="str">
            <v>DalsinghSarai</v>
          </cell>
          <cell r="C2638" t="str">
            <v>DalsinghSarai</v>
          </cell>
          <cell r="D2638" t="str">
            <v>Gomukh Tabhka</v>
          </cell>
          <cell r="E2638">
            <v>10120025</v>
          </cell>
          <cell r="F2638" t="str">
            <v>0039</v>
          </cell>
          <cell r="G2638">
            <v>1</v>
          </cell>
          <cell r="H2638">
            <v>22.18</v>
          </cell>
          <cell r="I2638">
            <v>875.42512595999995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P2638">
            <v>875</v>
          </cell>
          <cell r="V2638" t="str">
            <v>Not Available</v>
          </cell>
        </row>
        <row r="2639">
          <cell r="A2639" t="str">
            <v>101200250040</v>
          </cell>
          <cell r="B2639" t="str">
            <v>DalsinghSarai</v>
          </cell>
          <cell r="C2639" t="str">
            <v>DalsinghSarai</v>
          </cell>
          <cell r="D2639" t="str">
            <v>Gomukh Tabhka</v>
          </cell>
          <cell r="E2639">
            <v>10120025</v>
          </cell>
          <cell r="F2639" t="str">
            <v>0040</v>
          </cell>
          <cell r="G2639">
            <v>3</v>
          </cell>
          <cell r="H2639">
            <v>21.6</v>
          </cell>
          <cell r="I2639">
            <v>995.20383754449017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P2639">
            <v>995</v>
          </cell>
          <cell r="V2639" t="str">
            <v>Not Available</v>
          </cell>
        </row>
        <row r="2640">
          <cell r="A2640" t="str">
            <v>101200250041</v>
          </cell>
          <cell r="B2640" t="str">
            <v>DalsinghSarai</v>
          </cell>
          <cell r="C2640" t="str">
            <v>DalsinghSarai</v>
          </cell>
          <cell r="D2640" t="str">
            <v>Gomukh Tabhka</v>
          </cell>
          <cell r="E2640">
            <v>10120025</v>
          </cell>
          <cell r="F2640" t="str">
            <v>0041</v>
          </cell>
          <cell r="G2640">
            <v>2</v>
          </cell>
          <cell r="H2640">
            <v>15.71</v>
          </cell>
          <cell r="I2640">
            <v>623.63951773200006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P2640">
            <v>624</v>
          </cell>
          <cell r="V2640" t="str">
            <v>Not Available</v>
          </cell>
        </row>
        <row r="2641">
          <cell r="A2641" t="str">
            <v>101200250042</v>
          </cell>
          <cell r="B2641" t="str">
            <v>DalsinghSarai</v>
          </cell>
          <cell r="C2641" t="str">
            <v>DalsinghSarai</v>
          </cell>
          <cell r="D2641" t="str">
            <v>Gomukh Tabhka</v>
          </cell>
          <cell r="E2641">
            <v>10120025</v>
          </cell>
          <cell r="F2641" t="str">
            <v>0042</v>
          </cell>
          <cell r="G2641">
            <v>1</v>
          </cell>
          <cell r="H2641">
            <v>9.61</v>
          </cell>
          <cell r="I2641">
            <v>389.44616871599999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P2641">
            <v>389</v>
          </cell>
          <cell r="V2641" t="str">
            <v>Not Available</v>
          </cell>
        </row>
        <row r="2642">
          <cell r="A2642" t="str">
            <v>101200250043</v>
          </cell>
          <cell r="B2642" t="str">
            <v>DalsinghSarai</v>
          </cell>
          <cell r="C2642" t="str">
            <v>DalsinghSarai</v>
          </cell>
          <cell r="D2642" t="str">
            <v>Gomukh Tabhka</v>
          </cell>
          <cell r="E2642">
            <v>10120025</v>
          </cell>
          <cell r="F2642" t="str">
            <v>0043</v>
          </cell>
          <cell r="G2642">
            <v>1</v>
          </cell>
          <cell r="H2642">
            <v>8.77</v>
          </cell>
          <cell r="I2642">
            <v>336.99769208819998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P2642">
            <v>337</v>
          </cell>
          <cell r="V2642" t="str">
            <v>Not Available</v>
          </cell>
        </row>
        <row r="2643">
          <cell r="A2643" t="str">
            <v>101200250044</v>
          </cell>
          <cell r="B2643" t="str">
            <v>DalsinghSarai</v>
          </cell>
          <cell r="C2643" t="str">
            <v>DalsinghSarai</v>
          </cell>
          <cell r="D2643" t="str">
            <v>Gomukh Tabhka</v>
          </cell>
          <cell r="E2643">
            <v>10120025</v>
          </cell>
          <cell r="F2643" t="str">
            <v>0044</v>
          </cell>
          <cell r="G2643">
            <v>7</v>
          </cell>
          <cell r="H2643">
            <v>47.59</v>
          </cell>
          <cell r="I2643">
            <v>2151.0484200681403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P2643">
            <v>2151</v>
          </cell>
          <cell r="V2643" t="str">
            <v>Not Available</v>
          </cell>
        </row>
        <row r="2644">
          <cell r="A2644" t="str">
            <v>101200250045</v>
          </cell>
          <cell r="B2644" t="str">
            <v>DalsinghSarai</v>
          </cell>
          <cell r="C2644" t="str">
            <v>DalsinghSarai</v>
          </cell>
          <cell r="D2644" t="str">
            <v>Gomukh Tabhka</v>
          </cell>
          <cell r="E2644">
            <v>10120025</v>
          </cell>
          <cell r="F2644" t="str">
            <v>0045</v>
          </cell>
          <cell r="G2644">
            <v>11</v>
          </cell>
          <cell r="H2644">
            <v>61.46</v>
          </cell>
          <cell r="I2644">
            <v>3054.3673700822001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P2644">
            <v>3054</v>
          </cell>
          <cell r="V2644" t="str">
            <v>Not Available</v>
          </cell>
        </row>
        <row r="2645">
          <cell r="A2645" t="str">
            <v>101200250046</v>
          </cell>
          <cell r="B2645" t="str">
            <v>DalsinghSarai</v>
          </cell>
          <cell r="C2645" t="str">
            <v>DalsinghSarai</v>
          </cell>
          <cell r="D2645" t="str">
            <v>Gomukh Tabhka</v>
          </cell>
          <cell r="E2645">
            <v>10120025</v>
          </cell>
          <cell r="F2645" t="str">
            <v>0046</v>
          </cell>
          <cell r="G2645">
            <v>12</v>
          </cell>
          <cell r="H2645">
            <v>202.41000000000003</v>
          </cell>
          <cell r="I2645">
            <v>10358.886524509802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P2645">
            <v>10359</v>
          </cell>
          <cell r="V2645" t="str">
            <v>Available</v>
          </cell>
        </row>
        <row r="2646">
          <cell r="A2646" t="str">
            <v>101200290001</v>
          </cell>
          <cell r="B2646" t="str">
            <v>DalsinghSarai</v>
          </cell>
          <cell r="C2646" t="str">
            <v>DalsinghSarai</v>
          </cell>
          <cell r="D2646" t="str">
            <v xml:space="preserve">RAMNATHPUR                                                                                          </v>
          </cell>
          <cell r="E2646">
            <v>10120029</v>
          </cell>
          <cell r="F2646" t="str">
            <v>0001</v>
          </cell>
          <cell r="G2646">
            <v>14</v>
          </cell>
          <cell r="H2646">
            <v>9.5200000000000031</v>
          </cell>
          <cell r="I2646">
            <v>364.21469544240011</v>
          </cell>
          <cell r="J2646">
            <v>0</v>
          </cell>
          <cell r="K2646">
            <v>364.21469544240011</v>
          </cell>
          <cell r="L2646">
            <v>0</v>
          </cell>
          <cell r="M2646">
            <v>0</v>
          </cell>
          <cell r="P2646">
            <v>0</v>
          </cell>
          <cell r="V2646" t="str">
            <v>Not Available</v>
          </cell>
        </row>
        <row r="2647">
          <cell r="A2647" t="str">
            <v>101200290002</v>
          </cell>
          <cell r="B2647" t="str">
            <v>DalsinghSarai</v>
          </cell>
          <cell r="C2647" t="str">
            <v>DalsinghSarai</v>
          </cell>
          <cell r="D2647" t="str">
            <v xml:space="preserve">RAMNATHPUR                                                                                          </v>
          </cell>
          <cell r="E2647">
            <v>10120029</v>
          </cell>
          <cell r="F2647" t="str">
            <v>0002</v>
          </cell>
          <cell r="G2647">
            <v>13</v>
          </cell>
          <cell r="H2647">
            <v>105.71999999999997</v>
          </cell>
          <cell r="I2647">
            <v>4151.3889447360007</v>
          </cell>
          <cell r="J2647">
            <v>0</v>
          </cell>
          <cell r="K2647">
            <v>0</v>
          </cell>
          <cell r="L2647">
            <v>903</v>
          </cell>
          <cell r="M2647">
            <v>0</v>
          </cell>
          <cell r="P2647">
            <v>3248</v>
          </cell>
          <cell r="V2647" t="str">
            <v>Available</v>
          </cell>
        </row>
        <row r="2648">
          <cell r="A2648" t="str">
            <v>101200290004</v>
          </cell>
          <cell r="B2648" t="str">
            <v>DalsinghSarai</v>
          </cell>
          <cell r="C2648" t="str">
            <v>DalsinghSarai</v>
          </cell>
          <cell r="D2648" t="str">
            <v xml:space="preserve">RAMNATHPUR                                                                                          </v>
          </cell>
          <cell r="E2648">
            <v>10120029</v>
          </cell>
          <cell r="F2648" t="str">
            <v>0004</v>
          </cell>
          <cell r="G2648">
            <v>13</v>
          </cell>
          <cell r="H2648">
            <v>157.63999999999999</v>
          </cell>
          <cell r="I2648">
            <v>6146.5086524159997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P2648">
            <v>6147</v>
          </cell>
          <cell r="V2648" t="str">
            <v>Available</v>
          </cell>
        </row>
        <row r="2649">
          <cell r="A2649" t="str">
            <v>101200290006</v>
          </cell>
          <cell r="B2649" t="str">
            <v>DalsinghSarai</v>
          </cell>
          <cell r="C2649" t="str">
            <v>DalsinghSarai</v>
          </cell>
          <cell r="D2649" t="str">
            <v xml:space="preserve">RAMNATHPUR                                                                                          </v>
          </cell>
          <cell r="E2649">
            <v>10120029</v>
          </cell>
          <cell r="F2649" t="str">
            <v>0006</v>
          </cell>
          <cell r="G2649">
            <v>14</v>
          </cell>
          <cell r="H2649">
            <v>41.24</v>
          </cell>
          <cell r="I2649">
            <v>1793.0277568880201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P2649">
            <v>1793</v>
          </cell>
          <cell r="V2649" t="str">
            <v>Available</v>
          </cell>
        </row>
        <row r="2650">
          <cell r="A2650" t="str">
            <v>101200290012</v>
          </cell>
          <cell r="B2650" t="str">
            <v>DalsinghSarai</v>
          </cell>
          <cell r="C2650" t="str">
            <v>DalsinghSarai</v>
          </cell>
          <cell r="D2650" t="str">
            <v xml:space="preserve">RAMNATHPUR                                                                                          </v>
          </cell>
          <cell r="E2650">
            <v>10120029</v>
          </cell>
          <cell r="F2650" t="str">
            <v>0012</v>
          </cell>
          <cell r="G2650">
            <v>10</v>
          </cell>
          <cell r="H2650">
            <v>73</v>
          </cell>
          <cell r="I2650">
            <v>2588.6188290996001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P2650">
            <v>2589</v>
          </cell>
          <cell r="V2650" t="str">
            <v>Available</v>
          </cell>
        </row>
        <row r="2651">
          <cell r="A2651" t="str">
            <v>101200290016</v>
          </cell>
          <cell r="B2651" t="str">
            <v>DalsinghSarai</v>
          </cell>
          <cell r="C2651" t="str">
            <v>DalsinghSarai</v>
          </cell>
          <cell r="D2651" t="str">
            <v xml:space="preserve">RAMNATHPUR                                                                                          </v>
          </cell>
          <cell r="E2651">
            <v>10120029</v>
          </cell>
          <cell r="F2651" t="str">
            <v>0016</v>
          </cell>
          <cell r="G2651">
            <v>14</v>
          </cell>
          <cell r="H2651">
            <v>110.78</v>
          </cell>
          <cell r="I2651">
            <v>3873.4683505056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P2651">
            <v>3873</v>
          </cell>
          <cell r="V2651" t="str">
            <v>Available</v>
          </cell>
        </row>
        <row r="2652">
          <cell r="A2652" t="str">
            <v>101200290019</v>
          </cell>
          <cell r="B2652" t="str">
            <v>DalsinghSarai</v>
          </cell>
          <cell r="C2652" t="str">
            <v>DalsinghSarai</v>
          </cell>
          <cell r="D2652" t="str">
            <v xml:space="preserve">RAMNATHPUR                                                                                          </v>
          </cell>
          <cell r="E2652">
            <v>10120029</v>
          </cell>
          <cell r="F2652" t="str">
            <v>0019</v>
          </cell>
          <cell r="G2652">
            <v>14</v>
          </cell>
          <cell r="H2652">
            <v>42.04</v>
          </cell>
          <cell r="I2652">
            <v>1757.600728488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P2652">
            <v>1758</v>
          </cell>
          <cell r="V2652" t="str">
            <v>Available</v>
          </cell>
        </row>
        <row r="2653">
          <cell r="A2653" t="str">
            <v>101200290027</v>
          </cell>
          <cell r="B2653" t="str">
            <v>DalsinghSarai</v>
          </cell>
          <cell r="C2653" t="str">
            <v>DalsinghSarai</v>
          </cell>
          <cell r="D2653" t="str">
            <v xml:space="preserve">RAMNATHPUR                                                                                          </v>
          </cell>
          <cell r="E2653">
            <v>10120029</v>
          </cell>
          <cell r="F2653" t="str">
            <v>0027</v>
          </cell>
          <cell r="G2653">
            <v>7</v>
          </cell>
          <cell r="H2653">
            <v>37</v>
          </cell>
          <cell r="I2653">
            <v>1392.4101739680004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P2653">
            <v>1392</v>
          </cell>
          <cell r="V2653" t="str">
            <v>Not Available</v>
          </cell>
        </row>
        <row r="2654">
          <cell r="A2654" t="str">
            <v>101200290028</v>
          </cell>
          <cell r="B2654" t="str">
            <v>DalsinghSarai</v>
          </cell>
          <cell r="C2654" t="str">
            <v>DalsinghSarai</v>
          </cell>
          <cell r="D2654" t="str">
            <v xml:space="preserve">RAMNATHPUR                                                                                          </v>
          </cell>
          <cell r="E2654">
            <v>10120029</v>
          </cell>
          <cell r="F2654" t="str">
            <v>0028</v>
          </cell>
          <cell r="G2654">
            <v>6</v>
          </cell>
          <cell r="H2654">
            <v>32.96</v>
          </cell>
          <cell r="I2654">
            <v>1226.3761065600002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P2654">
            <v>1226</v>
          </cell>
          <cell r="V2654" t="str">
            <v>Not Available</v>
          </cell>
        </row>
        <row r="2655">
          <cell r="A2655" t="str">
            <v>101200290029</v>
          </cell>
          <cell r="B2655" t="str">
            <v>DalsinghSarai</v>
          </cell>
          <cell r="C2655" t="str">
            <v>DalsinghSarai</v>
          </cell>
          <cell r="D2655" t="str">
            <v xml:space="preserve">RAMNATHPUR                                                                                          </v>
          </cell>
          <cell r="E2655">
            <v>10120029</v>
          </cell>
          <cell r="F2655" t="str">
            <v>0029</v>
          </cell>
          <cell r="G2655">
            <v>7</v>
          </cell>
          <cell r="H2655">
            <v>37.440000000000005</v>
          </cell>
          <cell r="I2655">
            <v>1408.9634444160001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P2655">
            <v>1409</v>
          </cell>
          <cell r="V2655" t="str">
            <v>Not Available</v>
          </cell>
        </row>
        <row r="2656">
          <cell r="A2656" t="str">
            <v>101200290030</v>
          </cell>
          <cell r="B2656" t="str">
            <v>DalsinghSarai</v>
          </cell>
          <cell r="C2656" t="str">
            <v>DalsinghSarai</v>
          </cell>
          <cell r="D2656" t="str">
            <v xml:space="preserve">RAMNATHPUR                                                                                          </v>
          </cell>
          <cell r="E2656">
            <v>10120029</v>
          </cell>
          <cell r="F2656" t="str">
            <v>0030</v>
          </cell>
          <cell r="G2656">
            <v>11</v>
          </cell>
          <cell r="H2656">
            <v>126.94</v>
          </cell>
          <cell r="I2656">
            <v>4413.1286496924004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P2656">
            <v>4413</v>
          </cell>
          <cell r="V2656" t="str">
            <v>Not Available</v>
          </cell>
        </row>
        <row r="2657">
          <cell r="A2657" t="str">
            <v>101200290031</v>
          </cell>
          <cell r="B2657" t="str">
            <v>DalsinghSarai</v>
          </cell>
          <cell r="C2657" t="str">
            <v>DalsinghSarai</v>
          </cell>
          <cell r="D2657" t="str">
            <v xml:space="preserve">RAMNATHPUR                                                                                          </v>
          </cell>
          <cell r="E2657">
            <v>10120029</v>
          </cell>
          <cell r="F2657" t="str">
            <v>0031</v>
          </cell>
          <cell r="G2657">
            <v>6</v>
          </cell>
          <cell r="H2657">
            <v>32.180000000000007</v>
          </cell>
          <cell r="I2657">
            <v>1205.0310238560003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P2657">
            <v>1205</v>
          </cell>
          <cell r="V2657" t="str">
            <v>Not Available</v>
          </cell>
        </row>
        <row r="2658">
          <cell r="A2658" t="str">
            <v>101200290032</v>
          </cell>
          <cell r="B2658" t="str">
            <v>DalsinghSarai</v>
          </cell>
          <cell r="C2658" t="str">
            <v>DalsinghSarai</v>
          </cell>
          <cell r="D2658" t="str">
            <v xml:space="preserve">RAMNATHPUR                                                                                          </v>
          </cell>
          <cell r="E2658">
            <v>10120029</v>
          </cell>
          <cell r="F2658" t="str">
            <v>0032</v>
          </cell>
          <cell r="G2658">
            <v>7</v>
          </cell>
          <cell r="H2658">
            <v>32.94</v>
          </cell>
          <cell r="I2658">
            <v>1228.0496029560002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P2658">
            <v>1228</v>
          </cell>
          <cell r="V2658" t="str">
            <v>Not Available</v>
          </cell>
        </row>
        <row r="2659">
          <cell r="A2659" t="str">
            <v>101200290033</v>
          </cell>
          <cell r="B2659" t="str">
            <v>DalsinghSarai</v>
          </cell>
          <cell r="C2659" t="str">
            <v>DalsinghSarai</v>
          </cell>
          <cell r="D2659" t="str">
            <v xml:space="preserve">RAMNATHPUR                                                                                          </v>
          </cell>
          <cell r="E2659">
            <v>10120029</v>
          </cell>
          <cell r="F2659" t="str">
            <v>0033</v>
          </cell>
          <cell r="G2659">
            <v>5</v>
          </cell>
          <cell r="H2659">
            <v>26.68</v>
          </cell>
          <cell r="I2659">
            <v>1000.9347313680001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P2659">
            <v>1001</v>
          </cell>
          <cell r="V2659" t="str">
            <v>Not Available</v>
          </cell>
        </row>
        <row r="2660">
          <cell r="A2660" t="str">
            <v>101200290036</v>
          </cell>
          <cell r="B2660" t="str">
            <v>DalsinghSarai</v>
          </cell>
          <cell r="C2660" t="str">
            <v>DalsinghSarai</v>
          </cell>
          <cell r="D2660" t="str">
            <v xml:space="preserve">RAMNATHPUR                                                                                          </v>
          </cell>
          <cell r="E2660">
            <v>10120029</v>
          </cell>
          <cell r="F2660" t="str">
            <v>0036</v>
          </cell>
          <cell r="G2660">
            <v>13</v>
          </cell>
          <cell r="H2660">
            <v>23.779999999999998</v>
          </cell>
          <cell r="I2660">
            <v>1020.8977931067001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P2660">
            <v>1021</v>
          </cell>
          <cell r="V2660" t="str">
            <v>Available</v>
          </cell>
        </row>
        <row r="2661">
          <cell r="A2661" t="str">
            <v>101200290039</v>
          </cell>
          <cell r="B2661" t="str">
            <v>DalsinghSarai</v>
          </cell>
          <cell r="C2661" t="str">
            <v>DalsinghSarai</v>
          </cell>
          <cell r="D2661" t="str">
            <v xml:space="preserve">RAMNATHPUR                                                                                          </v>
          </cell>
          <cell r="E2661">
            <v>10120029</v>
          </cell>
          <cell r="F2661" t="str">
            <v>0039</v>
          </cell>
          <cell r="G2661">
            <v>4</v>
          </cell>
          <cell r="H2661">
            <v>8.2600000000000016</v>
          </cell>
          <cell r="I2661">
            <v>364.11428269260006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P2661">
            <v>364</v>
          </cell>
          <cell r="V2661" t="str">
            <v>Available</v>
          </cell>
        </row>
        <row r="2662">
          <cell r="A2662" t="str">
            <v>101200290041</v>
          </cell>
          <cell r="B2662" t="str">
            <v>DalsinghSarai</v>
          </cell>
          <cell r="C2662" t="str">
            <v>DalsinghSarai</v>
          </cell>
          <cell r="D2662" t="str">
            <v xml:space="preserve">RAMNATHPUR                                                                                          </v>
          </cell>
          <cell r="E2662">
            <v>10120029</v>
          </cell>
          <cell r="F2662" t="str">
            <v>0041</v>
          </cell>
          <cell r="G2662">
            <v>6</v>
          </cell>
          <cell r="H2662">
            <v>15.52</v>
          </cell>
          <cell r="I2662">
            <v>550.25754561360009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P2662">
            <v>550</v>
          </cell>
          <cell r="V2662" t="str">
            <v>Available</v>
          </cell>
        </row>
        <row r="2663">
          <cell r="A2663" t="str">
            <v>101200290042</v>
          </cell>
          <cell r="B2663" t="str">
            <v>DalsinghSarai</v>
          </cell>
          <cell r="C2663" t="str">
            <v>DalsinghSarai</v>
          </cell>
          <cell r="D2663" t="str">
            <v xml:space="preserve">RAMNATHPUR                                                                                          </v>
          </cell>
          <cell r="E2663">
            <v>10120029</v>
          </cell>
          <cell r="F2663" t="str">
            <v>0042</v>
          </cell>
          <cell r="G2663">
            <v>13</v>
          </cell>
          <cell r="H2663">
            <v>61.559999999999995</v>
          </cell>
          <cell r="I2663">
            <v>2332.3926233520001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P2663">
            <v>2332</v>
          </cell>
          <cell r="V2663" t="str">
            <v>Available</v>
          </cell>
        </row>
        <row r="2664">
          <cell r="A2664" t="str">
            <v>101200310001</v>
          </cell>
          <cell r="B2664" t="str">
            <v>DalsinghSarai</v>
          </cell>
          <cell r="C2664" t="str">
            <v>DalsinghSarai</v>
          </cell>
          <cell r="D2664" t="str">
            <v>DESUA</v>
          </cell>
          <cell r="E2664">
            <v>10120031</v>
          </cell>
          <cell r="F2664" t="str">
            <v>0001</v>
          </cell>
          <cell r="G2664">
            <v>6</v>
          </cell>
          <cell r="H2664">
            <v>1.7999999999999998</v>
          </cell>
          <cell r="I2664">
            <v>61.489975932</v>
          </cell>
          <cell r="J2664">
            <v>0</v>
          </cell>
          <cell r="K2664">
            <v>61.489975932</v>
          </cell>
          <cell r="L2664">
            <v>0</v>
          </cell>
          <cell r="M2664">
            <v>0</v>
          </cell>
          <cell r="P2664">
            <v>0</v>
          </cell>
          <cell r="V2664" t="str">
            <v>Not Available</v>
          </cell>
        </row>
        <row r="2665">
          <cell r="A2665" t="str">
            <v>101200310002</v>
          </cell>
          <cell r="B2665" t="str">
            <v>DalsinghSarai</v>
          </cell>
          <cell r="C2665" t="str">
            <v>DalsinghSarai</v>
          </cell>
          <cell r="D2665" t="str">
            <v>DESUA</v>
          </cell>
          <cell r="E2665">
            <v>10120031</v>
          </cell>
          <cell r="F2665" t="str">
            <v>0002</v>
          </cell>
          <cell r="G2665">
            <v>14</v>
          </cell>
          <cell r="H2665">
            <v>192.70000000000002</v>
          </cell>
          <cell r="I2665">
            <v>7216.333419042001</v>
          </cell>
          <cell r="J2665">
            <v>0</v>
          </cell>
          <cell r="K2665">
            <v>0</v>
          </cell>
          <cell r="L2665">
            <v>1359</v>
          </cell>
          <cell r="M2665">
            <v>0</v>
          </cell>
          <cell r="P2665">
            <v>5857</v>
          </cell>
          <cell r="V2665" t="str">
            <v>Available</v>
          </cell>
        </row>
        <row r="2666">
          <cell r="A2666" t="str">
            <v>101200310003</v>
          </cell>
          <cell r="B2666" t="str">
            <v>DalsinghSarai</v>
          </cell>
          <cell r="C2666" t="str">
            <v>DalsinghSarai</v>
          </cell>
          <cell r="D2666" t="str">
            <v>DESUA</v>
          </cell>
          <cell r="E2666">
            <v>10120031</v>
          </cell>
          <cell r="F2666" t="str">
            <v>0003</v>
          </cell>
          <cell r="G2666">
            <v>14</v>
          </cell>
          <cell r="H2666">
            <v>120.99999999999999</v>
          </cell>
          <cell r="I2666">
            <v>4595.8052345040005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P2666">
            <v>4596</v>
          </cell>
          <cell r="V2666" t="str">
            <v>Available</v>
          </cell>
        </row>
        <row r="2667">
          <cell r="A2667" t="str">
            <v>101200310004</v>
          </cell>
          <cell r="B2667" t="str">
            <v>DalsinghSarai</v>
          </cell>
          <cell r="C2667" t="str">
            <v>DalsinghSarai</v>
          </cell>
          <cell r="D2667" t="str">
            <v>DESUA</v>
          </cell>
          <cell r="E2667">
            <v>10120031</v>
          </cell>
          <cell r="F2667" t="str">
            <v>0004</v>
          </cell>
          <cell r="G2667">
            <v>8</v>
          </cell>
          <cell r="H2667">
            <v>72.300000000000011</v>
          </cell>
          <cell r="I2667">
            <v>2722.7199700800002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P2667">
            <v>2723</v>
          </cell>
          <cell r="V2667" t="str">
            <v>Available</v>
          </cell>
        </row>
        <row r="2668">
          <cell r="A2668" t="str">
            <v>101200310005</v>
          </cell>
          <cell r="B2668" t="str">
            <v>DalsinghSarai</v>
          </cell>
          <cell r="C2668" t="str">
            <v>DalsinghSarai</v>
          </cell>
          <cell r="D2668" t="str">
            <v>DESUA</v>
          </cell>
          <cell r="E2668">
            <v>10120031</v>
          </cell>
          <cell r="F2668" t="str">
            <v>0005</v>
          </cell>
          <cell r="G2668">
            <v>4</v>
          </cell>
          <cell r="H2668">
            <v>38.1</v>
          </cell>
          <cell r="I2668">
            <v>1400.5799377020003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P2668">
            <v>1401</v>
          </cell>
          <cell r="V2668" t="str">
            <v>Not Available</v>
          </cell>
        </row>
        <row r="2669">
          <cell r="A2669" t="str">
            <v>101200310006</v>
          </cell>
          <cell r="B2669" t="str">
            <v>DalsinghSarai</v>
          </cell>
          <cell r="C2669" t="str">
            <v>DalsinghSarai</v>
          </cell>
          <cell r="D2669" t="str">
            <v>DESUA</v>
          </cell>
          <cell r="E2669">
            <v>10120031</v>
          </cell>
          <cell r="F2669" t="str">
            <v>0006</v>
          </cell>
          <cell r="G2669">
            <v>3</v>
          </cell>
          <cell r="H2669">
            <v>18</v>
          </cell>
          <cell r="I2669">
            <v>558.85037076000003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P2669">
            <v>559</v>
          </cell>
          <cell r="V2669" t="str">
            <v>Not Available</v>
          </cell>
        </row>
        <row r="2670">
          <cell r="A2670" t="str">
            <v>101200310007</v>
          </cell>
          <cell r="B2670" t="str">
            <v>DalsinghSarai</v>
          </cell>
          <cell r="C2670" t="str">
            <v>DalsinghSarai</v>
          </cell>
          <cell r="D2670" t="str">
            <v>DESUA</v>
          </cell>
          <cell r="E2670">
            <v>10120031</v>
          </cell>
          <cell r="F2670" t="str">
            <v>0007</v>
          </cell>
          <cell r="G2670">
            <v>1</v>
          </cell>
          <cell r="H2670">
            <v>11.3</v>
          </cell>
          <cell r="I2670">
            <v>429.59288196000011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P2670">
            <v>430</v>
          </cell>
          <cell r="V2670" t="str">
            <v>Not Available</v>
          </cell>
        </row>
        <row r="2671">
          <cell r="A2671" t="str">
            <v>101200340002</v>
          </cell>
          <cell r="B2671" t="str">
            <v>DalsinghSarai</v>
          </cell>
          <cell r="C2671" t="str">
            <v>DalsinghSarai</v>
          </cell>
          <cell r="D2671" t="str">
            <v>Matior</v>
          </cell>
          <cell r="E2671">
            <v>10120034</v>
          </cell>
          <cell r="F2671" t="str">
            <v>0002</v>
          </cell>
          <cell r="G2671">
            <v>12</v>
          </cell>
          <cell r="H2671">
            <v>134.22999999999999</v>
          </cell>
          <cell r="I2671">
            <v>5084.232545858401</v>
          </cell>
          <cell r="J2671">
            <v>0</v>
          </cell>
          <cell r="K2671">
            <v>0</v>
          </cell>
          <cell r="L2671">
            <v>420</v>
          </cell>
          <cell r="M2671">
            <v>1200</v>
          </cell>
          <cell r="P2671">
            <v>3464</v>
          </cell>
          <cell r="V2671" t="str">
            <v>Available</v>
          </cell>
        </row>
        <row r="2672">
          <cell r="A2672" t="str">
            <v>101200430002</v>
          </cell>
          <cell r="B2672" t="str">
            <v>DalsinghSarai</v>
          </cell>
          <cell r="C2672" t="str">
            <v>DalsinghSarai</v>
          </cell>
          <cell r="D2672" t="str">
            <v>GOMUKH TATARPUR</v>
          </cell>
          <cell r="E2672">
            <v>10120043</v>
          </cell>
          <cell r="F2672" t="str">
            <v>0002</v>
          </cell>
          <cell r="G2672">
            <v>14</v>
          </cell>
          <cell r="H2672">
            <v>157.69999999999999</v>
          </cell>
          <cell r="I2672">
            <v>6907.4471501344997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P2672">
            <v>6907</v>
          </cell>
          <cell r="V2672" t="str">
            <v>Available</v>
          </cell>
        </row>
        <row r="2673">
          <cell r="A2673" t="str">
            <v>101200460001</v>
          </cell>
          <cell r="B2673" t="str">
            <v>DalsinghSarai</v>
          </cell>
          <cell r="C2673" t="str">
            <v>DalsinghSarai</v>
          </cell>
          <cell r="D2673" t="str">
            <v>Gomukh Ghataho</v>
          </cell>
          <cell r="E2673">
            <v>10120046</v>
          </cell>
          <cell r="F2673" t="str">
            <v>0001</v>
          </cell>
          <cell r="G2673">
            <v>14</v>
          </cell>
          <cell r="H2673">
            <v>17.399999999999999</v>
          </cell>
          <cell r="I2673">
            <v>633.93986066399998</v>
          </cell>
          <cell r="J2673">
            <v>0</v>
          </cell>
          <cell r="K2673">
            <v>633.93986066399998</v>
          </cell>
          <cell r="L2673">
            <v>0</v>
          </cell>
          <cell r="M2673">
            <v>0</v>
          </cell>
          <cell r="P2673">
            <v>0</v>
          </cell>
          <cell r="V2673" t="str">
            <v>Not Available</v>
          </cell>
        </row>
        <row r="2674">
          <cell r="A2674" t="str">
            <v>101200460002</v>
          </cell>
          <cell r="B2674" t="str">
            <v>DalsinghSarai</v>
          </cell>
          <cell r="C2674" t="str">
            <v>DalsinghSarai</v>
          </cell>
          <cell r="D2674" t="str">
            <v>Gomukh Ghataho</v>
          </cell>
          <cell r="E2674">
            <v>10120046</v>
          </cell>
          <cell r="F2674" t="str">
            <v>0002</v>
          </cell>
          <cell r="G2674">
            <v>10</v>
          </cell>
          <cell r="H2674">
            <v>62.9</v>
          </cell>
          <cell r="I2674">
            <v>2307.1143864780001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P2674">
            <v>2307</v>
          </cell>
          <cell r="V2674" t="str">
            <v>Available</v>
          </cell>
        </row>
        <row r="2675">
          <cell r="A2675" t="str">
            <v>101200460003</v>
          </cell>
          <cell r="B2675" t="str">
            <v>DalsinghSarai</v>
          </cell>
          <cell r="C2675" t="str">
            <v>DalsinghSarai</v>
          </cell>
          <cell r="D2675" t="str">
            <v>Gomukh Ghataho</v>
          </cell>
          <cell r="E2675">
            <v>10120046</v>
          </cell>
          <cell r="F2675" t="str">
            <v>0003</v>
          </cell>
          <cell r="G2675">
            <v>12</v>
          </cell>
          <cell r="H2675">
            <v>297.7</v>
          </cell>
          <cell r="I2675">
            <v>10827.732422628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P2675">
            <v>10828</v>
          </cell>
          <cell r="V2675" t="str">
            <v>Available</v>
          </cell>
        </row>
        <row r="2676">
          <cell r="A2676" t="str">
            <v>101200460008</v>
          </cell>
          <cell r="B2676" t="str">
            <v>DalsinghSarai</v>
          </cell>
          <cell r="C2676" t="str">
            <v>DalsinghSarai</v>
          </cell>
          <cell r="D2676" t="str">
            <v>Gomukh Ghataho</v>
          </cell>
          <cell r="E2676">
            <v>10120046</v>
          </cell>
          <cell r="F2676" t="str">
            <v>0008</v>
          </cell>
          <cell r="G2676">
            <v>13</v>
          </cell>
          <cell r="H2676">
            <v>95.500000000000014</v>
          </cell>
          <cell r="I2676">
            <v>3685.0823240220006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P2676">
            <v>3685</v>
          </cell>
          <cell r="V2676" t="str">
            <v>Available</v>
          </cell>
        </row>
        <row r="2677">
          <cell r="A2677" t="str">
            <v>101200460009</v>
          </cell>
          <cell r="B2677" t="str">
            <v>DalsinghSarai</v>
          </cell>
          <cell r="C2677" t="str">
            <v>DalsinghSarai</v>
          </cell>
          <cell r="D2677" t="str">
            <v>Gomukh Ghataho</v>
          </cell>
          <cell r="E2677">
            <v>10120046</v>
          </cell>
          <cell r="F2677" t="str">
            <v>0009</v>
          </cell>
          <cell r="G2677">
            <v>2</v>
          </cell>
          <cell r="H2677">
            <v>4.3</v>
          </cell>
          <cell r="I2677">
            <v>152.03652591600002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P2677">
            <v>152</v>
          </cell>
          <cell r="V2677" t="str">
            <v>Available</v>
          </cell>
        </row>
        <row r="2678">
          <cell r="A2678" t="str">
            <v>101200460016</v>
          </cell>
          <cell r="B2678" t="str">
            <v>DalsinghSarai</v>
          </cell>
          <cell r="C2678" t="str">
            <v>DalsinghSarai</v>
          </cell>
          <cell r="D2678" t="str">
            <v>Gomukh Ghataho</v>
          </cell>
          <cell r="E2678">
            <v>10120046</v>
          </cell>
          <cell r="F2678" t="str">
            <v>0016</v>
          </cell>
          <cell r="G2678">
            <v>13</v>
          </cell>
          <cell r="H2678">
            <v>21.3</v>
          </cell>
          <cell r="I2678">
            <v>799.55913054600012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P2678">
            <v>800</v>
          </cell>
          <cell r="V2678" t="str">
            <v>Available</v>
          </cell>
        </row>
        <row r="2679">
          <cell r="A2679" t="str">
            <v>101200460018</v>
          </cell>
          <cell r="B2679" t="str">
            <v>DalsinghSarai</v>
          </cell>
          <cell r="C2679" t="str">
            <v>DalsinghSarai</v>
          </cell>
          <cell r="D2679" t="str">
            <v>Gomukh Ghataho</v>
          </cell>
          <cell r="E2679">
            <v>10120046</v>
          </cell>
          <cell r="F2679" t="str">
            <v>0018</v>
          </cell>
          <cell r="G2679">
            <v>3</v>
          </cell>
          <cell r="H2679">
            <v>5.6</v>
          </cell>
          <cell r="I2679">
            <v>245.06435052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P2679">
            <v>245</v>
          </cell>
          <cell r="V2679" t="str">
            <v>Available</v>
          </cell>
        </row>
        <row r="2680">
          <cell r="A2680" t="str">
            <v>101200460020</v>
          </cell>
          <cell r="B2680" t="str">
            <v>DalsinghSarai</v>
          </cell>
          <cell r="C2680" t="str">
            <v>DalsinghSarai</v>
          </cell>
          <cell r="D2680" t="str">
            <v>Gomukh Ghataho</v>
          </cell>
          <cell r="E2680">
            <v>10120046</v>
          </cell>
          <cell r="F2680" t="str">
            <v>0020</v>
          </cell>
          <cell r="G2680">
            <v>13</v>
          </cell>
          <cell r="H2680">
            <v>471.99999999999994</v>
          </cell>
          <cell r="I2680">
            <v>17271.255724470004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P2680">
            <v>17271</v>
          </cell>
          <cell r="V2680" t="str">
            <v>Available</v>
          </cell>
        </row>
        <row r="2681">
          <cell r="A2681" t="str">
            <v>101200460024</v>
          </cell>
          <cell r="B2681" t="str">
            <v>DalsinghSarai</v>
          </cell>
          <cell r="C2681" t="str">
            <v>DalsinghSarai</v>
          </cell>
          <cell r="D2681" t="str">
            <v>Gomukh Ghataho</v>
          </cell>
          <cell r="E2681">
            <v>10120046</v>
          </cell>
          <cell r="F2681" t="str">
            <v>0024</v>
          </cell>
          <cell r="G2681">
            <v>6</v>
          </cell>
          <cell r="H2681">
            <v>14.600000000000001</v>
          </cell>
          <cell r="I2681">
            <v>632.89985767383018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P2681">
            <v>633</v>
          </cell>
          <cell r="V2681" t="str">
            <v>Not Available</v>
          </cell>
        </row>
        <row r="2682">
          <cell r="A2682" t="str">
            <v>101200460025</v>
          </cell>
          <cell r="B2682" t="str">
            <v>DalsinghSarai</v>
          </cell>
          <cell r="C2682" t="str">
            <v>DalsinghSarai</v>
          </cell>
          <cell r="D2682" t="str">
            <v>Gomukh Ghataho</v>
          </cell>
          <cell r="E2682">
            <v>10120046</v>
          </cell>
          <cell r="F2682" t="str">
            <v>0025</v>
          </cell>
          <cell r="G2682">
            <v>14</v>
          </cell>
          <cell r="H2682">
            <v>67.7</v>
          </cell>
          <cell r="I2682">
            <v>2689.5006391662996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P2682">
            <v>2690</v>
          </cell>
          <cell r="V2682" t="str">
            <v>Not Available</v>
          </cell>
        </row>
        <row r="2683">
          <cell r="A2683" t="str">
            <v>101200460026</v>
          </cell>
          <cell r="B2683" t="str">
            <v>DalsinghSarai</v>
          </cell>
          <cell r="C2683" t="str">
            <v>DalsinghSarai</v>
          </cell>
          <cell r="D2683" t="str">
            <v>Gomukh Ghataho</v>
          </cell>
          <cell r="E2683">
            <v>10120046</v>
          </cell>
          <cell r="F2683" t="str">
            <v>0026</v>
          </cell>
          <cell r="G2683">
            <v>14</v>
          </cell>
          <cell r="H2683">
            <v>54.5</v>
          </cell>
          <cell r="I2683">
            <v>2145.8874108959999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P2683">
            <v>2146</v>
          </cell>
          <cell r="V2683" t="str">
            <v>Not Available</v>
          </cell>
        </row>
        <row r="2684">
          <cell r="A2684" t="str">
            <v>101200460027</v>
          </cell>
          <cell r="B2684" t="str">
            <v>DalsinghSarai</v>
          </cell>
          <cell r="C2684" t="str">
            <v>DalsinghSarai</v>
          </cell>
          <cell r="D2684" t="str">
            <v>Gomukh Ghataho</v>
          </cell>
          <cell r="E2684">
            <v>10120046</v>
          </cell>
          <cell r="F2684" t="str">
            <v>0027</v>
          </cell>
          <cell r="G2684">
            <v>11</v>
          </cell>
          <cell r="H2684">
            <v>47.6</v>
          </cell>
          <cell r="I2684">
            <v>1840.1469603480004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P2684">
            <v>1840</v>
          </cell>
          <cell r="V2684" t="str">
            <v>Not Available</v>
          </cell>
        </row>
        <row r="2685">
          <cell r="A2685" t="str">
            <v>101200460028</v>
          </cell>
          <cell r="B2685" t="str">
            <v>DalsinghSarai</v>
          </cell>
          <cell r="C2685" t="str">
            <v>DalsinghSarai</v>
          </cell>
          <cell r="D2685" t="str">
            <v>Gomukh Ghataho</v>
          </cell>
          <cell r="E2685">
            <v>10120046</v>
          </cell>
          <cell r="F2685" t="str">
            <v>0028</v>
          </cell>
          <cell r="G2685">
            <v>12</v>
          </cell>
          <cell r="H2685">
            <v>52.300000000000004</v>
          </cell>
          <cell r="I2685">
            <v>2009.4654240452001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P2685">
            <v>2009</v>
          </cell>
          <cell r="V2685" t="str">
            <v>Not Available</v>
          </cell>
        </row>
        <row r="2686">
          <cell r="A2686" t="str">
            <v>101200460029</v>
          </cell>
          <cell r="B2686" t="str">
            <v>DalsinghSarai</v>
          </cell>
          <cell r="C2686" t="str">
            <v>DalsinghSarai</v>
          </cell>
          <cell r="D2686" t="str">
            <v>Gomukh Ghataho</v>
          </cell>
          <cell r="E2686">
            <v>10120046</v>
          </cell>
          <cell r="F2686" t="str">
            <v>0029</v>
          </cell>
          <cell r="G2686">
            <v>13</v>
          </cell>
          <cell r="H2686">
            <v>59.800000000000004</v>
          </cell>
          <cell r="I2686">
            <v>2224.1303415540006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P2686">
            <v>2224</v>
          </cell>
          <cell r="V2686" t="str">
            <v>Not Available</v>
          </cell>
        </row>
        <row r="2687">
          <cell r="A2687" t="str">
            <v>101200460030</v>
          </cell>
          <cell r="B2687" t="str">
            <v>DalsinghSarai</v>
          </cell>
          <cell r="C2687" t="str">
            <v>DalsinghSarai</v>
          </cell>
          <cell r="D2687" t="str">
            <v>Gomukh Ghataho</v>
          </cell>
          <cell r="E2687">
            <v>10120046</v>
          </cell>
          <cell r="F2687" t="str">
            <v>0030</v>
          </cell>
          <cell r="G2687">
            <v>12</v>
          </cell>
          <cell r="H2687">
            <v>56</v>
          </cell>
          <cell r="I2687">
            <v>2084.8233965112004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P2687">
            <v>2085</v>
          </cell>
          <cell r="V2687" t="str">
            <v>Not Available</v>
          </cell>
        </row>
        <row r="2688">
          <cell r="A2688" t="str">
            <v>101200460031</v>
          </cell>
          <cell r="B2688" t="str">
            <v>DalsinghSarai</v>
          </cell>
          <cell r="C2688" t="str">
            <v>DalsinghSarai</v>
          </cell>
          <cell r="D2688" t="str">
            <v>Gomukh Ghataho</v>
          </cell>
          <cell r="E2688">
            <v>10120046</v>
          </cell>
          <cell r="F2688" t="str">
            <v>0031</v>
          </cell>
          <cell r="G2688">
            <v>6</v>
          </cell>
          <cell r="H2688">
            <v>22.8</v>
          </cell>
          <cell r="I2688">
            <v>855.77219996399992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P2688">
            <v>856</v>
          </cell>
          <cell r="V2688" t="str">
            <v>Not Available</v>
          </cell>
        </row>
        <row r="2689">
          <cell r="A2689" t="str">
            <v>101200460032</v>
          </cell>
          <cell r="B2689" t="str">
            <v>DalsinghSarai</v>
          </cell>
          <cell r="C2689" t="str">
            <v>DalsinghSarai</v>
          </cell>
          <cell r="D2689" t="str">
            <v>Gomukh Ghataho</v>
          </cell>
          <cell r="E2689">
            <v>10120046</v>
          </cell>
          <cell r="F2689" t="str">
            <v>0032</v>
          </cell>
          <cell r="G2689">
            <v>6</v>
          </cell>
          <cell r="H2689">
            <v>16.899999999999999</v>
          </cell>
          <cell r="I2689">
            <v>648.77221728000006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P2689">
            <v>649</v>
          </cell>
          <cell r="V2689" t="str">
            <v>Not Available</v>
          </cell>
        </row>
        <row r="2690">
          <cell r="A2690" t="str">
            <v>101200460033</v>
          </cell>
          <cell r="B2690" t="str">
            <v>DalsinghSarai</v>
          </cell>
          <cell r="C2690" t="str">
            <v>DalsinghSarai</v>
          </cell>
          <cell r="D2690" t="str">
            <v>Gomukh Ghataho</v>
          </cell>
          <cell r="E2690">
            <v>10120046</v>
          </cell>
          <cell r="F2690" t="str">
            <v>0033</v>
          </cell>
          <cell r="G2690">
            <v>10</v>
          </cell>
          <cell r="H2690">
            <v>45.8</v>
          </cell>
          <cell r="I2690">
            <v>1708.9544924100003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P2690">
            <v>1709</v>
          </cell>
          <cell r="V2690" t="str">
            <v>Not Available</v>
          </cell>
        </row>
        <row r="2691">
          <cell r="A2691" t="str">
            <v>101200460034</v>
          </cell>
          <cell r="B2691" t="str">
            <v>DalsinghSarai</v>
          </cell>
          <cell r="C2691" t="str">
            <v>DalsinghSarai</v>
          </cell>
          <cell r="D2691" t="str">
            <v>Gomukh Ghataho</v>
          </cell>
          <cell r="E2691">
            <v>10120046</v>
          </cell>
          <cell r="F2691" t="str">
            <v>0034</v>
          </cell>
          <cell r="G2691">
            <v>1</v>
          </cell>
          <cell r="H2691">
            <v>6.8</v>
          </cell>
          <cell r="I2691">
            <v>273.77536032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P2691">
            <v>274</v>
          </cell>
          <cell r="V2691" t="str">
            <v>Not Available</v>
          </cell>
        </row>
        <row r="2692">
          <cell r="A2692" t="str">
            <v>101200460035</v>
          </cell>
          <cell r="B2692" t="str">
            <v>DalsinghSarai</v>
          </cell>
          <cell r="C2692" t="str">
            <v>DalsinghSarai</v>
          </cell>
          <cell r="D2692" t="str">
            <v>Gomukh Ghataho</v>
          </cell>
          <cell r="E2692">
            <v>10120046</v>
          </cell>
          <cell r="F2692" t="str">
            <v>0035</v>
          </cell>
          <cell r="G2692">
            <v>4</v>
          </cell>
          <cell r="H2692">
            <v>20.7</v>
          </cell>
          <cell r="I2692">
            <v>711.3331904580001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P2692">
            <v>711</v>
          </cell>
          <cell r="V2692" t="str">
            <v>Not Available</v>
          </cell>
        </row>
        <row r="2693">
          <cell r="A2693" t="str">
            <v>101200460047</v>
          </cell>
          <cell r="B2693" t="str">
            <v>DalsinghSarai</v>
          </cell>
          <cell r="C2693" t="str">
            <v>DalsinghSarai</v>
          </cell>
          <cell r="D2693" t="str">
            <v>Gomukh Ghataho</v>
          </cell>
          <cell r="E2693">
            <v>10120046</v>
          </cell>
          <cell r="F2693" t="str">
            <v>0047</v>
          </cell>
          <cell r="G2693">
            <v>6</v>
          </cell>
          <cell r="H2693">
            <v>9.5</v>
          </cell>
          <cell r="I2693">
            <v>431.14929264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P2693">
            <v>431</v>
          </cell>
          <cell r="V2693" t="str">
            <v>Available</v>
          </cell>
        </row>
        <row r="2694">
          <cell r="A2694" t="str">
            <v>101200460048</v>
          </cell>
          <cell r="B2694" t="str">
            <v>DalsinghSarai</v>
          </cell>
          <cell r="C2694" t="str">
            <v>DalsinghSarai</v>
          </cell>
          <cell r="D2694" t="str">
            <v>Gomukh Ghataho</v>
          </cell>
          <cell r="E2694">
            <v>10120046</v>
          </cell>
          <cell r="F2694" t="str">
            <v>0048</v>
          </cell>
          <cell r="G2694">
            <v>13</v>
          </cell>
          <cell r="H2694">
            <v>39.000000000000007</v>
          </cell>
          <cell r="I2694">
            <v>1476.0801910800001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P2694">
            <v>1476</v>
          </cell>
          <cell r="V2694" t="str">
            <v>Available</v>
          </cell>
        </row>
        <row r="2695">
          <cell r="A2695" t="str">
            <v>101200460050</v>
          </cell>
          <cell r="B2695" t="str">
            <v>DalsinghSarai</v>
          </cell>
          <cell r="C2695" t="str">
            <v>DalsinghSarai</v>
          </cell>
          <cell r="D2695" t="str">
            <v>Gomukh Ghataho</v>
          </cell>
          <cell r="E2695">
            <v>10120046</v>
          </cell>
          <cell r="F2695" t="str">
            <v>0050</v>
          </cell>
          <cell r="G2695">
            <v>12</v>
          </cell>
          <cell r="H2695">
            <v>33.199999999999996</v>
          </cell>
          <cell r="I2695">
            <v>1269.5470636860002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P2695">
            <v>1270</v>
          </cell>
          <cell r="V2695" t="str">
            <v>Available</v>
          </cell>
        </row>
        <row r="2696">
          <cell r="A2696" t="str">
            <v>101200460055</v>
          </cell>
          <cell r="B2696" t="str">
            <v>DalsinghSarai</v>
          </cell>
          <cell r="C2696" t="str">
            <v>DalsinghSarai</v>
          </cell>
          <cell r="D2696" t="str">
            <v>Gomukh Ghataho</v>
          </cell>
          <cell r="E2696">
            <v>10120046</v>
          </cell>
          <cell r="F2696" t="str">
            <v>0055</v>
          </cell>
          <cell r="G2696">
            <v>9</v>
          </cell>
          <cell r="H2696">
            <v>53.6</v>
          </cell>
          <cell r="I2696">
            <v>2081.4851698740003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P2696">
            <v>2081</v>
          </cell>
          <cell r="V2696" t="str">
            <v>Available</v>
          </cell>
        </row>
        <row r="2697">
          <cell r="A2697" t="str">
            <v>101200460056</v>
          </cell>
          <cell r="B2697" t="str">
            <v>DalsinghSarai</v>
          </cell>
          <cell r="C2697" t="str">
            <v>DalsinghSarai</v>
          </cell>
          <cell r="D2697" t="str">
            <v>Gomukh Ghataho</v>
          </cell>
          <cell r="E2697">
            <v>10120046</v>
          </cell>
          <cell r="F2697" t="str">
            <v>0056</v>
          </cell>
          <cell r="G2697">
            <v>12</v>
          </cell>
          <cell r="H2697">
            <v>57.4</v>
          </cell>
          <cell r="I2697">
            <v>2067.1543234979999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P2697">
            <v>2067</v>
          </cell>
          <cell r="V2697" t="str">
            <v>Available</v>
          </cell>
        </row>
        <row r="2698">
          <cell r="A2698" t="str">
            <v>101200460061</v>
          </cell>
          <cell r="B2698" t="str">
            <v>DalsinghSarai</v>
          </cell>
          <cell r="C2698" t="str">
            <v>DalsinghSarai</v>
          </cell>
          <cell r="D2698" t="str">
            <v>Gomukh Ghataho</v>
          </cell>
          <cell r="E2698">
            <v>10120046</v>
          </cell>
          <cell r="F2698" t="str">
            <v>0061</v>
          </cell>
          <cell r="G2698">
            <v>8</v>
          </cell>
          <cell r="H2698">
            <v>21.799999999999997</v>
          </cell>
          <cell r="I2698">
            <v>792.40903697715999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P2698">
            <v>792</v>
          </cell>
          <cell r="V2698" t="str">
            <v>Available</v>
          </cell>
        </row>
        <row r="2699">
          <cell r="A2699" t="str">
            <v>101200460101</v>
          </cell>
          <cell r="B2699" t="str">
            <v>DalsinghSarai</v>
          </cell>
          <cell r="C2699" t="str">
            <v>DalsinghSarai</v>
          </cell>
          <cell r="D2699" t="str">
            <v>Gomukh Ghataho</v>
          </cell>
          <cell r="E2699">
            <v>10120046</v>
          </cell>
          <cell r="F2699" t="str">
            <v>0101</v>
          </cell>
          <cell r="G2699">
            <v>9</v>
          </cell>
          <cell r="H2699">
            <v>28.099999999999998</v>
          </cell>
          <cell r="I2699">
            <v>999.45099401399989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P2699">
            <v>999</v>
          </cell>
          <cell r="V2699" t="str">
            <v>Available</v>
          </cell>
        </row>
        <row r="2700">
          <cell r="A2700" t="str">
            <v>101200460102</v>
          </cell>
          <cell r="B2700" t="str">
            <v>DalsinghSarai</v>
          </cell>
          <cell r="C2700" t="str">
            <v>DalsinghSarai</v>
          </cell>
          <cell r="D2700" t="str">
            <v>Gomukh Ghataho</v>
          </cell>
          <cell r="E2700">
            <v>10120046</v>
          </cell>
          <cell r="F2700" t="str">
            <v>0102</v>
          </cell>
          <cell r="G2700">
            <v>13</v>
          </cell>
          <cell r="H2700">
            <v>35.000000000000007</v>
          </cell>
          <cell r="I2700">
            <v>1405.445331312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P2700">
            <v>1405</v>
          </cell>
          <cell r="V2700" t="str">
            <v>Available</v>
          </cell>
        </row>
        <row r="2701">
          <cell r="A2701" t="str">
            <v>101200460103</v>
          </cell>
          <cell r="B2701" t="str">
            <v>DalsinghSarai</v>
          </cell>
          <cell r="C2701" t="str">
            <v>DalsinghSarai</v>
          </cell>
          <cell r="D2701" t="str">
            <v>Gomukh Ghataho</v>
          </cell>
          <cell r="E2701">
            <v>10120046</v>
          </cell>
          <cell r="F2701" t="str">
            <v>0103</v>
          </cell>
          <cell r="G2701">
            <v>13</v>
          </cell>
          <cell r="H2701">
            <v>21.500000000000004</v>
          </cell>
          <cell r="I2701">
            <v>906.97981869264004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P2701">
            <v>907</v>
          </cell>
          <cell r="V2701" t="str">
            <v>Available</v>
          </cell>
        </row>
        <row r="2702">
          <cell r="A2702" t="str">
            <v>101200460104</v>
          </cell>
          <cell r="B2702" t="str">
            <v>DalsinghSarai</v>
          </cell>
          <cell r="C2702" t="str">
            <v>DalsinghSarai</v>
          </cell>
          <cell r="D2702" t="str">
            <v>Gomukh Ghataho</v>
          </cell>
          <cell r="E2702">
            <v>10120046</v>
          </cell>
          <cell r="F2702" t="str">
            <v>0104</v>
          </cell>
          <cell r="G2702">
            <v>12</v>
          </cell>
          <cell r="H2702">
            <v>24.8</v>
          </cell>
          <cell r="I2702">
            <v>798.27111223199995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P2702">
            <v>798</v>
          </cell>
          <cell r="V2702" t="str">
            <v>Available</v>
          </cell>
        </row>
        <row r="2703">
          <cell r="A2703" t="str">
            <v>101200460106</v>
          </cell>
          <cell r="B2703" t="str">
            <v>DalsinghSarai</v>
          </cell>
          <cell r="C2703" t="str">
            <v>DalsinghSarai</v>
          </cell>
          <cell r="D2703" t="str">
            <v>Gomukh Ghataho</v>
          </cell>
          <cell r="E2703">
            <v>10120046</v>
          </cell>
          <cell r="F2703" t="str">
            <v>0106</v>
          </cell>
          <cell r="G2703">
            <v>6</v>
          </cell>
          <cell r="H2703">
            <v>20.400000000000002</v>
          </cell>
          <cell r="I2703">
            <v>745.56241016399997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P2703">
            <v>746</v>
          </cell>
          <cell r="V2703" t="str">
            <v>Available</v>
          </cell>
        </row>
        <row r="2704">
          <cell r="A2704" t="str">
            <v>101200460111</v>
          </cell>
          <cell r="B2704" t="str">
            <v>DalsinghSarai</v>
          </cell>
          <cell r="C2704" t="str">
            <v>DalsinghSarai</v>
          </cell>
          <cell r="D2704" t="str">
            <v>Gomukh Ghataho</v>
          </cell>
          <cell r="E2704">
            <v>10120046</v>
          </cell>
          <cell r="F2704" t="str">
            <v>0111</v>
          </cell>
          <cell r="G2704">
            <v>14</v>
          </cell>
          <cell r="H2704">
            <v>87.600000000000009</v>
          </cell>
          <cell r="I2704">
            <v>3292.1660926130398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P2704">
            <v>3292</v>
          </cell>
          <cell r="V2704" t="str">
            <v>Available</v>
          </cell>
        </row>
        <row r="2705">
          <cell r="A2705" t="str">
            <v>101200510002</v>
          </cell>
          <cell r="B2705" t="str">
            <v>DalsinghSarai</v>
          </cell>
          <cell r="C2705" t="str">
            <v>DalsinghSarai</v>
          </cell>
          <cell r="D2705" t="str">
            <v>Narenpur</v>
          </cell>
          <cell r="E2705">
            <v>10120051</v>
          </cell>
          <cell r="F2705" t="str">
            <v>0002</v>
          </cell>
          <cell r="G2705">
            <v>14</v>
          </cell>
          <cell r="H2705">
            <v>78.600000000000009</v>
          </cell>
          <cell r="I2705">
            <v>3408.306480366186</v>
          </cell>
          <cell r="J2705">
            <v>0</v>
          </cell>
          <cell r="K2705">
            <v>0</v>
          </cell>
          <cell r="L2705">
            <v>7</v>
          </cell>
          <cell r="M2705">
            <v>0</v>
          </cell>
          <cell r="P2705">
            <v>3401</v>
          </cell>
          <cell r="V2705" t="str">
            <v>Available</v>
          </cell>
        </row>
        <row r="2706">
          <cell r="A2706" t="str">
            <v>101200510011</v>
          </cell>
          <cell r="B2706" t="str">
            <v>DalsinghSarai</v>
          </cell>
          <cell r="C2706" t="str">
            <v>DalsinghSarai</v>
          </cell>
          <cell r="D2706" t="str">
            <v>Narenpur</v>
          </cell>
          <cell r="E2706">
            <v>10120051</v>
          </cell>
          <cell r="F2706" t="str">
            <v>0011</v>
          </cell>
          <cell r="G2706">
            <v>13</v>
          </cell>
          <cell r="H2706">
            <v>32.18</v>
          </cell>
          <cell r="I2706">
            <v>1184.6107800854402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P2706">
            <v>1185</v>
          </cell>
          <cell r="V2706" t="str">
            <v>Available</v>
          </cell>
        </row>
        <row r="2707">
          <cell r="A2707" t="str">
            <v>101200510012</v>
          </cell>
          <cell r="B2707" t="str">
            <v>DalsinghSarai</v>
          </cell>
          <cell r="C2707" t="str">
            <v>DalsinghSarai</v>
          </cell>
          <cell r="D2707" t="str">
            <v>Narenpur</v>
          </cell>
          <cell r="E2707">
            <v>10120051</v>
          </cell>
          <cell r="F2707" t="str">
            <v>0012</v>
          </cell>
          <cell r="G2707">
            <v>11</v>
          </cell>
          <cell r="H2707">
            <v>22.93</v>
          </cell>
          <cell r="I2707">
            <v>972.08859792780004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P2707">
            <v>972</v>
          </cell>
          <cell r="V2707" t="str">
            <v>Not Available</v>
          </cell>
        </row>
        <row r="2708">
          <cell r="A2708" t="str">
            <v>101200510013</v>
          </cell>
          <cell r="B2708" t="str">
            <v>DalsinghSarai</v>
          </cell>
          <cell r="C2708" t="str">
            <v>DalsinghSarai</v>
          </cell>
          <cell r="D2708" t="str">
            <v>Narenpur</v>
          </cell>
          <cell r="E2708">
            <v>10120051</v>
          </cell>
          <cell r="F2708" t="str">
            <v>0013</v>
          </cell>
          <cell r="G2708">
            <v>14</v>
          </cell>
          <cell r="H2708">
            <v>30.790000000000003</v>
          </cell>
          <cell r="I2708">
            <v>1443.4776075088203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P2708">
            <v>1443</v>
          </cell>
          <cell r="V2708" t="str">
            <v>Not Available</v>
          </cell>
        </row>
        <row r="2709">
          <cell r="A2709" t="str">
            <v>101200510014</v>
          </cell>
          <cell r="B2709" t="str">
            <v>DalsinghSarai</v>
          </cell>
          <cell r="C2709" t="str">
            <v>DalsinghSarai</v>
          </cell>
          <cell r="D2709" t="str">
            <v>Narenpur</v>
          </cell>
          <cell r="E2709">
            <v>10120051</v>
          </cell>
          <cell r="F2709" t="str">
            <v>0014</v>
          </cell>
          <cell r="G2709">
            <v>11</v>
          </cell>
          <cell r="H2709">
            <v>22.83</v>
          </cell>
          <cell r="I2709">
            <v>1158.410565960558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P2709">
            <v>1158</v>
          </cell>
          <cell r="V2709" t="str">
            <v>Not Available</v>
          </cell>
        </row>
        <row r="2710">
          <cell r="A2710" t="str">
            <v>101200510015</v>
          </cell>
          <cell r="B2710" t="str">
            <v>DalsinghSarai</v>
          </cell>
          <cell r="C2710" t="str">
            <v>DalsinghSarai</v>
          </cell>
          <cell r="D2710" t="str">
            <v>Narenpur</v>
          </cell>
          <cell r="E2710">
            <v>10120051</v>
          </cell>
          <cell r="F2710" t="str">
            <v>0015</v>
          </cell>
          <cell r="G2710">
            <v>12</v>
          </cell>
          <cell r="H2710">
            <v>30.62</v>
          </cell>
          <cell r="I2710">
            <v>1137.48939753384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P2710">
            <v>1137</v>
          </cell>
          <cell r="V2710" t="str">
            <v>Not Available</v>
          </cell>
        </row>
        <row r="2711">
          <cell r="A2711" t="str">
            <v>101200510016</v>
          </cell>
          <cell r="B2711" t="str">
            <v>DalsinghSarai</v>
          </cell>
          <cell r="C2711" t="str">
            <v>DalsinghSarai</v>
          </cell>
          <cell r="D2711" t="str">
            <v>Narenpur</v>
          </cell>
          <cell r="E2711">
            <v>10120051</v>
          </cell>
          <cell r="F2711" t="str">
            <v>0016</v>
          </cell>
          <cell r="G2711">
            <v>10</v>
          </cell>
          <cell r="H2711">
            <v>62.22</v>
          </cell>
          <cell r="I2711">
            <v>3217.4783331239996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P2711">
            <v>3217</v>
          </cell>
          <cell r="V2711" t="str">
            <v>Not Available</v>
          </cell>
        </row>
        <row r="2712">
          <cell r="A2712" t="str">
            <v>101200510017</v>
          </cell>
          <cell r="B2712" t="str">
            <v>DalsinghSarai</v>
          </cell>
          <cell r="C2712" t="str">
            <v>DalsinghSarai</v>
          </cell>
          <cell r="D2712" t="str">
            <v>Narenpur</v>
          </cell>
          <cell r="E2712">
            <v>10120051</v>
          </cell>
          <cell r="F2712" t="str">
            <v>0017</v>
          </cell>
          <cell r="G2712">
            <v>8</v>
          </cell>
          <cell r="H2712">
            <v>21.53</v>
          </cell>
          <cell r="I2712">
            <v>900.0085009106399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P2712">
            <v>900</v>
          </cell>
          <cell r="V2712" t="str">
            <v>Not Available</v>
          </cell>
        </row>
        <row r="2713">
          <cell r="A2713" t="str">
            <v>101200510018</v>
          </cell>
          <cell r="B2713" t="str">
            <v>DalsinghSarai</v>
          </cell>
          <cell r="C2713" t="str">
            <v>DalsinghSarai</v>
          </cell>
          <cell r="D2713" t="str">
            <v>Narenpur</v>
          </cell>
          <cell r="E2713">
            <v>10120051</v>
          </cell>
          <cell r="F2713" t="str">
            <v>0018</v>
          </cell>
          <cell r="G2713">
            <v>4</v>
          </cell>
          <cell r="H2713">
            <v>10.44</v>
          </cell>
          <cell r="I2713">
            <v>430.68725837096997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P2713">
            <v>431</v>
          </cell>
          <cell r="V2713" t="str">
            <v>Not Available</v>
          </cell>
        </row>
        <row r="2714">
          <cell r="A2714" t="str">
            <v>101200510019</v>
          </cell>
          <cell r="B2714" t="str">
            <v>DalsinghSarai</v>
          </cell>
          <cell r="C2714" t="str">
            <v>DalsinghSarai</v>
          </cell>
          <cell r="D2714" t="str">
            <v>Narenpur</v>
          </cell>
          <cell r="E2714">
            <v>10120051</v>
          </cell>
          <cell r="F2714" t="str">
            <v>0019</v>
          </cell>
          <cell r="G2714">
            <v>1</v>
          </cell>
          <cell r="H2714">
            <v>1.68</v>
          </cell>
          <cell r="I2714">
            <v>60.320538432000006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P2714">
            <v>60</v>
          </cell>
          <cell r="V2714" t="str">
            <v>Not Available</v>
          </cell>
        </row>
        <row r="2715">
          <cell r="A2715" t="str">
            <v>101200510020</v>
          </cell>
          <cell r="B2715" t="str">
            <v>DalsinghSarai</v>
          </cell>
          <cell r="C2715" t="str">
            <v>DalsinghSarai</v>
          </cell>
          <cell r="D2715" t="str">
            <v>Narenpur</v>
          </cell>
          <cell r="E2715">
            <v>10120051</v>
          </cell>
          <cell r="F2715" t="str">
            <v>0020</v>
          </cell>
          <cell r="G2715">
            <v>1</v>
          </cell>
          <cell r="H2715">
            <v>4.53</v>
          </cell>
          <cell r="I2715">
            <v>162.65002327200003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P2715">
            <v>163</v>
          </cell>
          <cell r="V2715" t="str">
            <v>Not Available</v>
          </cell>
        </row>
        <row r="2716">
          <cell r="A2716" t="str">
            <v>101200520001</v>
          </cell>
          <cell r="B2716" t="str">
            <v>DalsinghSarai</v>
          </cell>
          <cell r="C2716" t="str">
            <v>DalsinghSarai</v>
          </cell>
          <cell r="D2716" t="str">
            <v>Mordiba</v>
          </cell>
          <cell r="E2716">
            <v>10120052</v>
          </cell>
          <cell r="F2716" t="str">
            <v>0001</v>
          </cell>
          <cell r="G2716">
            <v>5</v>
          </cell>
          <cell r="H2716">
            <v>2.7</v>
          </cell>
          <cell r="I2716">
            <v>110.92653594000001</v>
          </cell>
          <cell r="J2716">
            <v>0</v>
          </cell>
          <cell r="K2716">
            <v>110.92653594000001</v>
          </cell>
          <cell r="L2716">
            <v>0</v>
          </cell>
          <cell r="M2716">
            <v>0</v>
          </cell>
          <cell r="P2716">
            <v>0</v>
          </cell>
          <cell r="V2716" t="str">
            <v>Not Available</v>
          </cell>
        </row>
        <row r="2717">
          <cell r="A2717" t="str">
            <v>101200520002</v>
          </cell>
          <cell r="B2717" t="str">
            <v>DalsinghSarai</v>
          </cell>
          <cell r="C2717" t="str">
            <v>DalsinghSarai</v>
          </cell>
          <cell r="D2717" t="str">
            <v>Mordiba</v>
          </cell>
          <cell r="E2717">
            <v>10120052</v>
          </cell>
          <cell r="F2717" t="str">
            <v>0002</v>
          </cell>
          <cell r="G2717">
            <v>14</v>
          </cell>
          <cell r="H2717">
            <v>548.66999999999996</v>
          </cell>
          <cell r="I2717">
            <v>20845.409992448404</v>
          </cell>
          <cell r="J2717">
            <v>0</v>
          </cell>
          <cell r="K2717">
            <v>0</v>
          </cell>
          <cell r="L2717">
            <v>0</v>
          </cell>
          <cell r="M2717">
            <v>3000</v>
          </cell>
          <cell r="P2717">
            <v>17845</v>
          </cell>
          <cell r="V2717" t="str">
            <v>Available</v>
          </cell>
        </row>
        <row r="2718">
          <cell r="A2718" t="str">
            <v>101200520003</v>
          </cell>
          <cell r="B2718" t="str">
            <v>DalsinghSarai</v>
          </cell>
          <cell r="C2718" t="str">
            <v>DalsinghSarai</v>
          </cell>
          <cell r="D2718" t="str">
            <v>Mordiba</v>
          </cell>
          <cell r="E2718">
            <v>10120052</v>
          </cell>
          <cell r="F2718" t="str">
            <v>0003</v>
          </cell>
          <cell r="G2718">
            <v>14</v>
          </cell>
          <cell r="H2718">
            <v>541.66999999999996</v>
          </cell>
          <cell r="I2718">
            <v>20339.352077279407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P2718">
            <v>20339</v>
          </cell>
          <cell r="V2718" t="str">
            <v>Available</v>
          </cell>
        </row>
        <row r="2719">
          <cell r="A2719" t="str">
            <v>101200520004</v>
          </cell>
          <cell r="B2719" t="str">
            <v>DalsinghSarai</v>
          </cell>
          <cell r="C2719" t="str">
            <v>DalsinghSarai</v>
          </cell>
          <cell r="D2719" t="str">
            <v>Mordiba</v>
          </cell>
          <cell r="E2719">
            <v>10120052</v>
          </cell>
          <cell r="F2719" t="str">
            <v>0004</v>
          </cell>
          <cell r="G2719">
            <v>4</v>
          </cell>
          <cell r="H2719">
            <v>44.570000000000007</v>
          </cell>
          <cell r="I2719">
            <v>1874.5608497520002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P2719">
            <v>1875</v>
          </cell>
          <cell r="V2719" t="str">
            <v>Available</v>
          </cell>
        </row>
        <row r="2720">
          <cell r="A2720" t="str">
            <v>101200520014</v>
          </cell>
          <cell r="B2720" t="str">
            <v>DalsinghSarai</v>
          </cell>
          <cell r="C2720" t="str">
            <v>DalsinghSarai</v>
          </cell>
          <cell r="D2720" t="str">
            <v>Mordiba</v>
          </cell>
          <cell r="E2720">
            <v>10120052</v>
          </cell>
          <cell r="F2720" t="str">
            <v>0014</v>
          </cell>
          <cell r="G2720">
            <v>13</v>
          </cell>
          <cell r="H2720">
            <v>331.75000000000006</v>
          </cell>
          <cell r="I2720">
            <v>12245.548458621537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P2720">
            <v>12246</v>
          </cell>
          <cell r="V2720" t="str">
            <v>Not Available</v>
          </cell>
        </row>
        <row r="2721">
          <cell r="A2721" t="str">
            <v>101200520015</v>
          </cell>
          <cell r="B2721" t="str">
            <v>DalsinghSarai</v>
          </cell>
          <cell r="C2721" t="str">
            <v>DalsinghSarai</v>
          </cell>
          <cell r="D2721" t="str">
            <v>Mordiba</v>
          </cell>
          <cell r="E2721">
            <v>10120052</v>
          </cell>
          <cell r="F2721" t="str">
            <v>0015</v>
          </cell>
          <cell r="G2721">
            <v>10</v>
          </cell>
          <cell r="H2721">
            <v>256.95</v>
          </cell>
          <cell r="I2721">
            <v>9343.2485414035618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P2721">
            <v>9343</v>
          </cell>
          <cell r="V2721" t="str">
            <v>Not Available</v>
          </cell>
        </row>
        <row r="2722">
          <cell r="A2722" t="str">
            <v>101200520016</v>
          </cell>
          <cell r="B2722" t="str">
            <v>DalsinghSarai</v>
          </cell>
          <cell r="C2722" t="str">
            <v>DalsinghSarai</v>
          </cell>
          <cell r="D2722" t="str">
            <v>Mordiba</v>
          </cell>
          <cell r="E2722">
            <v>10120052</v>
          </cell>
          <cell r="F2722" t="str">
            <v>0016</v>
          </cell>
          <cell r="G2722">
            <v>7</v>
          </cell>
          <cell r="H2722">
            <v>171.41</v>
          </cell>
          <cell r="I2722">
            <v>6613.2852028451998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P2722">
            <v>6613</v>
          </cell>
          <cell r="V2722" t="str">
            <v>Not Available</v>
          </cell>
        </row>
        <row r="2723">
          <cell r="A2723" t="str">
            <v>101200520017</v>
          </cell>
          <cell r="B2723" t="str">
            <v>DalsinghSarai</v>
          </cell>
          <cell r="C2723" t="str">
            <v>DalsinghSarai</v>
          </cell>
          <cell r="D2723" t="str">
            <v>Mordiba</v>
          </cell>
          <cell r="E2723">
            <v>10120052</v>
          </cell>
          <cell r="F2723" t="str">
            <v>0017</v>
          </cell>
          <cell r="G2723">
            <v>5</v>
          </cell>
          <cell r="H2723">
            <v>87.8</v>
          </cell>
          <cell r="I2723">
            <v>3571.6889761002403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P2723">
            <v>3572</v>
          </cell>
          <cell r="V2723" t="str">
            <v>Not Available</v>
          </cell>
        </row>
        <row r="2724">
          <cell r="A2724" t="str">
            <v>101200530002</v>
          </cell>
          <cell r="B2724" t="str">
            <v>DalsinghSarai</v>
          </cell>
          <cell r="C2724" t="str">
            <v>DalsinghSarai</v>
          </cell>
          <cell r="D2724" t="str">
            <v>Jagdispur</v>
          </cell>
          <cell r="E2724">
            <v>10120053</v>
          </cell>
          <cell r="F2724" t="str">
            <v>0002</v>
          </cell>
          <cell r="G2724">
            <v>13</v>
          </cell>
          <cell r="H2724">
            <v>74.2</v>
          </cell>
          <cell r="I2724">
            <v>2581.3474165512002</v>
          </cell>
          <cell r="J2724">
            <v>0</v>
          </cell>
          <cell r="K2724">
            <v>0</v>
          </cell>
          <cell r="L2724">
            <v>166</v>
          </cell>
          <cell r="M2724">
            <v>757</v>
          </cell>
          <cell r="P2724">
            <v>1658</v>
          </cell>
          <cell r="V2724" t="str">
            <v>Available</v>
          </cell>
        </row>
        <row r="2725">
          <cell r="A2725" t="str">
            <v>101200530004</v>
          </cell>
          <cell r="B2725" t="str">
            <v>DalsinghSarai</v>
          </cell>
          <cell r="C2725" t="str">
            <v>DalsinghSarai</v>
          </cell>
          <cell r="D2725" t="str">
            <v>Jagdispur</v>
          </cell>
          <cell r="E2725">
            <v>10120053</v>
          </cell>
          <cell r="F2725" t="str">
            <v>0004</v>
          </cell>
          <cell r="G2725">
            <v>6</v>
          </cell>
          <cell r="H2725">
            <v>8.8800000000000008</v>
          </cell>
          <cell r="I2725">
            <v>355.87718031690002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P2725">
            <v>356</v>
          </cell>
          <cell r="V2725" t="str">
            <v>Available</v>
          </cell>
        </row>
        <row r="2726">
          <cell r="A2726" t="str">
            <v>101200530016</v>
          </cell>
          <cell r="B2726" t="str">
            <v>DalsinghSarai</v>
          </cell>
          <cell r="C2726" t="str">
            <v>DalsinghSarai</v>
          </cell>
          <cell r="D2726" t="str">
            <v>Jagdispur</v>
          </cell>
          <cell r="E2726">
            <v>10120053</v>
          </cell>
          <cell r="F2726" t="str">
            <v>0016</v>
          </cell>
          <cell r="G2726">
            <v>1</v>
          </cell>
          <cell r="H2726">
            <v>5.8</v>
          </cell>
          <cell r="I2726">
            <v>155.11521484800002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P2726">
            <v>155</v>
          </cell>
          <cell r="V2726" t="str">
            <v>Available</v>
          </cell>
        </row>
        <row r="2727">
          <cell r="A2727" t="str">
            <v>101200530018</v>
          </cell>
          <cell r="B2727" t="str">
            <v>DalsinghSarai</v>
          </cell>
          <cell r="C2727" t="str">
            <v>DalsinghSarai</v>
          </cell>
          <cell r="D2727" t="str">
            <v>Jagdispur</v>
          </cell>
          <cell r="E2727">
            <v>10120053</v>
          </cell>
          <cell r="F2727" t="str">
            <v>0018</v>
          </cell>
          <cell r="G2727">
            <v>13</v>
          </cell>
          <cell r="H2727">
            <v>38.030000000000008</v>
          </cell>
          <cell r="I2727">
            <v>1294.3157495201999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P2727">
            <v>1294</v>
          </cell>
          <cell r="V2727" t="str">
            <v>Available</v>
          </cell>
        </row>
        <row r="2728">
          <cell r="A2728" t="str">
            <v>101200530050</v>
          </cell>
          <cell r="B2728" t="str">
            <v>DalsinghSarai</v>
          </cell>
          <cell r="C2728" t="str">
            <v>DalsinghSarai</v>
          </cell>
          <cell r="D2728" t="str">
            <v>Jagdispur</v>
          </cell>
          <cell r="E2728">
            <v>10120053</v>
          </cell>
          <cell r="F2728" t="str">
            <v>0050</v>
          </cell>
          <cell r="G2728">
            <v>10</v>
          </cell>
          <cell r="H2728">
            <v>23.11</v>
          </cell>
          <cell r="I2728">
            <v>876.95843431680009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P2728">
            <v>877</v>
          </cell>
          <cell r="V2728" t="str">
            <v>Available</v>
          </cell>
        </row>
        <row r="2729">
          <cell r="A2729" t="str">
            <v>101200530057</v>
          </cell>
          <cell r="B2729" t="str">
            <v>DalsinghSarai</v>
          </cell>
          <cell r="C2729" t="str">
            <v>DalsinghSarai</v>
          </cell>
          <cell r="D2729" t="str">
            <v>Jagdispur</v>
          </cell>
          <cell r="E2729">
            <v>10120053</v>
          </cell>
          <cell r="F2729" t="str">
            <v>0057</v>
          </cell>
          <cell r="G2729">
            <v>7</v>
          </cell>
          <cell r="H2729">
            <v>12.910000000000002</v>
          </cell>
          <cell r="I2729">
            <v>720.22538922505998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P2729">
            <v>720</v>
          </cell>
          <cell r="V2729" t="str">
            <v>Available</v>
          </cell>
        </row>
        <row r="2730">
          <cell r="A2730" t="str">
            <v>101200530058</v>
          </cell>
          <cell r="B2730" t="str">
            <v>DalsinghSarai</v>
          </cell>
          <cell r="C2730" t="str">
            <v>DalsinghSarai</v>
          </cell>
          <cell r="D2730" t="str">
            <v>Jagdispur</v>
          </cell>
          <cell r="E2730">
            <v>10120053</v>
          </cell>
          <cell r="F2730" t="str">
            <v>0058</v>
          </cell>
          <cell r="G2730">
            <v>13</v>
          </cell>
          <cell r="H2730">
            <v>30.520000000000003</v>
          </cell>
          <cell r="I2730">
            <v>912.97810474200003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P2730">
            <v>913</v>
          </cell>
          <cell r="V2730" t="str">
            <v>Available</v>
          </cell>
        </row>
        <row r="2731">
          <cell r="A2731" t="str">
            <v>101200530059</v>
          </cell>
          <cell r="B2731" t="str">
            <v>DalsinghSarai</v>
          </cell>
          <cell r="C2731" t="str">
            <v>DalsinghSarai</v>
          </cell>
          <cell r="D2731" t="str">
            <v>Jagdispur</v>
          </cell>
          <cell r="E2731">
            <v>10120053</v>
          </cell>
          <cell r="F2731" t="str">
            <v>0059</v>
          </cell>
          <cell r="G2731">
            <v>12</v>
          </cell>
          <cell r="H2731">
            <v>31.98</v>
          </cell>
          <cell r="I2731">
            <v>1423.5810642614993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P2731">
            <v>1424</v>
          </cell>
          <cell r="V2731" t="str">
            <v>Available</v>
          </cell>
        </row>
        <row r="2732">
          <cell r="A2732" t="str">
            <v>101200530060</v>
          </cell>
          <cell r="B2732" t="str">
            <v>DalsinghSarai</v>
          </cell>
          <cell r="C2732" t="str">
            <v>DalsinghSarai</v>
          </cell>
          <cell r="D2732" t="str">
            <v>Jagdispur</v>
          </cell>
          <cell r="E2732">
            <v>10120053</v>
          </cell>
          <cell r="F2732" t="str">
            <v>0060</v>
          </cell>
          <cell r="G2732">
            <v>10</v>
          </cell>
          <cell r="H2732">
            <v>25.49</v>
          </cell>
          <cell r="I2732">
            <v>819.33272229600004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P2732">
            <v>819</v>
          </cell>
          <cell r="V2732" t="str">
            <v>Available</v>
          </cell>
        </row>
        <row r="2733">
          <cell r="A2733" t="str">
            <v>101200710001</v>
          </cell>
          <cell r="B2733" t="str">
            <v>DalsinghSarai</v>
          </cell>
          <cell r="C2733" t="str">
            <v>DalsinghSarai</v>
          </cell>
          <cell r="D2733" t="str">
            <v>Suratpur</v>
          </cell>
          <cell r="E2733">
            <v>10120071</v>
          </cell>
          <cell r="F2733" t="str">
            <v>0001</v>
          </cell>
          <cell r="G2733">
            <v>1</v>
          </cell>
          <cell r="H2733">
            <v>0.15</v>
          </cell>
          <cell r="I2733">
            <v>5.4075285989999999</v>
          </cell>
          <cell r="J2733">
            <v>0</v>
          </cell>
          <cell r="K2733">
            <v>5.4075285989999999</v>
          </cell>
          <cell r="L2733">
            <v>0</v>
          </cell>
          <cell r="M2733">
            <v>0</v>
          </cell>
          <cell r="P2733">
            <v>0</v>
          </cell>
          <cell r="V2733" t="str">
            <v>Not Available</v>
          </cell>
        </row>
        <row r="2734">
          <cell r="A2734" t="str">
            <v>101200710002</v>
          </cell>
          <cell r="B2734" t="str">
            <v>DalsinghSarai</v>
          </cell>
          <cell r="C2734" t="str">
            <v>DalsinghSarai</v>
          </cell>
          <cell r="D2734" t="str">
            <v>Suratpur</v>
          </cell>
          <cell r="E2734">
            <v>10120071</v>
          </cell>
          <cell r="F2734" t="str">
            <v>0002</v>
          </cell>
          <cell r="G2734">
            <v>14</v>
          </cell>
          <cell r="H2734">
            <v>74.209999999999994</v>
          </cell>
          <cell r="I2734">
            <v>3023.3998841244997</v>
          </cell>
          <cell r="J2734">
            <v>0</v>
          </cell>
          <cell r="K2734">
            <v>0</v>
          </cell>
          <cell r="L2734">
            <v>2421</v>
          </cell>
          <cell r="M2734">
            <v>0</v>
          </cell>
          <cell r="P2734">
            <v>602</v>
          </cell>
          <cell r="V2734" t="str">
            <v>Available</v>
          </cell>
        </row>
        <row r="2735">
          <cell r="A2735" t="str">
            <v>101200710013</v>
          </cell>
          <cell r="B2735" t="str">
            <v>DalsinghSarai</v>
          </cell>
          <cell r="C2735" t="str">
            <v>DalsinghSarai</v>
          </cell>
          <cell r="D2735" t="str">
            <v>Suratpur</v>
          </cell>
          <cell r="E2735">
            <v>10120071</v>
          </cell>
          <cell r="F2735" t="str">
            <v>0013</v>
          </cell>
          <cell r="G2735">
            <v>1</v>
          </cell>
          <cell r="H2735">
            <v>31.36</v>
          </cell>
          <cell r="I2735">
            <v>1287.4246640639999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P2735">
            <v>1287</v>
          </cell>
          <cell r="V2735" t="str">
            <v>Available</v>
          </cell>
        </row>
        <row r="2736">
          <cell r="A2736" t="str">
            <v>101200710023</v>
          </cell>
          <cell r="B2736" t="str">
            <v>DalsinghSarai</v>
          </cell>
          <cell r="C2736" t="str">
            <v>DalsinghSarai</v>
          </cell>
          <cell r="D2736" t="str">
            <v>Suratpur</v>
          </cell>
          <cell r="E2736">
            <v>10120071</v>
          </cell>
          <cell r="F2736" t="str">
            <v>0023</v>
          </cell>
          <cell r="G2736">
            <v>11</v>
          </cell>
          <cell r="H2736">
            <v>81.73</v>
          </cell>
          <cell r="I2736">
            <v>3803.6834043801005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P2736">
            <v>3804</v>
          </cell>
          <cell r="V2736" t="str">
            <v>Not Available</v>
          </cell>
        </row>
        <row r="2737">
          <cell r="A2737" t="str">
            <v>101200710024</v>
          </cell>
          <cell r="B2737" t="str">
            <v>DalsinghSarai</v>
          </cell>
          <cell r="C2737" t="str">
            <v>DalsinghSarai</v>
          </cell>
          <cell r="D2737" t="str">
            <v>Suratpur</v>
          </cell>
          <cell r="E2737">
            <v>10120071</v>
          </cell>
          <cell r="F2737" t="str">
            <v>0024</v>
          </cell>
          <cell r="G2737">
            <v>9</v>
          </cell>
          <cell r="H2737">
            <v>91.51</v>
          </cell>
          <cell r="I2737">
            <v>4090.0672788439006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P2737">
            <v>4090</v>
          </cell>
          <cell r="V2737" t="str">
            <v>Not Available</v>
          </cell>
        </row>
        <row r="2738">
          <cell r="A2738" t="str">
            <v>101200710025</v>
          </cell>
          <cell r="B2738" t="str">
            <v>DalsinghSarai</v>
          </cell>
          <cell r="C2738" t="str">
            <v>DalsinghSarai</v>
          </cell>
          <cell r="D2738" t="str">
            <v>Suratpur</v>
          </cell>
          <cell r="E2738">
            <v>10120071</v>
          </cell>
          <cell r="F2738" t="str">
            <v>0025</v>
          </cell>
          <cell r="G2738">
            <v>8</v>
          </cell>
          <cell r="H2738">
            <v>37.910000000000004</v>
          </cell>
          <cell r="I2738">
            <v>1686.7708923029002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P2738">
            <v>1687</v>
          </cell>
          <cell r="V2738" t="str">
            <v>Not Available</v>
          </cell>
        </row>
        <row r="2739">
          <cell r="A2739" t="str">
            <v>101200710026</v>
          </cell>
          <cell r="B2739" t="str">
            <v>DalsinghSarai</v>
          </cell>
          <cell r="C2739" t="str">
            <v>DalsinghSarai</v>
          </cell>
          <cell r="D2739" t="str">
            <v>Suratpur</v>
          </cell>
          <cell r="E2739">
            <v>10120071</v>
          </cell>
          <cell r="F2739" t="str">
            <v>0026</v>
          </cell>
          <cell r="G2739">
            <v>7</v>
          </cell>
          <cell r="H2739">
            <v>46.68</v>
          </cell>
          <cell r="I2739">
            <v>1963.9857418500001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P2739">
            <v>1964</v>
          </cell>
          <cell r="V2739" t="str">
            <v>Not Available</v>
          </cell>
        </row>
        <row r="2740">
          <cell r="A2740" t="str">
            <v>101200710027</v>
          </cell>
          <cell r="B2740" t="str">
            <v>DalsinghSarai</v>
          </cell>
          <cell r="C2740" t="str">
            <v>DalsinghSarai</v>
          </cell>
          <cell r="D2740" t="str">
            <v>Suratpur</v>
          </cell>
          <cell r="E2740">
            <v>10120071</v>
          </cell>
          <cell r="F2740" t="str">
            <v>0027</v>
          </cell>
          <cell r="G2740">
            <v>6</v>
          </cell>
          <cell r="H2740">
            <v>25.720000000000002</v>
          </cell>
          <cell r="I2740">
            <v>1533.2287410746999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P2740">
            <v>1533</v>
          </cell>
          <cell r="V2740" t="str">
            <v>Not Available</v>
          </cell>
        </row>
        <row r="2741">
          <cell r="A2741" t="str">
            <v>101200710028</v>
          </cell>
          <cell r="B2741" t="str">
            <v>DalsinghSarai</v>
          </cell>
          <cell r="C2741" t="str">
            <v>DalsinghSarai</v>
          </cell>
          <cell r="D2741" t="str">
            <v>Suratpur</v>
          </cell>
          <cell r="E2741">
            <v>10120071</v>
          </cell>
          <cell r="F2741" t="str">
            <v>0028</v>
          </cell>
          <cell r="G2741">
            <v>5</v>
          </cell>
          <cell r="H2741">
            <v>48.609999999999992</v>
          </cell>
          <cell r="I2741">
            <v>2311.3264184639997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P2741">
            <v>2311</v>
          </cell>
          <cell r="V2741" t="str">
            <v>Not Available</v>
          </cell>
        </row>
        <row r="2742">
          <cell r="A2742" t="str">
            <v>101200710029</v>
          </cell>
          <cell r="B2742" t="str">
            <v>DalsinghSarai</v>
          </cell>
          <cell r="C2742" t="str">
            <v>DalsinghSarai</v>
          </cell>
          <cell r="D2742" t="str">
            <v>Suratpur</v>
          </cell>
          <cell r="E2742">
            <v>10120071</v>
          </cell>
          <cell r="F2742" t="str">
            <v>0029</v>
          </cell>
          <cell r="G2742">
            <v>4</v>
          </cell>
          <cell r="H2742">
            <v>16.27</v>
          </cell>
          <cell r="I2742">
            <v>766.90884382050012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P2742">
            <v>767</v>
          </cell>
          <cell r="V2742" t="str">
            <v>Not Available</v>
          </cell>
        </row>
        <row r="2743">
          <cell r="A2743" t="str">
            <v>101200710030</v>
          </cell>
          <cell r="B2743" t="str">
            <v>DalsinghSarai</v>
          </cell>
          <cell r="C2743" t="str">
            <v>DalsinghSarai</v>
          </cell>
          <cell r="D2743" t="str">
            <v>Suratpur</v>
          </cell>
          <cell r="E2743">
            <v>10120071</v>
          </cell>
          <cell r="F2743" t="str">
            <v>0030</v>
          </cell>
          <cell r="G2743">
            <v>3</v>
          </cell>
          <cell r="H2743">
            <v>28.86</v>
          </cell>
          <cell r="I2743">
            <v>1280.2059330444004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P2743">
            <v>1280</v>
          </cell>
          <cell r="V2743" t="str">
            <v>Not Available</v>
          </cell>
        </row>
        <row r="2744">
          <cell r="A2744" t="str">
            <v>101200710031</v>
          </cell>
          <cell r="B2744" t="str">
            <v>DalsinghSarai</v>
          </cell>
          <cell r="C2744" t="str">
            <v>DalsinghSarai</v>
          </cell>
          <cell r="D2744" t="str">
            <v>Suratpur</v>
          </cell>
          <cell r="E2744">
            <v>10120071</v>
          </cell>
          <cell r="F2744" t="str">
            <v>0031</v>
          </cell>
          <cell r="G2744">
            <v>2</v>
          </cell>
          <cell r="H2744">
            <v>25.07</v>
          </cell>
          <cell r="I2744">
            <v>1275.3601611552003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P2744">
            <v>1275</v>
          </cell>
          <cell r="V2744" t="str">
            <v>Not Available</v>
          </cell>
        </row>
        <row r="2745">
          <cell r="A2745" t="str">
            <v>101200710032</v>
          </cell>
          <cell r="B2745" t="str">
            <v>DalsinghSarai</v>
          </cell>
          <cell r="C2745" t="str">
            <v>DalsinghSarai</v>
          </cell>
          <cell r="D2745" t="str">
            <v>Suratpur</v>
          </cell>
          <cell r="E2745">
            <v>10120071</v>
          </cell>
          <cell r="F2745" t="str">
            <v>0032</v>
          </cell>
          <cell r="G2745">
            <v>2</v>
          </cell>
          <cell r="H2745">
            <v>44.23</v>
          </cell>
          <cell r="I2745">
            <v>1704.9110494680001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P2745">
            <v>1705</v>
          </cell>
          <cell r="V2745" t="str">
            <v>Not Available</v>
          </cell>
        </row>
        <row r="2746">
          <cell r="A2746" t="str">
            <v>101200710034</v>
          </cell>
          <cell r="B2746" t="str">
            <v>DalsinghSarai</v>
          </cell>
          <cell r="C2746" t="str">
            <v>DalsinghSarai</v>
          </cell>
          <cell r="D2746" t="str">
            <v>Suratpur</v>
          </cell>
          <cell r="E2746">
            <v>10120071</v>
          </cell>
          <cell r="F2746" t="str">
            <v>0034</v>
          </cell>
          <cell r="G2746">
            <v>1</v>
          </cell>
          <cell r="H2746">
            <v>1.73</v>
          </cell>
          <cell r="I2746">
            <v>68.053175388000014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P2746">
            <v>68</v>
          </cell>
          <cell r="V2746" t="str">
            <v>Not Available</v>
          </cell>
        </row>
        <row r="2747">
          <cell r="A2747" t="str">
            <v>101200800002</v>
          </cell>
          <cell r="B2747" t="str">
            <v>DalsinghSarai</v>
          </cell>
          <cell r="C2747" t="str">
            <v>DalsinghSarai</v>
          </cell>
          <cell r="D2747" t="str">
            <v>Manika Tol</v>
          </cell>
          <cell r="E2747">
            <v>10120080</v>
          </cell>
          <cell r="F2747" t="str">
            <v>0002</v>
          </cell>
          <cell r="G2747">
            <v>13</v>
          </cell>
          <cell r="H2747">
            <v>91.210000000000008</v>
          </cell>
          <cell r="I2747">
            <v>3043.7697518316004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P2747">
            <v>3044</v>
          </cell>
          <cell r="V2747" t="str">
            <v>Available</v>
          </cell>
        </row>
        <row r="2748">
          <cell r="A2748" t="str">
            <v>101200830002</v>
          </cell>
          <cell r="B2748" t="str">
            <v>DalsinghSarai</v>
          </cell>
          <cell r="C2748" t="str">
            <v>DalsinghSarai</v>
          </cell>
          <cell r="D2748" t="str">
            <v>Beri</v>
          </cell>
          <cell r="E2748">
            <v>10120083</v>
          </cell>
          <cell r="F2748" t="str">
            <v>0002</v>
          </cell>
          <cell r="G2748">
            <v>14</v>
          </cell>
          <cell r="H2748">
            <v>273.45999999999998</v>
          </cell>
          <cell r="I2748">
            <v>10553.6489145714</v>
          </cell>
          <cell r="J2748">
            <v>0</v>
          </cell>
          <cell r="K2748">
            <v>0</v>
          </cell>
          <cell r="L2748">
            <v>141</v>
          </cell>
          <cell r="M2748">
            <v>10397</v>
          </cell>
          <cell r="P2748">
            <v>0</v>
          </cell>
          <cell r="V2748" t="str">
            <v>Available</v>
          </cell>
        </row>
        <row r="2749">
          <cell r="A2749" t="str">
            <v>101200830020</v>
          </cell>
          <cell r="B2749" t="str">
            <v>DalsinghSarai</v>
          </cell>
          <cell r="C2749" t="str">
            <v>DalsinghSarai</v>
          </cell>
          <cell r="D2749" t="str">
            <v>Beri</v>
          </cell>
          <cell r="E2749">
            <v>10120083</v>
          </cell>
          <cell r="F2749" t="str">
            <v>0020</v>
          </cell>
          <cell r="G2749">
            <v>1</v>
          </cell>
          <cell r="H2749">
            <v>1</v>
          </cell>
          <cell r="I2749">
            <v>25.529581440000005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P2749">
            <v>0</v>
          </cell>
          <cell r="V2749" t="str">
            <v>Not Available</v>
          </cell>
        </row>
        <row r="2750">
          <cell r="A2750" t="str">
            <v>101200830021</v>
          </cell>
          <cell r="B2750" t="str">
            <v>DalsinghSarai</v>
          </cell>
          <cell r="C2750" t="str">
            <v>DalsinghSarai</v>
          </cell>
          <cell r="D2750" t="str">
            <v>Beri</v>
          </cell>
          <cell r="E2750">
            <v>10120083</v>
          </cell>
          <cell r="F2750" t="str">
            <v>0021</v>
          </cell>
          <cell r="G2750">
            <v>1</v>
          </cell>
          <cell r="H2750">
            <v>1.1000000000000001</v>
          </cell>
          <cell r="I2750">
            <v>30.260539584000007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P2750">
            <v>0</v>
          </cell>
          <cell r="V2750" t="str">
            <v>Not Available</v>
          </cell>
        </row>
        <row r="2751">
          <cell r="A2751" t="str">
            <v>101200830022</v>
          </cell>
          <cell r="B2751" t="str">
            <v>DalsinghSarai</v>
          </cell>
          <cell r="C2751" t="str">
            <v>DalsinghSarai</v>
          </cell>
          <cell r="D2751" t="str">
            <v>Beri</v>
          </cell>
          <cell r="E2751">
            <v>10120083</v>
          </cell>
          <cell r="F2751" t="str">
            <v>0022</v>
          </cell>
          <cell r="G2751">
            <v>1</v>
          </cell>
          <cell r="H2751">
            <v>1.2</v>
          </cell>
          <cell r="I2751">
            <v>31.110697728000005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P2751">
            <v>0</v>
          </cell>
          <cell r="V2751" t="str">
            <v>Not Available</v>
          </cell>
        </row>
        <row r="2752">
          <cell r="A2752" t="str">
            <v>101200830023</v>
          </cell>
          <cell r="B2752" t="str">
            <v>DalsinghSarai</v>
          </cell>
          <cell r="C2752" t="str">
            <v>DalsinghSarai</v>
          </cell>
          <cell r="D2752" t="str">
            <v>Beri</v>
          </cell>
          <cell r="E2752">
            <v>10120083</v>
          </cell>
          <cell r="F2752" t="str">
            <v>0023</v>
          </cell>
          <cell r="G2752">
            <v>1</v>
          </cell>
          <cell r="H2752">
            <v>1.2</v>
          </cell>
          <cell r="I2752">
            <v>31.110697728000005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P2752">
            <v>0</v>
          </cell>
          <cell r="V2752" t="str">
            <v>Not Available</v>
          </cell>
        </row>
        <row r="2753">
          <cell r="A2753" t="str">
            <v>101200830024</v>
          </cell>
          <cell r="B2753" t="str">
            <v>DalsinghSarai</v>
          </cell>
          <cell r="C2753" t="str">
            <v>DalsinghSarai</v>
          </cell>
          <cell r="D2753" t="str">
            <v>Beri</v>
          </cell>
          <cell r="E2753">
            <v>10120083</v>
          </cell>
          <cell r="F2753" t="str">
            <v>0024</v>
          </cell>
          <cell r="G2753">
            <v>1</v>
          </cell>
          <cell r="H2753">
            <v>1.1000000000000001</v>
          </cell>
          <cell r="I2753">
            <v>28.082539584000006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P2753">
            <v>0</v>
          </cell>
          <cell r="V2753" t="str">
            <v>Not Available</v>
          </cell>
        </row>
        <row r="2754">
          <cell r="A2754" t="str">
            <v>101200840002</v>
          </cell>
          <cell r="B2754" t="str">
            <v>DalsinghSarai</v>
          </cell>
          <cell r="C2754" t="str">
            <v>DalsinghSarai</v>
          </cell>
          <cell r="D2754" t="str">
            <v>Mahmmadipur</v>
          </cell>
          <cell r="E2754">
            <v>10120084</v>
          </cell>
          <cell r="F2754" t="str">
            <v>0002</v>
          </cell>
          <cell r="G2754">
            <v>13</v>
          </cell>
          <cell r="H2754">
            <v>88.33</v>
          </cell>
          <cell r="I2754">
            <v>4250.4735599556907</v>
          </cell>
          <cell r="J2754">
            <v>0</v>
          </cell>
          <cell r="K2754">
            <v>0</v>
          </cell>
          <cell r="L2754">
            <v>4250</v>
          </cell>
          <cell r="M2754">
            <v>0</v>
          </cell>
          <cell r="P2754">
            <v>0</v>
          </cell>
          <cell r="V2754" t="str">
            <v>Available</v>
          </cell>
        </row>
        <row r="2755">
          <cell r="A2755" t="str">
            <v>101200840003</v>
          </cell>
          <cell r="B2755" t="str">
            <v>DalsinghSarai</v>
          </cell>
          <cell r="C2755" t="str">
            <v>DalsinghSarai</v>
          </cell>
          <cell r="D2755" t="str">
            <v>Mahmmadipur</v>
          </cell>
          <cell r="E2755">
            <v>10120084</v>
          </cell>
          <cell r="F2755" t="str">
            <v>0003</v>
          </cell>
          <cell r="G2755">
            <v>10</v>
          </cell>
          <cell r="H2755">
            <v>162.44999999999999</v>
          </cell>
          <cell r="I2755">
            <v>8488.2485146754007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P2755">
            <v>8488</v>
          </cell>
          <cell r="V2755" t="str">
            <v>Available</v>
          </cell>
        </row>
        <row r="2756">
          <cell r="A2756" t="str">
            <v>101200840008</v>
          </cell>
          <cell r="B2756" t="str">
            <v>DalsinghSarai</v>
          </cell>
          <cell r="C2756" t="str">
            <v>DalsinghSarai</v>
          </cell>
          <cell r="D2756" t="str">
            <v>Mahmmadipur</v>
          </cell>
          <cell r="E2756">
            <v>10120084</v>
          </cell>
          <cell r="F2756" t="str">
            <v>0008</v>
          </cell>
          <cell r="G2756">
            <v>1</v>
          </cell>
          <cell r="H2756">
            <v>2.12</v>
          </cell>
          <cell r="I2756">
            <v>87.592242672000012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P2756">
            <v>88</v>
          </cell>
          <cell r="V2756" t="str">
            <v>Available</v>
          </cell>
        </row>
        <row r="2757">
          <cell r="A2757" t="str">
            <v>101200840011</v>
          </cell>
          <cell r="B2757" t="str">
            <v>DalsinghSarai</v>
          </cell>
          <cell r="C2757" t="str">
            <v>DalsinghSarai</v>
          </cell>
          <cell r="D2757" t="str">
            <v>Mahmmadipur</v>
          </cell>
          <cell r="E2757">
            <v>10120084</v>
          </cell>
          <cell r="F2757" t="str">
            <v>0011</v>
          </cell>
          <cell r="G2757">
            <v>10</v>
          </cell>
          <cell r="H2757">
            <v>24.69</v>
          </cell>
          <cell r="I2757">
            <v>1298.2308643134402</v>
          </cell>
          <cell r="J2757">
            <v>0</v>
          </cell>
          <cell r="K2757">
            <v>0</v>
          </cell>
          <cell r="L2757">
            <v>0</v>
          </cell>
          <cell r="M2757">
            <v>1298</v>
          </cell>
          <cell r="P2757">
            <v>0</v>
          </cell>
          <cell r="V2757" t="str">
            <v>Not Available</v>
          </cell>
        </row>
        <row r="2758">
          <cell r="A2758" t="str">
            <v>101200840012</v>
          </cell>
          <cell r="B2758" t="str">
            <v>DalsinghSarai</v>
          </cell>
          <cell r="C2758" t="str">
            <v>DalsinghSarai</v>
          </cell>
          <cell r="D2758" t="str">
            <v>Mahmmadipur</v>
          </cell>
          <cell r="E2758">
            <v>10120084</v>
          </cell>
          <cell r="F2758" t="str">
            <v>0012</v>
          </cell>
          <cell r="G2758">
            <v>9</v>
          </cell>
          <cell r="H2758">
            <v>28.770000000000003</v>
          </cell>
          <cell r="I2758">
            <v>1444.1545106845401</v>
          </cell>
          <cell r="J2758">
            <v>0</v>
          </cell>
          <cell r="K2758">
            <v>0</v>
          </cell>
          <cell r="L2758">
            <v>0</v>
          </cell>
          <cell r="M2758">
            <v>1444</v>
          </cell>
          <cell r="P2758">
            <v>0</v>
          </cell>
          <cell r="V2758" t="str">
            <v>Not Available</v>
          </cell>
        </row>
        <row r="2759">
          <cell r="A2759" t="str">
            <v>101200840013</v>
          </cell>
          <cell r="B2759" t="str">
            <v>DalsinghSarai</v>
          </cell>
          <cell r="C2759" t="str">
            <v>DalsinghSarai</v>
          </cell>
          <cell r="D2759" t="str">
            <v>Mahmmadipur</v>
          </cell>
          <cell r="E2759">
            <v>10120084</v>
          </cell>
          <cell r="F2759" t="str">
            <v>0013</v>
          </cell>
          <cell r="G2759">
            <v>9</v>
          </cell>
          <cell r="H2759">
            <v>44.03</v>
          </cell>
          <cell r="I2759">
            <v>2141.5913650339198</v>
          </cell>
          <cell r="J2759">
            <v>0</v>
          </cell>
          <cell r="K2759">
            <v>0</v>
          </cell>
          <cell r="L2759">
            <v>0</v>
          </cell>
          <cell r="M2759">
            <v>2142</v>
          </cell>
          <cell r="P2759">
            <v>0</v>
          </cell>
          <cell r="V2759" t="str">
            <v>Not Available</v>
          </cell>
        </row>
        <row r="2760">
          <cell r="A2760" t="str">
            <v>101200840014</v>
          </cell>
          <cell r="B2760" t="str">
            <v>DalsinghSarai</v>
          </cell>
          <cell r="C2760" t="str">
            <v>DalsinghSarai</v>
          </cell>
          <cell r="D2760" t="str">
            <v>Mahmmadipur</v>
          </cell>
          <cell r="E2760">
            <v>10120084</v>
          </cell>
          <cell r="F2760" t="str">
            <v>0014</v>
          </cell>
          <cell r="G2760">
            <v>10</v>
          </cell>
          <cell r="H2760">
            <v>35.679999999999993</v>
          </cell>
          <cell r="I2760">
            <v>1962.56761808591</v>
          </cell>
          <cell r="J2760">
            <v>0</v>
          </cell>
          <cell r="K2760">
            <v>0</v>
          </cell>
          <cell r="L2760">
            <v>0</v>
          </cell>
          <cell r="M2760">
            <v>1866</v>
          </cell>
          <cell r="P2760">
            <v>97</v>
          </cell>
          <cell r="V2760" t="str">
            <v>Not Available</v>
          </cell>
        </row>
        <row r="2761">
          <cell r="A2761" t="str">
            <v>101200840016</v>
          </cell>
          <cell r="B2761" t="str">
            <v>DalsinghSarai</v>
          </cell>
          <cell r="C2761" t="str">
            <v>DalsinghSarai</v>
          </cell>
          <cell r="D2761" t="str">
            <v>Mahmmadipur</v>
          </cell>
          <cell r="E2761">
            <v>10120084</v>
          </cell>
          <cell r="F2761" t="str">
            <v>0016</v>
          </cell>
          <cell r="G2761">
            <v>9</v>
          </cell>
          <cell r="H2761">
            <v>37.04</v>
          </cell>
          <cell r="I2761">
            <v>1677.07761903862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P2761">
            <v>1677</v>
          </cell>
          <cell r="V2761" t="str">
            <v>Not Available</v>
          </cell>
        </row>
        <row r="2762">
          <cell r="A2762" t="str">
            <v>101200840017</v>
          </cell>
          <cell r="B2762" t="str">
            <v>DalsinghSarai</v>
          </cell>
          <cell r="C2762" t="str">
            <v>DalsinghSarai</v>
          </cell>
          <cell r="D2762" t="str">
            <v>Mahmmadipur</v>
          </cell>
          <cell r="E2762">
            <v>10120084</v>
          </cell>
          <cell r="F2762" t="str">
            <v>0017</v>
          </cell>
          <cell r="G2762">
            <v>8</v>
          </cell>
          <cell r="H2762">
            <v>43.290000000000006</v>
          </cell>
          <cell r="I2762">
            <v>2065.6347261908404</v>
          </cell>
          <cell r="J2762">
            <v>0</v>
          </cell>
          <cell r="K2762">
            <v>0</v>
          </cell>
          <cell r="L2762">
            <v>2066</v>
          </cell>
          <cell r="M2762">
            <v>0</v>
          </cell>
          <cell r="P2762">
            <v>0</v>
          </cell>
          <cell r="V2762" t="str">
            <v>Not Available</v>
          </cell>
        </row>
        <row r="2763">
          <cell r="A2763" t="str">
            <v>101200840018</v>
          </cell>
          <cell r="B2763" t="str">
            <v>DalsinghSarai</v>
          </cell>
          <cell r="C2763" t="str">
            <v>DalsinghSarai</v>
          </cell>
          <cell r="D2763" t="str">
            <v>Mahmmadipur</v>
          </cell>
          <cell r="E2763">
            <v>10120084</v>
          </cell>
          <cell r="F2763" t="str">
            <v>0018</v>
          </cell>
          <cell r="G2763">
            <v>11</v>
          </cell>
          <cell r="H2763">
            <v>31.52</v>
          </cell>
          <cell r="I2763">
            <v>1698.7968306206903</v>
          </cell>
          <cell r="J2763">
            <v>0</v>
          </cell>
          <cell r="K2763">
            <v>0</v>
          </cell>
          <cell r="L2763">
            <v>1573</v>
          </cell>
          <cell r="M2763">
            <v>0</v>
          </cell>
          <cell r="P2763">
            <v>126</v>
          </cell>
          <cell r="V2763" t="str">
            <v>Not Available</v>
          </cell>
        </row>
        <row r="2764">
          <cell r="A2764" t="str">
            <v>101200840019</v>
          </cell>
          <cell r="B2764" t="str">
            <v>DalsinghSarai</v>
          </cell>
          <cell r="C2764" t="str">
            <v>DalsinghSarai</v>
          </cell>
          <cell r="D2764" t="str">
            <v>Mahmmadipur</v>
          </cell>
          <cell r="E2764">
            <v>10120084</v>
          </cell>
          <cell r="F2764" t="str">
            <v>0019</v>
          </cell>
          <cell r="G2764">
            <v>8</v>
          </cell>
          <cell r="H2764">
            <v>28.510000000000005</v>
          </cell>
          <cell r="I2764">
            <v>1628.1406005000799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P2764">
            <v>1628</v>
          </cell>
          <cell r="V2764" t="str">
            <v>Not Available</v>
          </cell>
        </row>
        <row r="2765">
          <cell r="A2765" t="str">
            <v>101200840021</v>
          </cell>
          <cell r="B2765" t="str">
            <v>DalsinghSarai</v>
          </cell>
          <cell r="C2765" t="str">
            <v>DalsinghSarai</v>
          </cell>
          <cell r="D2765" t="str">
            <v>Mahmmadipur</v>
          </cell>
          <cell r="E2765">
            <v>10120084</v>
          </cell>
          <cell r="F2765" t="str">
            <v>0021</v>
          </cell>
          <cell r="G2765">
            <v>13</v>
          </cell>
          <cell r="H2765">
            <v>55.15</v>
          </cell>
          <cell r="I2765">
            <v>3678.0715772292001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P2765">
            <v>3678</v>
          </cell>
          <cell r="V2765" t="str">
            <v>Not Available</v>
          </cell>
        </row>
        <row r="2766">
          <cell r="A2766" t="str">
            <v>101200840023</v>
          </cell>
          <cell r="B2766" t="str">
            <v>DalsinghSarai</v>
          </cell>
          <cell r="C2766" t="str">
            <v>DalsinghSarai</v>
          </cell>
          <cell r="D2766" t="str">
            <v>Mahmmadipur</v>
          </cell>
          <cell r="E2766">
            <v>10120084</v>
          </cell>
          <cell r="F2766" t="str">
            <v>0023</v>
          </cell>
          <cell r="G2766">
            <v>9</v>
          </cell>
          <cell r="H2766">
            <v>20.080000000000002</v>
          </cell>
          <cell r="I2766">
            <v>1148.5129063849599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P2766">
            <v>1149</v>
          </cell>
          <cell r="V2766" t="str">
            <v>Not Available</v>
          </cell>
        </row>
        <row r="2767">
          <cell r="A2767" t="str">
            <v>101200840024</v>
          </cell>
          <cell r="B2767" t="str">
            <v>DalsinghSarai</v>
          </cell>
          <cell r="C2767" t="str">
            <v>DalsinghSarai</v>
          </cell>
          <cell r="D2767" t="str">
            <v>Mahmmadipur</v>
          </cell>
          <cell r="E2767">
            <v>10120084</v>
          </cell>
          <cell r="F2767" t="str">
            <v>0024</v>
          </cell>
          <cell r="G2767">
            <v>9</v>
          </cell>
          <cell r="H2767">
            <v>27.990000000000002</v>
          </cell>
          <cell r="I2767">
            <v>1358.6860232660399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P2767">
            <v>1359</v>
          </cell>
          <cell r="V2767" t="str">
            <v>Not Available</v>
          </cell>
        </row>
        <row r="2768">
          <cell r="A2768" t="str">
            <v>101200840025</v>
          </cell>
          <cell r="B2768" t="str">
            <v>DalsinghSarai</v>
          </cell>
          <cell r="C2768" t="str">
            <v>DalsinghSarai</v>
          </cell>
          <cell r="D2768" t="str">
            <v>Mahmmadipur</v>
          </cell>
          <cell r="E2768">
            <v>10120084</v>
          </cell>
          <cell r="F2768" t="str">
            <v>0025</v>
          </cell>
          <cell r="G2768">
            <v>6</v>
          </cell>
          <cell r="H2768">
            <v>25.439999999999998</v>
          </cell>
          <cell r="I2768">
            <v>1296.7430165827802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P2768">
            <v>1297</v>
          </cell>
          <cell r="V2768" t="str">
            <v>Not Available</v>
          </cell>
        </row>
        <row r="2769">
          <cell r="A2769" t="str">
            <v>101200840026</v>
          </cell>
          <cell r="B2769" t="str">
            <v>DalsinghSarai</v>
          </cell>
          <cell r="C2769" t="str">
            <v>DalsinghSarai</v>
          </cell>
          <cell r="D2769" t="str">
            <v>Mahmmadipur</v>
          </cell>
          <cell r="E2769">
            <v>10120084</v>
          </cell>
          <cell r="F2769" t="str">
            <v>0026</v>
          </cell>
          <cell r="G2769">
            <v>10</v>
          </cell>
          <cell r="H2769">
            <v>59.19</v>
          </cell>
          <cell r="I2769">
            <v>3119.0383869082461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P2769">
            <v>3119</v>
          </cell>
          <cell r="V2769" t="str">
            <v>Not Available</v>
          </cell>
        </row>
        <row r="2770">
          <cell r="A2770" t="str">
            <v>101200840028</v>
          </cell>
          <cell r="B2770" t="str">
            <v>DalsinghSarai</v>
          </cell>
          <cell r="C2770" t="str">
            <v>DalsinghSarai</v>
          </cell>
          <cell r="D2770" t="str">
            <v>Mahmmadipur</v>
          </cell>
          <cell r="E2770">
            <v>10120084</v>
          </cell>
          <cell r="F2770" t="str">
            <v>0028</v>
          </cell>
          <cell r="G2770">
            <v>4</v>
          </cell>
          <cell r="H2770">
            <v>26.439999999999998</v>
          </cell>
          <cell r="I2770">
            <v>1578.22783080666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P2770">
            <v>1578</v>
          </cell>
          <cell r="V2770" t="str">
            <v>Not Available</v>
          </cell>
        </row>
        <row r="2771">
          <cell r="A2771" t="str">
            <v>101200840029</v>
          </cell>
          <cell r="B2771" t="str">
            <v>DalsinghSarai</v>
          </cell>
          <cell r="C2771" t="str">
            <v>DalsinghSarai</v>
          </cell>
          <cell r="D2771" t="str">
            <v>Mahmmadipur</v>
          </cell>
          <cell r="E2771">
            <v>10120084</v>
          </cell>
          <cell r="F2771" t="str">
            <v>0029</v>
          </cell>
          <cell r="G2771">
            <v>6</v>
          </cell>
          <cell r="H2771">
            <v>28.410000000000004</v>
          </cell>
          <cell r="I2771">
            <v>1358.4953953574002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P2771">
            <v>1358</v>
          </cell>
          <cell r="V2771" t="str">
            <v>Not Available</v>
          </cell>
        </row>
        <row r="2772">
          <cell r="A2772" t="str">
            <v>101200840030</v>
          </cell>
          <cell r="B2772" t="str">
            <v>DalsinghSarai</v>
          </cell>
          <cell r="C2772" t="str">
            <v>DalsinghSarai</v>
          </cell>
          <cell r="D2772" t="str">
            <v>Mahmmadipur</v>
          </cell>
          <cell r="E2772">
            <v>10120084</v>
          </cell>
          <cell r="F2772" t="str">
            <v>0030</v>
          </cell>
          <cell r="G2772">
            <v>6</v>
          </cell>
          <cell r="H2772">
            <v>21.4</v>
          </cell>
          <cell r="I2772">
            <v>1411.3780431602001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P2772">
            <v>1411</v>
          </cell>
          <cell r="V2772" t="str">
            <v>Not Available</v>
          </cell>
        </row>
        <row r="2773">
          <cell r="A2773" t="str">
            <v>101200840031</v>
          </cell>
          <cell r="B2773" t="str">
            <v>DalsinghSarai</v>
          </cell>
          <cell r="C2773" t="str">
            <v>DalsinghSarai</v>
          </cell>
          <cell r="D2773" t="str">
            <v>Mahmmadipur</v>
          </cell>
          <cell r="E2773">
            <v>10120084</v>
          </cell>
          <cell r="F2773" t="str">
            <v>0031</v>
          </cell>
          <cell r="G2773">
            <v>3</v>
          </cell>
          <cell r="H2773">
            <v>12.08</v>
          </cell>
          <cell r="I2773">
            <v>468.46460129040008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P2773">
            <v>468</v>
          </cell>
          <cell r="V2773" t="str">
            <v>Available</v>
          </cell>
        </row>
        <row r="2774">
          <cell r="A2774" t="str">
            <v>101200840032</v>
          </cell>
          <cell r="B2774" t="str">
            <v>DalsinghSarai</v>
          </cell>
          <cell r="C2774" t="str">
            <v>DalsinghSarai</v>
          </cell>
          <cell r="D2774" t="str">
            <v>Mahmmadipur</v>
          </cell>
          <cell r="E2774">
            <v>10120084</v>
          </cell>
          <cell r="F2774" t="str">
            <v>0032</v>
          </cell>
          <cell r="G2774">
            <v>6</v>
          </cell>
          <cell r="H2774">
            <v>66.86</v>
          </cell>
          <cell r="I2774">
            <v>3994.9688041865002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P2774">
            <v>3995</v>
          </cell>
          <cell r="V2774" t="str">
            <v>Available</v>
          </cell>
        </row>
        <row r="2775">
          <cell r="A2775" t="str">
            <v>101200840033</v>
          </cell>
          <cell r="B2775" t="str">
            <v>DalsinghSarai</v>
          </cell>
          <cell r="C2775" t="str">
            <v>DalsinghSarai</v>
          </cell>
          <cell r="D2775" t="str">
            <v>Mahmmadipur</v>
          </cell>
          <cell r="E2775">
            <v>10120084</v>
          </cell>
          <cell r="F2775" t="str">
            <v>0033</v>
          </cell>
          <cell r="G2775">
            <v>7</v>
          </cell>
          <cell r="H2775">
            <v>19.97</v>
          </cell>
          <cell r="I2775">
            <v>980.68558968400009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P2775">
            <v>981</v>
          </cell>
          <cell r="V2775" t="str">
            <v>Not Available</v>
          </cell>
        </row>
        <row r="2776">
          <cell r="A2776" t="str">
            <v>101200840034</v>
          </cell>
          <cell r="B2776" t="str">
            <v>DalsinghSarai</v>
          </cell>
          <cell r="C2776" t="str">
            <v>DalsinghSarai</v>
          </cell>
          <cell r="D2776" t="str">
            <v>Mahmmadipur</v>
          </cell>
          <cell r="E2776">
            <v>10120084</v>
          </cell>
          <cell r="F2776" t="str">
            <v>0034</v>
          </cell>
          <cell r="G2776">
            <v>6</v>
          </cell>
          <cell r="H2776">
            <v>68.73</v>
          </cell>
          <cell r="I2776">
            <v>3701.4907058516701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P2776">
            <v>3701</v>
          </cell>
          <cell r="V2776" t="str">
            <v>Not Available</v>
          </cell>
        </row>
        <row r="2777">
          <cell r="A2777" t="str">
            <v>101200840035</v>
          </cell>
          <cell r="B2777" t="str">
            <v>DalsinghSarai</v>
          </cell>
          <cell r="C2777" t="str">
            <v>DalsinghSarai</v>
          </cell>
          <cell r="D2777" t="str">
            <v>Mahmmadipur</v>
          </cell>
          <cell r="E2777">
            <v>10120084</v>
          </cell>
          <cell r="F2777" t="str">
            <v>0035</v>
          </cell>
          <cell r="G2777">
            <v>8</v>
          </cell>
          <cell r="H2777">
            <v>74.06</v>
          </cell>
          <cell r="I2777">
            <v>4028.4018115236304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P2777">
            <v>4028</v>
          </cell>
          <cell r="V2777" t="str">
            <v>Not Available</v>
          </cell>
        </row>
        <row r="2778">
          <cell r="A2778" t="str">
            <v>101200840036</v>
          </cell>
          <cell r="B2778" t="str">
            <v>DalsinghSarai</v>
          </cell>
          <cell r="C2778" t="str">
            <v>DalsinghSarai</v>
          </cell>
          <cell r="D2778" t="str">
            <v>Mahmmadipur</v>
          </cell>
          <cell r="E2778">
            <v>10120084</v>
          </cell>
          <cell r="F2778" t="str">
            <v>0036</v>
          </cell>
          <cell r="G2778">
            <v>8</v>
          </cell>
          <cell r="H2778">
            <v>64.540000000000006</v>
          </cell>
          <cell r="I2778">
            <v>3089.8816921867001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P2778">
            <v>3090</v>
          </cell>
          <cell r="V2778" t="str">
            <v>Not Available</v>
          </cell>
        </row>
        <row r="2779">
          <cell r="A2779" t="str">
            <v>101200840037</v>
          </cell>
          <cell r="B2779" t="str">
            <v>DalsinghSarai</v>
          </cell>
          <cell r="C2779" t="str">
            <v>DalsinghSarai</v>
          </cell>
          <cell r="D2779" t="str">
            <v>Mahmmadipur</v>
          </cell>
          <cell r="E2779">
            <v>10120084</v>
          </cell>
          <cell r="F2779" t="str">
            <v>0037</v>
          </cell>
          <cell r="G2779">
            <v>6</v>
          </cell>
          <cell r="H2779">
            <v>49.22</v>
          </cell>
          <cell r="I2779">
            <v>2600.1117114376002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P2779">
            <v>2600</v>
          </cell>
          <cell r="V2779" t="str">
            <v>Not Available</v>
          </cell>
        </row>
        <row r="2780">
          <cell r="A2780" t="str">
            <v>101200840038</v>
          </cell>
          <cell r="B2780" t="str">
            <v>DalsinghSarai</v>
          </cell>
          <cell r="C2780" t="str">
            <v>DalsinghSarai</v>
          </cell>
          <cell r="D2780" t="str">
            <v>Mahmmadipur</v>
          </cell>
          <cell r="E2780">
            <v>10120084</v>
          </cell>
          <cell r="F2780" t="str">
            <v>0038</v>
          </cell>
          <cell r="G2780">
            <v>7</v>
          </cell>
          <cell r="H2780">
            <v>93.080000000000013</v>
          </cell>
          <cell r="I2780">
            <v>4659.8511160260005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P2780">
            <v>4660</v>
          </cell>
          <cell r="V2780" t="str">
            <v>Not Available</v>
          </cell>
        </row>
        <row r="2781">
          <cell r="A2781" t="str">
            <v>101200890001</v>
          </cell>
          <cell r="B2781" t="str">
            <v>DalsinghSarai</v>
          </cell>
          <cell r="C2781" t="str">
            <v>DalsinghSarai</v>
          </cell>
          <cell r="D2781" t="str">
            <v>Gomukh Jhaura Tabhka</v>
          </cell>
          <cell r="E2781">
            <v>10120089</v>
          </cell>
          <cell r="F2781" t="str">
            <v>0001</v>
          </cell>
          <cell r="G2781">
            <v>14</v>
          </cell>
          <cell r="H2781">
            <v>1.4000000000000001</v>
          </cell>
          <cell r="I2781">
            <v>53.068140972000016</v>
          </cell>
          <cell r="J2781">
            <v>0</v>
          </cell>
          <cell r="K2781">
            <v>53.068140972000016</v>
          </cell>
          <cell r="L2781">
            <v>0</v>
          </cell>
          <cell r="M2781">
            <v>0</v>
          </cell>
          <cell r="P2781">
            <v>0</v>
          </cell>
          <cell r="V2781" t="str">
            <v>Not Available</v>
          </cell>
        </row>
        <row r="2782">
          <cell r="A2782" t="str">
            <v>101200890002</v>
          </cell>
          <cell r="B2782" t="str">
            <v>DalsinghSarai</v>
          </cell>
          <cell r="C2782" t="str">
            <v>DalsinghSarai</v>
          </cell>
          <cell r="D2782" t="str">
            <v>Gomukh Jhaura Tabhka</v>
          </cell>
          <cell r="E2782">
            <v>10120089</v>
          </cell>
          <cell r="F2782" t="str">
            <v>0002</v>
          </cell>
          <cell r="G2782">
            <v>14</v>
          </cell>
          <cell r="H2782">
            <v>611.79999999999995</v>
          </cell>
          <cell r="I2782">
            <v>23229.066855060002</v>
          </cell>
          <cell r="J2782">
            <v>0</v>
          </cell>
          <cell r="K2782">
            <v>0</v>
          </cell>
          <cell r="L2782">
            <v>632</v>
          </cell>
          <cell r="M2782">
            <v>2700</v>
          </cell>
          <cell r="P2782">
            <v>19897</v>
          </cell>
          <cell r="V2782" t="str">
            <v>Available</v>
          </cell>
        </row>
        <row r="2783">
          <cell r="A2783" t="str">
            <v>101200910001</v>
          </cell>
          <cell r="B2783" t="str">
            <v>DalsinghSarai</v>
          </cell>
          <cell r="C2783" t="str">
            <v>DalsinghSarai</v>
          </cell>
          <cell r="D2783" t="str">
            <v>Gomukh Mohanpur</v>
          </cell>
          <cell r="E2783">
            <v>10120091</v>
          </cell>
          <cell r="F2783" t="str">
            <v>0001</v>
          </cell>
          <cell r="G2783">
            <v>14</v>
          </cell>
          <cell r="H2783">
            <v>8.4499999999999993</v>
          </cell>
          <cell r="I2783">
            <v>324.58535770320003</v>
          </cell>
          <cell r="J2783">
            <v>0</v>
          </cell>
          <cell r="K2783">
            <v>324.58535770320003</v>
          </cell>
          <cell r="L2783">
            <v>0</v>
          </cell>
          <cell r="M2783">
            <v>0</v>
          </cell>
          <cell r="P2783">
            <v>0</v>
          </cell>
          <cell r="V2783" t="str">
            <v>Not Available</v>
          </cell>
        </row>
        <row r="2784">
          <cell r="A2784" t="str">
            <v>101200910002</v>
          </cell>
          <cell r="B2784" t="str">
            <v>DalsinghSarai</v>
          </cell>
          <cell r="C2784" t="str">
            <v>DalsinghSarai</v>
          </cell>
          <cell r="D2784" t="str">
            <v>Gomukh Mohanpur</v>
          </cell>
          <cell r="E2784">
            <v>10120091</v>
          </cell>
          <cell r="F2784" t="str">
            <v>0002</v>
          </cell>
          <cell r="G2784">
            <v>14</v>
          </cell>
          <cell r="H2784">
            <v>93.26</v>
          </cell>
          <cell r="I2784">
            <v>3648.4351721975604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P2784">
            <v>3648</v>
          </cell>
          <cell r="V2784" t="str">
            <v>Available</v>
          </cell>
        </row>
        <row r="2785">
          <cell r="A2785" t="str">
            <v>101200910003</v>
          </cell>
          <cell r="B2785" t="str">
            <v>DalsinghSarai</v>
          </cell>
          <cell r="C2785" t="str">
            <v>DalsinghSarai</v>
          </cell>
          <cell r="D2785" t="str">
            <v>Gomukh Mohanpur</v>
          </cell>
          <cell r="E2785">
            <v>10120091</v>
          </cell>
          <cell r="F2785" t="str">
            <v>0003</v>
          </cell>
          <cell r="G2785">
            <v>13</v>
          </cell>
          <cell r="H2785">
            <v>65.790000000000006</v>
          </cell>
          <cell r="I2785">
            <v>2683.8835336502407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P2785">
            <v>2684</v>
          </cell>
          <cell r="V2785" t="str">
            <v>Available</v>
          </cell>
        </row>
        <row r="2786">
          <cell r="A2786" t="str">
            <v>101200910010</v>
          </cell>
          <cell r="B2786" t="str">
            <v>DalsinghSarai</v>
          </cell>
          <cell r="C2786" t="str">
            <v>DalsinghSarai</v>
          </cell>
          <cell r="D2786" t="str">
            <v>Gomukh Mohanpur</v>
          </cell>
          <cell r="E2786">
            <v>10120091</v>
          </cell>
          <cell r="F2786" t="str">
            <v>0010</v>
          </cell>
          <cell r="G2786">
            <v>10</v>
          </cell>
          <cell r="H2786">
            <v>56.990000000000009</v>
          </cell>
          <cell r="I2786">
            <v>1951.3152961632004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P2786">
            <v>1951</v>
          </cell>
          <cell r="V2786" t="str">
            <v>Not Available</v>
          </cell>
        </row>
        <row r="2787">
          <cell r="A2787" t="str">
            <v>101200910011</v>
          </cell>
          <cell r="B2787" t="str">
            <v>DalsinghSarai</v>
          </cell>
          <cell r="C2787" t="str">
            <v>DalsinghSarai</v>
          </cell>
          <cell r="D2787" t="str">
            <v>Gomukh Mohanpur</v>
          </cell>
          <cell r="E2787">
            <v>10120091</v>
          </cell>
          <cell r="F2787" t="str">
            <v>0011</v>
          </cell>
          <cell r="G2787">
            <v>12</v>
          </cell>
          <cell r="H2787">
            <v>33.869999999999997</v>
          </cell>
          <cell r="I2787">
            <v>1245.4058861037201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P2787">
            <v>1245</v>
          </cell>
          <cell r="V2787" t="str">
            <v>Not Available</v>
          </cell>
        </row>
        <row r="2788">
          <cell r="A2788" t="str">
            <v>101200910012</v>
          </cell>
          <cell r="B2788" t="str">
            <v>DalsinghSarai</v>
          </cell>
          <cell r="C2788" t="str">
            <v>DalsinghSarai</v>
          </cell>
          <cell r="D2788" t="str">
            <v>Gomukh Mohanpur</v>
          </cell>
          <cell r="E2788">
            <v>10120091</v>
          </cell>
          <cell r="F2788" t="str">
            <v>0012</v>
          </cell>
          <cell r="G2788">
            <v>10</v>
          </cell>
          <cell r="H2788">
            <v>23.27</v>
          </cell>
          <cell r="I2788">
            <v>891.95077167989996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P2788">
            <v>892</v>
          </cell>
          <cell r="V2788" t="str">
            <v>Not Available</v>
          </cell>
        </row>
        <row r="2789">
          <cell r="A2789" t="str">
            <v>101200910013</v>
          </cell>
          <cell r="B2789" t="str">
            <v>DalsinghSarai</v>
          </cell>
          <cell r="C2789" t="str">
            <v>DalsinghSarai</v>
          </cell>
          <cell r="D2789" t="str">
            <v>Gomukh Mohanpur</v>
          </cell>
          <cell r="E2789">
            <v>10120091</v>
          </cell>
          <cell r="F2789" t="str">
            <v>0013</v>
          </cell>
          <cell r="G2789">
            <v>10</v>
          </cell>
          <cell r="H2789">
            <v>25.730000000000004</v>
          </cell>
          <cell r="I2789">
            <v>963.67495589639998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P2789">
            <v>964</v>
          </cell>
          <cell r="V2789" t="str">
            <v>Not Available</v>
          </cell>
        </row>
        <row r="2790">
          <cell r="A2790" t="str">
            <v>101200910014</v>
          </cell>
          <cell r="B2790" t="str">
            <v>DalsinghSarai</v>
          </cell>
          <cell r="C2790" t="str">
            <v>DalsinghSarai</v>
          </cell>
          <cell r="D2790" t="str">
            <v>Gomukh Mohanpur</v>
          </cell>
          <cell r="E2790">
            <v>10120091</v>
          </cell>
          <cell r="F2790" t="str">
            <v>0014</v>
          </cell>
          <cell r="G2790">
            <v>11</v>
          </cell>
          <cell r="H2790">
            <v>36.42</v>
          </cell>
          <cell r="I2790">
            <v>1314.4012627086001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P2790">
            <v>1314</v>
          </cell>
          <cell r="V2790" t="str">
            <v>Not Available</v>
          </cell>
        </row>
        <row r="2791">
          <cell r="A2791" t="str">
            <v>101200910015</v>
          </cell>
          <cell r="B2791" t="str">
            <v>DalsinghSarai</v>
          </cell>
          <cell r="C2791" t="str">
            <v>DalsinghSarai</v>
          </cell>
          <cell r="D2791" t="str">
            <v>Gomukh Mohanpur</v>
          </cell>
          <cell r="E2791">
            <v>10120091</v>
          </cell>
          <cell r="F2791" t="str">
            <v>0015</v>
          </cell>
          <cell r="G2791">
            <v>9</v>
          </cell>
          <cell r="H2791">
            <v>31.33</v>
          </cell>
          <cell r="I2791">
            <v>1114.8191557488001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P2791">
            <v>1115</v>
          </cell>
          <cell r="V2791" t="str">
            <v>Not Available</v>
          </cell>
        </row>
        <row r="2792">
          <cell r="A2792" t="str">
            <v>101200910016</v>
          </cell>
          <cell r="B2792" t="str">
            <v>DalsinghSarai</v>
          </cell>
          <cell r="C2792" t="str">
            <v>DalsinghSarai</v>
          </cell>
          <cell r="D2792" t="str">
            <v>Gomukh Mohanpur</v>
          </cell>
          <cell r="E2792">
            <v>10120091</v>
          </cell>
          <cell r="F2792" t="str">
            <v>0016</v>
          </cell>
          <cell r="G2792">
            <v>8</v>
          </cell>
          <cell r="H2792">
            <v>32.64</v>
          </cell>
          <cell r="I2792">
            <v>1185.0084173268001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P2792">
            <v>1185</v>
          </cell>
          <cell r="V2792" t="str">
            <v>Not Available</v>
          </cell>
        </row>
        <row r="2793">
          <cell r="A2793" t="str">
            <v>101200910017</v>
          </cell>
          <cell r="B2793" t="str">
            <v>DalsinghSarai</v>
          </cell>
          <cell r="C2793" t="str">
            <v>DalsinghSarai</v>
          </cell>
          <cell r="D2793" t="str">
            <v>Gomukh Mohanpur</v>
          </cell>
          <cell r="E2793">
            <v>10120091</v>
          </cell>
          <cell r="F2793" t="str">
            <v>0017</v>
          </cell>
          <cell r="G2793">
            <v>7</v>
          </cell>
          <cell r="H2793">
            <v>26.729999999999997</v>
          </cell>
          <cell r="I2793">
            <v>985.52029914360014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P2793">
            <v>986</v>
          </cell>
          <cell r="V2793" t="str">
            <v>Not Available</v>
          </cell>
        </row>
        <row r="2794">
          <cell r="A2794" t="str">
            <v>101200910018</v>
          </cell>
          <cell r="B2794" t="str">
            <v>DalsinghSarai</v>
          </cell>
          <cell r="C2794" t="str">
            <v>DalsinghSarai</v>
          </cell>
          <cell r="D2794" t="str">
            <v>Gomukh Mohanpur</v>
          </cell>
          <cell r="E2794">
            <v>10120091</v>
          </cell>
          <cell r="F2794" t="str">
            <v>0018</v>
          </cell>
          <cell r="G2794">
            <v>5</v>
          </cell>
          <cell r="H2794">
            <v>22.67</v>
          </cell>
          <cell r="I2794">
            <v>921.10028570212012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P2794">
            <v>921</v>
          </cell>
          <cell r="V2794" t="str">
            <v>Not Available</v>
          </cell>
        </row>
        <row r="2795">
          <cell r="A2795" t="str">
            <v>101200910019</v>
          </cell>
          <cell r="B2795" t="str">
            <v>DalsinghSarai</v>
          </cell>
          <cell r="C2795" t="str">
            <v>DalsinghSarai</v>
          </cell>
          <cell r="D2795" t="str">
            <v>Gomukh Mohanpur</v>
          </cell>
          <cell r="E2795">
            <v>10120091</v>
          </cell>
          <cell r="F2795" t="str">
            <v>0019</v>
          </cell>
          <cell r="G2795">
            <v>1</v>
          </cell>
          <cell r="H2795">
            <v>4.33</v>
          </cell>
          <cell r="I2795">
            <v>159.46986963600003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P2795">
            <v>159</v>
          </cell>
          <cell r="V2795" t="str">
            <v>Not Available</v>
          </cell>
        </row>
        <row r="2796">
          <cell r="A2796" t="str">
            <v>101200940002</v>
          </cell>
          <cell r="B2796" t="str">
            <v>DalsinghSarai</v>
          </cell>
          <cell r="C2796" t="str">
            <v>DalsinghSarai</v>
          </cell>
          <cell r="D2796" t="str">
            <v>Gomukh Bochaha</v>
          </cell>
          <cell r="E2796">
            <v>10120094</v>
          </cell>
          <cell r="F2796" t="str">
            <v>0002</v>
          </cell>
          <cell r="G2796">
            <v>9</v>
          </cell>
          <cell r="H2796">
            <v>79.45</v>
          </cell>
          <cell r="I2796">
            <v>3777.1433745510994</v>
          </cell>
          <cell r="J2796">
            <v>0</v>
          </cell>
          <cell r="K2796">
            <v>0</v>
          </cell>
          <cell r="L2796">
            <v>267</v>
          </cell>
          <cell r="M2796">
            <v>3510</v>
          </cell>
          <cell r="P2796">
            <v>0</v>
          </cell>
          <cell r="V2796" t="str">
            <v>Available</v>
          </cell>
        </row>
        <row r="2797">
          <cell r="A2797" t="str">
            <v>101200940007</v>
          </cell>
          <cell r="B2797" t="str">
            <v>DalsinghSarai</v>
          </cell>
          <cell r="C2797" t="str">
            <v>DalsinghSarai</v>
          </cell>
          <cell r="D2797" t="str">
            <v>Gomukh Bochaha</v>
          </cell>
          <cell r="E2797">
            <v>10120094</v>
          </cell>
          <cell r="F2797" t="str">
            <v>0007</v>
          </cell>
          <cell r="G2797">
            <v>12</v>
          </cell>
          <cell r="H2797">
            <v>41.129999999999995</v>
          </cell>
          <cell r="I2797">
            <v>1740.8149135035703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P2797">
            <v>1741</v>
          </cell>
          <cell r="V2797" t="str">
            <v>Available</v>
          </cell>
        </row>
        <row r="2798">
          <cell r="A2798" t="str">
            <v>101200940008</v>
          </cell>
          <cell r="B2798" t="str">
            <v>DalsinghSarai</v>
          </cell>
          <cell r="C2798" t="str">
            <v>DalsinghSarai</v>
          </cell>
          <cell r="D2798" t="str">
            <v>Gomukh Bochaha</v>
          </cell>
          <cell r="E2798">
            <v>10120094</v>
          </cell>
          <cell r="F2798" t="str">
            <v>0008</v>
          </cell>
          <cell r="G2798">
            <v>4</v>
          </cell>
          <cell r="H2798">
            <v>15.46</v>
          </cell>
          <cell r="I2798">
            <v>969.24817498809989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P2798">
            <v>969</v>
          </cell>
          <cell r="V2798" t="str">
            <v>Available</v>
          </cell>
        </row>
        <row r="2799">
          <cell r="A2799" t="str">
            <v>101200940009</v>
          </cell>
          <cell r="B2799" t="str">
            <v>DalsinghSarai</v>
          </cell>
          <cell r="C2799" t="str">
            <v>DalsinghSarai</v>
          </cell>
          <cell r="D2799" t="str">
            <v>Gomukh Bochaha</v>
          </cell>
          <cell r="E2799">
            <v>10120094</v>
          </cell>
          <cell r="F2799" t="str">
            <v>0009</v>
          </cell>
          <cell r="G2799">
            <v>11</v>
          </cell>
          <cell r="H2799">
            <v>46.23</v>
          </cell>
          <cell r="I2799">
            <v>1928.4530700600003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P2799">
            <v>1928</v>
          </cell>
          <cell r="V2799" t="str">
            <v>Not Available</v>
          </cell>
        </row>
        <row r="2800">
          <cell r="A2800" t="str">
            <v>101200940010</v>
          </cell>
          <cell r="B2800" t="str">
            <v>DalsinghSarai</v>
          </cell>
          <cell r="C2800" t="str">
            <v>DalsinghSarai</v>
          </cell>
          <cell r="D2800" t="str">
            <v>Gomukh Bochaha</v>
          </cell>
          <cell r="E2800">
            <v>10120094</v>
          </cell>
          <cell r="F2800" t="str">
            <v>0010</v>
          </cell>
          <cell r="G2800">
            <v>11</v>
          </cell>
          <cell r="H2800">
            <v>19.529999999999998</v>
          </cell>
          <cell r="I2800">
            <v>812.70716883840009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P2800">
            <v>813</v>
          </cell>
          <cell r="V2800" t="str">
            <v>Not Available</v>
          </cell>
        </row>
        <row r="2801">
          <cell r="A2801" t="str">
            <v>101200940012</v>
          </cell>
          <cell r="B2801" t="str">
            <v>DalsinghSarai</v>
          </cell>
          <cell r="C2801" t="str">
            <v>DalsinghSarai</v>
          </cell>
          <cell r="D2801" t="str">
            <v>Gomukh Bochaha</v>
          </cell>
          <cell r="E2801">
            <v>10120094</v>
          </cell>
          <cell r="F2801" t="str">
            <v>0012</v>
          </cell>
          <cell r="G2801">
            <v>11</v>
          </cell>
          <cell r="H2801">
            <v>30.22</v>
          </cell>
          <cell r="I2801">
            <v>2200.7917366555002</v>
          </cell>
          <cell r="J2801">
            <v>0</v>
          </cell>
          <cell r="K2801">
            <v>0</v>
          </cell>
          <cell r="L2801">
            <v>0</v>
          </cell>
          <cell r="M2801">
            <v>2000</v>
          </cell>
          <cell r="P2801">
            <v>201</v>
          </cell>
          <cell r="V2801" t="str">
            <v>Not Available</v>
          </cell>
        </row>
        <row r="2802">
          <cell r="A2802" t="str">
            <v>101200940013</v>
          </cell>
          <cell r="B2802" t="str">
            <v>DalsinghSarai</v>
          </cell>
          <cell r="C2802" t="str">
            <v>DalsinghSarai</v>
          </cell>
          <cell r="D2802" t="str">
            <v>Gomukh Bochaha</v>
          </cell>
          <cell r="E2802">
            <v>10120094</v>
          </cell>
          <cell r="F2802" t="str">
            <v>0013</v>
          </cell>
          <cell r="G2802">
            <v>10</v>
          </cell>
          <cell r="H2802">
            <v>29.180000000000003</v>
          </cell>
          <cell r="I2802">
            <v>1279.8339150504</v>
          </cell>
          <cell r="J2802">
            <v>0</v>
          </cell>
          <cell r="K2802">
            <v>0</v>
          </cell>
          <cell r="L2802">
            <v>0</v>
          </cell>
          <cell r="M2802">
            <v>1240</v>
          </cell>
          <cell r="P2802">
            <v>40</v>
          </cell>
          <cell r="V2802" t="str">
            <v>Not Available</v>
          </cell>
        </row>
        <row r="2803">
          <cell r="A2803" t="str">
            <v>101200940014</v>
          </cell>
          <cell r="B2803" t="str">
            <v>DalsinghSarai</v>
          </cell>
          <cell r="C2803" t="str">
            <v>DalsinghSarai</v>
          </cell>
          <cell r="D2803" t="str">
            <v>Gomukh Bochaha</v>
          </cell>
          <cell r="E2803">
            <v>10120094</v>
          </cell>
          <cell r="F2803" t="str">
            <v>0014</v>
          </cell>
          <cell r="G2803">
            <v>10</v>
          </cell>
          <cell r="H2803">
            <v>25.509999999999994</v>
          </cell>
          <cell r="I2803">
            <v>1342.2509348126002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P2803">
            <v>1342</v>
          </cell>
          <cell r="V2803" t="str">
            <v>Not Available</v>
          </cell>
        </row>
        <row r="2804">
          <cell r="A2804" t="str">
            <v>101200940015</v>
          </cell>
          <cell r="B2804" t="str">
            <v>DalsinghSarai</v>
          </cell>
          <cell r="C2804" t="str">
            <v>DalsinghSarai</v>
          </cell>
          <cell r="D2804" t="str">
            <v>Gomukh Bochaha</v>
          </cell>
          <cell r="E2804">
            <v>10120094</v>
          </cell>
          <cell r="F2804" t="str">
            <v>0015</v>
          </cell>
          <cell r="G2804">
            <v>10</v>
          </cell>
          <cell r="H2804">
            <v>18.329999999999998</v>
          </cell>
          <cell r="I2804">
            <v>1063.6185806982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P2804">
            <v>1064</v>
          </cell>
          <cell r="V2804" t="str">
            <v>Not Available</v>
          </cell>
        </row>
        <row r="2805">
          <cell r="A2805" t="str">
            <v>101200940016</v>
          </cell>
          <cell r="B2805" t="str">
            <v>DalsinghSarai</v>
          </cell>
          <cell r="C2805" t="str">
            <v>DalsinghSarai</v>
          </cell>
          <cell r="D2805" t="str">
            <v>Gomukh Bochaha</v>
          </cell>
          <cell r="E2805">
            <v>10120094</v>
          </cell>
          <cell r="F2805" t="str">
            <v>0016</v>
          </cell>
          <cell r="G2805">
            <v>7</v>
          </cell>
          <cell r="H2805">
            <v>16.880000000000003</v>
          </cell>
          <cell r="I2805">
            <v>940.47170369602009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P2805">
            <v>940</v>
          </cell>
          <cell r="V2805" t="str">
            <v>Not Available</v>
          </cell>
        </row>
        <row r="2806">
          <cell r="A2806" t="str">
            <v>101200940017</v>
          </cell>
          <cell r="B2806" t="str">
            <v>DalsinghSarai</v>
          </cell>
          <cell r="C2806" t="str">
            <v>DalsinghSarai</v>
          </cell>
          <cell r="D2806" t="str">
            <v>Gomukh Bochaha</v>
          </cell>
          <cell r="E2806">
            <v>10120094</v>
          </cell>
          <cell r="F2806" t="str">
            <v>0017</v>
          </cell>
          <cell r="G2806">
            <v>8</v>
          </cell>
          <cell r="H2806">
            <v>21.91</v>
          </cell>
          <cell r="I2806">
            <v>1099.4293250036801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P2806">
            <v>1099</v>
          </cell>
          <cell r="V2806" t="str">
            <v>Not Available</v>
          </cell>
        </row>
        <row r="2807">
          <cell r="A2807" t="str">
            <v>101200940018</v>
          </cell>
          <cell r="B2807" t="str">
            <v>DalsinghSarai</v>
          </cell>
          <cell r="C2807" t="str">
            <v>DalsinghSarai</v>
          </cell>
          <cell r="D2807" t="str">
            <v>Gomukh Bochaha</v>
          </cell>
          <cell r="E2807">
            <v>10120094</v>
          </cell>
          <cell r="F2807" t="str">
            <v>0018</v>
          </cell>
          <cell r="G2807">
            <v>11</v>
          </cell>
          <cell r="H2807">
            <v>43.51</v>
          </cell>
          <cell r="I2807">
            <v>2059.8299015007001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P2807">
            <v>2060</v>
          </cell>
          <cell r="V2807" t="str">
            <v>Not Available</v>
          </cell>
        </row>
        <row r="2808">
          <cell r="A2808" t="str">
            <v>101200940019</v>
          </cell>
          <cell r="B2808" t="str">
            <v>DalsinghSarai</v>
          </cell>
          <cell r="C2808" t="str">
            <v>DalsinghSarai</v>
          </cell>
          <cell r="D2808" t="str">
            <v>Gomukh Bochaha</v>
          </cell>
          <cell r="E2808">
            <v>10120094</v>
          </cell>
          <cell r="F2808" t="str">
            <v>0019</v>
          </cell>
          <cell r="G2808">
            <v>8</v>
          </cell>
          <cell r="H2808">
            <v>29.820000000000004</v>
          </cell>
          <cell r="I2808">
            <v>1378.2550129030001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P2808">
            <v>1378</v>
          </cell>
          <cell r="V2808" t="str">
            <v>Not Available</v>
          </cell>
        </row>
        <row r="2809">
          <cell r="A2809" t="str">
            <v>101200940020</v>
          </cell>
          <cell r="B2809" t="str">
            <v>DalsinghSarai</v>
          </cell>
          <cell r="C2809" t="str">
            <v>DalsinghSarai</v>
          </cell>
          <cell r="D2809" t="str">
            <v>Gomukh Bochaha</v>
          </cell>
          <cell r="E2809">
            <v>10120094</v>
          </cell>
          <cell r="F2809" t="str">
            <v>0020</v>
          </cell>
          <cell r="G2809">
            <v>8</v>
          </cell>
          <cell r="H2809">
            <v>21.97</v>
          </cell>
          <cell r="I2809">
            <v>1088.0577878534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P2809">
            <v>1088</v>
          </cell>
          <cell r="V2809" t="str">
            <v>Not Available</v>
          </cell>
        </row>
        <row r="2810">
          <cell r="A2810" t="str">
            <v>101200940021</v>
          </cell>
          <cell r="B2810" t="str">
            <v>DalsinghSarai</v>
          </cell>
          <cell r="C2810" t="str">
            <v>DalsinghSarai</v>
          </cell>
          <cell r="D2810" t="str">
            <v>Gomukh Bochaha</v>
          </cell>
          <cell r="E2810">
            <v>10120094</v>
          </cell>
          <cell r="F2810" t="str">
            <v>0021</v>
          </cell>
          <cell r="G2810">
            <v>11</v>
          </cell>
          <cell r="H2810">
            <v>30.83</v>
          </cell>
          <cell r="I2810">
            <v>1464.2254323514001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P2810">
            <v>1464</v>
          </cell>
          <cell r="V2810" t="str">
            <v>Not Available</v>
          </cell>
        </row>
        <row r="2811">
          <cell r="A2811" t="str">
            <v>101200940022</v>
          </cell>
          <cell r="B2811" t="str">
            <v>DalsinghSarai</v>
          </cell>
          <cell r="C2811" t="str">
            <v>DalsinghSarai</v>
          </cell>
          <cell r="D2811" t="str">
            <v>Gomukh Bochaha</v>
          </cell>
          <cell r="E2811">
            <v>10120094</v>
          </cell>
          <cell r="F2811" t="str">
            <v>0022</v>
          </cell>
          <cell r="G2811">
            <v>10</v>
          </cell>
          <cell r="H2811">
            <v>40.279999999999994</v>
          </cell>
          <cell r="I2811">
            <v>2056.7750196453303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P2811">
            <v>2057</v>
          </cell>
          <cell r="V2811" t="str">
            <v>Not Available</v>
          </cell>
        </row>
        <row r="2812">
          <cell r="A2812" t="str">
            <v>101200940023</v>
          </cell>
          <cell r="B2812" t="str">
            <v>DalsinghSarai</v>
          </cell>
          <cell r="C2812" t="str">
            <v>DalsinghSarai</v>
          </cell>
          <cell r="D2812" t="str">
            <v>Gomukh Bochaha</v>
          </cell>
          <cell r="E2812">
            <v>10120094</v>
          </cell>
          <cell r="F2812" t="str">
            <v>0023</v>
          </cell>
          <cell r="G2812">
            <v>11</v>
          </cell>
          <cell r="H2812">
            <v>37.660000000000004</v>
          </cell>
          <cell r="I2812">
            <v>1707.3382946607999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P2812">
            <v>1707</v>
          </cell>
          <cell r="V2812" t="str">
            <v>Not Available</v>
          </cell>
        </row>
        <row r="2813">
          <cell r="A2813" t="str">
            <v>101200940024</v>
          </cell>
          <cell r="B2813" t="str">
            <v>DalsinghSarai</v>
          </cell>
          <cell r="C2813" t="str">
            <v>DalsinghSarai</v>
          </cell>
          <cell r="D2813" t="str">
            <v>Gomukh Bochaha</v>
          </cell>
          <cell r="E2813">
            <v>10120094</v>
          </cell>
          <cell r="F2813" t="str">
            <v>0024</v>
          </cell>
          <cell r="G2813">
            <v>8</v>
          </cell>
          <cell r="H2813">
            <v>23.85</v>
          </cell>
          <cell r="I2813">
            <v>1063.6130193178201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P2813">
            <v>1064</v>
          </cell>
          <cell r="V2813" t="str">
            <v>Not Available</v>
          </cell>
        </row>
        <row r="2814">
          <cell r="A2814" t="str">
            <v>101200940025</v>
          </cell>
          <cell r="B2814" t="str">
            <v>DalsinghSarai</v>
          </cell>
          <cell r="C2814" t="str">
            <v>DalsinghSarai</v>
          </cell>
          <cell r="D2814" t="str">
            <v>Gomukh Bochaha</v>
          </cell>
          <cell r="E2814">
            <v>10120094</v>
          </cell>
          <cell r="F2814" t="str">
            <v>0025</v>
          </cell>
          <cell r="G2814">
            <v>9</v>
          </cell>
          <cell r="H2814">
            <v>24.57</v>
          </cell>
          <cell r="I2814">
            <v>1295.1175434788599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P2814">
            <v>1295</v>
          </cell>
          <cell r="V2814" t="str">
            <v>Not Available</v>
          </cell>
        </row>
        <row r="2815">
          <cell r="A2815" t="str">
            <v>101200940026</v>
          </cell>
          <cell r="B2815" t="str">
            <v>DalsinghSarai</v>
          </cell>
          <cell r="C2815" t="str">
            <v>DalsinghSarai</v>
          </cell>
          <cell r="D2815" t="str">
            <v>Gomukh Bochaha</v>
          </cell>
          <cell r="E2815">
            <v>10120094</v>
          </cell>
          <cell r="F2815" t="str">
            <v>0026</v>
          </cell>
          <cell r="G2815">
            <v>11</v>
          </cell>
          <cell r="H2815">
            <v>43.080000000000013</v>
          </cell>
          <cell r="I2815">
            <v>1874.6283540062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P2815">
            <v>1875</v>
          </cell>
          <cell r="V2815" t="str">
            <v>Not Available</v>
          </cell>
        </row>
        <row r="2816">
          <cell r="A2816" t="str">
            <v>101200940027</v>
          </cell>
          <cell r="B2816" t="str">
            <v>DalsinghSarai</v>
          </cell>
          <cell r="C2816" t="str">
            <v>DalsinghSarai</v>
          </cell>
          <cell r="D2816" t="str">
            <v>Gomukh Bochaha</v>
          </cell>
          <cell r="E2816">
            <v>10120094</v>
          </cell>
          <cell r="F2816" t="str">
            <v>0027</v>
          </cell>
          <cell r="G2816">
            <v>9</v>
          </cell>
          <cell r="H2816">
            <v>22.470000000000002</v>
          </cell>
          <cell r="I2816">
            <v>841.9938151680002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P2816">
            <v>842</v>
          </cell>
          <cell r="V2816" t="str">
            <v>Not Available</v>
          </cell>
        </row>
        <row r="2817">
          <cell r="A2817" t="str">
            <v>101200940028</v>
          </cell>
          <cell r="B2817" t="str">
            <v>DalsinghSarai</v>
          </cell>
          <cell r="C2817" t="str">
            <v>DalsinghSarai</v>
          </cell>
          <cell r="D2817" t="str">
            <v>Gomukh Bochaha</v>
          </cell>
          <cell r="E2817">
            <v>10120094</v>
          </cell>
          <cell r="F2817" t="str">
            <v>0028</v>
          </cell>
          <cell r="G2817">
            <v>11</v>
          </cell>
          <cell r="H2817">
            <v>134.06</v>
          </cell>
          <cell r="I2817">
            <v>4785.5937670200001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P2817">
            <v>4786</v>
          </cell>
          <cell r="V2817" t="str">
            <v>Not Available</v>
          </cell>
        </row>
        <row r="2818">
          <cell r="A2818" t="str">
            <v>101200940029</v>
          </cell>
          <cell r="B2818" t="str">
            <v>DalsinghSarai</v>
          </cell>
          <cell r="C2818" t="str">
            <v>DalsinghSarai</v>
          </cell>
          <cell r="D2818" t="str">
            <v>Gomukh Bochaha</v>
          </cell>
          <cell r="E2818">
            <v>10120094</v>
          </cell>
          <cell r="F2818" t="str">
            <v>0029</v>
          </cell>
          <cell r="G2818">
            <v>10</v>
          </cell>
          <cell r="H2818">
            <v>30.659999999999997</v>
          </cell>
          <cell r="I2818">
            <v>1471.1321143167002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P2818">
            <v>1471</v>
          </cell>
          <cell r="V2818" t="str">
            <v>Not Available</v>
          </cell>
        </row>
        <row r="2819">
          <cell r="A2819" t="str">
            <v>101200940030</v>
          </cell>
          <cell r="B2819" t="str">
            <v>DalsinghSarai</v>
          </cell>
          <cell r="C2819" t="str">
            <v>DalsinghSarai</v>
          </cell>
          <cell r="D2819" t="str">
            <v>Gomukh Bochaha</v>
          </cell>
          <cell r="E2819">
            <v>10120094</v>
          </cell>
          <cell r="F2819" t="str">
            <v>0030</v>
          </cell>
          <cell r="G2819">
            <v>10</v>
          </cell>
          <cell r="H2819">
            <v>35.880000000000003</v>
          </cell>
          <cell r="I2819">
            <v>1300.4963373600001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P2819">
            <v>1300</v>
          </cell>
          <cell r="V2819" t="str">
            <v>Not Available</v>
          </cell>
        </row>
        <row r="2820">
          <cell r="A2820" t="str">
            <v>101200950002</v>
          </cell>
          <cell r="B2820" t="str">
            <v>DalsinghSarai</v>
          </cell>
          <cell r="C2820" t="str">
            <v>DalsinghSarai</v>
          </cell>
          <cell r="D2820" t="str">
            <v>Gomukh Terganj</v>
          </cell>
          <cell r="E2820">
            <v>10120095</v>
          </cell>
          <cell r="F2820" t="str">
            <v>0002</v>
          </cell>
          <cell r="G2820">
            <v>14</v>
          </cell>
          <cell r="H2820">
            <v>76</v>
          </cell>
          <cell r="I2820">
            <v>3144.1932719999995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P2820">
            <v>3144</v>
          </cell>
          <cell r="V2820" t="str">
            <v>Available</v>
          </cell>
        </row>
        <row r="2821">
          <cell r="A2821" t="str">
            <v>101200950006</v>
          </cell>
          <cell r="B2821" t="str">
            <v>DalsinghSarai</v>
          </cell>
          <cell r="C2821" t="str">
            <v>DalsinghSarai</v>
          </cell>
          <cell r="D2821" t="str">
            <v>Gomukh Terganj</v>
          </cell>
          <cell r="E2821">
            <v>10120095</v>
          </cell>
          <cell r="F2821" t="str">
            <v>0006</v>
          </cell>
          <cell r="G2821">
            <v>13</v>
          </cell>
          <cell r="H2821">
            <v>70</v>
          </cell>
          <cell r="I2821">
            <v>2890.7465399999996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P2821">
            <v>2891</v>
          </cell>
          <cell r="V2821" t="str">
            <v>Not Available</v>
          </cell>
        </row>
        <row r="2822">
          <cell r="A2822" t="str">
            <v>101200950007</v>
          </cell>
          <cell r="B2822" t="str">
            <v>DalsinghSarai</v>
          </cell>
          <cell r="C2822" t="str">
            <v>DalsinghSarai</v>
          </cell>
          <cell r="D2822" t="str">
            <v>Gomukh Terganj</v>
          </cell>
          <cell r="E2822">
            <v>10120095</v>
          </cell>
          <cell r="F2822" t="str">
            <v>0007</v>
          </cell>
          <cell r="G2822">
            <v>10</v>
          </cell>
          <cell r="H2822">
            <v>46</v>
          </cell>
          <cell r="I2822">
            <v>1901.9076119999997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P2822">
            <v>1902</v>
          </cell>
          <cell r="V2822" t="str">
            <v>Not Available</v>
          </cell>
        </row>
        <row r="2823">
          <cell r="A2823" t="str">
            <v>101201040002</v>
          </cell>
          <cell r="B2823" t="str">
            <v>DalsinghSarai</v>
          </cell>
          <cell r="C2823" t="str">
            <v>DalsinghSarai</v>
          </cell>
          <cell r="D2823" t="str">
            <v>Gomukh Mordiwa East</v>
          </cell>
          <cell r="E2823">
            <v>10120104</v>
          </cell>
          <cell r="F2823" t="str">
            <v>0002</v>
          </cell>
          <cell r="G2823">
            <v>14</v>
          </cell>
          <cell r="H2823">
            <v>269.3</v>
          </cell>
          <cell r="I2823">
            <v>10450.430068320002</v>
          </cell>
          <cell r="J2823">
            <v>0</v>
          </cell>
          <cell r="K2823">
            <v>0</v>
          </cell>
          <cell r="L2823">
            <v>1446</v>
          </cell>
          <cell r="M2823">
            <v>1434</v>
          </cell>
          <cell r="P2823">
            <v>7570</v>
          </cell>
          <cell r="V2823" t="str">
            <v>Available</v>
          </cell>
        </row>
        <row r="2824">
          <cell r="A2824" t="str">
            <v>101201040003</v>
          </cell>
          <cell r="B2824" t="str">
            <v>DalsinghSarai</v>
          </cell>
          <cell r="C2824" t="str">
            <v>DalsinghSarai</v>
          </cell>
          <cell r="D2824" t="str">
            <v>Gomukh Mordiwa East</v>
          </cell>
          <cell r="E2824">
            <v>10120104</v>
          </cell>
          <cell r="F2824" t="str">
            <v>0003</v>
          </cell>
          <cell r="G2824">
            <v>13</v>
          </cell>
          <cell r="H2824">
            <v>245.3</v>
          </cell>
          <cell r="I2824">
            <v>9505.3883364000012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P2824">
            <v>9505</v>
          </cell>
          <cell r="V2824" t="str">
            <v>Not Available</v>
          </cell>
        </row>
        <row r="2825">
          <cell r="A2825" t="str">
            <v>101201040006</v>
          </cell>
          <cell r="B2825" t="str">
            <v>DalsinghSarai</v>
          </cell>
          <cell r="C2825" t="str">
            <v>DalsinghSarai</v>
          </cell>
          <cell r="D2825" t="str">
            <v>Gomukh Mordiwa East</v>
          </cell>
          <cell r="E2825">
            <v>10120104</v>
          </cell>
          <cell r="F2825" t="str">
            <v>0006</v>
          </cell>
          <cell r="G2825">
            <v>9</v>
          </cell>
          <cell r="H2825">
            <v>191.7</v>
          </cell>
          <cell r="I2825">
            <v>7378.2951343200011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P2825">
            <v>7378</v>
          </cell>
          <cell r="V2825" t="str">
            <v>Not Available</v>
          </cell>
        </row>
        <row r="2826">
          <cell r="A2826" t="str">
            <v>101201040008</v>
          </cell>
          <cell r="B2826" t="str">
            <v>DalsinghSarai</v>
          </cell>
          <cell r="C2826" t="str">
            <v>DalsinghSarai</v>
          </cell>
          <cell r="D2826" t="str">
            <v>Gomukh Mordiwa East</v>
          </cell>
          <cell r="E2826">
            <v>10120104</v>
          </cell>
          <cell r="F2826" t="str">
            <v>0008</v>
          </cell>
          <cell r="G2826">
            <v>2</v>
          </cell>
          <cell r="H2826">
            <v>20.5</v>
          </cell>
          <cell r="I2826">
            <v>800.99860500000011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P2826">
            <v>801</v>
          </cell>
          <cell r="V2826" t="str">
            <v>Not Available</v>
          </cell>
        </row>
        <row r="2827">
          <cell r="A2827" t="str">
            <v>101201070002</v>
          </cell>
          <cell r="B2827" t="str">
            <v>DalsinghSarai</v>
          </cell>
          <cell r="C2827" t="str">
            <v>DalsinghSarai</v>
          </cell>
          <cell r="D2827" t="str">
            <v>Gomukh Ramaiya</v>
          </cell>
          <cell r="E2827">
            <v>10120107</v>
          </cell>
          <cell r="F2827" t="str">
            <v>0002</v>
          </cell>
          <cell r="G2827">
            <v>14</v>
          </cell>
          <cell r="H2827">
            <v>702.76</v>
          </cell>
          <cell r="I2827">
            <v>27314.979849036001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P2827">
            <v>27315</v>
          </cell>
          <cell r="V2827" t="str">
            <v>Available</v>
          </cell>
        </row>
        <row r="2828">
          <cell r="A2828" t="str">
            <v>101201070003</v>
          </cell>
          <cell r="B2828" t="str">
            <v>DalsinghSarai</v>
          </cell>
          <cell r="C2828" t="str">
            <v>DalsinghSarai</v>
          </cell>
          <cell r="D2828" t="str">
            <v>Gomukh Ramaiya</v>
          </cell>
          <cell r="E2828">
            <v>10120107</v>
          </cell>
          <cell r="F2828" t="str">
            <v>0003</v>
          </cell>
          <cell r="G2828">
            <v>1</v>
          </cell>
          <cell r="H2828">
            <v>1</v>
          </cell>
          <cell r="I2828">
            <v>25.529581440000005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P2828">
            <v>26</v>
          </cell>
          <cell r="V2828" t="str">
            <v>Not Available</v>
          </cell>
        </row>
        <row r="2829">
          <cell r="A2829" t="str">
            <v>101201070004</v>
          </cell>
          <cell r="B2829" t="str">
            <v>DalsinghSarai</v>
          </cell>
          <cell r="C2829" t="str">
            <v>DalsinghSarai</v>
          </cell>
          <cell r="D2829" t="str">
            <v>Gomukh Ramaiya</v>
          </cell>
          <cell r="E2829">
            <v>10120107</v>
          </cell>
          <cell r="F2829" t="str">
            <v>0004</v>
          </cell>
          <cell r="G2829">
            <v>1</v>
          </cell>
          <cell r="H2829">
            <v>1</v>
          </cell>
          <cell r="I2829">
            <v>31.813095600000004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P2829">
            <v>32</v>
          </cell>
          <cell r="V2829" t="str">
            <v>Not Available</v>
          </cell>
        </row>
        <row r="2830">
          <cell r="A2830" t="str">
            <v>101201080002</v>
          </cell>
          <cell r="B2830" t="str">
            <v>DalsinghSarai</v>
          </cell>
          <cell r="C2830" t="str">
            <v>DalsinghSarai</v>
          </cell>
          <cell r="D2830" t="str">
            <v>GOMUKH MANIKA EAST</v>
          </cell>
          <cell r="E2830">
            <v>10120108</v>
          </cell>
          <cell r="F2830" t="str">
            <v>0002</v>
          </cell>
          <cell r="G2830">
            <v>14</v>
          </cell>
          <cell r="H2830">
            <v>450.70000000000005</v>
          </cell>
          <cell r="I2830">
            <v>19685.226909994348</v>
          </cell>
          <cell r="J2830">
            <v>0</v>
          </cell>
          <cell r="K2830">
            <v>0</v>
          </cell>
          <cell r="L2830">
            <v>2477</v>
          </cell>
          <cell r="M2830">
            <v>0</v>
          </cell>
          <cell r="P2830">
            <v>17208</v>
          </cell>
          <cell r="V2830" t="str">
            <v>Available</v>
          </cell>
        </row>
        <row r="2831">
          <cell r="A2831" t="str">
            <v>101201080003</v>
          </cell>
          <cell r="B2831" t="str">
            <v>DalsinghSarai</v>
          </cell>
          <cell r="C2831" t="str">
            <v>DalsinghSarai</v>
          </cell>
          <cell r="D2831" t="str">
            <v>GOMUKH MANIKA EAST</v>
          </cell>
          <cell r="E2831">
            <v>10120108</v>
          </cell>
          <cell r="F2831" t="str">
            <v>0003</v>
          </cell>
          <cell r="G2831">
            <v>13</v>
          </cell>
          <cell r="H2831">
            <v>107.7</v>
          </cell>
          <cell r="I2831">
            <v>4267.9542874320014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P2831">
            <v>4268</v>
          </cell>
          <cell r="V2831" t="str">
            <v>Available</v>
          </cell>
        </row>
        <row r="2832">
          <cell r="A2832" t="str">
            <v>101201080005</v>
          </cell>
          <cell r="B2832" t="str">
            <v>DalsinghSarai</v>
          </cell>
          <cell r="C2832" t="str">
            <v>DalsinghSarai</v>
          </cell>
          <cell r="D2832" t="str">
            <v>GOMUKH MANIKA EAST</v>
          </cell>
          <cell r="E2832">
            <v>10120108</v>
          </cell>
          <cell r="F2832" t="str">
            <v>0005</v>
          </cell>
          <cell r="G2832">
            <v>11</v>
          </cell>
          <cell r="H2832">
            <v>46.699999999999996</v>
          </cell>
          <cell r="I2832">
            <v>1725.9572468160002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P2832">
            <v>1726</v>
          </cell>
          <cell r="V2832" t="str">
            <v>Available</v>
          </cell>
        </row>
        <row r="2833">
          <cell r="A2833" t="str">
            <v>101201080006</v>
          </cell>
          <cell r="B2833" t="str">
            <v>DalsinghSarai</v>
          </cell>
          <cell r="C2833" t="str">
            <v>DalsinghSarai</v>
          </cell>
          <cell r="D2833" t="str">
            <v>GOMUKH MANIKA EAST</v>
          </cell>
          <cell r="E2833">
            <v>10120108</v>
          </cell>
          <cell r="F2833" t="str">
            <v>0006</v>
          </cell>
          <cell r="G2833">
            <v>14</v>
          </cell>
          <cell r="H2833">
            <v>40.799999999999997</v>
          </cell>
          <cell r="I2833">
            <v>1604.7115773480002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P2833">
            <v>1605</v>
          </cell>
          <cell r="V2833" t="str">
            <v>Available</v>
          </cell>
        </row>
        <row r="2834">
          <cell r="A2834" t="str">
            <v>101201080007</v>
          </cell>
          <cell r="B2834" t="str">
            <v>DalsinghSarai</v>
          </cell>
          <cell r="C2834" t="str">
            <v>DalsinghSarai</v>
          </cell>
          <cell r="D2834" t="str">
            <v>GOMUKH MANIKA EAST</v>
          </cell>
          <cell r="E2834">
            <v>10120108</v>
          </cell>
          <cell r="F2834" t="str">
            <v>0007</v>
          </cell>
          <cell r="G2834">
            <v>4</v>
          </cell>
          <cell r="H2834">
            <v>33.200000000000003</v>
          </cell>
          <cell r="I2834">
            <v>1067.9466029760001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P2834">
            <v>1068</v>
          </cell>
          <cell r="V2834" t="str">
            <v>Available</v>
          </cell>
        </row>
        <row r="2835">
          <cell r="A2835" t="str">
            <v>101201080008</v>
          </cell>
          <cell r="B2835" t="str">
            <v>DalsinghSarai</v>
          </cell>
          <cell r="C2835" t="str">
            <v>DalsinghSarai</v>
          </cell>
          <cell r="D2835" t="str">
            <v>GOMUKH MANIKA EAST</v>
          </cell>
          <cell r="E2835">
            <v>10120108</v>
          </cell>
          <cell r="F2835" t="str">
            <v>0008</v>
          </cell>
          <cell r="G2835">
            <v>6</v>
          </cell>
          <cell r="H2835">
            <v>12</v>
          </cell>
          <cell r="I2835">
            <v>518.83482175800009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P2835">
            <v>519</v>
          </cell>
          <cell r="V2835" t="str">
            <v>Not Available</v>
          </cell>
        </row>
        <row r="2836">
          <cell r="A2836" t="str">
            <v>101201080009</v>
          </cell>
          <cell r="B2836" t="str">
            <v>DalsinghSarai</v>
          </cell>
          <cell r="C2836" t="str">
            <v>DalsinghSarai</v>
          </cell>
          <cell r="D2836" t="str">
            <v>GOMUKH MANIKA EAST</v>
          </cell>
          <cell r="E2836">
            <v>10120108</v>
          </cell>
          <cell r="F2836" t="str">
            <v>0009</v>
          </cell>
          <cell r="G2836">
            <v>11</v>
          </cell>
          <cell r="H2836">
            <v>66.099999999999994</v>
          </cell>
          <cell r="I2836">
            <v>2457.3107253077005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P2836">
            <v>2457</v>
          </cell>
          <cell r="V2836" t="str">
            <v>Not Available</v>
          </cell>
        </row>
        <row r="2837">
          <cell r="A2837" t="str">
            <v>101201080010</v>
          </cell>
          <cell r="B2837" t="str">
            <v>DalsinghSarai</v>
          </cell>
          <cell r="C2837" t="str">
            <v>DalsinghSarai</v>
          </cell>
          <cell r="D2837" t="str">
            <v>GOMUKH MANIKA EAST</v>
          </cell>
          <cell r="E2837">
            <v>10120108</v>
          </cell>
          <cell r="F2837" t="str">
            <v>0010</v>
          </cell>
          <cell r="G2837">
            <v>14</v>
          </cell>
          <cell r="H2837">
            <v>57.300000000000004</v>
          </cell>
          <cell r="I2837">
            <v>2243.7208886400003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P2837">
            <v>2244</v>
          </cell>
          <cell r="V2837" t="str">
            <v>Not Available</v>
          </cell>
        </row>
        <row r="2838">
          <cell r="A2838" t="str">
            <v>101201080012</v>
          </cell>
          <cell r="B2838" t="str">
            <v>DalsinghSarai</v>
          </cell>
          <cell r="C2838" t="str">
            <v>DalsinghSarai</v>
          </cell>
          <cell r="D2838" t="str">
            <v>GOMUKH MANIKA EAST</v>
          </cell>
          <cell r="E2838">
            <v>10120108</v>
          </cell>
          <cell r="F2838" t="str">
            <v>0012</v>
          </cell>
          <cell r="G2838">
            <v>12</v>
          </cell>
          <cell r="H2838">
            <v>98.299999999999983</v>
          </cell>
          <cell r="I2838">
            <v>3546.8715427200009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P2838">
            <v>3547</v>
          </cell>
          <cell r="V2838" t="str">
            <v>Not Available</v>
          </cell>
        </row>
        <row r="2839">
          <cell r="A2839" t="str">
            <v>101201080014</v>
          </cell>
          <cell r="B2839" t="str">
            <v>DalsinghSarai</v>
          </cell>
          <cell r="C2839" t="str">
            <v>DalsinghSarai</v>
          </cell>
          <cell r="D2839" t="str">
            <v>GOMUKH MANIKA EAST</v>
          </cell>
          <cell r="E2839">
            <v>10120108</v>
          </cell>
          <cell r="F2839" t="str">
            <v>0014</v>
          </cell>
          <cell r="G2839">
            <v>6</v>
          </cell>
          <cell r="H2839">
            <v>34.299999999999997</v>
          </cell>
          <cell r="I2839">
            <v>1750.6486295313002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P2839">
            <v>1751</v>
          </cell>
          <cell r="V2839" t="str">
            <v>Not Available</v>
          </cell>
        </row>
        <row r="2840">
          <cell r="A2840" t="str">
            <v>101201080015</v>
          </cell>
          <cell r="B2840" t="str">
            <v>DalsinghSarai</v>
          </cell>
          <cell r="C2840" t="str">
            <v>DalsinghSarai</v>
          </cell>
          <cell r="D2840" t="str">
            <v>GOMUKH MANIKA EAST</v>
          </cell>
          <cell r="E2840">
            <v>10120108</v>
          </cell>
          <cell r="F2840" t="str">
            <v>0015</v>
          </cell>
          <cell r="G2840">
            <v>7</v>
          </cell>
          <cell r="H2840">
            <v>19.599999999999998</v>
          </cell>
          <cell r="I2840">
            <v>766.95464340000001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P2840">
            <v>767</v>
          </cell>
          <cell r="V2840" t="str">
            <v>Available</v>
          </cell>
        </row>
        <row r="2841">
          <cell r="A2841" t="str">
            <v>101201110002</v>
          </cell>
          <cell r="B2841" t="str">
            <v>DalsinghSarai</v>
          </cell>
          <cell r="C2841" t="str">
            <v>DalsinghSarai</v>
          </cell>
          <cell r="D2841" t="str">
            <v>GOMUKH Kisanpur Tabhka</v>
          </cell>
          <cell r="E2841">
            <v>10120111</v>
          </cell>
          <cell r="F2841" t="str">
            <v>0002</v>
          </cell>
          <cell r="G2841">
            <v>10</v>
          </cell>
          <cell r="H2841">
            <v>100.44999999999999</v>
          </cell>
          <cell r="I2841">
            <v>4053.4914724712098</v>
          </cell>
          <cell r="J2841">
            <v>0</v>
          </cell>
          <cell r="K2841">
            <v>0</v>
          </cell>
          <cell r="L2841">
            <v>462</v>
          </cell>
          <cell r="M2841">
            <v>0</v>
          </cell>
          <cell r="P2841">
            <v>3527</v>
          </cell>
          <cell r="V2841" t="str">
            <v>Available</v>
          </cell>
        </row>
        <row r="2842">
          <cell r="A2842" t="str">
            <v>101201110003</v>
          </cell>
          <cell r="B2842" t="str">
            <v>DalsinghSarai</v>
          </cell>
          <cell r="C2842" t="str">
            <v>DalsinghSarai</v>
          </cell>
          <cell r="D2842" t="str">
            <v>GOMUKH Kisanpur Tabhka</v>
          </cell>
          <cell r="E2842">
            <v>10120111</v>
          </cell>
          <cell r="F2842" t="str">
            <v>0003</v>
          </cell>
          <cell r="G2842">
            <v>4</v>
          </cell>
          <cell r="H2842">
            <v>13.200000000000001</v>
          </cell>
          <cell r="I2842">
            <v>593.03538984404008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P2842">
            <v>593</v>
          </cell>
          <cell r="V2842" t="str">
            <v>Available</v>
          </cell>
        </row>
        <row r="2843">
          <cell r="A2843" t="str">
            <v>101201110005</v>
          </cell>
          <cell r="B2843" t="str">
            <v>DalsinghSarai</v>
          </cell>
          <cell r="C2843" t="str">
            <v>DalsinghSarai</v>
          </cell>
          <cell r="D2843" t="str">
            <v>GOMUKH Kisanpur Tabhka</v>
          </cell>
          <cell r="E2843">
            <v>10120111</v>
          </cell>
          <cell r="F2843" t="str">
            <v>0005</v>
          </cell>
          <cell r="G2843">
            <v>12</v>
          </cell>
          <cell r="H2843">
            <v>121.01999999999998</v>
          </cell>
          <cell r="I2843">
            <v>4982.1389417509945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P2843">
            <v>4982</v>
          </cell>
          <cell r="V2843" t="str">
            <v>Available</v>
          </cell>
        </row>
        <row r="2844">
          <cell r="A2844" t="str">
            <v>101201110012</v>
          </cell>
          <cell r="B2844" t="str">
            <v>DalsinghSarai</v>
          </cell>
          <cell r="C2844" t="str">
            <v>DalsinghSarai</v>
          </cell>
          <cell r="D2844" t="str">
            <v>GOMUKH Kisanpur Tabhka</v>
          </cell>
          <cell r="E2844">
            <v>10120111</v>
          </cell>
          <cell r="F2844" t="str">
            <v>0012</v>
          </cell>
          <cell r="G2844">
            <v>13</v>
          </cell>
          <cell r="H2844">
            <v>134.30000000000001</v>
          </cell>
          <cell r="I2844">
            <v>5547.500097284651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P2844">
            <v>5548</v>
          </cell>
          <cell r="V2844" t="str">
            <v>Not Available</v>
          </cell>
        </row>
        <row r="2845">
          <cell r="A2845" t="str">
            <v>101201110013</v>
          </cell>
          <cell r="B2845" t="str">
            <v>DalsinghSarai</v>
          </cell>
          <cell r="C2845" t="str">
            <v>DalsinghSarai</v>
          </cell>
          <cell r="D2845" t="str">
            <v>GOMUKH Kisanpur Tabhka</v>
          </cell>
          <cell r="E2845">
            <v>10120111</v>
          </cell>
          <cell r="F2845" t="str">
            <v>0013</v>
          </cell>
          <cell r="G2845">
            <v>6</v>
          </cell>
          <cell r="H2845">
            <v>87.8</v>
          </cell>
          <cell r="I2845">
            <v>3570.0863616000006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P2845">
            <v>3570</v>
          </cell>
          <cell r="V2845" t="str">
            <v>Not Available</v>
          </cell>
        </row>
        <row r="2846">
          <cell r="A2846" t="str">
            <v>101201110014</v>
          </cell>
          <cell r="B2846" t="str">
            <v>DalsinghSarai</v>
          </cell>
          <cell r="C2846" t="str">
            <v>DalsinghSarai</v>
          </cell>
          <cell r="D2846" t="str">
            <v>GOMUKH Kisanpur Tabhka</v>
          </cell>
          <cell r="E2846">
            <v>10120111</v>
          </cell>
          <cell r="F2846" t="str">
            <v>0014</v>
          </cell>
          <cell r="G2846">
            <v>3</v>
          </cell>
          <cell r="H2846">
            <v>33.6</v>
          </cell>
          <cell r="I2846">
            <v>1353.48604776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P2846">
            <v>1353</v>
          </cell>
          <cell r="V2846" t="str">
            <v>Not Available</v>
          </cell>
        </row>
        <row r="2847">
          <cell r="A2847" t="str">
            <v>101201110015</v>
          </cell>
          <cell r="B2847" t="str">
            <v>DalsinghSarai</v>
          </cell>
          <cell r="C2847" t="str">
            <v>DalsinghSarai</v>
          </cell>
          <cell r="D2847" t="str">
            <v>GOMUKH Kisanpur Tabhka</v>
          </cell>
          <cell r="E2847">
            <v>10120111</v>
          </cell>
          <cell r="F2847" t="str">
            <v>0015</v>
          </cell>
          <cell r="G2847">
            <v>10</v>
          </cell>
          <cell r="H2847">
            <v>129.91000000000003</v>
          </cell>
          <cell r="I2847">
            <v>5523.9177391514413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P2847">
            <v>5524</v>
          </cell>
          <cell r="V2847" t="str">
            <v>Not Available</v>
          </cell>
        </row>
        <row r="2848">
          <cell r="A2848" t="str">
            <v>101201110016</v>
          </cell>
          <cell r="B2848" t="str">
            <v>DalsinghSarai</v>
          </cell>
          <cell r="C2848" t="str">
            <v>DalsinghSarai</v>
          </cell>
          <cell r="D2848" t="str">
            <v>GOMUKH Kisanpur Tabhka</v>
          </cell>
          <cell r="E2848">
            <v>10120111</v>
          </cell>
          <cell r="F2848" t="str">
            <v>0016</v>
          </cell>
          <cell r="G2848">
            <v>5</v>
          </cell>
          <cell r="H2848">
            <v>57.49</v>
          </cell>
          <cell r="I2848">
            <v>2258.69739282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P2848">
            <v>2259</v>
          </cell>
          <cell r="V2848" t="str">
            <v>Not Available</v>
          </cell>
        </row>
        <row r="2849">
          <cell r="A2849" t="str">
            <v>101201110017</v>
          </cell>
          <cell r="B2849" t="str">
            <v>DalsinghSarai</v>
          </cell>
          <cell r="C2849" t="str">
            <v>DalsinghSarai</v>
          </cell>
          <cell r="D2849" t="str">
            <v>GOMUKH Kisanpur Tabhka</v>
          </cell>
          <cell r="E2849">
            <v>10120111</v>
          </cell>
          <cell r="F2849" t="str">
            <v>0017</v>
          </cell>
          <cell r="G2849">
            <v>5</v>
          </cell>
          <cell r="H2849">
            <v>68.2</v>
          </cell>
          <cell r="I2849">
            <v>2827.954076904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P2849">
            <v>2828</v>
          </cell>
          <cell r="V2849" t="str">
            <v>Not Available</v>
          </cell>
        </row>
        <row r="2850">
          <cell r="A2850" t="str">
            <v>101201110018</v>
          </cell>
          <cell r="B2850" t="str">
            <v>DalsinghSarai</v>
          </cell>
          <cell r="C2850" t="str">
            <v>DalsinghSarai</v>
          </cell>
          <cell r="D2850" t="str">
            <v>GOMUKH Kisanpur Tabhka</v>
          </cell>
          <cell r="E2850">
            <v>10120111</v>
          </cell>
          <cell r="F2850" t="str">
            <v>0018</v>
          </cell>
          <cell r="G2850">
            <v>3</v>
          </cell>
          <cell r="H2850">
            <v>19.189999999999998</v>
          </cell>
          <cell r="I2850">
            <v>858.67329189840007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P2850">
            <v>859</v>
          </cell>
          <cell r="V2850" t="str">
            <v>Not Available</v>
          </cell>
        </row>
        <row r="2851">
          <cell r="A2851" t="str">
            <v>101201130003</v>
          </cell>
          <cell r="B2851" t="str">
            <v>DalsinghSarai</v>
          </cell>
          <cell r="C2851" t="str">
            <v>DalsinghSarai</v>
          </cell>
          <cell r="D2851" t="str">
            <v>GOMUKH BIBHUTIPUR</v>
          </cell>
          <cell r="E2851">
            <v>10120113</v>
          </cell>
          <cell r="F2851" t="str">
            <v>0003</v>
          </cell>
          <cell r="G2851">
            <v>7</v>
          </cell>
          <cell r="H2851">
            <v>58.050000000000011</v>
          </cell>
          <cell r="I2851">
            <v>2343.5362566000003</v>
          </cell>
          <cell r="J2851">
            <v>0</v>
          </cell>
          <cell r="K2851">
            <v>0</v>
          </cell>
          <cell r="L2851">
            <v>25</v>
          </cell>
          <cell r="M2851">
            <v>0</v>
          </cell>
          <cell r="P2851">
            <v>2319</v>
          </cell>
          <cell r="V2851" t="str">
            <v>Available</v>
          </cell>
        </row>
        <row r="2852">
          <cell r="A2852" t="str">
            <v>101201140002</v>
          </cell>
          <cell r="B2852" t="str">
            <v>DalsinghSarai</v>
          </cell>
          <cell r="C2852" t="str">
            <v>DalsinghSarai</v>
          </cell>
          <cell r="D2852" t="str">
            <v>GOMUKH PATHAKTOL</v>
          </cell>
          <cell r="E2852">
            <v>10120114</v>
          </cell>
          <cell r="F2852" t="str">
            <v>0002</v>
          </cell>
          <cell r="G2852">
            <v>14</v>
          </cell>
          <cell r="H2852">
            <v>120.90000000000002</v>
          </cell>
          <cell r="I2852">
            <v>4947.5220497999999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P2852">
            <v>4948</v>
          </cell>
          <cell r="V2852" t="str">
            <v>Available</v>
          </cell>
        </row>
        <row r="2853">
          <cell r="A2853" t="str">
            <v>101201140003</v>
          </cell>
          <cell r="B2853" t="str">
            <v>DalsinghSarai</v>
          </cell>
          <cell r="C2853" t="str">
            <v>DalsinghSarai</v>
          </cell>
          <cell r="D2853" t="str">
            <v>GOMUKH PATHAKTOL</v>
          </cell>
          <cell r="E2853">
            <v>10120114</v>
          </cell>
          <cell r="F2853" t="str">
            <v>0003</v>
          </cell>
          <cell r="G2853">
            <v>1</v>
          </cell>
          <cell r="H2853">
            <v>1.5</v>
          </cell>
          <cell r="I2853">
            <v>58.807663200000007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P2853">
            <v>59</v>
          </cell>
          <cell r="V2853" t="str">
            <v>Not Available</v>
          </cell>
        </row>
        <row r="2854">
          <cell r="A2854" t="str">
            <v>101201140004</v>
          </cell>
          <cell r="B2854" t="str">
            <v>DalsinghSarai</v>
          </cell>
          <cell r="C2854" t="str">
            <v>DalsinghSarai</v>
          </cell>
          <cell r="D2854" t="str">
            <v>GOMUKH PATHAKTOL</v>
          </cell>
          <cell r="E2854">
            <v>10120114</v>
          </cell>
          <cell r="F2854" t="str">
            <v>0004</v>
          </cell>
          <cell r="G2854">
            <v>4</v>
          </cell>
          <cell r="H2854">
            <v>14.2</v>
          </cell>
          <cell r="I2854">
            <v>533.89787992200002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P2854">
            <v>534</v>
          </cell>
          <cell r="V2854" t="str">
            <v>Not Available</v>
          </cell>
        </row>
        <row r="2855">
          <cell r="A2855" t="str">
            <v>101201140005</v>
          </cell>
          <cell r="B2855" t="str">
            <v>DalsinghSarai</v>
          </cell>
          <cell r="C2855" t="str">
            <v>DalsinghSarai</v>
          </cell>
          <cell r="D2855" t="str">
            <v>GOMUKH PATHAKTOL</v>
          </cell>
          <cell r="E2855">
            <v>10120114</v>
          </cell>
          <cell r="F2855" t="str">
            <v>0005</v>
          </cell>
          <cell r="G2855">
            <v>4</v>
          </cell>
          <cell r="H2855">
            <v>13</v>
          </cell>
          <cell r="I2855">
            <v>592.1801226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P2855">
            <v>592</v>
          </cell>
          <cell r="V2855" t="str">
            <v>Not Available</v>
          </cell>
        </row>
        <row r="2856">
          <cell r="A2856" t="str">
            <v>101201140007</v>
          </cell>
          <cell r="B2856" t="str">
            <v>DalsinghSarai</v>
          </cell>
          <cell r="C2856" t="str">
            <v>DalsinghSarai</v>
          </cell>
          <cell r="D2856" t="str">
            <v>GOMUKH PATHAKTOL</v>
          </cell>
          <cell r="E2856">
            <v>10120114</v>
          </cell>
          <cell r="F2856" t="str">
            <v>0007</v>
          </cell>
          <cell r="G2856">
            <v>13</v>
          </cell>
          <cell r="H2856">
            <v>18.5</v>
          </cell>
          <cell r="I2856">
            <v>746.57743931231994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P2856">
            <v>747</v>
          </cell>
          <cell r="V2856" t="str">
            <v>Available</v>
          </cell>
        </row>
        <row r="2857">
          <cell r="A2857" t="str">
            <v>101201160001</v>
          </cell>
          <cell r="B2857" t="str">
            <v>DalsinghSarai</v>
          </cell>
          <cell r="C2857" t="str">
            <v>DalsinghSarai</v>
          </cell>
          <cell r="D2857" t="str">
            <v>GOMUKH DADHIYA RAMKRISHANPUR</v>
          </cell>
          <cell r="E2857">
            <v>10120116</v>
          </cell>
          <cell r="F2857" t="str">
            <v>0001</v>
          </cell>
          <cell r="G2857">
            <v>14</v>
          </cell>
          <cell r="H2857">
            <v>46.8</v>
          </cell>
          <cell r="I2857">
            <v>2506.6457804050001</v>
          </cell>
          <cell r="J2857">
            <v>0</v>
          </cell>
          <cell r="K2857">
            <v>2506.6457804050001</v>
          </cell>
          <cell r="L2857">
            <v>0</v>
          </cell>
          <cell r="M2857">
            <v>0</v>
          </cell>
          <cell r="P2857">
            <v>0</v>
          </cell>
          <cell r="V2857" t="str">
            <v>Not Available</v>
          </cell>
        </row>
        <row r="2858">
          <cell r="A2858" t="str">
            <v>101201160003</v>
          </cell>
          <cell r="B2858" t="str">
            <v>DalsinghSarai</v>
          </cell>
          <cell r="C2858" t="str">
            <v>DalsinghSarai</v>
          </cell>
          <cell r="D2858" t="str">
            <v>GOMUKH DADHIYA RAMKRISHANPUR</v>
          </cell>
          <cell r="E2858">
            <v>10120116</v>
          </cell>
          <cell r="F2858" t="str">
            <v>0003</v>
          </cell>
          <cell r="G2858">
            <v>12</v>
          </cell>
          <cell r="H2858">
            <v>63.899999999999991</v>
          </cell>
          <cell r="I2858">
            <v>2249.7467679720003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P2858">
            <v>2250</v>
          </cell>
          <cell r="V2858" t="str">
            <v>Available</v>
          </cell>
        </row>
        <row r="2859">
          <cell r="A2859" t="str">
            <v>101201160004</v>
          </cell>
          <cell r="B2859" t="str">
            <v>DalsinghSarai</v>
          </cell>
          <cell r="C2859" t="str">
            <v>DalsinghSarai</v>
          </cell>
          <cell r="D2859" t="str">
            <v>GOMUKH DADHIYA RAMKRISHANPUR</v>
          </cell>
          <cell r="E2859">
            <v>10120116</v>
          </cell>
          <cell r="F2859" t="str">
            <v>0004</v>
          </cell>
          <cell r="G2859">
            <v>14</v>
          </cell>
          <cell r="H2859">
            <v>63.099999999999987</v>
          </cell>
          <cell r="I2859">
            <v>1951.9200019440004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P2859">
            <v>1952</v>
          </cell>
          <cell r="V2859" t="str">
            <v>Available</v>
          </cell>
        </row>
        <row r="2860">
          <cell r="A2860" t="str">
            <v>101201160007</v>
          </cell>
          <cell r="B2860" t="str">
            <v>DalsinghSarai</v>
          </cell>
          <cell r="C2860" t="str">
            <v>DalsinghSarai</v>
          </cell>
          <cell r="D2860" t="str">
            <v>GOMUKH DADHIYA RAMKRISHANPUR</v>
          </cell>
          <cell r="E2860">
            <v>10120116</v>
          </cell>
          <cell r="F2860" t="str">
            <v>0007</v>
          </cell>
          <cell r="G2860">
            <v>14</v>
          </cell>
          <cell r="H2860">
            <v>368.99999999999994</v>
          </cell>
          <cell r="I2860">
            <v>13861.6184718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P2860">
            <v>13862</v>
          </cell>
          <cell r="V2860" t="str">
            <v>Available</v>
          </cell>
        </row>
        <row r="2861">
          <cell r="A2861" t="str">
            <v>101201160009</v>
          </cell>
          <cell r="B2861" t="str">
            <v>DalsinghSarai</v>
          </cell>
          <cell r="C2861" t="str">
            <v>DalsinghSarai</v>
          </cell>
          <cell r="D2861" t="str">
            <v>GOMUKH DADHIYA RAMKRISHANPUR</v>
          </cell>
          <cell r="E2861">
            <v>10120116</v>
          </cell>
          <cell r="F2861" t="str">
            <v>0009</v>
          </cell>
          <cell r="G2861">
            <v>7</v>
          </cell>
          <cell r="H2861">
            <v>18.200000000000003</v>
          </cell>
          <cell r="I2861">
            <v>688.76971812000011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P2861">
            <v>689</v>
          </cell>
          <cell r="V2861" t="str">
            <v>Not Available</v>
          </cell>
        </row>
        <row r="2862">
          <cell r="A2862" t="str">
            <v>101201160010</v>
          </cell>
          <cell r="B2862" t="str">
            <v>DalsinghSarai</v>
          </cell>
          <cell r="C2862" t="str">
            <v>DalsinghSarai</v>
          </cell>
          <cell r="D2862" t="str">
            <v>GOMUKH DADHIYA RAMKRISHANPUR</v>
          </cell>
          <cell r="E2862">
            <v>10120116</v>
          </cell>
          <cell r="F2862" t="str">
            <v>0010</v>
          </cell>
          <cell r="G2862">
            <v>10</v>
          </cell>
          <cell r="H2862">
            <v>34.699999999999996</v>
          </cell>
          <cell r="I2862">
            <v>1818.7234565818003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P2862">
            <v>1819</v>
          </cell>
          <cell r="V2862" t="str">
            <v>Not Available</v>
          </cell>
        </row>
        <row r="2863">
          <cell r="A2863" t="str">
            <v>101201160011</v>
          </cell>
          <cell r="B2863" t="str">
            <v>DalsinghSarai</v>
          </cell>
          <cell r="C2863" t="str">
            <v>DalsinghSarai</v>
          </cell>
          <cell r="D2863" t="str">
            <v>GOMUKH DADHIYA RAMKRISHANPUR</v>
          </cell>
          <cell r="E2863">
            <v>10120116</v>
          </cell>
          <cell r="F2863" t="str">
            <v>0011</v>
          </cell>
          <cell r="G2863">
            <v>14</v>
          </cell>
          <cell r="H2863">
            <v>144.4</v>
          </cell>
          <cell r="I2863">
            <v>5044.5632623319998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P2863">
            <v>5045</v>
          </cell>
          <cell r="V2863" t="str">
            <v>Not Available</v>
          </cell>
        </row>
        <row r="2864">
          <cell r="A2864" t="str">
            <v>101201160013</v>
          </cell>
          <cell r="B2864" t="str">
            <v>DalsinghSarai</v>
          </cell>
          <cell r="C2864" t="str">
            <v>DalsinghSarai</v>
          </cell>
          <cell r="D2864" t="str">
            <v>GOMUKH DADHIYA RAMKRISHANPUR</v>
          </cell>
          <cell r="E2864">
            <v>10120116</v>
          </cell>
          <cell r="F2864" t="str">
            <v>0013</v>
          </cell>
          <cell r="G2864">
            <v>14</v>
          </cell>
          <cell r="H2864">
            <v>54.2</v>
          </cell>
          <cell r="I2864">
            <v>1862.3884249080002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P2864">
            <v>1862</v>
          </cell>
          <cell r="V2864" t="str">
            <v>Not Available</v>
          </cell>
        </row>
        <row r="2865">
          <cell r="A2865" t="str">
            <v>101201160014</v>
          </cell>
          <cell r="B2865" t="str">
            <v>DalsinghSarai</v>
          </cell>
          <cell r="C2865" t="str">
            <v>DalsinghSarai</v>
          </cell>
          <cell r="D2865" t="str">
            <v>GOMUKH DADHIYA RAMKRISHANPUR</v>
          </cell>
          <cell r="E2865">
            <v>10120116</v>
          </cell>
          <cell r="F2865" t="str">
            <v>0014</v>
          </cell>
          <cell r="G2865">
            <v>14</v>
          </cell>
          <cell r="H2865">
            <v>73.5</v>
          </cell>
          <cell r="I2865">
            <v>4001.2767728884005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P2865">
            <v>4001</v>
          </cell>
          <cell r="V2865" t="str">
            <v>Not Available</v>
          </cell>
        </row>
        <row r="2866">
          <cell r="A2866" t="str">
            <v>101201160015</v>
          </cell>
          <cell r="B2866" t="str">
            <v>DalsinghSarai</v>
          </cell>
          <cell r="C2866" t="str">
            <v>DalsinghSarai</v>
          </cell>
          <cell r="D2866" t="str">
            <v>GOMUKH DADHIYA RAMKRISHANPUR</v>
          </cell>
          <cell r="E2866">
            <v>10120116</v>
          </cell>
          <cell r="F2866" t="str">
            <v>0015</v>
          </cell>
          <cell r="G2866">
            <v>11</v>
          </cell>
          <cell r="H2866">
            <v>22.6</v>
          </cell>
          <cell r="I2866">
            <v>882.07350125400012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P2866">
            <v>882</v>
          </cell>
          <cell r="V2866" t="str">
            <v>Not Available</v>
          </cell>
        </row>
        <row r="2867">
          <cell r="A2867" t="str">
            <v>101201160016</v>
          </cell>
          <cell r="B2867" t="str">
            <v>DalsinghSarai</v>
          </cell>
          <cell r="C2867" t="str">
            <v>DalsinghSarai</v>
          </cell>
          <cell r="D2867" t="str">
            <v>GOMUKH DADHIYA RAMKRISHANPUR</v>
          </cell>
          <cell r="E2867">
            <v>10120116</v>
          </cell>
          <cell r="F2867" t="str">
            <v>0016</v>
          </cell>
          <cell r="G2867">
            <v>14</v>
          </cell>
          <cell r="H2867">
            <v>118.60000000000001</v>
          </cell>
          <cell r="I2867">
            <v>4157.2697007600009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P2867">
            <v>4157</v>
          </cell>
          <cell r="V2867" t="str">
            <v>Not Available</v>
          </cell>
        </row>
        <row r="2868">
          <cell r="A2868" t="str">
            <v>101201160017</v>
          </cell>
          <cell r="B2868" t="str">
            <v>DalsinghSarai</v>
          </cell>
          <cell r="C2868" t="str">
            <v>DalsinghSarai</v>
          </cell>
          <cell r="D2868" t="str">
            <v>GOMUKH DADHIYA RAMKRISHANPUR</v>
          </cell>
          <cell r="E2868">
            <v>10120116</v>
          </cell>
          <cell r="F2868" t="str">
            <v>0017</v>
          </cell>
          <cell r="G2868">
            <v>14</v>
          </cell>
          <cell r="H2868">
            <v>93.100000000000009</v>
          </cell>
          <cell r="I2868">
            <v>3199.8229350119996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P2868">
            <v>3200</v>
          </cell>
          <cell r="V2868" t="str">
            <v>Not Available</v>
          </cell>
        </row>
        <row r="2869">
          <cell r="A2869" t="str">
            <v>101201160019</v>
          </cell>
          <cell r="B2869" t="str">
            <v>DalsinghSarai</v>
          </cell>
          <cell r="C2869" t="str">
            <v>DalsinghSarai</v>
          </cell>
          <cell r="D2869" t="str">
            <v>GOMUKH DADHIYA RAMKRISHANPUR</v>
          </cell>
          <cell r="E2869">
            <v>10120116</v>
          </cell>
          <cell r="F2869" t="str">
            <v>0019</v>
          </cell>
          <cell r="G2869">
            <v>12</v>
          </cell>
          <cell r="H2869">
            <v>34.5</v>
          </cell>
          <cell r="I2869">
            <v>1813.3338723737002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P2869">
            <v>1813</v>
          </cell>
          <cell r="V2869" t="str">
            <v>Not Available</v>
          </cell>
        </row>
        <row r="2870">
          <cell r="A2870" t="str">
            <v>101201160020</v>
          </cell>
          <cell r="B2870" t="str">
            <v>DalsinghSarai</v>
          </cell>
          <cell r="C2870" t="str">
            <v>DalsinghSarai</v>
          </cell>
          <cell r="D2870" t="str">
            <v>GOMUKH DADHIYA RAMKRISHANPUR</v>
          </cell>
          <cell r="E2870">
            <v>10120116</v>
          </cell>
          <cell r="F2870" t="str">
            <v>0020</v>
          </cell>
          <cell r="G2870">
            <v>14</v>
          </cell>
          <cell r="H2870">
            <v>42.800000000000011</v>
          </cell>
          <cell r="I2870">
            <v>1517.8828947480001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P2870">
            <v>1518</v>
          </cell>
          <cell r="V2870" t="str">
            <v>Not Available</v>
          </cell>
        </row>
        <row r="2871">
          <cell r="A2871" t="str">
            <v>101201160021</v>
          </cell>
          <cell r="B2871" t="str">
            <v>DalsinghSarai</v>
          </cell>
          <cell r="C2871" t="str">
            <v>DalsinghSarai</v>
          </cell>
          <cell r="D2871" t="str">
            <v>GOMUKH DADHIYA RAMKRISHANPUR</v>
          </cell>
          <cell r="E2871">
            <v>10120116</v>
          </cell>
          <cell r="F2871" t="str">
            <v>0021</v>
          </cell>
          <cell r="G2871">
            <v>14</v>
          </cell>
          <cell r="H2871">
            <v>80.90000000000002</v>
          </cell>
          <cell r="I2871">
            <v>3045.9767184000007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P2871">
            <v>3046</v>
          </cell>
          <cell r="V2871" t="str">
            <v>Not Available</v>
          </cell>
        </row>
        <row r="2872">
          <cell r="A2872" t="str">
            <v>101201160023</v>
          </cell>
          <cell r="B2872" t="str">
            <v>DalsinghSarai</v>
          </cell>
          <cell r="C2872" t="str">
            <v>DalsinghSarai</v>
          </cell>
          <cell r="D2872" t="str">
            <v>GOMUKH DADHIYA RAMKRISHANPUR</v>
          </cell>
          <cell r="E2872">
            <v>10120116</v>
          </cell>
          <cell r="F2872" t="str">
            <v>0023</v>
          </cell>
          <cell r="G2872">
            <v>12</v>
          </cell>
          <cell r="H2872">
            <v>36.700000000000003</v>
          </cell>
          <cell r="I2872">
            <v>1463.7586106880001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P2872">
            <v>1464</v>
          </cell>
          <cell r="V2872" t="str">
            <v>Not Available</v>
          </cell>
        </row>
        <row r="2873">
          <cell r="A2873" t="str">
            <v>101201160025</v>
          </cell>
          <cell r="B2873" t="str">
            <v>DalsinghSarai</v>
          </cell>
          <cell r="C2873" t="str">
            <v>DalsinghSarai</v>
          </cell>
          <cell r="D2873" t="str">
            <v>GOMUKH DADHIYA RAMKRISHANPUR</v>
          </cell>
          <cell r="E2873">
            <v>10120116</v>
          </cell>
          <cell r="F2873" t="str">
            <v>0025</v>
          </cell>
          <cell r="G2873">
            <v>14</v>
          </cell>
          <cell r="H2873">
            <v>38.299999999999997</v>
          </cell>
          <cell r="I2873">
            <v>1382.5182492000001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P2873">
            <v>1383</v>
          </cell>
          <cell r="V2873" t="str">
            <v>Not Available</v>
          </cell>
        </row>
        <row r="2874">
          <cell r="A2874" t="str">
            <v>101201160026</v>
          </cell>
          <cell r="B2874" t="str">
            <v>DalsinghSarai</v>
          </cell>
          <cell r="C2874" t="str">
            <v>DalsinghSarai</v>
          </cell>
          <cell r="D2874" t="str">
            <v>GOMUKH DADHIYA RAMKRISHANPUR</v>
          </cell>
          <cell r="E2874">
            <v>10120116</v>
          </cell>
          <cell r="F2874" t="str">
            <v>0026</v>
          </cell>
          <cell r="G2874">
            <v>11</v>
          </cell>
          <cell r="H2874">
            <v>25.7</v>
          </cell>
          <cell r="I2874">
            <v>944.54856552000024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P2874">
            <v>945</v>
          </cell>
          <cell r="V2874" t="str">
            <v>Not Available</v>
          </cell>
        </row>
        <row r="2875">
          <cell r="A2875" t="str">
            <v>101201160027</v>
          </cell>
          <cell r="B2875" t="str">
            <v>DalsinghSarai</v>
          </cell>
          <cell r="C2875" t="str">
            <v>DalsinghSarai</v>
          </cell>
          <cell r="D2875" t="str">
            <v>GOMUKH DADHIYA RAMKRISHANPUR</v>
          </cell>
          <cell r="E2875">
            <v>10120116</v>
          </cell>
          <cell r="F2875" t="str">
            <v>0027</v>
          </cell>
          <cell r="G2875">
            <v>7</v>
          </cell>
          <cell r="H2875">
            <v>23.9</v>
          </cell>
          <cell r="I2875">
            <v>1045.8565966200003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P2875">
            <v>1046</v>
          </cell>
          <cell r="V2875" t="str">
            <v>Not Available</v>
          </cell>
        </row>
        <row r="2876">
          <cell r="A2876" t="str">
            <v>101201160029</v>
          </cell>
          <cell r="B2876" t="str">
            <v>DalsinghSarai</v>
          </cell>
          <cell r="C2876" t="str">
            <v>DalsinghSarai</v>
          </cell>
          <cell r="D2876" t="str">
            <v>GOMUKH DADHIYA RAMKRISHANPUR</v>
          </cell>
          <cell r="E2876">
            <v>10120116</v>
          </cell>
          <cell r="F2876" t="str">
            <v>0029</v>
          </cell>
          <cell r="G2876">
            <v>13</v>
          </cell>
          <cell r="H2876">
            <v>36.700000000000003</v>
          </cell>
          <cell r="I2876">
            <v>1519.2420804000003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P2876">
            <v>1519</v>
          </cell>
          <cell r="V2876" t="str">
            <v>Not Available</v>
          </cell>
        </row>
        <row r="2877">
          <cell r="A2877" t="str">
            <v>101201160030</v>
          </cell>
          <cell r="B2877" t="str">
            <v>DalsinghSarai</v>
          </cell>
          <cell r="C2877" t="str">
            <v>DalsinghSarai</v>
          </cell>
          <cell r="D2877" t="str">
            <v>GOMUKH DADHIYA RAMKRISHANPUR</v>
          </cell>
          <cell r="E2877">
            <v>10120116</v>
          </cell>
          <cell r="F2877" t="str">
            <v>0030</v>
          </cell>
          <cell r="G2877">
            <v>5</v>
          </cell>
          <cell r="H2877">
            <v>10.9</v>
          </cell>
          <cell r="I2877">
            <v>424.76150772000005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P2877">
            <v>425</v>
          </cell>
          <cell r="V2877" t="str">
            <v>Not Available</v>
          </cell>
        </row>
        <row r="2878">
          <cell r="A2878" t="str">
            <v>101201160032</v>
          </cell>
          <cell r="B2878" t="str">
            <v>DalsinghSarai</v>
          </cell>
          <cell r="C2878" t="str">
            <v>DalsinghSarai</v>
          </cell>
          <cell r="D2878" t="str">
            <v>GOMUKH DADHIYA RAMKRISHANPUR</v>
          </cell>
          <cell r="E2878">
            <v>10120116</v>
          </cell>
          <cell r="F2878" t="str">
            <v>0032</v>
          </cell>
          <cell r="G2878">
            <v>13</v>
          </cell>
          <cell r="H2878">
            <v>101.8</v>
          </cell>
          <cell r="I2878">
            <v>3804.8931478800009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P2878">
            <v>3805</v>
          </cell>
          <cell r="V2878" t="str">
            <v>Not Available</v>
          </cell>
        </row>
        <row r="2879">
          <cell r="A2879" t="str">
            <v>101201160033</v>
          </cell>
          <cell r="B2879" t="str">
            <v>DalsinghSarai</v>
          </cell>
          <cell r="C2879" t="str">
            <v>DalsinghSarai</v>
          </cell>
          <cell r="D2879" t="str">
            <v>GOMUKH DADHIYA RAMKRISHANPUR</v>
          </cell>
          <cell r="E2879">
            <v>10120116</v>
          </cell>
          <cell r="F2879" t="str">
            <v>0033</v>
          </cell>
          <cell r="G2879">
            <v>3</v>
          </cell>
          <cell r="H2879">
            <v>19.3</v>
          </cell>
          <cell r="I2879">
            <v>734.47485705000008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P2879">
            <v>734</v>
          </cell>
          <cell r="V2879" t="str">
            <v>Not Available</v>
          </cell>
        </row>
        <row r="2880">
          <cell r="A2880" t="str">
            <v>101201160034</v>
          </cell>
          <cell r="B2880" t="str">
            <v>DalsinghSarai</v>
          </cell>
          <cell r="C2880" t="str">
            <v>DalsinghSarai</v>
          </cell>
          <cell r="D2880" t="str">
            <v>GOMUKH DADHIYA RAMKRISHANPUR</v>
          </cell>
          <cell r="E2880">
            <v>10120116</v>
          </cell>
          <cell r="F2880" t="str">
            <v>0034</v>
          </cell>
          <cell r="G2880">
            <v>6</v>
          </cell>
          <cell r="H2880">
            <v>5.4</v>
          </cell>
          <cell r="I2880">
            <v>301.72762675330006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P2880">
            <v>302</v>
          </cell>
          <cell r="V2880" t="str">
            <v>Not Available</v>
          </cell>
        </row>
        <row r="2881">
          <cell r="A2881" t="str">
            <v>101201160035</v>
          </cell>
          <cell r="B2881" t="str">
            <v>DalsinghSarai</v>
          </cell>
          <cell r="C2881" t="str">
            <v>DalsinghSarai</v>
          </cell>
          <cell r="D2881" t="str">
            <v>GOMUKH DADHIYA RAMKRISHANPUR</v>
          </cell>
          <cell r="E2881">
            <v>10120116</v>
          </cell>
          <cell r="F2881" t="str">
            <v>0035</v>
          </cell>
          <cell r="G2881">
            <v>13</v>
          </cell>
          <cell r="H2881">
            <v>20.399999999999999</v>
          </cell>
          <cell r="I2881">
            <v>739.79013240000018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P2881">
            <v>740</v>
          </cell>
          <cell r="V2881" t="str">
            <v>Not Available</v>
          </cell>
        </row>
        <row r="2882">
          <cell r="A2882" t="str">
            <v>101201160036</v>
          </cell>
          <cell r="B2882" t="str">
            <v>DalsinghSarai</v>
          </cell>
          <cell r="C2882" t="str">
            <v>DalsinghSarai</v>
          </cell>
          <cell r="D2882" t="str">
            <v>GOMUKH DADHIYA RAMKRISHANPUR</v>
          </cell>
          <cell r="E2882">
            <v>10120116</v>
          </cell>
          <cell r="F2882" t="str">
            <v>0036</v>
          </cell>
          <cell r="G2882">
            <v>12</v>
          </cell>
          <cell r="H2882">
            <v>45.79999999999999</v>
          </cell>
          <cell r="I2882">
            <v>1687.4852544000003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P2882">
            <v>1687</v>
          </cell>
          <cell r="V2882" t="str">
            <v>Not Available</v>
          </cell>
        </row>
        <row r="2883">
          <cell r="A2883" t="str">
            <v>101201160037</v>
          </cell>
          <cell r="B2883" t="str">
            <v>DalsinghSarai</v>
          </cell>
          <cell r="C2883" t="str">
            <v>DalsinghSarai</v>
          </cell>
          <cell r="D2883" t="str">
            <v>GOMUKH DADHIYA RAMKRISHANPUR</v>
          </cell>
          <cell r="E2883">
            <v>10120116</v>
          </cell>
          <cell r="F2883" t="str">
            <v>0037</v>
          </cell>
          <cell r="G2883">
            <v>14</v>
          </cell>
          <cell r="H2883">
            <v>93.1</v>
          </cell>
          <cell r="I2883">
            <v>6458.3055373630013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P2883">
            <v>6458</v>
          </cell>
          <cell r="V2883" t="str">
            <v>Not Available</v>
          </cell>
        </row>
        <row r="2884">
          <cell r="A2884" t="str">
            <v>101201160038</v>
          </cell>
          <cell r="B2884" t="str">
            <v>DalsinghSarai</v>
          </cell>
          <cell r="C2884" t="str">
            <v>DalsinghSarai</v>
          </cell>
          <cell r="D2884" t="str">
            <v>GOMUKH DADHIYA RAMKRISHANPUR</v>
          </cell>
          <cell r="E2884">
            <v>10120116</v>
          </cell>
          <cell r="F2884" t="str">
            <v>0038</v>
          </cell>
          <cell r="G2884">
            <v>12</v>
          </cell>
          <cell r="H2884">
            <v>19.900000000000002</v>
          </cell>
          <cell r="I2884">
            <v>647.53746452999997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P2884">
            <v>648</v>
          </cell>
          <cell r="V2884" t="str">
            <v>Not Available</v>
          </cell>
        </row>
        <row r="2885">
          <cell r="A2885" t="str">
            <v>101201200002</v>
          </cell>
          <cell r="B2885" t="str">
            <v>DalsinghSarai</v>
          </cell>
          <cell r="C2885" t="str">
            <v>DalsinghSarai</v>
          </cell>
          <cell r="D2885" t="str">
            <v>GOMUKH BALTHARA</v>
          </cell>
          <cell r="E2885">
            <v>10120120</v>
          </cell>
          <cell r="F2885" t="str">
            <v>0002</v>
          </cell>
          <cell r="G2885">
            <v>14</v>
          </cell>
          <cell r="H2885">
            <v>84.710000000000008</v>
          </cell>
          <cell r="I2885">
            <v>3326.5204850078899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P2885">
            <v>3327</v>
          </cell>
          <cell r="V2885" t="str">
            <v>Available</v>
          </cell>
        </row>
        <row r="2886">
          <cell r="A2886" t="str">
            <v>101201200003</v>
          </cell>
          <cell r="B2886" t="str">
            <v>DalsinghSarai</v>
          </cell>
          <cell r="C2886" t="str">
            <v>DalsinghSarai</v>
          </cell>
          <cell r="D2886" t="str">
            <v>GOMUKH BALTHARA</v>
          </cell>
          <cell r="E2886">
            <v>10120120</v>
          </cell>
          <cell r="F2886" t="str">
            <v>0003</v>
          </cell>
          <cell r="G2886">
            <v>2</v>
          </cell>
          <cell r="H2886">
            <v>6.1400000000000006</v>
          </cell>
          <cell r="I2886">
            <v>228.76146810000006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P2886">
            <v>229</v>
          </cell>
          <cell r="V2886" t="str">
            <v>Not Available</v>
          </cell>
        </row>
        <row r="2887">
          <cell r="A2887" t="str">
            <v>101201200004</v>
          </cell>
          <cell r="B2887" t="str">
            <v>DalsinghSarai</v>
          </cell>
          <cell r="C2887" t="str">
            <v>DalsinghSarai</v>
          </cell>
          <cell r="D2887" t="str">
            <v>GOMUKH BALTHARA</v>
          </cell>
          <cell r="E2887">
            <v>10120120</v>
          </cell>
          <cell r="F2887" t="str">
            <v>0004</v>
          </cell>
          <cell r="G2887">
            <v>9</v>
          </cell>
          <cell r="H2887">
            <v>31.58</v>
          </cell>
          <cell r="I2887">
            <v>1211.8905944838002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P2887">
            <v>1212</v>
          </cell>
          <cell r="V2887" t="str">
            <v>Not Available</v>
          </cell>
        </row>
        <row r="2888">
          <cell r="A2888" t="str">
            <v>101201200005</v>
          </cell>
          <cell r="B2888" t="str">
            <v>DalsinghSarai</v>
          </cell>
          <cell r="C2888" t="str">
            <v>DalsinghSarai</v>
          </cell>
          <cell r="D2888" t="str">
            <v>GOMUKH BALTHARA</v>
          </cell>
          <cell r="E2888">
            <v>10120120</v>
          </cell>
          <cell r="F2888" t="str">
            <v>0005</v>
          </cell>
          <cell r="G2888">
            <v>7</v>
          </cell>
          <cell r="H2888">
            <v>18.010000000000002</v>
          </cell>
          <cell r="I2888">
            <v>692.46709408800007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P2888">
            <v>692</v>
          </cell>
          <cell r="V2888" t="str">
            <v>Not Available</v>
          </cell>
        </row>
        <row r="2889">
          <cell r="A2889" t="str">
            <v>101201200006</v>
          </cell>
          <cell r="B2889" t="str">
            <v>DalsinghSarai</v>
          </cell>
          <cell r="C2889" t="str">
            <v>DalsinghSarai</v>
          </cell>
          <cell r="D2889" t="str">
            <v>GOMUKH BALTHARA</v>
          </cell>
          <cell r="E2889">
            <v>10120120</v>
          </cell>
          <cell r="F2889" t="str">
            <v>0006</v>
          </cell>
          <cell r="G2889">
            <v>13</v>
          </cell>
          <cell r="H2889">
            <v>47.78</v>
          </cell>
          <cell r="I2889">
            <v>2163.45362839154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P2889">
            <v>2163</v>
          </cell>
          <cell r="V2889" t="str">
            <v>Not Available</v>
          </cell>
        </row>
        <row r="2890">
          <cell r="A2890" t="str">
            <v>101201200007</v>
          </cell>
          <cell r="B2890" t="str">
            <v>DalsinghSarai</v>
          </cell>
          <cell r="C2890" t="str">
            <v>DalsinghSarai</v>
          </cell>
          <cell r="D2890" t="str">
            <v>GOMUKH BALTHARA</v>
          </cell>
          <cell r="E2890">
            <v>10120120</v>
          </cell>
          <cell r="F2890" t="str">
            <v>0007</v>
          </cell>
          <cell r="G2890">
            <v>12</v>
          </cell>
          <cell r="H2890">
            <v>39.43</v>
          </cell>
          <cell r="I2890">
            <v>1300.5938321640001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P2890">
            <v>1301</v>
          </cell>
          <cell r="V2890" t="str">
            <v>Not Available</v>
          </cell>
        </row>
        <row r="2891">
          <cell r="A2891" t="str">
            <v>101201200008</v>
          </cell>
          <cell r="B2891" t="str">
            <v>DalsinghSarai</v>
          </cell>
          <cell r="C2891" t="str">
            <v>DalsinghSarai</v>
          </cell>
          <cell r="D2891" t="str">
            <v>GOMUKH BALTHARA</v>
          </cell>
          <cell r="E2891">
            <v>10120120</v>
          </cell>
          <cell r="F2891" t="str">
            <v>0008</v>
          </cell>
          <cell r="G2891">
            <v>13</v>
          </cell>
          <cell r="H2891">
            <v>45.92</v>
          </cell>
          <cell r="I2891">
            <v>1637.7334430292001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P2891">
            <v>1638</v>
          </cell>
          <cell r="V2891" t="str">
            <v>Not Available</v>
          </cell>
        </row>
        <row r="2892">
          <cell r="A2892" t="str">
            <v>101201220002</v>
          </cell>
          <cell r="B2892" t="str">
            <v>DalsinghSarai</v>
          </cell>
          <cell r="C2892" t="str">
            <v>DalsinghSarai</v>
          </cell>
          <cell r="D2892" t="str">
            <v>GOMUKH BHASINGPUR</v>
          </cell>
          <cell r="E2892">
            <v>10120122</v>
          </cell>
          <cell r="F2892" t="str">
            <v>0002</v>
          </cell>
          <cell r="G2892">
            <v>8</v>
          </cell>
          <cell r="H2892">
            <v>27.550000000000004</v>
          </cell>
          <cell r="I2892">
            <v>1101.9979765509001</v>
          </cell>
          <cell r="J2892">
            <v>0</v>
          </cell>
          <cell r="K2892">
            <v>0</v>
          </cell>
          <cell r="L2892">
            <v>1102</v>
          </cell>
          <cell r="M2892">
            <v>0</v>
          </cell>
          <cell r="P2892">
            <v>0</v>
          </cell>
          <cell r="V2892" t="str">
            <v>Available</v>
          </cell>
        </row>
        <row r="2893">
          <cell r="A2893" t="str">
            <v>101201220006</v>
          </cell>
          <cell r="B2893" t="str">
            <v>DalsinghSarai</v>
          </cell>
          <cell r="C2893" t="str">
            <v>DalsinghSarai</v>
          </cell>
          <cell r="D2893" t="str">
            <v>GOMUKH BHASINGPUR</v>
          </cell>
          <cell r="E2893">
            <v>10120122</v>
          </cell>
          <cell r="F2893" t="str">
            <v>0006</v>
          </cell>
          <cell r="G2893">
            <v>11</v>
          </cell>
          <cell r="H2893">
            <v>190.21</v>
          </cell>
          <cell r="I2893">
            <v>9278.997545038972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P2893">
            <v>9279</v>
          </cell>
          <cell r="V2893" t="str">
            <v>Available</v>
          </cell>
        </row>
        <row r="2894">
          <cell r="A2894" t="str">
            <v>101201220008</v>
          </cell>
          <cell r="B2894" t="str">
            <v>DalsinghSarai</v>
          </cell>
          <cell r="C2894" t="str">
            <v>DalsinghSarai</v>
          </cell>
          <cell r="D2894" t="str">
            <v>GOMUKH BHASINGPUR</v>
          </cell>
          <cell r="E2894">
            <v>10120122</v>
          </cell>
          <cell r="F2894" t="str">
            <v>0008</v>
          </cell>
          <cell r="G2894">
            <v>13</v>
          </cell>
          <cell r="H2894">
            <v>88.38</v>
          </cell>
          <cell r="I2894">
            <v>3482.5189471290009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P2894">
            <v>3483</v>
          </cell>
          <cell r="V2894" t="str">
            <v>Not Available</v>
          </cell>
        </row>
        <row r="2895">
          <cell r="A2895" t="str">
            <v>101201220009</v>
          </cell>
          <cell r="B2895" t="str">
            <v>DalsinghSarai</v>
          </cell>
          <cell r="C2895" t="str">
            <v>DalsinghSarai</v>
          </cell>
          <cell r="D2895" t="str">
            <v>GOMUKH BHASINGPUR</v>
          </cell>
          <cell r="E2895">
            <v>10120122</v>
          </cell>
          <cell r="F2895" t="str">
            <v>0009</v>
          </cell>
          <cell r="G2895">
            <v>12</v>
          </cell>
          <cell r="H2895">
            <v>97.120000000000019</v>
          </cell>
          <cell r="I2895">
            <v>3714.168038625</v>
          </cell>
          <cell r="J2895">
            <v>0</v>
          </cell>
          <cell r="K2895">
            <v>0</v>
          </cell>
          <cell r="L2895">
            <v>3000</v>
          </cell>
          <cell r="M2895">
            <v>0</v>
          </cell>
          <cell r="P2895">
            <v>714</v>
          </cell>
          <cell r="V2895" t="str">
            <v>Not Available</v>
          </cell>
        </row>
        <row r="2896">
          <cell r="A2896" t="str">
            <v>101201220010</v>
          </cell>
          <cell r="B2896" t="str">
            <v>DalsinghSarai</v>
          </cell>
          <cell r="C2896" t="str">
            <v>DalsinghSarai</v>
          </cell>
          <cell r="D2896" t="str">
            <v>GOMUKH BHASINGPUR</v>
          </cell>
          <cell r="E2896">
            <v>10120122</v>
          </cell>
          <cell r="F2896" t="str">
            <v>0010</v>
          </cell>
          <cell r="G2896">
            <v>13</v>
          </cell>
          <cell r="H2896">
            <v>47.36</v>
          </cell>
          <cell r="I2896">
            <v>2081.8065559433403</v>
          </cell>
          <cell r="J2896">
            <v>0</v>
          </cell>
          <cell r="K2896">
            <v>0</v>
          </cell>
          <cell r="L2896">
            <v>2001</v>
          </cell>
          <cell r="M2896">
            <v>0</v>
          </cell>
          <cell r="P2896">
            <v>1</v>
          </cell>
          <cell r="V2896" t="str">
            <v>Not Available</v>
          </cell>
        </row>
        <row r="2897">
          <cell r="A2897" t="str">
            <v>101201220011</v>
          </cell>
          <cell r="B2897" t="str">
            <v>DalsinghSarai</v>
          </cell>
          <cell r="C2897" t="str">
            <v>DalsinghSarai</v>
          </cell>
          <cell r="D2897" t="str">
            <v>GOMUKH BHASINGPUR</v>
          </cell>
          <cell r="E2897">
            <v>10120122</v>
          </cell>
          <cell r="F2897" t="str">
            <v>0011</v>
          </cell>
          <cell r="G2897">
            <v>12</v>
          </cell>
          <cell r="H2897">
            <v>68.39</v>
          </cell>
          <cell r="I2897">
            <v>3127.2696988045705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P2897">
            <v>3127</v>
          </cell>
          <cell r="V2897" t="str">
            <v>Not Available</v>
          </cell>
        </row>
        <row r="2898">
          <cell r="A2898" t="str">
            <v>101201220012</v>
          </cell>
          <cell r="B2898" t="str">
            <v>DalsinghSarai</v>
          </cell>
          <cell r="C2898" t="str">
            <v>DalsinghSarai</v>
          </cell>
          <cell r="D2898" t="str">
            <v>GOMUKH BHASINGPUR</v>
          </cell>
          <cell r="E2898">
            <v>10120122</v>
          </cell>
          <cell r="F2898" t="str">
            <v>0012</v>
          </cell>
          <cell r="G2898">
            <v>12</v>
          </cell>
          <cell r="H2898">
            <v>50.610000000000007</v>
          </cell>
          <cell r="I2898">
            <v>2407.2644063708603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P2898">
            <v>2407</v>
          </cell>
          <cell r="V2898" t="str">
            <v>Not Available</v>
          </cell>
        </row>
        <row r="2899">
          <cell r="A2899" t="str">
            <v>101201220013</v>
          </cell>
          <cell r="B2899" t="str">
            <v>DalsinghSarai</v>
          </cell>
          <cell r="C2899" t="str">
            <v>DalsinghSarai</v>
          </cell>
          <cell r="D2899" t="str">
            <v>GOMUKH BHASINGPUR</v>
          </cell>
          <cell r="E2899">
            <v>10120122</v>
          </cell>
          <cell r="F2899" t="str">
            <v>0013</v>
          </cell>
          <cell r="G2899">
            <v>11</v>
          </cell>
          <cell r="H2899">
            <v>59.53</v>
          </cell>
          <cell r="I2899">
            <v>2333.8395651940609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P2899">
            <v>2334</v>
          </cell>
          <cell r="V2899" t="str">
            <v>Not Available</v>
          </cell>
        </row>
        <row r="2900">
          <cell r="A2900" t="str">
            <v>101201220014</v>
          </cell>
          <cell r="B2900" t="str">
            <v>DalsinghSarai</v>
          </cell>
          <cell r="C2900" t="str">
            <v>DalsinghSarai</v>
          </cell>
          <cell r="D2900" t="str">
            <v>GOMUKH BHASINGPUR</v>
          </cell>
          <cell r="E2900">
            <v>10120122</v>
          </cell>
          <cell r="F2900" t="str">
            <v>0014</v>
          </cell>
          <cell r="G2900">
            <v>14</v>
          </cell>
          <cell r="H2900">
            <v>58.44</v>
          </cell>
          <cell r="I2900">
            <v>2594.5689316486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P2900">
            <v>2595</v>
          </cell>
          <cell r="V2900" t="str">
            <v>Not Available</v>
          </cell>
        </row>
        <row r="2901">
          <cell r="A2901" t="str">
            <v>101201220016</v>
          </cell>
          <cell r="B2901" t="str">
            <v>DalsinghSarai</v>
          </cell>
          <cell r="C2901" t="str">
            <v>DalsinghSarai</v>
          </cell>
          <cell r="D2901" t="str">
            <v>GOMUKH BHASINGPUR</v>
          </cell>
          <cell r="E2901">
            <v>10120122</v>
          </cell>
          <cell r="F2901" t="str">
            <v>0016</v>
          </cell>
          <cell r="G2901">
            <v>12</v>
          </cell>
          <cell r="H2901">
            <v>87.48</v>
          </cell>
          <cell r="I2901">
            <v>3218.4887094756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P2901">
            <v>3218</v>
          </cell>
          <cell r="V2901" t="str">
            <v>Not Available</v>
          </cell>
        </row>
        <row r="2902">
          <cell r="A2902" t="str">
            <v>101201220017</v>
          </cell>
          <cell r="B2902" t="str">
            <v>DalsinghSarai</v>
          </cell>
          <cell r="C2902" t="str">
            <v>DalsinghSarai</v>
          </cell>
          <cell r="D2902" t="str">
            <v>GOMUKH BHASINGPUR</v>
          </cell>
          <cell r="E2902">
            <v>10120122</v>
          </cell>
          <cell r="F2902" t="str">
            <v>0017</v>
          </cell>
          <cell r="G2902">
            <v>12</v>
          </cell>
          <cell r="H2902">
            <v>82</v>
          </cell>
          <cell r="I2902">
            <v>3577.9067125320007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P2902">
            <v>3578</v>
          </cell>
          <cell r="V2902" t="str">
            <v>Not Available</v>
          </cell>
        </row>
        <row r="2903">
          <cell r="A2903" t="str">
            <v>101201220018</v>
          </cell>
          <cell r="B2903" t="str">
            <v>DalsinghSarai</v>
          </cell>
          <cell r="C2903" t="str">
            <v>DalsinghSarai</v>
          </cell>
          <cell r="D2903" t="str">
            <v>GOMUKH BHASINGPUR</v>
          </cell>
          <cell r="E2903">
            <v>10120122</v>
          </cell>
          <cell r="F2903" t="str">
            <v>0018</v>
          </cell>
          <cell r="G2903">
            <v>14</v>
          </cell>
          <cell r="H2903">
            <v>177.75000000000003</v>
          </cell>
          <cell r="I2903">
            <v>7686.7444750622017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P2903">
            <v>7687</v>
          </cell>
          <cell r="V2903" t="str">
            <v>Not Available</v>
          </cell>
        </row>
        <row r="2904">
          <cell r="A2904" t="str">
            <v>101201230001</v>
          </cell>
          <cell r="B2904" t="str">
            <v>DalsinghSarai</v>
          </cell>
          <cell r="C2904" t="str">
            <v>DalsinghSarai</v>
          </cell>
          <cell r="D2904" t="str">
            <v>GOMUKH Chakhale Dad</v>
          </cell>
          <cell r="E2904">
            <v>10120123</v>
          </cell>
          <cell r="F2904" t="str">
            <v>0001</v>
          </cell>
          <cell r="G2904">
            <v>14</v>
          </cell>
          <cell r="H2904">
            <v>2.76</v>
          </cell>
          <cell r="I2904">
            <v>104.53830344100001</v>
          </cell>
          <cell r="J2904">
            <v>0</v>
          </cell>
          <cell r="K2904">
            <v>104.53830344100001</v>
          </cell>
          <cell r="L2904">
            <v>0</v>
          </cell>
          <cell r="M2904">
            <v>0</v>
          </cell>
          <cell r="P2904">
            <v>0</v>
          </cell>
          <cell r="V2904" t="str">
            <v>Not Available</v>
          </cell>
        </row>
        <row r="2905">
          <cell r="A2905" t="str">
            <v>101201230002</v>
          </cell>
          <cell r="B2905" t="str">
            <v>DalsinghSarai</v>
          </cell>
          <cell r="C2905" t="str">
            <v>DalsinghSarai</v>
          </cell>
          <cell r="D2905" t="str">
            <v>GOMUKH Chakhale Dad</v>
          </cell>
          <cell r="E2905">
            <v>10120123</v>
          </cell>
          <cell r="F2905" t="str">
            <v>0002</v>
          </cell>
          <cell r="G2905">
            <v>14</v>
          </cell>
          <cell r="H2905">
            <v>210.75000000000006</v>
          </cell>
          <cell r="I2905">
            <v>8078.9312915203982</v>
          </cell>
          <cell r="J2905">
            <v>0</v>
          </cell>
          <cell r="K2905">
            <v>0</v>
          </cell>
          <cell r="L2905">
            <v>13</v>
          </cell>
          <cell r="M2905">
            <v>1500</v>
          </cell>
          <cell r="P2905">
            <v>6566</v>
          </cell>
          <cell r="V2905" t="str">
            <v>Available</v>
          </cell>
        </row>
        <row r="2906">
          <cell r="A2906" t="str">
            <v>101201230003</v>
          </cell>
          <cell r="B2906" t="str">
            <v>DalsinghSarai</v>
          </cell>
          <cell r="C2906" t="str">
            <v>DalsinghSarai</v>
          </cell>
          <cell r="D2906" t="str">
            <v>GOMUKH Chakhale Dad</v>
          </cell>
          <cell r="E2906">
            <v>10120123</v>
          </cell>
          <cell r="F2906" t="str">
            <v>0003</v>
          </cell>
          <cell r="G2906">
            <v>14</v>
          </cell>
          <cell r="H2906">
            <v>74.949999999999989</v>
          </cell>
          <cell r="I2906">
            <v>3438.7585569981206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P2906">
            <v>3439</v>
          </cell>
          <cell r="V2906" t="str">
            <v>Available</v>
          </cell>
        </row>
        <row r="2907">
          <cell r="A2907" t="str">
            <v>101201230004</v>
          </cell>
          <cell r="B2907" t="str">
            <v>DalsinghSarai</v>
          </cell>
          <cell r="C2907" t="str">
            <v>DalsinghSarai</v>
          </cell>
          <cell r="D2907" t="str">
            <v>GOMUKH Chakhale Dad</v>
          </cell>
          <cell r="E2907">
            <v>10120123</v>
          </cell>
          <cell r="F2907" t="str">
            <v>0004</v>
          </cell>
          <cell r="G2907">
            <v>14</v>
          </cell>
          <cell r="H2907">
            <v>43.550000000000004</v>
          </cell>
          <cell r="I2907">
            <v>1641.1419311958002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P2907">
            <v>1641</v>
          </cell>
          <cell r="V2907" t="str">
            <v>Available</v>
          </cell>
        </row>
        <row r="2908">
          <cell r="A2908" t="str">
            <v>101201230005</v>
          </cell>
          <cell r="B2908" t="str">
            <v>DalsinghSarai</v>
          </cell>
          <cell r="C2908" t="str">
            <v>DalsinghSarai</v>
          </cell>
          <cell r="D2908" t="str">
            <v>GOMUKH Chakhale Dad</v>
          </cell>
          <cell r="E2908">
            <v>10120123</v>
          </cell>
          <cell r="F2908" t="str">
            <v>0005</v>
          </cell>
          <cell r="G2908">
            <v>12</v>
          </cell>
          <cell r="H2908">
            <v>23.499999999999996</v>
          </cell>
          <cell r="I2908">
            <v>819.95405197860009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P2908">
            <v>820</v>
          </cell>
          <cell r="V2908" t="str">
            <v>Available</v>
          </cell>
        </row>
        <row r="2909">
          <cell r="A2909" t="str">
            <v>101201230006</v>
          </cell>
          <cell r="B2909" t="str">
            <v>DalsinghSarai</v>
          </cell>
          <cell r="C2909" t="str">
            <v>DalsinghSarai</v>
          </cell>
          <cell r="D2909" t="str">
            <v>GOMUKH Chakhale Dad</v>
          </cell>
          <cell r="E2909">
            <v>10120123</v>
          </cell>
          <cell r="F2909" t="str">
            <v>0006</v>
          </cell>
          <cell r="G2909">
            <v>4</v>
          </cell>
          <cell r="H2909">
            <v>14.24</v>
          </cell>
          <cell r="I2909">
            <v>503.29528674480002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P2909">
            <v>503</v>
          </cell>
          <cell r="V2909" t="str">
            <v>Available</v>
          </cell>
        </row>
        <row r="2910">
          <cell r="A2910" t="str">
            <v>101201230007</v>
          </cell>
          <cell r="B2910" t="str">
            <v>DalsinghSarai</v>
          </cell>
          <cell r="C2910" t="str">
            <v>DalsinghSarai</v>
          </cell>
          <cell r="D2910" t="str">
            <v>GOMUKH Chakhale Dad</v>
          </cell>
          <cell r="E2910">
            <v>10120123</v>
          </cell>
          <cell r="F2910" t="str">
            <v>0007</v>
          </cell>
          <cell r="G2910">
            <v>7</v>
          </cell>
          <cell r="H2910">
            <v>18.37</v>
          </cell>
          <cell r="I2910">
            <v>714.26042028000006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P2910">
            <v>714</v>
          </cell>
          <cell r="V2910" t="str">
            <v>Not Available</v>
          </cell>
        </row>
        <row r="2911">
          <cell r="A2911" t="str">
            <v>101201230008</v>
          </cell>
          <cell r="B2911" t="str">
            <v>DalsinghSarai</v>
          </cell>
          <cell r="C2911" t="str">
            <v>DalsinghSarai</v>
          </cell>
          <cell r="D2911" t="str">
            <v>GOMUKH Chakhale Dad</v>
          </cell>
          <cell r="E2911">
            <v>10120123</v>
          </cell>
          <cell r="F2911" t="str">
            <v>0008</v>
          </cell>
          <cell r="G2911">
            <v>7</v>
          </cell>
          <cell r="H2911">
            <v>26.79</v>
          </cell>
          <cell r="I2911">
            <v>1013.2704608400001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P2911">
            <v>1013</v>
          </cell>
          <cell r="V2911" t="str">
            <v>Not Available</v>
          </cell>
        </row>
        <row r="2912">
          <cell r="A2912" t="str">
            <v>101201230009</v>
          </cell>
          <cell r="B2912" t="str">
            <v>DalsinghSarai</v>
          </cell>
          <cell r="C2912" t="str">
            <v>DalsinghSarai</v>
          </cell>
          <cell r="D2912" t="str">
            <v>GOMUKH Chakhale Dad</v>
          </cell>
          <cell r="E2912">
            <v>10120123</v>
          </cell>
          <cell r="F2912" t="str">
            <v>0009</v>
          </cell>
          <cell r="G2912">
            <v>14</v>
          </cell>
          <cell r="H2912">
            <v>97.059999999999988</v>
          </cell>
          <cell r="I2912">
            <v>3562.7942743668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P2912">
            <v>3563</v>
          </cell>
          <cell r="V2912" t="str">
            <v>Available</v>
          </cell>
        </row>
        <row r="2913">
          <cell r="A2913" t="str">
            <v>101201230010</v>
          </cell>
          <cell r="B2913" t="str">
            <v>DalsinghSarai</v>
          </cell>
          <cell r="C2913" t="str">
            <v>DalsinghSarai</v>
          </cell>
          <cell r="D2913" t="str">
            <v>GOMUKH Chakhale Dad</v>
          </cell>
          <cell r="E2913">
            <v>10120123</v>
          </cell>
          <cell r="F2913" t="str">
            <v>0010</v>
          </cell>
          <cell r="G2913">
            <v>2</v>
          </cell>
          <cell r="H2913">
            <v>10.210000000000001</v>
          </cell>
          <cell r="I2913">
            <v>303.42273645420005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P2913">
            <v>303</v>
          </cell>
          <cell r="V2913" t="str">
            <v>Not Available</v>
          </cell>
        </row>
        <row r="2914">
          <cell r="A2914" t="str">
            <v>101201230011</v>
          </cell>
          <cell r="B2914" t="str">
            <v>DalsinghSarai</v>
          </cell>
          <cell r="C2914" t="str">
            <v>DalsinghSarai</v>
          </cell>
          <cell r="D2914" t="str">
            <v>GOMUKH Chakhale Dad</v>
          </cell>
          <cell r="E2914">
            <v>10120123</v>
          </cell>
          <cell r="F2914" t="str">
            <v>0011</v>
          </cell>
          <cell r="G2914">
            <v>14</v>
          </cell>
          <cell r="H2914">
            <v>44.460000000000008</v>
          </cell>
          <cell r="I2914">
            <v>1561.3440265566001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P2914">
            <v>1561</v>
          </cell>
          <cell r="V2914" t="str">
            <v>Not Available</v>
          </cell>
        </row>
        <row r="2915">
          <cell r="A2915" t="str">
            <v>101201230012</v>
          </cell>
          <cell r="B2915" t="str">
            <v>DalsinghSarai</v>
          </cell>
          <cell r="C2915" t="str">
            <v>DalsinghSarai</v>
          </cell>
          <cell r="D2915" t="str">
            <v>GOMUKH Chakhale Dad</v>
          </cell>
          <cell r="E2915">
            <v>10120123</v>
          </cell>
          <cell r="F2915" t="str">
            <v>0012</v>
          </cell>
          <cell r="G2915">
            <v>14</v>
          </cell>
          <cell r="H2915">
            <v>83.72999999999999</v>
          </cell>
          <cell r="I2915">
            <v>2971.9262537909999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P2915">
            <v>2972</v>
          </cell>
          <cell r="V2915" t="str">
            <v>Available</v>
          </cell>
        </row>
        <row r="2916">
          <cell r="A2916" t="str">
            <v>101201230013</v>
          </cell>
          <cell r="B2916" t="str">
            <v>DalsinghSarai</v>
          </cell>
          <cell r="C2916" t="str">
            <v>DalsinghSarai</v>
          </cell>
          <cell r="D2916" t="str">
            <v>GOMUKH Chakhale Dad</v>
          </cell>
          <cell r="E2916">
            <v>10120123</v>
          </cell>
          <cell r="F2916" t="str">
            <v>0013</v>
          </cell>
          <cell r="G2916">
            <v>7</v>
          </cell>
          <cell r="H2916">
            <v>26.67</v>
          </cell>
          <cell r="I2916">
            <v>919.99285396920004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P2916">
            <v>920</v>
          </cell>
          <cell r="V2916" t="str">
            <v>Not Available</v>
          </cell>
        </row>
        <row r="2917">
          <cell r="A2917" t="str">
            <v>101201230014</v>
          </cell>
          <cell r="B2917" t="str">
            <v>DalsinghSarai</v>
          </cell>
          <cell r="C2917" t="str">
            <v>DalsinghSarai</v>
          </cell>
          <cell r="D2917" t="str">
            <v>GOMUKH Chakhale Dad</v>
          </cell>
          <cell r="E2917">
            <v>10120123</v>
          </cell>
          <cell r="F2917" t="str">
            <v>0014</v>
          </cell>
          <cell r="G2917">
            <v>14</v>
          </cell>
          <cell r="H2917">
            <v>49.739999999999995</v>
          </cell>
          <cell r="I2917">
            <v>1815.9612675533999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P2917">
            <v>1816</v>
          </cell>
          <cell r="V2917" t="str">
            <v>Available</v>
          </cell>
        </row>
        <row r="2918">
          <cell r="A2918" t="str">
            <v>101201230015</v>
          </cell>
          <cell r="B2918" t="str">
            <v>DalsinghSarai</v>
          </cell>
          <cell r="C2918" t="str">
            <v>DalsinghSarai</v>
          </cell>
          <cell r="D2918" t="str">
            <v>GOMUKH Chakhale Dad</v>
          </cell>
          <cell r="E2918">
            <v>10120123</v>
          </cell>
          <cell r="F2918" t="str">
            <v>0015</v>
          </cell>
          <cell r="G2918">
            <v>8</v>
          </cell>
          <cell r="H2918">
            <v>23.5</v>
          </cell>
          <cell r="I2918">
            <v>1409.32972172891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P2918">
            <v>1409</v>
          </cell>
          <cell r="V2918" t="str">
            <v>Available</v>
          </cell>
        </row>
        <row r="2919">
          <cell r="A2919" t="str">
            <v>101300010001</v>
          </cell>
          <cell r="B2919" t="str">
            <v>Musrigharari</v>
          </cell>
          <cell r="C2919" t="str">
            <v>Musrigharari</v>
          </cell>
          <cell r="D2919" t="str">
            <v>GOMUKH BANGHARH KISHANPUR</v>
          </cell>
          <cell r="E2919">
            <v>10130001</v>
          </cell>
          <cell r="F2919" t="str">
            <v>0001</v>
          </cell>
          <cell r="G2919">
            <v>9</v>
          </cell>
          <cell r="H2919">
            <v>3.6999999999999997</v>
          </cell>
          <cell r="I2919">
            <v>126.58121467200002</v>
          </cell>
          <cell r="J2919">
            <v>0</v>
          </cell>
          <cell r="K2919">
            <v>126.58121467200002</v>
          </cell>
          <cell r="L2919">
            <v>0</v>
          </cell>
          <cell r="M2919">
            <v>0</v>
          </cell>
          <cell r="P2919">
            <v>0</v>
          </cell>
          <cell r="V2919" t="str">
            <v>Not Available</v>
          </cell>
        </row>
        <row r="2920">
          <cell r="A2920" t="str">
            <v>101300010002</v>
          </cell>
          <cell r="B2920" t="str">
            <v>Musrigharari</v>
          </cell>
          <cell r="C2920" t="str">
            <v>Musrigharari</v>
          </cell>
          <cell r="D2920" t="str">
            <v>GOMUKH BANGHARH KISHANPUR</v>
          </cell>
          <cell r="E2920">
            <v>10130001</v>
          </cell>
          <cell r="F2920" t="str">
            <v>0002</v>
          </cell>
          <cell r="G2920">
            <v>14</v>
          </cell>
          <cell r="H2920">
            <v>99.200000000000017</v>
          </cell>
          <cell r="I2920">
            <v>3413.2141191060005</v>
          </cell>
          <cell r="J2920">
            <v>0</v>
          </cell>
          <cell r="K2920">
            <v>0</v>
          </cell>
          <cell r="L2920">
            <v>1571</v>
          </cell>
          <cell r="M2920">
            <v>0</v>
          </cell>
          <cell r="P2920">
            <v>1842</v>
          </cell>
          <cell r="V2920" t="str">
            <v>Available</v>
          </cell>
        </row>
        <row r="2921">
          <cell r="A2921" t="str">
            <v>101300010007</v>
          </cell>
          <cell r="B2921" t="str">
            <v>Musrigharari</v>
          </cell>
          <cell r="C2921" t="str">
            <v>Musrigharari</v>
          </cell>
          <cell r="D2921" t="str">
            <v>GOMUKH BANGHARH KISHANPUR</v>
          </cell>
          <cell r="E2921">
            <v>10130001</v>
          </cell>
          <cell r="F2921" t="str">
            <v>0007</v>
          </cell>
          <cell r="G2921">
            <v>1</v>
          </cell>
          <cell r="H2921">
            <v>1.7</v>
          </cell>
          <cell r="I2921">
            <v>54.800142804000011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P2921">
            <v>55</v>
          </cell>
          <cell r="V2921" t="str">
            <v>Available</v>
          </cell>
        </row>
        <row r="2922">
          <cell r="A2922" t="str">
            <v>101300010010</v>
          </cell>
          <cell r="B2922" t="str">
            <v>Musrigharari</v>
          </cell>
          <cell r="C2922" t="str">
            <v>Musrigharari</v>
          </cell>
          <cell r="D2922" t="str">
            <v>GOMUKH BANGHARH KISHANPUR</v>
          </cell>
          <cell r="E2922">
            <v>10130001</v>
          </cell>
          <cell r="F2922" t="str">
            <v>0010</v>
          </cell>
          <cell r="G2922">
            <v>14</v>
          </cell>
          <cell r="H2922">
            <v>103</v>
          </cell>
          <cell r="I2922">
            <v>3568.4940828240001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P2922">
            <v>3568</v>
          </cell>
          <cell r="V2922" t="str">
            <v>Not Available</v>
          </cell>
        </row>
        <row r="2923">
          <cell r="A2923" t="str">
            <v>101300010011</v>
          </cell>
          <cell r="B2923" t="str">
            <v>Musrigharari</v>
          </cell>
          <cell r="C2923" t="str">
            <v>Musrigharari</v>
          </cell>
          <cell r="D2923" t="str">
            <v>GOMUKH BANGHARH KISHANPUR</v>
          </cell>
          <cell r="E2923">
            <v>10130001</v>
          </cell>
          <cell r="F2923" t="str">
            <v>0011</v>
          </cell>
          <cell r="G2923">
            <v>14</v>
          </cell>
          <cell r="H2923">
            <v>103.5</v>
          </cell>
          <cell r="I2923">
            <v>3584.7656157060001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P2923">
            <v>3585</v>
          </cell>
          <cell r="V2923" t="str">
            <v>Not Available</v>
          </cell>
        </row>
        <row r="2924">
          <cell r="A2924" t="str">
            <v>101300010012</v>
          </cell>
          <cell r="B2924" t="str">
            <v>Musrigharari</v>
          </cell>
          <cell r="C2924" t="str">
            <v>Musrigharari</v>
          </cell>
          <cell r="D2924" t="str">
            <v>GOMUKH BANGHARH KISHANPUR</v>
          </cell>
          <cell r="E2924">
            <v>10130001</v>
          </cell>
          <cell r="F2924" t="str">
            <v>0012</v>
          </cell>
          <cell r="G2924">
            <v>13</v>
          </cell>
          <cell r="H2924">
            <v>98.799999999999983</v>
          </cell>
          <cell r="I2924">
            <v>3411.3973598100001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P2924">
            <v>3411</v>
          </cell>
          <cell r="V2924" t="str">
            <v>Not Available</v>
          </cell>
        </row>
        <row r="2925">
          <cell r="A2925" t="str">
            <v>101300010013</v>
          </cell>
          <cell r="B2925" t="str">
            <v>Musrigharari</v>
          </cell>
          <cell r="C2925" t="str">
            <v>Musrigharari</v>
          </cell>
          <cell r="D2925" t="str">
            <v>GOMUKH BANGHARH KISHANPUR</v>
          </cell>
          <cell r="E2925">
            <v>10130001</v>
          </cell>
          <cell r="F2925" t="str">
            <v>0013</v>
          </cell>
          <cell r="G2925">
            <v>11</v>
          </cell>
          <cell r="H2925">
            <v>87.600000000000009</v>
          </cell>
          <cell r="I2925">
            <v>3076.7342641200003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P2925">
            <v>3077</v>
          </cell>
          <cell r="V2925" t="str">
            <v>Not Available</v>
          </cell>
        </row>
        <row r="2926">
          <cell r="A2926" t="str">
            <v>101300010014</v>
          </cell>
          <cell r="B2926" t="str">
            <v>Musrigharari</v>
          </cell>
          <cell r="C2926" t="str">
            <v>Musrigharari</v>
          </cell>
          <cell r="D2926" t="str">
            <v>GOMUKH BANGHARH KISHANPUR</v>
          </cell>
          <cell r="E2926">
            <v>10130001</v>
          </cell>
          <cell r="F2926" t="str">
            <v>0014</v>
          </cell>
          <cell r="G2926">
            <v>8</v>
          </cell>
          <cell r="H2926">
            <v>54.199999999999996</v>
          </cell>
          <cell r="I2926">
            <v>1801.5506130600002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P2926">
            <v>1802</v>
          </cell>
          <cell r="V2926" t="str">
            <v>Not Available</v>
          </cell>
        </row>
        <row r="2927">
          <cell r="A2927" t="str">
            <v>101300010015</v>
          </cell>
          <cell r="B2927" t="str">
            <v>Musrigharari</v>
          </cell>
          <cell r="C2927" t="str">
            <v>Musrigharari</v>
          </cell>
          <cell r="D2927" t="str">
            <v>GOMUKH BANGHARH KISHANPUR</v>
          </cell>
          <cell r="E2927">
            <v>10130001</v>
          </cell>
          <cell r="F2927" t="str">
            <v>0015</v>
          </cell>
          <cell r="G2927">
            <v>4</v>
          </cell>
          <cell r="H2927">
            <v>24.7</v>
          </cell>
          <cell r="I2927">
            <v>840.15823023000007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P2927">
            <v>840</v>
          </cell>
          <cell r="V2927" t="str">
            <v>Not Available</v>
          </cell>
        </row>
        <row r="2928">
          <cell r="A2928" t="str">
            <v>101300010016</v>
          </cell>
          <cell r="B2928" t="str">
            <v>Musrigharari</v>
          </cell>
          <cell r="C2928" t="str">
            <v>Musrigharari</v>
          </cell>
          <cell r="D2928" t="str">
            <v>GOMUKH BANGHARH KISHANPUR</v>
          </cell>
          <cell r="E2928">
            <v>10130001</v>
          </cell>
          <cell r="F2928" t="str">
            <v>0016</v>
          </cell>
          <cell r="G2928">
            <v>2</v>
          </cell>
          <cell r="H2928">
            <v>12.7</v>
          </cell>
          <cell r="I2928">
            <v>410.69107134000006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P2928">
            <v>411</v>
          </cell>
          <cell r="V2928" t="str">
            <v>Not Available</v>
          </cell>
        </row>
        <row r="2929">
          <cell r="A2929" t="str">
            <v>101300030002</v>
          </cell>
          <cell r="B2929" t="str">
            <v>Musrigharari</v>
          </cell>
          <cell r="C2929" t="str">
            <v>Musrigharari</v>
          </cell>
          <cell r="D2929" t="str">
            <v>PARORIYA</v>
          </cell>
          <cell r="E2929">
            <v>10130003</v>
          </cell>
          <cell r="F2929" t="str">
            <v>0002</v>
          </cell>
          <cell r="G2929">
            <v>3</v>
          </cell>
          <cell r="H2929">
            <v>24.1</v>
          </cell>
          <cell r="I2929">
            <v>756.51247782000007</v>
          </cell>
          <cell r="J2929">
            <v>0</v>
          </cell>
          <cell r="K2929">
            <v>0</v>
          </cell>
          <cell r="L2929">
            <v>20</v>
          </cell>
          <cell r="M2929">
            <v>0</v>
          </cell>
          <cell r="P2929">
            <v>460</v>
          </cell>
          <cell r="V2929" t="str">
            <v>Available</v>
          </cell>
        </row>
        <row r="2930">
          <cell r="A2930" t="str">
            <v>101300060001</v>
          </cell>
          <cell r="B2930" t="str">
            <v>Musrigharari</v>
          </cell>
          <cell r="C2930" t="str">
            <v>Musrigharari</v>
          </cell>
          <cell r="D2930" t="str">
            <v>GOMUKH ANDAHA</v>
          </cell>
          <cell r="E2930">
            <v>10130006</v>
          </cell>
          <cell r="F2930" t="str">
            <v>0001</v>
          </cell>
          <cell r="G2930">
            <v>1</v>
          </cell>
          <cell r="H2930">
            <v>0.14000000000000001</v>
          </cell>
          <cell r="I2930">
            <v>4.9343096880000008</v>
          </cell>
          <cell r="J2930">
            <v>0</v>
          </cell>
          <cell r="K2930">
            <v>4.9343096880000008</v>
          </cell>
          <cell r="L2930">
            <v>0</v>
          </cell>
          <cell r="M2930">
            <v>0</v>
          </cell>
          <cell r="P2930">
            <v>0</v>
          </cell>
          <cell r="V2930" t="str">
            <v>Not Available</v>
          </cell>
        </row>
        <row r="2931">
          <cell r="A2931" t="str">
            <v>101300060002</v>
          </cell>
          <cell r="B2931" t="str">
            <v>Musrigharari</v>
          </cell>
          <cell r="C2931" t="str">
            <v>Musrigharari</v>
          </cell>
          <cell r="D2931" t="str">
            <v>GOMUKH ANDAHA</v>
          </cell>
          <cell r="E2931">
            <v>10130006</v>
          </cell>
          <cell r="F2931" t="str">
            <v>0002</v>
          </cell>
          <cell r="G2931">
            <v>1</v>
          </cell>
          <cell r="H2931">
            <v>2.0099999999999998</v>
          </cell>
          <cell r="I2931">
            <v>71.107882559999993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P2931">
            <v>71</v>
          </cell>
          <cell r="V2931" t="str">
            <v>Available</v>
          </cell>
        </row>
        <row r="2932">
          <cell r="A2932" t="str">
            <v>101300060017</v>
          </cell>
          <cell r="B2932" t="str">
            <v>Musrigharari</v>
          </cell>
          <cell r="C2932" t="str">
            <v>Musrigharari</v>
          </cell>
          <cell r="D2932" t="str">
            <v>GOMUKH ANDAHA</v>
          </cell>
          <cell r="E2932">
            <v>10130006</v>
          </cell>
          <cell r="F2932" t="str">
            <v>0017</v>
          </cell>
          <cell r="G2932">
            <v>12</v>
          </cell>
          <cell r="H2932">
            <v>40.510000000000005</v>
          </cell>
          <cell r="I2932">
            <v>1520.2988373869998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P2932">
            <v>1520</v>
          </cell>
          <cell r="V2932" t="str">
            <v>Available</v>
          </cell>
        </row>
        <row r="2933">
          <cell r="A2933" t="str">
            <v>101300060026</v>
          </cell>
          <cell r="B2933" t="str">
            <v>Musrigharari</v>
          </cell>
          <cell r="C2933" t="str">
            <v>Musrigharari</v>
          </cell>
          <cell r="D2933" t="str">
            <v>GOMUKH ANDAHA</v>
          </cell>
          <cell r="E2933">
            <v>10130006</v>
          </cell>
          <cell r="F2933" t="str">
            <v>0026</v>
          </cell>
          <cell r="G2933">
            <v>13</v>
          </cell>
          <cell r="H2933">
            <v>49.459999999999994</v>
          </cell>
          <cell r="I2933">
            <v>1733.8004444376002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P2933">
            <v>1734</v>
          </cell>
          <cell r="V2933" t="str">
            <v>Available</v>
          </cell>
        </row>
        <row r="2934">
          <cell r="A2934" t="str">
            <v>101300060029</v>
          </cell>
          <cell r="B2934" t="str">
            <v>Musrigharari</v>
          </cell>
          <cell r="C2934" t="str">
            <v>Musrigharari</v>
          </cell>
          <cell r="D2934" t="str">
            <v>GOMUKH ANDAHA</v>
          </cell>
          <cell r="E2934">
            <v>10130006</v>
          </cell>
          <cell r="F2934" t="str">
            <v>0029</v>
          </cell>
          <cell r="G2934">
            <v>14</v>
          </cell>
          <cell r="H2934">
            <v>141.26</v>
          </cell>
          <cell r="I2934">
            <v>4966.4646539046007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P2934">
            <v>4966</v>
          </cell>
          <cell r="V2934" t="str">
            <v>Available</v>
          </cell>
        </row>
        <row r="2935">
          <cell r="A2935" t="str">
            <v>101300060047</v>
          </cell>
          <cell r="B2935" t="str">
            <v>Musrigharari</v>
          </cell>
          <cell r="C2935" t="str">
            <v>Musrigharari</v>
          </cell>
          <cell r="D2935" t="str">
            <v>GOMUKH ANDAHA</v>
          </cell>
          <cell r="E2935">
            <v>10130006</v>
          </cell>
          <cell r="F2935" t="str">
            <v>0047</v>
          </cell>
          <cell r="G2935">
            <v>11</v>
          </cell>
          <cell r="H2935">
            <v>37.879999999999995</v>
          </cell>
          <cell r="I2935">
            <v>1320.1246625886001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P2935">
            <v>1320</v>
          </cell>
          <cell r="V2935" t="str">
            <v>Available</v>
          </cell>
        </row>
        <row r="2936">
          <cell r="A2936" t="str">
            <v>101300060048</v>
          </cell>
          <cell r="B2936" t="str">
            <v>Musrigharari</v>
          </cell>
          <cell r="C2936" t="str">
            <v>Musrigharari</v>
          </cell>
          <cell r="D2936" t="str">
            <v>GOMUKH ANDAHA</v>
          </cell>
          <cell r="E2936">
            <v>10130006</v>
          </cell>
          <cell r="F2936" t="str">
            <v>0048</v>
          </cell>
          <cell r="G2936">
            <v>13</v>
          </cell>
          <cell r="H2936">
            <v>50.59</v>
          </cell>
          <cell r="I2936">
            <v>1714.8584431044001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P2936">
            <v>1715</v>
          </cell>
          <cell r="V2936" t="str">
            <v>Available</v>
          </cell>
        </row>
        <row r="2937">
          <cell r="A2937" t="str">
            <v>101300060082</v>
          </cell>
          <cell r="B2937" t="str">
            <v>Musrigharari</v>
          </cell>
          <cell r="C2937" t="str">
            <v>Musrigharari</v>
          </cell>
          <cell r="D2937" t="str">
            <v>GOMUKH ANDAHA</v>
          </cell>
          <cell r="E2937">
            <v>10130006</v>
          </cell>
          <cell r="F2937" t="str">
            <v>0082</v>
          </cell>
          <cell r="G2937">
            <v>13</v>
          </cell>
          <cell r="H2937">
            <v>115.73000000000002</v>
          </cell>
          <cell r="I2937">
            <v>4133.6053227018001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P2937">
            <v>4134</v>
          </cell>
          <cell r="V2937" t="str">
            <v>Available</v>
          </cell>
        </row>
        <row r="2938">
          <cell r="A2938" t="str">
            <v>101300060084</v>
          </cell>
          <cell r="B2938" t="str">
            <v>Musrigharari</v>
          </cell>
          <cell r="C2938" t="str">
            <v>Musrigharari</v>
          </cell>
          <cell r="D2938" t="str">
            <v>GOMUKH ANDAHA</v>
          </cell>
          <cell r="E2938">
            <v>10130006</v>
          </cell>
          <cell r="F2938" t="str">
            <v>0084</v>
          </cell>
          <cell r="G2938">
            <v>14</v>
          </cell>
          <cell r="H2938">
            <v>92.82</v>
          </cell>
          <cell r="I2938">
            <v>3215.3423043456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P2938">
            <v>3215</v>
          </cell>
          <cell r="V2938" t="str">
            <v>Available</v>
          </cell>
        </row>
        <row r="2939">
          <cell r="A2939" t="str">
            <v>101300060085</v>
          </cell>
          <cell r="B2939" t="str">
            <v>Musrigharari</v>
          </cell>
          <cell r="C2939" t="str">
            <v>Musrigharari</v>
          </cell>
          <cell r="D2939" t="str">
            <v>GOMUKH ANDAHA</v>
          </cell>
          <cell r="E2939">
            <v>10130006</v>
          </cell>
          <cell r="F2939" t="str">
            <v>0085</v>
          </cell>
          <cell r="G2939">
            <v>4</v>
          </cell>
          <cell r="H2939">
            <v>7.2299999999999995</v>
          </cell>
          <cell r="I2939">
            <v>316.76635097514009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P2939">
            <v>317</v>
          </cell>
          <cell r="V2939" t="str">
            <v>Available</v>
          </cell>
        </row>
        <row r="2940">
          <cell r="A2940" t="str">
            <v>101300080001</v>
          </cell>
          <cell r="B2940" t="str">
            <v>Musrigharari</v>
          </cell>
          <cell r="C2940" t="str">
            <v>Musrigharari</v>
          </cell>
          <cell r="D2940" t="str">
            <v>Gomukha Rohua</v>
          </cell>
          <cell r="E2940">
            <v>10130008</v>
          </cell>
          <cell r="F2940" t="str">
            <v>0001</v>
          </cell>
          <cell r="G2940">
            <v>11</v>
          </cell>
          <cell r="H2940">
            <v>7.4500000000000011</v>
          </cell>
          <cell r="I2940">
            <v>311.59280802300009</v>
          </cell>
          <cell r="J2940">
            <v>0</v>
          </cell>
          <cell r="K2940">
            <v>311.59280802300009</v>
          </cell>
          <cell r="L2940">
            <v>0</v>
          </cell>
          <cell r="M2940">
            <v>0</v>
          </cell>
          <cell r="P2940">
            <v>0</v>
          </cell>
          <cell r="V2940" t="str">
            <v>Not Available</v>
          </cell>
        </row>
        <row r="2941">
          <cell r="A2941" t="str">
            <v>101300080002</v>
          </cell>
          <cell r="B2941" t="str">
            <v>Musrigharari</v>
          </cell>
          <cell r="C2941" t="str">
            <v>Musrigharari</v>
          </cell>
          <cell r="D2941" t="str">
            <v>Gomukha Rohua</v>
          </cell>
          <cell r="E2941">
            <v>10130008</v>
          </cell>
          <cell r="F2941" t="str">
            <v>0002</v>
          </cell>
          <cell r="G2941">
            <v>13</v>
          </cell>
          <cell r="H2941">
            <v>190.98</v>
          </cell>
          <cell r="I2941">
            <v>8054.7691121945109</v>
          </cell>
          <cell r="J2941">
            <v>0</v>
          </cell>
          <cell r="K2941">
            <v>0</v>
          </cell>
          <cell r="L2941">
            <v>3724</v>
          </cell>
          <cell r="M2941">
            <v>0</v>
          </cell>
          <cell r="P2941">
            <v>4331</v>
          </cell>
          <cell r="V2941" t="str">
            <v>Available</v>
          </cell>
        </row>
        <row r="2942">
          <cell r="A2942" t="str">
            <v>101300080003</v>
          </cell>
          <cell r="B2942" t="str">
            <v>Musrigharari</v>
          </cell>
          <cell r="C2942" t="str">
            <v>Musrigharari</v>
          </cell>
          <cell r="D2942" t="str">
            <v>Gomukha Rohua</v>
          </cell>
          <cell r="E2942">
            <v>10130008</v>
          </cell>
          <cell r="F2942" t="str">
            <v>0003</v>
          </cell>
          <cell r="G2942">
            <v>13</v>
          </cell>
          <cell r="H2942">
            <v>109.81</v>
          </cell>
          <cell r="I2942">
            <v>4690.4372561322607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P2942">
            <v>4690</v>
          </cell>
          <cell r="V2942" t="str">
            <v>Available</v>
          </cell>
        </row>
        <row r="2943">
          <cell r="A2943" t="str">
            <v>101300080004</v>
          </cell>
          <cell r="B2943" t="str">
            <v>Musrigharari</v>
          </cell>
          <cell r="C2943" t="str">
            <v>Musrigharari</v>
          </cell>
          <cell r="D2943" t="str">
            <v>Gomukha Rohua</v>
          </cell>
          <cell r="E2943">
            <v>10130008</v>
          </cell>
          <cell r="F2943" t="str">
            <v>0004</v>
          </cell>
          <cell r="G2943">
            <v>13</v>
          </cell>
          <cell r="H2943">
            <v>106.03999999999999</v>
          </cell>
          <cell r="I2943">
            <v>4434.5549194022014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P2943">
            <v>4435</v>
          </cell>
          <cell r="V2943" t="str">
            <v>Available</v>
          </cell>
        </row>
        <row r="2944">
          <cell r="A2944" t="str">
            <v>101300080005</v>
          </cell>
          <cell r="B2944" t="str">
            <v>Musrigharari</v>
          </cell>
          <cell r="C2944" t="str">
            <v>Musrigharari</v>
          </cell>
          <cell r="D2944" t="str">
            <v>Gomukha Rohua</v>
          </cell>
          <cell r="E2944">
            <v>10130008</v>
          </cell>
          <cell r="F2944" t="str">
            <v>0005</v>
          </cell>
          <cell r="G2944">
            <v>5</v>
          </cell>
          <cell r="H2944">
            <v>32.230000000000004</v>
          </cell>
          <cell r="I2944">
            <v>1196.6751723960001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P2944">
            <v>1197</v>
          </cell>
          <cell r="V2944" t="str">
            <v>Not Available</v>
          </cell>
        </row>
        <row r="2945">
          <cell r="A2945" t="str">
            <v>101300080006</v>
          </cell>
          <cell r="B2945" t="str">
            <v>Musrigharari</v>
          </cell>
          <cell r="C2945" t="str">
            <v>Musrigharari</v>
          </cell>
          <cell r="D2945" t="str">
            <v>Gomukha Rohua</v>
          </cell>
          <cell r="E2945">
            <v>10130008</v>
          </cell>
          <cell r="F2945" t="str">
            <v>0006</v>
          </cell>
          <cell r="G2945">
            <v>12</v>
          </cell>
          <cell r="H2945">
            <v>82.27</v>
          </cell>
          <cell r="I2945">
            <v>3406.2240865483004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P2945">
            <v>3406</v>
          </cell>
          <cell r="V2945" t="str">
            <v>Available</v>
          </cell>
        </row>
        <row r="2946">
          <cell r="A2946" t="str">
            <v>101300080014</v>
          </cell>
          <cell r="B2946" t="str">
            <v>Musrigharari</v>
          </cell>
          <cell r="C2946" t="str">
            <v>Musrigharari</v>
          </cell>
          <cell r="D2946" t="str">
            <v>Gomukha Rohua</v>
          </cell>
          <cell r="E2946">
            <v>10130008</v>
          </cell>
          <cell r="F2946" t="str">
            <v>0014</v>
          </cell>
          <cell r="G2946">
            <v>6</v>
          </cell>
          <cell r="H2946">
            <v>10.469999999999999</v>
          </cell>
          <cell r="I2946">
            <v>738.82470965644995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P2946">
            <v>739</v>
          </cell>
          <cell r="V2946" t="str">
            <v>Available</v>
          </cell>
        </row>
        <row r="2947">
          <cell r="A2947" t="str">
            <v>101300080016</v>
          </cell>
          <cell r="B2947" t="str">
            <v>Musrigharari</v>
          </cell>
          <cell r="C2947" t="str">
            <v>Musrigharari</v>
          </cell>
          <cell r="D2947" t="str">
            <v>Gomukha Rohua</v>
          </cell>
          <cell r="E2947">
            <v>10130008</v>
          </cell>
          <cell r="F2947" t="str">
            <v>0016</v>
          </cell>
          <cell r="G2947">
            <v>9</v>
          </cell>
          <cell r="H2947">
            <v>81.38</v>
          </cell>
          <cell r="I2947">
            <v>3109.0952600862001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P2947">
            <v>3109</v>
          </cell>
          <cell r="V2947" t="str">
            <v>Available</v>
          </cell>
        </row>
        <row r="2948">
          <cell r="A2948" t="str">
            <v>101300080017</v>
          </cell>
          <cell r="B2948" t="str">
            <v>Musrigharari</v>
          </cell>
          <cell r="C2948" t="str">
            <v>Musrigharari</v>
          </cell>
          <cell r="D2948" t="str">
            <v>Gomukha Rohua</v>
          </cell>
          <cell r="E2948">
            <v>10130008</v>
          </cell>
          <cell r="F2948" t="str">
            <v>0017</v>
          </cell>
          <cell r="G2948">
            <v>1</v>
          </cell>
          <cell r="H2948">
            <v>10.9</v>
          </cell>
          <cell r="I2948">
            <v>389.92631040000003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P2948">
            <v>390</v>
          </cell>
          <cell r="V2948" t="str">
            <v>Not Available</v>
          </cell>
        </row>
        <row r="2949">
          <cell r="A2949" t="str">
            <v>101300080018</v>
          </cell>
          <cell r="B2949" t="str">
            <v>Musrigharari</v>
          </cell>
          <cell r="C2949" t="str">
            <v>Musrigharari</v>
          </cell>
          <cell r="D2949" t="str">
            <v>Gomukha Rohua</v>
          </cell>
          <cell r="E2949">
            <v>10130008</v>
          </cell>
          <cell r="F2949" t="str">
            <v>0018</v>
          </cell>
          <cell r="G2949">
            <v>4</v>
          </cell>
          <cell r="H2949">
            <v>28.740000000000002</v>
          </cell>
          <cell r="I2949">
            <v>1110.4412485320001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P2949">
            <v>1110</v>
          </cell>
          <cell r="V2949" t="str">
            <v>Not Available</v>
          </cell>
        </row>
        <row r="2950">
          <cell r="A2950" t="str">
            <v>101300080019</v>
          </cell>
          <cell r="B2950" t="str">
            <v>Musrigharari</v>
          </cell>
          <cell r="C2950" t="str">
            <v>Musrigharari</v>
          </cell>
          <cell r="D2950" t="str">
            <v>Gomukha Rohua</v>
          </cell>
          <cell r="E2950">
            <v>10130008</v>
          </cell>
          <cell r="F2950" t="str">
            <v>0019</v>
          </cell>
          <cell r="G2950">
            <v>12</v>
          </cell>
          <cell r="H2950">
            <v>104.96999999999998</v>
          </cell>
          <cell r="I2950">
            <v>4192.9170551349998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P2950">
            <v>4193</v>
          </cell>
          <cell r="V2950" t="str">
            <v>Available</v>
          </cell>
        </row>
        <row r="2951">
          <cell r="A2951" t="str">
            <v>101300080022</v>
          </cell>
          <cell r="B2951" t="str">
            <v>Musrigharari</v>
          </cell>
          <cell r="C2951" t="str">
            <v>Musrigharari</v>
          </cell>
          <cell r="D2951" t="str">
            <v>Gomukha Rohua</v>
          </cell>
          <cell r="E2951">
            <v>10130008</v>
          </cell>
          <cell r="F2951" t="str">
            <v>0022</v>
          </cell>
          <cell r="G2951">
            <v>10</v>
          </cell>
          <cell r="H2951">
            <v>89.91</v>
          </cell>
          <cell r="I2951">
            <v>3484.9934139240008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P2951">
            <v>3485</v>
          </cell>
          <cell r="V2951" t="str">
            <v>Available</v>
          </cell>
        </row>
        <row r="2952">
          <cell r="A2952" t="str">
            <v>101300080023</v>
          </cell>
          <cell r="B2952" t="str">
            <v>Musrigharari</v>
          </cell>
          <cell r="C2952" t="str">
            <v>Musrigharari</v>
          </cell>
          <cell r="D2952" t="str">
            <v>Gomukha Rohua</v>
          </cell>
          <cell r="E2952">
            <v>10130008</v>
          </cell>
          <cell r="F2952" t="str">
            <v>0023</v>
          </cell>
          <cell r="G2952">
            <v>1</v>
          </cell>
          <cell r="H2952">
            <v>3</v>
          </cell>
          <cell r="I2952">
            <v>112.467366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P2952">
            <v>112</v>
          </cell>
          <cell r="V2952" t="str">
            <v>Not Available</v>
          </cell>
        </row>
        <row r="2953">
          <cell r="A2953" t="str">
            <v>101300120001</v>
          </cell>
          <cell r="B2953" t="str">
            <v>Musrigharari</v>
          </cell>
          <cell r="C2953" t="str">
            <v>Musrigharari</v>
          </cell>
          <cell r="D2953" t="str">
            <v>Gomukha Arniya Ganj</v>
          </cell>
          <cell r="E2953">
            <v>10130012</v>
          </cell>
          <cell r="F2953" t="str">
            <v>0001</v>
          </cell>
          <cell r="G2953">
            <v>14</v>
          </cell>
          <cell r="H2953">
            <v>36.4</v>
          </cell>
          <cell r="I2953">
            <v>1373.63175576</v>
          </cell>
          <cell r="J2953">
            <v>0</v>
          </cell>
          <cell r="K2953">
            <v>1373.63175576</v>
          </cell>
          <cell r="L2953">
            <v>0</v>
          </cell>
          <cell r="M2953">
            <v>0</v>
          </cell>
          <cell r="P2953">
            <v>0</v>
          </cell>
          <cell r="V2953" t="str">
            <v>Not Available</v>
          </cell>
        </row>
        <row r="2954">
          <cell r="A2954" t="str">
            <v>101300120002</v>
          </cell>
          <cell r="B2954" t="str">
            <v>Musrigharari</v>
          </cell>
          <cell r="C2954" t="str">
            <v>Musrigharari</v>
          </cell>
          <cell r="D2954" t="str">
            <v>Gomukha Arniya Ganj</v>
          </cell>
          <cell r="E2954">
            <v>10130012</v>
          </cell>
          <cell r="F2954" t="str">
            <v>0002</v>
          </cell>
          <cell r="G2954">
            <v>14</v>
          </cell>
          <cell r="H2954">
            <v>259.2</v>
          </cell>
          <cell r="I2954">
            <v>9468.6519470400017</v>
          </cell>
          <cell r="J2954">
            <v>0</v>
          </cell>
          <cell r="K2954">
            <v>0</v>
          </cell>
          <cell r="L2954">
            <v>1388</v>
          </cell>
          <cell r="M2954">
            <v>0</v>
          </cell>
          <cell r="P2954">
            <v>8081</v>
          </cell>
          <cell r="V2954" t="str">
            <v>Available</v>
          </cell>
        </row>
        <row r="2955">
          <cell r="A2955" t="str">
            <v>101300120003</v>
          </cell>
          <cell r="B2955" t="str">
            <v>Musrigharari</v>
          </cell>
          <cell r="C2955" t="str">
            <v>Musrigharari</v>
          </cell>
          <cell r="D2955" t="str">
            <v>Gomukha Arniya Ganj</v>
          </cell>
          <cell r="E2955">
            <v>10130012</v>
          </cell>
          <cell r="F2955" t="str">
            <v>0003</v>
          </cell>
          <cell r="G2955">
            <v>14</v>
          </cell>
          <cell r="H2955">
            <v>229.5</v>
          </cell>
          <cell r="I2955">
            <v>8574.3895168799991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P2955">
            <v>8574</v>
          </cell>
          <cell r="V2955" t="str">
            <v>Available</v>
          </cell>
        </row>
        <row r="2956">
          <cell r="A2956" t="str">
            <v>101300120004</v>
          </cell>
          <cell r="B2956" t="str">
            <v>Musrigharari</v>
          </cell>
          <cell r="C2956" t="str">
            <v>Musrigharari</v>
          </cell>
          <cell r="D2956" t="str">
            <v>Gomukha Arniya Ganj</v>
          </cell>
          <cell r="E2956">
            <v>10130012</v>
          </cell>
          <cell r="F2956" t="str">
            <v>0004</v>
          </cell>
          <cell r="G2956">
            <v>14</v>
          </cell>
          <cell r="H2956">
            <v>171.1</v>
          </cell>
          <cell r="I2956">
            <v>6371.6556420000006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P2956">
            <v>6372</v>
          </cell>
          <cell r="V2956" t="str">
            <v>Available</v>
          </cell>
        </row>
        <row r="2957">
          <cell r="A2957" t="str">
            <v>101300120007</v>
          </cell>
          <cell r="B2957" t="str">
            <v>Musrigharari</v>
          </cell>
          <cell r="C2957" t="str">
            <v>Musrigharari</v>
          </cell>
          <cell r="D2957" t="str">
            <v>Gomukha Arniya Ganj</v>
          </cell>
          <cell r="E2957">
            <v>10130012</v>
          </cell>
          <cell r="F2957" t="str">
            <v>0007</v>
          </cell>
          <cell r="G2957">
            <v>14</v>
          </cell>
          <cell r="H2957">
            <v>33.799999999999997</v>
          </cell>
          <cell r="I2957">
            <v>1269.5735091600002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P2957">
            <v>1270</v>
          </cell>
          <cell r="V2957" t="str">
            <v>Not Available</v>
          </cell>
        </row>
        <row r="2958">
          <cell r="A2958" t="str">
            <v>101300120008</v>
          </cell>
          <cell r="B2958" t="str">
            <v>Musrigharari</v>
          </cell>
          <cell r="C2958" t="str">
            <v>Musrigharari</v>
          </cell>
          <cell r="D2958" t="str">
            <v>Gomukha Arniya Ganj</v>
          </cell>
          <cell r="E2958">
            <v>10130012</v>
          </cell>
          <cell r="F2958" t="str">
            <v>0008</v>
          </cell>
          <cell r="G2958">
            <v>14</v>
          </cell>
          <cell r="H2958">
            <v>38.499999999999993</v>
          </cell>
          <cell r="I2958">
            <v>1416.0982690800001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P2958">
            <v>1416</v>
          </cell>
          <cell r="V2958" t="str">
            <v>Not Available</v>
          </cell>
        </row>
        <row r="2959">
          <cell r="A2959" t="str">
            <v>101300120009</v>
          </cell>
          <cell r="B2959" t="str">
            <v>Musrigharari</v>
          </cell>
          <cell r="C2959" t="str">
            <v>Musrigharari</v>
          </cell>
          <cell r="D2959" t="str">
            <v>Gomukha Arniya Ganj</v>
          </cell>
          <cell r="E2959">
            <v>10130012</v>
          </cell>
          <cell r="F2959" t="str">
            <v>0009</v>
          </cell>
          <cell r="G2959">
            <v>14</v>
          </cell>
          <cell r="H2959">
            <v>39.9</v>
          </cell>
          <cell r="I2959">
            <v>1472.5161890999998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P2959">
            <v>1473</v>
          </cell>
          <cell r="V2959" t="str">
            <v>Not Available</v>
          </cell>
        </row>
        <row r="2960">
          <cell r="A2960" t="str">
            <v>101300120010</v>
          </cell>
          <cell r="B2960" t="str">
            <v>Musrigharari</v>
          </cell>
          <cell r="C2960" t="str">
            <v>Musrigharari</v>
          </cell>
          <cell r="D2960" t="str">
            <v>Gomukha Arniya Ganj</v>
          </cell>
          <cell r="E2960">
            <v>10130012</v>
          </cell>
          <cell r="F2960" t="str">
            <v>0010</v>
          </cell>
          <cell r="G2960">
            <v>14</v>
          </cell>
          <cell r="H2960">
            <v>39.1</v>
          </cell>
          <cell r="I2960">
            <v>1421.3124050399999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P2960">
            <v>1421</v>
          </cell>
          <cell r="V2960" t="str">
            <v>Not Available</v>
          </cell>
        </row>
        <row r="2961">
          <cell r="A2961" t="str">
            <v>101300120011</v>
          </cell>
          <cell r="B2961" t="str">
            <v>Musrigharari</v>
          </cell>
          <cell r="C2961" t="str">
            <v>Musrigharari</v>
          </cell>
          <cell r="D2961" t="str">
            <v>Gomukha Arniya Ganj</v>
          </cell>
          <cell r="E2961">
            <v>10130012</v>
          </cell>
          <cell r="F2961" t="str">
            <v>0011</v>
          </cell>
          <cell r="G2961">
            <v>14</v>
          </cell>
          <cell r="H2961">
            <v>40.800000000000004</v>
          </cell>
          <cell r="I2961">
            <v>1520.101955394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P2961">
            <v>1520</v>
          </cell>
          <cell r="V2961" t="str">
            <v>Not Available</v>
          </cell>
        </row>
        <row r="2962">
          <cell r="A2962" t="str">
            <v>101300120012</v>
          </cell>
          <cell r="B2962" t="str">
            <v>Musrigharari</v>
          </cell>
          <cell r="C2962" t="str">
            <v>Musrigharari</v>
          </cell>
          <cell r="D2962" t="str">
            <v>Gomukha Arniya Ganj</v>
          </cell>
          <cell r="E2962">
            <v>10130012</v>
          </cell>
          <cell r="F2962" t="str">
            <v>0012</v>
          </cell>
          <cell r="G2962">
            <v>13</v>
          </cell>
          <cell r="H2962">
            <v>188.5</v>
          </cell>
          <cell r="I2962">
            <v>6964.2864086400004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P2962">
            <v>6964</v>
          </cell>
          <cell r="V2962" t="str">
            <v>Available</v>
          </cell>
        </row>
        <row r="2963">
          <cell r="A2963" t="str">
            <v>101300120018</v>
          </cell>
          <cell r="B2963" t="str">
            <v>Musrigharari</v>
          </cell>
          <cell r="C2963" t="str">
            <v>Musrigharari</v>
          </cell>
          <cell r="D2963" t="str">
            <v>Gomukha Arniya Ganj</v>
          </cell>
          <cell r="E2963">
            <v>10130012</v>
          </cell>
          <cell r="F2963" t="str">
            <v>0018</v>
          </cell>
          <cell r="G2963">
            <v>13</v>
          </cell>
          <cell r="H2963">
            <v>229.8</v>
          </cell>
          <cell r="I2963">
            <v>8592.4866653999998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P2963">
            <v>8592</v>
          </cell>
          <cell r="V2963" t="str">
            <v>Available</v>
          </cell>
        </row>
        <row r="2964">
          <cell r="A2964" t="str">
            <v>101300120020</v>
          </cell>
          <cell r="B2964" t="str">
            <v>Musrigharari</v>
          </cell>
          <cell r="C2964" t="str">
            <v>Musrigharari</v>
          </cell>
          <cell r="D2964" t="str">
            <v>Gomukha Arniya Ganj</v>
          </cell>
          <cell r="E2964">
            <v>10130012</v>
          </cell>
          <cell r="F2964" t="str">
            <v>0020</v>
          </cell>
          <cell r="G2964">
            <v>14</v>
          </cell>
          <cell r="H2964">
            <v>248.2</v>
          </cell>
          <cell r="I2964">
            <v>9193.3831123199998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P2964">
            <v>9193</v>
          </cell>
          <cell r="V2964" t="str">
            <v>Available</v>
          </cell>
        </row>
        <row r="2965">
          <cell r="A2965" t="str">
            <v>101300120023</v>
          </cell>
          <cell r="B2965" t="str">
            <v>Musrigharari</v>
          </cell>
          <cell r="C2965" t="str">
            <v>Musrigharari</v>
          </cell>
          <cell r="D2965" t="str">
            <v>Gomukha Arniya Ganj</v>
          </cell>
          <cell r="E2965">
            <v>10130012</v>
          </cell>
          <cell r="F2965" t="str">
            <v>0023</v>
          </cell>
          <cell r="G2965">
            <v>12</v>
          </cell>
          <cell r="H2965">
            <v>203.99999999999997</v>
          </cell>
          <cell r="I2965">
            <v>7475.9877046800002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P2965">
            <v>7476</v>
          </cell>
          <cell r="V2965" t="str">
            <v>Available</v>
          </cell>
        </row>
        <row r="2966">
          <cell r="A2966" t="str">
            <v>101300120028</v>
          </cell>
          <cell r="B2966" t="str">
            <v>Musrigharari</v>
          </cell>
          <cell r="C2966" t="str">
            <v>Musrigharari</v>
          </cell>
          <cell r="D2966" t="str">
            <v>Gomukha Arniya Ganj</v>
          </cell>
          <cell r="E2966">
            <v>10130012</v>
          </cell>
          <cell r="F2966" t="str">
            <v>0028</v>
          </cell>
          <cell r="G2966">
            <v>14</v>
          </cell>
          <cell r="H2966">
            <v>44.099999999999994</v>
          </cell>
          <cell r="I2966">
            <v>1635.0786975600001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P2966">
            <v>1635</v>
          </cell>
          <cell r="V2966" t="str">
            <v>Not Available</v>
          </cell>
        </row>
        <row r="2967">
          <cell r="A2967" t="str">
            <v>101300120029</v>
          </cell>
          <cell r="B2967" t="str">
            <v>Musrigharari</v>
          </cell>
          <cell r="C2967" t="str">
            <v>Musrigharari</v>
          </cell>
          <cell r="D2967" t="str">
            <v>Gomukha Arniya Ganj</v>
          </cell>
          <cell r="E2967">
            <v>10130012</v>
          </cell>
          <cell r="F2967" t="str">
            <v>0029</v>
          </cell>
          <cell r="G2967">
            <v>14</v>
          </cell>
          <cell r="H2967">
            <v>65.5</v>
          </cell>
          <cell r="I2967">
            <v>2396.0823480000004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P2967">
            <v>2396</v>
          </cell>
          <cell r="V2967" t="str">
            <v>Available</v>
          </cell>
        </row>
        <row r="2968">
          <cell r="A2968" t="str">
            <v>101300120031</v>
          </cell>
          <cell r="B2968" t="str">
            <v>Musrigharari</v>
          </cell>
          <cell r="C2968" t="str">
            <v>Musrigharari</v>
          </cell>
          <cell r="D2968" t="str">
            <v>Gomukha Arniya Ganj</v>
          </cell>
          <cell r="E2968">
            <v>10130012</v>
          </cell>
          <cell r="F2968" t="str">
            <v>0031</v>
          </cell>
          <cell r="G2968">
            <v>13</v>
          </cell>
          <cell r="H2968">
            <v>236.89999999999998</v>
          </cell>
          <cell r="I2968">
            <v>8693.5912668000019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P2968">
            <v>8694</v>
          </cell>
          <cell r="V2968" t="str">
            <v>Available</v>
          </cell>
        </row>
        <row r="2969">
          <cell r="A2969" t="str">
            <v>101300120033</v>
          </cell>
          <cell r="B2969" t="str">
            <v>Musrigharari</v>
          </cell>
          <cell r="C2969" t="str">
            <v>Musrigharari</v>
          </cell>
          <cell r="D2969" t="str">
            <v>Gomukha Arniya Ganj</v>
          </cell>
          <cell r="E2969">
            <v>10130012</v>
          </cell>
          <cell r="F2969" t="str">
            <v>0033</v>
          </cell>
          <cell r="G2969">
            <v>14</v>
          </cell>
          <cell r="H2969">
            <v>40.499999999999993</v>
          </cell>
          <cell r="I2969">
            <v>1458.7197166080005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P2969">
            <v>1459</v>
          </cell>
          <cell r="V2969" t="str">
            <v>Not Available</v>
          </cell>
        </row>
        <row r="2970">
          <cell r="A2970" t="str">
            <v>101300120034</v>
          </cell>
          <cell r="B2970" t="str">
            <v>Musrigharari</v>
          </cell>
          <cell r="C2970" t="str">
            <v>Musrigharari</v>
          </cell>
          <cell r="D2970" t="str">
            <v>Gomukha Arniya Ganj</v>
          </cell>
          <cell r="E2970">
            <v>10130012</v>
          </cell>
          <cell r="F2970" t="str">
            <v>0034</v>
          </cell>
          <cell r="G2970">
            <v>14</v>
          </cell>
          <cell r="H2970">
            <v>45.300000000000004</v>
          </cell>
          <cell r="I2970">
            <v>1660.0485472560003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P2970">
            <v>1660</v>
          </cell>
          <cell r="V2970" t="str">
            <v>Not Available</v>
          </cell>
        </row>
        <row r="2971">
          <cell r="A2971" t="str">
            <v>101300120035</v>
          </cell>
          <cell r="B2971" t="str">
            <v>Musrigharari</v>
          </cell>
          <cell r="C2971" t="str">
            <v>Musrigharari</v>
          </cell>
          <cell r="D2971" t="str">
            <v>Gomukha Arniya Ganj</v>
          </cell>
          <cell r="E2971">
            <v>10130012</v>
          </cell>
          <cell r="F2971" t="str">
            <v>0035</v>
          </cell>
          <cell r="G2971">
            <v>13</v>
          </cell>
          <cell r="H2971">
            <v>43</v>
          </cell>
          <cell r="I2971">
            <v>1562.4414295380002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P2971">
            <v>1562</v>
          </cell>
          <cell r="V2971" t="str">
            <v>Not Available</v>
          </cell>
        </row>
        <row r="2972">
          <cell r="A2972" t="str">
            <v>101300120036</v>
          </cell>
          <cell r="B2972" t="str">
            <v>Musrigharari</v>
          </cell>
          <cell r="C2972" t="str">
            <v>Musrigharari</v>
          </cell>
          <cell r="D2972" t="str">
            <v>Gomukha Arniya Ganj</v>
          </cell>
          <cell r="E2972">
            <v>10130012</v>
          </cell>
          <cell r="F2972" t="str">
            <v>0036</v>
          </cell>
          <cell r="G2972">
            <v>14</v>
          </cell>
          <cell r="H2972">
            <v>44.2</v>
          </cell>
          <cell r="I2972">
            <v>1623.9116757600002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P2972">
            <v>1624</v>
          </cell>
          <cell r="V2972" t="str">
            <v>Not Available</v>
          </cell>
        </row>
        <row r="2973">
          <cell r="A2973" t="str">
            <v>101300120037</v>
          </cell>
          <cell r="B2973" t="str">
            <v>Musrigharari</v>
          </cell>
          <cell r="C2973" t="str">
            <v>Musrigharari</v>
          </cell>
          <cell r="D2973" t="str">
            <v>Gomukha Arniya Ganj</v>
          </cell>
          <cell r="E2973">
            <v>10130012</v>
          </cell>
          <cell r="F2973" t="str">
            <v>0037</v>
          </cell>
          <cell r="G2973">
            <v>14</v>
          </cell>
          <cell r="H2973">
            <v>40</v>
          </cell>
          <cell r="I2973">
            <v>1499.7486438000001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P2973">
            <v>1500</v>
          </cell>
          <cell r="V2973" t="str">
            <v>Not Available</v>
          </cell>
        </row>
        <row r="2974">
          <cell r="A2974" t="str">
            <v>101300120038</v>
          </cell>
          <cell r="B2974" t="str">
            <v>Musrigharari</v>
          </cell>
          <cell r="C2974" t="str">
            <v>Musrigharari</v>
          </cell>
          <cell r="D2974" t="str">
            <v>Gomukha Arniya Ganj</v>
          </cell>
          <cell r="E2974">
            <v>10130012</v>
          </cell>
          <cell r="F2974" t="str">
            <v>0038</v>
          </cell>
          <cell r="G2974">
            <v>14</v>
          </cell>
          <cell r="H2974">
            <v>45.800000000000004</v>
          </cell>
          <cell r="I2974">
            <v>1731.8108966400002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P2974">
            <v>1732</v>
          </cell>
          <cell r="V2974" t="str">
            <v>Not Available</v>
          </cell>
        </row>
        <row r="2975">
          <cell r="A2975" t="str">
            <v>101300120039</v>
          </cell>
          <cell r="B2975" t="str">
            <v>Musrigharari</v>
          </cell>
          <cell r="C2975" t="str">
            <v>Musrigharari</v>
          </cell>
          <cell r="D2975" t="str">
            <v>Gomukha Arniya Ganj</v>
          </cell>
          <cell r="E2975">
            <v>10130012</v>
          </cell>
          <cell r="F2975" t="str">
            <v>0039</v>
          </cell>
          <cell r="G2975">
            <v>14</v>
          </cell>
          <cell r="H2975">
            <v>39.699999999999996</v>
          </cell>
          <cell r="I2975">
            <v>1465.3657321380001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P2975">
            <v>1465</v>
          </cell>
          <cell r="V2975" t="str">
            <v>Not Available</v>
          </cell>
        </row>
        <row r="2976">
          <cell r="A2976" t="str">
            <v>101300120040</v>
          </cell>
          <cell r="B2976" t="str">
            <v>Musrigharari</v>
          </cell>
          <cell r="C2976" t="str">
            <v>Musrigharari</v>
          </cell>
          <cell r="D2976" t="str">
            <v>Gomukha Arniya Ganj</v>
          </cell>
          <cell r="E2976">
            <v>10130012</v>
          </cell>
          <cell r="F2976" t="str">
            <v>0040</v>
          </cell>
          <cell r="G2976">
            <v>14</v>
          </cell>
          <cell r="H2976">
            <v>39.300000000000011</v>
          </cell>
          <cell r="I2976">
            <v>1441.5166362960003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P2976">
            <v>1442</v>
          </cell>
          <cell r="V2976" t="str">
            <v>Not Available</v>
          </cell>
        </row>
        <row r="2977">
          <cell r="A2977" t="str">
            <v>101300120041</v>
          </cell>
          <cell r="B2977" t="str">
            <v>Musrigharari</v>
          </cell>
          <cell r="C2977" t="str">
            <v>Musrigharari</v>
          </cell>
          <cell r="D2977" t="str">
            <v>Gomukha Arniya Ganj</v>
          </cell>
          <cell r="E2977">
            <v>10130012</v>
          </cell>
          <cell r="F2977" t="str">
            <v>0041</v>
          </cell>
          <cell r="G2977">
            <v>14</v>
          </cell>
          <cell r="H2977">
            <v>40.699999999999989</v>
          </cell>
          <cell r="I2977">
            <v>1467.9894398400002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P2977">
            <v>1468</v>
          </cell>
          <cell r="V2977" t="str">
            <v>Not Available</v>
          </cell>
        </row>
        <row r="2978">
          <cell r="A2978" t="str">
            <v>101300120042</v>
          </cell>
          <cell r="B2978" t="str">
            <v>Musrigharari</v>
          </cell>
          <cell r="C2978" t="str">
            <v>Musrigharari</v>
          </cell>
          <cell r="D2978" t="str">
            <v>Gomukha Arniya Ganj</v>
          </cell>
          <cell r="E2978">
            <v>10130012</v>
          </cell>
          <cell r="F2978" t="str">
            <v>0042</v>
          </cell>
          <cell r="G2978">
            <v>14</v>
          </cell>
          <cell r="H2978">
            <v>43.199999999999996</v>
          </cell>
          <cell r="I2978">
            <v>1580.4167860799998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P2978">
            <v>1580</v>
          </cell>
          <cell r="V2978" t="str">
            <v>Not Available</v>
          </cell>
        </row>
        <row r="2979">
          <cell r="A2979" t="str">
            <v>101300120043</v>
          </cell>
          <cell r="B2979" t="str">
            <v>Musrigharari</v>
          </cell>
          <cell r="C2979" t="str">
            <v>Musrigharari</v>
          </cell>
          <cell r="D2979" t="str">
            <v>Gomukha Arniya Ganj</v>
          </cell>
          <cell r="E2979">
            <v>10130012</v>
          </cell>
          <cell r="F2979" t="str">
            <v>0043</v>
          </cell>
          <cell r="G2979">
            <v>14</v>
          </cell>
          <cell r="H2979">
            <v>43.7</v>
          </cell>
          <cell r="I2979">
            <v>1610.4338830800002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P2979">
            <v>1610</v>
          </cell>
          <cell r="V2979" t="str">
            <v>Not Available</v>
          </cell>
        </row>
        <row r="2980">
          <cell r="A2980" t="str">
            <v>101300120044</v>
          </cell>
          <cell r="B2980" t="str">
            <v>Musrigharari</v>
          </cell>
          <cell r="C2980" t="str">
            <v>Musrigharari</v>
          </cell>
          <cell r="D2980" t="str">
            <v>Gomukha Arniya Ganj</v>
          </cell>
          <cell r="E2980">
            <v>10130012</v>
          </cell>
          <cell r="F2980" t="str">
            <v>0044</v>
          </cell>
          <cell r="G2980">
            <v>14</v>
          </cell>
          <cell r="H2980">
            <v>44.6</v>
          </cell>
          <cell r="I2980">
            <v>1653.1898407200001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P2980">
            <v>1653</v>
          </cell>
          <cell r="V2980" t="str">
            <v>Not Available</v>
          </cell>
        </row>
        <row r="2981">
          <cell r="A2981" t="str">
            <v>101300120045</v>
          </cell>
          <cell r="B2981" t="str">
            <v>Musrigharari</v>
          </cell>
          <cell r="C2981" t="str">
            <v>Musrigharari</v>
          </cell>
          <cell r="D2981" t="str">
            <v>Gomukha Arniya Ganj</v>
          </cell>
          <cell r="E2981">
            <v>10130012</v>
          </cell>
          <cell r="F2981" t="str">
            <v>0045</v>
          </cell>
          <cell r="G2981">
            <v>14</v>
          </cell>
          <cell r="H2981">
            <v>45.300000000000004</v>
          </cell>
          <cell r="I2981">
            <v>1676.6073284400002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P2981">
            <v>1677</v>
          </cell>
          <cell r="V2981" t="str">
            <v>Not Available</v>
          </cell>
        </row>
        <row r="2982">
          <cell r="A2982" t="str">
            <v>101300120046</v>
          </cell>
          <cell r="B2982" t="str">
            <v>Musrigharari</v>
          </cell>
          <cell r="C2982" t="str">
            <v>Musrigharari</v>
          </cell>
          <cell r="D2982" t="str">
            <v>Gomukha Arniya Ganj</v>
          </cell>
          <cell r="E2982">
            <v>10130012</v>
          </cell>
          <cell r="F2982" t="str">
            <v>0046</v>
          </cell>
          <cell r="G2982">
            <v>14</v>
          </cell>
          <cell r="H2982">
            <v>45.4</v>
          </cell>
          <cell r="I2982">
            <v>1692.6326128800004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P2982">
            <v>1693</v>
          </cell>
          <cell r="V2982" t="str">
            <v>Not Available</v>
          </cell>
        </row>
        <row r="2983">
          <cell r="A2983" t="str">
            <v>101300120047</v>
          </cell>
          <cell r="B2983" t="str">
            <v>Musrigharari</v>
          </cell>
          <cell r="C2983" t="str">
            <v>Musrigharari</v>
          </cell>
          <cell r="D2983" t="str">
            <v>Gomukha Arniya Ganj</v>
          </cell>
          <cell r="E2983">
            <v>10130012</v>
          </cell>
          <cell r="F2983" t="str">
            <v>0047</v>
          </cell>
          <cell r="G2983">
            <v>14</v>
          </cell>
          <cell r="H2983">
            <v>45.8</v>
          </cell>
          <cell r="I2983">
            <v>1711.5091131600004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P2983">
            <v>1712</v>
          </cell>
          <cell r="V2983" t="str">
            <v>Not Available</v>
          </cell>
        </row>
        <row r="2984">
          <cell r="A2984" t="str">
            <v>101300120048</v>
          </cell>
          <cell r="B2984" t="str">
            <v>Musrigharari</v>
          </cell>
          <cell r="C2984" t="str">
            <v>Musrigharari</v>
          </cell>
          <cell r="D2984" t="str">
            <v>Gomukha Arniya Ganj</v>
          </cell>
          <cell r="E2984">
            <v>10130012</v>
          </cell>
          <cell r="F2984" t="str">
            <v>0048</v>
          </cell>
          <cell r="G2984">
            <v>14</v>
          </cell>
          <cell r="H2984">
            <v>44.1</v>
          </cell>
          <cell r="I2984">
            <v>1638.2944159560004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P2984">
            <v>1638</v>
          </cell>
          <cell r="V2984" t="str">
            <v>Not Available</v>
          </cell>
        </row>
        <row r="2985">
          <cell r="A2985" t="str">
            <v>101300120049</v>
          </cell>
          <cell r="B2985" t="str">
            <v>Musrigharari</v>
          </cell>
          <cell r="C2985" t="str">
            <v>Musrigharari</v>
          </cell>
          <cell r="D2985" t="str">
            <v>Gomukha Arniya Ganj</v>
          </cell>
          <cell r="E2985">
            <v>10130012</v>
          </cell>
          <cell r="F2985" t="str">
            <v>0049</v>
          </cell>
          <cell r="G2985">
            <v>13</v>
          </cell>
          <cell r="H2985">
            <v>39</v>
          </cell>
          <cell r="I2985">
            <v>1418.1437872800002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P2985">
            <v>1418</v>
          </cell>
          <cell r="V2985" t="str">
            <v>Not Available</v>
          </cell>
        </row>
        <row r="2986">
          <cell r="A2986" t="str">
            <v>101300120050</v>
          </cell>
          <cell r="B2986" t="str">
            <v>Musrigharari</v>
          </cell>
          <cell r="C2986" t="str">
            <v>Musrigharari</v>
          </cell>
          <cell r="D2986" t="str">
            <v>Gomukha Arniya Ganj</v>
          </cell>
          <cell r="E2986">
            <v>10130012</v>
          </cell>
          <cell r="F2986" t="str">
            <v>0050</v>
          </cell>
          <cell r="G2986">
            <v>13</v>
          </cell>
          <cell r="H2986">
            <v>35.6</v>
          </cell>
          <cell r="I2986">
            <v>1307.9076595200002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P2986">
            <v>1308</v>
          </cell>
          <cell r="V2986" t="str">
            <v>Not Available</v>
          </cell>
        </row>
        <row r="2987">
          <cell r="A2987" t="str">
            <v>101300120051</v>
          </cell>
          <cell r="B2987" t="str">
            <v>Musrigharari</v>
          </cell>
          <cell r="C2987" t="str">
            <v>Musrigharari</v>
          </cell>
          <cell r="D2987" t="str">
            <v>Gomukha Arniya Ganj</v>
          </cell>
          <cell r="E2987">
            <v>10130012</v>
          </cell>
          <cell r="F2987" t="str">
            <v>0051</v>
          </cell>
          <cell r="G2987">
            <v>14</v>
          </cell>
          <cell r="H2987">
            <v>41.499999999999993</v>
          </cell>
          <cell r="I2987">
            <v>1508.4137193840002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P2987">
            <v>1508</v>
          </cell>
          <cell r="V2987" t="str">
            <v>Not Available</v>
          </cell>
        </row>
        <row r="2988">
          <cell r="A2988" t="str">
            <v>101300120052</v>
          </cell>
          <cell r="B2988" t="str">
            <v>Musrigharari</v>
          </cell>
          <cell r="C2988" t="str">
            <v>Musrigharari</v>
          </cell>
          <cell r="D2988" t="str">
            <v>Gomukha Arniya Ganj</v>
          </cell>
          <cell r="E2988">
            <v>10130012</v>
          </cell>
          <cell r="F2988" t="str">
            <v>0052</v>
          </cell>
          <cell r="G2988">
            <v>14</v>
          </cell>
          <cell r="H2988">
            <v>41.7</v>
          </cell>
          <cell r="I2988">
            <v>1524.9590167680003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P2988">
            <v>1525</v>
          </cell>
          <cell r="V2988" t="str">
            <v>Not Available</v>
          </cell>
        </row>
        <row r="2989">
          <cell r="A2989" t="str">
            <v>101300120053</v>
          </cell>
          <cell r="B2989" t="str">
            <v>Musrigharari</v>
          </cell>
          <cell r="C2989" t="str">
            <v>Musrigharari</v>
          </cell>
          <cell r="D2989" t="str">
            <v>Gomukha Arniya Ganj</v>
          </cell>
          <cell r="E2989">
            <v>10130012</v>
          </cell>
          <cell r="F2989" t="str">
            <v>0053</v>
          </cell>
          <cell r="G2989">
            <v>14</v>
          </cell>
          <cell r="H2989">
            <v>40.799999999999997</v>
          </cell>
          <cell r="I2989">
            <v>1493.1988228079999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P2989">
            <v>1493</v>
          </cell>
          <cell r="V2989" t="str">
            <v>Not Available</v>
          </cell>
        </row>
        <row r="2990">
          <cell r="A2990" t="str">
            <v>101300120054</v>
          </cell>
          <cell r="B2990" t="str">
            <v>Musrigharari</v>
          </cell>
          <cell r="C2990" t="str">
            <v>Musrigharari</v>
          </cell>
          <cell r="D2990" t="str">
            <v>Gomukha Arniya Ganj</v>
          </cell>
          <cell r="E2990">
            <v>10130012</v>
          </cell>
          <cell r="F2990" t="str">
            <v>0054</v>
          </cell>
          <cell r="G2990">
            <v>14</v>
          </cell>
          <cell r="H2990">
            <v>41</v>
          </cell>
          <cell r="I2990">
            <v>1499.1365014560001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P2990">
            <v>1499</v>
          </cell>
          <cell r="V2990" t="str">
            <v>Not Available</v>
          </cell>
        </row>
        <row r="2991">
          <cell r="A2991" t="str">
            <v>101300120055</v>
          </cell>
          <cell r="B2991" t="str">
            <v>Musrigharari</v>
          </cell>
          <cell r="C2991" t="str">
            <v>Musrigharari</v>
          </cell>
          <cell r="D2991" t="str">
            <v>Gomukha Arniya Ganj</v>
          </cell>
          <cell r="E2991">
            <v>10130012</v>
          </cell>
          <cell r="F2991" t="str">
            <v>0055</v>
          </cell>
          <cell r="G2991">
            <v>14</v>
          </cell>
          <cell r="H2991">
            <v>43.2</v>
          </cell>
          <cell r="I2991">
            <v>1591.02960588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P2991">
            <v>1591</v>
          </cell>
          <cell r="V2991" t="str">
            <v>Not Available</v>
          </cell>
        </row>
        <row r="2992">
          <cell r="A2992" t="str">
            <v>101300120056</v>
          </cell>
          <cell r="B2992" t="str">
            <v>Musrigharari</v>
          </cell>
          <cell r="C2992" t="str">
            <v>Musrigharari</v>
          </cell>
          <cell r="D2992" t="str">
            <v>Gomukha Arniya Ganj</v>
          </cell>
          <cell r="E2992">
            <v>10130012</v>
          </cell>
          <cell r="F2992" t="str">
            <v>0056</v>
          </cell>
          <cell r="G2992">
            <v>14</v>
          </cell>
          <cell r="H2992">
            <v>43.199999999999996</v>
          </cell>
          <cell r="I2992">
            <v>1598.47467912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P2992">
            <v>1598</v>
          </cell>
          <cell r="V2992" t="str">
            <v>Not Available</v>
          </cell>
        </row>
        <row r="2993">
          <cell r="A2993" t="str">
            <v>101300120057</v>
          </cell>
          <cell r="B2993" t="str">
            <v>Musrigharari</v>
          </cell>
          <cell r="C2993" t="str">
            <v>Musrigharari</v>
          </cell>
          <cell r="D2993" t="str">
            <v>Gomukha Arniya Ganj</v>
          </cell>
          <cell r="E2993">
            <v>10130012</v>
          </cell>
          <cell r="F2993" t="str">
            <v>0057</v>
          </cell>
          <cell r="G2993">
            <v>14</v>
          </cell>
          <cell r="H2993">
            <v>44.499999999999993</v>
          </cell>
          <cell r="I2993">
            <v>1626.7370486400002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P2993">
            <v>1627</v>
          </cell>
          <cell r="V2993" t="str">
            <v>Not Available</v>
          </cell>
        </row>
        <row r="2994">
          <cell r="A2994" t="str">
            <v>101300120058</v>
          </cell>
          <cell r="B2994" t="str">
            <v>Musrigharari</v>
          </cell>
          <cell r="C2994" t="str">
            <v>Musrigharari</v>
          </cell>
          <cell r="D2994" t="str">
            <v>Gomukha Arniya Ganj</v>
          </cell>
          <cell r="E2994">
            <v>10130012</v>
          </cell>
          <cell r="F2994" t="str">
            <v>0058</v>
          </cell>
          <cell r="G2994">
            <v>14</v>
          </cell>
          <cell r="H2994">
            <v>45.599999999999987</v>
          </cell>
          <cell r="I2994">
            <v>1687.00955544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P2994">
            <v>1687</v>
          </cell>
          <cell r="V2994" t="str">
            <v>Not Available</v>
          </cell>
        </row>
        <row r="2995">
          <cell r="A2995" t="str">
            <v>101300120059</v>
          </cell>
          <cell r="B2995" t="str">
            <v>Musrigharari</v>
          </cell>
          <cell r="C2995" t="str">
            <v>Musrigharari</v>
          </cell>
          <cell r="D2995" t="str">
            <v>Gomukha Arniya Ganj</v>
          </cell>
          <cell r="E2995">
            <v>10130012</v>
          </cell>
          <cell r="F2995" t="str">
            <v>0059</v>
          </cell>
          <cell r="G2995">
            <v>14</v>
          </cell>
          <cell r="H2995">
            <v>41.699999999999989</v>
          </cell>
          <cell r="I2995">
            <v>1532.2746225600004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P2995">
            <v>1532</v>
          </cell>
          <cell r="V2995" t="str">
            <v>Not Available</v>
          </cell>
        </row>
        <row r="2996">
          <cell r="A2996" t="str">
            <v>101300120060</v>
          </cell>
          <cell r="B2996" t="str">
            <v>Musrigharari</v>
          </cell>
          <cell r="C2996" t="str">
            <v>Musrigharari</v>
          </cell>
          <cell r="D2996" t="str">
            <v>Gomukha Arniya Ganj</v>
          </cell>
          <cell r="E2996">
            <v>10130012</v>
          </cell>
          <cell r="F2996" t="str">
            <v>0060</v>
          </cell>
          <cell r="G2996">
            <v>14</v>
          </cell>
          <cell r="H2996">
            <v>40.700000000000003</v>
          </cell>
          <cell r="I2996">
            <v>1482.5754741599999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P2996">
            <v>1483</v>
          </cell>
          <cell r="V2996" t="str">
            <v>Not Available</v>
          </cell>
        </row>
        <row r="2997">
          <cell r="A2997" t="str">
            <v>101300120061</v>
          </cell>
          <cell r="B2997" t="str">
            <v>Musrigharari</v>
          </cell>
          <cell r="C2997" t="str">
            <v>Musrigharari</v>
          </cell>
          <cell r="D2997" t="str">
            <v>Gomukha Arniya Ganj</v>
          </cell>
          <cell r="E2997">
            <v>10130012</v>
          </cell>
          <cell r="F2997" t="str">
            <v>0061</v>
          </cell>
          <cell r="G2997">
            <v>13</v>
          </cell>
          <cell r="H2997">
            <v>35.1</v>
          </cell>
          <cell r="I2997">
            <v>1282.14079092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P2997">
            <v>1282</v>
          </cell>
          <cell r="V2997" t="str">
            <v>Not Available</v>
          </cell>
        </row>
        <row r="2998">
          <cell r="A2998" t="str">
            <v>101300120062</v>
          </cell>
          <cell r="B2998" t="str">
            <v>Musrigharari</v>
          </cell>
          <cell r="C2998" t="str">
            <v>Musrigharari</v>
          </cell>
          <cell r="D2998" t="str">
            <v>Gomukha Arniya Ganj</v>
          </cell>
          <cell r="E2998">
            <v>10130012</v>
          </cell>
          <cell r="F2998" t="str">
            <v>0062</v>
          </cell>
          <cell r="G2998">
            <v>13</v>
          </cell>
          <cell r="H2998">
            <v>36.6</v>
          </cell>
          <cell r="I2998">
            <v>1348.6178455200004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P2998">
            <v>1349</v>
          </cell>
          <cell r="V2998" t="str">
            <v>Not Available</v>
          </cell>
        </row>
        <row r="2999">
          <cell r="A2999" t="str">
            <v>101300120063</v>
          </cell>
          <cell r="B2999" t="str">
            <v>Musrigharari</v>
          </cell>
          <cell r="C2999" t="str">
            <v>Musrigharari</v>
          </cell>
          <cell r="D2999" t="str">
            <v>Gomukha Arniya Ganj</v>
          </cell>
          <cell r="E2999">
            <v>10130012</v>
          </cell>
          <cell r="F2999" t="str">
            <v>0063</v>
          </cell>
          <cell r="G2999">
            <v>10</v>
          </cell>
          <cell r="H2999">
            <v>24.8</v>
          </cell>
          <cell r="I2999">
            <v>920.06704548000016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P2999">
            <v>920</v>
          </cell>
          <cell r="V2999" t="str">
            <v>Not Available</v>
          </cell>
        </row>
        <row r="3000">
          <cell r="A3000" t="str">
            <v>101300120064</v>
          </cell>
          <cell r="B3000" t="str">
            <v>Musrigharari</v>
          </cell>
          <cell r="C3000" t="str">
            <v>Musrigharari</v>
          </cell>
          <cell r="D3000" t="str">
            <v>Gomukha Arniya Ganj</v>
          </cell>
          <cell r="E3000">
            <v>10130012</v>
          </cell>
          <cell r="F3000" t="str">
            <v>0064</v>
          </cell>
          <cell r="G3000">
            <v>8</v>
          </cell>
          <cell r="H3000">
            <v>20.2</v>
          </cell>
          <cell r="I3000">
            <v>739.07663544000013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P3000">
            <v>739</v>
          </cell>
          <cell r="V3000" t="str">
            <v>Not Available</v>
          </cell>
        </row>
        <row r="3001">
          <cell r="A3001" t="str">
            <v>101300120065</v>
          </cell>
          <cell r="B3001" t="str">
            <v>Musrigharari</v>
          </cell>
          <cell r="C3001" t="str">
            <v>Musrigharari</v>
          </cell>
          <cell r="D3001" t="str">
            <v>Gomukha Arniya Ganj</v>
          </cell>
          <cell r="E3001">
            <v>10130012</v>
          </cell>
          <cell r="F3001" t="str">
            <v>0065</v>
          </cell>
          <cell r="G3001">
            <v>8</v>
          </cell>
          <cell r="H3001">
            <v>19.900000000000002</v>
          </cell>
          <cell r="I3001">
            <v>727.92231731999993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P3001">
            <v>728</v>
          </cell>
          <cell r="V3001" t="str">
            <v>Not Available</v>
          </cell>
        </row>
        <row r="3002">
          <cell r="A3002" t="str">
            <v>101300120066</v>
          </cell>
          <cell r="B3002" t="str">
            <v>Musrigharari</v>
          </cell>
          <cell r="C3002" t="str">
            <v>Musrigharari</v>
          </cell>
          <cell r="D3002" t="str">
            <v>Gomukha Arniya Ganj</v>
          </cell>
          <cell r="E3002">
            <v>10130012</v>
          </cell>
          <cell r="F3002" t="str">
            <v>0066</v>
          </cell>
          <cell r="G3002">
            <v>7</v>
          </cell>
          <cell r="H3002">
            <v>14.1</v>
          </cell>
          <cell r="I3002">
            <v>506.86981626600004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P3002">
            <v>507</v>
          </cell>
          <cell r="V3002" t="str">
            <v>Not Available</v>
          </cell>
        </row>
        <row r="3003">
          <cell r="A3003" t="str">
            <v>101300120067</v>
          </cell>
          <cell r="B3003" t="str">
            <v>Musrigharari</v>
          </cell>
          <cell r="C3003" t="str">
            <v>Musrigharari</v>
          </cell>
          <cell r="D3003" t="str">
            <v>Gomukha Arniya Ganj</v>
          </cell>
          <cell r="E3003">
            <v>10130012</v>
          </cell>
          <cell r="F3003" t="str">
            <v>0067</v>
          </cell>
          <cell r="G3003">
            <v>6</v>
          </cell>
          <cell r="H3003">
            <v>8.7999999999999989</v>
          </cell>
          <cell r="I3003">
            <v>323.80554888000006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P3003">
            <v>324</v>
          </cell>
          <cell r="V3003" t="str">
            <v>Not Available</v>
          </cell>
        </row>
        <row r="3004">
          <cell r="A3004" t="str">
            <v>101300120068</v>
          </cell>
          <cell r="B3004" t="str">
            <v>Musrigharari</v>
          </cell>
          <cell r="C3004" t="str">
            <v>Musrigharari</v>
          </cell>
          <cell r="D3004" t="str">
            <v>Gomukha Arniya Ganj</v>
          </cell>
          <cell r="E3004">
            <v>10130012</v>
          </cell>
          <cell r="F3004" t="str">
            <v>0068</v>
          </cell>
          <cell r="G3004">
            <v>6</v>
          </cell>
          <cell r="H3004">
            <v>11.399999999999999</v>
          </cell>
          <cell r="I3004">
            <v>414.03031164000009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P3004">
            <v>414</v>
          </cell>
          <cell r="V3004" t="str">
            <v>Not Available</v>
          </cell>
        </row>
        <row r="3005">
          <cell r="A3005" t="str">
            <v>101300120069</v>
          </cell>
          <cell r="B3005" t="str">
            <v>Musrigharari</v>
          </cell>
          <cell r="C3005" t="str">
            <v>Musrigharari</v>
          </cell>
          <cell r="D3005" t="str">
            <v>Gomukha Arniya Ganj</v>
          </cell>
          <cell r="E3005">
            <v>10130012</v>
          </cell>
          <cell r="F3005" t="str">
            <v>0069</v>
          </cell>
          <cell r="G3005">
            <v>5</v>
          </cell>
          <cell r="H3005">
            <v>8.1</v>
          </cell>
          <cell r="I3005">
            <v>292.17755952000005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P3005">
            <v>292</v>
          </cell>
          <cell r="V3005" t="str">
            <v>Not Available</v>
          </cell>
        </row>
        <row r="3006">
          <cell r="A3006" t="str">
            <v>101300120070</v>
          </cell>
          <cell r="B3006" t="str">
            <v>Musrigharari</v>
          </cell>
          <cell r="C3006" t="str">
            <v>Musrigharari</v>
          </cell>
          <cell r="D3006" t="str">
            <v>Gomukha Arniya Ganj</v>
          </cell>
          <cell r="E3006">
            <v>10130012</v>
          </cell>
          <cell r="F3006" t="str">
            <v>0070</v>
          </cell>
          <cell r="G3006">
            <v>4</v>
          </cell>
          <cell r="H3006">
            <v>5.3000000000000007</v>
          </cell>
          <cell r="I3006">
            <v>190.52137368000004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P3006">
            <v>191</v>
          </cell>
          <cell r="V3006" t="str">
            <v>Not Available</v>
          </cell>
        </row>
        <row r="3007">
          <cell r="A3007" t="str">
            <v>101300120072</v>
          </cell>
          <cell r="B3007" t="str">
            <v>Musrigharari</v>
          </cell>
          <cell r="C3007" t="str">
            <v>Musrigharari</v>
          </cell>
          <cell r="D3007" t="str">
            <v>Gomukha Arniya Ganj</v>
          </cell>
          <cell r="E3007">
            <v>10130012</v>
          </cell>
          <cell r="F3007" t="str">
            <v>0072</v>
          </cell>
          <cell r="G3007">
            <v>13</v>
          </cell>
          <cell r="H3007">
            <v>64.699999999999989</v>
          </cell>
          <cell r="I3007">
            <v>2372.7970371600004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P3007">
            <v>2373</v>
          </cell>
          <cell r="V3007" t="str">
            <v>Available</v>
          </cell>
        </row>
        <row r="3008">
          <cell r="A3008" t="str">
            <v>101300120073</v>
          </cell>
          <cell r="B3008" t="str">
            <v>Musrigharari</v>
          </cell>
          <cell r="C3008" t="str">
            <v>Musrigharari</v>
          </cell>
          <cell r="D3008" t="str">
            <v>Gomukha Arniya Ganj</v>
          </cell>
          <cell r="E3008">
            <v>10130012</v>
          </cell>
          <cell r="F3008" t="str">
            <v>0073</v>
          </cell>
          <cell r="G3008">
            <v>14</v>
          </cell>
          <cell r="H3008">
            <v>84.300000000000011</v>
          </cell>
          <cell r="I3008">
            <v>3113.6547815999998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P3008">
            <v>3114</v>
          </cell>
          <cell r="V3008" t="str">
            <v>Available</v>
          </cell>
        </row>
        <row r="3009">
          <cell r="A3009" t="str">
            <v>101300260001</v>
          </cell>
          <cell r="B3009" t="str">
            <v>Musrigharari</v>
          </cell>
          <cell r="C3009" t="str">
            <v>Musrigharari</v>
          </cell>
          <cell r="D3009" t="str">
            <v>Rasalpur</v>
          </cell>
          <cell r="E3009">
            <v>10130026</v>
          </cell>
          <cell r="F3009" t="str">
            <v>0001</v>
          </cell>
          <cell r="G3009">
            <v>6</v>
          </cell>
          <cell r="H3009">
            <v>1.37</v>
          </cell>
          <cell r="I3009">
            <v>58.001286069600006</v>
          </cell>
          <cell r="J3009">
            <v>0</v>
          </cell>
          <cell r="K3009">
            <v>58.001286069600006</v>
          </cell>
          <cell r="L3009">
            <v>0</v>
          </cell>
          <cell r="M3009">
            <v>0</v>
          </cell>
          <cell r="P3009">
            <v>0</v>
          </cell>
          <cell r="V3009" t="str">
            <v>Not Available</v>
          </cell>
        </row>
        <row r="3010">
          <cell r="A3010" t="str">
            <v>101300260002</v>
          </cell>
          <cell r="B3010" t="str">
            <v>Musrigharari</v>
          </cell>
          <cell r="C3010" t="str">
            <v>Musrigharari</v>
          </cell>
          <cell r="D3010" t="str">
            <v>Rasalpur</v>
          </cell>
          <cell r="E3010">
            <v>10130026</v>
          </cell>
          <cell r="F3010" t="str">
            <v>0002</v>
          </cell>
          <cell r="G3010">
            <v>8</v>
          </cell>
          <cell r="H3010">
            <v>49.129999999999995</v>
          </cell>
          <cell r="I3010">
            <v>2162.1544313149998</v>
          </cell>
          <cell r="J3010">
            <v>0</v>
          </cell>
          <cell r="K3010">
            <v>0</v>
          </cell>
          <cell r="L3010">
            <v>778</v>
          </cell>
          <cell r="M3010">
            <v>0</v>
          </cell>
          <cell r="P3010">
            <v>1384</v>
          </cell>
          <cell r="V3010" t="str">
            <v>Available</v>
          </cell>
        </row>
        <row r="3011">
          <cell r="A3011" t="str">
            <v>101300260004</v>
          </cell>
          <cell r="B3011" t="str">
            <v>Musrigharari</v>
          </cell>
          <cell r="C3011" t="str">
            <v>Musrigharari</v>
          </cell>
          <cell r="D3011" t="str">
            <v>Rasalpur</v>
          </cell>
          <cell r="E3011">
            <v>10130026</v>
          </cell>
          <cell r="F3011" t="str">
            <v>0004</v>
          </cell>
          <cell r="G3011">
            <v>5</v>
          </cell>
          <cell r="H3011">
            <v>24.41</v>
          </cell>
          <cell r="I3011">
            <v>984.5149248360002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P3011">
            <v>985</v>
          </cell>
          <cell r="V3011" t="str">
            <v>Not Available</v>
          </cell>
        </row>
        <row r="3012">
          <cell r="A3012" t="str">
            <v>101300260005</v>
          </cell>
          <cell r="B3012" t="str">
            <v>Musrigharari</v>
          </cell>
          <cell r="C3012" t="str">
            <v>Musrigharari</v>
          </cell>
          <cell r="D3012" t="str">
            <v>Rasalpur</v>
          </cell>
          <cell r="E3012">
            <v>10130026</v>
          </cell>
          <cell r="F3012" t="str">
            <v>0005</v>
          </cell>
          <cell r="G3012">
            <v>5</v>
          </cell>
          <cell r="H3012">
            <v>29.82</v>
          </cell>
          <cell r="I3012">
            <v>1164.6244645200002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P3012">
            <v>1165</v>
          </cell>
          <cell r="V3012" t="str">
            <v>Not Available</v>
          </cell>
        </row>
        <row r="3013">
          <cell r="A3013" t="str">
            <v>101300260006</v>
          </cell>
          <cell r="B3013" t="str">
            <v>Musrigharari</v>
          </cell>
          <cell r="C3013" t="str">
            <v>Musrigharari</v>
          </cell>
          <cell r="D3013" t="str">
            <v>Rasalpur</v>
          </cell>
          <cell r="E3013">
            <v>10130026</v>
          </cell>
          <cell r="F3013" t="str">
            <v>0006</v>
          </cell>
          <cell r="G3013">
            <v>2</v>
          </cell>
          <cell r="H3013">
            <v>12.18</v>
          </cell>
          <cell r="I3013">
            <v>665.65080512279997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P3013">
            <v>666</v>
          </cell>
          <cell r="V3013" t="str">
            <v>Not Available</v>
          </cell>
        </row>
        <row r="3014">
          <cell r="A3014" t="str">
            <v>101300260007</v>
          </cell>
          <cell r="B3014" t="str">
            <v>Musrigharari</v>
          </cell>
          <cell r="C3014" t="str">
            <v>Musrigharari</v>
          </cell>
          <cell r="D3014" t="str">
            <v>Rasalpur</v>
          </cell>
          <cell r="E3014">
            <v>10130026</v>
          </cell>
          <cell r="F3014" t="str">
            <v>0007</v>
          </cell>
          <cell r="G3014">
            <v>3</v>
          </cell>
          <cell r="H3014">
            <v>19.059999999999999</v>
          </cell>
          <cell r="I3014">
            <v>771.12595454400002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P3014">
            <v>771</v>
          </cell>
          <cell r="V3014" t="str">
            <v>Not Available</v>
          </cell>
        </row>
        <row r="3015">
          <cell r="A3015" t="str">
            <v>101300260008</v>
          </cell>
          <cell r="B3015" t="str">
            <v>Musrigharari</v>
          </cell>
          <cell r="C3015" t="str">
            <v>Musrigharari</v>
          </cell>
          <cell r="D3015" t="str">
            <v>Rasalpur</v>
          </cell>
          <cell r="E3015">
            <v>10130026</v>
          </cell>
          <cell r="F3015" t="str">
            <v>0008</v>
          </cell>
          <cell r="G3015">
            <v>3</v>
          </cell>
          <cell r="H3015">
            <v>18.89</v>
          </cell>
          <cell r="I3015">
            <v>763.76940037200006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P3015">
            <v>764</v>
          </cell>
          <cell r="V3015" t="str">
            <v>Not Available</v>
          </cell>
        </row>
        <row r="3016">
          <cell r="A3016" t="str">
            <v>101300260009</v>
          </cell>
          <cell r="B3016" t="str">
            <v>Musrigharari</v>
          </cell>
          <cell r="C3016" t="str">
            <v>Musrigharari</v>
          </cell>
          <cell r="D3016" t="str">
            <v>Rasalpur</v>
          </cell>
          <cell r="E3016">
            <v>10130026</v>
          </cell>
          <cell r="F3016" t="str">
            <v>0009</v>
          </cell>
          <cell r="G3016">
            <v>5</v>
          </cell>
          <cell r="H3016">
            <v>38.19</v>
          </cell>
          <cell r="I3016">
            <v>1440.4787115840002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P3016">
            <v>1440</v>
          </cell>
          <cell r="V3016" t="str">
            <v>Not Available</v>
          </cell>
        </row>
        <row r="3017">
          <cell r="A3017" t="str">
            <v>101300260010</v>
          </cell>
          <cell r="B3017" t="str">
            <v>Musrigharari</v>
          </cell>
          <cell r="C3017" t="str">
            <v>Musrigharari</v>
          </cell>
          <cell r="D3017" t="str">
            <v>Rasalpur</v>
          </cell>
          <cell r="E3017">
            <v>10130026</v>
          </cell>
          <cell r="F3017" t="str">
            <v>0010</v>
          </cell>
          <cell r="G3017">
            <v>2</v>
          </cell>
          <cell r="H3017">
            <v>10.629999999999999</v>
          </cell>
          <cell r="I3017">
            <v>431.90638180560006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P3017">
            <v>432</v>
          </cell>
          <cell r="V3017" t="str">
            <v>Not Available</v>
          </cell>
        </row>
        <row r="3018">
          <cell r="A3018" t="str">
            <v>101300300002</v>
          </cell>
          <cell r="B3018" t="str">
            <v>Musrigharari</v>
          </cell>
          <cell r="C3018" t="str">
            <v>Musrigharari</v>
          </cell>
          <cell r="D3018" t="str">
            <v xml:space="preserve">Chhuchhipur                                                                                         </v>
          </cell>
          <cell r="E3018">
            <v>10130030</v>
          </cell>
          <cell r="F3018" t="str">
            <v>0002</v>
          </cell>
          <cell r="G3018">
            <v>4</v>
          </cell>
          <cell r="H3018">
            <v>100</v>
          </cell>
          <cell r="I3018">
            <v>3696.1055999999999</v>
          </cell>
          <cell r="J3018">
            <v>0</v>
          </cell>
          <cell r="K3018">
            <v>0</v>
          </cell>
          <cell r="L3018">
            <v>1416</v>
          </cell>
          <cell r="M3018">
            <v>0</v>
          </cell>
          <cell r="P3018">
            <v>1652</v>
          </cell>
          <cell r="V3018" t="str">
            <v>Available</v>
          </cell>
        </row>
        <row r="3019">
          <cell r="A3019" t="str">
            <v>101300320002</v>
          </cell>
          <cell r="B3019" t="str">
            <v>Musrigharari</v>
          </cell>
          <cell r="C3019" t="str">
            <v>Musrigharari</v>
          </cell>
          <cell r="D3019" t="str">
            <v xml:space="preserve">Gomukh Soharthi Purvi Tola                                                                          </v>
          </cell>
          <cell r="E3019">
            <v>10130032</v>
          </cell>
          <cell r="F3019" t="str">
            <v>0002</v>
          </cell>
          <cell r="G3019">
            <v>12</v>
          </cell>
          <cell r="H3019">
            <v>50.5</v>
          </cell>
          <cell r="I3019">
            <v>2154.8972072500001</v>
          </cell>
          <cell r="J3019">
            <v>0</v>
          </cell>
          <cell r="K3019">
            <v>0</v>
          </cell>
          <cell r="L3019">
            <v>252</v>
          </cell>
          <cell r="M3019">
            <v>0</v>
          </cell>
          <cell r="P3019">
            <v>1844</v>
          </cell>
          <cell r="V3019" t="str">
            <v>Available</v>
          </cell>
        </row>
        <row r="3020">
          <cell r="A3020" t="str">
            <v>101300460002</v>
          </cell>
          <cell r="B3020" t="str">
            <v>Musrigharari</v>
          </cell>
          <cell r="C3020" t="str">
            <v>Musrigharari</v>
          </cell>
          <cell r="D3020" t="str">
            <v>Jahangipur Salkhanni</v>
          </cell>
          <cell r="E3020">
            <v>10130046</v>
          </cell>
          <cell r="F3020" t="str">
            <v>0002</v>
          </cell>
          <cell r="G3020">
            <v>14</v>
          </cell>
          <cell r="H3020">
            <v>260.38</v>
          </cell>
          <cell r="I3020">
            <v>11098.10753161836</v>
          </cell>
          <cell r="J3020">
            <v>0</v>
          </cell>
          <cell r="K3020">
            <v>0</v>
          </cell>
          <cell r="L3020">
            <v>1603</v>
          </cell>
          <cell r="M3020">
            <v>0</v>
          </cell>
          <cell r="P3020">
            <v>9495</v>
          </cell>
          <cell r="V3020" t="str">
            <v>Available</v>
          </cell>
        </row>
        <row r="3021">
          <cell r="A3021" t="str">
            <v>101300460003</v>
          </cell>
          <cell r="B3021" t="str">
            <v>Musrigharari</v>
          </cell>
          <cell r="C3021" t="str">
            <v>Musrigharari</v>
          </cell>
          <cell r="D3021" t="str">
            <v>Jahangipur Salkhanni</v>
          </cell>
          <cell r="E3021">
            <v>10130046</v>
          </cell>
          <cell r="F3021" t="str">
            <v>0003</v>
          </cell>
          <cell r="G3021">
            <v>5</v>
          </cell>
          <cell r="H3021">
            <v>20.059999999999999</v>
          </cell>
          <cell r="I3021">
            <v>870.65310071520003</v>
          </cell>
          <cell r="J3021">
            <v>0</v>
          </cell>
          <cell r="K3021">
            <v>0</v>
          </cell>
          <cell r="L3021">
            <v>0</v>
          </cell>
          <cell r="M3021">
            <v>871</v>
          </cell>
          <cell r="P3021">
            <v>0</v>
          </cell>
          <cell r="V3021" t="str">
            <v>Available</v>
          </cell>
        </row>
        <row r="3022">
          <cell r="A3022" t="str">
            <v>101300460007</v>
          </cell>
          <cell r="B3022" t="str">
            <v>Musrigharari</v>
          </cell>
          <cell r="C3022" t="str">
            <v>Musrigharari</v>
          </cell>
          <cell r="D3022" t="str">
            <v>Jahangipur Salkhanni</v>
          </cell>
          <cell r="E3022">
            <v>10130046</v>
          </cell>
          <cell r="F3022" t="str">
            <v>0007</v>
          </cell>
          <cell r="G3022">
            <v>11</v>
          </cell>
          <cell r="H3022">
            <v>25.830000000000002</v>
          </cell>
          <cell r="I3022">
            <v>1318.34616575936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P3022">
            <v>1318</v>
          </cell>
          <cell r="V3022" t="str">
            <v>Not Available</v>
          </cell>
        </row>
        <row r="3023">
          <cell r="A3023" t="str">
            <v>101300460008</v>
          </cell>
          <cell r="B3023" t="str">
            <v>Musrigharari</v>
          </cell>
          <cell r="C3023" t="str">
            <v>Musrigharari</v>
          </cell>
          <cell r="D3023" t="str">
            <v>Jahangipur Salkhanni</v>
          </cell>
          <cell r="E3023">
            <v>10130046</v>
          </cell>
          <cell r="F3023" t="str">
            <v>0008</v>
          </cell>
          <cell r="G3023">
            <v>8</v>
          </cell>
          <cell r="H3023">
            <v>15.55</v>
          </cell>
          <cell r="I3023">
            <v>812.74057161542009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P3023">
            <v>813</v>
          </cell>
          <cell r="V3023" t="str">
            <v>Not Available</v>
          </cell>
        </row>
        <row r="3024">
          <cell r="A3024" t="str">
            <v>101300460009</v>
          </cell>
          <cell r="B3024" t="str">
            <v>Musrigharari</v>
          </cell>
          <cell r="C3024" t="str">
            <v>Musrigharari</v>
          </cell>
          <cell r="D3024" t="str">
            <v>Jahangipur Salkhanni</v>
          </cell>
          <cell r="E3024">
            <v>10130046</v>
          </cell>
          <cell r="F3024" t="str">
            <v>0009</v>
          </cell>
          <cell r="G3024">
            <v>8</v>
          </cell>
          <cell r="H3024">
            <v>17.89</v>
          </cell>
          <cell r="I3024">
            <v>955.06711912533194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P3024">
            <v>955</v>
          </cell>
          <cell r="V3024" t="str">
            <v>Not Available</v>
          </cell>
        </row>
        <row r="3025">
          <cell r="A3025" t="str">
            <v>101300460010</v>
          </cell>
          <cell r="B3025" t="str">
            <v>Musrigharari</v>
          </cell>
          <cell r="C3025" t="str">
            <v>Musrigharari</v>
          </cell>
          <cell r="D3025" t="str">
            <v>Jahangipur Salkhanni</v>
          </cell>
          <cell r="E3025">
            <v>10130046</v>
          </cell>
          <cell r="F3025" t="str">
            <v>0010</v>
          </cell>
          <cell r="G3025">
            <v>3</v>
          </cell>
          <cell r="H3025">
            <v>5.9</v>
          </cell>
          <cell r="I3025">
            <v>298.66857206319401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P3025">
            <v>299</v>
          </cell>
          <cell r="V3025" t="str">
            <v>Not Available</v>
          </cell>
        </row>
        <row r="3026">
          <cell r="A3026" t="str">
            <v>101300460011</v>
          </cell>
          <cell r="B3026" t="str">
            <v>Musrigharari</v>
          </cell>
          <cell r="C3026" t="str">
            <v>Musrigharari</v>
          </cell>
          <cell r="D3026" t="str">
            <v>Jahangipur Salkhanni</v>
          </cell>
          <cell r="E3026">
            <v>10130046</v>
          </cell>
          <cell r="F3026" t="str">
            <v>0011</v>
          </cell>
          <cell r="G3026">
            <v>1</v>
          </cell>
          <cell r="H3026">
            <v>1.37</v>
          </cell>
          <cell r="I3026">
            <v>69.21121395921601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P3026">
            <v>69</v>
          </cell>
          <cell r="V3026" t="str">
            <v>Not Available</v>
          </cell>
        </row>
        <row r="3027">
          <cell r="A3027" t="str">
            <v>101300460012</v>
          </cell>
          <cell r="B3027" t="str">
            <v>Musrigharari</v>
          </cell>
          <cell r="C3027" t="str">
            <v>Musrigharari</v>
          </cell>
          <cell r="D3027" t="str">
            <v>Jahangipur Salkhanni</v>
          </cell>
          <cell r="E3027">
            <v>10130046</v>
          </cell>
          <cell r="F3027" t="str">
            <v>0012</v>
          </cell>
          <cell r="G3027">
            <v>1</v>
          </cell>
          <cell r="H3027">
            <v>1.53</v>
          </cell>
          <cell r="I3027">
            <v>71.842271135040008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P3027">
            <v>72</v>
          </cell>
          <cell r="V3027" t="str">
            <v>Not Available</v>
          </cell>
        </row>
        <row r="3028">
          <cell r="A3028" t="str">
            <v>101300460013</v>
          </cell>
          <cell r="B3028" t="str">
            <v>Musrigharari</v>
          </cell>
          <cell r="C3028" t="str">
            <v>Musrigharari</v>
          </cell>
          <cell r="D3028" t="str">
            <v>Jahangipur Salkhanni</v>
          </cell>
          <cell r="E3028">
            <v>10130046</v>
          </cell>
          <cell r="F3028" t="str">
            <v>0013</v>
          </cell>
          <cell r="G3028">
            <v>1</v>
          </cell>
          <cell r="H3028">
            <v>1.05</v>
          </cell>
          <cell r="I3028">
            <v>65.958796261049997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P3028">
            <v>66</v>
          </cell>
          <cell r="V3028" t="str">
            <v>Not Available</v>
          </cell>
        </row>
        <row r="3029">
          <cell r="A3029" t="str">
            <v>101300460015</v>
          </cell>
          <cell r="B3029" t="str">
            <v>Musrigharari</v>
          </cell>
          <cell r="C3029" t="str">
            <v>Musrigharari</v>
          </cell>
          <cell r="D3029" t="str">
            <v>Jahangipur Salkhanni</v>
          </cell>
          <cell r="E3029">
            <v>10130046</v>
          </cell>
          <cell r="F3029" t="str">
            <v>0015</v>
          </cell>
          <cell r="G3029">
            <v>5</v>
          </cell>
          <cell r="H3029">
            <v>10.28</v>
          </cell>
          <cell r="I3029">
            <v>602.12967419310394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P3029">
            <v>602</v>
          </cell>
          <cell r="V3029" t="str">
            <v>Not Available</v>
          </cell>
        </row>
        <row r="3030">
          <cell r="A3030" t="str">
            <v>101300460017</v>
          </cell>
          <cell r="B3030" t="str">
            <v>Musrigharari</v>
          </cell>
          <cell r="C3030" t="str">
            <v>Musrigharari</v>
          </cell>
          <cell r="D3030" t="str">
            <v>Jahangipur Salkhanni</v>
          </cell>
          <cell r="E3030">
            <v>10130046</v>
          </cell>
          <cell r="F3030" t="str">
            <v>0017</v>
          </cell>
          <cell r="G3030">
            <v>6</v>
          </cell>
          <cell r="H3030">
            <v>12.2</v>
          </cell>
          <cell r="I3030">
            <v>600.30938110374007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P3030">
            <v>600</v>
          </cell>
          <cell r="V3030" t="str">
            <v>Not Available</v>
          </cell>
        </row>
        <row r="3031">
          <cell r="A3031" t="str">
            <v>101300460021</v>
          </cell>
          <cell r="B3031" t="str">
            <v>Musrigharari</v>
          </cell>
          <cell r="C3031" t="str">
            <v>Musrigharari</v>
          </cell>
          <cell r="D3031" t="str">
            <v>Jahangipur Salkhanni</v>
          </cell>
          <cell r="E3031">
            <v>10130046</v>
          </cell>
          <cell r="F3031" t="str">
            <v>0021</v>
          </cell>
          <cell r="G3031">
            <v>2</v>
          </cell>
          <cell r="H3031">
            <v>3.04</v>
          </cell>
          <cell r="I3031">
            <v>163.01722642560003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P3031">
            <v>163</v>
          </cell>
          <cell r="V3031" t="str">
            <v>Not Available</v>
          </cell>
        </row>
        <row r="3032">
          <cell r="A3032" t="str">
            <v>101300470001</v>
          </cell>
          <cell r="B3032" t="str">
            <v>Musrigharari</v>
          </cell>
          <cell r="C3032" t="str">
            <v>Musrigharari</v>
          </cell>
          <cell r="D3032" t="str">
            <v>Sekhpura</v>
          </cell>
          <cell r="E3032">
            <v>10130047</v>
          </cell>
          <cell r="F3032" t="str">
            <v>0001</v>
          </cell>
          <cell r="G3032">
            <v>14</v>
          </cell>
          <cell r="H3032">
            <v>3.0300000000000002</v>
          </cell>
          <cell r="I3032">
            <v>107.36452738440002</v>
          </cell>
          <cell r="J3032">
            <v>0</v>
          </cell>
          <cell r="K3032">
            <v>107.36452738440002</v>
          </cell>
          <cell r="L3032">
            <v>0</v>
          </cell>
          <cell r="M3032">
            <v>0</v>
          </cell>
          <cell r="P3032">
            <v>0</v>
          </cell>
          <cell r="V3032" t="str">
            <v>Not Available</v>
          </cell>
        </row>
        <row r="3033">
          <cell r="A3033" t="str">
            <v>101300470002</v>
          </cell>
          <cell r="B3033" t="str">
            <v>Musrigharari</v>
          </cell>
          <cell r="C3033" t="str">
            <v>Musrigharari</v>
          </cell>
          <cell r="D3033" t="str">
            <v>Sekhpura</v>
          </cell>
          <cell r="E3033">
            <v>10130047</v>
          </cell>
          <cell r="F3033" t="str">
            <v>0002</v>
          </cell>
          <cell r="G3033">
            <v>5</v>
          </cell>
          <cell r="H3033">
            <v>15.620000000000001</v>
          </cell>
          <cell r="I3033">
            <v>550.06554463740008</v>
          </cell>
          <cell r="J3033">
            <v>0</v>
          </cell>
          <cell r="K3033">
            <v>0</v>
          </cell>
          <cell r="L3033">
            <v>489</v>
          </cell>
          <cell r="M3033">
            <v>0</v>
          </cell>
          <cell r="P3033">
            <v>61</v>
          </cell>
          <cell r="V3033" t="str">
            <v>Available</v>
          </cell>
        </row>
        <row r="3034">
          <cell r="A3034" t="str">
            <v>101300470003</v>
          </cell>
          <cell r="B3034" t="str">
            <v>Musrigharari</v>
          </cell>
          <cell r="C3034" t="str">
            <v>Musrigharari</v>
          </cell>
          <cell r="D3034" t="str">
            <v>Sekhpura</v>
          </cell>
          <cell r="E3034">
            <v>10130047</v>
          </cell>
          <cell r="F3034" t="str">
            <v>0003</v>
          </cell>
          <cell r="G3034">
            <v>14</v>
          </cell>
          <cell r="H3034">
            <v>119.28999999999999</v>
          </cell>
          <cell r="I3034">
            <v>4704.013129068001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P3034">
            <v>4704</v>
          </cell>
          <cell r="V3034" t="str">
            <v>Available</v>
          </cell>
        </row>
        <row r="3035">
          <cell r="A3035" t="str">
            <v>101300470004</v>
          </cell>
          <cell r="B3035" t="str">
            <v>Musrigharari</v>
          </cell>
          <cell r="C3035" t="str">
            <v>Musrigharari</v>
          </cell>
          <cell r="D3035" t="str">
            <v>Sekhpura</v>
          </cell>
          <cell r="E3035">
            <v>10130047</v>
          </cell>
          <cell r="F3035" t="str">
            <v>0004</v>
          </cell>
          <cell r="G3035">
            <v>14</v>
          </cell>
          <cell r="H3035">
            <v>74.66</v>
          </cell>
          <cell r="I3035">
            <v>2636.9611446222002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P3035">
            <v>2637</v>
          </cell>
          <cell r="V3035" t="str">
            <v>Available</v>
          </cell>
        </row>
        <row r="3036">
          <cell r="A3036" t="str">
            <v>101300470009</v>
          </cell>
          <cell r="B3036" t="str">
            <v>Musrigharari</v>
          </cell>
          <cell r="C3036" t="str">
            <v>Musrigharari</v>
          </cell>
          <cell r="D3036" t="str">
            <v>Sekhpura</v>
          </cell>
          <cell r="E3036">
            <v>10130047</v>
          </cell>
          <cell r="F3036" t="str">
            <v>0009</v>
          </cell>
          <cell r="G3036">
            <v>12</v>
          </cell>
          <cell r="H3036">
            <v>36.6</v>
          </cell>
          <cell r="I3036">
            <v>1149.1215696576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P3036">
            <v>1149</v>
          </cell>
          <cell r="V3036" t="str">
            <v>Available</v>
          </cell>
        </row>
        <row r="3037">
          <cell r="A3037" t="str">
            <v>101300470014</v>
          </cell>
          <cell r="B3037" t="str">
            <v>Musrigharari</v>
          </cell>
          <cell r="C3037" t="str">
            <v>Musrigharari</v>
          </cell>
          <cell r="D3037" t="str">
            <v>Sekhpura</v>
          </cell>
          <cell r="E3037">
            <v>10130047</v>
          </cell>
          <cell r="F3037" t="str">
            <v>0014</v>
          </cell>
          <cell r="G3037">
            <v>12</v>
          </cell>
          <cell r="H3037">
            <v>14.139999999999999</v>
          </cell>
          <cell r="I3037">
            <v>485.69543902440012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P3037">
            <v>486</v>
          </cell>
          <cell r="V3037" t="str">
            <v>Available</v>
          </cell>
        </row>
        <row r="3038">
          <cell r="A3038" t="str">
            <v>101300520001</v>
          </cell>
          <cell r="B3038" t="str">
            <v>Musrigharari</v>
          </cell>
          <cell r="C3038" t="str">
            <v>Musrigharari</v>
          </cell>
          <cell r="D3038" t="str">
            <v>Songar</v>
          </cell>
          <cell r="E3038">
            <v>10130052</v>
          </cell>
          <cell r="F3038" t="str">
            <v>0001</v>
          </cell>
          <cell r="G3038">
            <v>14</v>
          </cell>
          <cell r="H3038">
            <v>16.05</v>
          </cell>
          <cell r="I3038">
            <v>520.66075786560009</v>
          </cell>
          <cell r="J3038">
            <v>0</v>
          </cell>
          <cell r="K3038">
            <v>520.66075786560009</v>
          </cell>
          <cell r="L3038">
            <v>0</v>
          </cell>
          <cell r="M3038">
            <v>0</v>
          </cell>
          <cell r="P3038">
            <v>0</v>
          </cell>
          <cell r="V3038" t="str">
            <v>Not Available</v>
          </cell>
        </row>
        <row r="3039">
          <cell r="A3039" t="str">
            <v>101300520002</v>
          </cell>
          <cell r="B3039" t="str">
            <v>Musrigharari</v>
          </cell>
          <cell r="C3039" t="str">
            <v>Musrigharari</v>
          </cell>
          <cell r="D3039" t="str">
            <v>Songar</v>
          </cell>
          <cell r="E3039">
            <v>10130052</v>
          </cell>
          <cell r="F3039" t="str">
            <v>0002</v>
          </cell>
          <cell r="G3039">
            <v>14</v>
          </cell>
          <cell r="H3039">
            <v>130.11999999999998</v>
          </cell>
          <cell r="I3039">
            <v>4762.8302364521996</v>
          </cell>
          <cell r="J3039">
            <v>0</v>
          </cell>
          <cell r="K3039">
            <v>0</v>
          </cell>
          <cell r="L3039">
            <v>876</v>
          </cell>
          <cell r="M3039">
            <v>0</v>
          </cell>
          <cell r="P3039">
            <v>3887</v>
          </cell>
          <cell r="V3039" t="str">
            <v>Available</v>
          </cell>
        </row>
        <row r="3040">
          <cell r="A3040" t="str">
            <v>101300520005</v>
          </cell>
          <cell r="B3040" t="str">
            <v>Musrigharari</v>
          </cell>
          <cell r="C3040" t="str">
            <v>Musrigharari</v>
          </cell>
          <cell r="D3040" t="str">
            <v>Songar</v>
          </cell>
          <cell r="E3040">
            <v>10130052</v>
          </cell>
          <cell r="F3040" t="str">
            <v>0005</v>
          </cell>
          <cell r="G3040">
            <v>4</v>
          </cell>
          <cell r="H3040">
            <v>36.369999999999997</v>
          </cell>
          <cell r="I3040">
            <v>1387.8093909583999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P3040">
            <v>1388</v>
          </cell>
          <cell r="V3040" t="str">
            <v>Available</v>
          </cell>
        </row>
        <row r="3041">
          <cell r="A3041" t="str">
            <v>101300520006</v>
          </cell>
          <cell r="B3041" t="str">
            <v>Musrigharari</v>
          </cell>
          <cell r="C3041" t="str">
            <v>Musrigharari</v>
          </cell>
          <cell r="D3041" t="str">
            <v>Songar</v>
          </cell>
          <cell r="E3041">
            <v>10130052</v>
          </cell>
          <cell r="F3041" t="str">
            <v>0006</v>
          </cell>
          <cell r="G3041">
            <v>6</v>
          </cell>
          <cell r="H3041">
            <v>14.24</v>
          </cell>
          <cell r="I3041">
            <v>453.57948278280003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P3041">
            <v>454</v>
          </cell>
          <cell r="V3041" t="str">
            <v>Available</v>
          </cell>
        </row>
        <row r="3042">
          <cell r="A3042" t="str">
            <v>101300520013</v>
          </cell>
          <cell r="B3042" t="str">
            <v>Musrigharari</v>
          </cell>
          <cell r="C3042" t="str">
            <v>Musrigharari</v>
          </cell>
          <cell r="D3042" t="str">
            <v>Songar</v>
          </cell>
          <cell r="E3042">
            <v>10130052</v>
          </cell>
          <cell r="F3042" t="str">
            <v>0013</v>
          </cell>
          <cell r="G3042">
            <v>14</v>
          </cell>
          <cell r="H3042">
            <v>62.31</v>
          </cell>
          <cell r="I3042">
            <v>2020.1257908810001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P3042">
            <v>2020</v>
          </cell>
          <cell r="V3042" t="str">
            <v>Available</v>
          </cell>
        </row>
        <row r="3043">
          <cell r="A3043" t="str">
            <v>101300520016</v>
          </cell>
          <cell r="B3043" t="str">
            <v>Musrigharari</v>
          </cell>
          <cell r="C3043" t="str">
            <v>Musrigharari</v>
          </cell>
          <cell r="D3043" t="str">
            <v>Songar</v>
          </cell>
          <cell r="E3043">
            <v>10130052</v>
          </cell>
          <cell r="F3043" t="str">
            <v>0016</v>
          </cell>
          <cell r="G3043">
            <v>8</v>
          </cell>
          <cell r="H3043">
            <v>22.86</v>
          </cell>
          <cell r="I3043">
            <v>687.19824387720018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P3043">
            <v>687</v>
          </cell>
          <cell r="V3043" t="str">
            <v>Available</v>
          </cell>
        </row>
        <row r="3044">
          <cell r="A3044" t="str">
            <v>101300520019</v>
          </cell>
          <cell r="B3044" t="str">
            <v>Musrigharari</v>
          </cell>
          <cell r="C3044" t="str">
            <v>Musrigharari</v>
          </cell>
          <cell r="D3044" t="str">
            <v>Songar</v>
          </cell>
          <cell r="E3044">
            <v>10130052</v>
          </cell>
          <cell r="F3044" t="str">
            <v>0019</v>
          </cell>
          <cell r="G3044">
            <v>8</v>
          </cell>
          <cell r="H3044">
            <v>25.2</v>
          </cell>
          <cell r="I3044">
            <v>1019.24761554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P3044">
            <v>1019</v>
          </cell>
          <cell r="V3044" t="str">
            <v>Available</v>
          </cell>
        </row>
        <row r="3045">
          <cell r="A3045" t="str">
            <v>101300520023</v>
          </cell>
          <cell r="B3045" t="str">
            <v>Musrigharari</v>
          </cell>
          <cell r="C3045" t="str">
            <v>Musrigharari</v>
          </cell>
          <cell r="D3045" t="str">
            <v>Songar</v>
          </cell>
          <cell r="E3045">
            <v>10130052</v>
          </cell>
          <cell r="F3045" t="str">
            <v>0023</v>
          </cell>
          <cell r="G3045">
            <v>14</v>
          </cell>
          <cell r="H3045">
            <v>137.51</v>
          </cell>
          <cell r="I3045">
            <v>5032.0195311276002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P3045">
            <v>5032</v>
          </cell>
          <cell r="V3045" t="str">
            <v>Available</v>
          </cell>
        </row>
        <row r="3046">
          <cell r="A3046" t="str">
            <v>101300520025</v>
          </cell>
          <cell r="B3046" t="str">
            <v>Musrigharari</v>
          </cell>
          <cell r="C3046" t="str">
            <v>Musrigharari</v>
          </cell>
          <cell r="D3046" t="str">
            <v>Songar</v>
          </cell>
          <cell r="E3046">
            <v>10130052</v>
          </cell>
          <cell r="F3046" t="str">
            <v>0025</v>
          </cell>
          <cell r="G3046">
            <v>7</v>
          </cell>
          <cell r="H3046">
            <v>27.78</v>
          </cell>
          <cell r="I3046">
            <v>896.92218940500004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P3046">
            <v>897</v>
          </cell>
          <cell r="V3046" t="str">
            <v>Available</v>
          </cell>
        </row>
        <row r="3047">
          <cell r="A3047" t="str">
            <v>101300520027</v>
          </cell>
          <cell r="B3047" t="str">
            <v>Musrigharari</v>
          </cell>
          <cell r="C3047" t="str">
            <v>Musrigharari</v>
          </cell>
          <cell r="D3047" t="str">
            <v>Songar</v>
          </cell>
          <cell r="E3047">
            <v>10130052</v>
          </cell>
          <cell r="F3047" t="str">
            <v>0027</v>
          </cell>
          <cell r="G3047">
            <v>14</v>
          </cell>
          <cell r="H3047">
            <v>119.22000000000001</v>
          </cell>
          <cell r="I3047">
            <v>3944.7272556054004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P3047">
            <v>3945</v>
          </cell>
          <cell r="V3047" t="str">
            <v>Available</v>
          </cell>
        </row>
        <row r="3048">
          <cell r="A3048" t="str">
            <v>101300520031</v>
          </cell>
          <cell r="B3048" t="str">
            <v>Musrigharari</v>
          </cell>
          <cell r="C3048" t="str">
            <v>Musrigharari</v>
          </cell>
          <cell r="D3048" t="str">
            <v>Songar</v>
          </cell>
          <cell r="E3048">
            <v>10130052</v>
          </cell>
          <cell r="F3048" t="str">
            <v>0031</v>
          </cell>
          <cell r="G3048">
            <v>12</v>
          </cell>
          <cell r="H3048">
            <v>23.370000000000005</v>
          </cell>
          <cell r="I3048">
            <v>948.95050417200002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P3048">
            <v>949</v>
          </cell>
          <cell r="V3048" t="str">
            <v>Available</v>
          </cell>
        </row>
        <row r="3049">
          <cell r="A3049" t="str">
            <v>101300520034</v>
          </cell>
          <cell r="B3049" t="str">
            <v>Musrigharari</v>
          </cell>
          <cell r="C3049" t="str">
            <v>Musrigharari</v>
          </cell>
          <cell r="D3049" t="str">
            <v>Songar</v>
          </cell>
          <cell r="E3049">
            <v>10130052</v>
          </cell>
          <cell r="F3049" t="str">
            <v>0034</v>
          </cell>
          <cell r="G3049">
            <v>4</v>
          </cell>
          <cell r="H3049">
            <v>9.6199999999999992</v>
          </cell>
          <cell r="I3049">
            <v>300.77493892380005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P3049">
            <v>301</v>
          </cell>
          <cell r="V3049" t="str">
            <v>Not Available</v>
          </cell>
        </row>
        <row r="3050">
          <cell r="A3050" t="str">
            <v>101300520035</v>
          </cell>
          <cell r="B3050" t="str">
            <v>Musrigharari</v>
          </cell>
          <cell r="C3050" t="str">
            <v>Musrigharari</v>
          </cell>
          <cell r="D3050" t="str">
            <v>Songar</v>
          </cell>
          <cell r="E3050">
            <v>10130052</v>
          </cell>
          <cell r="F3050" t="str">
            <v>0035</v>
          </cell>
          <cell r="G3050">
            <v>13</v>
          </cell>
          <cell r="H3050">
            <v>251.03000000000003</v>
          </cell>
          <cell r="I3050">
            <v>8072.8681645655997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P3050">
            <v>8073</v>
          </cell>
          <cell r="V3050" t="str">
            <v>Not Available</v>
          </cell>
        </row>
        <row r="3051">
          <cell r="A3051" t="str">
            <v>101300520037</v>
          </cell>
          <cell r="B3051" t="str">
            <v>Musrigharari</v>
          </cell>
          <cell r="C3051" t="str">
            <v>Musrigharari</v>
          </cell>
          <cell r="D3051" t="str">
            <v>Songar</v>
          </cell>
          <cell r="E3051">
            <v>10130052</v>
          </cell>
          <cell r="F3051" t="str">
            <v>0037</v>
          </cell>
          <cell r="G3051">
            <v>14</v>
          </cell>
          <cell r="H3051">
            <v>33.42</v>
          </cell>
          <cell r="I3051">
            <v>1083.1794341148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P3051">
            <v>1083</v>
          </cell>
          <cell r="V3051" t="str">
            <v>Not Available</v>
          </cell>
        </row>
        <row r="3052">
          <cell r="A3052" t="str">
            <v>101300520042</v>
          </cell>
          <cell r="B3052" t="str">
            <v>Musrigharari</v>
          </cell>
          <cell r="C3052" t="str">
            <v>Musrigharari</v>
          </cell>
          <cell r="D3052" t="str">
            <v>Songar</v>
          </cell>
          <cell r="E3052">
            <v>10130052</v>
          </cell>
          <cell r="F3052" t="str">
            <v>0042</v>
          </cell>
          <cell r="G3052">
            <v>14</v>
          </cell>
          <cell r="H3052">
            <v>33.86</v>
          </cell>
          <cell r="I3052">
            <v>1102.8702723192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P3052">
            <v>1103</v>
          </cell>
          <cell r="V3052" t="str">
            <v>Not Available</v>
          </cell>
        </row>
        <row r="3053">
          <cell r="A3053" t="str">
            <v>101300520044</v>
          </cell>
          <cell r="B3053" t="str">
            <v>Musrigharari</v>
          </cell>
          <cell r="C3053" t="str">
            <v>Musrigharari</v>
          </cell>
          <cell r="D3053" t="str">
            <v>Songar</v>
          </cell>
          <cell r="E3053">
            <v>10130052</v>
          </cell>
          <cell r="F3053" t="str">
            <v>0044</v>
          </cell>
          <cell r="G3053">
            <v>11</v>
          </cell>
          <cell r="H3053">
            <v>11.94</v>
          </cell>
          <cell r="I3053">
            <v>408.8530344294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P3053">
            <v>409</v>
          </cell>
          <cell r="V3053" t="str">
            <v>Not Available</v>
          </cell>
        </row>
        <row r="3054">
          <cell r="A3054" t="str">
            <v>101300520046</v>
          </cell>
          <cell r="B3054" t="str">
            <v>Musrigharari</v>
          </cell>
          <cell r="C3054" t="str">
            <v>Musrigharari</v>
          </cell>
          <cell r="D3054" t="str">
            <v>Songar</v>
          </cell>
          <cell r="E3054">
            <v>10130052</v>
          </cell>
          <cell r="F3054" t="str">
            <v>0046</v>
          </cell>
          <cell r="G3054">
            <v>7</v>
          </cell>
          <cell r="H3054">
            <v>130.91</v>
          </cell>
          <cell r="I3054">
            <v>4694.9517644832013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P3054">
            <v>4695</v>
          </cell>
          <cell r="V3054" t="str">
            <v>Not Available</v>
          </cell>
        </row>
        <row r="3055">
          <cell r="A3055" t="str">
            <v>101300520047</v>
          </cell>
          <cell r="B3055" t="str">
            <v>Musrigharari</v>
          </cell>
          <cell r="C3055" t="str">
            <v>Musrigharari</v>
          </cell>
          <cell r="D3055" t="str">
            <v>Songar</v>
          </cell>
          <cell r="E3055">
            <v>10130052</v>
          </cell>
          <cell r="F3055" t="str">
            <v>0047</v>
          </cell>
          <cell r="G3055">
            <v>3</v>
          </cell>
          <cell r="H3055">
            <v>6.71</v>
          </cell>
          <cell r="I3055">
            <v>231.58421159939999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P3055">
            <v>232</v>
          </cell>
          <cell r="V3055" t="str">
            <v>Not Available</v>
          </cell>
        </row>
        <row r="3056">
          <cell r="A3056" t="str">
            <v>101300520048</v>
          </cell>
          <cell r="B3056" t="str">
            <v>Musrigharari</v>
          </cell>
          <cell r="C3056" t="str">
            <v>Musrigharari</v>
          </cell>
          <cell r="D3056" t="str">
            <v>Songar</v>
          </cell>
          <cell r="E3056">
            <v>10130052</v>
          </cell>
          <cell r="F3056" t="str">
            <v>0048</v>
          </cell>
          <cell r="G3056">
            <v>10</v>
          </cell>
          <cell r="H3056">
            <v>40.78</v>
          </cell>
          <cell r="I3056">
            <v>1361.7428748066002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P3056">
            <v>1362</v>
          </cell>
          <cell r="V3056" t="str">
            <v>Not Available</v>
          </cell>
        </row>
        <row r="3057">
          <cell r="A3057" t="str">
            <v>101300520049</v>
          </cell>
          <cell r="B3057" t="str">
            <v>Musrigharari</v>
          </cell>
          <cell r="C3057" t="str">
            <v>Musrigharari</v>
          </cell>
          <cell r="D3057" t="str">
            <v>Songar</v>
          </cell>
          <cell r="E3057">
            <v>10130052</v>
          </cell>
          <cell r="F3057" t="str">
            <v>0049</v>
          </cell>
          <cell r="G3057">
            <v>6</v>
          </cell>
          <cell r="H3057">
            <v>11.33</v>
          </cell>
          <cell r="I3057">
            <v>350.71402724820001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P3057">
            <v>351</v>
          </cell>
          <cell r="V3057" t="str">
            <v>Not Available</v>
          </cell>
        </row>
        <row r="3058">
          <cell r="A3058" t="str">
            <v>101300520050</v>
          </cell>
          <cell r="B3058" t="str">
            <v>Musrigharari</v>
          </cell>
          <cell r="C3058" t="str">
            <v>Musrigharari</v>
          </cell>
          <cell r="D3058" t="str">
            <v>Songar</v>
          </cell>
          <cell r="E3058">
            <v>10130052</v>
          </cell>
          <cell r="F3058" t="str">
            <v>0050</v>
          </cell>
          <cell r="G3058">
            <v>12</v>
          </cell>
          <cell r="H3058">
            <v>38.94</v>
          </cell>
          <cell r="I3058">
            <v>1267.9783187346002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P3058">
            <v>1268</v>
          </cell>
          <cell r="V3058" t="str">
            <v>Not Available</v>
          </cell>
        </row>
        <row r="3059">
          <cell r="A3059" t="str">
            <v>101300520054</v>
          </cell>
          <cell r="B3059" t="str">
            <v>Musrigharari</v>
          </cell>
          <cell r="C3059" t="str">
            <v>Musrigharari</v>
          </cell>
          <cell r="D3059" t="str">
            <v>Songar</v>
          </cell>
          <cell r="E3059">
            <v>10130052</v>
          </cell>
          <cell r="F3059" t="str">
            <v>0054</v>
          </cell>
          <cell r="G3059">
            <v>10</v>
          </cell>
          <cell r="H3059">
            <v>26.450000000000003</v>
          </cell>
          <cell r="I3059">
            <v>897.16424299919993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P3059">
            <v>897</v>
          </cell>
          <cell r="V3059" t="str">
            <v>Available</v>
          </cell>
        </row>
        <row r="3060">
          <cell r="A3060" t="str">
            <v>101300520055</v>
          </cell>
          <cell r="B3060" t="str">
            <v>Musrigharari</v>
          </cell>
          <cell r="C3060" t="str">
            <v>Musrigharari</v>
          </cell>
          <cell r="D3060" t="str">
            <v>Songar</v>
          </cell>
          <cell r="E3060">
            <v>10130052</v>
          </cell>
          <cell r="F3060" t="str">
            <v>0055</v>
          </cell>
          <cell r="G3060">
            <v>4</v>
          </cell>
          <cell r="H3060">
            <v>8.35</v>
          </cell>
          <cell r="I3060">
            <v>289.45456721280004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P3060">
            <v>289</v>
          </cell>
          <cell r="V3060" t="str">
            <v>Available</v>
          </cell>
        </row>
        <row r="3061">
          <cell r="A3061" t="str">
            <v>101300520056</v>
          </cell>
          <cell r="B3061" t="str">
            <v>Musrigharari</v>
          </cell>
          <cell r="C3061" t="str">
            <v>Musrigharari</v>
          </cell>
          <cell r="D3061" t="str">
            <v>Songar</v>
          </cell>
          <cell r="E3061">
            <v>10130052</v>
          </cell>
          <cell r="F3061" t="str">
            <v>0056</v>
          </cell>
          <cell r="G3061">
            <v>12</v>
          </cell>
          <cell r="H3061">
            <v>21.240000000000002</v>
          </cell>
          <cell r="I3061">
            <v>805.57404919200007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P3061">
            <v>806</v>
          </cell>
          <cell r="V3061" t="str">
            <v>Available</v>
          </cell>
        </row>
        <row r="3062">
          <cell r="A3062" t="str">
            <v>101300520057</v>
          </cell>
          <cell r="B3062" t="str">
            <v>Musrigharari</v>
          </cell>
          <cell r="C3062" t="str">
            <v>Musrigharari</v>
          </cell>
          <cell r="D3062" t="str">
            <v>Songar</v>
          </cell>
          <cell r="E3062">
            <v>10130052</v>
          </cell>
          <cell r="F3062" t="str">
            <v>0057</v>
          </cell>
          <cell r="G3062">
            <v>12</v>
          </cell>
          <cell r="H3062">
            <v>15.52</v>
          </cell>
          <cell r="I3062">
            <v>529.34572767780003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P3062">
            <v>529</v>
          </cell>
          <cell r="V3062" t="str">
            <v>Available</v>
          </cell>
        </row>
        <row r="3063">
          <cell r="A3063" t="str">
            <v>101300520058</v>
          </cell>
          <cell r="B3063" t="str">
            <v>Musrigharari</v>
          </cell>
          <cell r="C3063" t="str">
            <v>Musrigharari</v>
          </cell>
          <cell r="D3063" t="str">
            <v>Songar</v>
          </cell>
          <cell r="E3063">
            <v>10130052</v>
          </cell>
          <cell r="F3063" t="str">
            <v>0058</v>
          </cell>
          <cell r="G3063">
            <v>7</v>
          </cell>
          <cell r="H3063">
            <v>26.29</v>
          </cell>
          <cell r="I3063">
            <v>1351.5506310891201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P3063">
            <v>1352</v>
          </cell>
          <cell r="V3063" t="str">
            <v>Available</v>
          </cell>
        </row>
        <row r="3064">
          <cell r="A3064" t="str">
            <v>101300520060</v>
          </cell>
          <cell r="B3064" t="str">
            <v>Musrigharari</v>
          </cell>
          <cell r="C3064" t="str">
            <v>Musrigharari</v>
          </cell>
          <cell r="D3064" t="str">
            <v>Songar</v>
          </cell>
          <cell r="E3064">
            <v>10130052</v>
          </cell>
          <cell r="F3064" t="str">
            <v>0060</v>
          </cell>
          <cell r="G3064">
            <v>7</v>
          </cell>
          <cell r="H3064">
            <v>25.4</v>
          </cell>
          <cell r="I3064">
            <v>1518.1228441671371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P3064">
            <v>1518</v>
          </cell>
          <cell r="V3064" t="str">
            <v>Available</v>
          </cell>
        </row>
        <row r="3065">
          <cell r="A3065" t="str">
            <v>101300520062</v>
          </cell>
          <cell r="B3065" t="str">
            <v>Musrigharari</v>
          </cell>
          <cell r="C3065" t="str">
            <v>Musrigharari</v>
          </cell>
          <cell r="D3065" t="str">
            <v>Songar</v>
          </cell>
          <cell r="E3065">
            <v>10130052</v>
          </cell>
          <cell r="F3065" t="str">
            <v>0062</v>
          </cell>
          <cell r="G3065">
            <v>9</v>
          </cell>
          <cell r="H3065">
            <v>13.36</v>
          </cell>
          <cell r="I3065">
            <v>486.32413177920006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P3065">
            <v>486</v>
          </cell>
          <cell r="V3065" t="str">
            <v>Available</v>
          </cell>
        </row>
        <row r="3066">
          <cell r="A3066" t="str">
            <v>101300520063</v>
          </cell>
          <cell r="B3066" t="str">
            <v>Musrigharari</v>
          </cell>
          <cell r="C3066" t="str">
            <v>Musrigharari</v>
          </cell>
          <cell r="D3066" t="str">
            <v>Songar</v>
          </cell>
          <cell r="E3066">
            <v>10130052</v>
          </cell>
          <cell r="F3066" t="str">
            <v>0063</v>
          </cell>
          <cell r="G3066">
            <v>9</v>
          </cell>
          <cell r="H3066">
            <v>14.770000000000001</v>
          </cell>
          <cell r="I3066">
            <v>528.77353793085001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P3066">
            <v>529</v>
          </cell>
          <cell r="V3066" t="str">
            <v>Available</v>
          </cell>
        </row>
        <row r="3067">
          <cell r="A3067" t="str">
            <v>101300520065</v>
          </cell>
          <cell r="B3067" t="str">
            <v>Musrigharari</v>
          </cell>
          <cell r="C3067" t="str">
            <v>Musrigharari</v>
          </cell>
          <cell r="D3067" t="str">
            <v>Songar</v>
          </cell>
          <cell r="E3067">
            <v>10130052</v>
          </cell>
          <cell r="F3067" t="str">
            <v>0065</v>
          </cell>
          <cell r="G3067">
            <v>10</v>
          </cell>
          <cell r="H3067">
            <v>54.05</v>
          </cell>
          <cell r="I3067">
            <v>1854.3244335660002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P3067">
            <v>1854</v>
          </cell>
          <cell r="V3067" t="str">
            <v>Available</v>
          </cell>
        </row>
        <row r="3068">
          <cell r="A3068" t="str">
            <v>101300540001</v>
          </cell>
          <cell r="B3068" t="str">
            <v>Musrigharari</v>
          </cell>
          <cell r="C3068" t="str">
            <v>Musrigharari</v>
          </cell>
          <cell r="D3068" t="str">
            <v>Rampur Maheshpur</v>
          </cell>
          <cell r="E3068">
            <v>10130054</v>
          </cell>
          <cell r="F3068" t="str">
            <v>0001</v>
          </cell>
          <cell r="G3068">
            <v>3</v>
          </cell>
          <cell r="H3068">
            <v>2.9899999999999998</v>
          </cell>
          <cell r="I3068">
            <v>114.097372686</v>
          </cell>
          <cell r="J3068">
            <v>0</v>
          </cell>
          <cell r="K3068">
            <v>114.097372686</v>
          </cell>
          <cell r="L3068">
            <v>0</v>
          </cell>
          <cell r="M3068">
            <v>0</v>
          </cell>
          <cell r="P3068">
            <v>0</v>
          </cell>
          <cell r="V3068" t="str">
            <v>Not Available</v>
          </cell>
        </row>
        <row r="3069">
          <cell r="A3069" t="str">
            <v>101300540002</v>
          </cell>
          <cell r="B3069" t="str">
            <v>Musrigharari</v>
          </cell>
          <cell r="C3069" t="str">
            <v>Musrigharari</v>
          </cell>
          <cell r="D3069" t="str">
            <v>Rampur Maheshpur</v>
          </cell>
          <cell r="E3069">
            <v>10130054</v>
          </cell>
          <cell r="F3069" t="str">
            <v>0002</v>
          </cell>
          <cell r="G3069">
            <v>7</v>
          </cell>
          <cell r="H3069">
            <v>114.24000000000001</v>
          </cell>
          <cell r="I3069">
            <v>4307.2347034728009</v>
          </cell>
          <cell r="J3069">
            <v>0</v>
          </cell>
          <cell r="K3069">
            <v>0</v>
          </cell>
          <cell r="L3069">
            <v>1003</v>
          </cell>
          <cell r="M3069">
            <v>0</v>
          </cell>
          <cell r="P3069">
            <v>3304</v>
          </cell>
          <cell r="V3069" t="str">
            <v>Available</v>
          </cell>
        </row>
        <row r="3070">
          <cell r="A3070" t="str">
            <v>101300540016</v>
          </cell>
          <cell r="B3070" t="str">
            <v>Musrigharari</v>
          </cell>
          <cell r="C3070" t="str">
            <v>Musrigharari</v>
          </cell>
          <cell r="D3070" t="str">
            <v>Rampur Maheshpur</v>
          </cell>
          <cell r="E3070">
            <v>10130054</v>
          </cell>
          <cell r="F3070" t="str">
            <v>0016</v>
          </cell>
          <cell r="G3070">
            <v>12</v>
          </cell>
          <cell r="H3070">
            <v>108.94999999999999</v>
          </cell>
          <cell r="I3070">
            <v>4232.8496685420005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P3070">
            <v>4233</v>
          </cell>
          <cell r="V3070" t="str">
            <v>Available</v>
          </cell>
        </row>
        <row r="3071">
          <cell r="A3071" t="str">
            <v>101300540017</v>
          </cell>
          <cell r="B3071" t="str">
            <v>Musrigharari</v>
          </cell>
          <cell r="C3071" t="str">
            <v>Musrigharari</v>
          </cell>
          <cell r="D3071" t="str">
            <v>Rampur Maheshpur</v>
          </cell>
          <cell r="E3071">
            <v>10130054</v>
          </cell>
          <cell r="F3071" t="str">
            <v>0017</v>
          </cell>
          <cell r="G3071">
            <v>6</v>
          </cell>
          <cell r="H3071">
            <v>58.09</v>
          </cell>
          <cell r="I3071">
            <v>2262.9015854280005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P3071">
            <v>2263</v>
          </cell>
          <cell r="V3071" t="str">
            <v>Available</v>
          </cell>
        </row>
        <row r="3072">
          <cell r="A3072" t="str">
            <v>101300540019</v>
          </cell>
          <cell r="B3072" t="str">
            <v>Musrigharari</v>
          </cell>
          <cell r="C3072" t="str">
            <v>Musrigharari</v>
          </cell>
          <cell r="D3072" t="str">
            <v>Rampur Maheshpur</v>
          </cell>
          <cell r="E3072">
            <v>10130054</v>
          </cell>
          <cell r="F3072" t="str">
            <v>0019</v>
          </cell>
          <cell r="G3072">
            <v>14</v>
          </cell>
          <cell r="H3072">
            <v>96.27</v>
          </cell>
          <cell r="I3072">
            <v>5346.1682939968805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P3072">
            <v>5346</v>
          </cell>
          <cell r="V3072" t="str">
            <v>Available</v>
          </cell>
        </row>
        <row r="3073">
          <cell r="A3073" t="str">
            <v>101300540026</v>
          </cell>
          <cell r="B3073" t="str">
            <v>Musrigharari</v>
          </cell>
          <cell r="C3073" t="str">
            <v>Musrigharari</v>
          </cell>
          <cell r="D3073" t="str">
            <v>Rampur Maheshpur</v>
          </cell>
          <cell r="E3073">
            <v>10130054</v>
          </cell>
          <cell r="F3073" t="str">
            <v>0026</v>
          </cell>
          <cell r="G3073">
            <v>6</v>
          </cell>
          <cell r="H3073">
            <v>53.43</v>
          </cell>
          <cell r="I3073">
            <v>1960.4761375320002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P3073">
            <v>1960</v>
          </cell>
          <cell r="V3073" t="str">
            <v>Not Available</v>
          </cell>
        </row>
        <row r="3074">
          <cell r="A3074" t="str">
            <v>101300540027</v>
          </cell>
          <cell r="B3074" t="str">
            <v>Musrigharari</v>
          </cell>
          <cell r="C3074" t="str">
            <v>Musrigharari</v>
          </cell>
          <cell r="D3074" t="str">
            <v>Rampur Maheshpur</v>
          </cell>
          <cell r="E3074">
            <v>10130054</v>
          </cell>
          <cell r="F3074" t="str">
            <v>0027</v>
          </cell>
          <cell r="G3074">
            <v>3</v>
          </cell>
          <cell r="H3074">
            <v>56.89</v>
          </cell>
          <cell r="I3074">
            <v>1960.0920293526003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P3074">
            <v>1960</v>
          </cell>
          <cell r="V3074" t="str">
            <v>Not Available</v>
          </cell>
        </row>
        <row r="3075">
          <cell r="A3075" t="str">
            <v>101300540028</v>
          </cell>
          <cell r="B3075" t="str">
            <v>Musrigharari</v>
          </cell>
          <cell r="C3075" t="str">
            <v>Musrigharari</v>
          </cell>
          <cell r="D3075" t="str">
            <v>Rampur Maheshpur</v>
          </cell>
          <cell r="E3075">
            <v>10130054</v>
          </cell>
          <cell r="F3075" t="str">
            <v>0028</v>
          </cell>
          <cell r="G3075">
            <v>5</v>
          </cell>
          <cell r="H3075">
            <v>47.060000000000009</v>
          </cell>
          <cell r="I3075">
            <v>1676.1632594652003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P3075">
            <v>1676</v>
          </cell>
          <cell r="V3075" t="str">
            <v>Not Available</v>
          </cell>
        </row>
        <row r="3076">
          <cell r="A3076" t="str">
            <v>101300540029</v>
          </cell>
          <cell r="B3076" t="str">
            <v>Musrigharari</v>
          </cell>
          <cell r="C3076" t="str">
            <v>Musrigharari</v>
          </cell>
          <cell r="D3076" t="str">
            <v>Rampur Maheshpur</v>
          </cell>
          <cell r="E3076">
            <v>10130054</v>
          </cell>
          <cell r="F3076" t="str">
            <v>0029</v>
          </cell>
          <cell r="G3076">
            <v>6</v>
          </cell>
          <cell r="H3076">
            <v>51.899999999999991</v>
          </cell>
          <cell r="I3076">
            <v>1846.3775278014002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P3076">
            <v>1846</v>
          </cell>
          <cell r="V3076" t="str">
            <v>Not Available</v>
          </cell>
        </row>
        <row r="3077">
          <cell r="A3077" t="str">
            <v>101300540030</v>
          </cell>
          <cell r="B3077" t="str">
            <v>Musrigharari</v>
          </cell>
          <cell r="C3077" t="str">
            <v>Musrigharari</v>
          </cell>
          <cell r="D3077" t="str">
            <v>Rampur Maheshpur</v>
          </cell>
          <cell r="E3077">
            <v>10130054</v>
          </cell>
          <cell r="F3077" t="str">
            <v>0030</v>
          </cell>
          <cell r="G3077">
            <v>3</v>
          </cell>
          <cell r="H3077">
            <v>26.409999999999997</v>
          </cell>
          <cell r="I3077">
            <v>933.67103318280022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P3077">
            <v>934</v>
          </cell>
          <cell r="V3077" t="str">
            <v>Not Available</v>
          </cell>
        </row>
        <row r="3078">
          <cell r="A3078" t="str">
            <v>101300540031</v>
          </cell>
          <cell r="B3078" t="str">
            <v>Musrigharari</v>
          </cell>
          <cell r="C3078" t="str">
            <v>Musrigharari</v>
          </cell>
          <cell r="D3078" t="str">
            <v>Rampur Maheshpur</v>
          </cell>
          <cell r="E3078">
            <v>10130054</v>
          </cell>
          <cell r="F3078" t="str">
            <v>0031</v>
          </cell>
          <cell r="G3078">
            <v>1</v>
          </cell>
          <cell r="H3078">
            <v>5.55</v>
          </cell>
          <cell r="I3078">
            <v>219.78593406000002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P3078">
            <v>220</v>
          </cell>
          <cell r="V3078" t="str">
            <v>Not Available</v>
          </cell>
        </row>
        <row r="3079">
          <cell r="A3079" t="str">
            <v>101300730002</v>
          </cell>
          <cell r="B3079" t="str">
            <v>Musrigharari</v>
          </cell>
          <cell r="C3079" t="str">
            <v>Musrigharari</v>
          </cell>
          <cell r="D3079" t="str">
            <v>Dagarua</v>
          </cell>
          <cell r="E3079">
            <v>10130073</v>
          </cell>
          <cell r="F3079" t="str">
            <v>0002</v>
          </cell>
          <cell r="G3079">
            <v>4</v>
          </cell>
          <cell r="H3079">
            <v>59.9</v>
          </cell>
          <cell r="I3079">
            <v>2142.3671885880003</v>
          </cell>
          <cell r="J3079">
            <v>0</v>
          </cell>
          <cell r="K3079">
            <v>0</v>
          </cell>
          <cell r="L3079">
            <v>372</v>
          </cell>
          <cell r="M3079">
            <v>1372</v>
          </cell>
          <cell r="P3079">
            <v>0</v>
          </cell>
          <cell r="V3079" t="str">
            <v>Available</v>
          </cell>
        </row>
        <row r="3080">
          <cell r="A3080" t="str">
            <v>101300730020</v>
          </cell>
          <cell r="B3080" t="str">
            <v>Musrigharari</v>
          </cell>
          <cell r="C3080" t="str">
            <v>Musrigharari</v>
          </cell>
          <cell r="D3080" t="str">
            <v>Dagarua</v>
          </cell>
          <cell r="E3080">
            <v>10130073</v>
          </cell>
          <cell r="F3080" t="str">
            <v>0020</v>
          </cell>
          <cell r="G3080">
            <v>2</v>
          </cell>
          <cell r="H3080">
            <v>15</v>
          </cell>
          <cell r="I3080">
            <v>561.0161700000001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P3080">
            <v>561</v>
          </cell>
          <cell r="V3080" t="str">
            <v>Not Available</v>
          </cell>
        </row>
        <row r="3081">
          <cell r="A3081" t="str">
            <v>101300740001</v>
          </cell>
          <cell r="B3081" t="str">
            <v>Musrigharari</v>
          </cell>
          <cell r="C3081" t="str">
            <v>Musrigharari</v>
          </cell>
          <cell r="D3081" t="str">
            <v>Chakmilki</v>
          </cell>
          <cell r="E3081">
            <v>10130074</v>
          </cell>
          <cell r="F3081" t="str">
            <v>0001</v>
          </cell>
          <cell r="G3081">
            <v>14</v>
          </cell>
          <cell r="H3081">
            <v>5.1000000000000005</v>
          </cell>
          <cell r="I3081">
            <v>186.95243812800001</v>
          </cell>
          <cell r="J3081">
            <v>0</v>
          </cell>
          <cell r="K3081">
            <v>186.95243812800001</v>
          </cell>
          <cell r="L3081">
            <v>0</v>
          </cell>
          <cell r="M3081">
            <v>0</v>
          </cell>
          <cell r="P3081">
            <v>0</v>
          </cell>
          <cell r="V3081" t="str">
            <v>Not Available</v>
          </cell>
        </row>
        <row r="3082">
          <cell r="A3082" t="str">
            <v>101300740002</v>
          </cell>
          <cell r="B3082" t="str">
            <v>Musrigharari</v>
          </cell>
          <cell r="C3082" t="str">
            <v>Musrigharari</v>
          </cell>
          <cell r="D3082" t="str">
            <v>Chakmilki</v>
          </cell>
          <cell r="E3082">
            <v>10130074</v>
          </cell>
          <cell r="F3082" t="str">
            <v>0002</v>
          </cell>
          <cell r="G3082">
            <v>13</v>
          </cell>
          <cell r="H3082">
            <v>41.41</v>
          </cell>
          <cell r="I3082">
            <v>1474.2527447004002</v>
          </cell>
          <cell r="J3082">
            <v>0</v>
          </cell>
          <cell r="K3082">
            <v>0</v>
          </cell>
          <cell r="L3082">
            <v>311</v>
          </cell>
          <cell r="M3082">
            <v>0</v>
          </cell>
          <cell r="P3082">
            <v>1163</v>
          </cell>
          <cell r="V3082" t="str">
            <v>Available</v>
          </cell>
        </row>
        <row r="3083">
          <cell r="A3083" t="str">
            <v>101300740015</v>
          </cell>
          <cell r="B3083" t="str">
            <v>Musrigharari</v>
          </cell>
          <cell r="C3083" t="str">
            <v>Musrigharari</v>
          </cell>
          <cell r="D3083" t="str">
            <v>Chakmilki</v>
          </cell>
          <cell r="E3083">
            <v>10130074</v>
          </cell>
          <cell r="F3083" t="str">
            <v>0015</v>
          </cell>
          <cell r="G3083">
            <v>14</v>
          </cell>
          <cell r="H3083">
            <v>72.750000000000014</v>
          </cell>
          <cell r="I3083">
            <v>2612.1423560958001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P3083">
            <v>2612</v>
          </cell>
          <cell r="V3083" t="str">
            <v>Available</v>
          </cell>
        </row>
        <row r="3084">
          <cell r="A3084" t="str">
            <v>101300740016</v>
          </cell>
          <cell r="B3084" t="str">
            <v>Musrigharari</v>
          </cell>
          <cell r="C3084" t="str">
            <v>Musrigharari</v>
          </cell>
          <cell r="D3084" t="str">
            <v>Chakmilki</v>
          </cell>
          <cell r="E3084">
            <v>10130074</v>
          </cell>
          <cell r="F3084" t="str">
            <v>0016</v>
          </cell>
          <cell r="G3084">
            <v>1</v>
          </cell>
          <cell r="H3084">
            <v>2.96</v>
          </cell>
          <cell r="I3084">
            <v>103.19208435360001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P3084">
            <v>103</v>
          </cell>
          <cell r="V3084" t="str">
            <v>Available</v>
          </cell>
        </row>
        <row r="3085">
          <cell r="A3085" t="str">
            <v>101300740017</v>
          </cell>
          <cell r="B3085" t="str">
            <v>Musrigharari</v>
          </cell>
          <cell r="C3085" t="str">
            <v>Musrigharari</v>
          </cell>
          <cell r="D3085" t="str">
            <v>Chakmilki</v>
          </cell>
          <cell r="E3085">
            <v>10130074</v>
          </cell>
          <cell r="F3085" t="str">
            <v>0017</v>
          </cell>
          <cell r="G3085">
            <v>9</v>
          </cell>
          <cell r="H3085">
            <v>21.61</v>
          </cell>
          <cell r="I3085">
            <v>941.34606469580012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P3085">
            <v>941</v>
          </cell>
          <cell r="V3085" t="str">
            <v>Available</v>
          </cell>
        </row>
        <row r="3086">
          <cell r="A3086" t="str">
            <v>101300740018</v>
          </cell>
          <cell r="B3086" t="str">
            <v>Musrigharari</v>
          </cell>
          <cell r="C3086" t="str">
            <v>Musrigharari</v>
          </cell>
          <cell r="D3086" t="str">
            <v>Chakmilki</v>
          </cell>
          <cell r="E3086">
            <v>10130074</v>
          </cell>
          <cell r="F3086" t="str">
            <v>0018</v>
          </cell>
          <cell r="G3086">
            <v>5</v>
          </cell>
          <cell r="H3086">
            <v>13.400000000000002</v>
          </cell>
          <cell r="I3086">
            <v>456.02101747620009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P3086">
            <v>456</v>
          </cell>
          <cell r="V3086" t="str">
            <v>Not Available</v>
          </cell>
        </row>
        <row r="3087">
          <cell r="A3087" t="str">
            <v>101300740022</v>
          </cell>
          <cell r="B3087" t="str">
            <v>Musrigharari</v>
          </cell>
          <cell r="C3087" t="str">
            <v>Musrigharari</v>
          </cell>
          <cell r="D3087" t="str">
            <v>Chakmilki</v>
          </cell>
          <cell r="E3087">
            <v>10130074</v>
          </cell>
          <cell r="F3087" t="str">
            <v>0022</v>
          </cell>
          <cell r="G3087">
            <v>13</v>
          </cell>
          <cell r="H3087">
            <v>86.77000000000001</v>
          </cell>
          <cell r="I3087">
            <v>2837.9854518642001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P3087">
            <v>2838</v>
          </cell>
          <cell r="V3087" t="str">
            <v>Not Available</v>
          </cell>
        </row>
        <row r="3088">
          <cell r="A3088" t="str">
            <v>101300740023</v>
          </cell>
          <cell r="B3088" t="str">
            <v>Musrigharari</v>
          </cell>
          <cell r="C3088" t="str">
            <v>Musrigharari</v>
          </cell>
          <cell r="D3088" t="str">
            <v>Chakmilki</v>
          </cell>
          <cell r="E3088">
            <v>10130074</v>
          </cell>
          <cell r="F3088" t="str">
            <v>0023</v>
          </cell>
          <cell r="G3088">
            <v>2</v>
          </cell>
          <cell r="H3088">
            <v>5.4399999999999995</v>
          </cell>
          <cell r="I3088">
            <v>176.19456658320001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P3088">
            <v>176</v>
          </cell>
          <cell r="V3088" t="str">
            <v>Not Available</v>
          </cell>
        </row>
        <row r="3089">
          <cell r="A3089" t="str">
            <v>101300740029</v>
          </cell>
          <cell r="B3089" t="str">
            <v>Musrigharari</v>
          </cell>
          <cell r="C3089" t="str">
            <v>Musrigharari</v>
          </cell>
          <cell r="D3089" t="str">
            <v>Chakmilki</v>
          </cell>
          <cell r="E3089">
            <v>10130074</v>
          </cell>
          <cell r="F3089" t="str">
            <v>0029</v>
          </cell>
          <cell r="G3089">
            <v>14</v>
          </cell>
          <cell r="H3089">
            <v>28.770000000000003</v>
          </cell>
          <cell r="I3089">
            <v>1196.2114406747996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P3089">
            <v>1196</v>
          </cell>
          <cell r="V3089" t="str">
            <v>Not Available</v>
          </cell>
        </row>
        <row r="3090">
          <cell r="A3090" t="str">
            <v>101300740033</v>
          </cell>
          <cell r="B3090" t="str">
            <v>Musrigharari</v>
          </cell>
          <cell r="C3090" t="str">
            <v>Musrigharari</v>
          </cell>
          <cell r="D3090" t="str">
            <v>Chakmilki</v>
          </cell>
          <cell r="E3090">
            <v>10130074</v>
          </cell>
          <cell r="F3090" t="str">
            <v>0033</v>
          </cell>
          <cell r="G3090">
            <v>12</v>
          </cell>
          <cell r="H3090">
            <v>17.96</v>
          </cell>
          <cell r="I3090">
            <v>635.73096232800003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P3090">
            <v>636</v>
          </cell>
          <cell r="V3090" t="str">
            <v>Not Available</v>
          </cell>
        </row>
        <row r="3091">
          <cell r="A3091" t="str">
            <v>101300740036</v>
          </cell>
          <cell r="B3091" t="str">
            <v>Musrigharari</v>
          </cell>
          <cell r="C3091" t="str">
            <v>Musrigharari</v>
          </cell>
          <cell r="D3091" t="str">
            <v>Chakmilki</v>
          </cell>
          <cell r="E3091">
            <v>10130074</v>
          </cell>
          <cell r="F3091" t="str">
            <v>0036</v>
          </cell>
          <cell r="G3091">
            <v>13</v>
          </cell>
          <cell r="H3091">
            <v>15.230000000000002</v>
          </cell>
          <cell r="I3091">
            <v>591.95866438740018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P3091">
            <v>592</v>
          </cell>
          <cell r="V3091" t="str">
            <v>Not Available</v>
          </cell>
        </row>
        <row r="3092">
          <cell r="A3092" t="str">
            <v>101300770001</v>
          </cell>
          <cell r="B3092" t="str">
            <v>Musrigharari</v>
          </cell>
          <cell r="C3092" t="str">
            <v>Musrigharari</v>
          </cell>
          <cell r="D3092" t="str">
            <v>Gomukh Akaha</v>
          </cell>
          <cell r="E3092">
            <v>10130077</v>
          </cell>
          <cell r="F3092" t="str">
            <v>0001</v>
          </cell>
          <cell r="G3092">
            <v>8</v>
          </cell>
          <cell r="H3092">
            <v>0.66999999999999993</v>
          </cell>
          <cell r="I3092">
            <v>21.189751268400002</v>
          </cell>
          <cell r="J3092">
            <v>0</v>
          </cell>
          <cell r="K3092">
            <v>21.189751268400002</v>
          </cell>
          <cell r="L3092">
            <v>0</v>
          </cell>
          <cell r="M3092">
            <v>0</v>
          </cell>
          <cell r="P3092">
            <v>0</v>
          </cell>
          <cell r="V3092" t="str">
            <v>Not Available</v>
          </cell>
        </row>
        <row r="3093">
          <cell r="A3093" t="str">
            <v>101300770002</v>
          </cell>
          <cell r="B3093" t="str">
            <v>Musrigharari</v>
          </cell>
          <cell r="C3093" t="str">
            <v>Musrigharari</v>
          </cell>
          <cell r="D3093" t="str">
            <v>Gomukh Akaha</v>
          </cell>
          <cell r="E3093">
            <v>10130077</v>
          </cell>
          <cell r="F3093" t="str">
            <v>0002</v>
          </cell>
          <cell r="G3093">
            <v>14</v>
          </cell>
          <cell r="H3093">
            <v>56.67</v>
          </cell>
          <cell r="I3093">
            <v>1872.5335740600003</v>
          </cell>
          <cell r="J3093">
            <v>0</v>
          </cell>
          <cell r="K3093">
            <v>0</v>
          </cell>
          <cell r="L3093">
            <v>192</v>
          </cell>
          <cell r="M3093">
            <v>0</v>
          </cell>
          <cell r="P3093">
            <v>1681</v>
          </cell>
          <cell r="V3093" t="str">
            <v>Available</v>
          </cell>
        </row>
        <row r="3094">
          <cell r="A3094" t="str">
            <v>101300770003</v>
          </cell>
          <cell r="B3094" t="str">
            <v>Musrigharari</v>
          </cell>
          <cell r="C3094" t="str">
            <v>Musrigharari</v>
          </cell>
          <cell r="D3094" t="str">
            <v>Gomukh Akaha</v>
          </cell>
          <cell r="E3094">
            <v>10130077</v>
          </cell>
          <cell r="F3094" t="str">
            <v>0003</v>
          </cell>
          <cell r="G3094">
            <v>12</v>
          </cell>
          <cell r="H3094">
            <v>66.510000000000005</v>
          </cell>
          <cell r="I3094">
            <v>2134.6788309066005</v>
          </cell>
          <cell r="J3094">
            <v>0</v>
          </cell>
          <cell r="K3094">
            <v>0</v>
          </cell>
          <cell r="L3094">
            <v>0</v>
          </cell>
          <cell r="M3094">
            <v>1350</v>
          </cell>
          <cell r="P3094">
            <v>785</v>
          </cell>
          <cell r="V3094" t="str">
            <v>Available</v>
          </cell>
        </row>
        <row r="3095">
          <cell r="A3095" t="str">
            <v>101300770005</v>
          </cell>
          <cell r="B3095" t="str">
            <v>Musrigharari</v>
          </cell>
          <cell r="C3095" t="str">
            <v>Musrigharari</v>
          </cell>
          <cell r="D3095" t="str">
            <v>Gomukh Akaha</v>
          </cell>
          <cell r="E3095">
            <v>10130077</v>
          </cell>
          <cell r="F3095" t="str">
            <v>0005</v>
          </cell>
          <cell r="G3095">
            <v>1</v>
          </cell>
          <cell r="H3095">
            <v>1.25</v>
          </cell>
          <cell r="I3095">
            <v>47.521336500000011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P3095">
            <v>48</v>
          </cell>
          <cell r="V3095" t="str">
            <v>Available</v>
          </cell>
        </row>
        <row r="3096">
          <cell r="A3096" t="str">
            <v>101300770012</v>
          </cell>
          <cell r="B3096" t="str">
            <v>Musrigharari</v>
          </cell>
          <cell r="C3096" t="str">
            <v>Musrigharari</v>
          </cell>
          <cell r="D3096" t="str">
            <v>Gomukh Akaha</v>
          </cell>
          <cell r="E3096">
            <v>10130077</v>
          </cell>
          <cell r="F3096" t="str">
            <v>0012</v>
          </cell>
          <cell r="G3096">
            <v>6</v>
          </cell>
          <cell r="H3096">
            <v>12.98</v>
          </cell>
          <cell r="I3096">
            <v>565.35135656670002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P3096">
            <v>565</v>
          </cell>
          <cell r="V3096" t="str">
            <v>Not Available</v>
          </cell>
        </row>
        <row r="3097">
          <cell r="A3097" t="str">
            <v>101300770013</v>
          </cell>
          <cell r="B3097" t="str">
            <v>Musrigharari</v>
          </cell>
          <cell r="C3097" t="str">
            <v>Musrigharari</v>
          </cell>
          <cell r="D3097" t="str">
            <v>Gomukh Akaha</v>
          </cell>
          <cell r="E3097">
            <v>10130077</v>
          </cell>
          <cell r="F3097" t="str">
            <v>0013</v>
          </cell>
          <cell r="G3097">
            <v>9</v>
          </cell>
          <cell r="H3097">
            <v>16.96</v>
          </cell>
          <cell r="I3097">
            <v>613.083260192019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P3097">
            <v>613</v>
          </cell>
          <cell r="V3097" t="str">
            <v>Not Available</v>
          </cell>
        </row>
        <row r="3098">
          <cell r="A3098" t="str">
            <v>101300770014</v>
          </cell>
          <cell r="B3098" t="str">
            <v>Musrigharari</v>
          </cell>
          <cell r="C3098" t="str">
            <v>Musrigharari</v>
          </cell>
          <cell r="D3098" t="str">
            <v>Gomukh Akaha</v>
          </cell>
          <cell r="E3098">
            <v>10130077</v>
          </cell>
          <cell r="F3098" t="str">
            <v>0014</v>
          </cell>
          <cell r="G3098">
            <v>2</v>
          </cell>
          <cell r="H3098">
            <v>4.4399999999999995</v>
          </cell>
          <cell r="I3098">
            <v>127.82595640320002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P3098">
            <v>128</v>
          </cell>
          <cell r="V3098" t="str">
            <v>Not Available</v>
          </cell>
        </row>
        <row r="3099">
          <cell r="A3099" t="str">
            <v>101300770015</v>
          </cell>
          <cell r="B3099" t="str">
            <v>Musrigharari</v>
          </cell>
          <cell r="C3099" t="str">
            <v>Musrigharari</v>
          </cell>
          <cell r="D3099" t="str">
            <v>Gomukh Akaha</v>
          </cell>
          <cell r="E3099">
            <v>10130077</v>
          </cell>
          <cell r="F3099" t="str">
            <v>0015</v>
          </cell>
          <cell r="G3099">
            <v>5</v>
          </cell>
          <cell r="H3099">
            <v>10.41</v>
          </cell>
          <cell r="I3099">
            <v>510.5323091921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P3099">
            <v>511</v>
          </cell>
          <cell r="V3099" t="str">
            <v>Not Available</v>
          </cell>
        </row>
        <row r="3100">
          <cell r="A3100" t="str">
            <v>101300770023</v>
          </cell>
          <cell r="B3100" t="str">
            <v>Musrigharari</v>
          </cell>
          <cell r="C3100" t="str">
            <v>Musrigharari</v>
          </cell>
          <cell r="D3100" t="str">
            <v>Gomukh Akaha</v>
          </cell>
          <cell r="E3100">
            <v>10130077</v>
          </cell>
          <cell r="F3100" t="str">
            <v>0023</v>
          </cell>
          <cell r="G3100">
            <v>9</v>
          </cell>
          <cell r="H3100">
            <v>10.270000000000001</v>
          </cell>
          <cell r="I3100">
            <v>393.78976837200003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P3100">
            <v>394</v>
          </cell>
          <cell r="V3100" t="str">
            <v>Available</v>
          </cell>
        </row>
        <row r="3101">
          <cell r="A3101" t="str">
            <v>101300850002</v>
          </cell>
          <cell r="B3101" t="str">
            <v>Musrigharari</v>
          </cell>
          <cell r="C3101" t="str">
            <v>Musrigharari</v>
          </cell>
          <cell r="D3101" t="str">
            <v>Gomukh Repura</v>
          </cell>
          <cell r="E3101">
            <v>10130085</v>
          </cell>
          <cell r="F3101" t="str">
            <v>0002</v>
          </cell>
          <cell r="G3101">
            <v>7</v>
          </cell>
          <cell r="H3101">
            <v>231.79999999999998</v>
          </cell>
          <cell r="I3101">
            <v>8285.9798506320003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P3101">
            <v>8286</v>
          </cell>
          <cell r="V3101" t="str">
            <v>Available</v>
          </cell>
        </row>
        <row r="3102">
          <cell r="A3102" t="str">
            <v>101300850018</v>
          </cell>
          <cell r="B3102" t="str">
            <v>Musrigharari</v>
          </cell>
          <cell r="C3102" t="str">
            <v>Musrigharari</v>
          </cell>
          <cell r="D3102" t="str">
            <v>Gomukh Repura</v>
          </cell>
          <cell r="E3102">
            <v>10130085</v>
          </cell>
          <cell r="F3102" t="str">
            <v>0018</v>
          </cell>
          <cell r="G3102">
            <v>1</v>
          </cell>
          <cell r="H3102">
            <v>5</v>
          </cell>
          <cell r="I3102">
            <v>184.80527999999998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P3102">
            <v>185</v>
          </cell>
          <cell r="V3102" t="str">
            <v>Not Available</v>
          </cell>
        </row>
        <row r="3103">
          <cell r="A3103" t="str">
            <v>101300850019</v>
          </cell>
          <cell r="B3103" t="str">
            <v>Musrigharari</v>
          </cell>
          <cell r="C3103" t="str">
            <v>Musrigharari</v>
          </cell>
          <cell r="D3103" t="str">
            <v>Gomukh Repura</v>
          </cell>
          <cell r="E3103">
            <v>10130085</v>
          </cell>
          <cell r="F3103" t="str">
            <v>0019</v>
          </cell>
          <cell r="G3103">
            <v>1</v>
          </cell>
          <cell r="H3103">
            <v>5</v>
          </cell>
          <cell r="I3103">
            <v>184.80527999999998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P3103">
            <v>185</v>
          </cell>
          <cell r="V3103" t="str">
            <v>Not Available</v>
          </cell>
        </row>
        <row r="3104">
          <cell r="A3104" t="str">
            <v>101300850020</v>
          </cell>
          <cell r="B3104" t="str">
            <v>Musrigharari</v>
          </cell>
          <cell r="C3104" t="str">
            <v>Musrigharari</v>
          </cell>
          <cell r="D3104" t="str">
            <v>Gomukh Repura</v>
          </cell>
          <cell r="E3104">
            <v>10130085</v>
          </cell>
          <cell r="F3104" t="str">
            <v>0020</v>
          </cell>
          <cell r="G3104">
            <v>1</v>
          </cell>
          <cell r="H3104">
            <v>3</v>
          </cell>
          <cell r="I3104">
            <v>112.071168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P3104">
            <v>112</v>
          </cell>
          <cell r="V3104" t="str">
            <v>Not Available</v>
          </cell>
        </row>
        <row r="3105">
          <cell r="A3105" t="str">
            <v>101300850021</v>
          </cell>
          <cell r="B3105" t="str">
            <v>Musrigharari</v>
          </cell>
          <cell r="C3105" t="str">
            <v>Musrigharari</v>
          </cell>
          <cell r="D3105" t="str">
            <v>Gomukh Repura</v>
          </cell>
          <cell r="E3105">
            <v>10130085</v>
          </cell>
          <cell r="F3105" t="str">
            <v>0021</v>
          </cell>
          <cell r="G3105">
            <v>1</v>
          </cell>
          <cell r="H3105">
            <v>4</v>
          </cell>
          <cell r="I3105">
            <v>147.844224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P3105">
            <v>148</v>
          </cell>
          <cell r="V3105" t="str">
            <v>Not Available</v>
          </cell>
        </row>
        <row r="3106">
          <cell r="A3106" t="str">
            <v>101300850022</v>
          </cell>
          <cell r="B3106" t="str">
            <v>Musrigharari</v>
          </cell>
          <cell r="C3106" t="str">
            <v>Musrigharari</v>
          </cell>
          <cell r="D3106" t="str">
            <v>Gomukh Repura</v>
          </cell>
          <cell r="E3106">
            <v>10130085</v>
          </cell>
          <cell r="F3106" t="str">
            <v>0022</v>
          </cell>
          <cell r="G3106">
            <v>1</v>
          </cell>
          <cell r="H3106">
            <v>5</v>
          </cell>
          <cell r="I3106">
            <v>184.80527999999998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P3106">
            <v>185</v>
          </cell>
          <cell r="V3106" t="str">
            <v>Not Available</v>
          </cell>
        </row>
        <row r="3107">
          <cell r="A3107" t="str">
            <v>101300930001</v>
          </cell>
          <cell r="B3107" t="str">
            <v>Musrigharari</v>
          </cell>
          <cell r="C3107" t="str">
            <v>Musrigharari</v>
          </cell>
          <cell r="D3107" t="str">
            <v>Gomukh Sherpur Narsari East</v>
          </cell>
          <cell r="E3107">
            <v>10130093</v>
          </cell>
          <cell r="F3107" t="str">
            <v>0001</v>
          </cell>
          <cell r="G3107">
            <v>4</v>
          </cell>
          <cell r="H3107">
            <v>1.51</v>
          </cell>
          <cell r="I3107">
            <v>56.335619557800001</v>
          </cell>
          <cell r="J3107">
            <v>0</v>
          </cell>
          <cell r="K3107">
            <v>56.335619557800001</v>
          </cell>
          <cell r="L3107">
            <v>0</v>
          </cell>
          <cell r="M3107">
            <v>0</v>
          </cell>
          <cell r="P3107">
            <v>0</v>
          </cell>
          <cell r="V3107" t="str">
            <v>Not Available</v>
          </cell>
        </row>
        <row r="3108">
          <cell r="A3108" t="str">
            <v>101300930002</v>
          </cell>
          <cell r="B3108" t="str">
            <v>Musrigharari</v>
          </cell>
          <cell r="C3108" t="str">
            <v>Musrigharari</v>
          </cell>
          <cell r="D3108" t="str">
            <v>Gomukh Sherpur Narsari East</v>
          </cell>
          <cell r="E3108">
            <v>10130093</v>
          </cell>
          <cell r="F3108" t="str">
            <v>0002</v>
          </cell>
          <cell r="G3108">
            <v>13</v>
          </cell>
          <cell r="H3108">
            <v>116.26</v>
          </cell>
          <cell r="I3108">
            <v>4476.1535135460008</v>
          </cell>
          <cell r="J3108">
            <v>0</v>
          </cell>
          <cell r="K3108">
            <v>0</v>
          </cell>
          <cell r="L3108">
            <v>125</v>
          </cell>
          <cell r="M3108">
            <v>0</v>
          </cell>
          <cell r="P3108">
            <v>4197</v>
          </cell>
          <cell r="V3108" t="str">
            <v>Available</v>
          </cell>
        </row>
        <row r="3109">
          <cell r="A3109" t="str">
            <v>101300930014</v>
          </cell>
          <cell r="B3109" t="str">
            <v>Musrigharari</v>
          </cell>
          <cell r="C3109" t="str">
            <v>Musrigharari</v>
          </cell>
          <cell r="D3109" t="str">
            <v>Gomukh Sherpur Narsari East</v>
          </cell>
          <cell r="E3109">
            <v>10130093</v>
          </cell>
          <cell r="F3109" t="str">
            <v>0014</v>
          </cell>
          <cell r="G3109">
            <v>12</v>
          </cell>
          <cell r="H3109">
            <v>52.75</v>
          </cell>
          <cell r="I3109">
            <v>2025.15231891858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P3109">
            <v>2025</v>
          </cell>
          <cell r="V3109" t="str">
            <v>Not Available</v>
          </cell>
        </row>
        <row r="3110">
          <cell r="A3110" t="str">
            <v>101300930018</v>
          </cell>
          <cell r="B3110" t="str">
            <v>Musrigharari</v>
          </cell>
          <cell r="C3110" t="str">
            <v>Musrigharari</v>
          </cell>
          <cell r="D3110" t="str">
            <v>Gomukh Sherpur Narsari East</v>
          </cell>
          <cell r="E3110">
            <v>10130093</v>
          </cell>
          <cell r="F3110" t="str">
            <v>0018</v>
          </cell>
          <cell r="G3110">
            <v>14</v>
          </cell>
          <cell r="H3110">
            <v>102.76999999999998</v>
          </cell>
          <cell r="I3110">
            <v>3667.1391026424008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P3110">
            <v>3667</v>
          </cell>
          <cell r="V3110" t="str">
            <v>Available</v>
          </cell>
        </row>
        <row r="3111">
          <cell r="A3111" t="str">
            <v>101300970002</v>
          </cell>
          <cell r="B3111" t="str">
            <v>Musrigharari</v>
          </cell>
          <cell r="C3111" t="str">
            <v>Musrigharari</v>
          </cell>
          <cell r="D3111" t="str">
            <v>Gomukh Karhatti</v>
          </cell>
          <cell r="E3111">
            <v>10130097</v>
          </cell>
          <cell r="F3111" t="str">
            <v>0002</v>
          </cell>
          <cell r="G3111">
            <v>12</v>
          </cell>
          <cell r="H3111">
            <v>115</v>
          </cell>
          <cell r="I3111">
            <v>4257.121572</v>
          </cell>
          <cell r="J3111">
            <v>0</v>
          </cell>
          <cell r="K3111">
            <v>0</v>
          </cell>
          <cell r="L3111">
            <v>1419</v>
          </cell>
          <cell r="M3111">
            <v>0</v>
          </cell>
          <cell r="P3111">
            <v>2484</v>
          </cell>
          <cell r="V3111" t="str">
            <v>Available</v>
          </cell>
        </row>
        <row r="3112">
          <cell r="A3112" t="str">
            <v>101300980001</v>
          </cell>
          <cell r="B3112" t="str">
            <v>Musrigharari</v>
          </cell>
          <cell r="C3112" t="str">
            <v>Musrigharari</v>
          </cell>
          <cell r="D3112" t="str">
            <v>Gomukh Gaopur Bhagwatpur</v>
          </cell>
          <cell r="E3112">
            <v>10130098</v>
          </cell>
          <cell r="F3112" t="str">
            <v>0001</v>
          </cell>
          <cell r="G3112">
            <v>1</v>
          </cell>
          <cell r="H3112">
            <v>0.02</v>
          </cell>
          <cell r="I3112">
            <v>0.57817584000000011</v>
          </cell>
          <cell r="J3112">
            <v>0</v>
          </cell>
          <cell r="K3112">
            <v>0.57817584000000011</v>
          </cell>
          <cell r="L3112">
            <v>0</v>
          </cell>
          <cell r="M3112">
            <v>0</v>
          </cell>
          <cell r="P3112">
            <v>0</v>
          </cell>
          <cell r="V3112" t="str">
            <v>Not Available</v>
          </cell>
        </row>
        <row r="3113">
          <cell r="A3113" t="str">
            <v>101300980002</v>
          </cell>
          <cell r="B3113" t="str">
            <v>Musrigharari</v>
          </cell>
          <cell r="C3113" t="str">
            <v>Musrigharari</v>
          </cell>
          <cell r="D3113" t="str">
            <v>Gomukh Gaopur Bhagwatpur</v>
          </cell>
          <cell r="E3113">
            <v>10130098</v>
          </cell>
          <cell r="F3113" t="str">
            <v>0002</v>
          </cell>
          <cell r="G3113">
            <v>13</v>
          </cell>
          <cell r="H3113">
            <v>119.36</v>
          </cell>
          <cell r="I3113">
            <v>4428.3839642262001</v>
          </cell>
          <cell r="J3113">
            <v>0</v>
          </cell>
          <cell r="K3113">
            <v>0</v>
          </cell>
          <cell r="L3113">
            <v>556</v>
          </cell>
          <cell r="M3113">
            <v>0</v>
          </cell>
          <cell r="P3113">
            <v>3270</v>
          </cell>
          <cell r="V3113" t="str">
            <v>Available</v>
          </cell>
        </row>
        <row r="3114">
          <cell r="A3114" t="str">
            <v>101300980010</v>
          </cell>
          <cell r="B3114" t="str">
            <v>Musrigharari</v>
          </cell>
          <cell r="C3114" t="str">
            <v>Musrigharari</v>
          </cell>
          <cell r="D3114" t="str">
            <v>Gomukh Gaopur Bhagwatpur</v>
          </cell>
          <cell r="E3114">
            <v>10130098</v>
          </cell>
          <cell r="F3114" t="str">
            <v>0010</v>
          </cell>
          <cell r="G3114">
            <v>11</v>
          </cell>
          <cell r="H3114">
            <v>204.10999999999999</v>
          </cell>
          <cell r="I3114">
            <v>7938.8229560772006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P3114">
            <v>7939</v>
          </cell>
          <cell r="V3114" t="str">
            <v>Available</v>
          </cell>
        </row>
        <row r="3115">
          <cell r="A3115" t="str">
            <v>101300980011</v>
          </cell>
          <cell r="B3115" t="str">
            <v>Musrigharari</v>
          </cell>
          <cell r="C3115" t="str">
            <v>Musrigharari</v>
          </cell>
          <cell r="D3115" t="str">
            <v>Gomukh Gaopur Bhagwatpur</v>
          </cell>
          <cell r="E3115">
            <v>10130098</v>
          </cell>
          <cell r="F3115" t="str">
            <v>0011</v>
          </cell>
          <cell r="G3115">
            <v>12</v>
          </cell>
          <cell r="H3115">
            <v>257.76</v>
          </cell>
          <cell r="I3115">
            <v>9370.0865153213999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P3115">
            <v>9370</v>
          </cell>
          <cell r="V3115" t="str">
            <v>Available</v>
          </cell>
        </row>
        <row r="3116">
          <cell r="A3116" t="str">
            <v>101300980012</v>
          </cell>
          <cell r="B3116" t="str">
            <v>Musrigharari</v>
          </cell>
          <cell r="C3116" t="str">
            <v>Musrigharari</v>
          </cell>
          <cell r="D3116" t="str">
            <v>Gomukh Gaopur Bhagwatpur</v>
          </cell>
          <cell r="E3116">
            <v>10130098</v>
          </cell>
          <cell r="F3116" t="str">
            <v>0012</v>
          </cell>
          <cell r="G3116">
            <v>10</v>
          </cell>
          <cell r="H3116">
            <v>145</v>
          </cell>
          <cell r="I3116">
            <v>5204.9525758955997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P3116">
            <v>5205</v>
          </cell>
          <cell r="V3116" t="str">
            <v>Available</v>
          </cell>
        </row>
        <row r="3117">
          <cell r="A3117" t="str">
            <v>101301000001</v>
          </cell>
          <cell r="B3117" t="str">
            <v>Musrigharari</v>
          </cell>
          <cell r="C3117" t="str">
            <v>Musrigharari</v>
          </cell>
          <cell r="D3117" t="str">
            <v>Gomukh Rajwara</v>
          </cell>
          <cell r="E3117">
            <v>10130100</v>
          </cell>
          <cell r="F3117" t="str">
            <v>0001</v>
          </cell>
          <cell r="G3117">
            <v>4</v>
          </cell>
          <cell r="H3117">
            <v>0.90000000000000013</v>
          </cell>
          <cell r="I3117">
            <v>33.39695304</v>
          </cell>
          <cell r="J3117">
            <v>0</v>
          </cell>
          <cell r="K3117">
            <v>33.39695304</v>
          </cell>
          <cell r="L3117">
            <v>0</v>
          </cell>
          <cell r="M3117">
            <v>0</v>
          </cell>
          <cell r="P3117">
            <v>0</v>
          </cell>
          <cell r="V3117" t="str">
            <v>Not Available</v>
          </cell>
        </row>
        <row r="3118">
          <cell r="A3118" t="str">
            <v>101301000002</v>
          </cell>
          <cell r="B3118" t="str">
            <v>Musrigharari</v>
          </cell>
          <cell r="C3118" t="str">
            <v>Musrigharari</v>
          </cell>
          <cell r="D3118" t="str">
            <v>Gomukh Rajwara</v>
          </cell>
          <cell r="E3118">
            <v>10130100</v>
          </cell>
          <cell r="F3118" t="str">
            <v>0002</v>
          </cell>
          <cell r="G3118">
            <v>13</v>
          </cell>
          <cell r="H3118">
            <v>145.10000000000002</v>
          </cell>
          <cell r="I3118">
            <v>5566.5173578500007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P3118">
            <v>5567</v>
          </cell>
          <cell r="V3118" t="str">
            <v>Available</v>
          </cell>
        </row>
        <row r="3119">
          <cell r="A3119" t="str">
            <v>101301000003</v>
          </cell>
          <cell r="B3119" t="str">
            <v>Musrigharari</v>
          </cell>
          <cell r="C3119" t="str">
            <v>Musrigharari</v>
          </cell>
          <cell r="D3119" t="str">
            <v>Gomukh Rajwara</v>
          </cell>
          <cell r="E3119">
            <v>10130100</v>
          </cell>
          <cell r="F3119" t="str">
            <v>0003</v>
          </cell>
          <cell r="G3119">
            <v>2</v>
          </cell>
          <cell r="H3119">
            <v>0.24</v>
          </cell>
          <cell r="I3119">
            <v>8.8706534399999999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P3119">
            <v>9</v>
          </cell>
          <cell r="V3119" t="str">
            <v>Available</v>
          </cell>
        </row>
        <row r="3120">
          <cell r="A3120" t="str">
            <v>101301020002</v>
          </cell>
          <cell r="B3120" t="str">
            <v>Musrigharari</v>
          </cell>
          <cell r="C3120" t="str">
            <v>Musrigharari</v>
          </cell>
          <cell r="D3120" t="str">
            <v>GOMUKH NIKASPUR</v>
          </cell>
          <cell r="E3120">
            <v>10130102</v>
          </cell>
          <cell r="F3120" t="str">
            <v>0002</v>
          </cell>
          <cell r="G3120">
            <v>4</v>
          </cell>
          <cell r="H3120">
            <v>121.7</v>
          </cell>
          <cell r="I3120">
            <v>3791.8515066300001</v>
          </cell>
          <cell r="J3120">
            <v>0</v>
          </cell>
          <cell r="K3120">
            <v>0</v>
          </cell>
          <cell r="L3120">
            <v>46</v>
          </cell>
          <cell r="M3120">
            <v>0</v>
          </cell>
          <cell r="P3120">
            <v>3397</v>
          </cell>
          <cell r="V3120" t="str">
            <v>Available</v>
          </cell>
        </row>
        <row r="3121">
          <cell r="A3121" t="str">
            <v>101301150002</v>
          </cell>
          <cell r="B3121" t="str">
            <v>Musrigharari</v>
          </cell>
          <cell r="C3121" t="str">
            <v>Musrigharari</v>
          </cell>
          <cell r="D3121" t="str">
            <v>GOMUKH MISHRAULIA</v>
          </cell>
          <cell r="E3121">
            <v>10130115</v>
          </cell>
          <cell r="F3121" t="str">
            <v>0002</v>
          </cell>
          <cell r="G3121">
            <v>10</v>
          </cell>
          <cell r="H3121">
            <v>275.7</v>
          </cell>
          <cell r="I3121">
            <v>13240.273168427502</v>
          </cell>
          <cell r="J3121">
            <v>0</v>
          </cell>
          <cell r="K3121">
            <v>0</v>
          </cell>
          <cell r="L3121">
            <v>1743</v>
          </cell>
          <cell r="M3121">
            <v>0</v>
          </cell>
          <cell r="P3121">
            <v>11497</v>
          </cell>
          <cell r="V3121" t="str">
            <v>Available</v>
          </cell>
        </row>
        <row r="3122">
          <cell r="A3122" t="str">
            <v>101301150003</v>
          </cell>
          <cell r="B3122" t="str">
            <v>Musrigharari</v>
          </cell>
          <cell r="C3122" t="str">
            <v>Musrigharari</v>
          </cell>
          <cell r="D3122" t="str">
            <v>GOMUKH MISHRAULIA</v>
          </cell>
          <cell r="E3122">
            <v>10130115</v>
          </cell>
          <cell r="F3122" t="str">
            <v>0003</v>
          </cell>
          <cell r="G3122">
            <v>7</v>
          </cell>
          <cell r="H3122">
            <v>151.30000000000001</v>
          </cell>
          <cell r="I3122">
            <v>6149.893760741501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P3122">
            <v>6150</v>
          </cell>
          <cell r="V3122" t="str">
            <v>Available</v>
          </cell>
        </row>
        <row r="3123">
          <cell r="A3123" t="str">
            <v>101301160002</v>
          </cell>
          <cell r="B3123" t="str">
            <v>Musrigharari</v>
          </cell>
          <cell r="C3123" t="str">
            <v>Musrigharari</v>
          </cell>
          <cell r="D3123" t="str">
            <v>GOMUKH CHAKIRDI</v>
          </cell>
          <cell r="E3123">
            <v>10130116</v>
          </cell>
          <cell r="F3123" t="str">
            <v>0002</v>
          </cell>
          <cell r="G3123">
            <v>8</v>
          </cell>
          <cell r="H3123">
            <v>49.2</v>
          </cell>
          <cell r="I3123">
            <v>1690.9300188000002</v>
          </cell>
          <cell r="J3123">
            <v>0</v>
          </cell>
          <cell r="K3123">
            <v>0</v>
          </cell>
          <cell r="L3123">
            <v>878</v>
          </cell>
          <cell r="M3123">
            <v>568</v>
          </cell>
          <cell r="P3123">
            <v>0</v>
          </cell>
          <cell r="V3123" t="str">
            <v>Available</v>
          </cell>
        </row>
        <row r="3124">
          <cell r="A3124" t="str">
            <v>101301160005</v>
          </cell>
          <cell r="B3124" t="str">
            <v>Musrigharari</v>
          </cell>
          <cell r="C3124" t="str">
            <v>Musrigharari</v>
          </cell>
          <cell r="D3124" t="str">
            <v>GOMUKH CHAKIRDI</v>
          </cell>
          <cell r="E3124">
            <v>10130116</v>
          </cell>
          <cell r="F3124" t="str">
            <v>0005</v>
          </cell>
          <cell r="G3124">
            <v>12</v>
          </cell>
          <cell r="H3124">
            <v>72.7</v>
          </cell>
          <cell r="I3124">
            <v>2379.7392173280004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P3124">
            <v>2380</v>
          </cell>
          <cell r="V3124" t="str">
            <v>Available</v>
          </cell>
        </row>
        <row r="3125">
          <cell r="A3125" t="str">
            <v>101301170002</v>
          </cell>
          <cell r="B3125" t="str">
            <v>Musrigharari</v>
          </cell>
          <cell r="C3125" t="str">
            <v>Musrigharari</v>
          </cell>
          <cell r="D3125" t="str">
            <v>GOMUKH Bhagwatpur East</v>
          </cell>
          <cell r="E3125">
            <v>10130117</v>
          </cell>
          <cell r="F3125" t="str">
            <v>0002</v>
          </cell>
          <cell r="G3125">
            <v>12</v>
          </cell>
          <cell r="H3125">
            <v>362.5</v>
          </cell>
          <cell r="I3125">
            <v>12875.534122572002</v>
          </cell>
          <cell r="J3125">
            <v>0</v>
          </cell>
          <cell r="K3125">
            <v>0</v>
          </cell>
          <cell r="L3125">
            <v>1159</v>
          </cell>
          <cell r="M3125">
            <v>0</v>
          </cell>
          <cell r="P3125">
            <v>11717</v>
          </cell>
          <cell r="V3125" t="str">
            <v>Available</v>
          </cell>
        </row>
        <row r="3126">
          <cell r="A3126" t="str">
            <v>101400010030</v>
          </cell>
          <cell r="B3126" t="str">
            <v>Dumraon</v>
          </cell>
          <cell r="C3126" t="str">
            <v>Dumraon</v>
          </cell>
          <cell r="D3126" t="str">
            <v>Dumri Purvi Tola</v>
          </cell>
          <cell r="E3126">
            <v>10140001</v>
          </cell>
          <cell r="F3126" t="str">
            <v>0030</v>
          </cell>
          <cell r="G3126">
            <v>1</v>
          </cell>
          <cell r="H3126">
            <v>2.1</v>
          </cell>
          <cell r="I3126">
            <v>78.44990076000002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P3126">
            <v>78</v>
          </cell>
          <cell r="V3126" t="str">
            <v>Available</v>
          </cell>
        </row>
        <row r="3127">
          <cell r="A3127" t="str">
            <v>101400010038</v>
          </cell>
          <cell r="B3127" t="str">
            <v>Dumraon</v>
          </cell>
          <cell r="C3127" t="str">
            <v>Dumraon</v>
          </cell>
          <cell r="D3127" t="str">
            <v>Dumri Purvi Tola</v>
          </cell>
          <cell r="E3127">
            <v>10140001</v>
          </cell>
          <cell r="F3127" t="str">
            <v>0038</v>
          </cell>
          <cell r="G3127">
            <v>7</v>
          </cell>
          <cell r="H3127">
            <v>61.900000000000006</v>
          </cell>
          <cell r="I3127">
            <v>2102.7348856800004</v>
          </cell>
          <cell r="J3127">
            <v>0</v>
          </cell>
          <cell r="K3127">
            <v>0</v>
          </cell>
          <cell r="L3127">
            <v>1510</v>
          </cell>
          <cell r="M3127">
            <v>0</v>
          </cell>
          <cell r="P3127">
            <v>593</v>
          </cell>
          <cell r="V3127" t="str">
            <v>Available</v>
          </cell>
        </row>
        <row r="3128">
          <cell r="A3128" t="str">
            <v>101400010059</v>
          </cell>
          <cell r="B3128" t="str">
            <v>Dumraon</v>
          </cell>
          <cell r="C3128" t="str">
            <v>Dumraon</v>
          </cell>
          <cell r="D3128" t="str">
            <v>Dumri Purvi Tola</v>
          </cell>
          <cell r="E3128">
            <v>10140001</v>
          </cell>
          <cell r="F3128" t="str">
            <v>0059</v>
          </cell>
          <cell r="G3128">
            <v>5</v>
          </cell>
          <cell r="H3128">
            <v>7.1</v>
          </cell>
          <cell r="I3128">
            <v>486.89659030750005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P3128">
            <v>487</v>
          </cell>
          <cell r="V3128" t="str">
            <v>Available</v>
          </cell>
        </row>
        <row r="3129">
          <cell r="A3129" t="str">
            <v>101400020002</v>
          </cell>
          <cell r="B3129" t="str">
            <v>Dumraon</v>
          </cell>
          <cell r="C3129" t="str">
            <v>Dumraon</v>
          </cell>
          <cell r="D3129" t="str">
            <v>Simri</v>
          </cell>
          <cell r="E3129">
            <v>10140002</v>
          </cell>
          <cell r="F3129" t="str">
            <v>0002</v>
          </cell>
          <cell r="G3129">
            <v>14</v>
          </cell>
          <cell r="H3129">
            <v>323.83</v>
          </cell>
          <cell r="I3129">
            <v>12778.947463788003</v>
          </cell>
          <cell r="J3129">
            <v>0</v>
          </cell>
          <cell r="K3129">
            <v>0</v>
          </cell>
          <cell r="L3129">
            <v>2798</v>
          </cell>
          <cell r="M3129">
            <v>0</v>
          </cell>
          <cell r="P3129">
            <v>9981</v>
          </cell>
          <cell r="V3129" t="str">
            <v>Available</v>
          </cell>
        </row>
        <row r="3130">
          <cell r="A3130" t="str">
            <v>101400020032</v>
          </cell>
          <cell r="B3130" t="str">
            <v>Dumraon</v>
          </cell>
          <cell r="C3130" t="str">
            <v>Dumraon</v>
          </cell>
          <cell r="D3130" t="str">
            <v>Simri</v>
          </cell>
          <cell r="E3130">
            <v>10140002</v>
          </cell>
          <cell r="F3130" t="str">
            <v>0032</v>
          </cell>
          <cell r="G3130">
            <v>5</v>
          </cell>
          <cell r="H3130">
            <v>16.75</v>
          </cell>
          <cell r="I3130">
            <v>643.11281298000006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P3130">
            <v>643</v>
          </cell>
          <cell r="V3130" t="str">
            <v>Available</v>
          </cell>
        </row>
        <row r="3131">
          <cell r="A3131" t="str">
            <v>101400020038</v>
          </cell>
          <cell r="B3131" t="str">
            <v>Dumraon</v>
          </cell>
          <cell r="C3131" t="str">
            <v>Dumraon</v>
          </cell>
          <cell r="D3131" t="str">
            <v>Simri</v>
          </cell>
          <cell r="E3131">
            <v>10140002</v>
          </cell>
          <cell r="F3131" t="str">
            <v>0038</v>
          </cell>
          <cell r="G3131">
            <v>2</v>
          </cell>
          <cell r="H3131">
            <v>4.16</v>
          </cell>
          <cell r="I3131">
            <v>162.28282752000001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P3131">
            <v>162</v>
          </cell>
          <cell r="V3131" t="str">
            <v>Available</v>
          </cell>
        </row>
        <row r="3132">
          <cell r="A3132" t="str">
            <v>101400020040</v>
          </cell>
          <cell r="B3132" t="str">
            <v>Dumraon</v>
          </cell>
          <cell r="C3132" t="str">
            <v>Dumraon</v>
          </cell>
          <cell r="D3132" t="str">
            <v>Simri</v>
          </cell>
          <cell r="E3132">
            <v>10140002</v>
          </cell>
          <cell r="F3132" t="str">
            <v>0040</v>
          </cell>
          <cell r="G3132">
            <v>9</v>
          </cell>
          <cell r="H3132">
            <v>23.58</v>
          </cell>
          <cell r="I3132">
            <v>810.44112877199996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P3132">
            <v>810</v>
          </cell>
          <cell r="V3132" t="str">
            <v>Available</v>
          </cell>
        </row>
        <row r="3133">
          <cell r="A3133" t="str">
            <v>101400020046</v>
          </cell>
          <cell r="B3133" t="str">
            <v>Dumraon</v>
          </cell>
          <cell r="C3133" t="str">
            <v>Dumraon</v>
          </cell>
          <cell r="D3133" t="str">
            <v>Simri</v>
          </cell>
          <cell r="E3133">
            <v>10140002</v>
          </cell>
          <cell r="F3133" t="str">
            <v>0046</v>
          </cell>
          <cell r="G3133">
            <v>13</v>
          </cell>
          <cell r="H3133">
            <v>72.16</v>
          </cell>
          <cell r="I3133">
            <v>2516.9325358320002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P3133">
            <v>2517</v>
          </cell>
          <cell r="V3133" t="str">
            <v>Available</v>
          </cell>
        </row>
        <row r="3134">
          <cell r="A3134" t="str">
            <v>101400020047</v>
          </cell>
          <cell r="B3134" t="str">
            <v>Dumraon</v>
          </cell>
          <cell r="C3134" t="str">
            <v>Dumraon</v>
          </cell>
          <cell r="D3134" t="str">
            <v>Simri</v>
          </cell>
          <cell r="E3134">
            <v>10140002</v>
          </cell>
          <cell r="F3134" t="str">
            <v>0047</v>
          </cell>
          <cell r="G3134">
            <v>12</v>
          </cell>
          <cell r="H3134">
            <v>63.15</v>
          </cell>
          <cell r="I3134">
            <v>2314.1761236000002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P3134">
            <v>2314</v>
          </cell>
          <cell r="V3134" t="str">
            <v>Available</v>
          </cell>
        </row>
        <row r="3135">
          <cell r="A3135" t="str">
            <v>101400020061</v>
          </cell>
          <cell r="B3135" t="str">
            <v>Dumraon</v>
          </cell>
          <cell r="C3135" t="str">
            <v>Dumraon</v>
          </cell>
          <cell r="D3135" t="str">
            <v>Simri</v>
          </cell>
          <cell r="E3135">
            <v>10140002</v>
          </cell>
          <cell r="F3135" t="str">
            <v>0061</v>
          </cell>
          <cell r="G3135">
            <v>14</v>
          </cell>
          <cell r="H3135">
            <v>81.86</v>
          </cell>
          <cell r="I3135">
            <v>2898.1748446199999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P3135">
            <v>2898</v>
          </cell>
          <cell r="V3135" t="str">
            <v>Available</v>
          </cell>
        </row>
        <row r="3136">
          <cell r="A3136" t="str">
            <v>101400020072</v>
          </cell>
          <cell r="B3136" t="str">
            <v>Dumraon</v>
          </cell>
          <cell r="C3136" t="str">
            <v>Dumraon</v>
          </cell>
          <cell r="D3136" t="str">
            <v>Simri</v>
          </cell>
          <cell r="E3136">
            <v>10140002</v>
          </cell>
          <cell r="F3136" t="str">
            <v>0072</v>
          </cell>
          <cell r="G3136">
            <v>12</v>
          </cell>
          <cell r="H3136">
            <v>19.829999999999998</v>
          </cell>
          <cell r="I3136">
            <v>776.13026238000009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P3136">
            <v>776</v>
          </cell>
          <cell r="V3136" t="str">
            <v>Available</v>
          </cell>
        </row>
        <row r="3137">
          <cell r="A3137" t="str">
            <v>101400020075</v>
          </cell>
          <cell r="B3137" t="str">
            <v>Dumraon</v>
          </cell>
          <cell r="C3137" t="str">
            <v>Dumraon</v>
          </cell>
          <cell r="D3137" t="str">
            <v>Simri</v>
          </cell>
          <cell r="E3137">
            <v>10140002</v>
          </cell>
          <cell r="F3137" t="str">
            <v>0075</v>
          </cell>
          <cell r="G3137">
            <v>8</v>
          </cell>
          <cell r="H3137">
            <v>32.299999999999997</v>
          </cell>
          <cell r="I3137">
            <v>1169.9338384800001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P3137">
            <v>1170</v>
          </cell>
          <cell r="V3137" t="str">
            <v>Available</v>
          </cell>
        </row>
        <row r="3138">
          <cell r="A3138" t="str">
            <v>101400020076</v>
          </cell>
          <cell r="B3138" t="str">
            <v>Dumraon</v>
          </cell>
          <cell r="C3138" t="str">
            <v>Dumraon</v>
          </cell>
          <cell r="D3138" t="str">
            <v>Simri</v>
          </cell>
          <cell r="E3138">
            <v>10140002</v>
          </cell>
          <cell r="F3138" t="str">
            <v>0076</v>
          </cell>
          <cell r="G3138">
            <v>6</v>
          </cell>
          <cell r="H3138">
            <v>12.06</v>
          </cell>
          <cell r="I3138">
            <v>432.01985072400004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P3138">
            <v>432</v>
          </cell>
          <cell r="V3138" t="str">
            <v>Available</v>
          </cell>
        </row>
        <row r="3139">
          <cell r="A3139" t="str">
            <v>101400020080</v>
          </cell>
          <cell r="B3139" t="str">
            <v>Dumraon</v>
          </cell>
          <cell r="C3139" t="str">
            <v>Dumraon</v>
          </cell>
          <cell r="D3139" t="str">
            <v>Simri</v>
          </cell>
          <cell r="E3139">
            <v>10140002</v>
          </cell>
          <cell r="F3139" t="str">
            <v>0080</v>
          </cell>
          <cell r="G3139">
            <v>6</v>
          </cell>
          <cell r="H3139">
            <v>104.25</v>
          </cell>
          <cell r="I3139">
            <v>4007.9434420079997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P3139">
            <v>4008</v>
          </cell>
          <cell r="V3139" t="str">
            <v>Available</v>
          </cell>
        </row>
        <row r="3140">
          <cell r="A3140" t="str">
            <v>101400020083</v>
          </cell>
          <cell r="B3140" t="str">
            <v>Dumraon</v>
          </cell>
          <cell r="C3140" t="str">
            <v>Dumraon</v>
          </cell>
          <cell r="D3140" t="str">
            <v>Simri</v>
          </cell>
          <cell r="E3140">
            <v>10140002</v>
          </cell>
          <cell r="F3140" t="str">
            <v>0083</v>
          </cell>
          <cell r="G3140">
            <v>3</v>
          </cell>
          <cell r="H3140">
            <v>6.1999999999999993</v>
          </cell>
          <cell r="I3140">
            <v>230.21138091600002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P3140">
            <v>230</v>
          </cell>
          <cell r="V3140" t="str">
            <v>Available</v>
          </cell>
        </row>
        <row r="3141">
          <cell r="A3141" t="str">
            <v>101400020097</v>
          </cell>
          <cell r="B3141" t="str">
            <v>Dumraon</v>
          </cell>
          <cell r="C3141" t="str">
            <v>Dumraon</v>
          </cell>
          <cell r="D3141" t="str">
            <v>Simri</v>
          </cell>
          <cell r="E3141">
            <v>10140002</v>
          </cell>
          <cell r="F3141" t="str">
            <v>0097</v>
          </cell>
          <cell r="G3141">
            <v>7</v>
          </cell>
          <cell r="H3141">
            <v>17.5</v>
          </cell>
          <cell r="I3141">
            <v>612.83612768400008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P3141">
            <v>613</v>
          </cell>
          <cell r="V3141" t="str">
            <v>Available</v>
          </cell>
        </row>
        <row r="3142">
          <cell r="A3142" t="str">
            <v>101400030001</v>
          </cell>
          <cell r="B3142" t="str">
            <v>Dumraon</v>
          </cell>
          <cell r="C3142" t="str">
            <v>Dumraon</v>
          </cell>
          <cell r="D3142" t="str">
            <v>Sahiyar</v>
          </cell>
          <cell r="E3142">
            <v>10140003</v>
          </cell>
          <cell r="F3142" t="str">
            <v>0001</v>
          </cell>
          <cell r="G3142">
            <v>12</v>
          </cell>
          <cell r="H3142">
            <v>29.500000000000004</v>
          </cell>
          <cell r="I3142">
            <v>1162.4368615200001</v>
          </cell>
          <cell r="J3142">
            <v>0</v>
          </cell>
          <cell r="K3142">
            <v>1162.4368615200001</v>
          </cell>
          <cell r="L3142">
            <v>0</v>
          </cell>
          <cell r="M3142">
            <v>0</v>
          </cell>
          <cell r="P3142">
            <v>0</v>
          </cell>
          <cell r="V3142" t="str">
            <v>Not Available</v>
          </cell>
        </row>
        <row r="3143">
          <cell r="A3143" t="str">
            <v>101400030002</v>
          </cell>
          <cell r="B3143" t="str">
            <v>Dumraon</v>
          </cell>
          <cell r="C3143" t="str">
            <v>Dumraon</v>
          </cell>
          <cell r="D3143" t="str">
            <v>Sahiyar</v>
          </cell>
          <cell r="E3143">
            <v>10140003</v>
          </cell>
          <cell r="F3143" t="str">
            <v>0002</v>
          </cell>
          <cell r="G3143">
            <v>4</v>
          </cell>
          <cell r="H3143">
            <v>140</v>
          </cell>
          <cell r="I3143">
            <v>5755.3570799999998</v>
          </cell>
          <cell r="J3143">
            <v>0</v>
          </cell>
          <cell r="K3143">
            <v>0</v>
          </cell>
          <cell r="L3143">
            <v>842</v>
          </cell>
          <cell r="M3143">
            <v>0</v>
          </cell>
          <cell r="P3143">
            <v>4913</v>
          </cell>
          <cell r="V3143" t="str">
            <v>Available</v>
          </cell>
        </row>
        <row r="3144">
          <cell r="A3144" t="str">
            <v>101400030013</v>
          </cell>
          <cell r="B3144" t="str">
            <v>Dumraon</v>
          </cell>
          <cell r="C3144" t="str">
            <v>Dumraon</v>
          </cell>
          <cell r="D3144" t="str">
            <v>Sahiyar</v>
          </cell>
          <cell r="E3144">
            <v>10140003</v>
          </cell>
          <cell r="F3144" t="str">
            <v>0013</v>
          </cell>
          <cell r="G3144">
            <v>13</v>
          </cell>
          <cell r="H3144">
            <v>27.9</v>
          </cell>
          <cell r="I3144">
            <v>1007.6386201200002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P3144">
            <v>1008</v>
          </cell>
          <cell r="V3144" t="str">
            <v>Available</v>
          </cell>
        </row>
        <row r="3145">
          <cell r="A3145" t="str">
            <v>101400030016</v>
          </cell>
          <cell r="B3145" t="str">
            <v>Dumraon</v>
          </cell>
          <cell r="C3145" t="str">
            <v>Dumraon</v>
          </cell>
          <cell r="D3145" t="str">
            <v>Sahiyar</v>
          </cell>
          <cell r="E3145">
            <v>10140003</v>
          </cell>
          <cell r="F3145" t="str">
            <v>0016</v>
          </cell>
          <cell r="G3145">
            <v>14</v>
          </cell>
          <cell r="H3145">
            <v>49.5</v>
          </cell>
          <cell r="I3145">
            <v>1776.5612607599999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P3145">
            <v>1777</v>
          </cell>
          <cell r="V3145" t="str">
            <v>Available</v>
          </cell>
        </row>
        <row r="3146">
          <cell r="A3146" t="str">
            <v>101400030017</v>
          </cell>
          <cell r="B3146" t="str">
            <v>Dumraon</v>
          </cell>
          <cell r="C3146" t="str">
            <v>Dumraon</v>
          </cell>
          <cell r="D3146" t="str">
            <v>Sahiyar</v>
          </cell>
          <cell r="E3146">
            <v>10140003</v>
          </cell>
          <cell r="F3146" t="str">
            <v>0017</v>
          </cell>
          <cell r="G3146">
            <v>7</v>
          </cell>
          <cell r="H3146">
            <v>30.900000000000002</v>
          </cell>
          <cell r="I3146">
            <v>1168.6943109599999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P3146">
            <v>1169</v>
          </cell>
          <cell r="V3146" t="str">
            <v>Available</v>
          </cell>
        </row>
        <row r="3147">
          <cell r="A3147" t="str">
            <v>101400030022</v>
          </cell>
          <cell r="B3147" t="str">
            <v>Dumraon</v>
          </cell>
          <cell r="C3147" t="str">
            <v>Dumraon</v>
          </cell>
          <cell r="D3147" t="str">
            <v>Sahiyar</v>
          </cell>
          <cell r="E3147">
            <v>10140003</v>
          </cell>
          <cell r="F3147" t="str">
            <v>0022</v>
          </cell>
          <cell r="G3147">
            <v>7</v>
          </cell>
          <cell r="H3147">
            <v>12.500000000000002</v>
          </cell>
          <cell r="I3147">
            <v>499.29911393796004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P3147">
            <v>499</v>
          </cell>
          <cell r="V3147" t="str">
            <v>Available</v>
          </cell>
        </row>
        <row r="3148">
          <cell r="A3148" t="str">
            <v>101400030024</v>
          </cell>
          <cell r="B3148" t="str">
            <v>Dumraon</v>
          </cell>
          <cell r="C3148" t="str">
            <v>Dumraon</v>
          </cell>
          <cell r="D3148" t="str">
            <v>Sahiyar</v>
          </cell>
          <cell r="E3148">
            <v>10140003</v>
          </cell>
          <cell r="F3148" t="str">
            <v>0024</v>
          </cell>
          <cell r="G3148">
            <v>1</v>
          </cell>
          <cell r="H3148">
            <v>40</v>
          </cell>
          <cell r="I3148">
            <v>1657.96488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P3148">
            <v>1658</v>
          </cell>
          <cell r="V3148" t="str">
            <v>Available</v>
          </cell>
        </row>
        <row r="3149">
          <cell r="A3149" t="str">
            <v>101400030035</v>
          </cell>
          <cell r="B3149" t="str">
            <v>Dumraon</v>
          </cell>
          <cell r="C3149" t="str">
            <v>Dumraon</v>
          </cell>
          <cell r="D3149" t="str">
            <v>Sahiyar</v>
          </cell>
          <cell r="E3149">
            <v>10140003</v>
          </cell>
          <cell r="F3149" t="str">
            <v>0035</v>
          </cell>
          <cell r="G3149">
            <v>6</v>
          </cell>
          <cell r="H3149">
            <v>16.2</v>
          </cell>
          <cell r="I3149">
            <v>604.9477407600001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P3149">
            <v>605</v>
          </cell>
          <cell r="V3149" t="str">
            <v>Available</v>
          </cell>
        </row>
        <row r="3150">
          <cell r="A3150" t="str">
            <v>101400030038</v>
          </cell>
          <cell r="B3150" t="str">
            <v>Dumraon</v>
          </cell>
          <cell r="C3150" t="str">
            <v>Dumraon</v>
          </cell>
          <cell r="D3150" t="str">
            <v>Sahiyar</v>
          </cell>
          <cell r="E3150">
            <v>10140003</v>
          </cell>
          <cell r="F3150" t="str">
            <v>0038</v>
          </cell>
          <cell r="G3150">
            <v>10</v>
          </cell>
          <cell r="H3150">
            <v>22.5</v>
          </cell>
          <cell r="I3150">
            <v>815.74442136000005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P3150">
            <v>816</v>
          </cell>
          <cell r="V3150" t="str">
            <v>Available</v>
          </cell>
        </row>
        <row r="3151">
          <cell r="A3151" t="str">
            <v>101400030050</v>
          </cell>
          <cell r="B3151" t="str">
            <v>Dumraon</v>
          </cell>
          <cell r="C3151" t="str">
            <v>Dumraon</v>
          </cell>
          <cell r="D3151" t="str">
            <v>Sahiyar</v>
          </cell>
          <cell r="E3151">
            <v>10140003</v>
          </cell>
          <cell r="F3151" t="str">
            <v>0050</v>
          </cell>
          <cell r="G3151">
            <v>10</v>
          </cell>
          <cell r="H3151">
            <v>20.900000000000002</v>
          </cell>
          <cell r="I3151">
            <v>743.12961624000013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P3151">
            <v>743</v>
          </cell>
          <cell r="V3151" t="str">
            <v>Available</v>
          </cell>
        </row>
        <row r="3152">
          <cell r="A3152" t="str">
            <v>101400030056</v>
          </cell>
          <cell r="B3152" t="str">
            <v>Dumraon</v>
          </cell>
          <cell r="C3152" t="str">
            <v>Dumraon</v>
          </cell>
          <cell r="D3152" t="str">
            <v>Sahiyar</v>
          </cell>
          <cell r="E3152">
            <v>10140003</v>
          </cell>
          <cell r="F3152" t="str">
            <v>0056</v>
          </cell>
          <cell r="G3152">
            <v>12</v>
          </cell>
          <cell r="H3152">
            <v>11.700000000000001</v>
          </cell>
          <cell r="I3152">
            <v>789.18719863570004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P3152">
            <v>789</v>
          </cell>
          <cell r="V3152" t="str">
            <v>Available</v>
          </cell>
        </row>
        <row r="3153">
          <cell r="A3153" t="str">
            <v>101400030069</v>
          </cell>
          <cell r="B3153" t="str">
            <v>Dumraon</v>
          </cell>
          <cell r="C3153" t="str">
            <v>Dumraon</v>
          </cell>
          <cell r="D3153" t="str">
            <v>Sahiyar</v>
          </cell>
          <cell r="E3153">
            <v>10140003</v>
          </cell>
          <cell r="F3153" t="str">
            <v>0069</v>
          </cell>
          <cell r="G3153">
            <v>6</v>
          </cell>
          <cell r="H3153">
            <v>14.6</v>
          </cell>
          <cell r="I3153">
            <v>545.71673772000008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P3153">
            <v>546</v>
          </cell>
          <cell r="V3153" t="str">
            <v>Available</v>
          </cell>
        </row>
        <row r="3154">
          <cell r="A3154" t="str">
            <v>101400030119</v>
          </cell>
          <cell r="B3154" t="str">
            <v>Dumraon</v>
          </cell>
          <cell r="C3154" t="str">
            <v>Dumraon</v>
          </cell>
          <cell r="D3154" t="str">
            <v>Sahiyar</v>
          </cell>
          <cell r="E3154">
            <v>10140003</v>
          </cell>
          <cell r="F3154" t="str">
            <v>0119</v>
          </cell>
          <cell r="G3154">
            <v>12</v>
          </cell>
          <cell r="H3154">
            <v>16.600000000000001</v>
          </cell>
          <cell r="I3154">
            <v>662.30114544000003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P3154">
            <v>662</v>
          </cell>
          <cell r="V3154" t="str">
            <v>Available</v>
          </cell>
        </row>
        <row r="3155">
          <cell r="A3155" t="str">
            <v>101400030120</v>
          </cell>
          <cell r="B3155" t="str">
            <v>Dumraon</v>
          </cell>
          <cell r="C3155" t="str">
            <v>Dumraon</v>
          </cell>
          <cell r="D3155" t="str">
            <v>Sahiyar</v>
          </cell>
          <cell r="E3155">
            <v>10140003</v>
          </cell>
          <cell r="F3155" t="str">
            <v>0120</v>
          </cell>
          <cell r="G3155">
            <v>12</v>
          </cell>
          <cell r="H3155">
            <v>29.8</v>
          </cell>
          <cell r="I3155">
            <v>1086.5500074000001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P3155">
            <v>1087</v>
          </cell>
          <cell r="V3155" t="str">
            <v>Available</v>
          </cell>
        </row>
        <row r="3156">
          <cell r="A3156" t="str">
            <v>101400030137</v>
          </cell>
          <cell r="B3156" t="str">
            <v>Dumraon</v>
          </cell>
          <cell r="C3156" t="str">
            <v>Dumraon</v>
          </cell>
          <cell r="D3156" t="str">
            <v>Sahiyar</v>
          </cell>
          <cell r="E3156">
            <v>10140003</v>
          </cell>
          <cell r="F3156" t="str">
            <v>0137</v>
          </cell>
          <cell r="G3156">
            <v>13</v>
          </cell>
          <cell r="H3156">
            <v>88.799999999999983</v>
          </cell>
          <cell r="I3156">
            <v>4008.3959845767999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P3156">
            <v>4008</v>
          </cell>
          <cell r="V3156" t="str">
            <v>Available</v>
          </cell>
        </row>
        <row r="3157">
          <cell r="A3157" t="str">
            <v>101400030143</v>
          </cell>
          <cell r="B3157" t="str">
            <v>Dumraon</v>
          </cell>
          <cell r="C3157" t="str">
            <v>Dumraon</v>
          </cell>
          <cell r="D3157" t="str">
            <v>Sahiyar</v>
          </cell>
          <cell r="E3157">
            <v>10140003</v>
          </cell>
          <cell r="F3157" t="str">
            <v>0143</v>
          </cell>
          <cell r="G3157">
            <v>2</v>
          </cell>
          <cell r="H3157">
            <v>6.3000000000000007</v>
          </cell>
          <cell r="I3157">
            <v>232.85477952000002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P3157">
            <v>233</v>
          </cell>
          <cell r="V3157" t="str">
            <v>Available</v>
          </cell>
        </row>
        <row r="3158">
          <cell r="A3158" t="str">
            <v>101400030185</v>
          </cell>
          <cell r="B3158" t="str">
            <v>Dumraon</v>
          </cell>
          <cell r="C3158" t="str">
            <v>Dumraon</v>
          </cell>
          <cell r="D3158" t="str">
            <v>Sahiyar</v>
          </cell>
          <cell r="E3158">
            <v>10140003</v>
          </cell>
          <cell r="F3158" t="str">
            <v>0185</v>
          </cell>
          <cell r="G3158">
            <v>13</v>
          </cell>
          <cell r="H3158">
            <v>69.900000000000006</v>
          </cell>
          <cell r="I3158">
            <v>3264.3325231690997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P3158">
            <v>3264</v>
          </cell>
          <cell r="V3158" t="str">
            <v>Available</v>
          </cell>
        </row>
        <row r="3159">
          <cell r="A3159" t="str">
            <v>101400030197</v>
          </cell>
          <cell r="B3159" t="str">
            <v>Dumraon</v>
          </cell>
          <cell r="C3159" t="str">
            <v>Dumraon</v>
          </cell>
          <cell r="D3159" t="str">
            <v>Sahiyar</v>
          </cell>
          <cell r="E3159">
            <v>10140003</v>
          </cell>
          <cell r="F3159" t="str">
            <v>0197</v>
          </cell>
          <cell r="G3159">
            <v>7</v>
          </cell>
          <cell r="H3159">
            <v>18.3</v>
          </cell>
          <cell r="I3159">
            <v>1123.3920772624001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P3159">
            <v>1123</v>
          </cell>
          <cell r="V3159" t="str">
            <v>Available</v>
          </cell>
        </row>
        <row r="3160">
          <cell r="A3160" t="str">
            <v>101400030199</v>
          </cell>
          <cell r="B3160" t="str">
            <v>Dumraon</v>
          </cell>
          <cell r="C3160" t="str">
            <v>Dumraon</v>
          </cell>
          <cell r="D3160" t="str">
            <v>Sahiyar</v>
          </cell>
          <cell r="E3160">
            <v>10140003</v>
          </cell>
          <cell r="F3160" t="str">
            <v>0199</v>
          </cell>
          <cell r="G3160">
            <v>8</v>
          </cell>
          <cell r="H3160">
            <v>29.400000000000002</v>
          </cell>
          <cell r="I3160">
            <v>1081.7590172400003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P3160">
            <v>1082</v>
          </cell>
          <cell r="V3160" t="str">
            <v>Available</v>
          </cell>
        </row>
        <row r="3161">
          <cell r="A3161" t="str">
            <v>101400030214</v>
          </cell>
          <cell r="B3161" t="str">
            <v>Dumraon</v>
          </cell>
          <cell r="C3161" t="str">
            <v>Dumraon</v>
          </cell>
          <cell r="D3161" t="str">
            <v>Sahiyar</v>
          </cell>
          <cell r="E3161">
            <v>10140003</v>
          </cell>
          <cell r="F3161" t="str">
            <v>0214</v>
          </cell>
          <cell r="G3161">
            <v>14</v>
          </cell>
          <cell r="H3161">
            <v>25.3</v>
          </cell>
          <cell r="I3161">
            <v>1334.6434152916904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P3161">
            <v>1335</v>
          </cell>
          <cell r="V3161" t="str">
            <v>Available</v>
          </cell>
        </row>
        <row r="3162">
          <cell r="A3162" t="str">
            <v>101400030235</v>
          </cell>
          <cell r="B3162" t="str">
            <v>Dumraon</v>
          </cell>
          <cell r="C3162" t="str">
            <v>Dumraon</v>
          </cell>
          <cell r="D3162" t="str">
            <v>Sahiyar</v>
          </cell>
          <cell r="E3162">
            <v>10140003</v>
          </cell>
          <cell r="F3162" t="str">
            <v>0235</v>
          </cell>
          <cell r="G3162">
            <v>13</v>
          </cell>
          <cell r="H3162">
            <v>32.1</v>
          </cell>
          <cell r="I3162">
            <v>1233.02081232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P3162">
            <v>1233</v>
          </cell>
          <cell r="V3162" t="str">
            <v>Available</v>
          </cell>
        </row>
        <row r="3163">
          <cell r="A3163" t="str">
            <v>101400030240</v>
          </cell>
          <cell r="B3163" t="str">
            <v>Dumraon</v>
          </cell>
          <cell r="C3163" t="str">
            <v>Dumraon</v>
          </cell>
          <cell r="D3163" t="str">
            <v>Sahiyar</v>
          </cell>
          <cell r="E3163">
            <v>10140003</v>
          </cell>
          <cell r="F3163" t="str">
            <v>0240</v>
          </cell>
          <cell r="G3163">
            <v>9</v>
          </cell>
          <cell r="H3163">
            <v>28.099999999999998</v>
          </cell>
          <cell r="I3163">
            <v>1066.2864062400004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P3163">
            <v>1066</v>
          </cell>
          <cell r="V3163" t="str">
            <v>Available</v>
          </cell>
        </row>
        <row r="3164">
          <cell r="A3164" t="str">
            <v>101400030251</v>
          </cell>
          <cell r="B3164" t="str">
            <v>Dumraon</v>
          </cell>
          <cell r="C3164" t="str">
            <v>Dumraon</v>
          </cell>
          <cell r="D3164" t="str">
            <v>Sahiyar</v>
          </cell>
          <cell r="E3164">
            <v>10140003</v>
          </cell>
          <cell r="F3164" t="str">
            <v>0251</v>
          </cell>
          <cell r="G3164">
            <v>6</v>
          </cell>
          <cell r="H3164">
            <v>16.7</v>
          </cell>
          <cell r="I3164">
            <v>944.5034863358801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P3164">
            <v>945</v>
          </cell>
          <cell r="V3164" t="str">
            <v>Available</v>
          </cell>
        </row>
        <row r="3165">
          <cell r="A3165" t="str">
            <v>101400030254</v>
          </cell>
          <cell r="B3165" t="str">
            <v>Dumraon</v>
          </cell>
          <cell r="C3165" t="str">
            <v>Dumraon</v>
          </cell>
          <cell r="D3165" t="str">
            <v>Sahiyar</v>
          </cell>
          <cell r="E3165">
            <v>10140003</v>
          </cell>
          <cell r="F3165" t="str">
            <v>0254</v>
          </cell>
          <cell r="G3165">
            <v>1</v>
          </cell>
          <cell r="H3165">
            <v>2.4</v>
          </cell>
          <cell r="I3165">
            <v>93.458534400000005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P3165">
            <v>93</v>
          </cell>
          <cell r="V3165" t="str">
            <v>Available</v>
          </cell>
        </row>
        <row r="3166">
          <cell r="A3166" t="str">
            <v>101400030289</v>
          </cell>
          <cell r="B3166" t="str">
            <v>Dumraon</v>
          </cell>
          <cell r="C3166" t="str">
            <v>Dumraon</v>
          </cell>
          <cell r="D3166" t="str">
            <v>Sahiyar</v>
          </cell>
          <cell r="E3166">
            <v>10140003</v>
          </cell>
          <cell r="F3166" t="str">
            <v>0289</v>
          </cell>
          <cell r="G3166">
            <v>12</v>
          </cell>
          <cell r="H3166">
            <v>29.499999999999996</v>
          </cell>
          <cell r="I3166">
            <v>1099.2476048399999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P3166">
            <v>1099</v>
          </cell>
          <cell r="V3166" t="str">
            <v>Available</v>
          </cell>
        </row>
        <row r="3167">
          <cell r="A3167" t="str">
            <v>101400030290</v>
          </cell>
          <cell r="B3167" t="str">
            <v>Dumraon</v>
          </cell>
          <cell r="C3167" t="str">
            <v>Dumraon</v>
          </cell>
          <cell r="D3167" t="str">
            <v>Sahiyar</v>
          </cell>
          <cell r="E3167">
            <v>10140003</v>
          </cell>
          <cell r="F3167" t="str">
            <v>0290</v>
          </cell>
          <cell r="G3167">
            <v>7</v>
          </cell>
          <cell r="H3167">
            <v>15.5</v>
          </cell>
          <cell r="I3167">
            <v>821.76108379940013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P3167">
            <v>822</v>
          </cell>
          <cell r="V3167" t="str">
            <v>Available</v>
          </cell>
        </row>
        <row r="3168">
          <cell r="A3168" t="str">
            <v>101400030292</v>
          </cell>
          <cell r="B3168" t="str">
            <v>Dumraon</v>
          </cell>
          <cell r="C3168" t="str">
            <v>Dumraon</v>
          </cell>
          <cell r="D3168" t="str">
            <v>Sahiyar</v>
          </cell>
          <cell r="E3168">
            <v>10140003</v>
          </cell>
          <cell r="F3168" t="str">
            <v>0292</v>
          </cell>
          <cell r="G3168">
            <v>2</v>
          </cell>
          <cell r="H3168">
            <v>3.9000000000000004</v>
          </cell>
          <cell r="I3168">
            <v>186.15905176000001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P3168">
            <v>186</v>
          </cell>
          <cell r="V3168" t="str">
            <v>Available</v>
          </cell>
        </row>
        <row r="3169">
          <cell r="A3169" t="str">
            <v>101400070001</v>
          </cell>
          <cell r="B3169" t="str">
            <v>Dumraon</v>
          </cell>
          <cell r="C3169" t="str">
            <v>Dumraon</v>
          </cell>
          <cell r="D3169" t="str">
            <v>ENGLISH DUBAULI</v>
          </cell>
          <cell r="E3169">
            <v>10140007</v>
          </cell>
          <cell r="F3169" t="str">
            <v>0001</v>
          </cell>
          <cell r="G3169">
            <v>13</v>
          </cell>
          <cell r="H3169">
            <v>22.94</v>
          </cell>
          <cell r="I3169">
            <v>1344.1196128976103</v>
          </cell>
          <cell r="J3169">
            <v>0</v>
          </cell>
          <cell r="K3169">
            <v>1344.1196128976103</v>
          </cell>
          <cell r="L3169">
            <v>0</v>
          </cell>
          <cell r="M3169">
            <v>0</v>
          </cell>
          <cell r="P3169">
            <v>0</v>
          </cell>
          <cell r="V3169" t="str">
            <v>Not Available</v>
          </cell>
        </row>
        <row r="3170">
          <cell r="A3170" t="str">
            <v>101400070011</v>
          </cell>
          <cell r="B3170" t="str">
            <v>Dumraon</v>
          </cell>
          <cell r="C3170" t="str">
            <v>Dumraon</v>
          </cell>
          <cell r="D3170" t="str">
            <v>ENGLISH DUBAULI</v>
          </cell>
          <cell r="E3170">
            <v>10140007</v>
          </cell>
          <cell r="F3170" t="str">
            <v>0011</v>
          </cell>
          <cell r="G3170">
            <v>6</v>
          </cell>
          <cell r="H3170">
            <v>7.1</v>
          </cell>
          <cell r="I3170">
            <v>276.61762735200006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P3170">
            <v>277</v>
          </cell>
          <cell r="V3170" t="str">
            <v>Available</v>
          </cell>
        </row>
        <row r="3171">
          <cell r="A3171" t="str">
            <v>101400070014</v>
          </cell>
          <cell r="B3171" t="str">
            <v>Dumraon</v>
          </cell>
          <cell r="C3171" t="str">
            <v>Dumraon</v>
          </cell>
          <cell r="D3171" t="str">
            <v>ENGLISH DUBAULI</v>
          </cell>
          <cell r="E3171">
            <v>10140007</v>
          </cell>
          <cell r="F3171" t="str">
            <v>0014</v>
          </cell>
          <cell r="G3171">
            <v>13</v>
          </cell>
          <cell r="H3171">
            <v>27.38</v>
          </cell>
          <cell r="I3171">
            <v>1004.0954857560002</v>
          </cell>
          <cell r="J3171">
            <v>0</v>
          </cell>
          <cell r="K3171">
            <v>0</v>
          </cell>
          <cell r="L3171">
            <v>250</v>
          </cell>
          <cell r="M3171">
            <v>0</v>
          </cell>
          <cell r="P3171">
            <v>754</v>
          </cell>
          <cell r="V3171" t="str">
            <v>Available</v>
          </cell>
        </row>
        <row r="3172">
          <cell r="A3172" t="str">
            <v>101400070017</v>
          </cell>
          <cell r="B3172" t="str">
            <v>Dumraon</v>
          </cell>
          <cell r="C3172" t="str">
            <v>Dumraon</v>
          </cell>
          <cell r="D3172" t="str">
            <v>ENGLISH DUBAULI</v>
          </cell>
          <cell r="E3172">
            <v>10140007</v>
          </cell>
          <cell r="F3172" t="str">
            <v>0017</v>
          </cell>
          <cell r="G3172">
            <v>12</v>
          </cell>
          <cell r="H3172">
            <v>16.309999999999999</v>
          </cell>
          <cell r="I3172">
            <v>600.19516299600014</v>
          </cell>
          <cell r="J3172">
            <v>0</v>
          </cell>
          <cell r="K3172">
            <v>0</v>
          </cell>
          <cell r="L3172">
            <v>100</v>
          </cell>
          <cell r="M3172">
            <v>0</v>
          </cell>
          <cell r="P3172">
            <v>500</v>
          </cell>
          <cell r="V3172" t="str">
            <v>Available</v>
          </cell>
        </row>
        <row r="3173">
          <cell r="A3173" t="str">
            <v>101400070036</v>
          </cell>
          <cell r="B3173" t="str">
            <v>Dumraon</v>
          </cell>
          <cell r="C3173" t="str">
            <v>Dumraon</v>
          </cell>
          <cell r="D3173" t="str">
            <v>ENGLISH DUBAULI</v>
          </cell>
          <cell r="E3173">
            <v>10140007</v>
          </cell>
          <cell r="F3173" t="str">
            <v>0036</v>
          </cell>
          <cell r="G3173">
            <v>10</v>
          </cell>
          <cell r="H3173">
            <v>285.25</v>
          </cell>
          <cell r="I3173">
            <v>10745.01465444</v>
          </cell>
          <cell r="J3173">
            <v>0</v>
          </cell>
          <cell r="K3173">
            <v>0</v>
          </cell>
          <cell r="L3173">
            <v>1478</v>
          </cell>
          <cell r="M3173">
            <v>0</v>
          </cell>
          <cell r="P3173">
            <v>9267</v>
          </cell>
          <cell r="V3173" t="str">
            <v>Available</v>
          </cell>
        </row>
        <row r="3174">
          <cell r="A3174" t="str">
            <v>101400070040</v>
          </cell>
          <cell r="B3174" t="str">
            <v>Dumraon</v>
          </cell>
          <cell r="C3174" t="str">
            <v>Dumraon</v>
          </cell>
          <cell r="D3174" t="str">
            <v>ENGLISH DUBAULI</v>
          </cell>
          <cell r="E3174">
            <v>10140007</v>
          </cell>
          <cell r="F3174" t="str">
            <v>0040</v>
          </cell>
          <cell r="G3174">
            <v>9</v>
          </cell>
          <cell r="H3174">
            <v>122.41</v>
          </cell>
          <cell r="I3174">
            <v>4661.1052891920008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P3174">
            <v>4661</v>
          </cell>
          <cell r="V3174" t="str">
            <v>Available</v>
          </cell>
        </row>
        <row r="3175">
          <cell r="A3175" t="str">
            <v>101400070041</v>
          </cell>
          <cell r="B3175" t="str">
            <v>Dumraon</v>
          </cell>
          <cell r="C3175" t="str">
            <v>Dumraon</v>
          </cell>
          <cell r="D3175" t="str">
            <v>ENGLISH DUBAULI</v>
          </cell>
          <cell r="E3175">
            <v>10140007</v>
          </cell>
          <cell r="F3175" t="str">
            <v>0041</v>
          </cell>
          <cell r="G3175">
            <v>5</v>
          </cell>
          <cell r="H3175">
            <v>8.2899999999999991</v>
          </cell>
          <cell r="I3175">
            <v>308.76490022400003</v>
          </cell>
          <cell r="J3175">
            <v>0</v>
          </cell>
          <cell r="K3175">
            <v>0</v>
          </cell>
          <cell r="L3175">
            <v>100</v>
          </cell>
          <cell r="M3175">
            <v>0</v>
          </cell>
          <cell r="P3175">
            <v>209</v>
          </cell>
          <cell r="V3175" t="str">
            <v>Available</v>
          </cell>
        </row>
        <row r="3176">
          <cell r="A3176" t="str">
            <v>101400070043</v>
          </cell>
          <cell r="B3176" t="str">
            <v>Dumraon</v>
          </cell>
          <cell r="C3176" t="str">
            <v>Dumraon</v>
          </cell>
          <cell r="D3176" t="str">
            <v>ENGLISH DUBAULI</v>
          </cell>
          <cell r="E3176">
            <v>10140007</v>
          </cell>
          <cell r="F3176" t="str">
            <v>0043</v>
          </cell>
          <cell r="G3176">
            <v>12</v>
          </cell>
          <cell r="H3176">
            <v>25.590000000000003</v>
          </cell>
          <cell r="I3176">
            <v>1487.8715729140499</v>
          </cell>
          <cell r="J3176">
            <v>0</v>
          </cell>
          <cell r="K3176">
            <v>0</v>
          </cell>
          <cell r="L3176">
            <v>350</v>
          </cell>
          <cell r="M3176">
            <v>0</v>
          </cell>
          <cell r="P3176">
            <v>1138</v>
          </cell>
          <cell r="V3176" t="str">
            <v>Available</v>
          </cell>
        </row>
        <row r="3177">
          <cell r="A3177" t="str">
            <v>101400070047</v>
          </cell>
          <cell r="B3177" t="str">
            <v>Dumraon</v>
          </cell>
          <cell r="C3177" t="str">
            <v>Dumraon</v>
          </cell>
          <cell r="D3177" t="str">
            <v>ENGLISH DUBAULI</v>
          </cell>
          <cell r="E3177">
            <v>10140007</v>
          </cell>
          <cell r="F3177" t="str">
            <v>0047</v>
          </cell>
          <cell r="G3177">
            <v>7</v>
          </cell>
          <cell r="H3177">
            <v>6.9200000000000008</v>
          </cell>
          <cell r="I3177">
            <v>271.96051845599999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P3177">
            <v>272</v>
          </cell>
          <cell r="V3177" t="str">
            <v>Available</v>
          </cell>
        </row>
        <row r="3178">
          <cell r="A3178" t="str">
            <v>101400070048</v>
          </cell>
          <cell r="B3178" t="str">
            <v>Dumraon</v>
          </cell>
          <cell r="C3178" t="str">
            <v>Dumraon</v>
          </cell>
          <cell r="D3178" t="str">
            <v>ENGLISH DUBAULI</v>
          </cell>
          <cell r="E3178">
            <v>10140007</v>
          </cell>
          <cell r="F3178" t="str">
            <v>0048</v>
          </cell>
          <cell r="G3178">
            <v>13</v>
          </cell>
          <cell r="H3178">
            <v>41.22</v>
          </cell>
          <cell r="I3178">
            <v>1532.8747538279997</v>
          </cell>
          <cell r="J3178">
            <v>0</v>
          </cell>
          <cell r="K3178">
            <v>0</v>
          </cell>
          <cell r="L3178">
            <v>100</v>
          </cell>
          <cell r="M3178">
            <v>0</v>
          </cell>
          <cell r="P3178">
            <v>1433</v>
          </cell>
          <cell r="V3178" t="str">
            <v>Available</v>
          </cell>
        </row>
        <row r="3179">
          <cell r="A3179" t="str">
            <v>101400070055</v>
          </cell>
          <cell r="B3179" t="str">
            <v>Dumraon</v>
          </cell>
          <cell r="C3179" t="str">
            <v>Dumraon</v>
          </cell>
          <cell r="D3179" t="str">
            <v>ENGLISH DUBAULI</v>
          </cell>
          <cell r="E3179">
            <v>10140007</v>
          </cell>
          <cell r="F3179" t="str">
            <v>0055</v>
          </cell>
          <cell r="G3179">
            <v>13</v>
          </cell>
          <cell r="H3179">
            <v>40.75</v>
          </cell>
          <cell r="I3179">
            <v>1476.5097631680001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P3179">
            <v>1477</v>
          </cell>
          <cell r="V3179" t="str">
            <v>Available</v>
          </cell>
        </row>
        <row r="3180">
          <cell r="A3180" t="str">
            <v>101400070058</v>
          </cell>
          <cell r="B3180" t="str">
            <v>Dumraon</v>
          </cell>
          <cell r="C3180" t="str">
            <v>Dumraon</v>
          </cell>
          <cell r="D3180" t="str">
            <v>ENGLISH DUBAULI</v>
          </cell>
          <cell r="E3180">
            <v>10140007</v>
          </cell>
          <cell r="F3180" t="str">
            <v>0058</v>
          </cell>
          <cell r="G3180">
            <v>11</v>
          </cell>
          <cell r="H3180">
            <v>26.75</v>
          </cell>
          <cell r="I3180">
            <v>1124.9745813201</v>
          </cell>
          <cell r="J3180">
            <v>0</v>
          </cell>
          <cell r="K3180">
            <v>0</v>
          </cell>
          <cell r="L3180">
            <v>50</v>
          </cell>
          <cell r="M3180">
            <v>0</v>
          </cell>
          <cell r="P3180">
            <v>1075</v>
          </cell>
          <cell r="V3180" t="str">
            <v>Available</v>
          </cell>
        </row>
        <row r="3181">
          <cell r="A3181" t="str">
            <v>101400070063</v>
          </cell>
          <cell r="B3181" t="str">
            <v>Dumraon</v>
          </cell>
          <cell r="C3181" t="str">
            <v>Dumraon</v>
          </cell>
          <cell r="D3181" t="str">
            <v>ENGLISH DUBAULI</v>
          </cell>
          <cell r="E3181">
            <v>10140007</v>
          </cell>
          <cell r="F3181" t="str">
            <v>0063</v>
          </cell>
          <cell r="G3181">
            <v>9</v>
          </cell>
          <cell r="H3181">
            <v>146.48999999999998</v>
          </cell>
          <cell r="I3181">
            <v>5875.0031644891005</v>
          </cell>
          <cell r="J3181">
            <v>0</v>
          </cell>
          <cell r="K3181">
            <v>0</v>
          </cell>
          <cell r="L3181">
            <v>5300</v>
          </cell>
          <cell r="M3181">
            <v>0</v>
          </cell>
          <cell r="P3181">
            <v>575</v>
          </cell>
          <cell r="V3181" t="str">
            <v>Available</v>
          </cell>
        </row>
        <row r="3182">
          <cell r="A3182" t="str">
            <v>101400080001</v>
          </cell>
          <cell r="B3182" t="str">
            <v>Dumraon</v>
          </cell>
          <cell r="C3182" t="str">
            <v>Dumraon</v>
          </cell>
          <cell r="D3182" t="str">
            <v>Ramo Bariya</v>
          </cell>
          <cell r="E3182">
            <v>10140008</v>
          </cell>
          <cell r="F3182" t="str">
            <v>0001</v>
          </cell>
          <cell r="G3182">
            <v>9</v>
          </cell>
          <cell r="H3182">
            <v>9.86</v>
          </cell>
          <cell r="I3182">
            <v>425.04145167330006</v>
          </cell>
          <cell r="J3182">
            <v>0</v>
          </cell>
          <cell r="K3182">
            <v>425.04145167330006</v>
          </cell>
          <cell r="L3182">
            <v>0</v>
          </cell>
          <cell r="M3182">
            <v>0</v>
          </cell>
          <cell r="P3182">
            <v>0</v>
          </cell>
          <cell r="V3182" t="str">
            <v>Not Available</v>
          </cell>
        </row>
        <row r="3183">
          <cell r="A3183" t="str">
            <v>101400080002</v>
          </cell>
          <cell r="B3183" t="str">
            <v>Dumraon</v>
          </cell>
          <cell r="C3183" t="str">
            <v>Dumraon</v>
          </cell>
          <cell r="D3183" t="str">
            <v>Ramo Bariya</v>
          </cell>
          <cell r="E3183">
            <v>10140008</v>
          </cell>
          <cell r="F3183" t="str">
            <v>0002</v>
          </cell>
          <cell r="G3183">
            <v>6</v>
          </cell>
          <cell r="H3183">
            <v>46.1</v>
          </cell>
          <cell r="I3183">
            <v>1569.4934666400002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P3183">
            <v>1569</v>
          </cell>
          <cell r="V3183" t="str">
            <v>Available</v>
          </cell>
        </row>
        <row r="3184">
          <cell r="A3184" t="str">
            <v>101400080004</v>
          </cell>
          <cell r="B3184" t="str">
            <v>Dumraon</v>
          </cell>
          <cell r="C3184" t="str">
            <v>Dumraon</v>
          </cell>
          <cell r="D3184" t="str">
            <v>Ramo Bariya</v>
          </cell>
          <cell r="E3184">
            <v>10140008</v>
          </cell>
          <cell r="F3184" t="str">
            <v>0004</v>
          </cell>
          <cell r="G3184">
            <v>7</v>
          </cell>
          <cell r="H3184">
            <v>69.75</v>
          </cell>
          <cell r="I3184">
            <v>2468.7501699960003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P3184">
            <v>2469</v>
          </cell>
          <cell r="V3184" t="str">
            <v>Available</v>
          </cell>
        </row>
        <row r="3185">
          <cell r="A3185" t="str">
            <v>101400080005</v>
          </cell>
          <cell r="B3185" t="str">
            <v>Dumraon</v>
          </cell>
          <cell r="C3185" t="str">
            <v>Dumraon</v>
          </cell>
          <cell r="D3185" t="str">
            <v>Ramo Bariya</v>
          </cell>
          <cell r="E3185">
            <v>10140008</v>
          </cell>
          <cell r="F3185" t="str">
            <v>0005</v>
          </cell>
          <cell r="G3185">
            <v>13</v>
          </cell>
          <cell r="H3185">
            <v>52.860000000000007</v>
          </cell>
          <cell r="I3185">
            <v>1908.9510715440006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P3185">
            <v>1909</v>
          </cell>
          <cell r="V3185" t="str">
            <v>Available</v>
          </cell>
        </row>
        <row r="3186">
          <cell r="A3186" t="str">
            <v>101400080007</v>
          </cell>
          <cell r="B3186" t="str">
            <v>Dumraon</v>
          </cell>
          <cell r="C3186" t="str">
            <v>Dumraon</v>
          </cell>
          <cell r="D3186" t="str">
            <v>Ramo Bariya</v>
          </cell>
          <cell r="E3186">
            <v>10140008</v>
          </cell>
          <cell r="F3186" t="str">
            <v>0007</v>
          </cell>
          <cell r="G3186">
            <v>7</v>
          </cell>
          <cell r="H3186">
            <v>24.109999999999996</v>
          </cell>
          <cell r="I3186">
            <v>822.75855472800015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P3186">
            <v>823</v>
          </cell>
          <cell r="V3186" t="str">
            <v>Available</v>
          </cell>
        </row>
        <row r="3187">
          <cell r="A3187" t="str">
            <v>101400080008</v>
          </cell>
          <cell r="B3187" t="str">
            <v>Dumraon</v>
          </cell>
          <cell r="C3187" t="str">
            <v>Dumraon</v>
          </cell>
          <cell r="D3187" t="str">
            <v>Ramo Bariya</v>
          </cell>
          <cell r="E3187">
            <v>10140008</v>
          </cell>
          <cell r="F3187" t="str">
            <v>0008</v>
          </cell>
          <cell r="G3187">
            <v>11</v>
          </cell>
          <cell r="H3187">
            <v>37.21</v>
          </cell>
          <cell r="I3187">
            <v>1533.2489880840003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P3187">
            <v>1533</v>
          </cell>
          <cell r="V3187" t="str">
            <v>Available</v>
          </cell>
        </row>
        <row r="3188">
          <cell r="A3188" t="str">
            <v>101400080011</v>
          </cell>
          <cell r="B3188" t="str">
            <v>Dumraon</v>
          </cell>
          <cell r="C3188" t="str">
            <v>Dumraon</v>
          </cell>
          <cell r="D3188" t="str">
            <v>Ramo Bariya</v>
          </cell>
          <cell r="E3188">
            <v>10140008</v>
          </cell>
          <cell r="F3188" t="str">
            <v>0011</v>
          </cell>
          <cell r="G3188">
            <v>3</v>
          </cell>
          <cell r="H3188">
            <v>19.02</v>
          </cell>
          <cell r="I3188">
            <v>697.94184002400016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P3188">
            <v>698</v>
          </cell>
          <cell r="V3188" t="str">
            <v>Available</v>
          </cell>
        </row>
        <row r="3189">
          <cell r="A3189" t="str">
            <v>101400080022</v>
          </cell>
          <cell r="B3189" t="str">
            <v>Dumraon</v>
          </cell>
          <cell r="C3189" t="str">
            <v>Dumraon</v>
          </cell>
          <cell r="D3189" t="str">
            <v>Ramo Bariya</v>
          </cell>
          <cell r="E3189">
            <v>10140008</v>
          </cell>
          <cell r="F3189" t="str">
            <v>0022</v>
          </cell>
          <cell r="G3189">
            <v>3</v>
          </cell>
          <cell r="H3189">
            <v>3.16</v>
          </cell>
          <cell r="I3189">
            <v>122.85409949999999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P3189">
            <v>123</v>
          </cell>
          <cell r="V3189" t="str">
            <v>Available</v>
          </cell>
        </row>
        <row r="3190">
          <cell r="A3190" t="str">
            <v>101400080027</v>
          </cell>
          <cell r="B3190" t="str">
            <v>Dumraon</v>
          </cell>
          <cell r="C3190" t="str">
            <v>Dumraon</v>
          </cell>
          <cell r="D3190" t="str">
            <v>Ramo Bariya</v>
          </cell>
          <cell r="E3190">
            <v>10140008</v>
          </cell>
          <cell r="F3190" t="str">
            <v>0027</v>
          </cell>
          <cell r="G3190">
            <v>7</v>
          </cell>
          <cell r="H3190">
            <v>18.11</v>
          </cell>
          <cell r="I3190">
            <v>600.81876993599997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P3190">
            <v>601</v>
          </cell>
          <cell r="V3190" t="str">
            <v>Available</v>
          </cell>
        </row>
        <row r="3191">
          <cell r="A3191" t="str">
            <v>101400080045</v>
          </cell>
          <cell r="B3191" t="str">
            <v>Dumraon</v>
          </cell>
          <cell r="C3191" t="str">
            <v>Dumraon</v>
          </cell>
          <cell r="D3191" t="str">
            <v>Ramo Bariya</v>
          </cell>
          <cell r="E3191">
            <v>10140008</v>
          </cell>
          <cell r="F3191" t="str">
            <v>0045</v>
          </cell>
          <cell r="G3191">
            <v>9</v>
          </cell>
          <cell r="H3191">
            <v>447.91999999999996</v>
          </cell>
          <cell r="I3191">
            <v>16826.052399947999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P3191">
            <v>16826</v>
          </cell>
          <cell r="V3191" t="str">
            <v>Available</v>
          </cell>
        </row>
        <row r="3192">
          <cell r="A3192" t="str">
            <v>101400080060</v>
          </cell>
          <cell r="B3192" t="str">
            <v>Dumraon</v>
          </cell>
          <cell r="C3192" t="str">
            <v>Dumraon</v>
          </cell>
          <cell r="D3192" t="str">
            <v>Ramo Bariya</v>
          </cell>
          <cell r="E3192">
            <v>10140008</v>
          </cell>
          <cell r="F3192" t="str">
            <v>0060</v>
          </cell>
          <cell r="G3192">
            <v>1</v>
          </cell>
          <cell r="H3192">
            <v>3.02</v>
          </cell>
          <cell r="I3192">
            <v>104.845469256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P3192">
            <v>105</v>
          </cell>
          <cell r="V3192" t="str">
            <v>Available</v>
          </cell>
        </row>
        <row r="3193">
          <cell r="A3193" t="str">
            <v>101400080082</v>
          </cell>
          <cell r="B3193" t="str">
            <v>Dumraon</v>
          </cell>
          <cell r="C3193" t="str">
            <v>Dumraon</v>
          </cell>
          <cell r="D3193" t="str">
            <v>Ramo Bariya</v>
          </cell>
          <cell r="E3193">
            <v>10140008</v>
          </cell>
          <cell r="F3193" t="str">
            <v>0082</v>
          </cell>
          <cell r="G3193">
            <v>3</v>
          </cell>
          <cell r="H3193">
            <v>12.850000000000001</v>
          </cell>
          <cell r="I3193">
            <v>447.97225770000011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P3193">
            <v>448</v>
          </cell>
          <cell r="V3193" t="str">
            <v>Available</v>
          </cell>
        </row>
        <row r="3194">
          <cell r="A3194" t="str">
            <v>101400080098</v>
          </cell>
          <cell r="B3194" t="str">
            <v>Dumraon</v>
          </cell>
          <cell r="C3194" t="str">
            <v>Dumraon</v>
          </cell>
          <cell r="D3194" t="str">
            <v>Ramo Bariya</v>
          </cell>
          <cell r="E3194">
            <v>10140008</v>
          </cell>
          <cell r="F3194" t="str">
            <v>0098</v>
          </cell>
          <cell r="G3194">
            <v>7</v>
          </cell>
          <cell r="H3194">
            <v>15.099999999999998</v>
          </cell>
          <cell r="I3194">
            <v>589.16698434000011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P3194">
            <v>589</v>
          </cell>
          <cell r="V3194" t="str">
            <v>Available</v>
          </cell>
        </row>
        <row r="3195">
          <cell r="A3195" t="str">
            <v>101400080112</v>
          </cell>
          <cell r="B3195" t="str">
            <v>Dumraon</v>
          </cell>
          <cell r="C3195" t="str">
            <v>Dumraon</v>
          </cell>
          <cell r="D3195" t="str">
            <v>Ramo Bariya</v>
          </cell>
          <cell r="E3195">
            <v>10140008</v>
          </cell>
          <cell r="F3195" t="str">
            <v>0112</v>
          </cell>
          <cell r="G3195">
            <v>1</v>
          </cell>
          <cell r="H3195">
            <v>31.06</v>
          </cell>
          <cell r="I3195">
            <v>1078.311349368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P3195">
            <v>1078</v>
          </cell>
          <cell r="V3195" t="str">
            <v>Available</v>
          </cell>
        </row>
        <row r="3196">
          <cell r="A3196" t="str">
            <v>101400080114</v>
          </cell>
          <cell r="B3196" t="str">
            <v>Dumraon</v>
          </cell>
          <cell r="C3196" t="str">
            <v>Dumraon</v>
          </cell>
          <cell r="D3196" t="str">
            <v>Ramo Bariya</v>
          </cell>
          <cell r="E3196">
            <v>10140008</v>
          </cell>
          <cell r="F3196" t="str">
            <v>0114</v>
          </cell>
          <cell r="G3196">
            <v>4</v>
          </cell>
          <cell r="H3196">
            <v>25.68</v>
          </cell>
          <cell r="I3196">
            <v>870.36991668000007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P3196">
            <v>870</v>
          </cell>
          <cell r="V3196" t="str">
            <v>Available</v>
          </cell>
        </row>
        <row r="3197">
          <cell r="A3197" t="str">
            <v>101400080121</v>
          </cell>
          <cell r="B3197" t="str">
            <v>Dumraon</v>
          </cell>
          <cell r="C3197" t="str">
            <v>Dumraon</v>
          </cell>
          <cell r="D3197" t="str">
            <v>Ramo Bariya</v>
          </cell>
          <cell r="E3197">
            <v>10140008</v>
          </cell>
          <cell r="F3197" t="str">
            <v>0121</v>
          </cell>
          <cell r="G3197">
            <v>7</v>
          </cell>
          <cell r="H3197">
            <v>15.840000000000002</v>
          </cell>
          <cell r="I3197">
            <v>538.08902888400007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P3197">
            <v>538</v>
          </cell>
          <cell r="V3197" t="str">
            <v>Available</v>
          </cell>
        </row>
        <row r="3198">
          <cell r="A3198" t="str">
            <v>101400080129</v>
          </cell>
          <cell r="B3198" t="str">
            <v>Dumraon</v>
          </cell>
          <cell r="C3198" t="str">
            <v>Dumraon</v>
          </cell>
          <cell r="D3198" t="str">
            <v>Ramo Bariya</v>
          </cell>
          <cell r="E3198">
            <v>10140008</v>
          </cell>
          <cell r="F3198" t="str">
            <v>0129</v>
          </cell>
          <cell r="G3198">
            <v>10</v>
          </cell>
          <cell r="H3198">
            <v>34.99</v>
          </cell>
          <cell r="I3198">
            <v>1275.8587269120001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P3198">
            <v>1276</v>
          </cell>
          <cell r="V3198" t="str">
            <v>Available</v>
          </cell>
        </row>
        <row r="3199">
          <cell r="A3199" t="str">
            <v>101400080132</v>
          </cell>
          <cell r="B3199" t="str">
            <v>Dumraon</v>
          </cell>
          <cell r="C3199" t="str">
            <v>Dumraon</v>
          </cell>
          <cell r="D3199" t="str">
            <v>Ramo Bariya</v>
          </cell>
          <cell r="E3199">
            <v>10140008</v>
          </cell>
          <cell r="F3199" t="str">
            <v>0132</v>
          </cell>
          <cell r="G3199">
            <v>1</v>
          </cell>
          <cell r="H3199">
            <v>4.07</v>
          </cell>
          <cell r="I3199">
            <v>133.77727281600005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P3199">
            <v>134</v>
          </cell>
          <cell r="V3199" t="str">
            <v>Available</v>
          </cell>
        </row>
        <row r="3200">
          <cell r="A3200" t="str">
            <v>101400080154</v>
          </cell>
          <cell r="B3200" t="str">
            <v>Dumraon</v>
          </cell>
          <cell r="C3200" t="str">
            <v>Dumraon</v>
          </cell>
          <cell r="D3200" t="str">
            <v>Ramo Bariya</v>
          </cell>
          <cell r="E3200">
            <v>10140008</v>
          </cell>
          <cell r="F3200" t="str">
            <v>0154</v>
          </cell>
          <cell r="G3200">
            <v>6</v>
          </cell>
          <cell r="H3200">
            <v>18.190000000000001</v>
          </cell>
          <cell r="I3200">
            <v>630.20378480400018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P3200">
            <v>630</v>
          </cell>
          <cell r="V3200" t="str">
            <v>Available</v>
          </cell>
        </row>
        <row r="3201">
          <cell r="A3201" t="str">
            <v>101400080162</v>
          </cell>
          <cell r="B3201" t="str">
            <v>Dumraon</v>
          </cell>
          <cell r="C3201" t="str">
            <v>Dumraon</v>
          </cell>
          <cell r="D3201" t="str">
            <v>Ramo Bariya</v>
          </cell>
          <cell r="E3201">
            <v>10140008</v>
          </cell>
          <cell r="F3201" t="str">
            <v>0162</v>
          </cell>
          <cell r="G3201">
            <v>12</v>
          </cell>
          <cell r="H3201">
            <v>41.04</v>
          </cell>
          <cell r="I3201">
            <v>1454.3049205080001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P3201">
            <v>1454</v>
          </cell>
          <cell r="V3201" t="str">
            <v>Available</v>
          </cell>
        </row>
        <row r="3202">
          <cell r="A3202" t="str">
            <v>101400090002</v>
          </cell>
          <cell r="B3202" t="str">
            <v>Dumraon</v>
          </cell>
          <cell r="C3202" t="str">
            <v>Dumraon</v>
          </cell>
          <cell r="D3202" t="str">
            <v>HITAN PARARI</v>
          </cell>
          <cell r="E3202">
            <v>10140009</v>
          </cell>
          <cell r="F3202" t="str">
            <v>0002</v>
          </cell>
          <cell r="G3202">
            <v>12</v>
          </cell>
          <cell r="H3202">
            <v>240.76999999999995</v>
          </cell>
          <cell r="I3202">
            <v>9694.7301403061992</v>
          </cell>
          <cell r="J3202">
            <v>0</v>
          </cell>
          <cell r="K3202">
            <v>0</v>
          </cell>
          <cell r="L3202">
            <v>1064</v>
          </cell>
          <cell r="M3202">
            <v>0</v>
          </cell>
          <cell r="P3202">
            <v>8631</v>
          </cell>
          <cell r="V3202" t="str">
            <v>Available</v>
          </cell>
        </row>
        <row r="3203">
          <cell r="A3203" t="str">
            <v>101400090004</v>
          </cell>
          <cell r="B3203" t="str">
            <v>Dumraon</v>
          </cell>
          <cell r="C3203" t="str">
            <v>Dumraon</v>
          </cell>
          <cell r="D3203" t="str">
            <v>HITAN PARARI</v>
          </cell>
          <cell r="E3203">
            <v>10140009</v>
          </cell>
          <cell r="F3203" t="str">
            <v>0004</v>
          </cell>
          <cell r="G3203">
            <v>14</v>
          </cell>
          <cell r="H3203">
            <v>22.64</v>
          </cell>
          <cell r="I3203">
            <v>874.22696816399991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P3203">
            <v>874</v>
          </cell>
          <cell r="V3203" t="str">
            <v>Available</v>
          </cell>
        </row>
        <row r="3204">
          <cell r="A3204" t="str">
            <v>101400090015</v>
          </cell>
          <cell r="B3204" t="str">
            <v>Dumraon</v>
          </cell>
          <cell r="C3204" t="str">
            <v>Dumraon</v>
          </cell>
          <cell r="D3204" t="str">
            <v>HITAN PARARI</v>
          </cell>
          <cell r="E3204">
            <v>10140009</v>
          </cell>
          <cell r="F3204" t="str">
            <v>0015</v>
          </cell>
          <cell r="G3204">
            <v>14</v>
          </cell>
          <cell r="H3204">
            <v>41.379999999999988</v>
          </cell>
          <cell r="I3204">
            <v>1631.6284683599999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P3204">
            <v>1632</v>
          </cell>
          <cell r="V3204" t="str">
            <v>Available</v>
          </cell>
        </row>
        <row r="3205">
          <cell r="A3205" t="str">
            <v>101400090016</v>
          </cell>
          <cell r="B3205" t="str">
            <v>Dumraon</v>
          </cell>
          <cell r="C3205" t="str">
            <v>Dumraon</v>
          </cell>
          <cell r="D3205" t="str">
            <v>HITAN PARARI</v>
          </cell>
          <cell r="E3205">
            <v>10140009</v>
          </cell>
          <cell r="F3205" t="str">
            <v>0016</v>
          </cell>
          <cell r="G3205">
            <v>14</v>
          </cell>
          <cell r="H3205">
            <v>82.78</v>
          </cell>
          <cell r="I3205">
            <v>2779.3977591600005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P3205">
            <v>2779</v>
          </cell>
          <cell r="V3205" t="str">
            <v>Available</v>
          </cell>
        </row>
        <row r="3206">
          <cell r="A3206" t="str">
            <v>101400090031</v>
          </cell>
          <cell r="B3206" t="str">
            <v>Dumraon</v>
          </cell>
          <cell r="C3206" t="str">
            <v>Dumraon</v>
          </cell>
          <cell r="D3206" t="str">
            <v>HITAN PARARI</v>
          </cell>
          <cell r="E3206">
            <v>10140009</v>
          </cell>
          <cell r="F3206" t="str">
            <v>0031</v>
          </cell>
          <cell r="G3206">
            <v>6</v>
          </cell>
          <cell r="H3206">
            <v>111.26000000000002</v>
          </cell>
          <cell r="I3206">
            <v>4296.1162186800002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P3206">
            <v>4296</v>
          </cell>
          <cell r="V3206" t="str">
            <v>Available</v>
          </cell>
        </row>
        <row r="3207">
          <cell r="A3207" t="str">
            <v>101400090040</v>
          </cell>
          <cell r="B3207" t="str">
            <v>Dumraon</v>
          </cell>
          <cell r="C3207" t="str">
            <v>Dumraon</v>
          </cell>
          <cell r="D3207" t="str">
            <v>HITAN PARARI</v>
          </cell>
          <cell r="E3207">
            <v>10140009</v>
          </cell>
          <cell r="F3207" t="str">
            <v>0040</v>
          </cell>
          <cell r="G3207">
            <v>4</v>
          </cell>
          <cell r="H3207">
            <v>42.589999999999996</v>
          </cell>
          <cell r="I3207">
            <v>1619.3400517800001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P3207">
            <v>1619</v>
          </cell>
          <cell r="V3207" t="str">
            <v>Available</v>
          </cell>
        </row>
        <row r="3208">
          <cell r="A3208" t="str">
            <v>101400120001</v>
          </cell>
          <cell r="B3208" t="str">
            <v>Dumraon</v>
          </cell>
          <cell r="C3208" t="str">
            <v>Dumraon</v>
          </cell>
          <cell r="D3208" t="str">
            <v>Gangauli</v>
          </cell>
          <cell r="E3208">
            <v>10140012</v>
          </cell>
          <cell r="F3208" t="str">
            <v>0001</v>
          </cell>
          <cell r="G3208">
            <v>6</v>
          </cell>
          <cell r="H3208">
            <v>2.6</v>
          </cell>
          <cell r="I3208">
            <v>93.141781920000014</v>
          </cell>
          <cell r="J3208">
            <v>0</v>
          </cell>
          <cell r="K3208">
            <v>93.141781920000014</v>
          </cell>
          <cell r="L3208">
            <v>0</v>
          </cell>
          <cell r="M3208">
            <v>0</v>
          </cell>
          <cell r="P3208">
            <v>0</v>
          </cell>
          <cell r="V3208" t="str">
            <v>Not Available</v>
          </cell>
        </row>
        <row r="3209">
          <cell r="A3209" t="str">
            <v>101400120002</v>
          </cell>
          <cell r="B3209" t="str">
            <v>Dumraon</v>
          </cell>
          <cell r="C3209" t="str">
            <v>Dumraon</v>
          </cell>
          <cell r="D3209" t="str">
            <v>Gangauli</v>
          </cell>
          <cell r="E3209">
            <v>10140012</v>
          </cell>
          <cell r="F3209" t="str">
            <v>0002</v>
          </cell>
          <cell r="G3209">
            <v>2</v>
          </cell>
          <cell r="H3209">
            <v>15</v>
          </cell>
          <cell r="I3209">
            <v>512.17353000000003</v>
          </cell>
          <cell r="J3209">
            <v>0</v>
          </cell>
          <cell r="K3209">
            <v>0</v>
          </cell>
          <cell r="L3209">
            <v>512</v>
          </cell>
          <cell r="M3209">
            <v>0</v>
          </cell>
          <cell r="P3209">
            <v>0</v>
          </cell>
          <cell r="V3209" t="str">
            <v>Available</v>
          </cell>
        </row>
        <row r="3210">
          <cell r="A3210" t="str">
            <v>101400120008</v>
          </cell>
          <cell r="B3210" t="str">
            <v>Dumraon</v>
          </cell>
          <cell r="C3210" t="str">
            <v>Dumraon</v>
          </cell>
          <cell r="D3210" t="str">
            <v>Gangauli</v>
          </cell>
          <cell r="E3210">
            <v>10140012</v>
          </cell>
          <cell r="F3210" t="str">
            <v>0008</v>
          </cell>
          <cell r="G3210">
            <v>3</v>
          </cell>
          <cell r="H3210">
            <v>4</v>
          </cell>
          <cell r="I3210">
            <v>163.064088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P3210">
            <v>163</v>
          </cell>
          <cell r="V3210" t="str">
            <v>Available</v>
          </cell>
        </row>
        <row r="3211">
          <cell r="A3211" t="str">
            <v>101400120017</v>
          </cell>
          <cell r="B3211" t="str">
            <v>Dumraon</v>
          </cell>
          <cell r="C3211" t="str">
            <v>Dumraon</v>
          </cell>
          <cell r="D3211" t="str">
            <v>Gangauli</v>
          </cell>
          <cell r="E3211">
            <v>10140012</v>
          </cell>
          <cell r="F3211" t="str">
            <v>0017</v>
          </cell>
          <cell r="G3211">
            <v>10</v>
          </cell>
          <cell r="H3211">
            <v>114.8</v>
          </cell>
          <cell r="I3211">
            <v>4160.8994724000004</v>
          </cell>
          <cell r="J3211">
            <v>0</v>
          </cell>
          <cell r="K3211">
            <v>0</v>
          </cell>
          <cell r="L3211">
            <v>67</v>
          </cell>
          <cell r="M3211">
            <v>1300</v>
          </cell>
          <cell r="P3211">
            <v>2794</v>
          </cell>
          <cell r="V3211" t="str">
            <v>Available</v>
          </cell>
        </row>
        <row r="3212">
          <cell r="A3212" t="str">
            <v>101400120020</v>
          </cell>
          <cell r="B3212" t="str">
            <v>Dumraon</v>
          </cell>
          <cell r="C3212" t="str">
            <v>Dumraon</v>
          </cell>
          <cell r="D3212" t="str">
            <v>Gangauli</v>
          </cell>
          <cell r="E3212">
            <v>10140012</v>
          </cell>
          <cell r="F3212" t="str">
            <v>0020</v>
          </cell>
          <cell r="G3212">
            <v>7</v>
          </cell>
          <cell r="H3212">
            <v>15.8</v>
          </cell>
          <cell r="I3212">
            <v>843.35845075270004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P3212">
            <v>843</v>
          </cell>
          <cell r="V3212" t="str">
            <v>Available</v>
          </cell>
        </row>
        <row r="3213">
          <cell r="A3213" t="str">
            <v>101400120029</v>
          </cell>
          <cell r="B3213" t="str">
            <v>Dumraon</v>
          </cell>
          <cell r="C3213" t="str">
            <v>Dumraon</v>
          </cell>
          <cell r="D3213" t="str">
            <v>Gangauli</v>
          </cell>
          <cell r="E3213">
            <v>10140012</v>
          </cell>
          <cell r="F3213" t="str">
            <v>0029</v>
          </cell>
          <cell r="G3213">
            <v>9</v>
          </cell>
          <cell r="H3213">
            <v>29.399999999999995</v>
          </cell>
          <cell r="I3213">
            <v>981.82163376000005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P3213">
            <v>982</v>
          </cell>
          <cell r="V3213" t="str">
            <v>Available</v>
          </cell>
        </row>
        <row r="3214">
          <cell r="A3214" t="str">
            <v>101400120038</v>
          </cell>
          <cell r="B3214" t="str">
            <v>Dumraon</v>
          </cell>
          <cell r="C3214" t="str">
            <v>Dumraon</v>
          </cell>
          <cell r="D3214" t="str">
            <v>Gangauli</v>
          </cell>
          <cell r="E3214">
            <v>10140012</v>
          </cell>
          <cell r="F3214" t="str">
            <v>0038</v>
          </cell>
          <cell r="G3214">
            <v>12</v>
          </cell>
          <cell r="H3214">
            <v>21</v>
          </cell>
          <cell r="I3214">
            <v>1067.2778680255001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P3214">
            <v>1067</v>
          </cell>
          <cell r="V3214" t="str">
            <v>Available</v>
          </cell>
        </row>
        <row r="3215">
          <cell r="A3215" t="str">
            <v>101400120047</v>
          </cell>
          <cell r="B3215" t="str">
            <v>Dumraon</v>
          </cell>
          <cell r="C3215" t="str">
            <v>Dumraon</v>
          </cell>
          <cell r="D3215" t="str">
            <v>Gangauli</v>
          </cell>
          <cell r="E3215">
            <v>10140012</v>
          </cell>
          <cell r="F3215" t="str">
            <v>0047</v>
          </cell>
          <cell r="G3215">
            <v>7</v>
          </cell>
          <cell r="H3215">
            <v>11</v>
          </cell>
          <cell r="I3215">
            <v>421.87085424000003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P3215">
            <v>422</v>
          </cell>
          <cell r="V3215" t="str">
            <v>Available</v>
          </cell>
        </row>
        <row r="3216">
          <cell r="A3216" t="str">
            <v>101400120051</v>
          </cell>
          <cell r="B3216" t="str">
            <v>Dumraon</v>
          </cell>
          <cell r="C3216" t="str">
            <v>Dumraon</v>
          </cell>
          <cell r="D3216" t="str">
            <v>Gangauli</v>
          </cell>
          <cell r="E3216">
            <v>10140012</v>
          </cell>
          <cell r="F3216" t="str">
            <v>0051</v>
          </cell>
          <cell r="G3216">
            <v>3</v>
          </cell>
          <cell r="H3216">
            <v>5.6999999999999993</v>
          </cell>
          <cell r="I3216">
            <v>211.03468452000001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P3216">
            <v>211</v>
          </cell>
          <cell r="V3216" t="str">
            <v>Available</v>
          </cell>
        </row>
        <row r="3217">
          <cell r="A3217" t="str">
            <v>101400120054</v>
          </cell>
          <cell r="B3217" t="str">
            <v>Dumraon</v>
          </cell>
          <cell r="C3217" t="str">
            <v>Dumraon</v>
          </cell>
          <cell r="D3217" t="str">
            <v>Gangauli</v>
          </cell>
          <cell r="E3217">
            <v>10140012</v>
          </cell>
          <cell r="F3217" t="str">
            <v>0054</v>
          </cell>
          <cell r="G3217">
            <v>9</v>
          </cell>
          <cell r="H3217">
            <v>24.400000000000002</v>
          </cell>
          <cell r="I3217">
            <v>827.44163964000006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P3217">
            <v>827</v>
          </cell>
          <cell r="V3217" t="str">
            <v>Available</v>
          </cell>
        </row>
        <row r="3218">
          <cell r="A3218" t="str">
            <v>101400120080</v>
          </cell>
          <cell r="B3218" t="str">
            <v>Dumraon</v>
          </cell>
          <cell r="C3218" t="str">
            <v>Dumraon</v>
          </cell>
          <cell r="D3218" t="str">
            <v>Gangauli</v>
          </cell>
          <cell r="E3218">
            <v>10140012</v>
          </cell>
          <cell r="F3218" t="str">
            <v>0080</v>
          </cell>
          <cell r="G3218">
            <v>6</v>
          </cell>
          <cell r="H3218">
            <v>13.5</v>
          </cell>
          <cell r="I3218">
            <v>515.34291996000013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P3218">
            <v>515</v>
          </cell>
          <cell r="V3218" t="str">
            <v>Available</v>
          </cell>
        </row>
        <row r="3219">
          <cell r="A3219" t="str">
            <v>101400120085</v>
          </cell>
          <cell r="B3219" t="str">
            <v>Dumraon</v>
          </cell>
          <cell r="C3219" t="str">
            <v>Dumraon</v>
          </cell>
          <cell r="D3219" t="str">
            <v>Gangauli</v>
          </cell>
          <cell r="E3219">
            <v>10140012</v>
          </cell>
          <cell r="F3219" t="str">
            <v>0085</v>
          </cell>
          <cell r="G3219">
            <v>14</v>
          </cell>
          <cell r="H3219">
            <v>44</v>
          </cell>
          <cell r="I3219">
            <v>1505.4422921999999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P3219">
            <v>1505</v>
          </cell>
          <cell r="V3219" t="str">
            <v>Available</v>
          </cell>
        </row>
        <row r="3220">
          <cell r="A3220" t="str">
            <v>101400120086</v>
          </cell>
          <cell r="B3220" t="str">
            <v>Dumraon</v>
          </cell>
          <cell r="C3220" t="str">
            <v>Dumraon</v>
          </cell>
          <cell r="D3220" t="str">
            <v>Gangauli</v>
          </cell>
          <cell r="E3220">
            <v>10140012</v>
          </cell>
          <cell r="F3220" t="str">
            <v>0086</v>
          </cell>
          <cell r="G3220">
            <v>14</v>
          </cell>
          <cell r="H3220">
            <v>34.300000000000004</v>
          </cell>
          <cell r="I3220">
            <v>2086.7515056339998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P3220">
            <v>2087</v>
          </cell>
          <cell r="V3220" t="str">
            <v>Available</v>
          </cell>
        </row>
        <row r="3221">
          <cell r="A3221" t="str">
            <v>101400120089</v>
          </cell>
          <cell r="B3221" t="str">
            <v>Dumraon</v>
          </cell>
          <cell r="C3221" t="str">
            <v>Dumraon</v>
          </cell>
          <cell r="D3221" t="str">
            <v>Gangauli</v>
          </cell>
          <cell r="E3221">
            <v>10140012</v>
          </cell>
          <cell r="F3221" t="str">
            <v>0089</v>
          </cell>
          <cell r="G3221">
            <v>14</v>
          </cell>
          <cell r="H3221">
            <v>37.4</v>
          </cell>
          <cell r="I3221">
            <v>1905.8055907330001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P3221">
            <v>1906</v>
          </cell>
          <cell r="V3221" t="str">
            <v>Available</v>
          </cell>
        </row>
        <row r="3222">
          <cell r="A3222" t="str">
            <v>101400120101</v>
          </cell>
          <cell r="B3222" t="str">
            <v>Dumraon</v>
          </cell>
          <cell r="C3222" t="str">
            <v>Dumraon</v>
          </cell>
          <cell r="D3222" t="str">
            <v>Gangauli</v>
          </cell>
          <cell r="E3222">
            <v>10140012</v>
          </cell>
          <cell r="F3222" t="str">
            <v>0101</v>
          </cell>
          <cell r="G3222">
            <v>5</v>
          </cell>
          <cell r="H3222">
            <v>26.599999999999998</v>
          </cell>
          <cell r="I3222">
            <v>1133.5106411100001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P3222">
            <v>1134</v>
          </cell>
          <cell r="V3222" t="str">
            <v>Available</v>
          </cell>
        </row>
        <row r="3223">
          <cell r="A3223" t="str">
            <v>101400120127</v>
          </cell>
          <cell r="B3223" t="str">
            <v>Dumraon</v>
          </cell>
          <cell r="C3223" t="str">
            <v>Dumraon</v>
          </cell>
          <cell r="D3223" t="str">
            <v>Gangauli</v>
          </cell>
          <cell r="E3223">
            <v>10140012</v>
          </cell>
          <cell r="F3223" t="str">
            <v>0127</v>
          </cell>
          <cell r="G3223">
            <v>7</v>
          </cell>
          <cell r="H3223">
            <v>6.3</v>
          </cell>
          <cell r="I3223">
            <v>496.31557305099994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P3223">
            <v>496</v>
          </cell>
          <cell r="V3223" t="str">
            <v>Available</v>
          </cell>
        </row>
        <row r="3224">
          <cell r="A3224" t="str">
            <v>101400120129</v>
          </cell>
          <cell r="B3224" t="str">
            <v>Dumraon</v>
          </cell>
          <cell r="C3224" t="str">
            <v>Dumraon</v>
          </cell>
          <cell r="D3224" t="str">
            <v>Gangauli</v>
          </cell>
          <cell r="E3224">
            <v>10140012</v>
          </cell>
          <cell r="F3224" t="str">
            <v>0129</v>
          </cell>
          <cell r="G3224">
            <v>6</v>
          </cell>
          <cell r="H3224">
            <v>18.7</v>
          </cell>
          <cell r="I3224">
            <v>1013.782363281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P3224">
            <v>1014</v>
          </cell>
          <cell r="V3224" t="str">
            <v>Available</v>
          </cell>
        </row>
        <row r="3225">
          <cell r="A3225" t="str">
            <v>101400130001</v>
          </cell>
          <cell r="B3225" t="str">
            <v>Dumraon</v>
          </cell>
          <cell r="C3225" t="str">
            <v>Dumraon</v>
          </cell>
          <cell r="D3225" t="str">
            <v>MATHURA DERA</v>
          </cell>
          <cell r="E3225">
            <v>10140013</v>
          </cell>
          <cell r="F3225" t="str">
            <v>0001</v>
          </cell>
          <cell r="G3225">
            <v>1</v>
          </cell>
          <cell r="H3225">
            <v>1</v>
          </cell>
          <cell r="I3225">
            <v>39.073122000000005</v>
          </cell>
          <cell r="J3225">
            <v>0</v>
          </cell>
          <cell r="K3225">
            <v>39.073122000000005</v>
          </cell>
          <cell r="L3225">
            <v>0</v>
          </cell>
          <cell r="M3225">
            <v>0</v>
          </cell>
          <cell r="P3225">
            <v>0</v>
          </cell>
          <cell r="V3225" t="str">
            <v>Not Available</v>
          </cell>
        </row>
        <row r="3226">
          <cell r="A3226" t="str">
            <v>101400130024</v>
          </cell>
          <cell r="B3226" t="str">
            <v>Dumraon</v>
          </cell>
          <cell r="C3226" t="str">
            <v>Dumraon</v>
          </cell>
          <cell r="D3226" t="str">
            <v>MATHURA DERA</v>
          </cell>
          <cell r="E3226">
            <v>10140013</v>
          </cell>
          <cell r="F3226" t="str">
            <v>0024</v>
          </cell>
          <cell r="G3226">
            <v>1</v>
          </cell>
          <cell r="H3226">
            <v>24</v>
          </cell>
          <cell r="I3226">
            <v>871.22692800000016</v>
          </cell>
          <cell r="J3226">
            <v>0</v>
          </cell>
          <cell r="K3226">
            <v>0</v>
          </cell>
          <cell r="L3226">
            <v>92</v>
          </cell>
          <cell r="M3226">
            <v>0</v>
          </cell>
          <cell r="P3226">
            <v>779</v>
          </cell>
          <cell r="V3226" t="str">
            <v>Available</v>
          </cell>
        </row>
        <row r="3227">
          <cell r="A3227" t="str">
            <v>101400180002</v>
          </cell>
          <cell r="B3227" t="str">
            <v>Dumraon</v>
          </cell>
          <cell r="C3227" t="str">
            <v>Dumraon</v>
          </cell>
          <cell r="D3227" t="str">
            <v>NANDAN</v>
          </cell>
          <cell r="E3227">
            <v>10140018</v>
          </cell>
          <cell r="F3227" t="str">
            <v>0002</v>
          </cell>
          <cell r="G3227">
            <v>1</v>
          </cell>
          <cell r="H3227">
            <v>618</v>
          </cell>
          <cell r="I3227">
            <v>25533.965080800001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P3227">
            <v>25534</v>
          </cell>
          <cell r="V3227" t="str">
            <v>Available</v>
          </cell>
        </row>
        <row r="3228">
          <cell r="A3228" t="str">
            <v>101400200002</v>
          </cell>
          <cell r="B3228" t="str">
            <v>Dumraon</v>
          </cell>
          <cell r="C3228" t="str">
            <v>Dumraon</v>
          </cell>
          <cell r="D3228" t="str">
            <v>RAJAPUR</v>
          </cell>
          <cell r="E3228">
            <v>10140020</v>
          </cell>
          <cell r="F3228" t="str">
            <v>0002</v>
          </cell>
          <cell r="G3228">
            <v>1</v>
          </cell>
          <cell r="H3228">
            <v>40.6</v>
          </cell>
          <cell r="I3228">
            <v>1600.9926372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P3228">
            <v>1601</v>
          </cell>
          <cell r="V3228" t="str">
            <v>Available</v>
          </cell>
        </row>
        <row r="3229">
          <cell r="A3229" t="str">
            <v>101400220002</v>
          </cell>
          <cell r="B3229" t="str">
            <v>Dumraon</v>
          </cell>
          <cell r="C3229" t="str">
            <v>Dumraon</v>
          </cell>
          <cell r="D3229" t="str">
            <v>HEMDAPUR</v>
          </cell>
          <cell r="E3229">
            <v>10140022</v>
          </cell>
          <cell r="F3229" t="str">
            <v>0002</v>
          </cell>
          <cell r="G3229">
            <v>5</v>
          </cell>
          <cell r="H3229">
            <v>16</v>
          </cell>
          <cell r="I3229">
            <v>597.71345040000006</v>
          </cell>
          <cell r="J3229">
            <v>0</v>
          </cell>
          <cell r="K3229">
            <v>0</v>
          </cell>
          <cell r="L3229">
            <v>598</v>
          </cell>
          <cell r="M3229">
            <v>0</v>
          </cell>
          <cell r="P3229">
            <v>0</v>
          </cell>
          <cell r="V3229" t="str">
            <v>Available</v>
          </cell>
        </row>
        <row r="3230">
          <cell r="A3230" t="str">
            <v>101400220022</v>
          </cell>
          <cell r="B3230" t="str">
            <v>Dumraon</v>
          </cell>
          <cell r="C3230" t="str">
            <v>Dumraon</v>
          </cell>
          <cell r="D3230" t="str">
            <v>HEMDAPUR</v>
          </cell>
          <cell r="E3230">
            <v>10140022</v>
          </cell>
          <cell r="F3230" t="str">
            <v>0022</v>
          </cell>
          <cell r="G3230">
            <v>5</v>
          </cell>
          <cell r="H3230">
            <v>65</v>
          </cell>
          <cell r="I3230">
            <v>2432.1720060000002</v>
          </cell>
          <cell r="J3230">
            <v>0</v>
          </cell>
          <cell r="K3230">
            <v>0</v>
          </cell>
          <cell r="L3230">
            <v>246</v>
          </cell>
          <cell r="M3230">
            <v>0</v>
          </cell>
          <cell r="P3230">
            <v>2186</v>
          </cell>
          <cell r="V3230" t="str">
            <v>Available</v>
          </cell>
        </row>
        <row r="3231">
          <cell r="A3231" t="str">
            <v>101400220062</v>
          </cell>
          <cell r="B3231" t="str">
            <v>Dumraon</v>
          </cell>
          <cell r="C3231" t="str">
            <v>Dumraon</v>
          </cell>
          <cell r="D3231" t="str">
            <v>HEMDAPUR</v>
          </cell>
          <cell r="E3231">
            <v>10140022</v>
          </cell>
          <cell r="F3231" t="str">
            <v>0062</v>
          </cell>
          <cell r="G3231">
            <v>5</v>
          </cell>
          <cell r="H3231">
            <v>64</v>
          </cell>
          <cell r="I3231">
            <v>2398.2464880000002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P3231">
            <v>2398</v>
          </cell>
          <cell r="V3231" t="str">
            <v>Available</v>
          </cell>
        </row>
        <row r="3232">
          <cell r="A3232" t="str">
            <v>101400320002</v>
          </cell>
          <cell r="B3232" t="str">
            <v>Dumraon</v>
          </cell>
          <cell r="C3232" t="str">
            <v>Dumraon</v>
          </cell>
          <cell r="D3232" t="str">
            <v>Chaugain</v>
          </cell>
          <cell r="E3232">
            <v>10140032</v>
          </cell>
          <cell r="F3232" t="str">
            <v>0002</v>
          </cell>
          <cell r="G3232">
            <v>1</v>
          </cell>
          <cell r="H3232">
            <v>23</v>
          </cell>
          <cell r="I3232">
            <v>831.8882880000001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P3232">
            <v>832</v>
          </cell>
          <cell r="V3232" t="str">
            <v>Available</v>
          </cell>
        </row>
        <row r="3233">
          <cell r="A3233" t="str">
            <v>101400330002</v>
          </cell>
          <cell r="B3233" t="str">
            <v>Dumraon</v>
          </cell>
          <cell r="C3233" t="str">
            <v>Dumraon</v>
          </cell>
          <cell r="D3233" t="str">
            <v>Akalupur</v>
          </cell>
          <cell r="E3233">
            <v>10140033</v>
          </cell>
          <cell r="F3233" t="str">
            <v>0002</v>
          </cell>
          <cell r="G3233">
            <v>1</v>
          </cell>
          <cell r="H3233">
            <v>173</v>
          </cell>
          <cell r="I3233">
            <v>5709.1826880000008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P3233">
            <v>5709</v>
          </cell>
          <cell r="V3233" t="str">
            <v>Available</v>
          </cell>
        </row>
        <row r="3234">
          <cell r="A3234" t="str">
            <v>101400340001</v>
          </cell>
          <cell r="B3234" t="str">
            <v>Dumraon</v>
          </cell>
          <cell r="C3234" t="str">
            <v>Dumraon</v>
          </cell>
          <cell r="D3234" t="str">
            <v>Chhotka Sihanpura</v>
          </cell>
          <cell r="E3234">
            <v>10140034</v>
          </cell>
          <cell r="F3234" t="str">
            <v>0001</v>
          </cell>
          <cell r="G3234">
            <v>9</v>
          </cell>
          <cell r="H3234">
            <v>6.8</v>
          </cell>
          <cell r="I3234">
            <v>241.70305460399999</v>
          </cell>
          <cell r="J3234">
            <v>0</v>
          </cell>
          <cell r="K3234">
            <v>241.70305460399999</v>
          </cell>
          <cell r="L3234">
            <v>0</v>
          </cell>
          <cell r="M3234">
            <v>0</v>
          </cell>
          <cell r="P3234">
            <v>0</v>
          </cell>
          <cell r="V3234" t="str">
            <v>Not Available</v>
          </cell>
        </row>
        <row r="3235">
          <cell r="A3235" t="str">
            <v>101400340002</v>
          </cell>
          <cell r="B3235" t="str">
            <v>Dumraon</v>
          </cell>
          <cell r="C3235" t="str">
            <v>Dumraon</v>
          </cell>
          <cell r="D3235" t="str">
            <v>Chhotka Sihanpura</v>
          </cell>
          <cell r="E3235">
            <v>10140034</v>
          </cell>
          <cell r="F3235" t="str">
            <v>0002</v>
          </cell>
          <cell r="G3235">
            <v>14</v>
          </cell>
          <cell r="H3235">
            <v>169.1</v>
          </cell>
          <cell r="I3235">
            <v>6519.37394320776</v>
          </cell>
          <cell r="J3235">
            <v>0</v>
          </cell>
          <cell r="K3235">
            <v>0</v>
          </cell>
          <cell r="L3235">
            <v>2515</v>
          </cell>
          <cell r="M3235">
            <v>0</v>
          </cell>
          <cell r="P3235">
            <v>4004</v>
          </cell>
          <cell r="V3235" t="str">
            <v>Available</v>
          </cell>
        </row>
        <row r="3236">
          <cell r="A3236" t="str">
            <v>101400340008</v>
          </cell>
          <cell r="B3236" t="str">
            <v>Dumraon</v>
          </cell>
          <cell r="C3236" t="str">
            <v>Dumraon</v>
          </cell>
          <cell r="D3236" t="str">
            <v>Chhotka Sihanpura</v>
          </cell>
          <cell r="E3236">
            <v>10140034</v>
          </cell>
          <cell r="F3236" t="str">
            <v>0008</v>
          </cell>
          <cell r="G3236">
            <v>12</v>
          </cell>
          <cell r="H3236">
            <v>128.69999999999999</v>
          </cell>
          <cell r="I3236">
            <v>4863.5535581519998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P3236">
            <v>4864</v>
          </cell>
          <cell r="V3236" t="str">
            <v>Available</v>
          </cell>
        </row>
        <row r="3237">
          <cell r="A3237" t="str">
            <v>101400340030</v>
          </cell>
          <cell r="B3237" t="str">
            <v>Dumraon</v>
          </cell>
          <cell r="C3237" t="str">
            <v>Dumraon</v>
          </cell>
          <cell r="D3237" t="str">
            <v>Chhotka Sihanpura</v>
          </cell>
          <cell r="E3237">
            <v>10140034</v>
          </cell>
          <cell r="F3237" t="str">
            <v>0030</v>
          </cell>
          <cell r="G3237">
            <v>7</v>
          </cell>
          <cell r="H3237">
            <v>87.4</v>
          </cell>
          <cell r="I3237">
            <v>3184.1575009200005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P3237">
            <v>3184</v>
          </cell>
          <cell r="V3237" t="str">
            <v>Available</v>
          </cell>
        </row>
        <row r="3238">
          <cell r="A3238" t="str">
            <v>101400390001</v>
          </cell>
          <cell r="B3238" t="str">
            <v>Dumraon</v>
          </cell>
          <cell r="C3238" t="str">
            <v>Dumraon</v>
          </cell>
          <cell r="D3238" t="str">
            <v>Dharauli</v>
          </cell>
          <cell r="E3238">
            <v>10140039</v>
          </cell>
          <cell r="F3238" t="str">
            <v>0001</v>
          </cell>
          <cell r="G3238">
            <v>13</v>
          </cell>
          <cell r="H3238">
            <v>5.0999999999999996</v>
          </cell>
          <cell r="I3238">
            <v>189.18770112000004</v>
          </cell>
          <cell r="J3238">
            <v>0</v>
          </cell>
          <cell r="K3238">
            <v>189.18770112000004</v>
          </cell>
          <cell r="L3238">
            <v>0</v>
          </cell>
          <cell r="M3238">
            <v>0</v>
          </cell>
          <cell r="P3238">
            <v>0</v>
          </cell>
          <cell r="V3238" t="str">
            <v>Not Available</v>
          </cell>
        </row>
        <row r="3239">
          <cell r="A3239" t="str">
            <v>101400390002</v>
          </cell>
          <cell r="B3239" t="str">
            <v>Dumraon</v>
          </cell>
          <cell r="C3239" t="str">
            <v>Dumraon</v>
          </cell>
          <cell r="D3239" t="str">
            <v>Dharauli</v>
          </cell>
          <cell r="E3239">
            <v>10140039</v>
          </cell>
          <cell r="F3239" t="str">
            <v>0002</v>
          </cell>
          <cell r="G3239">
            <v>1</v>
          </cell>
          <cell r="H3239">
            <v>0.5</v>
          </cell>
          <cell r="I3239">
            <v>19.338521400000001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P3239">
            <v>19</v>
          </cell>
          <cell r="V3239" t="str">
            <v>Available</v>
          </cell>
        </row>
        <row r="3240">
          <cell r="A3240" t="str">
            <v>101400390012</v>
          </cell>
          <cell r="B3240" t="str">
            <v>Dumraon</v>
          </cell>
          <cell r="C3240" t="str">
            <v>Dumraon</v>
          </cell>
          <cell r="D3240" t="str">
            <v>Dharauli</v>
          </cell>
          <cell r="E3240">
            <v>10140039</v>
          </cell>
          <cell r="F3240" t="str">
            <v>0012</v>
          </cell>
          <cell r="G3240">
            <v>11</v>
          </cell>
          <cell r="H3240">
            <v>29.000000000000004</v>
          </cell>
          <cell r="I3240">
            <v>941.05734228000028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P3240">
            <v>941</v>
          </cell>
          <cell r="V3240" t="str">
            <v>Available</v>
          </cell>
        </row>
        <row r="3241">
          <cell r="A3241" t="str">
            <v>101400390014</v>
          </cell>
          <cell r="B3241" t="str">
            <v>Dumraon</v>
          </cell>
          <cell r="C3241" t="str">
            <v>Dumraon</v>
          </cell>
          <cell r="D3241" t="str">
            <v>Dharauli</v>
          </cell>
          <cell r="E3241">
            <v>10140039</v>
          </cell>
          <cell r="F3241" t="str">
            <v>0014</v>
          </cell>
          <cell r="G3241">
            <v>7</v>
          </cell>
          <cell r="H3241">
            <v>19.799999999999997</v>
          </cell>
          <cell r="I3241">
            <v>907.27925700715002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P3241">
            <v>907</v>
          </cell>
          <cell r="V3241" t="str">
            <v>Available</v>
          </cell>
        </row>
        <row r="3242">
          <cell r="A3242" t="str">
            <v>101400390057</v>
          </cell>
          <cell r="B3242" t="str">
            <v>Dumraon</v>
          </cell>
          <cell r="C3242" t="str">
            <v>Dumraon</v>
          </cell>
          <cell r="D3242" t="str">
            <v>Dharauli</v>
          </cell>
          <cell r="E3242">
            <v>10140039</v>
          </cell>
          <cell r="F3242" t="str">
            <v>0057</v>
          </cell>
          <cell r="G3242">
            <v>3</v>
          </cell>
          <cell r="H3242">
            <v>3.9000000000000004</v>
          </cell>
          <cell r="I3242">
            <v>152.38490256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P3242">
            <v>152</v>
          </cell>
          <cell r="V3242" t="str">
            <v>Available</v>
          </cell>
        </row>
        <row r="3243">
          <cell r="A3243" t="str">
            <v>101400390059</v>
          </cell>
          <cell r="B3243" t="str">
            <v>Dumraon</v>
          </cell>
          <cell r="C3243" t="str">
            <v>Dumraon</v>
          </cell>
          <cell r="D3243" t="str">
            <v>Dharauli</v>
          </cell>
          <cell r="E3243">
            <v>10140039</v>
          </cell>
          <cell r="F3243" t="str">
            <v>0059</v>
          </cell>
          <cell r="G3243">
            <v>12</v>
          </cell>
          <cell r="H3243">
            <v>58.1</v>
          </cell>
          <cell r="I3243">
            <v>1931.0140064160003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P3243">
            <v>1931</v>
          </cell>
          <cell r="V3243" t="str">
            <v>Available</v>
          </cell>
        </row>
        <row r="3244">
          <cell r="A3244" t="str">
            <v>101400390078</v>
          </cell>
          <cell r="B3244" t="str">
            <v>Dumraon</v>
          </cell>
          <cell r="C3244" t="str">
            <v>Dumraon</v>
          </cell>
          <cell r="D3244" t="str">
            <v>Dharauli</v>
          </cell>
          <cell r="E3244">
            <v>10140039</v>
          </cell>
          <cell r="F3244" t="str">
            <v>0078</v>
          </cell>
          <cell r="G3244">
            <v>5</v>
          </cell>
          <cell r="H3244">
            <v>7.7000000000000011</v>
          </cell>
          <cell r="I3244">
            <v>317.48179716000004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P3244">
            <v>317</v>
          </cell>
          <cell r="V3244" t="str">
            <v>Available</v>
          </cell>
        </row>
        <row r="3245">
          <cell r="A3245" t="str">
            <v>101400390080</v>
          </cell>
          <cell r="B3245" t="str">
            <v>Dumraon</v>
          </cell>
          <cell r="C3245" t="str">
            <v>Dumraon</v>
          </cell>
          <cell r="D3245" t="str">
            <v>Dharauli</v>
          </cell>
          <cell r="E3245">
            <v>10140039</v>
          </cell>
          <cell r="F3245" t="str">
            <v>0080</v>
          </cell>
          <cell r="G3245">
            <v>7</v>
          </cell>
          <cell r="H3245">
            <v>22.299999999999997</v>
          </cell>
          <cell r="I3245">
            <v>713.91392028000007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P3245">
            <v>714</v>
          </cell>
          <cell r="V3245" t="str">
            <v>Available</v>
          </cell>
        </row>
        <row r="3246">
          <cell r="A3246" t="str">
            <v>101400390081</v>
          </cell>
          <cell r="B3246" t="str">
            <v>Dumraon</v>
          </cell>
          <cell r="C3246" t="str">
            <v>Dumraon</v>
          </cell>
          <cell r="D3246" t="str">
            <v>Dharauli</v>
          </cell>
          <cell r="E3246">
            <v>10140039</v>
          </cell>
          <cell r="F3246" t="str">
            <v>0081</v>
          </cell>
          <cell r="G3246">
            <v>7</v>
          </cell>
          <cell r="H3246">
            <v>9.6000000000000014</v>
          </cell>
          <cell r="I3246">
            <v>385.28402714999999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P3246">
            <v>385</v>
          </cell>
          <cell r="V3246" t="str">
            <v>Available</v>
          </cell>
        </row>
        <row r="3247">
          <cell r="A3247" t="str">
            <v>101400390082</v>
          </cell>
          <cell r="B3247" t="str">
            <v>Dumraon</v>
          </cell>
          <cell r="C3247" t="str">
            <v>Dumraon</v>
          </cell>
          <cell r="D3247" t="str">
            <v>Dharauli</v>
          </cell>
          <cell r="E3247">
            <v>10140039</v>
          </cell>
          <cell r="F3247" t="str">
            <v>0082</v>
          </cell>
          <cell r="G3247">
            <v>8</v>
          </cell>
          <cell r="H3247">
            <v>11.1</v>
          </cell>
          <cell r="I3247">
            <v>421.39546416000007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P3247">
            <v>421</v>
          </cell>
          <cell r="V3247" t="str">
            <v>Available</v>
          </cell>
        </row>
        <row r="3248">
          <cell r="A3248" t="str">
            <v>101400390109</v>
          </cell>
          <cell r="B3248" t="str">
            <v>Dumraon</v>
          </cell>
          <cell r="C3248" t="str">
            <v>Dumraon</v>
          </cell>
          <cell r="D3248" t="str">
            <v>Dharauli</v>
          </cell>
          <cell r="E3248">
            <v>10140039</v>
          </cell>
          <cell r="F3248" t="str">
            <v>0109</v>
          </cell>
          <cell r="G3248">
            <v>12</v>
          </cell>
          <cell r="H3248">
            <v>47.800000000000004</v>
          </cell>
          <cell r="I3248">
            <v>1700.2655802000002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P3248">
            <v>1700</v>
          </cell>
          <cell r="V3248" t="str">
            <v>Available</v>
          </cell>
        </row>
        <row r="3249">
          <cell r="A3249" t="str">
            <v>101400390110</v>
          </cell>
          <cell r="B3249" t="str">
            <v>Dumraon</v>
          </cell>
          <cell r="C3249" t="str">
            <v>Dumraon</v>
          </cell>
          <cell r="D3249" t="str">
            <v>Dharauli</v>
          </cell>
          <cell r="E3249">
            <v>10140039</v>
          </cell>
          <cell r="F3249" t="str">
            <v>0110</v>
          </cell>
          <cell r="G3249">
            <v>13</v>
          </cell>
          <cell r="H3249">
            <v>44.3</v>
          </cell>
          <cell r="I3249">
            <v>2067.0944844915502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P3249">
            <v>2067</v>
          </cell>
          <cell r="V3249" t="str">
            <v>Available</v>
          </cell>
        </row>
        <row r="3250">
          <cell r="A3250" t="str">
            <v>101400390112</v>
          </cell>
          <cell r="B3250" t="str">
            <v>Dumraon</v>
          </cell>
          <cell r="C3250" t="str">
            <v>Dumraon</v>
          </cell>
          <cell r="D3250" t="str">
            <v>Dharauli</v>
          </cell>
          <cell r="E3250">
            <v>10140039</v>
          </cell>
          <cell r="F3250" t="str">
            <v>0112</v>
          </cell>
          <cell r="G3250">
            <v>14</v>
          </cell>
          <cell r="H3250">
            <v>23.700000000000003</v>
          </cell>
          <cell r="I3250">
            <v>934.089211836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P3250">
            <v>934</v>
          </cell>
          <cell r="V3250" t="str">
            <v>Available</v>
          </cell>
        </row>
        <row r="3251">
          <cell r="A3251" t="str">
            <v>101400430002</v>
          </cell>
          <cell r="B3251" t="str">
            <v>Dumraon</v>
          </cell>
          <cell r="C3251" t="str">
            <v>Dumraon</v>
          </cell>
          <cell r="D3251" t="str">
            <v>Kaithi</v>
          </cell>
          <cell r="E3251">
            <v>10140043</v>
          </cell>
          <cell r="F3251" t="str">
            <v>0002</v>
          </cell>
          <cell r="G3251">
            <v>1</v>
          </cell>
          <cell r="H3251">
            <v>25</v>
          </cell>
          <cell r="I3251">
            <v>924.02639999999997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P3251">
            <v>924</v>
          </cell>
          <cell r="V3251" t="str">
            <v>Available</v>
          </cell>
        </row>
        <row r="3252">
          <cell r="A3252" t="str">
            <v>101400430013</v>
          </cell>
          <cell r="B3252" t="str">
            <v>Dumraon</v>
          </cell>
          <cell r="C3252" t="str">
            <v>Dumraon</v>
          </cell>
          <cell r="D3252" t="str">
            <v>Kaithi</v>
          </cell>
          <cell r="E3252">
            <v>10140043</v>
          </cell>
          <cell r="F3252" t="str">
            <v>0013</v>
          </cell>
          <cell r="G3252">
            <v>1</v>
          </cell>
          <cell r="H3252">
            <v>264</v>
          </cell>
          <cell r="I3252">
            <v>8712.2787840000019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P3252">
            <v>8712</v>
          </cell>
          <cell r="V3252" t="str">
            <v>Available</v>
          </cell>
        </row>
        <row r="3253">
          <cell r="A3253" t="str">
            <v>101400450002</v>
          </cell>
          <cell r="B3253" t="str">
            <v>Dumraon</v>
          </cell>
          <cell r="C3253" t="str">
            <v>Dumraon</v>
          </cell>
          <cell r="D3253" t="str">
            <v>Rangi Dera</v>
          </cell>
          <cell r="E3253">
            <v>10140045</v>
          </cell>
          <cell r="F3253" t="str">
            <v>0002</v>
          </cell>
          <cell r="G3253">
            <v>1</v>
          </cell>
          <cell r="H3253">
            <v>202</v>
          </cell>
          <cell r="I3253">
            <v>7146.165312000001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P3253">
            <v>7146</v>
          </cell>
          <cell r="V3253" t="str">
            <v>Available</v>
          </cell>
        </row>
        <row r="3254">
          <cell r="A3254" t="str">
            <v>101400470001</v>
          </cell>
          <cell r="B3254" t="str">
            <v>Dumraon</v>
          </cell>
          <cell r="C3254" t="str">
            <v>Dumraon</v>
          </cell>
          <cell r="D3254" t="str">
            <v>Dubki</v>
          </cell>
          <cell r="E3254">
            <v>10140047</v>
          </cell>
          <cell r="F3254" t="str">
            <v>0001</v>
          </cell>
          <cell r="G3254">
            <v>2</v>
          </cell>
          <cell r="H3254">
            <v>0.35</v>
          </cell>
          <cell r="I3254">
            <v>17.839951651340002</v>
          </cell>
          <cell r="J3254">
            <v>0</v>
          </cell>
          <cell r="K3254">
            <v>17.839951651340002</v>
          </cell>
          <cell r="L3254">
            <v>0</v>
          </cell>
          <cell r="M3254">
            <v>0</v>
          </cell>
          <cell r="P3254">
            <v>0</v>
          </cell>
          <cell r="V3254" t="str">
            <v>Not Available</v>
          </cell>
        </row>
        <row r="3255">
          <cell r="A3255" t="str">
            <v>101400470002</v>
          </cell>
          <cell r="B3255" t="str">
            <v>Dumraon</v>
          </cell>
          <cell r="C3255" t="str">
            <v>Dumraon</v>
          </cell>
          <cell r="D3255" t="str">
            <v>Dubki</v>
          </cell>
          <cell r="E3255">
            <v>10140047</v>
          </cell>
          <cell r="F3255" t="str">
            <v>0002</v>
          </cell>
          <cell r="G3255">
            <v>2</v>
          </cell>
          <cell r="H3255">
            <v>50.980000000000004</v>
          </cell>
          <cell r="I3255">
            <v>2394.7830579974598</v>
          </cell>
          <cell r="J3255">
            <v>0</v>
          </cell>
          <cell r="K3255">
            <v>0</v>
          </cell>
          <cell r="L3255">
            <v>465</v>
          </cell>
          <cell r="M3255">
            <v>0</v>
          </cell>
          <cell r="P3255">
            <v>1930</v>
          </cell>
          <cell r="V3255" t="str">
            <v>Available</v>
          </cell>
        </row>
        <row r="3256">
          <cell r="A3256" t="str">
            <v>101400470011</v>
          </cell>
          <cell r="B3256" t="str">
            <v>Dumraon</v>
          </cell>
          <cell r="C3256" t="str">
            <v>Dumraon</v>
          </cell>
          <cell r="D3256" t="str">
            <v>Dubki</v>
          </cell>
          <cell r="E3256">
            <v>10140047</v>
          </cell>
          <cell r="F3256" t="str">
            <v>0011</v>
          </cell>
          <cell r="G3256">
            <v>2</v>
          </cell>
          <cell r="H3256">
            <v>34.08</v>
          </cell>
          <cell r="I3256">
            <v>1813.9127521453399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P3256">
            <v>1814</v>
          </cell>
          <cell r="V3256" t="str">
            <v>Available</v>
          </cell>
        </row>
        <row r="3257">
          <cell r="A3257" t="str">
            <v>101400540001</v>
          </cell>
          <cell r="B3257" t="str">
            <v>Dumraon</v>
          </cell>
          <cell r="C3257" t="str">
            <v>Dumraon</v>
          </cell>
          <cell r="D3257" t="str">
            <v>Soan</v>
          </cell>
          <cell r="E3257">
            <v>10140054</v>
          </cell>
          <cell r="F3257" t="str">
            <v>0001</v>
          </cell>
          <cell r="G3257">
            <v>13</v>
          </cell>
          <cell r="H3257">
            <v>5.370000000000001</v>
          </cell>
          <cell r="I3257">
            <v>223.51466485286201</v>
          </cell>
          <cell r="J3257">
            <v>0</v>
          </cell>
          <cell r="K3257">
            <v>223.51466485286201</v>
          </cell>
          <cell r="L3257">
            <v>0</v>
          </cell>
          <cell r="M3257">
            <v>0</v>
          </cell>
          <cell r="P3257">
            <v>0</v>
          </cell>
          <cell r="V3257" t="str">
            <v>Not Available</v>
          </cell>
        </row>
        <row r="3258">
          <cell r="A3258" t="str">
            <v>101400540002</v>
          </cell>
          <cell r="B3258" t="str">
            <v>Dumraon</v>
          </cell>
          <cell r="C3258" t="str">
            <v>Dumraon</v>
          </cell>
          <cell r="D3258" t="str">
            <v>Soan</v>
          </cell>
          <cell r="E3258">
            <v>10140054</v>
          </cell>
          <cell r="F3258" t="str">
            <v>0002</v>
          </cell>
          <cell r="G3258">
            <v>13</v>
          </cell>
          <cell r="H3258">
            <v>130.54000000000002</v>
          </cell>
          <cell r="I3258">
            <v>5333.1411151884677</v>
          </cell>
          <cell r="J3258">
            <v>0</v>
          </cell>
          <cell r="K3258">
            <v>0</v>
          </cell>
          <cell r="L3258">
            <v>304</v>
          </cell>
          <cell r="M3258">
            <v>0</v>
          </cell>
          <cell r="P3258">
            <v>5029</v>
          </cell>
          <cell r="V3258" t="str">
            <v>Available</v>
          </cell>
        </row>
        <row r="3259">
          <cell r="A3259" t="str">
            <v>101400540006</v>
          </cell>
          <cell r="B3259" t="str">
            <v>Dumraon</v>
          </cell>
          <cell r="C3259" t="str">
            <v>Dumraon</v>
          </cell>
          <cell r="D3259" t="str">
            <v>Soan</v>
          </cell>
          <cell r="E3259">
            <v>10140054</v>
          </cell>
          <cell r="F3259" t="str">
            <v>0006</v>
          </cell>
          <cell r="G3259">
            <v>7</v>
          </cell>
          <cell r="H3259">
            <v>16.47</v>
          </cell>
          <cell r="I3259">
            <v>669.90230524800018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P3259">
            <v>670</v>
          </cell>
          <cell r="V3259" t="str">
            <v>Available</v>
          </cell>
        </row>
        <row r="3260">
          <cell r="A3260" t="str">
            <v>101400540012</v>
          </cell>
          <cell r="B3260" t="str">
            <v>Dumraon</v>
          </cell>
          <cell r="C3260" t="str">
            <v>Dumraon</v>
          </cell>
          <cell r="D3260" t="str">
            <v>Soan</v>
          </cell>
          <cell r="E3260">
            <v>10140054</v>
          </cell>
          <cell r="F3260" t="str">
            <v>0012</v>
          </cell>
          <cell r="G3260">
            <v>13</v>
          </cell>
          <cell r="H3260">
            <v>138.06</v>
          </cell>
          <cell r="I3260">
            <v>5598.1499579226183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P3260">
            <v>5598</v>
          </cell>
          <cell r="V3260" t="str">
            <v>Available</v>
          </cell>
        </row>
        <row r="3261">
          <cell r="A3261" t="str">
            <v>101400540013</v>
          </cell>
          <cell r="B3261" t="str">
            <v>Dumraon</v>
          </cell>
          <cell r="C3261" t="str">
            <v>Dumraon</v>
          </cell>
          <cell r="D3261" t="str">
            <v>Soan</v>
          </cell>
          <cell r="E3261">
            <v>10140054</v>
          </cell>
          <cell r="F3261" t="str">
            <v>0013</v>
          </cell>
          <cell r="G3261">
            <v>13</v>
          </cell>
          <cell r="H3261">
            <v>153.01</v>
          </cell>
          <cell r="I3261">
            <v>6170.6229687985524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P3261">
            <v>6171</v>
          </cell>
          <cell r="V3261" t="str">
            <v>Available</v>
          </cell>
        </row>
        <row r="3262">
          <cell r="A3262" t="str">
            <v>101400540021</v>
          </cell>
          <cell r="B3262" t="str">
            <v>Dumraon</v>
          </cell>
          <cell r="C3262" t="str">
            <v>Dumraon</v>
          </cell>
          <cell r="D3262" t="str">
            <v>Soan</v>
          </cell>
          <cell r="E3262">
            <v>10140054</v>
          </cell>
          <cell r="F3262" t="str">
            <v>0021</v>
          </cell>
          <cell r="G3262">
            <v>5</v>
          </cell>
          <cell r="H3262">
            <v>11.8</v>
          </cell>
          <cell r="I3262">
            <v>504.91654802403605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P3262">
            <v>505</v>
          </cell>
          <cell r="V3262" t="str">
            <v>Available</v>
          </cell>
        </row>
        <row r="3263">
          <cell r="A3263" t="str">
            <v>101400540029</v>
          </cell>
          <cell r="B3263" t="str">
            <v>Dumraon</v>
          </cell>
          <cell r="C3263" t="str">
            <v>Dumraon</v>
          </cell>
          <cell r="D3263" t="str">
            <v>Soan</v>
          </cell>
          <cell r="E3263">
            <v>10140054</v>
          </cell>
          <cell r="F3263" t="str">
            <v>0029</v>
          </cell>
          <cell r="G3263">
            <v>11</v>
          </cell>
          <cell r="H3263">
            <v>34.82</v>
          </cell>
          <cell r="I3263">
            <v>1182.446588664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P3263">
            <v>1182</v>
          </cell>
          <cell r="V3263" t="str">
            <v>Available</v>
          </cell>
        </row>
        <row r="3264">
          <cell r="A3264" t="str">
            <v>101400540031</v>
          </cell>
          <cell r="B3264" t="str">
            <v>Dumraon</v>
          </cell>
          <cell r="C3264" t="str">
            <v>Dumraon</v>
          </cell>
          <cell r="D3264" t="str">
            <v>Soan</v>
          </cell>
          <cell r="E3264">
            <v>10140054</v>
          </cell>
          <cell r="F3264" t="str">
            <v>0031</v>
          </cell>
          <cell r="G3264">
            <v>6</v>
          </cell>
          <cell r="H3264">
            <v>16.14</v>
          </cell>
          <cell r="I3264">
            <v>541.34188241760012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P3264">
            <v>541</v>
          </cell>
          <cell r="V3264" t="str">
            <v>Available</v>
          </cell>
        </row>
        <row r="3265">
          <cell r="A3265" t="str">
            <v>101400550002</v>
          </cell>
          <cell r="B3265" t="str">
            <v>Dumraon</v>
          </cell>
          <cell r="C3265" t="str">
            <v>Dumraon</v>
          </cell>
          <cell r="D3265" t="str">
            <v xml:space="preserve">PURANA BHOJPUR                                                                                      </v>
          </cell>
          <cell r="E3265">
            <v>10140055</v>
          </cell>
          <cell r="F3265" t="str">
            <v>0002</v>
          </cell>
          <cell r="G3265">
            <v>1</v>
          </cell>
          <cell r="H3265">
            <v>366</v>
          </cell>
          <cell r="I3265">
            <v>13721.004158400001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P3265">
            <v>13721</v>
          </cell>
          <cell r="V3265" t="str">
            <v>Available</v>
          </cell>
        </row>
        <row r="3266">
          <cell r="A3266" t="str">
            <v>101400660001</v>
          </cell>
          <cell r="B3266" t="str">
            <v>Dumraon</v>
          </cell>
          <cell r="C3266" t="str">
            <v>Dumraon</v>
          </cell>
          <cell r="D3266" t="str">
            <v>Gomukh Kant</v>
          </cell>
          <cell r="E3266">
            <v>10140066</v>
          </cell>
          <cell r="F3266" t="str">
            <v>0001</v>
          </cell>
          <cell r="G3266">
            <v>4</v>
          </cell>
          <cell r="H3266">
            <v>0.5</v>
          </cell>
          <cell r="I3266">
            <v>26.994905938960002</v>
          </cell>
          <cell r="J3266">
            <v>0</v>
          </cell>
          <cell r="K3266">
            <v>26.994905938960002</v>
          </cell>
          <cell r="L3266">
            <v>0</v>
          </cell>
          <cell r="M3266">
            <v>0</v>
          </cell>
          <cell r="P3266">
            <v>0</v>
          </cell>
          <cell r="V3266" t="str">
            <v>Not Available</v>
          </cell>
        </row>
        <row r="3267">
          <cell r="A3267" t="str">
            <v>101400660002</v>
          </cell>
          <cell r="B3267" t="str">
            <v>Dumraon</v>
          </cell>
          <cell r="C3267" t="str">
            <v>Dumraon</v>
          </cell>
          <cell r="D3267" t="str">
            <v>Gomukh Kant</v>
          </cell>
          <cell r="E3267">
            <v>10140066</v>
          </cell>
          <cell r="F3267" t="str">
            <v>0002</v>
          </cell>
          <cell r="G3267">
            <v>5</v>
          </cell>
          <cell r="H3267">
            <v>54.2</v>
          </cell>
          <cell r="I3267">
            <v>2932.2663665994</v>
          </cell>
          <cell r="J3267">
            <v>0</v>
          </cell>
          <cell r="K3267">
            <v>0</v>
          </cell>
          <cell r="L3267">
            <v>1901</v>
          </cell>
          <cell r="M3267">
            <v>0</v>
          </cell>
          <cell r="P3267">
            <v>1031</v>
          </cell>
          <cell r="V3267" t="str">
            <v>Available</v>
          </cell>
        </row>
        <row r="3268">
          <cell r="A3268" t="str">
            <v>101400660041</v>
          </cell>
          <cell r="B3268" t="str">
            <v>Dumraon</v>
          </cell>
          <cell r="C3268" t="str">
            <v>Dumraon</v>
          </cell>
          <cell r="D3268" t="str">
            <v>Gomukh Kant</v>
          </cell>
          <cell r="E3268">
            <v>10140066</v>
          </cell>
          <cell r="F3268" t="str">
            <v>0041</v>
          </cell>
          <cell r="G3268">
            <v>6</v>
          </cell>
          <cell r="H3268">
            <v>69.7</v>
          </cell>
          <cell r="I3268">
            <v>4381.0775670719204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  <cell r="P3268">
            <v>4381</v>
          </cell>
          <cell r="V3268" t="str">
            <v>Available</v>
          </cell>
        </row>
        <row r="3269">
          <cell r="A3269" t="str">
            <v>101400680002</v>
          </cell>
          <cell r="B3269" t="str">
            <v>Dumraon</v>
          </cell>
          <cell r="C3269" t="str">
            <v>Dumraon</v>
          </cell>
          <cell r="D3269" t="str">
            <v>Gomukh Naat</v>
          </cell>
          <cell r="E3269">
            <v>10140068</v>
          </cell>
          <cell r="F3269" t="str">
            <v>0002</v>
          </cell>
          <cell r="G3269">
            <v>14</v>
          </cell>
          <cell r="H3269">
            <v>185.63000000000002</v>
          </cell>
          <cell r="I3269">
            <v>7184.4968120277017</v>
          </cell>
          <cell r="J3269">
            <v>0</v>
          </cell>
          <cell r="K3269">
            <v>0</v>
          </cell>
          <cell r="L3269">
            <v>342</v>
          </cell>
          <cell r="M3269">
            <v>0</v>
          </cell>
          <cell r="P3269">
            <v>6842</v>
          </cell>
          <cell r="V3269" t="str">
            <v>Available</v>
          </cell>
        </row>
        <row r="3270">
          <cell r="A3270" t="str">
            <v>101400680004</v>
          </cell>
          <cell r="B3270" t="str">
            <v>Dumraon</v>
          </cell>
          <cell r="C3270" t="str">
            <v>Dumraon</v>
          </cell>
          <cell r="D3270" t="str">
            <v>Gomukh Naat</v>
          </cell>
          <cell r="E3270">
            <v>10140068</v>
          </cell>
          <cell r="F3270" t="str">
            <v>0004</v>
          </cell>
          <cell r="G3270">
            <v>2</v>
          </cell>
          <cell r="H3270">
            <v>4.17</v>
          </cell>
          <cell r="I3270">
            <v>155.64293632800002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P3270">
            <v>156</v>
          </cell>
          <cell r="V3270" t="str">
            <v>Available</v>
          </cell>
        </row>
        <row r="3271">
          <cell r="A3271" t="str">
            <v>101400680015</v>
          </cell>
          <cell r="B3271" t="str">
            <v>Dumraon</v>
          </cell>
          <cell r="C3271" t="str">
            <v>Dumraon</v>
          </cell>
          <cell r="D3271" t="str">
            <v>Gomukh Naat</v>
          </cell>
          <cell r="E3271">
            <v>10140068</v>
          </cell>
          <cell r="F3271" t="str">
            <v>0015</v>
          </cell>
          <cell r="G3271">
            <v>14</v>
          </cell>
          <cell r="H3271">
            <v>32.519999999999996</v>
          </cell>
          <cell r="I3271">
            <v>1229.9164107120002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P3271">
            <v>1230</v>
          </cell>
          <cell r="V3271" t="str">
            <v>Available</v>
          </cell>
        </row>
        <row r="3272">
          <cell r="A3272" t="str">
            <v>101400690001</v>
          </cell>
          <cell r="B3272" t="str">
            <v>Dumraon</v>
          </cell>
          <cell r="C3272" t="str">
            <v>Dumraon</v>
          </cell>
          <cell r="D3272" t="str">
            <v>Gomukh Raghunathpur</v>
          </cell>
          <cell r="E3272">
            <v>10140069</v>
          </cell>
          <cell r="F3272" t="str">
            <v>0001</v>
          </cell>
          <cell r="G3272">
            <v>14</v>
          </cell>
          <cell r="H3272">
            <v>7</v>
          </cell>
          <cell r="I3272">
            <v>244.60343820000006</v>
          </cell>
          <cell r="J3272">
            <v>0</v>
          </cell>
          <cell r="K3272">
            <v>244.60343820000006</v>
          </cell>
          <cell r="L3272">
            <v>0</v>
          </cell>
          <cell r="M3272">
            <v>0</v>
          </cell>
          <cell r="P3272">
            <v>0</v>
          </cell>
          <cell r="V3272" t="str">
            <v>Not Available</v>
          </cell>
        </row>
        <row r="3273">
          <cell r="A3273" t="str">
            <v>101400690046</v>
          </cell>
          <cell r="B3273" t="str">
            <v>Dumraon</v>
          </cell>
          <cell r="C3273" t="str">
            <v>Dumraon</v>
          </cell>
          <cell r="D3273" t="str">
            <v>Gomukh Raghunathpur</v>
          </cell>
          <cell r="E3273">
            <v>10140069</v>
          </cell>
          <cell r="F3273" t="str">
            <v>0046</v>
          </cell>
          <cell r="G3273">
            <v>14</v>
          </cell>
          <cell r="H3273">
            <v>392.3</v>
          </cell>
          <cell r="I3273">
            <v>14144.449377960002</v>
          </cell>
          <cell r="J3273">
            <v>0</v>
          </cell>
          <cell r="K3273">
            <v>0</v>
          </cell>
          <cell r="L3273">
            <v>3</v>
          </cell>
          <cell r="M3273">
            <v>0</v>
          </cell>
          <cell r="P3273">
            <v>14141</v>
          </cell>
          <cell r="V3273" t="str">
            <v>Available</v>
          </cell>
        </row>
        <row r="3274">
          <cell r="A3274" t="str">
            <v>101400690106</v>
          </cell>
          <cell r="B3274" t="str">
            <v>Dumraon</v>
          </cell>
          <cell r="C3274" t="str">
            <v>Dumraon</v>
          </cell>
          <cell r="D3274" t="str">
            <v>Gomukh Raghunathpur</v>
          </cell>
          <cell r="E3274">
            <v>10140069</v>
          </cell>
          <cell r="F3274" t="str">
            <v>0106</v>
          </cell>
          <cell r="G3274">
            <v>11</v>
          </cell>
          <cell r="H3274">
            <v>35.200000000000003</v>
          </cell>
          <cell r="I3274">
            <v>1365.8298033600001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P3274">
            <v>1366</v>
          </cell>
          <cell r="V3274" t="str">
            <v>Available</v>
          </cell>
        </row>
        <row r="3275">
          <cell r="A3275" t="str">
            <v>101400690126</v>
          </cell>
          <cell r="B3275" t="str">
            <v>Dumraon</v>
          </cell>
          <cell r="C3275" t="str">
            <v>Dumraon</v>
          </cell>
          <cell r="D3275" t="str">
            <v>Gomukh Raghunathpur</v>
          </cell>
          <cell r="E3275">
            <v>10140069</v>
          </cell>
          <cell r="F3275" t="str">
            <v>0126</v>
          </cell>
          <cell r="G3275">
            <v>6</v>
          </cell>
          <cell r="H3275">
            <v>26.8</v>
          </cell>
          <cell r="I3275">
            <v>1114.0025219700001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P3275">
            <v>1114</v>
          </cell>
          <cell r="V3275" t="str">
            <v>Available</v>
          </cell>
        </row>
        <row r="3276">
          <cell r="A3276" t="str">
            <v>101400830001</v>
          </cell>
          <cell r="B3276" t="str">
            <v>Dumraon</v>
          </cell>
          <cell r="C3276" t="str">
            <v>Dumraon</v>
          </cell>
          <cell r="D3276" t="str">
            <v>Gomukh Murar</v>
          </cell>
          <cell r="E3276">
            <v>10140083</v>
          </cell>
          <cell r="F3276" t="str">
            <v>0001</v>
          </cell>
          <cell r="G3276">
            <v>10</v>
          </cell>
          <cell r="H3276">
            <v>2.8000000000000003</v>
          </cell>
          <cell r="I3276">
            <v>141.9141625181</v>
          </cell>
          <cell r="J3276">
            <v>0</v>
          </cell>
          <cell r="K3276">
            <v>141.9141625181</v>
          </cell>
          <cell r="L3276">
            <v>0</v>
          </cell>
          <cell r="M3276">
            <v>0</v>
          </cell>
          <cell r="P3276">
            <v>0</v>
          </cell>
          <cell r="V3276" t="str">
            <v>Not Available</v>
          </cell>
        </row>
        <row r="3277">
          <cell r="A3277" t="str">
            <v>101400830002</v>
          </cell>
          <cell r="B3277" t="str">
            <v>Dumraon</v>
          </cell>
          <cell r="C3277" t="str">
            <v>Dumraon</v>
          </cell>
          <cell r="D3277" t="str">
            <v>Gomukh Murar</v>
          </cell>
          <cell r="E3277">
            <v>10140083</v>
          </cell>
          <cell r="F3277" t="str">
            <v>0002</v>
          </cell>
          <cell r="G3277">
            <v>11</v>
          </cell>
          <cell r="H3277">
            <v>246.39999999999998</v>
          </cell>
          <cell r="I3277">
            <v>10820.311952349201</v>
          </cell>
          <cell r="J3277">
            <v>0</v>
          </cell>
          <cell r="K3277">
            <v>0</v>
          </cell>
          <cell r="L3277">
            <v>1384</v>
          </cell>
          <cell r="M3277">
            <v>0</v>
          </cell>
          <cell r="P3277">
            <v>9436</v>
          </cell>
          <cell r="V3277" t="str">
            <v>Available</v>
          </cell>
        </row>
        <row r="3278">
          <cell r="A3278" t="str">
            <v>101400830020</v>
          </cell>
          <cell r="B3278" t="str">
            <v>Dumraon</v>
          </cell>
          <cell r="C3278" t="str">
            <v>Dumraon</v>
          </cell>
          <cell r="D3278" t="str">
            <v>Gomukh Murar</v>
          </cell>
          <cell r="E3278">
            <v>10140083</v>
          </cell>
          <cell r="F3278" t="str">
            <v>0020</v>
          </cell>
          <cell r="G3278">
            <v>1</v>
          </cell>
          <cell r="H3278">
            <v>6.5</v>
          </cell>
          <cell r="I3278">
            <v>258.26512140000006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P3278">
            <v>258</v>
          </cell>
          <cell r="V3278" t="str">
            <v>Not Available</v>
          </cell>
        </row>
        <row r="3279">
          <cell r="A3279" t="str">
            <v>101400830028</v>
          </cell>
          <cell r="B3279" t="str">
            <v>Dumraon</v>
          </cell>
          <cell r="C3279" t="str">
            <v>Dumraon</v>
          </cell>
          <cell r="D3279" t="str">
            <v>Gomukh Murar</v>
          </cell>
          <cell r="E3279">
            <v>10140083</v>
          </cell>
          <cell r="F3279" t="str">
            <v>0028</v>
          </cell>
          <cell r="G3279">
            <v>1</v>
          </cell>
          <cell r="H3279">
            <v>9.8000000000000007</v>
          </cell>
          <cell r="I3279">
            <v>441.12898368000009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P3279">
            <v>441</v>
          </cell>
          <cell r="V3279" t="str">
            <v>Not Available</v>
          </cell>
        </row>
        <row r="3280">
          <cell r="A3280" t="str">
            <v>101400830029</v>
          </cell>
          <cell r="B3280" t="str">
            <v>Dumraon</v>
          </cell>
          <cell r="C3280" t="str">
            <v>Dumraon</v>
          </cell>
          <cell r="D3280" t="str">
            <v>Gomukh Murar</v>
          </cell>
          <cell r="E3280">
            <v>10140083</v>
          </cell>
          <cell r="F3280" t="str">
            <v>0029</v>
          </cell>
          <cell r="G3280">
            <v>1</v>
          </cell>
          <cell r="H3280">
            <v>6.4</v>
          </cell>
          <cell r="I3280">
            <v>313.13166711680003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P3280">
            <v>313</v>
          </cell>
          <cell r="V3280" t="str">
            <v>Not Available</v>
          </cell>
        </row>
        <row r="3281">
          <cell r="A3281" t="str">
            <v>101400870002</v>
          </cell>
          <cell r="B3281" t="str">
            <v>Dumraon</v>
          </cell>
          <cell r="C3281" t="str">
            <v>Dumraon</v>
          </cell>
          <cell r="D3281" t="str">
            <v xml:space="preserve">Gomukh Churamanpur                                                                                  </v>
          </cell>
          <cell r="E3281">
            <v>10140087</v>
          </cell>
          <cell r="F3281" t="str">
            <v>0002</v>
          </cell>
          <cell r="G3281">
            <v>10</v>
          </cell>
          <cell r="H3281">
            <v>25.950000000000003</v>
          </cell>
          <cell r="I3281">
            <v>944.65140667920002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P3281">
            <v>945</v>
          </cell>
          <cell r="V3281" t="str">
            <v>Available</v>
          </cell>
        </row>
        <row r="3282">
          <cell r="A3282" t="str">
            <v>101400870007</v>
          </cell>
          <cell r="B3282" t="str">
            <v>Dumraon</v>
          </cell>
          <cell r="C3282" t="str">
            <v>Dumraon</v>
          </cell>
          <cell r="D3282" t="str">
            <v xml:space="preserve">Gomukh Churamanpur                                                                                  </v>
          </cell>
          <cell r="E3282">
            <v>10140087</v>
          </cell>
          <cell r="F3282" t="str">
            <v>0007</v>
          </cell>
          <cell r="G3282">
            <v>14</v>
          </cell>
          <cell r="H3282">
            <v>164.59</v>
          </cell>
          <cell r="I3282">
            <v>5945.3733002400004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P3282">
            <v>5945</v>
          </cell>
          <cell r="V3282" t="str">
            <v>Available</v>
          </cell>
        </row>
        <row r="3283">
          <cell r="A3283" t="str">
            <v>101400870023</v>
          </cell>
          <cell r="B3283" t="str">
            <v>Dumraon</v>
          </cell>
          <cell r="C3283" t="str">
            <v>Dumraon</v>
          </cell>
          <cell r="D3283" t="str">
            <v xml:space="preserve">Gomukh Churamanpur                                                                                  </v>
          </cell>
          <cell r="E3283">
            <v>10140087</v>
          </cell>
          <cell r="F3283" t="str">
            <v>0023</v>
          </cell>
          <cell r="G3283">
            <v>12</v>
          </cell>
          <cell r="H3283">
            <v>30.169999999999998</v>
          </cell>
          <cell r="I3283">
            <v>920.14591228560016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P3283">
            <v>920</v>
          </cell>
          <cell r="V3283" t="str">
            <v>Available</v>
          </cell>
        </row>
        <row r="3284">
          <cell r="A3284" t="str">
            <v>101400870024</v>
          </cell>
          <cell r="B3284" t="str">
            <v>Dumraon</v>
          </cell>
          <cell r="C3284" t="str">
            <v>Dumraon</v>
          </cell>
          <cell r="D3284" t="str">
            <v xml:space="preserve">Gomukh Churamanpur                                                                                  </v>
          </cell>
          <cell r="E3284">
            <v>10140087</v>
          </cell>
          <cell r="F3284" t="str">
            <v>0024</v>
          </cell>
          <cell r="G3284">
            <v>1</v>
          </cell>
          <cell r="H3284">
            <v>7.16</v>
          </cell>
          <cell r="I3284">
            <v>241.20072947520003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P3284">
            <v>241</v>
          </cell>
          <cell r="V3284" t="str">
            <v>Available</v>
          </cell>
        </row>
        <row r="3285">
          <cell r="A3285" t="str">
            <v>101400870026</v>
          </cell>
          <cell r="B3285" t="str">
            <v>Dumraon</v>
          </cell>
          <cell r="C3285" t="str">
            <v>Dumraon</v>
          </cell>
          <cell r="D3285" t="str">
            <v xml:space="preserve">Gomukh Churamanpur                                                                                  </v>
          </cell>
          <cell r="E3285">
            <v>10140087</v>
          </cell>
          <cell r="F3285" t="str">
            <v>0026</v>
          </cell>
          <cell r="G3285">
            <v>7</v>
          </cell>
          <cell r="H3285">
            <v>10.88</v>
          </cell>
          <cell r="I3285">
            <v>758.33385079110008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P3285">
            <v>758</v>
          </cell>
          <cell r="V3285" t="str">
            <v>Available</v>
          </cell>
        </row>
        <row r="3286">
          <cell r="A3286" t="str">
            <v>101400870027</v>
          </cell>
          <cell r="B3286" t="str">
            <v>Dumraon</v>
          </cell>
          <cell r="C3286" t="str">
            <v>Dumraon</v>
          </cell>
          <cell r="D3286" t="str">
            <v xml:space="preserve">Gomukh Churamanpur                                                                                  </v>
          </cell>
          <cell r="E3286">
            <v>10140087</v>
          </cell>
          <cell r="F3286" t="str">
            <v>0027</v>
          </cell>
          <cell r="G3286">
            <v>5</v>
          </cell>
          <cell r="H3286">
            <v>10.76</v>
          </cell>
          <cell r="I3286">
            <v>591.95130996433238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P3286">
            <v>592</v>
          </cell>
          <cell r="V3286" t="str">
            <v>Available</v>
          </cell>
        </row>
        <row r="3287">
          <cell r="A3287" t="str">
            <v>101400950002</v>
          </cell>
          <cell r="B3287" t="str">
            <v>Dumraon</v>
          </cell>
          <cell r="C3287" t="str">
            <v>Dumraon</v>
          </cell>
          <cell r="D3287" t="str">
            <v>Gomukh Ekauni Karuwaj</v>
          </cell>
          <cell r="E3287">
            <v>10140095</v>
          </cell>
          <cell r="F3287" t="str">
            <v>0002</v>
          </cell>
          <cell r="G3287">
            <v>1</v>
          </cell>
          <cell r="H3287">
            <v>12</v>
          </cell>
          <cell r="I3287">
            <v>443.53267199999999</v>
          </cell>
          <cell r="J3287">
            <v>0</v>
          </cell>
          <cell r="K3287">
            <v>0</v>
          </cell>
          <cell r="L3287">
            <v>444</v>
          </cell>
          <cell r="M3287">
            <v>0</v>
          </cell>
          <cell r="P3287">
            <v>0</v>
          </cell>
          <cell r="V3287" t="str">
            <v>Available</v>
          </cell>
        </row>
        <row r="3288">
          <cell r="A3288" t="str">
            <v>101400950004</v>
          </cell>
          <cell r="B3288" t="str">
            <v>Dumraon</v>
          </cell>
          <cell r="C3288" t="str">
            <v>Dumraon</v>
          </cell>
          <cell r="D3288" t="str">
            <v>Gomukh Ekauni Karuwaj</v>
          </cell>
          <cell r="E3288">
            <v>10140095</v>
          </cell>
          <cell r="F3288" t="str">
            <v>0004</v>
          </cell>
          <cell r="G3288">
            <v>7</v>
          </cell>
          <cell r="H3288">
            <v>34.5</v>
          </cell>
          <cell r="I3288">
            <v>1316.7321030468001</v>
          </cell>
          <cell r="J3288">
            <v>0</v>
          </cell>
          <cell r="K3288">
            <v>0</v>
          </cell>
          <cell r="L3288">
            <v>533</v>
          </cell>
          <cell r="M3288">
            <v>0</v>
          </cell>
          <cell r="P3288">
            <v>784</v>
          </cell>
          <cell r="V3288" t="str">
            <v>Not Available</v>
          </cell>
        </row>
        <row r="3289">
          <cell r="A3289" t="str">
            <v>101400980001</v>
          </cell>
          <cell r="B3289" t="str">
            <v>Dumraon</v>
          </cell>
          <cell r="C3289" t="str">
            <v>Dumraon</v>
          </cell>
          <cell r="D3289" t="str">
            <v>Kulharia Agriculture Producer Company Limited</v>
          </cell>
          <cell r="E3289">
            <v>10140098</v>
          </cell>
          <cell r="F3289" t="str">
            <v>0001</v>
          </cell>
          <cell r="G3289">
            <v>13</v>
          </cell>
          <cell r="H3289">
            <v>12.879999999999997</v>
          </cell>
          <cell r="I3289">
            <v>491.89072521600002</v>
          </cell>
          <cell r="J3289">
            <v>0</v>
          </cell>
          <cell r="K3289">
            <v>491.89072521600002</v>
          </cell>
          <cell r="L3289">
            <v>0</v>
          </cell>
          <cell r="M3289">
            <v>0</v>
          </cell>
          <cell r="P3289">
            <v>0</v>
          </cell>
          <cell r="V3289" t="str">
            <v>Not Available</v>
          </cell>
        </row>
        <row r="3290">
          <cell r="A3290" t="str">
            <v>101400980002</v>
          </cell>
          <cell r="B3290" t="str">
            <v>Dumraon</v>
          </cell>
          <cell r="C3290" t="str">
            <v>Dumraon</v>
          </cell>
          <cell r="D3290" t="str">
            <v>Kulharia Agriculture Producer Company Limited</v>
          </cell>
          <cell r="E3290">
            <v>10140098</v>
          </cell>
          <cell r="F3290" t="str">
            <v>0002</v>
          </cell>
          <cell r="G3290">
            <v>14</v>
          </cell>
          <cell r="H3290">
            <v>702.42999999999972</v>
          </cell>
          <cell r="I3290">
            <v>28866.170681765718</v>
          </cell>
          <cell r="J3290">
            <v>0</v>
          </cell>
          <cell r="K3290">
            <v>0</v>
          </cell>
          <cell r="L3290">
            <v>0</v>
          </cell>
          <cell r="M3290">
            <v>15818</v>
          </cell>
          <cell r="P3290">
            <v>13048</v>
          </cell>
          <cell r="V3290" t="str">
            <v>Available</v>
          </cell>
        </row>
        <row r="3291">
          <cell r="A3291" t="str">
            <v>101400980007</v>
          </cell>
          <cell r="B3291" t="str">
            <v>Dumraon</v>
          </cell>
          <cell r="C3291" t="str">
            <v>Dumraon</v>
          </cell>
          <cell r="D3291" t="str">
            <v>Kulharia Agriculture Producer Company Limited</v>
          </cell>
          <cell r="E3291">
            <v>10140098</v>
          </cell>
          <cell r="F3291" t="str">
            <v>0007</v>
          </cell>
          <cell r="G3291">
            <v>1</v>
          </cell>
          <cell r="H3291">
            <v>29</v>
          </cell>
          <cell r="I3291">
            <v>957.03062400000022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P3291">
            <v>957</v>
          </cell>
          <cell r="V3291" t="str">
            <v>Available</v>
          </cell>
        </row>
        <row r="3292">
          <cell r="A3292" t="str">
            <v>101400980013</v>
          </cell>
          <cell r="B3292" t="str">
            <v>Dumraon</v>
          </cell>
          <cell r="C3292" t="str">
            <v>Dumraon</v>
          </cell>
          <cell r="D3292" t="str">
            <v>Kulharia Agriculture Producer Company Limited</v>
          </cell>
          <cell r="E3292">
            <v>10140098</v>
          </cell>
          <cell r="F3292" t="str">
            <v>0013</v>
          </cell>
          <cell r="G3292">
            <v>13</v>
          </cell>
          <cell r="H3292">
            <v>475.28999999999996</v>
          </cell>
          <cell r="I3292">
            <v>18659.26892560938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P3292">
            <v>18659</v>
          </cell>
          <cell r="V3292" t="str">
            <v>Available</v>
          </cell>
        </row>
        <row r="3293">
          <cell r="A3293" t="str">
            <v>101400980021</v>
          </cell>
          <cell r="B3293" t="str">
            <v>Dumraon</v>
          </cell>
          <cell r="C3293" t="str">
            <v>Dumraon</v>
          </cell>
          <cell r="D3293" t="str">
            <v>Kulharia Agriculture Producer Company Limited</v>
          </cell>
          <cell r="E3293">
            <v>10140098</v>
          </cell>
          <cell r="F3293" t="str">
            <v>0021</v>
          </cell>
          <cell r="G3293">
            <v>2</v>
          </cell>
          <cell r="H3293">
            <v>9.17</v>
          </cell>
          <cell r="I3293">
            <v>415.48877496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P3293">
            <v>415</v>
          </cell>
          <cell r="V3293" t="str">
            <v>Available</v>
          </cell>
        </row>
        <row r="3294">
          <cell r="A3294" t="str">
            <v>101400980026</v>
          </cell>
          <cell r="B3294" t="str">
            <v>Dumraon</v>
          </cell>
          <cell r="C3294" t="str">
            <v>Dumraon</v>
          </cell>
          <cell r="D3294" t="str">
            <v>Kulharia Agriculture Producer Company Limited</v>
          </cell>
          <cell r="E3294">
            <v>10140098</v>
          </cell>
          <cell r="F3294" t="str">
            <v>0026</v>
          </cell>
          <cell r="G3294">
            <v>11</v>
          </cell>
          <cell r="H3294">
            <v>247.37</v>
          </cell>
          <cell r="I3294">
            <v>9025.3535023080003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P3294">
            <v>9025</v>
          </cell>
          <cell r="V3294" t="str">
            <v>Available</v>
          </cell>
        </row>
        <row r="3295">
          <cell r="A3295" t="str">
            <v>101400990002</v>
          </cell>
          <cell r="B3295" t="str">
            <v>Dumraon</v>
          </cell>
          <cell r="C3295" t="str">
            <v>Dumraon</v>
          </cell>
          <cell r="D3295" t="str">
            <v>Gomukh Dhakaich</v>
          </cell>
          <cell r="E3295">
            <v>10140099</v>
          </cell>
          <cell r="F3295" t="str">
            <v>0002</v>
          </cell>
          <cell r="G3295">
            <v>3</v>
          </cell>
          <cell r="H3295">
            <v>31.090000000000003</v>
          </cell>
          <cell r="I3295">
            <v>1039.5918791280001</v>
          </cell>
          <cell r="J3295">
            <v>0</v>
          </cell>
          <cell r="K3295">
            <v>0</v>
          </cell>
          <cell r="L3295">
            <v>1040</v>
          </cell>
          <cell r="M3295">
            <v>0</v>
          </cell>
          <cell r="P3295">
            <v>0</v>
          </cell>
          <cell r="V3295" t="str">
            <v>Available</v>
          </cell>
        </row>
        <row r="3296">
          <cell r="A3296" t="str">
            <v>101400990003</v>
          </cell>
          <cell r="B3296" t="str">
            <v>Dumraon</v>
          </cell>
          <cell r="C3296" t="str">
            <v>Dumraon</v>
          </cell>
          <cell r="D3296" t="str">
            <v>Gomukh Dhakaich</v>
          </cell>
          <cell r="E3296">
            <v>10140099</v>
          </cell>
          <cell r="F3296" t="str">
            <v>0003</v>
          </cell>
          <cell r="G3296">
            <v>11</v>
          </cell>
          <cell r="H3296">
            <v>49.589999999999996</v>
          </cell>
          <cell r="I3296">
            <v>1668.2100034248001</v>
          </cell>
          <cell r="J3296">
            <v>0</v>
          </cell>
          <cell r="K3296">
            <v>0</v>
          </cell>
          <cell r="L3296">
            <v>300</v>
          </cell>
          <cell r="M3296">
            <v>0</v>
          </cell>
          <cell r="P3296">
            <v>1368</v>
          </cell>
          <cell r="V3296" t="str">
            <v>Available</v>
          </cell>
        </row>
        <row r="3297">
          <cell r="A3297" t="str">
            <v>101400990005</v>
          </cell>
          <cell r="B3297" t="str">
            <v>Dumraon</v>
          </cell>
          <cell r="C3297" t="str">
            <v>Dumraon</v>
          </cell>
          <cell r="D3297" t="str">
            <v>Gomukh Dhakaich</v>
          </cell>
          <cell r="E3297">
            <v>10140099</v>
          </cell>
          <cell r="F3297" t="str">
            <v>0005</v>
          </cell>
          <cell r="G3297">
            <v>12</v>
          </cell>
          <cell r="H3297">
            <v>46.040000000000006</v>
          </cell>
          <cell r="I3297">
            <v>1577.9505734784002</v>
          </cell>
          <cell r="J3297">
            <v>0</v>
          </cell>
          <cell r="K3297">
            <v>0</v>
          </cell>
          <cell r="L3297">
            <v>300</v>
          </cell>
          <cell r="M3297">
            <v>0</v>
          </cell>
          <cell r="P3297">
            <v>1278</v>
          </cell>
          <cell r="V3297" t="str">
            <v>Available</v>
          </cell>
        </row>
        <row r="3298">
          <cell r="A3298" t="str">
            <v>101400990007</v>
          </cell>
          <cell r="B3298" t="str">
            <v>Dumraon</v>
          </cell>
          <cell r="C3298" t="str">
            <v>Dumraon</v>
          </cell>
          <cell r="D3298" t="str">
            <v>Gomukh Dhakaich</v>
          </cell>
          <cell r="E3298">
            <v>10140099</v>
          </cell>
          <cell r="F3298" t="str">
            <v>0007</v>
          </cell>
          <cell r="G3298">
            <v>12</v>
          </cell>
          <cell r="H3298">
            <v>62.750000000000007</v>
          </cell>
          <cell r="I3298">
            <v>2128.9044564216001</v>
          </cell>
          <cell r="J3298">
            <v>0</v>
          </cell>
          <cell r="K3298">
            <v>0</v>
          </cell>
          <cell r="L3298">
            <v>400</v>
          </cell>
          <cell r="M3298">
            <v>0</v>
          </cell>
          <cell r="P3298">
            <v>1729</v>
          </cell>
          <cell r="V3298" t="str">
            <v>Available</v>
          </cell>
        </row>
        <row r="3299">
          <cell r="A3299" t="str">
            <v>101400990011</v>
          </cell>
          <cell r="B3299" t="str">
            <v>Dumraon</v>
          </cell>
          <cell r="C3299" t="str">
            <v>Dumraon</v>
          </cell>
          <cell r="D3299" t="str">
            <v>Gomukh Dhakaich</v>
          </cell>
          <cell r="E3299">
            <v>10140099</v>
          </cell>
          <cell r="F3299" t="str">
            <v>0011</v>
          </cell>
          <cell r="G3299">
            <v>7</v>
          </cell>
          <cell r="H3299">
            <v>32.270000000000003</v>
          </cell>
          <cell r="I3299">
            <v>1117.1322906480002</v>
          </cell>
          <cell r="J3299">
            <v>0</v>
          </cell>
          <cell r="K3299">
            <v>0</v>
          </cell>
          <cell r="L3299">
            <v>614</v>
          </cell>
          <cell r="M3299">
            <v>0</v>
          </cell>
          <cell r="P3299">
            <v>503</v>
          </cell>
          <cell r="V3299" t="str">
            <v>Available</v>
          </cell>
        </row>
        <row r="3300">
          <cell r="A3300" t="str">
            <v>101400990012</v>
          </cell>
          <cell r="B3300" t="str">
            <v>Dumraon</v>
          </cell>
          <cell r="C3300" t="str">
            <v>Dumraon</v>
          </cell>
          <cell r="D3300" t="str">
            <v>Gomukh Dhakaich</v>
          </cell>
          <cell r="E3300">
            <v>10140099</v>
          </cell>
          <cell r="F3300" t="str">
            <v>0012</v>
          </cell>
          <cell r="G3300">
            <v>9</v>
          </cell>
          <cell r="H3300">
            <v>52.08</v>
          </cell>
          <cell r="I3300">
            <v>1771.7945657543999</v>
          </cell>
          <cell r="J3300">
            <v>0</v>
          </cell>
          <cell r="K3300">
            <v>0</v>
          </cell>
          <cell r="L3300">
            <v>300</v>
          </cell>
          <cell r="M3300">
            <v>0</v>
          </cell>
          <cell r="P3300">
            <v>1472</v>
          </cell>
          <cell r="V3300" t="str">
            <v>Available</v>
          </cell>
        </row>
        <row r="3301">
          <cell r="A3301" t="str">
            <v>101400990013</v>
          </cell>
          <cell r="B3301" t="str">
            <v>Dumraon</v>
          </cell>
          <cell r="C3301" t="str">
            <v>Dumraon</v>
          </cell>
          <cell r="D3301" t="str">
            <v>Gomukh Dhakaich</v>
          </cell>
          <cell r="E3301">
            <v>10140099</v>
          </cell>
          <cell r="F3301" t="str">
            <v>0013</v>
          </cell>
          <cell r="G3301">
            <v>10</v>
          </cell>
          <cell r="H3301">
            <v>31.57</v>
          </cell>
          <cell r="I3301">
            <v>1058.9015714112002</v>
          </cell>
          <cell r="J3301">
            <v>0</v>
          </cell>
          <cell r="K3301">
            <v>0</v>
          </cell>
          <cell r="L3301">
            <v>300</v>
          </cell>
          <cell r="M3301">
            <v>0</v>
          </cell>
          <cell r="P3301">
            <v>759</v>
          </cell>
          <cell r="V3301" t="str">
            <v>Available</v>
          </cell>
        </row>
        <row r="3302">
          <cell r="A3302" t="str">
            <v>101400990014</v>
          </cell>
          <cell r="B3302" t="str">
            <v>Dumraon</v>
          </cell>
          <cell r="C3302" t="str">
            <v>Dumraon</v>
          </cell>
          <cell r="D3302" t="str">
            <v>Gomukh Dhakaich</v>
          </cell>
          <cell r="E3302">
            <v>10140099</v>
          </cell>
          <cell r="F3302" t="str">
            <v>0014</v>
          </cell>
          <cell r="G3302">
            <v>2</v>
          </cell>
          <cell r="H3302">
            <v>5.68</v>
          </cell>
          <cell r="I3302">
            <v>174.77855722800004</v>
          </cell>
          <cell r="J3302">
            <v>0</v>
          </cell>
          <cell r="K3302">
            <v>0</v>
          </cell>
          <cell r="L3302">
            <v>174</v>
          </cell>
          <cell r="M3302">
            <v>0</v>
          </cell>
          <cell r="P3302">
            <v>1</v>
          </cell>
          <cell r="V3302" t="str">
            <v>Available</v>
          </cell>
        </row>
        <row r="3303">
          <cell r="A3303" t="str">
            <v>101400990016</v>
          </cell>
          <cell r="B3303" t="str">
            <v>Dumraon</v>
          </cell>
          <cell r="C3303" t="str">
            <v>Dumraon</v>
          </cell>
          <cell r="D3303" t="str">
            <v>Gomukh Dhakaich</v>
          </cell>
          <cell r="E3303">
            <v>10140099</v>
          </cell>
          <cell r="F3303" t="str">
            <v>0016</v>
          </cell>
          <cell r="G3303">
            <v>1</v>
          </cell>
          <cell r="H3303">
            <v>4.0599999999999996</v>
          </cell>
          <cell r="I3303">
            <v>150.06204813600002</v>
          </cell>
          <cell r="J3303">
            <v>0</v>
          </cell>
          <cell r="K3303">
            <v>0</v>
          </cell>
          <cell r="L3303">
            <v>150</v>
          </cell>
          <cell r="M3303">
            <v>0</v>
          </cell>
          <cell r="P3303">
            <v>0</v>
          </cell>
          <cell r="V3303" t="str">
            <v>Available</v>
          </cell>
        </row>
        <row r="3304">
          <cell r="A3304" t="str">
            <v>101401200001</v>
          </cell>
          <cell r="B3304" t="str">
            <v>Dumraon</v>
          </cell>
          <cell r="C3304" t="str">
            <v>Dumraon</v>
          </cell>
          <cell r="D3304" t="str">
            <v>Gomukh Sikraul Lakh</v>
          </cell>
          <cell r="E3304">
            <v>10140120</v>
          </cell>
          <cell r="F3304" t="str">
            <v>0001</v>
          </cell>
          <cell r="G3304">
            <v>11</v>
          </cell>
          <cell r="H3304">
            <v>4.9000000000000004</v>
          </cell>
          <cell r="I3304">
            <v>183.56959961999999</v>
          </cell>
          <cell r="J3304">
            <v>0</v>
          </cell>
          <cell r="K3304">
            <v>183.56959961999999</v>
          </cell>
          <cell r="L3304">
            <v>0</v>
          </cell>
          <cell r="M3304">
            <v>0</v>
          </cell>
          <cell r="P3304">
            <v>0</v>
          </cell>
          <cell r="V3304" t="str">
            <v>Not Available</v>
          </cell>
        </row>
        <row r="3305">
          <cell r="A3305" t="str">
            <v>101401200002</v>
          </cell>
          <cell r="B3305" t="str">
            <v>Dumraon</v>
          </cell>
          <cell r="C3305" t="str">
            <v>Dumraon</v>
          </cell>
          <cell r="D3305" t="str">
            <v>Gomukh Sikraul Lakh</v>
          </cell>
          <cell r="E3305">
            <v>10140120</v>
          </cell>
          <cell r="F3305" t="str">
            <v>0002</v>
          </cell>
          <cell r="G3305">
            <v>5</v>
          </cell>
          <cell r="H3305">
            <v>160.49</v>
          </cell>
          <cell r="I3305">
            <v>6625.2867745680005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P3305">
            <v>6625</v>
          </cell>
          <cell r="V3305" t="str">
            <v>Available</v>
          </cell>
        </row>
        <row r="3306">
          <cell r="A3306" t="str">
            <v>101401200004</v>
          </cell>
          <cell r="B3306" t="str">
            <v>Dumraon</v>
          </cell>
          <cell r="C3306" t="str">
            <v>Dumraon</v>
          </cell>
          <cell r="D3306" t="str">
            <v>Gomukh Sikraul Lakh</v>
          </cell>
          <cell r="E3306">
            <v>10140120</v>
          </cell>
          <cell r="F3306" t="str">
            <v>0004</v>
          </cell>
          <cell r="G3306">
            <v>7</v>
          </cell>
          <cell r="H3306">
            <v>205.67</v>
          </cell>
          <cell r="I3306">
            <v>7589.7141027840007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P3306">
            <v>7590</v>
          </cell>
          <cell r="V3306" t="str">
            <v>Available</v>
          </cell>
        </row>
        <row r="3307">
          <cell r="A3307" t="str">
            <v>101401260001</v>
          </cell>
          <cell r="B3307" t="str">
            <v>Dumraon</v>
          </cell>
          <cell r="C3307" t="str">
            <v>Dumraon</v>
          </cell>
          <cell r="D3307" t="str">
            <v>Gomukh Dafadihari</v>
          </cell>
          <cell r="E3307">
            <v>10140126</v>
          </cell>
          <cell r="F3307" t="str">
            <v>0001</v>
          </cell>
          <cell r="G3307">
            <v>11</v>
          </cell>
          <cell r="H3307">
            <v>2.1999999999999997</v>
          </cell>
          <cell r="I3307">
            <v>86.831981279999994</v>
          </cell>
          <cell r="J3307">
            <v>0</v>
          </cell>
          <cell r="K3307">
            <v>86.831981279999994</v>
          </cell>
          <cell r="L3307">
            <v>0</v>
          </cell>
          <cell r="M3307">
            <v>0</v>
          </cell>
          <cell r="P3307">
            <v>0</v>
          </cell>
          <cell r="V3307" t="str">
            <v>Not Available</v>
          </cell>
        </row>
        <row r="3308">
          <cell r="A3308" t="str">
            <v>101401260003</v>
          </cell>
          <cell r="B3308" t="str">
            <v>Dumraon</v>
          </cell>
          <cell r="C3308" t="str">
            <v>Dumraon</v>
          </cell>
          <cell r="D3308" t="str">
            <v>Gomukh Dafadihari</v>
          </cell>
          <cell r="E3308">
            <v>10140126</v>
          </cell>
          <cell r="F3308" t="str">
            <v>0003</v>
          </cell>
          <cell r="G3308">
            <v>13</v>
          </cell>
          <cell r="H3308">
            <v>44.2</v>
          </cell>
          <cell r="I3308">
            <v>1610.1825810840003</v>
          </cell>
          <cell r="J3308">
            <v>0</v>
          </cell>
          <cell r="K3308">
            <v>0</v>
          </cell>
          <cell r="L3308">
            <v>170</v>
          </cell>
          <cell r="M3308">
            <v>0</v>
          </cell>
          <cell r="P3308">
            <v>1440</v>
          </cell>
          <cell r="V3308" t="str">
            <v>Available</v>
          </cell>
        </row>
        <row r="3309">
          <cell r="A3309" t="str">
            <v>101401260011</v>
          </cell>
          <cell r="B3309" t="str">
            <v>Dumraon</v>
          </cell>
          <cell r="C3309" t="str">
            <v>Dumraon</v>
          </cell>
          <cell r="D3309" t="str">
            <v>Gomukh Dafadihari</v>
          </cell>
          <cell r="E3309">
            <v>10140126</v>
          </cell>
          <cell r="F3309" t="str">
            <v>0011</v>
          </cell>
          <cell r="G3309">
            <v>10</v>
          </cell>
          <cell r="H3309">
            <v>15.85</v>
          </cell>
          <cell r="I3309">
            <v>692.28632918903998</v>
          </cell>
          <cell r="J3309">
            <v>0</v>
          </cell>
          <cell r="K3309">
            <v>0</v>
          </cell>
          <cell r="L3309">
            <v>60</v>
          </cell>
          <cell r="M3309">
            <v>0</v>
          </cell>
          <cell r="P3309">
            <v>632</v>
          </cell>
          <cell r="V3309" t="str">
            <v>Available</v>
          </cell>
        </row>
        <row r="3310">
          <cell r="A3310" t="str">
            <v>101401260026</v>
          </cell>
          <cell r="B3310" t="str">
            <v>Dumraon</v>
          </cell>
          <cell r="C3310" t="str">
            <v>Dumraon</v>
          </cell>
          <cell r="D3310" t="str">
            <v>Gomukh Dafadihari</v>
          </cell>
          <cell r="E3310">
            <v>10140126</v>
          </cell>
          <cell r="F3310" t="str">
            <v>0026</v>
          </cell>
          <cell r="G3310">
            <v>1</v>
          </cell>
          <cell r="H3310">
            <v>2.2000000000000002</v>
          </cell>
          <cell r="I3310">
            <v>75.215836080000017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P3310">
            <v>75</v>
          </cell>
          <cell r="V3310" t="str">
            <v>Available</v>
          </cell>
        </row>
        <row r="3311">
          <cell r="A3311" t="str">
            <v>101401260027</v>
          </cell>
          <cell r="B3311" t="str">
            <v>Dumraon</v>
          </cell>
          <cell r="C3311" t="str">
            <v>Dumraon</v>
          </cell>
          <cell r="D3311" t="str">
            <v>Gomukh Dafadihari</v>
          </cell>
          <cell r="E3311">
            <v>10140126</v>
          </cell>
          <cell r="F3311" t="str">
            <v>0027</v>
          </cell>
          <cell r="G3311">
            <v>12</v>
          </cell>
          <cell r="H3311">
            <v>55.8</v>
          </cell>
          <cell r="I3311">
            <v>2069.830681425</v>
          </cell>
          <cell r="J3311">
            <v>0</v>
          </cell>
          <cell r="K3311">
            <v>0</v>
          </cell>
          <cell r="L3311">
            <v>150</v>
          </cell>
          <cell r="M3311">
            <v>0</v>
          </cell>
          <cell r="P3311">
            <v>1920</v>
          </cell>
          <cell r="V3311" t="str">
            <v>Available</v>
          </cell>
        </row>
        <row r="3312">
          <cell r="A3312" t="str">
            <v>101401260032</v>
          </cell>
          <cell r="B3312" t="str">
            <v>Dumraon</v>
          </cell>
          <cell r="C3312" t="str">
            <v>Dumraon</v>
          </cell>
          <cell r="D3312" t="str">
            <v>Gomukh Dafadihari</v>
          </cell>
          <cell r="E3312">
            <v>10140126</v>
          </cell>
          <cell r="F3312" t="str">
            <v>0032</v>
          </cell>
          <cell r="G3312">
            <v>6</v>
          </cell>
          <cell r="H3312">
            <v>8.3099999999999987</v>
          </cell>
          <cell r="I3312">
            <v>321.0473460645</v>
          </cell>
          <cell r="J3312">
            <v>0</v>
          </cell>
          <cell r="K3312">
            <v>0</v>
          </cell>
          <cell r="L3312">
            <v>50</v>
          </cell>
          <cell r="M3312">
            <v>0</v>
          </cell>
          <cell r="P3312">
            <v>271</v>
          </cell>
          <cell r="V3312" t="str">
            <v>Available</v>
          </cell>
        </row>
        <row r="3313">
          <cell r="A3313" t="str">
            <v>101401260034</v>
          </cell>
          <cell r="B3313" t="str">
            <v>Dumraon</v>
          </cell>
          <cell r="C3313" t="str">
            <v>Dumraon</v>
          </cell>
          <cell r="D3313" t="str">
            <v>Gomukh Dafadihari</v>
          </cell>
          <cell r="E3313">
            <v>10140126</v>
          </cell>
          <cell r="F3313" t="str">
            <v>0034</v>
          </cell>
          <cell r="G3313">
            <v>5</v>
          </cell>
          <cell r="H3313">
            <v>10.600000000000001</v>
          </cell>
          <cell r="I3313">
            <v>359.83771956000004</v>
          </cell>
          <cell r="J3313">
            <v>0</v>
          </cell>
          <cell r="K3313">
            <v>0</v>
          </cell>
          <cell r="L3313">
            <v>50</v>
          </cell>
          <cell r="M3313">
            <v>0</v>
          </cell>
          <cell r="P3313">
            <v>310</v>
          </cell>
          <cell r="V3313" t="str">
            <v>Available</v>
          </cell>
        </row>
        <row r="3314">
          <cell r="A3314" t="str">
            <v>101401290002</v>
          </cell>
          <cell r="B3314" t="str">
            <v>Dumraon</v>
          </cell>
          <cell r="C3314" t="str">
            <v>Dumraon</v>
          </cell>
          <cell r="D3314" t="str">
            <v>Gomukh Paharpur</v>
          </cell>
          <cell r="E3314">
            <v>10140129</v>
          </cell>
          <cell r="F3314" t="str">
            <v>0002</v>
          </cell>
          <cell r="G3314">
            <v>1</v>
          </cell>
          <cell r="H3314">
            <v>158.5</v>
          </cell>
          <cell r="I3314">
            <v>5481.7313760000006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P3314">
            <v>5482</v>
          </cell>
          <cell r="V3314" t="str">
            <v>Available</v>
          </cell>
        </row>
        <row r="3315">
          <cell r="A3315" t="str">
            <v>101401310002</v>
          </cell>
          <cell r="B3315" t="str">
            <v>Dumraon</v>
          </cell>
          <cell r="C3315" t="str">
            <v>Dumraon</v>
          </cell>
          <cell r="D3315" t="str">
            <v>Gomukh Basaon Kalan</v>
          </cell>
          <cell r="E3315">
            <v>10140131</v>
          </cell>
          <cell r="F3315" t="str">
            <v>0002</v>
          </cell>
          <cell r="G3315">
            <v>4</v>
          </cell>
          <cell r="H3315">
            <v>217.60000000000002</v>
          </cell>
          <cell r="I3315">
            <v>8533.4744761200018</v>
          </cell>
          <cell r="J3315">
            <v>0</v>
          </cell>
          <cell r="K3315">
            <v>0</v>
          </cell>
          <cell r="L3315">
            <v>140</v>
          </cell>
          <cell r="M3315">
            <v>0</v>
          </cell>
          <cell r="P3315">
            <v>8393</v>
          </cell>
          <cell r="V3315" t="str">
            <v>Available</v>
          </cell>
        </row>
        <row r="3316">
          <cell r="A3316" t="str">
            <v>101401320001</v>
          </cell>
          <cell r="B3316" t="str">
            <v>Dumraon</v>
          </cell>
          <cell r="C3316" t="str">
            <v>Dumraon</v>
          </cell>
          <cell r="D3316" t="str">
            <v>Gomukh Mangolpur</v>
          </cell>
          <cell r="E3316">
            <v>10140132</v>
          </cell>
          <cell r="F3316" t="str">
            <v>0001</v>
          </cell>
          <cell r="G3316">
            <v>14</v>
          </cell>
          <cell r="H3316">
            <v>4.5999999999999996</v>
          </cell>
          <cell r="I3316">
            <v>154.95976188000003</v>
          </cell>
          <cell r="J3316">
            <v>0</v>
          </cell>
          <cell r="K3316">
            <v>154.95976188000003</v>
          </cell>
          <cell r="L3316">
            <v>0</v>
          </cell>
          <cell r="M3316">
            <v>0</v>
          </cell>
          <cell r="P3316">
            <v>0</v>
          </cell>
          <cell r="V3316" t="str">
            <v>Not Available</v>
          </cell>
        </row>
        <row r="3317">
          <cell r="A3317" t="str">
            <v>101401320002</v>
          </cell>
          <cell r="B3317" t="str">
            <v>Dumraon</v>
          </cell>
          <cell r="C3317" t="str">
            <v>Dumraon</v>
          </cell>
          <cell r="D3317" t="str">
            <v>Gomukh Mangolpur</v>
          </cell>
          <cell r="E3317">
            <v>10140132</v>
          </cell>
          <cell r="F3317" t="str">
            <v>0002</v>
          </cell>
          <cell r="G3317">
            <v>14</v>
          </cell>
          <cell r="H3317">
            <v>15.899999999999999</v>
          </cell>
          <cell r="I3317">
            <v>626.4782473531202</v>
          </cell>
          <cell r="J3317">
            <v>0</v>
          </cell>
          <cell r="K3317">
            <v>0</v>
          </cell>
          <cell r="L3317">
            <v>263</v>
          </cell>
          <cell r="M3317">
            <v>0</v>
          </cell>
          <cell r="P3317">
            <v>363</v>
          </cell>
          <cell r="V3317" t="str">
            <v>Available</v>
          </cell>
        </row>
        <row r="3318">
          <cell r="A3318" t="str">
            <v>101401320007</v>
          </cell>
          <cell r="B3318" t="str">
            <v>Dumraon</v>
          </cell>
          <cell r="C3318" t="str">
            <v>Dumraon</v>
          </cell>
          <cell r="D3318" t="str">
            <v>Gomukh Mangolpur</v>
          </cell>
          <cell r="E3318">
            <v>10140132</v>
          </cell>
          <cell r="F3318" t="str">
            <v>0007</v>
          </cell>
          <cell r="G3318">
            <v>8</v>
          </cell>
          <cell r="H3318">
            <v>21</v>
          </cell>
          <cell r="I3318">
            <v>668.66755824000018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P3318">
            <v>669</v>
          </cell>
          <cell r="V3318" t="str">
            <v>Available</v>
          </cell>
        </row>
        <row r="3319">
          <cell r="A3319" t="str">
            <v>101401320009</v>
          </cell>
          <cell r="B3319" t="str">
            <v>Dumraon</v>
          </cell>
          <cell r="C3319" t="str">
            <v>Dumraon</v>
          </cell>
          <cell r="D3319" t="str">
            <v>Gomukh Mangolpur</v>
          </cell>
          <cell r="E3319">
            <v>10140132</v>
          </cell>
          <cell r="F3319" t="str">
            <v>0009</v>
          </cell>
          <cell r="G3319">
            <v>5</v>
          </cell>
          <cell r="H3319">
            <v>6.4</v>
          </cell>
          <cell r="I3319">
            <v>232.65691416000001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P3319">
            <v>233</v>
          </cell>
          <cell r="V3319" t="str">
            <v>Available</v>
          </cell>
        </row>
        <row r="3320">
          <cell r="A3320" t="str">
            <v>101401320013</v>
          </cell>
          <cell r="B3320" t="str">
            <v>Dumraon</v>
          </cell>
          <cell r="C3320" t="str">
            <v>Dumraon</v>
          </cell>
          <cell r="D3320" t="str">
            <v>Gomukh Mangolpur</v>
          </cell>
          <cell r="E3320">
            <v>10140132</v>
          </cell>
          <cell r="F3320" t="str">
            <v>0013</v>
          </cell>
          <cell r="G3320">
            <v>14</v>
          </cell>
          <cell r="H3320">
            <v>55.1</v>
          </cell>
          <cell r="I3320">
            <v>1751.1655898880001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P3320">
            <v>1751</v>
          </cell>
          <cell r="V3320" t="str">
            <v>Available</v>
          </cell>
        </row>
        <row r="3321">
          <cell r="A3321" t="str">
            <v>101401320014</v>
          </cell>
          <cell r="B3321" t="str">
            <v>Dumraon</v>
          </cell>
          <cell r="C3321" t="str">
            <v>Dumraon</v>
          </cell>
          <cell r="D3321" t="str">
            <v>Gomukh Mangolpur</v>
          </cell>
          <cell r="E3321">
            <v>10140132</v>
          </cell>
          <cell r="F3321" t="str">
            <v>0014</v>
          </cell>
          <cell r="G3321">
            <v>14</v>
          </cell>
          <cell r="H3321">
            <v>64.2</v>
          </cell>
          <cell r="I3321">
            <v>2496.2921379379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P3321">
            <v>2496</v>
          </cell>
          <cell r="V3321" t="str">
            <v>Available</v>
          </cell>
        </row>
        <row r="3322">
          <cell r="A3322" t="str">
            <v>101401320018</v>
          </cell>
          <cell r="B3322" t="str">
            <v>Dumraon</v>
          </cell>
          <cell r="C3322" t="str">
            <v>Dumraon</v>
          </cell>
          <cell r="D3322" t="str">
            <v>Gomukh Mangolpur</v>
          </cell>
          <cell r="E3322">
            <v>10140132</v>
          </cell>
          <cell r="F3322" t="str">
            <v>0018</v>
          </cell>
          <cell r="G3322">
            <v>5</v>
          </cell>
          <cell r="H3322">
            <v>14.4</v>
          </cell>
          <cell r="I3322">
            <v>488.30968296000003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P3322">
            <v>488</v>
          </cell>
          <cell r="V3322" t="str">
            <v>Available</v>
          </cell>
        </row>
        <row r="3323">
          <cell r="A3323" t="str">
            <v>101401320020</v>
          </cell>
          <cell r="B3323" t="str">
            <v>Dumraon</v>
          </cell>
          <cell r="C3323" t="str">
            <v>Dumraon</v>
          </cell>
          <cell r="D3323" t="str">
            <v>Gomukh Mangolpur</v>
          </cell>
          <cell r="E3323">
            <v>10140132</v>
          </cell>
          <cell r="F3323" t="str">
            <v>0020</v>
          </cell>
          <cell r="G3323">
            <v>14</v>
          </cell>
          <cell r="H3323">
            <v>75.900000000000006</v>
          </cell>
          <cell r="I3323">
            <v>2465.5393501200006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P3323">
            <v>2466</v>
          </cell>
          <cell r="V3323" t="str">
            <v>Available</v>
          </cell>
        </row>
        <row r="3324">
          <cell r="A3324" t="str">
            <v>101401320021</v>
          </cell>
          <cell r="B3324" t="str">
            <v>Dumraon</v>
          </cell>
          <cell r="C3324" t="str">
            <v>Dumraon</v>
          </cell>
          <cell r="D3324" t="str">
            <v>Gomukh Mangolpur</v>
          </cell>
          <cell r="E3324">
            <v>10140132</v>
          </cell>
          <cell r="F3324" t="str">
            <v>0021</v>
          </cell>
          <cell r="G3324">
            <v>7</v>
          </cell>
          <cell r="H3324">
            <v>9.2000000000000011</v>
          </cell>
          <cell r="I3324">
            <v>486.64244053280004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P3324">
            <v>487</v>
          </cell>
          <cell r="V3324" t="str">
            <v>Available</v>
          </cell>
        </row>
        <row r="3325">
          <cell r="A3325" t="str">
            <v>101401320031</v>
          </cell>
          <cell r="B3325" t="str">
            <v>Dumraon</v>
          </cell>
          <cell r="C3325" t="str">
            <v>Dumraon</v>
          </cell>
          <cell r="D3325" t="str">
            <v>Gomukh Mangolpur</v>
          </cell>
          <cell r="E3325">
            <v>10140132</v>
          </cell>
          <cell r="F3325" t="str">
            <v>0031</v>
          </cell>
          <cell r="G3325">
            <v>1</v>
          </cell>
          <cell r="H3325">
            <v>2</v>
          </cell>
          <cell r="I3325">
            <v>53.857584000000003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P3325">
            <v>54</v>
          </cell>
          <cell r="V3325" t="str">
            <v>Available</v>
          </cell>
        </row>
        <row r="3326">
          <cell r="A3326" t="str">
            <v>101401350002</v>
          </cell>
          <cell r="B3326" t="str">
            <v>Dumraon</v>
          </cell>
          <cell r="C3326" t="str">
            <v>Dumraon</v>
          </cell>
          <cell r="D3326" t="str">
            <v>Gomukh Dhanipur</v>
          </cell>
          <cell r="E3326">
            <v>10140135</v>
          </cell>
          <cell r="F3326" t="str">
            <v>0002</v>
          </cell>
          <cell r="G3326">
            <v>13</v>
          </cell>
          <cell r="H3326">
            <v>276.93</v>
          </cell>
          <cell r="I3326">
            <v>10143.413751636001</v>
          </cell>
          <cell r="J3326">
            <v>0</v>
          </cell>
          <cell r="K3326">
            <v>0</v>
          </cell>
          <cell r="L3326">
            <v>346</v>
          </cell>
          <cell r="M3326">
            <v>0</v>
          </cell>
          <cell r="P3326">
            <v>9797</v>
          </cell>
          <cell r="V3326" t="str">
            <v>Available</v>
          </cell>
        </row>
        <row r="3327">
          <cell r="A3327" t="str">
            <v>101401350010</v>
          </cell>
          <cell r="B3327" t="str">
            <v>Dumraon</v>
          </cell>
          <cell r="C3327" t="str">
            <v>Dumraon</v>
          </cell>
          <cell r="D3327" t="str">
            <v>Gomukh Dhanipur</v>
          </cell>
          <cell r="E3327">
            <v>10140135</v>
          </cell>
          <cell r="F3327" t="str">
            <v>0010</v>
          </cell>
          <cell r="G3327">
            <v>2</v>
          </cell>
          <cell r="H3327">
            <v>5.57</v>
          </cell>
          <cell r="I3327">
            <v>259.64153900311004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P3327">
            <v>260</v>
          </cell>
          <cell r="V3327" t="str">
            <v>Available</v>
          </cell>
        </row>
        <row r="3328">
          <cell r="A3328" t="str">
            <v>101401370002</v>
          </cell>
          <cell r="B3328" t="str">
            <v>Dumraon</v>
          </cell>
          <cell r="C3328" t="str">
            <v>Dumraon</v>
          </cell>
          <cell r="D3328" t="str">
            <v>Gomukh Rakshanagar_tola</v>
          </cell>
          <cell r="E3328">
            <v>10140137</v>
          </cell>
          <cell r="F3328" t="str">
            <v>0002</v>
          </cell>
          <cell r="G3328">
            <v>8</v>
          </cell>
          <cell r="H3328">
            <v>213.2</v>
          </cell>
          <cell r="I3328">
            <v>7044.8327065600006</v>
          </cell>
          <cell r="J3328">
            <v>0</v>
          </cell>
          <cell r="K3328">
            <v>0</v>
          </cell>
          <cell r="L3328">
            <v>3297</v>
          </cell>
          <cell r="M3328">
            <v>0</v>
          </cell>
          <cell r="P3328">
            <v>3748</v>
          </cell>
          <cell r="V3328" t="str">
            <v>Available</v>
          </cell>
        </row>
        <row r="3329">
          <cell r="A3329" t="str">
            <v>101401370004</v>
          </cell>
          <cell r="B3329" t="str">
            <v>Dumraon</v>
          </cell>
          <cell r="C3329" t="str">
            <v>Dumraon</v>
          </cell>
          <cell r="D3329" t="str">
            <v>Gomukh Rakshanagar_tola</v>
          </cell>
          <cell r="E3329">
            <v>10140137</v>
          </cell>
          <cell r="F3329" t="str">
            <v>0004</v>
          </cell>
          <cell r="G3329">
            <v>12</v>
          </cell>
          <cell r="H3329">
            <v>280</v>
          </cell>
          <cell r="I3329">
            <v>12230.962707771401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P3329">
            <v>12231</v>
          </cell>
          <cell r="V3329" t="str">
            <v>Available</v>
          </cell>
        </row>
        <row r="3330">
          <cell r="A3330" t="str">
            <v>101401370005</v>
          </cell>
          <cell r="B3330" t="str">
            <v>Dumraon</v>
          </cell>
          <cell r="C3330" t="str">
            <v>Dumraon</v>
          </cell>
          <cell r="D3330" t="str">
            <v>Gomukh Rakshanagar_tola</v>
          </cell>
          <cell r="E3330">
            <v>10140137</v>
          </cell>
          <cell r="F3330" t="str">
            <v>0005</v>
          </cell>
          <cell r="G3330">
            <v>1</v>
          </cell>
          <cell r="H3330">
            <v>3.1</v>
          </cell>
          <cell r="I3330">
            <v>177.68250094279998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P3330">
            <v>178</v>
          </cell>
          <cell r="V3330" t="str">
            <v>Available</v>
          </cell>
        </row>
        <row r="3331">
          <cell r="A3331" t="str">
            <v>101401370006</v>
          </cell>
          <cell r="B3331" t="str">
            <v>Dumraon</v>
          </cell>
          <cell r="C3331" t="str">
            <v>Dumraon</v>
          </cell>
          <cell r="D3331" t="str">
            <v>Gomukh Rakshanagar_tola</v>
          </cell>
          <cell r="E3331">
            <v>10140137</v>
          </cell>
          <cell r="F3331" t="str">
            <v>0006</v>
          </cell>
          <cell r="G3331">
            <v>6</v>
          </cell>
          <cell r="H3331">
            <v>106.70000000000002</v>
          </cell>
          <cell r="I3331">
            <v>4779.5764902542996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P3331">
            <v>4780</v>
          </cell>
          <cell r="V3331" t="str">
            <v>Available</v>
          </cell>
        </row>
        <row r="3332">
          <cell r="A3332" t="str">
            <v>101401390001</v>
          </cell>
          <cell r="B3332" t="str">
            <v>Dumraon</v>
          </cell>
          <cell r="C3332" t="str">
            <v>Dumraon</v>
          </cell>
          <cell r="D3332" t="str">
            <v>Gomukh Nadaon</v>
          </cell>
          <cell r="E3332">
            <v>10140139</v>
          </cell>
          <cell r="F3332" t="str">
            <v>0001</v>
          </cell>
          <cell r="G3332">
            <v>6</v>
          </cell>
          <cell r="H3332">
            <v>2.4</v>
          </cell>
          <cell r="I3332">
            <v>99.477892800000006</v>
          </cell>
          <cell r="J3332">
            <v>0</v>
          </cell>
          <cell r="K3332">
            <v>99.477892800000006</v>
          </cell>
          <cell r="L3332">
            <v>0</v>
          </cell>
          <cell r="M3332">
            <v>0</v>
          </cell>
          <cell r="P3332">
            <v>0</v>
          </cell>
          <cell r="V3332" t="str">
            <v>Not Available</v>
          </cell>
        </row>
        <row r="3333">
          <cell r="A3333" t="str">
            <v>101401390002</v>
          </cell>
          <cell r="B3333" t="str">
            <v>Dumraon</v>
          </cell>
          <cell r="C3333" t="str">
            <v>Dumraon</v>
          </cell>
          <cell r="D3333" t="str">
            <v>Gomukh Nadaon</v>
          </cell>
          <cell r="E3333">
            <v>10140139</v>
          </cell>
          <cell r="F3333" t="str">
            <v>0002</v>
          </cell>
          <cell r="G3333">
            <v>7</v>
          </cell>
          <cell r="H3333">
            <v>79.7</v>
          </cell>
          <cell r="I3333">
            <v>3176.7740334000005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P3333">
            <v>3177</v>
          </cell>
          <cell r="V3333" t="str">
            <v>Available</v>
          </cell>
        </row>
        <row r="3334">
          <cell r="A3334" t="str">
            <v>101401520002</v>
          </cell>
          <cell r="B3334" t="str">
            <v>Dumraon</v>
          </cell>
          <cell r="C3334" t="str">
            <v>Dumraon</v>
          </cell>
          <cell r="D3334" t="str">
            <v>Gomukh Badkagaon Yamunatola</v>
          </cell>
          <cell r="E3334">
            <v>10140152</v>
          </cell>
          <cell r="F3334" t="str">
            <v>0002</v>
          </cell>
          <cell r="G3334">
            <v>3</v>
          </cell>
          <cell r="H3334">
            <v>48.800000000000004</v>
          </cell>
          <cell r="I3334">
            <v>1793.8305807840002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P3334">
            <v>1794</v>
          </cell>
          <cell r="V3334" t="str">
            <v>Available</v>
          </cell>
        </row>
        <row r="3335">
          <cell r="A3335" t="str">
            <v>101401530002</v>
          </cell>
          <cell r="B3335" t="str">
            <v>Dumraon</v>
          </cell>
          <cell r="C3335" t="str">
            <v>Dumraon</v>
          </cell>
          <cell r="D3335" t="str">
            <v>Gomukh Bramhpur</v>
          </cell>
          <cell r="E3335">
            <v>10140153</v>
          </cell>
          <cell r="F3335" t="str">
            <v>0002</v>
          </cell>
          <cell r="G3335">
            <v>7</v>
          </cell>
          <cell r="H3335">
            <v>134.35</v>
          </cell>
          <cell r="I3335">
            <v>5399.7200700887406</v>
          </cell>
          <cell r="J3335">
            <v>0</v>
          </cell>
          <cell r="K3335">
            <v>0</v>
          </cell>
          <cell r="L3335">
            <v>1004</v>
          </cell>
          <cell r="M3335">
            <v>0</v>
          </cell>
          <cell r="P3335">
            <v>4396</v>
          </cell>
          <cell r="V3335" t="str">
            <v>Available</v>
          </cell>
        </row>
        <row r="3336">
          <cell r="A3336" t="str">
            <v>101401560001</v>
          </cell>
          <cell r="B3336" t="str">
            <v>Dumraon</v>
          </cell>
          <cell r="C3336" t="str">
            <v>Dumraon</v>
          </cell>
          <cell r="D3336" t="str">
            <v>Gomukh Mashariya</v>
          </cell>
          <cell r="E3336">
            <v>10140156</v>
          </cell>
          <cell r="F3336" t="str">
            <v>0001</v>
          </cell>
          <cell r="G3336">
            <v>3</v>
          </cell>
          <cell r="H3336">
            <v>8.01</v>
          </cell>
          <cell r="I3336">
            <v>336.66441727300003</v>
          </cell>
          <cell r="J3336">
            <v>0</v>
          </cell>
          <cell r="K3336">
            <v>336.66441727300003</v>
          </cell>
          <cell r="L3336">
            <v>0</v>
          </cell>
          <cell r="M3336">
            <v>0</v>
          </cell>
          <cell r="P3336">
            <v>0</v>
          </cell>
          <cell r="V3336" t="str">
            <v>Not Available</v>
          </cell>
        </row>
        <row r="3337">
          <cell r="A3337" t="str">
            <v>101401560002</v>
          </cell>
          <cell r="B3337" t="str">
            <v>Dumraon</v>
          </cell>
          <cell r="C3337" t="str">
            <v>Dumraon</v>
          </cell>
          <cell r="D3337" t="str">
            <v>Gomukh Mashariya</v>
          </cell>
          <cell r="E3337">
            <v>10140156</v>
          </cell>
          <cell r="F3337" t="str">
            <v>0002</v>
          </cell>
          <cell r="G3337">
            <v>4</v>
          </cell>
          <cell r="H3337">
            <v>331.86</v>
          </cell>
          <cell r="I3337">
            <v>14788.996515350955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P3337">
            <v>14789</v>
          </cell>
          <cell r="V3337" t="str">
            <v>Available</v>
          </cell>
        </row>
        <row r="3338">
          <cell r="A3338" t="str">
            <v>101401560035</v>
          </cell>
          <cell r="B3338" t="str">
            <v>Dumraon</v>
          </cell>
          <cell r="C3338" t="str">
            <v>Dumraon</v>
          </cell>
          <cell r="D3338" t="str">
            <v>Gomukh Mashariya</v>
          </cell>
          <cell r="E3338">
            <v>10140156</v>
          </cell>
          <cell r="F3338" t="str">
            <v>0035</v>
          </cell>
          <cell r="G3338">
            <v>1</v>
          </cell>
          <cell r="H3338">
            <v>2.23</v>
          </cell>
          <cell r="I3338">
            <v>137.69747409735999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P3338">
            <v>138</v>
          </cell>
          <cell r="V3338" t="str">
            <v>Available</v>
          </cell>
        </row>
        <row r="3339">
          <cell r="A3339" t="str">
            <v>101401660002</v>
          </cell>
          <cell r="B3339" t="str">
            <v>Dumraon</v>
          </cell>
          <cell r="C3339" t="str">
            <v>Dumraon</v>
          </cell>
          <cell r="D3339" t="str">
            <v>Gomukh KritSagar</v>
          </cell>
          <cell r="E3339">
            <v>10140166</v>
          </cell>
          <cell r="F3339" t="str">
            <v>0002</v>
          </cell>
          <cell r="G3339">
            <v>1</v>
          </cell>
          <cell r="H3339">
            <v>346</v>
          </cell>
          <cell r="I3339">
            <v>13930.348212000001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P3339">
            <v>13930</v>
          </cell>
          <cell r="V3339" t="str">
            <v>Available</v>
          </cell>
        </row>
        <row r="3340">
          <cell r="A3340" t="str">
            <v>101401700002</v>
          </cell>
          <cell r="B3340" t="str">
            <v>Dumraon</v>
          </cell>
          <cell r="C3340" t="str">
            <v>Dumraon</v>
          </cell>
          <cell r="D3340" t="str">
            <v>Gomukh Ataon</v>
          </cell>
          <cell r="E3340">
            <v>10140170</v>
          </cell>
          <cell r="F3340" t="str">
            <v>0002</v>
          </cell>
          <cell r="G3340">
            <v>2</v>
          </cell>
          <cell r="H3340">
            <v>202.62</v>
          </cell>
          <cell r="I3340">
            <v>8934.4367069808013</v>
          </cell>
          <cell r="J3340">
            <v>0</v>
          </cell>
          <cell r="K3340">
            <v>0</v>
          </cell>
          <cell r="L3340">
            <v>4029</v>
          </cell>
          <cell r="M3340">
            <v>0</v>
          </cell>
          <cell r="P3340">
            <v>4905</v>
          </cell>
          <cell r="V3340" t="str">
            <v>Available</v>
          </cell>
        </row>
        <row r="3341">
          <cell r="A3341" t="str">
            <v>101401700005</v>
          </cell>
          <cell r="B3341" t="str">
            <v>Dumraon</v>
          </cell>
          <cell r="C3341" t="str">
            <v>Dumraon</v>
          </cell>
          <cell r="D3341" t="str">
            <v>Gomukh Ataon</v>
          </cell>
          <cell r="E3341">
            <v>10140170</v>
          </cell>
          <cell r="F3341" t="str">
            <v>0005</v>
          </cell>
          <cell r="G3341">
            <v>11</v>
          </cell>
          <cell r="H3341">
            <v>491.6400000000001</v>
          </cell>
          <cell r="I3341">
            <v>20669.640869446735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P3341">
            <v>20670</v>
          </cell>
          <cell r="V3341" t="str">
            <v>Available</v>
          </cell>
        </row>
        <row r="3342">
          <cell r="A3342" t="str">
            <v>101401730001</v>
          </cell>
          <cell r="B3342" t="str">
            <v>Dumraon</v>
          </cell>
          <cell r="C3342" t="str">
            <v>Dumraon</v>
          </cell>
          <cell r="D3342" t="str">
            <v>Gumukh Gayghat</v>
          </cell>
          <cell r="E3342">
            <v>10140173</v>
          </cell>
          <cell r="F3342" t="str">
            <v>0001</v>
          </cell>
          <cell r="G3342">
            <v>1</v>
          </cell>
          <cell r="H3342">
            <v>0.22</v>
          </cell>
          <cell r="I3342">
            <v>7.8410265120000009</v>
          </cell>
          <cell r="J3342">
            <v>0</v>
          </cell>
          <cell r="K3342">
            <v>7.8410265120000009</v>
          </cell>
          <cell r="L3342">
            <v>0</v>
          </cell>
          <cell r="M3342">
            <v>0</v>
          </cell>
          <cell r="P3342">
            <v>0</v>
          </cell>
          <cell r="V3342" t="str">
            <v>Not Available</v>
          </cell>
        </row>
        <row r="3343">
          <cell r="A3343" t="str">
            <v>101401730002</v>
          </cell>
          <cell r="B3343" t="str">
            <v>Dumraon</v>
          </cell>
          <cell r="C3343" t="str">
            <v>Dumraon</v>
          </cell>
          <cell r="D3343" t="str">
            <v>Gumukh Gayghat</v>
          </cell>
          <cell r="E3343">
            <v>10140173</v>
          </cell>
          <cell r="F3343" t="str">
            <v>0002</v>
          </cell>
          <cell r="G3343">
            <v>11</v>
          </cell>
          <cell r="H3343">
            <v>337.54999999999995</v>
          </cell>
          <cell r="I3343">
            <v>13737.788652772802</v>
          </cell>
          <cell r="J3343">
            <v>0</v>
          </cell>
          <cell r="K3343">
            <v>0</v>
          </cell>
          <cell r="L3343">
            <v>5153</v>
          </cell>
          <cell r="M3343">
            <v>0</v>
          </cell>
          <cell r="P3343">
            <v>8585</v>
          </cell>
          <cell r="V3343" t="str">
            <v>Available</v>
          </cell>
        </row>
        <row r="3344">
          <cell r="A3344" t="str">
            <v>101401730003</v>
          </cell>
          <cell r="B3344" t="str">
            <v>Dumraon</v>
          </cell>
          <cell r="C3344" t="str">
            <v>Dumraon</v>
          </cell>
          <cell r="D3344" t="str">
            <v>Gumukh Gayghat</v>
          </cell>
          <cell r="E3344">
            <v>10140173</v>
          </cell>
          <cell r="F3344" t="str">
            <v>0003</v>
          </cell>
          <cell r="G3344">
            <v>6</v>
          </cell>
          <cell r="H3344">
            <v>517.84</v>
          </cell>
          <cell r="I3344">
            <v>21997.284004872003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P3344">
            <v>21997</v>
          </cell>
          <cell r="V3344" t="str">
            <v>Available</v>
          </cell>
        </row>
        <row r="3345">
          <cell r="A3345" t="str">
            <v>101401740002</v>
          </cell>
          <cell r="B3345" t="str">
            <v>Dumraon</v>
          </cell>
          <cell r="C3345" t="str">
            <v>Dumraon</v>
          </cell>
          <cell r="D3345" t="str">
            <v>Gomukh Shivpur</v>
          </cell>
          <cell r="E3345">
            <v>10140174</v>
          </cell>
          <cell r="F3345" t="str">
            <v>0002</v>
          </cell>
          <cell r="G3345">
            <v>1</v>
          </cell>
          <cell r="H3345">
            <v>50</v>
          </cell>
          <cell r="I3345">
            <v>1900.8534600000005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P3345">
            <v>1901</v>
          </cell>
          <cell r="V3345" t="str">
            <v>Available</v>
          </cell>
        </row>
        <row r="3346">
          <cell r="A3346" t="str">
            <v>101401790001</v>
          </cell>
          <cell r="B3346" t="str">
            <v>Dumraon</v>
          </cell>
          <cell r="C3346" t="str">
            <v>Dumraon</v>
          </cell>
          <cell r="D3346" t="str">
            <v>Gomukh Rajpur</v>
          </cell>
          <cell r="E3346">
            <v>10140179</v>
          </cell>
          <cell r="F3346" t="str">
            <v>0001</v>
          </cell>
          <cell r="G3346">
            <v>13</v>
          </cell>
          <cell r="H3346">
            <v>13.77</v>
          </cell>
          <cell r="I3346">
            <v>530.69952909600011</v>
          </cell>
          <cell r="J3346">
            <v>0</v>
          </cell>
          <cell r="K3346">
            <v>530.69952909600011</v>
          </cell>
          <cell r="L3346">
            <v>0</v>
          </cell>
          <cell r="M3346">
            <v>0</v>
          </cell>
          <cell r="P3346">
            <v>0</v>
          </cell>
          <cell r="V3346" t="str">
            <v>Not Available</v>
          </cell>
        </row>
        <row r="3347">
          <cell r="A3347" t="str">
            <v>101401790002</v>
          </cell>
          <cell r="B3347" t="str">
            <v>Dumraon</v>
          </cell>
          <cell r="C3347" t="str">
            <v>Dumraon</v>
          </cell>
          <cell r="D3347" t="str">
            <v>Gomukh Rajpur</v>
          </cell>
          <cell r="E3347">
            <v>10140179</v>
          </cell>
          <cell r="F3347" t="str">
            <v>0002</v>
          </cell>
          <cell r="G3347">
            <v>9</v>
          </cell>
          <cell r="H3347">
            <v>50.72</v>
          </cell>
          <cell r="I3347">
            <v>1807.2382697424002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P3347">
            <v>1807</v>
          </cell>
          <cell r="V3347" t="str">
            <v>Available</v>
          </cell>
        </row>
        <row r="3348">
          <cell r="A3348" t="str">
            <v>101401790003</v>
          </cell>
          <cell r="B3348" t="str">
            <v>Dumraon</v>
          </cell>
          <cell r="C3348" t="str">
            <v>Dumraon</v>
          </cell>
          <cell r="D3348" t="str">
            <v>Gomukh Rajpur</v>
          </cell>
          <cell r="E3348">
            <v>10140179</v>
          </cell>
          <cell r="F3348" t="str">
            <v>0003</v>
          </cell>
          <cell r="G3348">
            <v>14</v>
          </cell>
          <cell r="H3348">
            <v>106.37</v>
          </cell>
          <cell r="I3348">
            <v>4109.7720066479997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P3348">
            <v>4110</v>
          </cell>
          <cell r="V3348" t="str">
            <v>Available</v>
          </cell>
        </row>
        <row r="3349">
          <cell r="A3349" t="str">
            <v>101401790005</v>
          </cell>
          <cell r="B3349" t="str">
            <v>Dumraon</v>
          </cell>
          <cell r="C3349" t="str">
            <v>Dumraon</v>
          </cell>
          <cell r="D3349" t="str">
            <v>Gomukh Rajpur</v>
          </cell>
          <cell r="E3349">
            <v>10140179</v>
          </cell>
          <cell r="F3349" t="str">
            <v>0005</v>
          </cell>
          <cell r="G3349">
            <v>14</v>
          </cell>
          <cell r="H3349">
            <v>63.19</v>
          </cell>
          <cell r="I3349">
            <v>2318.0462371440003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P3349">
            <v>2318</v>
          </cell>
          <cell r="V3349" t="str">
            <v>Available</v>
          </cell>
        </row>
        <row r="3350">
          <cell r="A3350" t="str">
            <v>101401790006</v>
          </cell>
          <cell r="B3350" t="str">
            <v>Dumraon</v>
          </cell>
          <cell r="C3350" t="str">
            <v>Dumraon</v>
          </cell>
          <cell r="D3350" t="str">
            <v>Gomukh Rajpur</v>
          </cell>
          <cell r="E3350">
            <v>10140179</v>
          </cell>
          <cell r="F3350" t="str">
            <v>0006</v>
          </cell>
          <cell r="G3350">
            <v>14</v>
          </cell>
          <cell r="H3350">
            <v>82.67</v>
          </cell>
          <cell r="I3350">
            <v>2990.1222810360005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P3350">
            <v>2990</v>
          </cell>
          <cell r="V3350" t="str">
            <v>Available</v>
          </cell>
        </row>
        <row r="3351">
          <cell r="A3351" t="str">
            <v>101401790007</v>
          </cell>
          <cell r="B3351" t="str">
            <v>Dumraon</v>
          </cell>
          <cell r="C3351" t="str">
            <v>Dumraon</v>
          </cell>
          <cell r="D3351" t="str">
            <v>Gomukh Rajpur</v>
          </cell>
          <cell r="E3351">
            <v>10140179</v>
          </cell>
          <cell r="F3351" t="str">
            <v>0007</v>
          </cell>
          <cell r="G3351">
            <v>14</v>
          </cell>
          <cell r="H3351">
            <v>53.47</v>
          </cell>
          <cell r="I3351">
            <v>1850.3631429624004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P3351">
            <v>1850</v>
          </cell>
          <cell r="V3351" t="str">
            <v>Available</v>
          </cell>
        </row>
        <row r="3352">
          <cell r="A3352" t="str">
            <v>101401790008</v>
          </cell>
          <cell r="B3352" t="str">
            <v>Dumraon</v>
          </cell>
          <cell r="C3352" t="str">
            <v>Dumraon</v>
          </cell>
          <cell r="D3352" t="str">
            <v>Gomukh Rajpur</v>
          </cell>
          <cell r="E3352">
            <v>10140179</v>
          </cell>
          <cell r="F3352" t="str">
            <v>0008</v>
          </cell>
          <cell r="G3352">
            <v>7</v>
          </cell>
          <cell r="H3352">
            <v>28.6</v>
          </cell>
          <cell r="I3352">
            <v>963.34888042800014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P3352">
            <v>963</v>
          </cell>
          <cell r="V3352" t="str">
            <v>Available</v>
          </cell>
        </row>
        <row r="3353">
          <cell r="A3353" t="str">
            <v>101401790010</v>
          </cell>
          <cell r="B3353" t="str">
            <v>Dumraon</v>
          </cell>
          <cell r="C3353" t="str">
            <v>Dumraon</v>
          </cell>
          <cell r="D3353" t="str">
            <v>Gomukh Rajpur</v>
          </cell>
          <cell r="E3353">
            <v>10140179</v>
          </cell>
          <cell r="F3353" t="str">
            <v>0010</v>
          </cell>
          <cell r="G3353">
            <v>7</v>
          </cell>
          <cell r="H3353">
            <v>14.089999999999998</v>
          </cell>
          <cell r="I3353">
            <v>490.70486757600008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P3353">
            <v>491</v>
          </cell>
          <cell r="V3353" t="str">
            <v>Available</v>
          </cell>
        </row>
        <row r="3354">
          <cell r="A3354" t="str">
            <v>101401790012</v>
          </cell>
          <cell r="B3354" t="str">
            <v>Dumraon</v>
          </cell>
          <cell r="C3354" t="str">
            <v>Dumraon</v>
          </cell>
          <cell r="D3354" t="str">
            <v>Gomukh Rajpur</v>
          </cell>
          <cell r="E3354">
            <v>10140179</v>
          </cell>
          <cell r="F3354" t="str">
            <v>0012</v>
          </cell>
          <cell r="G3354">
            <v>14</v>
          </cell>
          <cell r="H3354">
            <v>15.739999999999998</v>
          </cell>
          <cell r="I3354">
            <v>1060.3165138341001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P3354">
            <v>1060</v>
          </cell>
          <cell r="V3354" t="str">
            <v>Available</v>
          </cell>
        </row>
        <row r="3355">
          <cell r="A3355" t="str">
            <v>101401790019</v>
          </cell>
          <cell r="B3355" t="str">
            <v>Dumraon</v>
          </cell>
          <cell r="C3355" t="str">
            <v>Dumraon</v>
          </cell>
          <cell r="D3355" t="str">
            <v>Gomukh Rajpur</v>
          </cell>
          <cell r="E3355">
            <v>10140179</v>
          </cell>
          <cell r="F3355" t="str">
            <v>0019</v>
          </cell>
          <cell r="G3355">
            <v>12</v>
          </cell>
          <cell r="H3355">
            <v>48.269999999999996</v>
          </cell>
          <cell r="I3355">
            <v>1963.574877132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P3355">
            <v>1964</v>
          </cell>
          <cell r="V3355" t="str">
            <v>Available</v>
          </cell>
        </row>
        <row r="3356">
          <cell r="A3356" t="str">
            <v>101401790020</v>
          </cell>
          <cell r="B3356" t="str">
            <v>Dumraon</v>
          </cell>
          <cell r="C3356" t="str">
            <v>Dumraon</v>
          </cell>
          <cell r="D3356" t="str">
            <v>Gomukh Rajpur</v>
          </cell>
          <cell r="E3356">
            <v>10140179</v>
          </cell>
          <cell r="F3356" t="str">
            <v>0020</v>
          </cell>
          <cell r="G3356">
            <v>13</v>
          </cell>
          <cell r="H3356">
            <v>36.119999999999997</v>
          </cell>
          <cell r="I3356">
            <v>1927.0300925826302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P3356">
            <v>1927</v>
          </cell>
          <cell r="V3356" t="str">
            <v>Available</v>
          </cell>
        </row>
        <row r="3357">
          <cell r="A3357" t="str">
            <v>101401790022</v>
          </cell>
          <cell r="B3357" t="str">
            <v>Dumraon</v>
          </cell>
          <cell r="C3357" t="str">
            <v>Dumraon</v>
          </cell>
          <cell r="D3357" t="str">
            <v>Gomukh Rajpur</v>
          </cell>
          <cell r="E3357">
            <v>10140179</v>
          </cell>
          <cell r="F3357" t="str">
            <v>0022</v>
          </cell>
          <cell r="G3357">
            <v>10</v>
          </cell>
          <cell r="H3357">
            <v>39.139999999999993</v>
          </cell>
          <cell r="I3357">
            <v>1460.6256511440001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P3357">
            <v>1461</v>
          </cell>
          <cell r="V3357" t="str">
            <v>Available</v>
          </cell>
        </row>
        <row r="3358">
          <cell r="A3358" t="str">
            <v>101401790023</v>
          </cell>
          <cell r="B3358" t="str">
            <v>Dumraon</v>
          </cell>
          <cell r="C3358" t="str">
            <v>Dumraon</v>
          </cell>
          <cell r="D3358" t="str">
            <v>Gomukh Rajpur</v>
          </cell>
          <cell r="E3358">
            <v>10140179</v>
          </cell>
          <cell r="F3358" t="str">
            <v>0023</v>
          </cell>
          <cell r="G3358">
            <v>14</v>
          </cell>
          <cell r="H3358">
            <v>71.400000000000006</v>
          </cell>
          <cell r="I3358">
            <v>2274.5433893688005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P3358">
            <v>2275</v>
          </cell>
          <cell r="V3358" t="str">
            <v>Available</v>
          </cell>
        </row>
        <row r="3359">
          <cell r="A3359" t="str">
            <v>101401790024</v>
          </cell>
          <cell r="B3359" t="str">
            <v>Dumraon</v>
          </cell>
          <cell r="C3359" t="str">
            <v>Dumraon</v>
          </cell>
          <cell r="D3359" t="str">
            <v>Gomukh Rajpur</v>
          </cell>
          <cell r="E3359">
            <v>10140179</v>
          </cell>
          <cell r="F3359" t="str">
            <v>0024</v>
          </cell>
          <cell r="G3359">
            <v>7</v>
          </cell>
          <cell r="H3359">
            <v>20.57</v>
          </cell>
          <cell r="I3359">
            <v>671.63027904720013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P3359">
            <v>672</v>
          </cell>
          <cell r="V3359" t="str">
            <v>Available</v>
          </cell>
        </row>
        <row r="3360">
          <cell r="A3360" t="str">
            <v>101401790025</v>
          </cell>
          <cell r="B3360" t="str">
            <v>Dumraon</v>
          </cell>
          <cell r="C3360" t="str">
            <v>Dumraon</v>
          </cell>
          <cell r="D3360" t="str">
            <v>Gomukh Rajpur</v>
          </cell>
          <cell r="E3360">
            <v>10140179</v>
          </cell>
          <cell r="F3360" t="str">
            <v>0025</v>
          </cell>
          <cell r="G3360">
            <v>13</v>
          </cell>
          <cell r="H3360">
            <v>43.260000000000005</v>
          </cell>
          <cell r="I3360">
            <v>1762.394139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P3360">
            <v>1762</v>
          </cell>
          <cell r="V3360" t="str">
            <v>Available</v>
          </cell>
        </row>
        <row r="3361">
          <cell r="A3361" t="str">
            <v>101401790028</v>
          </cell>
          <cell r="B3361" t="str">
            <v>Dumraon</v>
          </cell>
          <cell r="C3361" t="str">
            <v>Dumraon</v>
          </cell>
          <cell r="D3361" t="str">
            <v>Gomukh Rajpur</v>
          </cell>
          <cell r="E3361">
            <v>10140179</v>
          </cell>
          <cell r="F3361" t="str">
            <v>0028</v>
          </cell>
          <cell r="G3361">
            <v>14</v>
          </cell>
          <cell r="H3361">
            <v>72.78</v>
          </cell>
          <cell r="I3361">
            <v>2303.4902085360004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P3361">
            <v>2303</v>
          </cell>
          <cell r="V3361" t="str">
            <v>Available</v>
          </cell>
        </row>
        <row r="3362">
          <cell r="A3362" t="str">
            <v>101401790030</v>
          </cell>
          <cell r="B3362" t="str">
            <v>Dumraon</v>
          </cell>
          <cell r="C3362" t="str">
            <v>Dumraon</v>
          </cell>
          <cell r="D3362" t="str">
            <v>Gomukh Rajpur</v>
          </cell>
          <cell r="E3362">
            <v>10140179</v>
          </cell>
          <cell r="F3362" t="str">
            <v>0030</v>
          </cell>
          <cell r="G3362">
            <v>6</v>
          </cell>
          <cell r="H3362">
            <v>10.48</v>
          </cell>
          <cell r="I3362">
            <v>533.73872055073014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P3362">
            <v>534</v>
          </cell>
          <cell r="V3362" t="str">
            <v>Available</v>
          </cell>
        </row>
        <row r="3363">
          <cell r="A3363" t="str">
            <v>101401790032</v>
          </cell>
          <cell r="B3363" t="str">
            <v>Dumraon</v>
          </cell>
          <cell r="C3363" t="str">
            <v>Dumraon</v>
          </cell>
          <cell r="D3363" t="str">
            <v>Gomukh Rajpur</v>
          </cell>
          <cell r="E3363">
            <v>10140179</v>
          </cell>
          <cell r="F3363" t="str">
            <v>0032</v>
          </cell>
          <cell r="G3363">
            <v>14</v>
          </cell>
          <cell r="H3363">
            <v>36.519999999999996</v>
          </cell>
          <cell r="I3363">
            <v>1554.6989289751489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P3363">
            <v>1555</v>
          </cell>
          <cell r="V3363" t="str">
            <v>Available</v>
          </cell>
        </row>
        <row r="3364">
          <cell r="A3364" t="str">
            <v>101401790033</v>
          </cell>
          <cell r="B3364" t="str">
            <v>Dumraon</v>
          </cell>
          <cell r="C3364" t="str">
            <v>Dumraon</v>
          </cell>
          <cell r="D3364" t="str">
            <v>Gomukh Rajpur</v>
          </cell>
          <cell r="E3364">
            <v>10140179</v>
          </cell>
          <cell r="F3364" t="str">
            <v>0033</v>
          </cell>
          <cell r="G3364">
            <v>14</v>
          </cell>
          <cell r="H3364">
            <v>51.370000000000005</v>
          </cell>
          <cell r="I3364">
            <v>2090.9217447360002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P3364">
            <v>2091</v>
          </cell>
          <cell r="V3364" t="str">
            <v>Available</v>
          </cell>
        </row>
        <row r="3365">
          <cell r="A3365" t="str">
            <v>101401790037</v>
          </cell>
          <cell r="B3365" t="str">
            <v>Dumraon</v>
          </cell>
          <cell r="C3365" t="str">
            <v>Dumraon</v>
          </cell>
          <cell r="D3365" t="str">
            <v>Gomukh Rajpur</v>
          </cell>
          <cell r="E3365">
            <v>10140179</v>
          </cell>
          <cell r="F3365" t="str">
            <v>0037</v>
          </cell>
          <cell r="G3365">
            <v>7</v>
          </cell>
          <cell r="H3365">
            <v>18.12</v>
          </cell>
          <cell r="I3365">
            <v>525.27608670240011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P3365">
            <v>525</v>
          </cell>
          <cell r="V3365" t="str">
            <v>Available</v>
          </cell>
        </row>
        <row r="3366">
          <cell r="A3366" t="str">
            <v>101401790039</v>
          </cell>
          <cell r="B3366" t="str">
            <v>Dumraon</v>
          </cell>
          <cell r="C3366" t="str">
            <v>Dumraon</v>
          </cell>
          <cell r="D3366" t="str">
            <v>Gomukh Rajpur</v>
          </cell>
          <cell r="E3366">
            <v>10140179</v>
          </cell>
          <cell r="F3366" t="str">
            <v>0039</v>
          </cell>
          <cell r="G3366">
            <v>7</v>
          </cell>
          <cell r="H3366">
            <v>13.89</v>
          </cell>
          <cell r="I3366">
            <v>535.57022574000007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P3366">
            <v>536</v>
          </cell>
          <cell r="V3366" t="str">
            <v>Available</v>
          </cell>
        </row>
        <row r="3367">
          <cell r="A3367" t="str">
            <v>101401790041</v>
          </cell>
          <cell r="B3367" t="str">
            <v>Dumraon</v>
          </cell>
          <cell r="C3367" t="str">
            <v>Dumraon</v>
          </cell>
          <cell r="D3367" t="str">
            <v>Gomukh Rajpur</v>
          </cell>
          <cell r="E3367">
            <v>10140179</v>
          </cell>
          <cell r="F3367" t="str">
            <v>0041</v>
          </cell>
          <cell r="G3367">
            <v>6</v>
          </cell>
          <cell r="H3367">
            <v>16.630000000000003</v>
          </cell>
          <cell r="I3367">
            <v>562.30024237199996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P3367">
            <v>562</v>
          </cell>
          <cell r="V3367" t="str">
            <v>Available</v>
          </cell>
        </row>
        <row r="3368">
          <cell r="A3368" t="str">
            <v>101401790043</v>
          </cell>
          <cell r="B3368" t="str">
            <v>Dumraon</v>
          </cell>
          <cell r="C3368" t="str">
            <v>Dumraon</v>
          </cell>
          <cell r="D3368" t="str">
            <v>Gomukh Rajpur</v>
          </cell>
          <cell r="E3368">
            <v>10140179</v>
          </cell>
          <cell r="F3368" t="str">
            <v>0043</v>
          </cell>
          <cell r="G3368">
            <v>7</v>
          </cell>
          <cell r="H3368">
            <v>14.919999999999998</v>
          </cell>
          <cell r="I3368">
            <v>587.77479375120004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P3368">
            <v>588</v>
          </cell>
          <cell r="V3368" t="str">
            <v>Available</v>
          </cell>
        </row>
        <row r="3369">
          <cell r="A3369" t="str">
            <v>101401790044</v>
          </cell>
          <cell r="B3369" t="str">
            <v>Dumraon</v>
          </cell>
          <cell r="C3369" t="str">
            <v>Dumraon</v>
          </cell>
          <cell r="D3369" t="str">
            <v>Gomukh Rajpur</v>
          </cell>
          <cell r="E3369">
            <v>10140179</v>
          </cell>
          <cell r="F3369" t="str">
            <v>0044</v>
          </cell>
          <cell r="G3369">
            <v>7</v>
          </cell>
          <cell r="H3369">
            <v>11.66</v>
          </cell>
          <cell r="I3369">
            <v>459.99528537600003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P3369">
            <v>460</v>
          </cell>
          <cell r="V3369" t="str">
            <v>Available</v>
          </cell>
        </row>
        <row r="3370">
          <cell r="A3370" t="str">
            <v>101401790048</v>
          </cell>
          <cell r="B3370" t="str">
            <v>Dumraon</v>
          </cell>
          <cell r="C3370" t="str">
            <v>Dumraon</v>
          </cell>
          <cell r="D3370" t="str">
            <v>Gomukh Rajpur</v>
          </cell>
          <cell r="E3370">
            <v>10140179</v>
          </cell>
          <cell r="F3370" t="str">
            <v>0048</v>
          </cell>
          <cell r="G3370">
            <v>8</v>
          </cell>
          <cell r="H3370">
            <v>14.01</v>
          </cell>
          <cell r="I3370">
            <v>458.99729837280006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P3370">
            <v>459</v>
          </cell>
          <cell r="V3370" t="str">
            <v>Available</v>
          </cell>
        </row>
        <row r="3371">
          <cell r="A3371" t="str">
            <v>101401790051</v>
          </cell>
          <cell r="B3371" t="str">
            <v>Dumraon</v>
          </cell>
          <cell r="C3371" t="str">
            <v>Dumraon</v>
          </cell>
          <cell r="D3371" t="str">
            <v>Gomukh Rajpur</v>
          </cell>
          <cell r="E3371">
            <v>10140179</v>
          </cell>
          <cell r="F3371" t="str">
            <v>0051</v>
          </cell>
          <cell r="G3371">
            <v>3</v>
          </cell>
          <cell r="H3371">
            <v>3.34</v>
          </cell>
          <cell r="I3371">
            <v>100.30625256960002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P3371">
            <v>100</v>
          </cell>
          <cell r="V3371" t="str">
            <v>Available</v>
          </cell>
        </row>
        <row r="3372">
          <cell r="A3372" t="str">
            <v>101401790052</v>
          </cell>
          <cell r="B3372" t="str">
            <v>Dumraon</v>
          </cell>
          <cell r="C3372" t="str">
            <v>Dumraon</v>
          </cell>
          <cell r="D3372" t="str">
            <v>Gomukh Rajpur</v>
          </cell>
          <cell r="E3372">
            <v>10140179</v>
          </cell>
          <cell r="F3372" t="str">
            <v>0052</v>
          </cell>
          <cell r="G3372">
            <v>8</v>
          </cell>
          <cell r="H3372">
            <v>25.99</v>
          </cell>
          <cell r="I3372">
            <v>898.57645218000005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P3372">
            <v>899</v>
          </cell>
          <cell r="V3372" t="str">
            <v>Available</v>
          </cell>
        </row>
        <row r="3373">
          <cell r="A3373" t="str">
            <v>101401790054</v>
          </cell>
          <cell r="B3373" t="str">
            <v>Dumraon</v>
          </cell>
          <cell r="C3373" t="str">
            <v>Dumraon</v>
          </cell>
          <cell r="D3373" t="str">
            <v>Gomukh Rajpur</v>
          </cell>
          <cell r="E3373">
            <v>10140179</v>
          </cell>
          <cell r="F3373" t="str">
            <v>0054</v>
          </cell>
          <cell r="G3373">
            <v>5</v>
          </cell>
          <cell r="H3373">
            <v>9.76</v>
          </cell>
          <cell r="I3373">
            <v>326.74985283600006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P3373">
            <v>327</v>
          </cell>
          <cell r="V3373" t="str">
            <v>Available</v>
          </cell>
        </row>
        <row r="3374">
          <cell r="A3374" t="str">
            <v>101401790057</v>
          </cell>
          <cell r="B3374" t="str">
            <v>Dumraon</v>
          </cell>
          <cell r="C3374" t="str">
            <v>Dumraon</v>
          </cell>
          <cell r="D3374" t="str">
            <v>Gomukh Rajpur</v>
          </cell>
          <cell r="E3374">
            <v>10140179</v>
          </cell>
          <cell r="F3374" t="str">
            <v>0057</v>
          </cell>
          <cell r="G3374">
            <v>7</v>
          </cell>
          <cell r="H3374">
            <v>12.03</v>
          </cell>
          <cell r="I3374">
            <v>443.36889471600006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P3374">
            <v>443</v>
          </cell>
          <cell r="V3374" t="str">
            <v>Available</v>
          </cell>
        </row>
        <row r="3375">
          <cell r="A3375" t="str">
            <v>101401790061</v>
          </cell>
          <cell r="B3375" t="str">
            <v>Dumraon</v>
          </cell>
          <cell r="C3375" t="str">
            <v>Dumraon</v>
          </cell>
          <cell r="D3375" t="str">
            <v>Gomukh Rajpur</v>
          </cell>
          <cell r="E3375">
            <v>10140179</v>
          </cell>
          <cell r="F3375" t="str">
            <v>0061</v>
          </cell>
          <cell r="G3375">
            <v>7</v>
          </cell>
          <cell r="H3375">
            <v>18.93</v>
          </cell>
          <cell r="I3375">
            <v>668.21196602160001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P3375">
            <v>668</v>
          </cell>
          <cell r="V3375" t="str">
            <v>Available</v>
          </cell>
        </row>
        <row r="3376">
          <cell r="A3376" t="str">
            <v>101401790063</v>
          </cell>
          <cell r="B3376" t="str">
            <v>Dumraon</v>
          </cell>
          <cell r="C3376" t="str">
            <v>Dumraon</v>
          </cell>
          <cell r="D3376" t="str">
            <v>Gomukh Rajpur</v>
          </cell>
          <cell r="E3376">
            <v>10140179</v>
          </cell>
          <cell r="F3376" t="str">
            <v>0063</v>
          </cell>
          <cell r="G3376">
            <v>7</v>
          </cell>
          <cell r="H3376">
            <v>13.83</v>
          </cell>
          <cell r="I3376">
            <v>759.14379144190002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P3376">
            <v>759</v>
          </cell>
          <cell r="V3376" t="str">
            <v>Available</v>
          </cell>
        </row>
        <row r="3377">
          <cell r="A3377" t="str">
            <v>101401790064</v>
          </cell>
          <cell r="B3377" t="str">
            <v>Dumraon</v>
          </cell>
          <cell r="C3377" t="str">
            <v>Dumraon</v>
          </cell>
          <cell r="D3377" t="str">
            <v>Gomukh Rajpur</v>
          </cell>
          <cell r="E3377">
            <v>10140179</v>
          </cell>
          <cell r="F3377" t="str">
            <v>0064</v>
          </cell>
          <cell r="G3377">
            <v>14</v>
          </cell>
          <cell r="H3377">
            <v>72.960000000000008</v>
          </cell>
          <cell r="I3377">
            <v>2708.2453384800006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P3377">
            <v>2708</v>
          </cell>
          <cell r="V3377" t="str">
            <v>Available</v>
          </cell>
        </row>
        <row r="3378">
          <cell r="A3378" t="str">
            <v>101401790065</v>
          </cell>
          <cell r="B3378" t="str">
            <v>Dumraon</v>
          </cell>
          <cell r="C3378" t="str">
            <v>Dumraon</v>
          </cell>
          <cell r="D3378" t="str">
            <v>Gomukh Rajpur</v>
          </cell>
          <cell r="E3378">
            <v>10140179</v>
          </cell>
          <cell r="F3378" t="str">
            <v>0065</v>
          </cell>
          <cell r="G3378">
            <v>7</v>
          </cell>
          <cell r="H3378">
            <v>16.18</v>
          </cell>
          <cell r="I3378">
            <v>751.26858125619992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P3378">
            <v>751</v>
          </cell>
          <cell r="V3378" t="str">
            <v>Available</v>
          </cell>
        </row>
        <row r="3379">
          <cell r="A3379" t="str">
            <v>101401790066</v>
          </cell>
          <cell r="B3379" t="str">
            <v>Dumraon</v>
          </cell>
          <cell r="C3379" t="str">
            <v>Dumraon</v>
          </cell>
          <cell r="D3379" t="str">
            <v>Gomukh Rajpur</v>
          </cell>
          <cell r="E3379">
            <v>10140179</v>
          </cell>
          <cell r="F3379" t="str">
            <v>0066</v>
          </cell>
          <cell r="G3379">
            <v>6</v>
          </cell>
          <cell r="H3379">
            <v>11.560000000000002</v>
          </cell>
          <cell r="I3379">
            <v>358.22481219360009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P3379">
            <v>358</v>
          </cell>
          <cell r="V3379" t="str">
            <v>Available</v>
          </cell>
        </row>
        <row r="3380">
          <cell r="A3380" t="str">
            <v>101401790067</v>
          </cell>
          <cell r="B3380" t="str">
            <v>Dumraon</v>
          </cell>
          <cell r="C3380" t="str">
            <v>Dumraon</v>
          </cell>
          <cell r="D3380" t="str">
            <v>Gomukh Rajpur</v>
          </cell>
          <cell r="E3380">
            <v>10140179</v>
          </cell>
          <cell r="F3380" t="str">
            <v>0067</v>
          </cell>
          <cell r="G3380">
            <v>7</v>
          </cell>
          <cell r="H3380">
            <v>36.81</v>
          </cell>
          <cell r="I3380">
            <v>1408.6505628360001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P3380">
            <v>1409</v>
          </cell>
          <cell r="V3380" t="str">
            <v>Available</v>
          </cell>
        </row>
        <row r="3381">
          <cell r="A3381" t="str">
            <v>101401800001</v>
          </cell>
          <cell r="B3381" t="str">
            <v>Dumraon</v>
          </cell>
          <cell r="C3381" t="str">
            <v>Dumraon</v>
          </cell>
          <cell r="D3381" t="str">
            <v>Gomukh Gangauli Dubha</v>
          </cell>
          <cell r="E3381">
            <v>10140180</v>
          </cell>
          <cell r="F3381" t="str">
            <v>0001</v>
          </cell>
          <cell r="G3381">
            <v>13</v>
          </cell>
          <cell r="H3381">
            <v>2.5</v>
          </cell>
          <cell r="I3381">
            <v>93.4587918</v>
          </cell>
          <cell r="J3381">
            <v>0</v>
          </cell>
          <cell r="K3381">
            <v>93.4587918</v>
          </cell>
          <cell r="L3381">
            <v>0</v>
          </cell>
          <cell r="M3381">
            <v>0</v>
          </cell>
          <cell r="P3381">
            <v>0</v>
          </cell>
          <cell r="V3381" t="str">
            <v>Not Available</v>
          </cell>
        </row>
        <row r="3382">
          <cell r="A3382" t="str">
            <v>101401800002</v>
          </cell>
          <cell r="B3382" t="str">
            <v>Dumraon</v>
          </cell>
          <cell r="C3382" t="str">
            <v>Dumraon</v>
          </cell>
          <cell r="D3382" t="str">
            <v>Gomukh Gangauli Dubha</v>
          </cell>
          <cell r="E3382">
            <v>10140180</v>
          </cell>
          <cell r="F3382" t="str">
            <v>0002</v>
          </cell>
          <cell r="G3382">
            <v>11</v>
          </cell>
          <cell r="H3382">
            <v>77</v>
          </cell>
          <cell r="I3382">
            <v>2891.0219744400006</v>
          </cell>
          <cell r="J3382">
            <v>0</v>
          </cell>
          <cell r="K3382">
            <v>0</v>
          </cell>
          <cell r="L3382">
            <v>163</v>
          </cell>
          <cell r="M3382">
            <v>2560</v>
          </cell>
          <cell r="P3382">
            <v>168</v>
          </cell>
          <cell r="V3382" t="str">
            <v>Available</v>
          </cell>
        </row>
        <row r="3383">
          <cell r="A3383" t="str">
            <v>101401800003</v>
          </cell>
          <cell r="B3383" t="str">
            <v>Dumraon</v>
          </cell>
          <cell r="C3383" t="str">
            <v>Dumraon</v>
          </cell>
          <cell r="D3383" t="str">
            <v>Gomukh Gangauli Dubha</v>
          </cell>
          <cell r="E3383">
            <v>10140180</v>
          </cell>
          <cell r="F3383" t="str">
            <v>0003</v>
          </cell>
          <cell r="G3383">
            <v>6</v>
          </cell>
          <cell r="H3383">
            <v>25.3</v>
          </cell>
          <cell r="I3383">
            <v>883.91273652000018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P3383">
            <v>884</v>
          </cell>
          <cell r="V3383" t="str">
            <v>Available</v>
          </cell>
        </row>
        <row r="3384">
          <cell r="A3384" t="str">
            <v>101401800004</v>
          </cell>
          <cell r="B3384" t="str">
            <v>Dumraon</v>
          </cell>
          <cell r="C3384" t="str">
            <v>Dumraon</v>
          </cell>
          <cell r="D3384" t="str">
            <v>Gomukh Gangauli Dubha</v>
          </cell>
          <cell r="E3384">
            <v>10140180</v>
          </cell>
          <cell r="F3384" t="str">
            <v>0004</v>
          </cell>
          <cell r="G3384">
            <v>8</v>
          </cell>
          <cell r="H3384">
            <v>15.700000000000001</v>
          </cell>
          <cell r="I3384">
            <v>611.54721539999991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P3384">
            <v>612</v>
          </cell>
          <cell r="V3384" t="str">
            <v>Available</v>
          </cell>
        </row>
        <row r="3385">
          <cell r="A3385" t="str">
            <v>101401800007</v>
          </cell>
          <cell r="B3385" t="str">
            <v>Dumraon</v>
          </cell>
          <cell r="C3385" t="str">
            <v>Dumraon</v>
          </cell>
          <cell r="D3385" t="str">
            <v>Gomukh Gangauli Dubha</v>
          </cell>
          <cell r="E3385">
            <v>10140180</v>
          </cell>
          <cell r="F3385" t="str">
            <v>0007</v>
          </cell>
          <cell r="G3385">
            <v>12</v>
          </cell>
          <cell r="H3385">
            <v>32.5</v>
          </cell>
          <cell r="I3385">
            <v>1158.24355416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P3385">
            <v>1158</v>
          </cell>
          <cell r="V3385" t="str">
            <v>Available</v>
          </cell>
        </row>
        <row r="3386">
          <cell r="A3386" t="str">
            <v>101401850002</v>
          </cell>
          <cell r="B3386" t="str">
            <v>Dumraon</v>
          </cell>
          <cell r="C3386" t="str">
            <v>Dumraon</v>
          </cell>
          <cell r="D3386" t="str">
            <v>Gomukh Jagdishpur</v>
          </cell>
          <cell r="E3386">
            <v>10140185</v>
          </cell>
          <cell r="F3386" t="str">
            <v>0002</v>
          </cell>
          <cell r="G3386">
            <v>1</v>
          </cell>
          <cell r="H3386">
            <v>1422</v>
          </cell>
          <cell r="I3386">
            <v>47302.928402400001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P3386">
            <v>47303</v>
          </cell>
          <cell r="V3386" t="str">
            <v>Available</v>
          </cell>
        </row>
        <row r="3387">
          <cell r="A3387" t="str">
            <v>101401940002</v>
          </cell>
          <cell r="B3387" t="str">
            <v>Dumraon</v>
          </cell>
          <cell r="C3387" t="str">
            <v>Dumraon</v>
          </cell>
          <cell r="D3387" t="str">
            <v>Gumukh Orap Khurd</v>
          </cell>
          <cell r="E3387">
            <v>10140194</v>
          </cell>
          <cell r="F3387" t="str">
            <v>0002</v>
          </cell>
          <cell r="G3387">
            <v>1</v>
          </cell>
          <cell r="H3387">
            <v>232</v>
          </cell>
          <cell r="I3387">
            <v>7931.8609920000017</v>
          </cell>
          <cell r="J3387">
            <v>0</v>
          </cell>
          <cell r="K3387">
            <v>0</v>
          </cell>
          <cell r="L3387">
            <v>0</v>
          </cell>
          <cell r="M3387">
            <v>541</v>
          </cell>
          <cell r="P3387">
            <v>7391</v>
          </cell>
          <cell r="V3387" t="str">
            <v>Available</v>
          </cell>
        </row>
        <row r="3388">
          <cell r="A3388" t="str">
            <v>101401970002</v>
          </cell>
          <cell r="B3388" t="str">
            <v>Dumraon</v>
          </cell>
          <cell r="C3388" t="str">
            <v>Dumraon</v>
          </cell>
          <cell r="D3388" t="str">
            <v>Gumukh Mathiyapur</v>
          </cell>
          <cell r="E3388">
            <v>10140197</v>
          </cell>
          <cell r="F3388" t="str">
            <v>0002</v>
          </cell>
          <cell r="G3388">
            <v>13</v>
          </cell>
          <cell r="H3388">
            <v>253.86999999999998</v>
          </cell>
          <cell r="I3388">
            <v>10151.043040908002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P3388">
            <v>10151</v>
          </cell>
          <cell r="V3388" t="str">
            <v>Available</v>
          </cell>
        </row>
        <row r="3389">
          <cell r="A3389" t="str">
            <v>101402050002</v>
          </cell>
          <cell r="B3389" t="str">
            <v>Dumraon</v>
          </cell>
          <cell r="C3389" t="str">
            <v>Dumraon</v>
          </cell>
          <cell r="D3389" t="str">
            <v>Gumukh Niyajipur Nakchhedi Pathak Dera</v>
          </cell>
          <cell r="E3389">
            <v>10140205</v>
          </cell>
          <cell r="F3389" t="str">
            <v>0002</v>
          </cell>
          <cell r="G3389">
            <v>13</v>
          </cell>
          <cell r="H3389">
            <v>290.2</v>
          </cell>
          <cell r="I3389">
            <v>14961.337493344752</v>
          </cell>
          <cell r="J3389">
            <v>0</v>
          </cell>
          <cell r="K3389">
            <v>0</v>
          </cell>
          <cell r="L3389">
            <v>2844</v>
          </cell>
          <cell r="M3389">
            <v>0</v>
          </cell>
          <cell r="P3389">
            <v>12117</v>
          </cell>
          <cell r="V3389" t="str">
            <v>Available</v>
          </cell>
        </row>
        <row r="3390">
          <cell r="A3390" t="str">
            <v>101402060002</v>
          </cell>
          <cell r="B3390" t="str">
            <v>Dumraon</v>
          </cell>
          <cell r="C3390" t="str">
            <v>Dumraon</v>
          </cell>
          <cell r="D3390" t="str">
            <v>Gumukh Basawkala Dahpura Tola</v>
          </cell>
          <cell r="E3390">
            <v>10140206</v>
          </cell>
          <cell r="F3390" t="str">
            <v>0002</v>
          </cell>
          <cell r="G3390">
            <v>13</v>
          </cell>
          <cell r="H3390">
            <v>412.42</v>
          </cell>
          <cell r="I3390">
            <v>18113.237366837526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P3390">
            <v>18113</v>
          </cell>
          <cell r="V3390" t="str">
            <v>Available</v>
          </cell>
        </row>
        <row r="3391">
          <cell r="A3391" t="str">
            <v>102200010001</v>
          </cell>
          <cell r="B3391" t="str">
            <v>Asarganj</v>
          </cell>
          <cell r="C3391" t="str">
            <v>Asarganj</v>
          </cell>
          <cell r="D3391" t="str">
            <v>VISHWASHPUR</v>
          </cell>
          <cell r="E3391">
            <v>10220001</v>
          </cell>
          <cell r="F3391" t="str">
            <v>0001</v>
          </cell>
          <cell r="G3391">
            <v>13</v>
          </cell>
          <cell r="H3391">
            <v>5.3</v>
          </cell>
          <cell r="I3391">
            <v>184.30407864</v>
          </cell>
          <cell r="J3391">
            <v>0</v>
          </cell>
          <cell r="K3391">
            <v>184.30407864</v>
          </cell>
          <cell r="L3391">
            <v>0</v>
          </cell>
          <cell r="M3391">
            <v>0</v>
          </cell>
          <cell r="P3391">
            <v>0</v>
          </cell>
          <cell r="V3391" t="str">
            <v>Not Available</v>
          </cell>
        </row>
        <row r="3392">
          <cell r="A3392" t="str">
            <v>102200010002</v>
          </cell>
          <cell r="B3392" t="str">
            <v>Asarganj</v>
          </cell>
          <cell r="C3392" t="str">
            <v>Asarganj</v>
          </cell>
          <cell r="D3392" t="str">
            <v>VISHWASHPUR</v>
          </cell>
          <cell r="E3392">
            <v>10220001</v>
          </cell>
          <cell r="F3392" t="str">
            <v>0002</v>
          </cell>
          <cell r="G3392">
            <v>12</v>
          </cell>
          <cell r="H3392">
            <v>97</v>
          </cell>
          <cell r="I3392">
            <v>3381.5481875999999</v>
          </cell>
          <cell r="J3392">
            <v>0</v>
          </cell>
          <cell r="K3392">
            <v>0</v>
          </cell>
          <cell r="L3392">
            <v>898</v>
          </cell>
          <cell r="M3392">
            <v>0</v>
          </cell>
          <cell r="P3392">
            <v>2484</v>
          </cell>
          <cell r="V3392" t="str">
            <v>Available</v>
          </cell>
        </row>
        <row r="3393">
          <cell r="A3393" t="str">
            <v>102200010003</v>
          </cell>
          <cell r="B3393" t="str">
            <v>Asarganj</v>
          </cell>
          <cell r="C3393" t="str">
            <v>Asarganj</v>
          </cell>
          <cell r="D3393" t="str">
            <v>VISHWASHPUR</v>
          </cell>
          <cell r="E3393">
            <v>10220001</v>
          </cell>
          <cell r="F3393" t="str">
            <v>0003</v>
          </cell>
          <cell r="G3393">
            <v>12</v>
          </cell>
          <cell r="H3393">
            <v>100.6</v>
          </cell>
          <cell r="I3393">
            <v>3562.5237911999998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P3393">
            <v>3563</v>
          </cell>
          <cell r="V3393" t="str">
            <v>Available</v>
          </cell>
        </row>
        <row r="3394">
          <cell r="A3394" t="str">
            <v>102200010005</v>
          </cell>
          <cell r="B3394" t="str">
            <v>Asarganj</v>
          </cell>
          <cell r="C3394" t="str">
            <v>Asarganj</v>
          </cell>
          <cell r="D3394" t="str">
            <v>VISHWASHPUR</v>
          </cell>
          <cell r="E3394">
            <v>10220001</v>
          </cell>
          <cell r="F3394" t="str">
            <v>0005</v>
          </cell>
          <cell r="G3394">
            <v>5</v>
          </cell>
          <cell r="H3394">
            <v>9.6</v>
          </cell>
          <cell r="I3394">
            <v>328.61100492000003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P3394">
            <v>329</v>
          </cell>
          <cell r="V3394" t="str">
            <v>Available</v>
          </cell>
        </row>
        <row r="3395">
          <cell r="A3395" t="str">
            <v>102200010014</v>
          </cell>
          <cell r="B3395" t="str">
            <v>Asarganj</v>
          </cell>
          <cell r="C3395" t="str">
            <v>Asarganj</v>
          </cell>
          <cell r="D3395" t="str">
            <v>VISHWASHPUR</v>
          </cell>
          <cell r="E3395">
            <v>10220001</v>
          </cell>
          <cell r="F3395" t="str">
            <v>0014</v>
          </cell>
          <cell r="G3395">
            <v>12</v>
          </cell>
          <cell r="H3395">
            <v>100.9</v>
          </cell>
          <cell r="I3395">
            <v>3547.3700988000001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P3395">
            <v>3547</v>
          </cell>
          <cell r="V3395" t="str">
            <v>Available</v>
          </cell>
        </row>
        <row r="3396">
          <cell r="A3396" t="str">
            <v>102200010016</v>
          </cell>
          <cell r="B3396" t="str">
            <v>Asarganj</v>
          </cell>
          <cell r="C3396" t="str">
            <v>Asarganj</v>
          </cell>
          <cell r="D3396" t="str">
            <v>VISHWASHPUR</v>
          </cell>
          <cell r="E3396">
            <v>10220001</v>
          </cell>
          <cell r="F3396" t="str">
            <v>0016</v>
          </cell>
          <cell r="G3396">
            <v>12</v>
          </cell>
          <cell r="H3396">
            <v>53.099999999999994</v>
          </cell>
          <cell r="I3396">
            <v>1796.8798386000003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P3396">
            <v>1797</v>
          </cell>
          <cell r="V3396" t="str">
            <v>Available</v>
          </cell>
        </row>
        <row r="3397">
          <cell r="A3397" t="str">
            <v>102200010018</v>
          </cell>
          <cell r="B3397" t="str">
            <v>Asarganj</v>
          </cell>
          <cell r="C3397" t="str">
            <v>Asarganj</v>
          </cell>
          <cell r="D3397" t="str">
            <v>VISHWASHPUR</v>
          </cell>
          <cell r="E3397">
            <v>10220001</v>
          </cell>
          <cell r="F3397" t="str">
            <v>0018</v>
          </cell>
          <cell r="G3397">
            <v>10</v>
          </cell>
          <cell r="H3397">
            <v>38.29999999999999</v>
          </cell>
          <cell r="I3397">
            <v>1336.0628924280002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P3397">
            <v>1336</v>
          </cell>
          <cell r="V3397" t="str">
            <v>Available</v>
          </cell>
        </row>
        <row r="3398">
          <cell r="A3398" t="str">
            <v>102200010025</v>
          </cell>
          <cell r="B3398" t="str">
            <v>Asarganj</v>
          </cell>
          <cell r="C3398" t="str">
            <v>Asarganj</v>
          </cell>
          <cell r="D3398" t="str">
            <v>VISHWASHPUR</v>
          </cell>
          <cell r="E3398">
            <v>10220001</v>
          </cell>
          <cell r="F3398" t="str">
            <v>0025</v>
          </cell>
          <cell r="G3398">
            <v>5</v>
          </cell>
          <cell r="H3398">
            <v>6.1</v>
          </cell>
          <cell r="I3398">
            <v>205.33247064000003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P3398">
            <v>205</v>
          </cell>
          <cell r="V3398" t="str">
            <v>Available</v>
          </cell>
        </row>
        <row r="3399">
          <cell r="A3399" t="str">
            <v>102200010034</v>
          </cell>
          <cell r="B3399" t="str">
            <v>Asarganj</v>
          </cell>
          <cell r="C3399" t="str">
            <v>Asarganj</v>
          </cell>
          <cell r="D3399" t="str">
            <v>VISHWASHPUR</v>
          </cell>
          <cell r="E3399">
            <v>10220001</v>
          </cell>
          <cell r="F3399" t="str">
            <v>0034</v>
          </cell>
          <cell r="G3399">
            <v>3</v>
          </cell>
          <cell r="H3399">
            <v>10.7</v>
          </cell>
          <cell r="I3399">
            <v>378.93057444000004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P3399">
            <v>379</v>
          </cell>
          <cell r="V3399" t="str">
            <v>Available</v>
          </cell>
        </row>
        <row r="3400">
          <cell r="A3400" t="str">
            <v>102200010047</v>
          </cell>
          <cell r="B3400" t="str">
            <v>Asarganj</v>
          </cell>
          <cell r="C3400" t="str">
            <v>Asarganj</v>
          </cell>
          <cell r="D3400" t="str">
            <v>VISHWASHPUR</v>
          </cell>
          <cell r="E3400">
            <v>10220001</v>
          </cell>
          <cell r="F3400" t="str">
            <v>0047</v>
          </cell>
          <cell r="G3400">
            <v>12</v>
          </cell>
          <cell r="H3400">
            <v>46.6</v>
          </cell>
          <cell r="I3400">
            <v>1616.6403831600003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P3400">
            <v>1617</v>
          </cell>
          <cell r="V3400" t="str">
            <v>Available</v>
          </cell>
        </row>
        <row r="3401">
          <cell r="A3401" t="str">
            <v>102200010051</v>
          </cell>
          <cell r="B3401" t="str">
            <v>Asarganj</v>
          </cell>
          <cell r="C3401" t="str">
            <v>Asarganj</v>
          </cell>
          <cell r="D3401" t="str">
            <v>VISHWASHPUR</v>
          </cell>
          <cell r="E3401">
            <v>10220001</v>
          </cell>
          <cell r="F3401" t="str">
            <v>0051</v>
          </cell>
          <cell r="G3401">
            <v>4</v>
          </cell>
          <cell r="H3401">
            <v>4.3000000000000007</v>
          </cell>
          <cell r="I3401">
            <v>146.16821736000003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P3401">
            <v>146</v>
          </cell>
          <cell r="V3401" t="str">
            <v>Available</v>
          </cell>
        </row>
        <row r="3402">
          <cell r="A3402" t="str">
            <v>102200010088</v>
          </cell>
          <cell r="B3402" t="str">
            <v>Asarganj</v>
          </cell>
          <cell r="C3402" t="str">
            <v>Asarganj</v>
          </cell>
          <cell r="D3402" t="str">
            <v>VISHWASHPUR</v>
          </cell>
          <cell r="E3402">
            <v>10220001</v>
          </cell>
          <cell r="F3402" t="str">
            <v>0088</v>
          </cell>
          <cell r="G3402">
            <v>3</v>
          </cell>
          <cell r="H3402">
            <v>11.4</v>
          </cell>
          <cell r="I3402">
            <v>402.30858492000004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P3402">
            <v>402</v>
          </cell>
          <cell r="V3402" t="str">
            <v>Available</v>
          </cell>
        </row>
        <row r="3403">
          <cell r="A3403" t="str">
            <v>102200010108</v>
          </cell>
          <cell r="B3403" t="str">
            <v>Asarganj</v>
          </cell>
          <cell r="C3403" t="str">
            <v>Asarganj</v>
          </cell>
          <cell r="D3403" t="str">
            <v>VISHWASHPUR</v>
          </cell>
          <cell r="E3403">
            <v>10220001</v>
          </cell>
          <cell r="F3403" t="str">
            <v>0108</v>
          </cell>
          <cell r="G3403">
            <v>11</v>
          </cell>
          <cell r="H3403">
            <v>48.499999999999986</v>
          </cell>
          <cell r="I3403">
            <v>1645.8541783200003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P3403">
            <v>1646</v>
          </cell>
          <cell r="V3403" t="str">
            <v>Available</v>
          </cell>
        </row>
        <row r="3404">
          <cell r="A3404" t="str">
            <v>102400010001</v>
          </cell>
          <cell r="B3404" t="str">
            <v>Asarganj</v>
          </cell>
          <cell r="C3404" t="str">
            <v>Asarganj</v>
          </cell>
          <cell r="D3404" t="str">
            <v>KUMARPUIR KATHARA</v>
          </cell>
          <cell r="E3404">
            <v>10240001</v>
          </cell>
          <cell r="F3404" t="str">
            <v>0001</v>
          </cell>
          <cell r="G3404">
            <v>12</v>
          </cell>
          <cell r="H3404">
            <v>15.299999999999999</v>
          </cell>
          <cell r="I3404">
            <v>706.35282454168009</v>
          </cell>
          <cell r="J3404">
            <v>0</v>
          </cell>
          <cell r="K3404">
            <v>706.35282454168009</v>
          </cell>
          <cell r="L3404">
            <v>0</v>
          </cell>
          <cell r="M3404">
            <v>0</v>
          </cell>
          <cell r="P3404">
            <v>0</v>
          </cell>
          <cell r="V3404" t="str">
            <v>Not Available</v>
          </cell>
        </row>
        <row r="3405">
          <cell r="A3405" t="str">
            <v>102400010002</v>
          </cell>
          <cell r="B3405" t="str">
            <v>Asarganj</v>
          </cell>
          <cell r="C3405" t="str">
            <v>Asarganj</v>
          </cell>
          <cell r="D3405" t="str">
            <v>KUMARPUIR KATHARA</v>
          </cell>
          <cell r="E3405">
            <v>10240001</v>
          </cell>
          <cell r="F3405" t="str">
            <v>0002</v>
          </cell>
          <cell r="G3405">
            <v>4</v>
          </cell>
          <cell r="H3405">
            <v>5.7</v>
          </cell>
          <cell r="I3405">
            <v>185.43016166400002</v>
          </cell>
          <cell r="J3405">
            <v>0</v>
          </cell>
          <cell r="K3405">
            <v>0</v>
          </cell>
          <cell r="L3405">
            <v>185</v>
          </cell>
          <cell r="M3405">
            <v>0</v>
          </cell>
          <cell r="P3405">
            <v>0</v>
          </cell>
          <cell r="V3405" t="str">
            <v>Available</v>
          </cell>
        </row>
        <row r="3406">
          <cell r="A3406" t="str">
            <v>102400010006</v>
          </cell>
          <cell r="B3406" t="str">
            <v>Asarganj</v>
          </cell>
          <cell r="C3406" t="str">
            <v>Asarganj</v>
          </cell>
          <cell r="D3406" t="str">
            <v>KUMARPUIR KATHARA</v>
          </cell>
          <cell r="E3406">
            <v>10240001</v>
          </cell>
          <cell r="F3406" t="str">
            <v>0006</v>
          </cell>
          <cell r="G3406">
            <v>4</v>
          </cell>
          <cell r="H3406">
            <v>20.9</v>
          </cell>
          <cell r="I3406">
            <v>681.31535353200013</v>
          </cell>
          <cell r="J3406">
            <v>0</v>
          </cell>
          <cell r="K3406">
            <v>0</v>
          </cell>
          <cell r="L3406">
            <v>681</v>
          </cell>
          <cell r="M3406">
            <v>0</v>
          </cell>
          <cell r="P3406">
            <v>0</v>
          </cell>
          <cell r="V3406" t="str">
            <v>Available</v>
          </cell>
        </row>
        <row r="3407">
          <cell r="A3407" t="str">
            <v>102400010010</v>
          </cell>
          <cell r="B3407" t="str">
            <v>Asarganj</v>
          </cell>
          <cell r="C3407" t="str">
            <v>Asarganj</v>
          </cell>
          <cell r="D3407" t="str">
            <v>KUMARPUIR KATHARA</v>
          </cell>
          <cell r="E3407">
            <v>10240001</v>
          </cell>
          <cell r="F3407" t="str">
            <v>0010</v>
          </cell>
          <cell r="G3407">
            <v>1</v>
          </cell>
          <cell r="H3407">
            <v>1.7</v>
          </cell>
          <cell r="I3407">
            <v>52.107342804000005</v>
          </cell>
          <cell r="J3407">
            <v>0</v>
          </cell>
          <cell r="K3407">
            <v>0</v>
          </cell>
          <cell r="L3407">
            <v>52</v>
          </cell>
          <cell r="M3407">
            <v>0</v>
          </cell>
          <cell r="P3407">
            <v>0</v>
          </cell>
          <cell r="V3407" t="str">
            <v>Available</v>
          </cell>
        </row>
        <row r="3408">
          <cell r="A3408" t="str">
            <v>102400010033</v>
          </cell>
          <cell r="B3408" t="str">
            <v>Asarganj</v>
          </cell>
          <cell r="C3408" t="str">
            <v>Asarganj</v>
          </cell>
          <cell r="D3408" t="str">
            <v>KUMARPUIR KATHARA</v>
          </cell>
          <cell r="E3408">
            <v>10240001</v>
          </cell>
          <cell r="F3408" t="str">
            <v>0033</v>
          </cell>
          <cell r="G3408">
            <v>1</v>
          </cell>
          <cell r="H3408">
            <v>2.2999999999999998</v>
          </cell>
          <cell r="I3408">
            <v>73.564500834</v>
          </cell>
          <cell r="J3408">
            <v>0</v>
          </cell>
          <cell r="K3408">
            <v>0</v>
          </cell>
          <cell r="L3408">
            <v>30</v>
          </cell>
          <cell r="M3408">
            <v>0</v>
          </cell>
          <cell r="P3408">
            <v>44</v>
          </cell>
          <cell r="V3408" t="str">
            <v>Available</v>
          </cell>
        </row>
        <row r="3409">
          <cell r="A3409" t="str">
            <v>102400010047</v>
          </cell>
          <cell r="B3409" t="str">
            <v>Asarganj</v>
          </cell>
          <cell r="C3409" t="str">
            <v>Asarganj</v>
          </cell>
          <cell r="D3409" t="str">
            <v>KUMARPUIR KATHARA</v>
          </cell>
          <cell r="E3409">
            <v>10240001</v>
          </cell>
          <cell r="F3409" t="str">
            <v>0047</v>
          </cell>
          <cell r="G3409">
            <v>5</v>
          </cell>
          <cell r="H3409">
            <v>20</v>
          </cell>
          <cell r="I3409">
            <v>665.58760012800019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P3409">
            <v>666</v>
          </cell>
          <cell r="V3409" t="str">
            <v>Available</v>
          </cell>
        </row>
        <row r="3410">
          <cell r="A3410" t="str">
            <v>102400010050</v>
          </cell>
          <cell r="B3410" t="str">
            <v>Asarganj</v>
          </cell>
          <cell r="C3410" t="str">
            <v>Asarganj</v>
          </cell>
          <cell r="D3410" t="str">
            <v>KUMARPUIR KATHARA</v>
          </cell>
          <cell r="E3410">
            <v>10240001</v>
          </cell>
          <cell r="F3410" t="str">
            <v>0050</v>
          </cell>
          <cell r="G3410">
            <v>6</v>
          </cell>
          <cell r="H3410">
            <v>27.699999999999996</v>
          </cell>
          <cell r="I3410">
            <v>916.33368578399995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P3410">
            <v>916</v>
          </cell>
          <cell r="V3410" t="str">
            <v>Available</v>
          </cell>
        </row>
        <row r="3411">
          <cell r="A3411" t="str">
            <v>102400010058</v>
          </cell>
          <cell r="B3411" t="str">
            <v>Asarganj</v>
          </cell>
          <cell r="C3411" t="str">
            <v>Asarganj</v>
          </cell>
          <cell r="D3411" t="str">
            <v>KUMARPUIR KATHARA</v>
          </cell>
          <cell r="E3411">
            <v>10240001</v>
          </cell>
          <cell r="F3411" t="str">
            <v>0058</v>
          </cell>
          <cell r="G3411">
            <v>5</v>
          </cell>
          <cell r="H3411">
            <v>9.6</v>
          </cell>
          <cell r="I3411">
            <v>320.38062447599998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P3411">
            <v>320</v>
          </cell>
          <cell r="V3411" t="str">
            <v>Available</v>
          </cell>
        </row>
        <row r="3412">
          <cell r="A3412" t="str">
            <v>102400010062</v>
          </cell>
          <cell r="B3412" t="str">
            <v>Asarganj</v>
          </cell>
          <cell r="C3412" t="str">
            <v>Asarganj</v>
          </cell>
          <cell r="D3412" t="str">
            <v>KUMARPUIR KATHARA</v>
          </cell>
          <cell r="E3412">
            <v>10240001</v>
          </cell>
          <cell r="F3412" t="str">
            <v>0062</v>
          </cell>
          <cell r="G3412">
            <v>5</v>
          </cell>
          <cell r="H3412">
            <v>19.299999999999997</v>
          </cell>
          <cell r="I3412">
            <v>626.60582008200004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P3412">
            <v>627</v>
          </cell>
          <cell r="V3412" t="str">
            <v>Available</v>
          </cell>
        </row>
        <row r="3413">
          <cell r="A3413" t="str">
            <v>102400010063</v>
          </cell>
          <cell r="B3413" t="str">
            <v>Asarganj</v>
          </cell>
          <cell r="C3413" t="str">
            <v>Asarganj</v>
          </cell>
          <cell r="D3413" t="str">
            <v>KUMARPUIR KATHARA</v>
          </cell>
          <cell r="E3413">
            <v>10240001</v>
          </cell>
          <cell r="F3413" t="str">
            <v>0063</v>
          </cell>
          <cell r="G3413">
            <v>5</v>
          </cell>
          <cell r="H3413">
            <v>15.6</v>
          </cell>
          <cell r="I3413">
            <v>560.12166559799994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P3413">
            <v>560</v>
          </cell>
          <cell r="V3413" t="str">
            <v>Available</v>
          </cell>
        </row>
        <row r="3414">
          <cell r="A3414" t="str">
            <v>102400010067</v>
          </cell>
          <cell r="B3414" t="str">
            <v>Asarganj</v>
          </cell>
          <cell r="C3414" t="str">
            <v>Asarganj</v>
          </cell>
          <cell r="D3414" t="str">
            <v>KUMARPUIR KATHARA</v>
          </cell>
          <cell r="E3414">
            <v>10240001</v>
          </cell>
          <cell r="F3414" t="str">
            <v>0067</v>
          </cell>
          <cell r="G3414">
            <v>4</v>
          </cell>
          <cell r="H3414">
            <v>26.4</v>
          </cell>
          <cell r="I3414">
            <v>854.64853194600016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P3414">
            <v>855</v>
          </cell>
          <cell r="V3414" t="str">
            <v>Available</v>
          </cell>
        </row>
        <row r="3415">
          <cell r="A3415" t="str">
            <v>102400010088</v>
          </cell>
          <cell r="B3415" t="str">
            <v>Asarganj</v>
          </cell>
          <cell r="C3415" t="str">
            <v>Asarganj</v>
          </cell>
          <cell r="D3415" t="str">
            <v>KUMARPUIR KATHARA</v>
          </cell>
          <cell r="E3415">
            <v>10240001</v>
          </cell>
          <cell r="F3415" t="str">
            <v>0088</v>
          </cell>
          <cell r="G3415">
            <v>12</v>
          </cell>
          <cell r="H3415">
            <v>35.699999999999996</v>
          </cell>
          <cell r="I3415">
            <v>1643.3099510207101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P3415">
            <v>1643</v>
          </cell>
          <cell r="V3415" t="str">
            <v>Available</v>
          </cell>
        </row>
        <row r="3416">
          <cell r="A3416" t="str">
            <v>102400010097</v>
          </cell>
          <cell r="B3416" t="str">
            <v>Asarganj</v>
          </cell>
          <cell r="C3416" t="str">
            <v>Asarganj</v>
          </cell>
          <cell r="D3416" t="str">
            <v>KUMARPUIR KATHARA</v>
          </cell>
          <cell r="E3416">
            <v>10240001</v>
          </cell>
          <cell r="F3416" t="str">
            <v>0097</v>
          </cell>
          <cell r="G3416">
            <v>1</v>
          </cell>
          <cell r="H3416">
            <v>5.7</v>
          </cell>
          <cell r="I3416">
            <v>184.56922380600002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P3416">
            <v>185</v>
          </cell>
          <cell r="V3416" t="str">
            <v>Available</v>
          </cell>
        </row>
        <row r="3417">
          <cell r="A3417" t="str">
            <v>102400010099</v>
          </cell>
          <cell r="B3417" t="str">
            <v>Asarganj</v>
          </cell>
          <cell r="C3417" t="str">
            <v>Asarganj</v>
          </cell>
          <cell r="D3417" t="str">
            <v>KUMARPUIR KATHARA</v>
          </cell>
          <cell r="E3417">
            <v>10240001</v>
          </cell>
          <cell r="F3417" t="str">
            <v>0099</v>
          </cell>
          <cell r="G3417">
            <v>10</v>
          </cell>
          <cell r="H3417">
            <v>44.5</v>
          </cell>
          <cell r="I3417">
            <v>1485.0435501000002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P3417">
            <v>1485</v>
          </cell>
          <cell r="V3417" t="str">
            <v>Available</v>
          </cell>
        </row>
        <row r="3418">
          <cell r="A3418" t="str">
            <v>102400010104</v>
          </cell>
          <cell r="B3418" t="str">
            <v>Asarganj</v>
          </cell>
          <cell r="C3418" t="str">
            <v>Asarganj</v>
          </cell>
          <cell r="D3418" t="str">
            <v>KUMARPUIR KATHARA</v>
          </cell>
          <cell r="E3418">
            <v>10240001</v>
          </cell>
          <cell r="F3418" t="str">
            <v>0104</v>
          </cell>
          <cell r="G3418">
            <v>5</v>
          </cell>
          <cell r="H3418">
            <v>8.5</v>
          </cell>
          <cell r="I3418">
            <v>383.95126329836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P3418">
            <v>384</v>
          </cell>
          <cell r="V3418" t="str">
            <v>Available</v>
          </cell>
        </row>
        <row r="3419">
          <cell r="A3419" t="str">
            <v>102400010107</v>
          </cell>
          <cell r="B3419" t="str">
            <v>Asarganj</v>
          </cell>
          <cell r="C3419" t="str">
            <v>Asarganj</v>
          </cell>
          <cell r="D3419" t="str">
            <v>KUMARPUIR KATHARA</v>
          </cell>
          <cell r="E3419">
            <v>10240001</v>
          </cell>
          <cell r="F3419" t="str">
            <v>0107</v>
          </cell>
          <cell r="G3419">
            <v>12</v>
          </cell>
          <cell r="H3419">
            <v>43.400000000000006</v>
          </cell>
          <cell r="I3419">
            <v>1424.2734253440001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P3419">
            <v>1424</v>
          </cell>
          <cell r="V3419" t="str">
            <v>Available</v>
          </cell>
        </row>
        <row r="3420">
          <cell r="A3420" t="str">
            <v>102400010130</v>
          </cell>
          <cell r="B3420" t="str">
            <v>Asarganj</v>
          </cell>
          <cell r="C3420" t="str">
            <v>Asarganj</v>
          </cell>
          <cell r="D3420" t="str">
            <v>KUMARPUIR KATHARA</v>
          </cell>
          <cell r="E3420">
            <v>10240001</v>
          </cell>
          <cell r="F3420" t="str">
            <v>0130</v>
          </cell>
          <cell r="G3420">
            <v>9</v>
          </cell>
          <cell r="H3420">
            <v>41</v>
          </cell>
          <cell r="I3420">
            <v>1259.047680462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P3420">
            <v>1259</v>
          </cell>
          <cell r="V3420" t="str">
            <v>Available</v>
          </cell>
        </row>
        <row r="3421">
          <cell r="A3421" t="str">
            <v>102400010142</v>
          </cell>
          <cell r="B3421" t="str">
            <v>Asarganj</v>
          </cell>
          <cell r="C3421" t="str">
            <v>Asarganj</v>
          </cell>
          <cell r="D3421" t="str">
            <v>KUMARPUIR KATHARA</v>
          </cell>
          <cell r="E3421">
            <v>10240001</v>
          </cell>
          <cell r="F3421" t="str">
            <v>0142</v>
          </cell>
          <cell r="G3421">
            <v>5</v>
          </cell>
          <cell r="H3421">
            <v>19.399999999999999</v>
          </cell>
          <cell r="I3421">
            <v>627.66847321200009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P3421">
            <v>628</v>
          </cell>
          <cell r="V3421" t="str">
            <v>Available</v>
          </cell>
        </row>
        <row r="3422">
          <cell r="A3422" t="str">
            <v>102400010148</v>
          </cell>
          <cell r="B3422" t="str">
            <v>Asarganj</v>
          </cell>
          <cell r="C3422" t="str">
            <v>Asarganj</v>
          </cell>
          <cell r="D3422" t="str">
            <v>KUMARPUIR KATHARA</v>
          </cell>
          <cell r="E3422">
            <v>10240001</v>
          </cell>
          <cell r="F3422" t="str">
            <v>0148</v>
          </cell>
          <cell r="G3422">
            <v>7</v>
          </cell>
          <cell r="H3422">
            <v>16.399999999999999</v>
          </cell>
          <cell r="I3422">
            <v>635.88676326676011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P3422">
            <v>636</v>
          </cell>
          <cell r="V3422" t="str">
            <v>Available</v>
          </cell>
        </row>
        <row r="3423">
          <cell r="A3423" t="str">
            <v>102400010161</v>
          </cell>
          <cell r="B3423" t="str">
            <v>Asarganj</v>
          </cell>
          <cell r="C3423" t="str">
            <v>Asarganj</v>
          </cell>
          <cell r="D3423" t="str">
            <v>KUMARPUIR KATHARA</v>
          </cell>
          <cell r="E3423">
            <v>10240001</v>
          </cell>
          <cell r="F3423" t="str">
            <v>0161</v>
          </cell>
          <cell r="G3423">
            <v>3</v>
          </cell>
          <cell r="H3423">
            <v>11.6</v>
          </cell>
          <cell r="I3423">
            <v>381.50649781200002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P3423">
            <v>382</v>
          </cell>
          <cell r="V3423" t="str">
            <v>Available</v>
          </cell>
        </row>
        <row r="3424">
          <cell r="A3424" t="str">
            <v>102400010178</v>
          </cell>
          <cell r="B3424" t="str">
            <v>Asarganj</v>
          </cell>
          <cell r="C3424" t="str">
            <v>Asarganj</v>
          </cell>
          <cell r="D3424" t="str">
            <v>KUMARPUIR KATHARA</v>
          </cell>
          <cell r="E3424">
            <v>10240001</v>
          </cell>
          <cell r="F3424" t="str">
            <v>0178</v>
          </cell>
          <cell r="G3424">
            <v>3</v>
          </cell>
          <cell r="H3424">
            <v>15.4</v>
          </cell>
          <cell r="I3424">
            <v>504.29778973200013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P3424">
            <v>504</v>
          </cell>
          <cell r="V3424" t="str">
            <v>Available</v>
          </cell>
        </row>
        <row r="3425">
          <cell r="A3425" t="str">
            <v>102400010182</v>
          </cell>
          <cell r="B3425" t="str">
            <v>Asarganj</v>
          </cell>
          <cell r="C3425" t="str">
            <v>Asarganj</v>
          </cell>
          <cell r="D3425" t="str">
            <v>KUMARPUIR KATHARA</v>
          </cell>
          <cell r="E3425">
            <v>10240001</v>
          </cell>
          <cell r="F3425" t="str">
            <v>0182</v>
          </cell>
          <cell r="G3425">
            <v>5</v>
          </cell>
          <cell r="H3425">
            <v>29.6</v>
          </cell>
          <cell r="I3425">
            <v>913.88237648400002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P3425">
            <v>914</v>
          </cell>
          <cell r="V3425" t="str">
            <v>Available</v>
          </cell>
        </row>
        <row r="3426">
          <cell r="A3426" t="str">
            <v>102400010183</v>
          </cell>
          <cell r="B3426" t="str">
            <v>Asarganj</v>
          </cell>
          <cell r="C3426" t="str">
            <v>Asarganj</v>
          </cell>
          <cell r="D3426" t="str">
            <v>KUMARPUIR KATHARA</v>
          </cell>
          <cell r="E3426">
            <v>10240001</v>
          </cell>
          <cell r="F3426" t="str">
            <v>0183</v>
          </cell>
          <cell r="G3426">
            <v>4</v>
          </cell>
          <cell r="H3426">
            <v>19.899999999999999</v>
          </cell>
          <cell r="I3426">
            <v>684.46965529800002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P3426">
            <v>684</v>
          </cell>
          <cell r="V3426" t="str">
            <v>Available</v>
          </cell>
        </row>
        <row r="3427">
          <cell r="A3427" t="str">
            <v>102400010184</v>
          </cell>
          <cell r="B3427" t="str">
            <v>Asarganj</v>
          </cell>
          <cell r="C3427" t="str">
            <v>Asarganj</v>
          </cell>
          <cell r="D3427" t="str">
            <v>KUMARPUIR KATHARA</v>
          </cell>
          <cell r="E3427">
            <v>10240001</v>
          </cell>
          <cell r="F3427" t="str">
            <v>0184</v>
          </cell>
          <cell r="G3427">
            <v>10</v>
          </cell>
          <cell r="H3427">
            <v>41.6</v>
          </cell>
          <cell r="I3427">
            <v>1354.0708480860001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P3427">
            <v>1354</v>
          </cell>
          <cell r="V3427" t="str">
            <v>Available</v>
          </cell>
        </row>
        <row r="3428">
          <cell r="A3428" t="str">
            <v>102400010210</v>
          </cell>
          <cell r="B3428" t="str">
            <v>Asarganj</v>
          </cell>
          <cell r="C3428" t="str">
            <v>Asarganj</v>
          </cell>
          <cell r="D3428" t="str">
            <v>KUMARPUIR KATHARA</v>
          </cell>
          <cell r="E3428">
            <v>10240001</v>
          </cell>
          <cell r="F3428" t="str">
            <v>0210</v>
          </cell>
          <cell r="G3428">
            <v>3</v>
          </cell>
          <cell r="H3428">
            <v>14</v>
          </cell>
          <cell r="I3428">
            <v>663.36679497960006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P3428">
            <v>663</v>
          </cell>
          <cell r="V3428" t="str">
            <v>Available</v>
          </cell>
        </row>
        <row r="3429">
          <cell r="A3429" t="str">
            <v>102400010225</v>
          </cell>
          <cell r="B3429" t="str">
            <v>Asarganj</v>
          </cell>
          <cell r="C3429" t="str">
            <v>Asarganj</v>
          </cell>
          <cell r="D3429" t="str">
            <v>KUMARPUIR KATHARA</v>
          </cell>
          <cell r="E3429">
            <v>10240001</v>
          </cell>
          <cell r="F3429" t="str">
            <v>0225</v>
          </cell>
          <cell r="G3429">
            <v>6</v>
          </cell>
          <cell r="H3429">
            <v>22.3</v>
          </cell>
          <cell r="I3429">
            <v>731.91414423600008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P3429">
            <v>732</v>
          </cell>
          <cell r="V3429" t="str">
            <v>Available</v>
          </cell>
        </row>
        <row r="3430">
          <cell r="A3430" t="str">
            <v>102400010229</v>
          </cell>
          <cell r="B3430" t="str">
            <v>Asarganj</v>
          </cell>
          <cell r="C3430" t="str">
            <v>Asarganj</v>
          </cell>
          <cell r="D3430" t="str">
            <v>KUMARPUIR KATHARA</v>
          </cell>
          <cell r="E3430">
            <v>10240001</v>
          </cell>
          <cell r="F3430" t="str">
            <v>0229</v>
          </cell>
          <cell r="G3430">
            <v>11</v>
          </cell>
          <cell r="H3430">
            <v>44.300000000000004</v>
          </cell>
          <cell r="I3430">
            <v>1622.576817378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P3430">
            <v>1623</v>
          </cell>
          <cell r="V3430" t="str">
            <v>Available</v>
          </cell>
        </row>
        <row r="3431">
          <cell r="A3431" t="str">
            <v>102400010250</v>
          </cell>
          <cell r="B3431" t="str">
            <v>Asarganj</v>
          </cell>
          <cell r="C3431" t="str">
            <v>Asarganj</v>
          </cell>
          <cell r="D3431" t="str">
            <v>KUMARPUIR KATHARA</v>
          </cell>
          <cell r="E3431">
            <v>10240001</v>
          </cell>
          <cell r="F3431" t="str">
            <v>0250</v>
          </cell>
          <cell r="G3431">
            <v>3</v>
          </cell>
          <cell r="H3431">
            <v>6.6000000000000005</v>
          </cell>
          <cell r="I3431">
            <v>217.89144333000007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P3431">
            <v>218</v>
          </cell>
          <cell r="V3431" t="str">
            <v>Available</v>
          </cell>
        </row>
        <row r="3432">
          <cell r="A3432" t="str">
            <v>102400010254</v>
          </cell>
          <cell r="B3432" t="str">
            <v>Asarganj</v>
          </cell>
          <cell r="C3432" t="str">
            <v>Asarganj</v>
          </cell>
          <cell r="D3432" t="str">
            <v>KUMARPUIR KATHARA</v>
          </cell>
          <cell r="E3432">
            <v>10240001</v>
          </cell>
          <cell r="F3432" t="str">
            <v>0254</v>
          </cell>
          <cell r="G3432">
            <v>11</v>
          </cell>
          <cell r="H3432">
            <v>27</v>
          </cell>
          <cell r="I3432">
            <v>916.4344093740001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P3432">
            <v>916</v>
          </cell>
          <cell r="V3432" t="str">
            <v>Available</v>
          </cell>
        </row>
        <row r="3433">
          <cell r="A3433" t="str">
            <v>102400010261</v>
          </cell>
          <cell r="B3433" t="str">
            <v>Asarganj</v>
          </cell>
          <cell r="C3433" t="str">
            <v>Asarganj</v>
          </cell>
          <cell r="D3433" t="str">
            <v>KUMARPUIR KATHARA</v>
          </cell>
          <cell r="E3433">
            <v>10240001</v>
          </cell>
          <cell r="F3433" t="str">
            <v>0261</v>
          </cell>
          <cell r="G3433">
            <v>11</v>
          </cell>
          <cell r="H3433">
            <v>42.7</v>
          </cell>
          <cell r="I3433">
            <v>1416.3851128680001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P3433">
            <v>1416</v>
          </cell>
          <cell r="V3433" t="str">
            <v>Available</v>
          </cell>
        </row>
        <row r="3434">
          <cell r="A3434" t="str">
            <v>102400010338</v>
          </cell>
          <cell r="B3434" t="str">
            <v>Asarganj</v>
          </cell>
          <cell r="C3434" t="str">
            <v>Asarganj</v>
          </cell>
          <cell r="D3434" t="str">
            <v>KUMARPUIR KATHARA</v>
          </cell>
          <cell r="E3434">
            <v>10240001</v>
          </cell>
          <cell r="F3434" t="str">
            <v>0338</v>
          </cell>
          <cell r="G3434">
            <v>5</v>
          </cell>
          <cell r="H3434">
            <v>13.8</v>
          </cell>
          <cell r="I3434">
            <v>455.52715599600003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P3434">
            <v>456</v>
          </cell>
          <cell r="V3434" t="str">
            <v>Available</v>
          </cell>
        </row>
        <row r="3435">
          <cell r="A3435" t="str">
            <v>102400010348</v>
          </cell>
          <cell r="B3435" t="str">
            <v>Asarganj</v>
          </cell>
          <cell r="C3435" t="str">
            <v>Asarganj</v>
          </cell>
          <cell r="D3435" t="str">
            <v>KUMARPUIR KATHARA</v>
          </cell>
          <cell r="E3435">
            <v>10240001</v>
          </cell>
          <cell r="F3435" t="str">
            <v>0348</v>
          </cell>
          <cell r="G3435">
            <v>6</v>
          </cell>
          <cell r="H3435">
            <v>9.9</v>
          </cell>
          <cell r="I3435">
            <v>335.16550425600002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P3435">
            <v>335</v>
          </cell>
          <cell r="V3435" t="str">
            <v>Available</v>
          </cell>
        </row>
        <row r="3436">
          <cell r="A3436" t="str">
            <v>102400010357</v>
          </cell>
          <cell r="B3436" t="str">
            <v>Asarganj</v>
          </cell>
          <cell r="C3436" t="str">
            <v>Asarganj</v>
          </cell>
          <cell r="D3436" t="str">
            <v>KUMARPUIR KATHARA</v>
          </cell>
          <cell r="E3436">
            <v>10240001</v>
          </cell>
          <cell r="F3436" t="str">
            <v>0357</v>
          </cell>
          <cell r="G3436">
            <v>12</v>
          </cell>
          <cell r="H3436">
            <v>42.699999999999996</v>
          </cell>
          <cell r="I3436">
            <v>1820.4316339968002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P3436">
            <v>1820</v>
          </cell>
          <cell r="V3436" t="str">
            <v>Available</v>
          </cell>
        </row>
        <row r="3437">
          <cell r="A3437" t="str">
            <v>102400010360</v>
          </cell>
          <cell r="B3437" t="str">
            <v>Asarganj</v>
          </cell>
          <cell r="C3437" t="str">
            <v>Asarganj</v>
          </cell>
          <cell r="D3437" t="str">
            <v>KUMARPUIR KATHARA</v>
          </cell>
          <cell r="E3437">
            <v>10240001</v>
          </cell>
          <cell r="F3437" t="str">
            <v>0360</v>
          </cell>
          <cell r="G3437">
            <v>6</v>
          </cell>
          <cell r="H3437">
            <v>21.900000000000002</v>
          </cell>
          <cell r="I3437">
            <v>708.318912114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P3437">
            <v>708</v>
          </cell>
          <cell r="V3437" t="str">
            <v>Available</v>
          </cell>
        </row>
        <row r="3438">
          <cell r="A3438" t="str">
            <v>102400010366</v>
          </cell>
          <cell r="B3438" t="str">
            <v>Asarganj</v>
          </cell>
          <cell r="C3438" t="str">
            <v>Asarganj</v>
          </cell>
          <cell r="D3438" t="str">
            <v>KUMARPUIR KATHARA</v>
          </cell>
          <cell r="E3438">
            <v>10240001</v>
          </cell>
          <cell r="F3438" t="str">
            <v>0366</v>
          </cell>
          <cell r="G3438">
            <v>3</v>
          </cell>
          <cell r="H3438">
            <v>9.1</v>
          </cell>
          <cell r="I3438">
            <v>297.514346778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P3438">
            <v>298</v>
          </cell>
          <cell r="V3438" t="str">
            <v>Available</v>
          </cell>
        </row>
        <row r="3439">
          <cell r="A3439" t="str">
            <v>102400010375</v>
          </cell>
          <cell r="B3439" t="str">
            <v>Asarganj</v>
          </cell>
          <cell r="C3439" t="str">
            <v>Asarganj</v>
          </cell>
          <cell r="D3439" t="str">
            <v>KUMARPUIR KATHARA</v>
          </cell>
          <cell r="E3439">
            <v>10240001</v>
          </cell>
          <cell r="F3439" t="str">
            <v>0375</v>
          </cell>
          <cell r="G3439">
            <v>12</v>
          </cell>
          <cell r="H3439">
            <v>67.599999999999994</v>
          </cell>
          <cell r="I3439">
            <v>2286.9693021780004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P3439">
            <v>2287</v>
          </cell>
          <cell r="V3439" t="str">
            <v>Available</v>
          </cell>
        </row>
        <row r="3440">
          <cell r="A3440" t="str">
            <v>102400010387</v>
          </cell>
          <cell r="B3440" t="str">
            <v>Asarganj</v>
          </cell>
          <cell r="C3440" t="str">
            <v>Asarganj</v>
          </cell>
          <cell r="D3440" t="str">
            <v>KUMARPUIR KATHARA</v>
          </cell>
          <cell r="E3440">
            <v>10240001</v>
          </cell>
          <cell r="F3440" t="str">
            <v>0387</v>
          </cell>
          <cell r="G3440">
            <v>1</v>
          </cell>
          <cell r="H3440">
            <v>6.2</v>
          </cell>
          <cell r="I3440">
            <v>188.48350659599998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P3440">
            <v>188</v>
          </cell>
          <cell r="V3440" t="str">
            <v>Available</v>
          </cell>
        </row>
        <row r="3441">
          <cell r="A3441" t="str">
            <v>102400010396</v>
          </cell>
          <cell r="B3441" t="str">
            <v>Asarganj</v>
          </cell>
          <cell r="C3441" t="str">
            <v>Asarganj</v>
          </cell>
          <cell r="D3441" t="str">
            <v>KUMARPUIR KATHARA</v>
          </cell>
          <cell r="E3441">
            <v>10240001</v>
          </cell>
          <cell r="F3441" t="str">
            <v>0396</v>
          </cell>
          <cell r="G3441">
            <v>2</v>
          </cell>
          <cell r="H3441">
            <v>4.6999999999999993</v>
          </cell>
          <cell r="I3441">
            <v>165.01819355999999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P3441">
            <v>165</v>
          </cell>
          <cell r="V3441" t="str">
            <v>Available</v>
          </cell>
        </row>
        <row r="3442">
          <cell r="A3442" t="str">
            <v>102400010397</v>
          </cell>
          <cell r="B3442" t="str">
            <v>Asarganj</v>
          </cell>
          <cell r="C3442" t="str">
            <v>Asarganj</v>
          </cell>
          <cell r="D3442" t="str">
            <v>KUMARPUIR KATHARA</v>
          </cell>
          <cell r="E3442">
            <v>10240001</v>
          </cell>
          <cell r="F3442" t="str">
            <v>0397</v>
          </cell>
          <cell r="G3442">
            <v>6</v>
          </cell>
          <cell r="H3442">
            <v>74.599999999999994</v>
          </cell>
          <cell r="I3442">
            <v>2784.4252598902999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P3442">
            <v>2784</v>
          </cell>
          <cell r="V3442" t="str">
            <v>Available</v>
          </cell>
        </row>
        <row r="3443">
          <cell r="A3443" t="str">
            <v>102400010399</v>
          </cell>
          <cell r="B3443" t="str">
            <v>Asarganj</v>
          </cell>
          <cell r="C3443" t="str">
            <v>Asarganj</v>
          </cell>
          <cell r="D3443" t="str">
            <v>KUMARPUIR KATHARA</v>
          </cell>
          <cell r="E3443">
            <v>10240001</v>
          </cell>
          <cell r="F3443" t="str">
            <v>0399</v>
          </cell>
          <cell r="G3443">
            <v>5</v>
          </cell>
          <cell r="H3443">
            <v>17.600000000000001</v>
          </cell>
          <cell r="I3443">
            <v>578.76194732400006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P3443">
            <v>579</v>
          </cell>
          <cell r="V3443" t="str">
            <v>Available</v>
          </cell>
        </row>
        <row r="3444">
          <cell r="A3444" t="str">
            <v>102400010439</v>
          </cell>
          <cell r="B3444" t="str">
            <v>Asarganj</v>
          </cell>
          <cell r="C3444" t="str">
            <v>Asarganj</v>
          </cell>
          <cell r="D3444" t="str">
            <v>KUMARPUIR KATHARA</v>
          </cell>
          <cell r="E3444">
            <v>10240001</v>
          </cell>
          <cell r="F3444" t="str">
            <v>0439</v>
          </cell>
          <cell r="G3444">
            <v>4</v>
          </cell>
          <cell r="H3444">
            <v>34.300000000000004</v>
          </cell>
          <cell r="I3444">
            <v>1121.681407968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P3444">
            <v>1122</v>
          </cell>
          <cell r="V3444" t="str">
            <v>Available</v>
          </cell>
        </row>
        <row r="3445">
          <cell r="A3445" t="str">
            <v>102400010443</v>
          </cell>
          <cell r="B3445" t="str">
            <v>Asarganj</v>
          </cell>
          <cell r="C3445" t="str">
            <v>Asarganj</v>
          </cell>
          <cell r="D3445" t="str">
            <v>KUMARPUIR KATHARA</v>
          </cell>
          <cell r="E3445">
            <v>10240001</v>
          </cell>
          <cell r="F3445" t="str">
            <v>0443</v>
          </cell>
          <cell r="G3445">
            <v>11</v>
          </cell>
          <cell r="H3445">
            <v>39.5</v>
          </cell>
          <cell r="I3445">
            <v>1361.222185158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P3445">
            <v>1361</v>
          </cell>
          <cell r="V3445" t="str">
            <v>Available</v>
          </cell>
        </row>
        <row r="3446">
          <cell r="A3446" t="str">
            <v>102400010453</v>
          </cell>
          <cell r="B3446" t="str">
            <v>Asarganj</v>
          </cell>
          <cell r="C3446" t="str">
            <v>Asarganj</v>
          </cell>
          <cell r="D3446" t="str">
            <v>KUMARPUIR KATHARA</v>
          </cell>
          <cell r="E3446">
            <v>10240001</v>
          </cell>
          <cell r="F3446" t="str">
            <v>0453</v>
          </cell>
          <cell r="G3446">
            <v>4</v>
          </cell>
          <cell r="H3446">
            <v>10.8</v>
          </cell>
          <cell r="I3446">
            <v>356.02882860600005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P3446">
            <v>356</v>
          </cell>
          <cell r="V3446" t="str">
            <v>Available</v>
          </cell>
        </row>
        <row r="3447">
          <cell r="A3447" t="str">
            <v>102400010462</v>
          </cell>
          <cell r="B3447" t="str">
            <v>Asarganj</v>
          </cell>
          <cell r="C3447" t="str">
            <v>Asarganj</v>
          </cell>
          <cell r="D3447" t="str">
            <v>KUMARPUIR KATHARA</v>
          </cell>
          <cell r="E3447">
            <v>10240001</v>
          </cell>
          <cell r="F3447" t="str">
            <v>0462</v>
          </cell>
          <cell r="G3447">
            <v>3</v>
          </cell>
          <cell r="H3447">
            <v>5.4</v>
          </cell>
          <cell r="I3447">
            <v>178.64327725200002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P3447">
            <v>179</v>
          </cell>
          <cell r="V3447" t="str">
            <v>Available</v>
          </cell>
        </row>
        <row r="3448">
          <cell r="A3448" t="str">
            <v>102400010470</v>
          </cell>
          <cell r="B3448" t="str">
            <v>Asarganj</v>
          </cell>
          <cell r="C3448" t="str">
            <v>Asarganj</v>
          </cell>
          <cell r="D3448" t="str">
            <v>KUMARPUIR KATHARA</v>
          </cell>
          <cell r="E3448">
            <v>10240001</v>
          </cell>
          <cell r="F3448" t="str">
            <v>0470</v>
          </cell>
          <cell r="G3448">
            <v>8</v>
          </cell>
          <cell r="H3448">
            <v>21.6</v>
          </cell>
          <cell r="I3448">
            <v>811.84946436000007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P3448">
            <v>812</v>
          </cell>
          <cell r="V3448" t="str">
            <v>Available</v>
          </cell>
        </row>
        <row r="3449">
          <cell r="A3449" t="str">
            <v>102400010471</v>
          </cell>
          <cell r="B3449" t="str">
            <v>Asarganj</v>
          </cell>
          <cell r="C3449" t="str">
            <v>Asarganj</v>
          </cell>
          <cell r="D3449" t="str">
            <v>KUMARPUIR KATHARA</v>
          </cell>
          <cell r="E3449">
            <v>10240001</v>
          </cell>
          <cell r="F3449" t="str">
            <v>0471</v>
          </cell>
          <cell r="G3449">
            <v>3</v>
          </cell>
          <cell r="H3449">
            <v>17.899999999999999</v>
          </cell>
          <cell r="I3449">
            <v>599.62377142800005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P3449">
            <v>600</v>
          </cell>
          <cell r="V3449" t="str">
            <v>Available</v>
          </cell>
        </row>
        <row r="3450">
          <cell r="A3450" t="str">
            <v>102400010475</v>
          </cell>
          <cell r="B3450" t="str">
            <v>Asarganj</v>
          </cell>
          <cell r="C3450" t="str">
            <v>Asarganj</v>
          </cell>
          <cell r="D3450" t="str">
            <v>KUMARPUIR KATHARA</v>
          </cell>
          <cell r="E3450">
            <v>10240001</v>
          </cell>
          <cell r="F3450" t="str">
            <v>0475</v>
          </cell>
          <cell r="G3450">
            <v>8</v>
          </cell>
          <cell r="H3450">
            <v>44.7</v>
          </cell>
          <cell r="I3450">
            <v>1460.9632987620002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P3450">
            <v>1461</v>
          </cell>
          <cell r="V3450" t="str">
            <v>Available</v>
          </cell>
        </row>
        <row r="3451">
          <cell r="A3451" t="str">
            <v>102400010477</v>
          </cell>
          <cell r="B3451" t="str">
            <v>Asarganj</v>
          </cell>
          <cell r="C3451" t="str">
            <v>Asarganj</v>
          </cell>
          <cell r="D3451" t="str">
            <v>KUMARPUIR KATHARA</v>
          </cell>
          <cell r="E3451">
            <v>10240001</v>
          </cell>
          <cell r="F3451" t="str">
            <v>0477</v>
          </cell>
          <cell r="G3451">
            <v>10</v>
          </cell>
          <cell r="H3451">
            <v>42.1</v>
          </cell>
          <cell r="I3451">
            <v>1360.9654941959998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P3451">
            <v>1361</v>
          </cell>
          <cell r="V3451" t="str">
            <v>Available</v>
          </cell>
        </row>
        <row r="3452">
          <cell r="A3452" t="str">
            <v>102400010478</v>
          </cell>
          <cell r="B3452" t="str">
            <v>Asarganj</v>
          </cell>
          <cell r="C3452" t="str">
            <v>Asarganj</v>
          </cell>
          <cell r="D3452" t="str">
            <v>KUMARPUIR KATHARA</v>
          </cell>
          <cell r="E3452">
            <v>10240001</v>
          </cell>
          <cell r="F3452" t="str">
            <v>0478</v>
          </cell>
          <cell r="G3452">
            <v>10</v>
          </cell>
          <cell r="H3452">
            <v>28.700000000000003</v>
          </cell>
          <cell r="I3452">
            <v>955.3401819720001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P3452">
            <v>955</v>
          </cell>
          <cell r="V3452" t="str">
            <v>Available</v>
          </cell>
        </row>
        <row r="3453">
          <cell r="A3453" t="str">
            <v>102500010001</v>
          </cell>
          <cell r="B3453" t="str">
            <v>Asarganj</v>
          </cell>
          <cell r="C3453" t="str">
            <v>Asarganj</v>
          </cell>
          <cell r="D3453" t="str">
            <v>KUDHIYA MPG</v>
          </cell>
          <cell r="E3453">
            <v>10250001</v>
          </cell>
          <cell r="F3453" t="str">
            <v>0001</v>
          </cell>
          <cell r="G3453">
            <v>4</v>
          </cell>
          <cell r="H3453">
            <v>4</v>
          </cell>
          <cell r="I3453">
            <v>155.23627680000004</v>
          </cell>
          <cell r="J3453">
            <v>0</v>
          </cell>
          <cell r="K3453">
            <v>155.23627680000004</v>
          </cell>
          <cell r="L3453">
            <v>0</v>
          </cell>
          <cell r="M3453">
            <v>0</v>
          </cell>
          <cell r="P3453">
            <v>0</v>
          </cell>
          <cell r="V3453" t="str">
            <v>Not Available</v>
          </cell>
        </row>
        <row r="3454">
          <cell r="A3454" t="str">
            <v>102500010002</v>
          </cell>
          <cell r="B3454" t="str">
            <v>Asarganj</v>
          </cell>
          <cell r="C3454" t="str">
            <v>Asarganj</v>
          </cell>
          <cell r="D3454" t="str">
            <v>KUDHIYA MPG</v>
          </cell>
          <cell r="E3454">
            <v>10250001</v>
          </cell>
          <cell r="F3454" t="str">
            <v>0002</v>
          </cell>
          <cell r="G3454">
            <v>7</v>
          </cell>
          <cell r="H3454">
            <v>81.2</v>
          </cell>
          <cell r="I3454">
            <v>3311.9947515600002</v>
          </cell>
          <cell r="J3454">
            <v>0</v>
          </cell>
          <cell r="K3454">
            <v>0</v>
          </cell>
          <cell r="L3454">
            <v>100</v>
          </cell>
          <cell r="M3454">
            <v>0</v>
          </cell>
          <cell r="P3454">
            <v>3212</v>
          </cell>
          <cell r="V3454" t="str">
            <v>Available</v>
          </cell>
        </row>
        <row r="3455">
          <cell r="A3455" t="str">
            <v>102500010026</v>
          </cell>
          <cell r="B3455" t="str">
            <v>Asarganj</v>
          </cell>
          <cell r="C3455" t="str">
            <v>Asarganj</v>
          </cell>
          <cell r="D3455" t="str">
            <v>KUDHIYA MPG</v>
          </cell>
          <cell r="E3455">
            <v>10250001</v>
          </cell>
          <cell r="F3455" t="str">
            <v>0026</v>
          </cell>
          <cell r="G3455">
            <v>5</v>
          </cell>
          <cell r="H3455">
            <v>15.4</v>
          </cell>
          <cell r="I3455">
            <v>1074.3776121747001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P3455">
            <v>1074</v>
          </cell>
          <cell r="V3455" t="str">
            <v>Available</v>
          </cell>
        </row>
        <row r="3456">
          <cell r="A3456" t="str">
            <v>102500010027</v>
          </cell>
          <cell r="B3456" t="str">
            <v>Asarganj</v>
          </cell>
          <cell r="C3456" t="str">
            <v>Asarganj</v>
          </cell>
          <cell r="D3456" t="str">
            <v>KUDHIYA MPG</v>
          </cell>
          <cell r="E3456">
            <v>10250001</v>
          </cell>
          <cell r="F3456" t="str">
            <v>0027</v>
          </cell>
          <cell r="G3456">
            <v>4</v>
          </cell>
          <cell r="H3456">
            <v>38</v>
          </cell>
          <cell r="I3456">
            <v>1474.7446296000003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P3456">
            <v>1475</v>
          </cell>
          <cell r="V3456" t="str">
            <v>Available</v>
          </cell>
        </row>
        <row r="3457">
          <cell r="A3457" t="str">
            <v>102500010098</v>
          </cell>
          <cell r="B3457" t="str">
            <v>Asarganj</v>
          </cell>
          <cell r="C3457" t="str">
            <v>Asarganj</v>
          </cell>
          <cell r="D3457" t="str">
            <v>KUDHIYA MPG</v>
          </cell>
          <cell r="E3457">
            <v>10250001</v>
          </cell>
          <cell r="F3457" t="str">
            <v>0098</v>
          </cell>
          <cell r="G3457">
            <v>3</v>
          </cell>
          <cell r="H3457">
            <v>11.5</v>
          </cell>
          <cell r="I3457">
            <v>792.40058814000008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P3457">
            <v>792</v>
          </cell>
          <cell r="V3457" t="str">
            <v>Available</v>
          </cell>
        </row>
        <row r="3458">
          <cell r="A3458" t="str">
            <v>102500010124</v>
          </cell>
          <cell r="B3458" t="str">
            <v>Asarganj</v>
          </cell>
          <cell r="C3458" t="str">
            <v>Asarganj</v>
          </cell>
          <cell r="D3458" t="str">
            <v>KUDHIYA MPG</v>
          </cell>
          <cell r="E3458">
            <v>10250001</v>
          </cell>
          <cell r="F3458" t="str">
            <v>0124</v>
          </cell>
          <cell r="G3458">
            <v>3</v>
          </cell>
          <cell r="H3458">
            <v>7.6999999999999993</v>
          </cell>
          <cell r="I3458">
            <v>560.30688443999998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P3458">
            <v>560</v>
          </cell>
          <cell r="V3458" t="str">
            <v>Available</v>
          </cell>
        </row>
        <row r="3459">
          <cell r="A3459" t="str">
            <v>102500010197</v>
          </cell>
          <cell r="B3459" t="str">
            <v>Asarganj</v>
          </cell>
          <cell r="C3459" t="str">
            <v>Asarganj</v>
          </cell>
          <cell r="D3459" t="str">
            <v>KUDHIYA MPG</v>
          </cell>
          <cell r="E3459">
            <v>10250001</v>
          </cell>
          <cell r="F3459" t="str">
            <v>0197</v>
          </cell>
          <cell r="G3459">
            <v>4</v>
          </cell>
          <cell r="H3459">
            <v>38</v>
          </cell>
          <cell r="I3459">
            <v>1474.7446296000003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P3459">
            <v>1475</v>
          </cell>
          <cell r="V3459" t="str">
            <v>Available</v>
          </cell>
        </row>
        <row r="3460">
          <cell r="A3460" t="str">
            <v>102500010198</v>
          </cell>
          <cell r="B3460" t="str">
            <v>Asarganj</v>
          </cell>
          <cell r="C3460" t="str">
            <v>Asarganj</v>
          </cell>
          <cell r="D3460" t="str">
            <v>KUDHIYA MPG</v>
          </cell>
          <cell r="E3460">
            <v>10250001</v>
          </cell>
          <cell r="F3460" t="str">
            <v>0198</v>
          </cell>
          <cell r="G3460">
            <v>4</v>
          </cell>
          <cell r="H3460">
            <v>38</v>
          </cell>
          <cell r="I3460">
            <v>1474.7446296000003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P3460">
            <v>1475</v>
          </cell>
          <cell r="V3460" t="str">
            <v>Available</v>
          </cell>
        </row>
        <row r="3461">
          <cell r="A3461" t="str">
            <v>102500010201</v>
          </cell>
          <cell r="B3461" t="str">
            <v>Asarganj</v>
          </cell>
          <cell r="C3461" t="str">
            <v>Asarganj</v>
          </cell>
          <cell r="D3461" t="str">
            <v>KUDHIYA MPG</v>
          </cell>
          <cell r="E3461">
            <v>10250001</v>
          </cell>
          <cell r="F3461" t="str">
            <v>0201</v>
          </cell>
          <cell r="G3461">
            <v>6</v>
          </cell>
          <cell r="H3461">
            <v>12.100000000000001</v>
          </cell>
          <cell r="I3461">
            <v>662.79446526400011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P3461">
            <v>663</v>
          </cell>
          <cell r="V3461" t="str">
            <v>Available</v>
          </cell>
        </row>
        <row r="3462">
          <cell r="A3462" t="str">
            <v>102500010212</v>
          </cell>
          <cell r="B3462" t="str">
            <v>Asarganj</v>
          </cell>
          <cell r="C3462" t="str">
            <v>Asarganj</v>
          </cell>
          <cell r="D3462" t="str">
            <v>KUDHIYA MPG</v>
          </cell>
          <cell r="E3462">
            <v>10250001</v>
          </cell>
          <cell r="F3462" t="str">
            <v>0212</v>
          </cell>
          <cell r="G3462">
            <v>4</v>
          </cell>
          <cell r="H3462">
            <v>38</v>
          </cell>
          <cell r="I3462">
            <v>1474.7446296000003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P3462">
            <v>1475</v>
          </cell>
          <cell r="V3462" t="str">
            <v>Available</v>
          </cell>
        </row>
        <row r="3463">
          <cell r="A3463" t="str">
            <v>102500010221</v>
          </cell>
          <cell r="B3463" t="str">
            <v>Asarganj</v>
          </cell>
          <cell r="C3463" t="str">
            <v>Asarganj</v>
          </cell>
          <cell r="D3463" t="str">
            <v>KUDHIYA MPG</v>
          </cell>
          <cell r="E3463">
            <v>10250001</v>
          </cell>
          <cell r="F3463" t="str">
            <v>0221</v>
          </cell>
          <cell r="G3463">
            <v>2</v>
          </cell>
          <cell r="H3463">
            <v>4.5</v>
          </cell>
          <cell r="I3463">
            <v>205.88550840000005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P3463">
            <v>206</v>
          </cell>
          <cell r="V3463" t="str">
            <v>Available</v>
          </cell>
        </row>
        <row r="3464">
          <cell r="A3464" t="str">
            <v>102500010231</v>
          </cell>
          <cell r="B3464" t="str">
            <v>Asarganj</v>
          </cell>
          <cell r="C3464" t="str">
            <v>Asarganj</v>
          </cell>
          <cell r="D3464" t="str">
            <v>KUDHIYA MPG</v>
          </cell>
          <cell r="E3464">
            <v>10250001</v>
          </cell>
          <cell r="F3464" t="str">
            <v>0231</v>
          </cell>
          <cell r="G3464">
            <v>5</v>
          </cell>
          <cell r="H3464">
            <v>9.8999999999999986</v>
          </cell>
          <cell r="I3464">
            <v>594.10512950099996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P3464">
            <v>594</v>
          </cell>
          <cell r="V3464" t="str">
            <v>Available</v>
          </cell>
        </row>
        <row r="3465">
          <cell r="A3465" t="str">
            <v>102500010234</v>
          </cell>
          <cell r="B3465" t="str">
            <v>Asarganj</v>
          </cell>
          <cell r="C3465" t="str">
            <v>Asarganj</v>
          </cell>
          <cell r="D3465" t="str">
            <v>KUDHIYA MPG</v>
          </cell>
          <cell r="E3465">
            <v>10250001</v>
          </cell>
          <cell r="F3465" t="str">
            <v>0234</v>
          </cell>
          <cell r="G3465">
            <v>6</v>
          </cell>
          <cell r="H3465">
            <v>28.799999999999997</v>
          </cell>
          <cell r="I3465">
            <v>1572.9051968370002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P3465">
            <v>1573</v>
          </cell>
          <cell r="V3465" t="str">
            <v>Available</v>
          </cell>
        </row>
        <row r="3466">
          <cell r="A3466" t="str">
            <v>102600010001</v>
          </cell>
          <cell r="B3466" t="str">
            <v>Asarganj</v>
          </cell>
          <cell r="C3466" t="str">
            <v>Asarganj</v>
          </cell>
          <cell r="D3466" t="str">
            <v>SHAHJADPUR MPG</v>
          </cell>
          <cell r="E3466">
            <v>10260001</v>
          </cell>
          <cell r="F3466" t="str">
            <v>0001</v>
          </cell>
          <cell r="G3466">
            <v>10</v>
          </cell>
          <cell r="H3466">
            <v>6.3</v>
          </cell>
          <cell r="I3466">
            <v>280.99151541560002</v>
          </cell>
          <cell r="J3466">
            <v>0</v>
          </cell>
          <cell r="K3466">
            <v>280.99151541560002</v>
          </cell>
          <cell r="L3466">
            <v>0</v>
          </cell>
          <cell r="M3466">
            <v>0</v>
          </cell>
          <cell r="P3466">
            <v>0</v>
          </cell>
          <cell r="V3466" t="str">
            <v>Not Available</v>
          </cell>
        </row>
        <row r="3467">
          <cell r="A3467" t="str">
            <v>102600010004</v>
          </cell>
          <cell r="B3467" t="str">
            <v>Asarganj</v>
          </cell>
          <cell r="C3467" t="str">
            <v>Asarganj</v>
          </cell>
          <cell r="D3467" t="str">
            <v>SHAHJADPUR MPG</v>
          </cell>
          <cell r="E3467">
            <v>10260001</v>
          </cell>
          <cell r="F3467" t="str">
            <v>0004</v>
          </cell>
          <cell r="G3467">
            <v>1</v>
          </cell>
          <cell r="H3467">
            <v>10.4</v>
          </cell>
          <cell r="I3467">
            <v>506.34896700960007</v>
          </cell>
          <cell r="J3467">
            <v>0</v>
          </cell>
          <cell r="K3467">
            <v>0</v>
          </cell>
          <cell r="L3467">
            <v>506</v>
          </cell>
          <cell r="M3467">
            <v>0</v>
          </cell>
          <cell r="P3467">
            <v>0</v>
          </cell>
          <cell r="V3467" t="str">
            <v>Available</v>
          </cell>
        </row>
        <row r="3468">
          <cell r="A3468" t="str">
            <v>102600010008</v>
          </cell>
          <cell r="B3468" t="str">
            <v>Asarganj</v>
          </cell>
          <cell r="C3468" t="str">
            <v>Asarganj</v>
          </cell>
          <cell r="D3468" t="str">
            <v>SHAHJADPUR MPG</v>
          </cell>
          <cell r="E3468">
            <v>10260001</v>
          </cell>
          <cell r="F3468" t="str">
            <v>0008</v>
          </cell>
          <cell r="G3468">
            <v>5</v>
          </cell>
          <cell r="H3468">
            <v>53.1</v>
          </cell>
          <cell r="I3468">
            <v>2371.9966213900002</v>
          </cell>
          <cell r="J3468">
            <v>0</v>
          </cell>
          <cell r="K3468">
            <v>0</v>
          </cell>
          <cell r="L3468">
            <v>2372</v>
          </cell>
          <cell r="M3468">
            <v>0</v>
          </cell>
          <cell r="P3468">
            <v>0</v>
          </cell>
          <cell r="V3468" t="str">
            <v>Available</v>
          </cell>
        </row>
        <row r="3469">
          <cell r="A3469" t="str">
            <v>102600010022</v>
          </cell>
          <cell r="B3469" t="str">
            <v>Asarganj</v>
          </cell>
          <cell r="C3469" t="str">
            <v>Asarganj</v>
          </cell>
          <cell r="D3469" t="str">
            <v>SHAHJADPUR MPG</v>
          </cell>
          <cell r="E3469">
            <v>10260001</v>
          </cell>
          <cell r="F3469" t="str">
            <v>0022</v>
          </cell>
          <cell r="G3469">
            <v>11</v>
          </cell>
          <cell r="H3469">
            <v>138.5</v>
          </cell>
          <cell r="I3469">
            <v>5181.2717299200003</v>
          </cell>
          <cell r="J3469">
            <v>0</v>
          </cell>
          <cell r="K3469">
            <v>0</v>
          </cell>
          <cell r="L3469">
            <v>4739</v>
          </cell>
          <cell r="M3469">
            <v>0</v>
          </cell>
          <cell r="P3469">
            <v>442</v>
          </cell>
          <cell r="V3469" t="str">
            <v>Available</v>
          </cell>
        </row>
        <row r="3470">
          <cell r="A3470" t="str">
            <v>102600010033</v>
          </cell>
          <cell r="B3470" t="str">
            <v>Asarganj</v>
          </cell>
          <cell r="C3470" t="str">
            <v>Asarganj</v>
          </cell>
          <cell r="D3470" t="str">
            <v>SHAHJADPUR MPG</v>
          </cell>
          <cell r="E3470">
            <v>10260001</v>
          </cell>
          <cell r="F3470" t="str">
            <v>0033</v>
          </cell>
          <cell r="G3470">
            <v>6</v>
          </cell>
          <cell r="H3470">
            <v>64.5</v>
          </cell>
          <cell r="I3470">
            <v>2795.7668110596005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P3470">
            <v>2796</v>
          </cell>
          <cell r="V3470" t="str">
            <v>Available</v>
          </cell>
        </row>
        <row r="3471">
          <cell r="A3471" t="str">
            <v>102600010048</v>
          </cell>
          <cell r="B3471" t="str">
            <v>Asarganj</v>
          </cell>
          <cell r="C3471" t="str">
            <v>Asarganj</v>
          </cell>
          <cell r="D3471" t="str">
            <v>SHAHJADPUR MPG</v>
          </cell>
          <cell r="E3471">
            <v>10260001</v>
          </cell>
          <cell r="F3471" t="str">
            <v>0048</v>
          </cell>
          <cell r="G3471">
            <v>7</v>
          </cell>
          <cell r="H3471">
            <v>69.699999999999989</v>
          </cell>
          <cell r="I3471">
            <v>2983.8855222000002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P3471">
            <v>2984</v>
          </cell>
          <cell r="V3471" t="str">
            <v>Available</v>
          </cell>
        </row>
        <row r="3472">
          <cell r="A3472" t="str">
            <v>102600010068</v>
          </cell>
          <cell r="B3472" t="str">
            <v>Asarganj</v>
          </cell>
          <cell r="C3472" t="str">
            <v>Asarganj</v>
          </cell>
          <cell r="D3472" t="str">
            <v>SHAHJADPUR MPG</v>
          </cell>
          <cell r="E3472">
            <v>10260001</v>
          </cell>
          <cell r="F3472" t="str">
            <v>0068</v>
          </cell>
          <cell r="G3472">
            <v>7</v>
          </cell>
          <cell r="H3472">
            <v>75.699999999999989</v>
          </cell>
          <cell r="I3472">
            <v>3517.9021532945403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P3472">
            <v>3518</v>
          </cell>
          <cell r="V3472" t="str">
            <v>Available</v>
          </cell>
        </row>
        <row r="3473">
          <cell r="A3473" t="str">
            <v>102600010128</v>
          </cell>
          <cell r="B3473" t="str">
            <v>Asarganj</v>
          </cell>
          <cell r="C3473" t="str">
            <v>Asarganj</v>
          </cell>
          <cell r="D3473" t="str">
            <v>SHAHJADPUR MPG</v>
          </cell>
          <cell r="E3473">
            <v>10260001</v>
          </cell>
          <cell r="F3473" t="str">
            <v>0128</v>
          </cell>
          <cell r="G3473">
            <v>11</v>
          </cell>
          <cell r="H3473">
            <v>120.20000000000002</v>
          </cell>
          <cell r="I3473">
            <v>5670.5889862234999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P3473">
            <v>5671</v>
          </cell>
          <cell r="V3473" t="str">
            <v>Available</v>
          </cell>
        </row>
        <row r="3474">
          <cell r="A3474" t="str">
            <v>102600010158</v>
          </cell>
          <cell r="B3474" t="str">
            <v>Asarganj</v>
          </cell>
          <cell r="C3474" t="str">
            <v>Asarganj</v>
          </cell>
          <cell r="D3474" t="str">
            <v>SHAHJADPUR MPG</v>
          </cell>
          <cell r="E3474">
            <v>10260001</v>
          </cell>
          <cell r="F3474" t="str">
            <v>0158</v>
          </cell>
          <cell r="G3474">
            <v>6</v>
          </cell>
          <cell r="H3474">
            <v>61.599999999999994</v>
          </cell>
          <cell r="I3474">
            <v>2865.0103223719502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P3474">
            <v>2865</v>
          </cell>
          <cell r="V3474" t="str">
            <v>Available</v>
          </cell>
        </row>
        <row r="3475">
          <cell r="A3475" t="str">
            <v>102600010162</v>
          </cell>
          <cell r="B3475" t="str">
            <v>Asarganj</v>
          </cell>
          <cell r="C3475" t="str">
            <v>Asarganj</v>
          </cell>
          <cell r="D3475" t="str">
            <v>SHAHJADPUR MPG</v>
          </cell>
          <cell r="E3475">
            <v>10260001</v>
          </cell>
          <cell r="F3475" t="str">
            <v>0162</v>
          </cell>
          <cell r="G3475">
            <v>9</v>
          </cell>
          <cell r="H3475">
            <v>96</v>
          </cell>
          <cell r="I3475">
            <v>4199.5431472500004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P3475">
            <v>4200</v>
          </cell>
          <cell r="V3475" t="str">
            <v>Available</v>
          </cell>
        </row>
        <row r="3476">
          <cell r="A3476" t="str">
            <v>102600010168</v>
          </cell>
          <cell r="B3476" t="str">
            <v>Asarganj</v>
          </cell>
          <cell r="C3476" t="str">
            <v>Asarganj</v>
          </cell>
          <cell r="D3476" t="str">
            <v>SHAHJADPUR MPG</v>
          </cell>
          <cell r="E3476">
            <v>10260001</v>
          </cell>
          <cell r="F3476" t="str">
            <v>0168</v>
          </cell>
          <cell r="G3476">
            <v>5</v>
          </cell>
          <cell r="H3476">
            <v>52.7</v>
          </cell>
          <cell r="I3476">
            <v>2290.8897677345003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P3476">
            <v>2291</v>
          </cell>
          <cell r="V3476" t="str">
            <v>Available</v>
          </cell>
        </row>
        <row r="3477">
          <cell r="A3477" t="str">
            <v>102600010170</v>
          </cell>
          <cell r="B3477" t="str">
            <v>Asarganj</v>
          </cell>
          <cell r="C3477" t="str">
            <v>Asarganj</v>
          </cell>
          <cell r="D3477" t="str">
            <v>SHAHJADPUR MPG</v>
          </cell>
          <cell r="E3477">
            <v>10260001</v>
          </cell>
          <cell r="F3477" t="str">
            <v>0170</v>
          </cell>
          <cell r="G3477">
            <v>4</v>
          </cell>
          <cell r="H3477">
            <v>42.4</v>
          </cell>
          <cell r="I3477">
            <v>1847.7356203650002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P3477">
            <v>1848</v>
          </cell>
          <cell r="V3477" t="str">
            <v>Available</v>
          </cell>
        </row>
        <row r="3478">
          <cell r="A3478" t="str">
            <v>102600010172</v>
          </cell>
          <cell r="B3478" t="str">
            <v>Asarganj</v>
          </cell>
          <cell r="C3478" t="str">
            <v>Asarganj</v>
          </cell>
          <cell r="D3478" t="str">
            <v>SHAHJADPUR MPG</v>
          </cell>
          <cell r="E3478">
            <v>10260001</v>
          </cell>
          <cell r="F3478" t="str">
            <v>0172</v>
          </cell>
          <cell r="G3478">
            <v>7</v>
          </cell>
          <cell r="H3478">
            <v>73.8</v>
          </cell>
          <cell r="I3478">
            <v>3367.1017004834002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P3478">
            <v>3367</v>
          </cell>
          <cell r="V3478" t="str">
            <v>Available</v>
          </cell>
        </row>
        <row r="3479">
          <cell r="A3479" t="str">
            <v>102600010175</v>
          </cell>
          <cell r="B3479" t="str">
            <v>Asarganj</v>
          </cell>
          <cell r="C3479" t="str">
            <v>Asarganj</v>
          </cell>
          <cell r="D3479" t="str">
            <v>SHAHJADPUR MPG</v>
          </cell>
          <cell r="E3479">
            <v>10260001</v>
          </cell>
          <cell r="F3479" t="str">
            <v>0175</v>
          </cell>
          <cell r="G3479">
            <v>8</v>
          </cell>
          <cell r="H3479">
            <v>85.6</v>
          </cell>
          <cell r="I3479">
            <v>3940.5541347359999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P3479">
            <v>3941</v>
          </cell>
          <cell r="V3479" t="str">
            <v>Available</v>
          </cell>
        </row>
        <row r="3480">
          <cell r="A3480" t="str">
            <v>102900010001</v>
          </cell>
          <cell r="B3480" t="str">
            <v>Sonvarsha</v>
          </cell>
          <cell r="C3480" t="str">
            <v>Sonvarsha</v>
          </cell>
          <cell r="D3480" t="str">
            <v>FARDA - 3</v>
          </cell>
          <cell r="E3480">
            <v>10290001</v>
          </cell>
          <cell r="F3480" t="str">
            <v>0001</v>
          </cell>
          <cell r="G3480">
            <v>11</v>
          </cell>
          <cell r="H3480">
            <v>5.3999999999999995</v>
          </cell>
          <cell r="I3480">
            <v>191.92059216000001</v>
          </cell>
          <cell r="J3480">
            <v>0</v>
          </cell>
          <cell r="K3480">
            <v>191.92059216000001</v>
          </cell>
          <cell r="L3480">
            <v>0</v>
          </cell>
          <cell r="M3480">
            <v>0</v>
          </cell>
          <cell r="P3480">
            <v>0</v>
          </cell>
          <cell r="V3480" t="str">
            <v>Not Available</v>
          </cell>
        </row>
        <row r="3481">
          <cell r="A3481" t="str">
            <v>102900010002</v>
          </cell>
          <cell r="B3481" t="str">
            <v>Sonvarsha</v>
          </cell>
          <cell r="C3481" t="str">
            <v>Sonvarsha</v>
          </cell>
          <cell r="D3481" t="str">
            <v>FARDA - 3</v>
          </cell>
          <cell r="E3481">
            <v>10290001</v>
          </cell>
          <cell r="F3481" t="str">
            <v>0002</v>
          </cell>
          <cell r="G3481">
            <v>10</v>
          </cell>
          <cell r="H3481">
            <v>694.39999999999986</v>
          </cell>
          <cell r="I3481">
            <v>24641.567101799999</v>
          </cell>
          <cell r="J3481">
            <v>0</v>
          </cell>
          <cell r="K3481">
            <v>0</v>
          </cell>
          <cell r="L3481">
            <v>1765</v>
          </cell>
          <cell r="M3481">
            <v>0</v>
          </cell>
          <cell r="P3481">
            <v>22877</v>
          </cell>
          <cell r="V3481" t="str">
            <v>Available</v>
          </cell>
        </row>
        <row r="3482">
          <cell r="A3482" t="str">
            <v>102900010007</v>
          </cell>
          <cell r="B3482" t="str">
            <v>Sonvarsha</v>
          </cell>
          <cell r="C3482" t="str">
            <v>Sonvarsha</v>
          </cell>
          <cell r="D3482" t="str">
            <v>FARDA - 3</v>
          </cell>
          <cell r="E3482">
            <v>10290001</v>
          </cell>
          <cell r="F3482" t="str">
            <v>0007</v>
          </cell>
          <cell r="G3482">
            <v>4</v>
          </cell>
          <cell r="H3482">
            <v>35.700000000000003</v>
          </cell>
          <cell r="I3482">
            <v>1299.6449136000001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P3482">
            <v>1300</v>
          </cell>
          <cell r="V3482" t="str">
            <v>Available</v>
          </cell>
        </row>
        <row r="3483">
          <cell r="A3483" t="str">
            <v>102900010021</v>
          </cell>
          <cell r="B3483" t="str">
            <v>Sonvarsha</v>
          </cell>
          <cell r="C3483" t="str">
            <v>Sonvarsha</v>
          </cell>
          <cell r="D3483" t="str">
            <v>FARDA - 3</v>
          </cell>
          <cell r="E3483">
            <v>10290001</v>
          </cell>
          <cell r="F3483" t="str">
            <v>0021</v>
          </cell>
          <cell r="G3483">
            <v>6</v>
          </cell>
          <cell r="H3483">
            <v>355.2</v>
          </cell>
          <cell r="I3483">
            <v>12364.345117080004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P3483">
            <v>12364</v>
          </cell>
          <cell r="V3483" t="str">
            <v>Not Available</v>
          </cell>
        </row>
        <row r="3484">
          <cell r="A3484" t="str">
            <v>102900010022</v>
          </cell>
          <cell r="B3484" t="str">
            <v>Sonvarsha</v>
          </cell>
          <cell r="C3484" t="str">
            <v>Sonvarsha</v>
          </cell>
          <cell r="D3484" t="str">
            <v>FARDA - 3</v>
          </cell>
          <cell r="E3484">
            <v>10290001</v>
          </cell>
          <cell r="F3484" t="str">
            <v>0022</v>
          </cell>
          <cell r="G3484">
            <v>5</v>
          </cell>
          <cell r="H3484">
            <v>192.10000000000002</v>
          </cell>
          <cell r="I3484">
            <v>6859.5993972000015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P3484">
            <v>6860</v>
          </cell>
          <cell r="V3484" t="str">
            <v>Not Available</v>
          </cell>
        </row>
        <row r="3485">
          <cell r="A3485" t="str">
            <v>102900010023</v>
          </cell>
          <cell r="B3485" t="str">
            <v>Sonvarsha</v>
          </cell>
          <cell r="C3485" t="str">
            <v>Sonvarsha</v>
          </cell>
          <cell r="D3485" t="str">
            <v>FARDA - 3</v>
          </cell>
          <cell r="E3485">
            <v>10290001</v>
          </cell>
          <cell r="F3485" t="str">
            <v>0023</v>
          </cell>
          <cell r="G3485">
            <v>3</v>
          </cell>
          <cell r="H3485">
            <v>61.300000000000004</v>
          </cell>
          <cell r="I3485">
            <v>2160.8667511200001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P3485">
            <v>2161</v>
          </cell>
          <cell r="V3485" t="str">
            <v>Not Available</v>
          </cell>
        </row>
        <row r="3486">
          <cell r="A3486" t="str">
            <v>102900010024</v>
          </cell>
          <cell r="B3486" t="str">
            <v>Sonvarsha</v>
          </cell>
          <cell r="C3486" t="str">
            <v>Sonvarsha</v>
          </cell>
          <cell r="D3486" t="str">
            <v>FARDA - 3</v>
          </cell>
          <cell r="E3486">
            <v>10290001</v>
          </cell>
          <cell r="F3486" t="str">
            <v>0024</v>
          </cell>
          <cell r="G3486">
            <v>3</v>
          </cell>
          <cell r="H3486">
            <v>61.6</v>
          </cell>
          <cell r="I3486">
            <v>2178.8850758400004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P3486">
            <v>2179</v>
          </cell>
          <cell r="V3486" t="str">
            <v>Not Available</v>
          </cell>
        </row>
        <row r="3487">
          <cell r="A3487" t="str">
            <v>102900010025</v>
          </cell>
          <cell r="B3487" t="str">
            <v>Sonvarsha</v>
          </cell>
          <cell r="C3487" t="str">
            <v>Sonvarsha</v>
          </cell>
          <cell r="D3487" t="str">
            <v>FARDA - 3</v>
          </cell>
          <cell r="E3487">
            <v>10290001</v>
          </cell>
          <cell r="F3487" t="str">
            <v>0025</v>
          </cell>
          <cell r="G3487">
            <v>3</v>
          </cell>
          <cell r="H3487">
            <v>232.3</v>
          </cell>
          <cell r="I3487">
            <v>8126.6950432800004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P3487">
            <v>8127</v>
          </cell>
          <cell r="V3487" t="str">
            <v>Not Available</v>
          </cell>
        </row>
        <row r="3488">
          <cell r="A3488" t="str">
            <v>102900010026</v>
          </cell>
          <cell r="B3488" t="str">
            <v>Sonvarsha</v>
          </cell>
          <cell r="C3488" t="str">
            <v>Sonvarsha</v>
          </cell>
          <cell r="D3488" t="str">
            <v>FARDA - 3</v>
          </cell>
          <cell r="E3488">
            <v>10290001</v>
          </cell>
          <cell r="F3488" t="str">
            <v>0026</v>
          </cell>
          <cell r="G3488">
            <v>2</v>
          </cell>
          <cell r="H3488">
            <v>41</v>
          </cell>
          <cell r="I3488">
            <v>1417.7769051600001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P3488">
            <v>1418</v>
          </cell>
          <cell r="V3488" t="str">
            <v>Not Available</v>
          </cell>
        </row>
        <row r="3489">
          <cell r="A3489" t="str">
            <v>102900010027</v>
          </cell>
          <cell r="B3489" t="str">
            <v>Sonvarsha</v>
          </cell>
          <cell r="C3489" t="str">
            <v>Sonvarsha</v>
          </cell>
          <cell r="D3489" t="str">
            <v>FARDA - 3</v>
          </cell>
          <cell r="E3489">
            <v>10290001</v>
          </cell>
          <cell r="F3489" t="str">
            <v>0027</v>
          </cell>
          <cell r="G3489">
            <v>2</v>
          </cell>
          <cell r="H3489">
            <v>41.2</v>
          </cell>
          <cell r="I3489">
            <v>1449.5099256000001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P3489">
            <v>1450</v>
          </cell>
          <cell r="V3489" t="str">
            <v>Not Available</v>
          </cell>
        </row>
        <row r="3490">
          <cell r="A3490" t="str">
            <v>102900010028</v>
          </cell>
          <cell r="B3490" t="str">
            <v>Sonvarsha</v>
          </cell>
          <cell r="C3490" t="str">
            <v>Sonvarsha</v>
          </cell>
          <cell r="D3490" t="str">
            <v>FARDA - 3</v>
          </cell>
          <cell r="E3490">
            <v>10290001</v>
          </cell>
          <cell r="F3490" t="str">
            <v>0028</v>
          </cell>
          <cell r="G3490">
            <v>2</v>
          </cell>
          <cell r="H3490">
            <v>48.900000000000006</v>
          </cell>
          <cell r="I3490">
            <v>1725.1873293600001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P3490">
            <v>1725</v>
          </cell>
          <cell r="V3490" t="str">
            <v>Not Available</v>
          </cell>
        </row>
        <row r="3491">
          <cell r="A3491" t="str">
            <v>102900010029</v>
          </cell>
          <cell r="B3491" t="str">
            <v>Sonvarsha</v>
          </cell>
          <cell r="C3491" t="str">
            <v>Sonvarsha</v>
          </cell>
          <cell r="D3491" t="str">
            <v>FARDA - 3</v>
          </cell>
          <cell r="E3491">
            <v>10290001</v>
          </cell>
          <cell r="F3491" t="str">
            <v>0029</v>
          </cell>
          <cell r="G3491">
            <v>2</v>
          </cell>
          <cell r="H3491">
            <v>46.400000000000006</v>
          </cell>
          <cell r="I3491">
            <v>1607.2819488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P3491">
            <v>1607</v>
          </cell>
          <cell r="V3491" t="str">
            <v>Not Available</v>
          </cell>
        </row>
        <row r="3492">
          <cell r="A3492" t="str">
            <v>102900010030</v>
          </cell>
          <cell r="B3492" t="str">
            <v>Sonvarsha</v>
          </cell>
          <cell r="C3492" t="str">
            <v>Sonvarsha</v>
          </cell>
          <cell r="D3492" t="str">
            <v>FARDA - 3</v>
          </cell>
          <cell r="E3492">
            <v>10290001</v>
          </cell>
          <cell r="F3492" t="str">
            <v>0030</v>
          </cell>
          <cell r="G3492">
            <v>2</v>
          </cell>
          <cell r="H3492">
            <v>52.599999999999994</v>
          </cell>
          <cell r="I3492">
            <v>1832.5868932799999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P3492">
            <v>1833</v>
          </cell>
          <cell r="V3492" t="str">
            <v>Not Available</v>
          </cell>
        </row>
        <row r="3493">
          <cell r="A3493" t="str">
            <v>102900010031</v>
          </cell>
          <cell r="B3493" t="str">
            <v>Sonvarsha</v>
          </cell>
          <cell r="C3493" t="str">
            <v>Sonvarsha</v>
          </cell>
          <cell r="D3493" t="str">
            <v>FARDA - 3</v>
          </cell>
          <cell r="E3493">
            <v>10290001</v>
          </cell>
          <cell r="F3493" t="str">
            <v>0031</v>
          </cell>
          <cell r="G3493">
            <v>1</v>
          </cell>
          <cell r="H3493">
            <v>23.1</v>
          </cell>
          <cell r="I3493">
            <v>820.25980344000016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P3493">
            <v>820</v>
          </cell>
          <cell r="V3493" t="str">
            <v>Not Available</v>
          </cell>
        </row>
        <row r="3494">
          <cell r="A3494" t="str">
            <v>103100010001</v>
          </cell>
          <cell r="B3494" t="str">
            <v>Sonvarsha</v>
          </cell>
          <cell r="C3494" t="str">
            <v>Sonvarsha</v>
          </cell>
          <cell r="D3494" t="str">
            <v>MANIKPUR</v>
          </cell>
          <cell r="E3494">
            <v>10310001</v>
          </cell>
          <cell r="F3494" t="str">
            <v>0001</v>
          </cell>
          <cell r="G3494">
            <v>13</v>
          </cell>
          <cell r="H3494">
            <v>5.2</v>
          </cell>
          <cell r="I3494">
            <v>204.80375520000004</v>
          </cell>
          <cell r="J3494">
            <v>0</v>
          </cell>
          <cell r="K3494">
            <v>204.80375520000004</v>
          </cell>
          <cell r="L3494">
            <v>0</v>
          </cell>
          <cell r="M3494">
            <v>0</v>
          </cell>
          <cell r="P3494">
            <v>0</v>
          </cell>
          <cell r="V3494" t="str">
            <v>Not Available</v>
          </cell>
        </row>
        <row r="3495">
          <cell r="A3495" t="str">
            <v>103100010007</v>
          </cell>
          <cell r="B3495" t="str">
            <v>Sonvarsha</v>
          </cell>
          <cell r="C3495" t="str">
            <v>Sonvarsha</v>
          </cell>
          <cell r="D3495" t="str">
            <v>MANIKPUR</v>
          </cell>
          <cell r="E3495">
            <v>10310001</v>
          </cell>
          <cell r="F3495" t="str">
            <v>0007</v>
          </cell>
          <cell r="G3495">
            <v>1</v>
          </cell>
          <cell r="H3495">
            <v>9</v>
          </cell>
          <cell r="I3495">
            <v>356.40997920000007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P3495">
            <v>356</v>
          </cell>
          <cell r="V3495" t="str">
            <v>Available</v>
          </cell>
        </row>
        <row r="3496">
          <cell r="A3496" t="str">
            <v>103100010100</v>
          </cell>
          <cell r="B3496" t="str">
            <v>Sonvarsha</v>
          </cell>
          <cell r="C3496" t="str">
            <v>Sonvarsha</v>
          </cell>
          <cell r="D3496" t="str">
            <v>MANIKPUR</v>
          </cell>
          <cell r="E3496">
            <v>10310001</v>
          </cell>
          <cell r="F3496" t="str">
            <v>0100</v>
          </cell>
          <cell r="G3496">
            <v>14</v>
          </cell>
          <cell r="H3496">
            <v>105</v>
          </cell>
          <cell r="I3496">
            <v>4157.9843976000011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P3496">
            <v>3846</v>
          </cell>
          <cell r="V3496" t="str">
            <v>Not Available</v>
          </cell>
        </row>
        <row r="3497">
          <cell r="A3497" t="str">
            <v>103100010102</v>
          </cell>
          <cell r="B3497" t="str">
            <v>Sonvarsha</v>
          </cell>
          <cell r="C3497" t="str">
            <v>Sonvarsha</v>
          </cell>
          <cell r="D3497" t="str">
            <v>MANIKPUR</v>
          </cell>
          <cell r="E3497">
            <v>10310001</v>
          </cell>
          <cell r="F3497" t="str">
            <v>0102</v>
          </cell>
          <cell r="G3497">
            <v>2</v>
          </cell>
          <cell r="H3497">
            <v>18</v>
          </cell>
          <cell r="I3497">
            <v>692.62383960000011</v>
          </cell>
          <cell r="J3497">
            <v>0</v>
          </cell>
          <cell r="K3497">
            <v>0</v>
          </cell>
          <cell r="L3497">
            <v>571</v>
          </cell>
          <cell r="M3497">
            <v>0</v>
          </cell>
          <cell r="P3497">
            <v>122</v>
          </cell>
          <cell r="V3497" t="str">
            <v>Not Available</v>
          </cell>
        </row>
        <row r="3498">
          <cell r="A3498" t="str">
            <v>103100010103</v>
          </cell>
          <cell r="B3498" t="str">
            <v>Sonvarsha</v>
          </cell>
          <cell r="C3498" t="str">
            <v>Sonvarsha</v>
          </cell>
          <cell r="D3498" t="str">
            <v>MANIKPUR</v>
          </cell>
          <cell r="E3498">
            <v>10310001</v>
          </cell>
          <cell r="F3498" t="str">
            <v>0103</v>
          </cell>
          <cell r="G3498">
            <v>12</v>
          </cell>
          <cell r="H3498">
            <v>95</v>
          </cell>
          <cell r="I3498">
            <v>3770.8174152000006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P3498">
            <v>3771</v>
          </cell>
          <cell r="V3498" t="str">
            <v>Not Available</v>
          </cell>
        </row>
        <row r="3499">
          <cell r="A3499" t="str">
            <v>103100010104</v>
          </cell>
          <cell r="B3499" t="str">
            <v>Sonvarsha</v>
          </cell>
          <cell r="C3499" t="str">
            <v>Sonvarsha</v>
          </cell>
          <cell r="D3499" t="str">
            <v>MANIKPUR</v>
          </cell>
          <cell r="E3499">
            <v>10310001</v>
          </cell>
          <cell r="F3499" t="str">
            <v>0104</v>
          </cell>
          <cell r="G3499">
            <v>13</v>
          </cell>
          <cell r="H3499">
            <v>104</v>
          </cell>
          <cell r="I3499">
            <v>4117.7232756000012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P3499">
            <v>4118</v>
          </cell>
          <cell r="V3499" t="str">
            <v>Not Available</v>
          </cell>
        </row>
        <row r="3500">
          <cell r="A3500" t="str">
            <v>103100010105</v>
          </cell>
          <cell r="B3500" t="str">
            <v>Sonvarsha</v>
          </cell>
          <cell r="C3500" t="str">
            <v>Sonvarsha</v>
          </cell>
          <cell r="D3500" t="str">
            <v>MANIKPUR</v>
          </cell>
          <cell r="E3500">
            <v>10310001</v>
          </cell>
          <cell r="F3500" t="str">
            <v>0105</v>
          </cell>
          <cell r="G3500">
            <v>12</v>
          </cell>
          <cell r="H3500">
            <v>91</v>
          </cell>
          <cell r="I3500">
            <v>3610.3009140000004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P3500">
            <v>3610</v>
          </cell>
          <cell r="V3500" t="str">
            <v>Not Available</v>
          </cell>
        </row>
        <row r="3501">
          <cell r="A3501" t="str">
            <v>103100010106</v>
          </cell>
          <cell r="B3501" t="str">
            <v>Sonvarsha</v>
          </cell>
          <cell r="C3501" t="str">
            <v>Sonvarsha</v>
          </cell>
          <cell r="D3501" t="str">
            <v>MANIKPUR</v>
          </cell>
          <cell r="E3501">
            <v>10310001</v>
          </cell>
          <cell r="F3501" t="str">
            <v>0106</v>
          </cell>
          <cell r="G3501">
            <v>10</v>
          </cell>
          <cell r="H3501">
            <v>71</v>
          </cell>
          <cell r="I3501">
            <v>2791.2185928000008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P3501">
            <v>2791</v>
          </cell>
          <cell r="V3501" t="str">
            <v>Not Available</v>
          </cell>
        </row>
        <row r="3502">
          <cell r="A3502" t="str">
            <v>103100010107</v>
          </cell>
          <cell r="B3502" t="str">
            <v>Sonvarsha</v>
          </cell>
          <cell r="C3502" t="str">
            <v>Sonvarsha</v>
          </cell>
          <cell r="D3502" t="str">
            <v>MANIKPUR</v>
          </cell>
          <cell r="E3502">
            <v>10310001</v>
          </cell>
          <cell r="F3502" t="str">
            <v>0107</v>
          </cell>
          <cell r="G3502">
            <v>7</v>
          </cell>
          <cell r="H3502">
            <v>63</v>
          </cell>
          <cell r="I3502">
            <v>2458.0416168000006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P3502">
            <v>2458</v>
          </cell>
          <cell r="V3502" t="str">
            <v>Not Available</v>
          </cell>
        </row>
        <row r="3503">
          <cell r="A3503" t="str">
            <v>103100010108</v>
          </cell>
          <cell r="B3503" t="str">
            <v>Sonvarsha</v>
          </cell>
          <cell r="C3503" t="str">
            <v>Sonvarsha</v>
          </cell>
          <cell r="D3503" t="str">
            <v>MANIKPUR</v>
          </cell>
          <cell r="E3503">
            <v>10310001</v>
          </cell>
          <cell r="F3503" t="str">
            <v>0108</v>
          </cell>
          <cell r="G3503">
            <v>6</v>
          </cell>
          <cell r="H3503">
            <v>54</v>
          </cell>
          <cell r="I3503">
            <v>2101.6316376000004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P3503">
            <v>2102</v>
          </cell>
          <cell r="V3503" t="str">
            <v>Not Available</v>
          </cell>
        </row>
        <row r="3504">
          <cell r="A3504" t="str">
            <v>103100010109</v>
          </cell>
          <cell r="B3504" t="str">
            <v>Sonvarsha</v>
          </cell>
          <cell r="C3504" t="str">
            <v>Sonvarsha</v>
          </cell>
          <cell r="D3504" t="str">
            <v>MANIKPUR</v>
          </cell>
          <cell r="E3504">
            <v>10310001</v>
          </cell>
          <cell r="F3504" t="str">
            <v>0109</v>
          </cell>
          <cell r="G3504">
            <v>6</v>
          </cell>
          <cell r="H3504">
            <v>49</v>
          </cell>
          <cell r="I3504">
            <v>1885.4099748000003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P3504">
            <v>1885</v>
          </cell>
          <cell r="V3504" t="str">
            <v>Not Available</v>
          </cell>
        </row>
        <row r="3505">
          <cell r="A3505" t="str">
            <v>103100010110</v>
          </cell>
          <cell r="B3505" t="str">
            <v>Sonvarsha</v>
          </cell>
          <cell r="C3505" t="str">
            <v>Sonvarsha</v>
          </cell>
          <cell r="D3505" t="str">
            <v>MANIKPUR</v>
          </cell>
          <cell r="E3505">
            <v>10310001</v>
          </cell>
          <cell r="F3505" t="str">
            <v>0110</v>
          </cell>
          <cell r="G3505">
            <v>4</v>
          </cell>
          <cell r="H3505">
            <v>28</v>
          </cell>
          <cell r="I3505">
            <v>1077.1508088000003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P3505">
            <v>1077</v>
          </cell>
          <cell r="V3505" t="str">
            <v>Not Available</v>
          </cell>
        </row>
        <row r="3506">
          <cell r="A3506" t="str">
            <v>103100010111</v>
          </cell>
          <cell r="B3506" t="str">
            <v>Sonvarsha</v>
          </cell>
          <cell r="C3506" t="str">
            <v>Sonvarsha</v>
          </cell>
          <cell r="D3506" t="str">
            <v>MANIKPUR</v>
          </cell>
          <cell r="E3506">
            <v>10310001</v>
          </cell>
          <cell r="F3506" t="str">
            <v>0111</v>
          </cell>
          <cell r="G3506">
            <v>2</v>
          </cell>
          <cell r="H3506">
            <v>18</v>
          </cell>
          <cell r="I3506">
            <v>679.55572080000002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P3506">
            <v>680</v>
          </cell>
          <cell r="V3506" t="str">
            <v>Not Available</v>
          </cell>
        </row>
        <row r="3507">
          <cell r="A3507" t="str">
            <v>103100010112</v>
          </cell>
          <cell r="B3507" t="str">
            <v>Sonvarsha</v>
          </cell>
          <cell r="C3507" t="str">
            <v>Sonvarsha</v>
          </cell>
          <cell r="D3507" t="str">
            <v>MANIKPUR</v>
          </cell>
          <cell r="E3507">
            <v>10310001</v>
          </cell>
          <cell r="F3507" t="str">
            <v>0112</v>
          </cell>
          <cell r="G3507">
            <v>2</v>
          </cell>
          <cell r="H3507">
            <v>18</v>
          </cell>
          <cell r="I3507">
            <v>679.55572080000002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P3507">
            <v>680</v>
          </cell>
          <cell r="V3507" t="str">
            <v>Not Available</v>
          </cell>
        </row>
        <row r="3508">
          <cell r="A3508" t="str">
            <v>103100010113</v>
          </cell>
          <cell r="B3508" t="str">
            <v>Sonvarsha</v>
          </cell>
          <cell r="C3508" t="str">
            <v>Sonvarsha</v>
          </cell>
          <cell r="D3508" t="str">
            <v>MANIKPUR</v>
          </cell>
          <cell r="E3508">
            <v>10310001</v>
          </cell>
          <cell r="F3508" t="str">
            <v>0113</v>
          </cell>
          <cell r="G3508">
            <v>2</v>
          </cell>
          <cell r="H3508">
            <v>18</v>
          </cell>
          <cell r="I3508">
            <v>679.55572080000002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P3508">
            <v>680</v>
          </cell>
          <cell r="V3508" t="str">
            <v>Not Available</v>
          </cell>
        </row>
        <row r="3509">
          <cell r="A3509" t="str">
            <v>103100010114</v>
          </cell>
          <cell r="B3509" t="str">
            <v>Sonvarsha</v>
          </cell>
          <cell r="C3509" t="str">
            <v>Sonvarsha</v>
          </cell>
          <cell r="D3509" t="str">
            <v>MANIKPUR</v>
          </cell>
          <cell r="E3509">
            <v>10310001</v>
          </cell>
          <cell r="F3509" t="str">
            <v>0114</v>
          </cell>
          <cell r="G3509">
            <v>2</v>
          </cell>
          <cell r="H3509">
            <v>18</v>
          </cell>
          <cell r="I3509">
            <v>679.55572080000002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P3509">
            <v>680</v>
          </cell>
          <cell r="V3509" t="str">
            <v>Not Available</v>
          </cell>
        </row>
        <row r="3510">
          <cell r="A3510" t="str">
            <v>103100010115</v>
          </cell>
          <cell r="B3510" t="str">
            <v>Sonvarsha</v>
          </cell>
          <cell r="C3510" t="str">
            <v>Sonvarsha</v>
          </cell>
          <cell r="D3510" t="str">
            <v>MANIKPUR</v>
          </cell>
          <cell r="E3510">
            <v>10310001</v>
          </cell>
          <cell r="F3510" t="str">
            <v>0115</v>
          </cell>
          <cell r="G3510">
            <v>1</v>
          </cell>
          <cell r="H3510">
            <v>9</v>
          </cell>
          <cell r="I3510">
            <v>336.21386040000004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P3510">
            <v>336</v>
          </cell>
          <cell r="V3510" t="str">
            <v>Not Available</v>
          </cell>
        </row>
        <row r="3511">
          <cell r="A3511" t="str">
            <v>103100010116</v>
          </cell>
          <cell r="B3511" t="str">
            <v>Sonvarsha</v>
          </cell>
          <cell r="C3511" t="str">
            <v>Sonvarsha</v>
          </cell>
          <cell r="D3511" t="str">
            <v>MANIKPUR</v>
          </cell>
          <cell r="E3511">
            <v>10310001</v>
          </cell>
          <cell r="F3511" t="str">
            <v>0116</v>
          </cell>
          <cell r="G3511">
            <v>1</v>
          </cell>
          <cell r="H3511">
            <v>6</v>
          </cell>
          <cell r="I3511">
            <v>224.14257360000005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P3511">
            <v>224</v>
          </cell>
          <cell r="V3511" t="str">
            <v>Not Available</v>
          </cell>
        </row>
        <row r="3512">
          <cell r="A3512" t="str">
            <v>103500010001</v>
          </cell>
          <cell r="B3512" t="str">
            <v>Sonvarsha</v>
          </cell>
          <cell r="C3512" t="str">
            <v>Sonvarsha</v>
          </cell>
          <cell r="D3512" t="str">
            <v>NOWAGADHI</v>
          </cell>
          <cell r="E3512">
            <v>10350001</v>
          </cell>
          <cell r="F3512" t="str">
            <v>0001</v>
          </cell>
          <cell r="G3512">
            <v>1</v>
          </cell>
          <cell r="H3512">
            <v>17.399999999999999</v>
          </cell>
          <cell r="I3512">
            <v>686.76272279999989</v>
          </cell>
          <cell r="J3512">
            <v>0</v>
          </cell>
          <cell r="K3512">
            <v>686.76272279999989</v>
          </cell>
          <cell r="L3512">
            <v>0</v>
          </cell>
          <cell r="M3512">
            <v>0</v>
          </cell>
          <cell r="P3512">
            <v>0</v>
          </cell>
          <cell r="V3512" t="str">
            <v>Not Available</v>
          </cell>
        </row>
        <row r="3513">
          <cell r="A3513" t="str">
            <v>103500010002</v>
          </cell>
          <cell r="B3513" t="str">
            <v>Sonvarsha</v>
          </cell>
          <cell r="C3513" t="str">
            <v>Sonvarsha</v>
          </cell>
          <cell r="D3513" t="str">
            <v>NOWAGADHI</v>
          </cell>
          <cell r="E3513">
            <v>10350001</v>
          </cell>
          <cell r="F3513" t="str">
            <v>0002</v>
          </cell>
          <cell r="G3513">
            <v>14</v>
          </cell>
          <cell r="H3513">
            <v>252.99999999999997</v>
          </cell>
          <cell r="I3513">
            <v>10146.466764351277</v>
          </cell>
          <cell r="J3513">
            <v>0</v>
          </cell>
          <cell r="K3513">
            <v>0</v>
          </cell>
          <cell r="L3513">
            <v>1404</v>
          </cell>
          <cell r="M3513">
            <v>0</v>
          </cell>
          <cell r="P3513">
            <v>8742</v>
          </cell>
          <cell r="V3513" t="str">
            <v>Available</v>
          </cell>
        </row>
        <row r="3514">
          <cell r="A3514" t="str">
            <v>103500010008</v>
          </cell>
          <cell r="B3514" t="str">
            <v>Sonvarsha</v>
          </cell>
          <cell r="C3514" t="str">
            <v>Sonvarsha</v>
          </cell>
          <cell r="D3514" t="str">
            <v>NOWAGADHI</v>
          </cell>
          <cell r="E3514">
            <v>10350001</v>
          </cell>
          <cell r="F3514" t="str">
            <v>0008</v>
          </cell>
          <cell r="G3514">
            <v>7</v>
          </cell>
          <cell r="H3514">
            <v>129.60000000000002</v>
          </cell>
          <cell r="I3514">
            <v>4382.7530424480001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P3514">
            <v>4383</v>
          </cell>
          <cell r="V3514" t="str">
            <v>Available</v>
          </cell>
        </row>
        <row r="3515">
          <cell r="A3515" t="str">
            <v>103500010023</v>
          </cell>
          <cell r="B3515" t="str">
            <v>Sonvarsha</v>
          </cell>
          <cell r="C3515" t="str">
            <v>Sonvarsha</v>
          </cell>
          <cell r="D3515" t="str">
            <v>NOWAGADHI</v>
          </cell>
          <cell r="E3515">
            <v>10350001</v>
          </cell>
          <cell r="F3515" t="str">
            <v>0023</v>
          </cell>
          <cell r="G3515">
            <v>7</v>
          </cell>
          <cell r="H3515">
            <v>50.1</v>
          </cell>
          <cell r="I3515">
            <v>1671.1970364540002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P3515">
            <v>1671</v>
          </cell>
          <cell r="V3515" t="str">
            <v>Available</v>
          </cell>
        </row>
        <row r="3516">
          <cell r="A3516" t="str">
            <v>103500010027</v>
          </cell>
          <cell r="B3516" t="str">
            <v>Sonvarsha</v>
          </cell>
          <cell r="C3516" t="str">
            <v>Sonvarsha</v>
          </cell>
          <cell r="D3516" t="str">
            <v>NOWAGADHI</v>
          </cell>
          <cell r="E3516">
            <v>10350001</v>
          </cell>
          <cell r="F3516" t="str">
            <v>0027</v>
          </cell>
          <cell r="G3516">
            <v>14</v>
          </cell>
          <cell r="H3516">
            <v>116.9</v>
          </cell>
          <cell r="I3516">
            <v>4473.5140375200008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P3516">
            <v>4474</v>
          </cell>
          <cell r="V3516" t="str">
            <v>Available</v>
          </cell>
        </row>
        <row r="3517">
          <cell r="A3517" t="str">
            <v>103500010098</v>
          </cell>
          <cell r="B3517" t="str">
            <v>Sonvarsha</v>
          </cell>
          <cell r="C3517" t="str">
            <v>Sonvarsha</v>
          </cell>
          <cell r="D3517" t="str">
            <v>NOWAGADHI</v>
          </cell>
          <cell r="E3517">
            <v>10350001</v>
          </cell>
          <cell r="F3517" t="str">
            <v>0098</v>
          </cell>
          <cell r="G3517">
            <v>14</v>
          </cell>
          <cell r="H3517">
            <v>116.89999999999999</v>
          </cell>
          <cell r="I3517">
            <v>3945.605887872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P3517">
            <v>3946</v>
          </cell>
          <cell r="V3517" t="str">
            <v>Available</v>
          </cell>
        </row>
        <row r="3518">
          <cell r="A3518" t="str">
            <v>103500010100</v>
          </cell>
          <cell r="B3518" t="str">
            <v>Sonvarsha</v>
          </cell>
          <cell r="C3518" t="str">
            <v>Sonvarsha</v>
          </cell>
          <cell r="D3518" t="str">
            <v>NOWAGADHI</v>
          </cell>
          <cell r="E3518">
            <v>10350001</v>
          </cell>
          <cell r="F3518" t="str">
            <v>0100</v>
          </cell>
          <cell r="G3518">
            <v>7</v>
          </cell>
          <cell r="H3518">
            <v>279.8</v>
          </cell>
          <cell r="I3518">
            <v>9768.6587843460002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P3518">
            <v>9769</v>
          </cell>
          <cell r="V3518" t="str">
            <v>Available</v>
          </cell>
        </row>
        <row r="3519">
          <cell r="A3519" t="str">
            <v>103500010105</v>
          </cell>
          <cell r="B3519" t="str">
            <v>Sonvarsha</v>
          </cell>
          <cell r="C3519" t="str">
            <v>Sonvarsha</v>
          </cell>
          <cell r="D3519" t="str">
            <v>NOWAGADHI</v>
          </cell>
          <cell r="E3519">
            <v>10350001</v>
          </cell>
          <cell r="F3519" t="str">
            <v>0105</v>
          </cell>
          <cell r="G3519">
            <v>11</v>
          </cell>
          <cell r="H3519">
            <v>426.90000000000003</v>
          </cell>
          <cell r="I3519">
            <v>16207.005246695999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P3519">
            <v>16207</v>
          </cell>
          <cell r="V3519" t="str">
            <v>Available</v>
          </cell>
        </row>
        <row r="3520">
          <cell r="A3520" t="str">
            <v>103500010117</v>
          </cell>
          <cell r="B3520" t="str">
            <v>Sonvarsha</v>
          </cell>
          <cell r="C3520" t="str">
            <v>Sonvarsha</v>
          </cell>
          <cell r="D3520" t="str">
            <v>NOWAGADHI</v>
          </cell>
          <cell r="E3520">
            <v>10350001</v>
          </cell>
          <cell r="F3520" t="str">
            <v>0117</v>
          </cell>
          <cell r="G3520">
            <v>8</v>
          </cell>
          <cell r="H3520">
            <v>15.600000000000001</v>
          </cell>
          <cell r="I3520">
            <v>572.31670320000012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P3520">
            <v>572</v>
          </cell>
          <cell r="V3520" t="str">
            <v>Available</v>
          </cell>
        </row>
        <row r="3521">
          <cell r="A3521" t="str">
            <v>103500010128</v>
          </cell>
          <cell r="B3521" t="str">
            <v>Sonvarsha</v>
          </cell>
          <cell r="C3521" t="str">
            <v>Sonvarsha</v>
          </cell>
          <cell r="D3521" t="str">
            <v>NOWAGADHI</v>
          </cell>
          <cell r="E3521">
            <v>10350001</v>
          </cell>
          <cell r="F3521" t="str">
            <v>0128</v>
          </cell>
          <cell r="G3521">
            <v>7</v>
          </cell>
          <cell r="H3521">
            <v>61.9</v>
          </cell>
          <cell r="I3521">
            <v>2250.9875397240003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P3521">
            <v>2251</v>
          </cell>
          <cell r="V3521" t="str">
            <v>Available</v>
          </cell>
        </row>
        <row r="3522">
          <cell r="A3522" t="str">
            <v>103500010159</v>
          </cell>
          <cell r="B3522" t="str">
            <v>Sonvarsha</v>
          </cell>
          <cell r="C3522" t="str">
            <v>Sonvarsha</v>
          </cell>
          <cell r="D3522" t="str">
            <v>NOWAGADHI</v>
          </cell>
          <cell r="E3522">
            <v>10350001</v>
          </cell>
          <cell r="F3522" t="str">
            <v>0159</v>
          </cell>
          <cell r="G3522">
            <v>9</v>
          </cell>
          <cell r="H3522">
            <v>32.799999999999997</v>
          </cell>
          <cell r="I3522">
            <v>1254.8143000800001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P3522">
            <v>1255</v>
          </cell>
          <cell r="V3522" t="str">
            <v>Available</v>
          </cell>
        </row>
        <row r="3523">
          <cell r="A3523" t="str">
            <v>103500010160</v>
          </cell>
          <cell r="B3523" t="str">
            <v>Sonvarsha</v>
          </cell>
          <cell r="C3523" t="str">
            <v>Sonvarsha</v>
          </cell>
          <cell r="D3523" t="str">
            <v>NOWAGADHI</v>
          </cell>
          <cell r="E3523">
            <v>10350001</v>
          </cell>
          <cell r="F3523" t="str">
            <v>0160</v>
          </cell>
          <cell r="G3523">
            <v>12</v>
          </cell>
          <cell r="H3523">
            <v>84.300000000000011</v>
          </cell>
          <cell r="I3523">
            <v>3075.1961510159999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P3523">
            <v>3075</v>
          </cell>
          <cell r="V3523" t="str">
            <v>Available</v>
          </cell>
        </row>
        <row r="3524">
          <cell r="A3524" t="str">
            <v>103500010162</v>
          </cell>
          <cell r="B3524" t="str">
            <v>Sonvarsha</v>
          </cell>
          <cell r="C3524" t="str">
            <v>Sonvarsha</v>
          </cell>
          <cell r="D3524" t="str">
            <v>NOWAGADHI</v>
          </cell>
          <cell r="E3524">
            <v>10350001</v>
          </cell>
          <cell r="F3524" t="str">
            <v>0162</v>
          </cell>
          <cell r="G3524">
            <v>14</v>
          </cell>
          <cell r="H3524">
            <v>101.10000000000001</v>
          </cell>
          <cell r="I3524">
            <v>3506.2759985220005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P3524">
            <v>3506</v>
          </cell>
          <cell r="V3524" t="str">
            <v>Available</v>
          </cell>
        </row>
        <row r="3525">
          <cell r="A3525" t="str">
            <v>103500010165</v>
          </cell>
          <cell r="B3525" t="str">
            <v>Sonvarsha</v>
          </cell>
          <cell r="C3525" t="str">
            <v>Sonvarsha</v>
          </cell>
          <cell r="D3525" t="str">
            <v>NOWAGADHI</v>
          </cell>
          <cell r="E3525">
            <v>10350001</v>
          </cell>
          <cell r="F3525" t="str">
            <v>0165</v>
          </cell>
          <cell r="G3525">
            <v>14</v>
          </cell>
          <cell r="H3525">
            <v>97.600000000000009</v>
          </cell>
          <cell r="I3525">
            <v>3308.347846782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P3525">
            <v>3308</v>
          </cell>
          <cell r="V3525" t="str">
            <v>Available</v>
          </cell>
        </row>
        <row r="3526">
          <cell r="A3526" t="str">
            <v>103500010166</v>
          </cell>
          <cell r="B3526" t="str">
            <v>Sonvarsha</v>
          </cell>
          <cell r="C3526" t="str">
            <v>Sonvarsha</v>
          </cell>
          <cell r="D3526" t="str">
            <v>NOWAGADHI</v>
          </cell>
          <cell r="E3526">
            <v>10350001</v>
          </cell>
          <cell r="F3526" t="str">
            <v>0166</v>
          </cell>
          <cell r="G3526">
            <v>4</v>
          </cell>
          <cell r="H3526">
            <v>14.2</v>
          </cell>
          <cell r="I3526">
            <v>507.41034636600011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P3526">
            <v>507</v>
          </cell>
          <cell r="V3526" t="str">
            <v>Available</v>
          </cell>
        </row>
        <row r="3527">
          <cell r="A3527" t="str">
            <v>103500010191</v>
          </cell>
          <cell r="B3527" t="str">
            <v>Sonvarsha</v>
          </cell>
          <cell r="C3527" t="str">
            <v>Sonvarsha</v>
          </cell>
          <cell r="D3527" t="str">
            <v>NOWAGADHI</v>
          </cell>
          <cell r="E3527">
            <v>10350001</v>
          </cell>
          <cell r="F3527" t="str">
            <v>0191</v>
          </cell>
          <cell r="G3527">
            <v>4</v>
          </cell>
          <cell r="H3527">
            <v>24.5</v>
          </cell>
          <cell r="I3527">
            <v>840.24888908399998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P3527">
            <v>840</v>
          </cell>
          <cell r="V3527" t="str">
            <v>Available</v>
          </cell>
        </row>
        <row r="3528">
          <cell r="A3528" t="str">
            <v>103500010193</v>
          </cell>
          <cell r="B3528" t="str">
            <v>Sonvarsha</v>
          </cell>
          <cell r="C3528" t="str">
            <v>Sonvarsha</v>
          </cell>
          <cell r="D3528" t="str">
            <v>NOWAGADHI</v>
          </cell>
          <cell r="E3528">
            <v>10350001</v>
          </cell>
          <cell r="F3528" t="str">
            <v>0193</v>
          </cell>
          <cell r="G3528">
            <v>7</v>
          </cell>
          <cell r="H3528">
            <v>53.5</v>
          </cell>
          <cell r="I3528">
            <v>1791.0357236640002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P3528">
            <v>1791</v>
          </cell>
          <cell r="V3528" t="str">
            <v>Available</v>
          </cell>
        </row>
        <row r="3529">
          <cell r="A3529" t="str">
            <v>103500010194</v>
          </cell>
          <cell r="B3529" t="str">
            <v>Sonvarsha</v>
          </cell>
          <cell r="C3529" t="str">
            <v>Sonvarsha</v>
          </cell>
          <cell r="D3529" t="str">
            <v>NOWAGADHI</v>
          </cell>
          <cell r="E3529">
            <v>10350001</v>
          </cell>
          <cell r="F3529" t="str">
            <v>0194</v>
          </cell>
          <cell r="G3529">
            <v>4</v>
          </cell>
          <cell r="H3529">
            <v>8.1999999999999993</v>
          </cell>
          <cell r="I3529">
            <v>269.76208703400005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P3529">
            <v>270</v>
          </cell>
          <cell r="V3529" t="str">
            <v>Available</v>
          </cell>
        </row>
        <row r="3530">
          <cell r="A3530" t="str">
            <v>103500010198</v>
          </cell>
          <cell r="B3530" t="str">
            <v>Sonvarsha</v>
          </cell>
          <cell r="C3530" t="str">
            <v>Sonvarsha</v>
          </cell>
          <cell r="D3530" t="str">
            <v>NOWAGADHI</v>
          </cell>
          <cell r="E3530">
            <v>10350001</v>
          </cell>
          <cell r="F3530" t="str">
            <v>0198</v>
          </cell>
          <cell r="G3530">
            <v>7</v>
          </cell>
          <cell r="H3530">
            <v>31.999999999999996</v>
          </cell>
          <cell r="I3530">
            <v>1240.2118864080001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P3530">
            <v>1240</v>
          </cell>
          <cell r="V3530" t="str">
            <v>Available</v>
          </cell>
        </row>
        <row r="3531">
          <cell r="A3531" t="str">
            <v>103600010001</v>
          </cell>
          <cell r="B3531" t="str">
            <v>MAHADAT PUR 2</v>
          </cell>
          <cell r="C3531" t="str">
            <v>MAHADAT PUR 2</v>
          </cell>
          <cell r="D3531" t="str">
            <v>MAHADAT PUR 2</v>
          </cell>
          <cell r="E3531">
            <v>10360001</v>
          </cell>
          <cell r="F3531" t="str">
            <v>0001</v>
          </cell>
          <cell r="G3531">
            <v>10</v>
          </cell>
          <cell r="H3531">
            <v>49.5</v>
          </cell>
          <cell r="I3531">
            <v>1813.4955828000002</v>
          </cell>
          <cell r="J3531">
            <v>0</v>
          </cell>
          <cell r="K3531">
            <v>1813.4955828000002</v>
          </cell>
          <cell r="L3531">
            <v>0</v>
          </cell>
          <cell r="M3531">
            <v>0</v>
          </cell>
          <cell r="P3531">
            <v>0</v>
          </cell>
          <cell r="V3531" t="str">
            <v>Not Available</v>
          </cell>
        </row>
        <row r="3532">
          <cell r="A3532" t="str">
            <v>103600010002</v>
          </cell>
          <cell r="B3532" t="str">
            <v>MAHADAT PUR 2</v>
          </cell>
          <cell r="C3532" t="str">
            <v>MAHADAT PUR 2</v>
          </cell>
          <cell r="D3532" t="str">
            <v>MAHADAT PUR 2</v>
          </cell>
          <cell r="E3532">
            <v>10360001</v>
          </cell>
          <cell r="F3532" t="str">
            <v>0002</v>
          </cell>
          <cell r="G3532">
            <v>14</v>
          </cell>
          <cell r="H3532">
            <v>519.69999999999993</v>
          </cell>
          <cell r="I3532">
            <v>21207.300451626827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P3532">
            <v>21207</v>
          </cell>
          <cell r="V3532" t="str">
            <v>Available</v>
          </cell>
        </row>
        <row r="3533">
          <cell r="A3533" t="str">
            <v>103600010003</v>
          </cell>
          <cell r="B3533" t="str">
            <v>MAHADAT PUR 2</v>
          </cell>
          <cell r="C3533" t="str">
            <v>MAHADAT PUR 2</v>
          </cell>
          <cell r="D3533" t="str">
            <v>MAHADAT PUR 2</v>
          </cell>
          <cell r="E3533">
            <v>10360001</v>
          </cell>
          <cell r="F3533" t="str">
            <v>0003</v>
          </cell>
          <cell r="G3533">
            <v>13</v>
          </cell>
          <cell r="H3533">
            <v>388.8</v>
          </cell>
          <cell r="I3533">
            <v>14225.911986726001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P3533">
            <v>14226</v>
          </cell>
          <cell r="V3533" t="str">
            <v>Available</v>
          </cell>
        </row>
        <row r="3534">
          <cell r="A3534" t="str">
            <v>103600010005</v>
          </cell>
          <cell r="B3534" t="str">
            <v>MAHADAT PUR 2</v>
          </cell>
          <cell r="C3534" t="str">
            <v>MAHADAT PUR 2</v>
          </cell>
          <cell r="D3534" t="str">
            <v>MAHADAT PUR 2</v>
          </cell>
          <cell r="E3534">
            <v>10360001</v>
          </cell>
          <cell r="F3534" t="str">
            <v>0005</v>
          </cell>
          <cell r="G3534">
            <v>7</v>
          </cell>
          <cell r="H3534">
            <v>280.59999999999997</v>
          </cell>
          <cell r="I3534">
            <v>10328.650336025999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P3534">
            <v>10329</v>
          </cell>
          <cell r="V3534" t="str">
            <v>Available</v>
          </cell>
        </row>
        <row r="3535">
          <cell r="A3535" t="str">
            <v>103600010029</v>
          </cell>
          <cell r="B3535" t="str">
            <v>MAHADAT PUR 2</v>
          </cell>
          <cell r="C3535" t="str">
            <v>MAHADAT PUR 2</v>
          </cell>
          <cell r="D3535" t="str">
            <v>MAHADAT PUR 2</v>
          </cell>
          <cell r="E3535">
            <v>10360001</v>
          </cell>
          <cell r="F3535" t="str">
            <v>0029</v>
          </cell>
          <cell r="G3535">
            <v>13</v>
          </cell>
          <cell r="H3535">
            <v>134.80000000000001</v>
          </cell>
          <cell r="I3535">
            <v>4734.8814864780006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P3535">
            <v>4735</v>
          </cell>
          <cell r="V3535" t="str">
            <v>Available</v>
          </cell>
        </row>
        <row r="3536">
          <cell r="A3536" t="str">
            <v>103600010034</v>
          </cell>
          <cell r="B3536" t="str">
            <v>MAHADAT PUR 2</v>
          </cell>
          <cell r="C3536" t="str">
            <v>MAHADAT PUR 2</v>
          </cell>
          <cell r="D3536" t="str">
            <v>MAHADAT PUR 2</v>
          </cell>
          <cell r="E3536">
            <v>10360001</v>
          </cell>
          <cell r="F3536" t="str">
            <v>0034</v>
          </cell>
          <cell r="G3536">
            <v>6</v>
          </cell>
          <cell r="H3536">
            <v>33.400000000000006</v>
          </cell>
          <cell r="I3536">
            <v>1154.1501615600002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P3536">
            <v>1154</v>
          </cell>
          <cell r="V3536" t="str">
            <v>Available</v>
          </cell>
        </row>
        <row r="3537">
          <cell r="A3537" t="str">
            <v>103600010035</v>
          </cell>
          <cell r="B3537" t="str">
            <v>MAHADAT PUR 2</v>
          </cell>
          <cell r="C3537" t="str">
            <v>MAHADAT PUR 2</v>
          </cell>
          <cell r="D3537" t="str">
            <v>MAHADAT PUR 2</v>
          </cell>
          <cell r="E3537">
            <v>10360001</v>
          </cell>
          <cell r="F3537" t="str">
            <v>0035</v>
          </cell>
          <cell r="G3537">
            <v>14</v>
          </cell>
          <cell r="H3537">
            <v>285.5</v>
          </cell>
          <cell r="I3537">
            <v>10268.781170868002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P3537">
            <v>10269</v>
          </cell>
          <cell r="V3537" t="str">
            <v>Available</v>
          </cell>
        </row>
        <row r="3538">
          <cell r="A3538" t="str">
            <v>103600010041</v>
          </cell>
          <cell r="B3538" t="str">
            <v>MAHADAT PUR 2</v>
          </cell>
          <cell r="C3538" t="str">
            <v>MAHADAT PUR 2</v>
          </cell>
          <cell r="D3538" t="str">
            <v>MAHADAT PUR 2</v>
          </cell>
          <cell r="E3538">
            <v>10360001</v>
          </cell>
          <cell r="F3538" t="str">
            <v>0041</v>
          </cell>
          <cell r="G3538">
            <v>14</v>
          </cell>
          <cell r="H3538">
            <v>194.79999999999998</v>
          </cell>
          <cell r="I3538">
            <v>6944.3486022239995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P3538">
            <v>6944</v>
          </cell>
          <cell r="V3538" t="str">
            <v>Available</v>
          </cell>
        </row>
        <row r="3539">
          <cell r="A3539" t="str">
            <v>103600010043</v>
          </cell>
          <cell r="B3539" t="str">
            <v>MAHADAT PUR 2</v>
          </cell>
          <cell r="C3539" t="str">
            <v>MAHADAT PUR 2</v>
          </cell>
          <cell r="D3539" t="str">
            <v>MAHADAT PUR 2</v>
          </cell>
          <cell r="E3539">
            <v>10360001</v>
          </cell>
          <cell r="F3539" t="str">
            <v>0043</v>
          </cell>
          <cell r="G3539">
            <v>14</v>
          </cell>
          <cell r="H3539">
            <v>217</v>
          </cell>
          <cell r="I3539">
            <v>7735.092507450001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P3539">
            <v>7735</v>
          </cell>
          <cell r="V3539" t="str">
            <v>Available</v>
          </cell>
        </row>
        <row r="3540">
          <cell r="A3540" t="str">
            <v>103600010052</v>
          </cell>
          <cell r="B3540" t="str">
            <v>MAHADAT PUR 2</v>
          </cell>
          <cell r="C3540" t="str">
            <v>MAHADAT PUR 2</v>
          </cell>
          <cell r="D3540" t="str">
            <v>MAHADAT PUR 2</v>
          </cell>
          <cell r="E3540">
            <v>10360001</v>
          </cell>
          <cell r="F3540" t="str">
            <v>0052</v>
          </cell>
          <cell r="G3540">
            <v>12</v>
          </cell>
          <cell r="H3540">
            <v>149.89999999999998</v>
          </cell>
          <cell r="I3540">
            <v>5400.6939203580005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P3540">
            <v>5401</v>
          </cell>
          <cell r="V3540" t="str">
            <v>Available</v>
          </cell>
        </row>
        <row r="3541">
          <cell r="A3541" t="str">
            <v>103600010070</v>
          </cell>
          <cell r="B3541" t="str">
            <v>MAHADAT PUR 2</v>
          </cell>
          <cell r="C3541" t="str">
            <v>MAHADAT PUR 2</v>
          </cell>
          <cell r="D3541" t="str">
            <v>MAHADAT PUR 2</v>
          </cell>
          <cell r="E3541">
            <v>10360001</v>
          </cell>
          <cell r="F3541" t="str">
            <v>0070</v>
          </cell>
          <cell r="G3541">
            <v>14</v>
          </cell>
          <cell r="H3541">
            <v>246.6</v>
          </cell>
          <cell r="I3541">
            <v>9042.8364867060009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P3541">
            <v>9043</v>
          </cell>
          <cell r="V3541" t="str">
            <v>Available</v>
          </cell>
        </row>
        <row r="3542">
          <cell r="A3542" t="str">
            <v>103700010002</v>
          </cell>
          <cell r="B3542" t="str">
            <v>Araria</v>
          </cell>
          <cell r="C3542" t="str">
            <v>Araria</v>
          </cell>
          <cell r="D3542" t="str">
            <v>KATHELA TOLA TELDHI</v>
          </cell>
          <cell r="E3542">
            <v>10370001</v>
          </cell>
          <cell r="F3542" t="str">
            <v>0002</v>
          </cell>
          <cell r="G3542">
            <v>1</v>
          </cell>
          <cell r="H3542">
            <v>100</v>
          </cell>
          <cell r="I3542">
            <v>3263.1378120000008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P3542">
            <v>0</v>
          </cell>
          <cell r="V3542" t="str">
            <v>Available</v>
          </cell>
        </row>
        <row r="3543">
          <cell r="A3543" t="str">
            <v>103700010003</v>
          </cell>
          <cell r="B3543" t="str">
            <v>Araria</v>
          </cell>
          <cell r="C3543" t="str">
            <v>Araria</v>
          </cell>
          <cell r="D3543" t="str">
            <v>KATHELA TOLA TELDHI</v>
          </cell>
          <cell r="E3543">
            <v>10370001</v>
          </cell>
          <cell r="F3543" t="str">
            <v>0003</v>
          </cell>
          <cell r="G3543">
            <v>1</v>
          </cell>
          <cell r="H3543">
            <v>33</v>
          </cell>
          <cell r="I3543">
            <v>1076.8354779600002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P3543">
            <v>0</v>
          </cell>
          <cell r="V3543" t="str">
            <v>Available</v>
          </cell>
        </row>
        <row r="3544">
          <cell r="A3544" t="str">
            <v>103800010001</v>
          </cell>
          <cell r="B3544" t="str">
            <v>Araria</v>
          </cell>
          <cell r="C3544" t="str">
            <v>Araria</v>
          </cell>
          <cell r="D3544" t="str">
            <v>SONBARSHA 1</v>
          </cell>
          <cell r="E3544">
            <v>10380001</v>
          </cell>
          <cell r="F3544" t="str">
            <v>0001</v>
          </cell>
          <cell r="G3544">
            <v>3</v>
          </cell>
          <cell r="H3544">
            <v>8</v>
          </cell>
          <cell r="I3544">
            <v>275.88844800000004</v>
          </cell>
          <cell r="J3544">
            <v>0</v>
          </cell>
          <cell r="K3544">
            <v>275.88844800000004</v>
          </cell>
          <cell r="L3544">
            <v>0</v>
          </cell>
          <cell r="M3544">
            <v>0</v>
          </cell>
          <cell r="P3544">
            <v>0</v>
          </cell>
          <cell r="V3544" t="str">
            <v>Not Available</v>
          </cell>
        </row>
        <row r="3545">
          <cell r="A3545" t="str">
            <v>103800010002</v>
          </cell>
          <cell r="B3545" t="str">
            <v>Araria</v>
          </cell>
          <cell r="C3545" t="str">
            <v>Araria</v>
          </cell>
          <cell r="D3545" t="str">
            <v>SONBARSHA 1</v>
          </cell>
          <cell r="E3545">
            <v>10380001</v>
          </cell>
          <cell r="F3545" t="str">
            <v>0002</v>
          </cell>
          <cell r="G3545">
            <v>3</v>
          </cell>
          <cell r="H3545">
            <v>110</v>
          </cell>
          <cell r="I3545">
            <v>3784.5561600000005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P3545">
            <v>0</v>
          </cell>
          <cell r="V3545" t="str">
            <v>Available</v>
          </cell>
        </row>
        <row r="3546">
          <cell r="A3546" t="str">
            <v>103800010004</v>
          </cell>
          <cell r="B3546" t="str">
            <v>Araria</v>
          </cell>
          <cell r="C3546" t="str">
            <v>Araria</v>
          </cell>
          <cell r="D3546" t="str">
            <v>SONBARSHA 1</v>
          </cell>
          <cell r="E3546">
            <v>10380001</v>
          </cell>
          <cell r="F3546" t="str">
            <v>0004</v>
          </cell>
          <cell r="G3546">
            <v>3</v>
          </cell>
          <cell r="H3546">
            <v>110</v>
          </cell>
          <cell r="I3546">
            <v>3784.5561600000005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P3546">
            <v>1805</v>
          </cell>
          <cell r="V3546" t="str">
            <v>Available</v>
          </cell>
        </row>
        <row r="3547">
          <cell r="A3547" t="str">
            <v>103800010006</v>
          </cell>
          <cell r="B3547" t="str">
            <v>Araria</v>
          </cell>
          <cell r="C3547" t="str">
            <v>Araria</v>
          </cell>
          <cell r="D3547" t="str">
            <v>SONBARSHA 1</v>
          </cell>
          <cell r="E3547">
            <v>10380001</v>
          </cell>
          <cell r="F3547" t="str">
            <v>0006</v>
          </cell>
          <cell r="G3547">
            <v>3</v>
          </cell>
          <cell r="H3547">
            <v>110</v>
          </cell>
          <cell r="I3547">
            <v>3784.5561600000005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P3547">
            <v>3785</v>
          </cell>
          <cell r="V3547" t="str">
            <v>Available</v>
          </cell>
        </row>
        <row r="3548">
          <cell r="A3548" t="str">
            <v>103800010007</v>
          </cell>
          <cell r="B3548" t="str">
            <v>Araria</v>
          </cell>
          <cell r="C3548" t="str">
            <v>Araria</v>
          </cell>
          <cell r="D3548" t="str">
            <v>SONBARSHA 1</v>
          </cell>
          <cell r="E3548">
            <v>10380001</v>
          </cell>
          <cell r="F3548" t="str">
            <v>0007</v>
          </cell>
          <cell r="G3548">
            <v>3</v>
          </cell>
          <cell r="H3548">
            <v>110</v>
          </cell>
          <cell r="I3548">
            <v>3784.5561600000005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P3548">
            <v>3785</v>
          </cell>
          <cell r="V3548" t="str">
            <v>Available</v>
          </cell>
        </row>
        <row r="3549">
          <cell r="A3549" t="str">
            <v>103800010023</v>
          </cell>
          <cell r="B3549" t="str">
            <v>Araria</v>
          </cell>
          <cell r="C3549" t="str">
            <v>Araria</v>
          </cell>
          <cell r="D3549" t="str">
            <v>SONBARSHA 1</v>
          </cell>
          <cell r="E3549">
            <v>10380001</v>
          </cell>
          <cell r="F3549" t="str">
            <v>0023</v>
          </cell>
          <cell r="G3549">
            <v>3</v>
          </cell>
          <cell r="H3549">
            <v>110</v>
          </cell>
          <cell r="I3549">
            <v>3784.5561600000005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P3549">
            <v>3785</v>
          </cell>
          <cell r="V3549" t="str">
            <v>Available</v>
          </cell>
        </row>
        <row r="3550">
          <cell r="A3550" t="str">
            <v>103800010024</v>
          </cell>
          <cell r="B3550" t="str">
            <v>Araria</v>
          </cell>
          <cell r="C3550" t="str">
            <v>Araria</v>
          </cell>
          <cell r="D3550" t="str">
            <v>SONBARSHA 1</v>
          </cell>
          <cell r="E3550">
            <v>10380001</v>
          </cell>
          <cell r="F3550" t="str">
            <v>0024</v>
          </cell>
          <cell r="G3550">
            <v>2</v>
          </cell>
          <cell r="H3550">
            <v>90</v>
          </cell>
          <cell r="I3550">
            <v>3092.8550400000004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P3550">
            <v>3093</v>
          </cell>
          <cell r="V3550" t="str">
            <v>Available</v>
          </cell>
        </row>
        <row r="3551">
          <cell r="A3551" t="str">
            <v>103800010028</v>
          </cell>
          <cell r="B3551" t="str">
            <v>Araria</v>
          </cell>
          <cell r="C3551" t="str">
            <v>Araria</v>
          </cell>
          <cell r="D3551" t="str">
            <v>SONBARSHA 1</v>
          </cell>
          <cell r="E3551">
            <v>10380001</v>
          </cell>
          <cell r="F3551" t="str">
            <v>0028</v>
          </cell>
          <cell r="G3551">
            <v>3</v>
          </cell>
          <cell r="H3551">
            <v>139</v>
          </cell>
          <cell r="I3551">
            <v>4783.9587840000004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P3551">
            <v>4784</v>
          </cell>
          <cell r="V3551" t="str">
            <v>Available</v>
          </cell>
        </row>
        <row r="3552">
          <cell r="A3552" t="str">
            <v>103900010001</v>
          </cell>
          <cell r="B3552" t="str">
            <v>Araria</v>
          </cell>
          <cell r="C3552" t="str">
            <v>Araria</v>
          </cell>
          <cell r="D3552" t="str">
            <v>GANOUL</v>
          </cell>
          <cell r="E3552">
            <v>10390001</v>
          </cell>
          <cell r="F3552" t="str">
            <v>0001</v>
          </cell>
          <cell r="G3552">
            <v>3</v>
          </cell>
          <cell r="H3552">
            <v>1.2000000000000002</v>
          </cell>
          <cell r="I3552">
            <v>41.185267200000013</v>
          </cell>
          <cell r="J3552">
            <v>0</v>
          </cell>
          <cell r="K3552">
            <v>41.185267200000013</v>
          </cell>
          <cell r="L3552">
            <v>0</v>
          </cell>
          <cell r="M3552">
            <v>0</v>
          </cell>
          <cell r="P3552">
            <v>0</v>
          </cell>
          <cell r="V3552" t="str">
            <v>Not Available</v>
          </cell>
        </row>
        <row r="3553">
          <cell r="A3553" t="str">
            <v>103900010004</v>
          </cell>
          <cell r="B3553" t="str">
            <v>Araria</v>
          </cell>
          <cell r="C3553" t="str">
            <v>Araria</v>
          </cell>
          <cell r="D3553" t="str">
            <v>GANOUL</v>
          </cell>
          <cell r="E3553">
            <v>10390001</v>
          </cell>
          <cell r="F3553" t="str">
            <v>0004</v>
          </cell>
          <cell r="G3553">
            <v>3</v>
          </cell>
          <cell r="H3553">
            <v>253</v>
          </cell>
          <cell r="I3553">
            <v>8669.6311680000017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P3553">
            <v>8670</v>
          </cell>
          <cell r="V3553" t="str">
            <v>Available</v>
          </cell>
        </row>
        <row r="3554">
          <cell r="A3554" t="str">
            <v>103900010009</v>
          </cell>
          <cell r="B3554" t="str">
            <v>Araria</v>
          </cell>
          <cell r="C3554" t="str">
            <v>Araria</v>
          </cell>
          <cell r="D3554" t="str">
            <v>GANOUL</v>
          </cell>
          <cell r="E3554">
            <v>10390001</v>
          </cell>
          <cell r="F3554" t="str">
            <v>0009</v>
          </cell>
          <cell r="G3554">
            <v>3</v>
          </cell>
          <cell r="H3554">
            <v>198</v>
          </cell>
          <cell r="I3554">
            <v>6781.7090880000014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P3554">
            <v>6782</v>
          </cell>
          <cell r="V3554" t="str">
            <v>Available</v>
          </cell>
        </row>
        <row r="3555">
          <cell r="A3555" t="str">
            <v>103900010085</v>
          </cell>
          <cell r="B3555" t="str">
            <v>Araria</v>
          </cell>
          <cell r="C3555" t="str">
            <v>Araria</v>
          </cell>
          <cell r="D3555" t="str">
            <v>GANOUL</v>
          </cell>
          <cell r="E3555">
            <v>10390001</v>
          </cell>
          <cell r="F3555" t="str">
            <v>0085</v>
          </cell>
          <cell r="G3555">
            <v>3</v>
          </cell>
          <cell r="H3555">
            <v>83.5</v>
          </cell>
          <cell r="I3555">
            <v>2858.468976000001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P3555">
            <v>2858</v>
          </cell>
          <cell r="V3555" t="str">
            <v>Not Available</v>
          </cell>
        </row>
        <row r="3556">
          <cell r="A3556" t="str">
            <v>103900010266</v>
          </cell>
          <cell r="B3556" t="str">
            <v>Araria</v>
          </cell>
          <cell r="C3556" t="str">
            <v>Araria</v>
          </cell>
          <cell r="D3556" t="str">
            <v>GANOUL</v>
          </cell>
          <cell r="E3556">
            <v>10390001</v>
          </cell>
          <cell r="F3556" t="str">
            <v>0266</v>
          </cell>
          <cell r="G3556">
            <v>3</v>
          </cell>
          <cell r="H3556">
            <v>85</v>
          </cell>
          <cell r="I3556">
            <v>2910.0297600000004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P3556">
            <v>2910</v>
          </cell>
          <cell r="V3556" t="str">
            <v>Not Available</v>
          </cell>
        </row>
        <row r="3557">
          <cell r="A3557" t="str">
            <v>104000010001</v>
          </cell>
          <cell r="B3557" t="str">
            <v>Araria</v>
          </cell>
          <cell r="C3557" t="str">
            <v>Araria</v>
          </cell>
          <cell r="D3557" t="str">
            <v>Gauripur</v>
          </cell>
          <cell r="E3557">
            <v>10400001</v>
          </cell>
          <cell r="F3557" t="str">
            <v>0001</v>
          </cell>
          <cell r="G3557">
            <v>3</v>
          </cell>
          <cell r="H3557">
            <v>8</v>
          </cell>
          <cell r="I3557">
            <v>271.53244800000004</v>
          </cell>
          <cell r="J3557">
            <v>0</v>
          </cell>
          <cell r="K3557">
            <v>271.53244800000004</v>
          </cell>
          <cell r="L3557">
            <v>0</v>
          </cell>
          <cell r="M3557">
            <v>0</v>
          </cell>
          <cell r="P3557">
            <v>0</v>
          </cell>
          <cell r="V3557" t="str">
            <v>Not Available</v>
          </cell>
        </row>
        <row r="3558">
          <cell r="A3558" t="str">
            <v>104000010002</v>
          </cell>
          <cell r="B3558" t="str">
            <v>Araria</v>
          </cell>
          <cell r="C3558" t="str">
            <v>Araria</v>
          </cell>
          <cell r="D3558" t="str">
            <v>Gauripur</v>
          </cell>
          <cell r="E3558">
            <v>10400001</v>
          </cell>
          <cell r="F3558" t="str">
            <v>0002</v>
          </cell>
          <cell r="G3558">
            <v>3</v>
          </cell>
          <cell r="H3558">
            <v>300</v>
          </cell>
          <cell r="I3558">
            <v>10177.516800000001</v>
          </cell>
          <cell r="J3558">
            <v>0</v>
          </cell>
          <cell r="K3558">
            <v>0</v>
          </cell>
          <cell r="L3558">
            <v>4</v>
          </cell>
          <cell r="M3558">
            <v>0</v>
          </cell>
          <cell r="P3558">
            <v>0</v>
          </cell>
          <cell r="V3558" t="str">
            <v>Available</v>
          </cell>
        </row>
        <row r="3559">
          <cell r="A3559" t="str">
            <v>104000010007</v>
          </cell>
          <cell r="B3559" t="str">
            <v>Araria</v>
          </cell>
          <cell r="C3559" t="str">
            <v>Araria</v>
          </cell>
          <cell r="D3559" t="str">
            <v>Gauripur</v>
          </cell>
          <cell r="E3559">
            <v>10400001</v>
          </cell>
          <cell r="F3559" t="str">
            <v>0007</v>
          </cell>
          <cell r="G3559">
            <v>3</v>
          </cell>
          <cell r="H3559">
            <v>250</v>
          </cell>
          <cell r="I3559">
            <v>8586.8640000000014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P3559">
            <v>7494</v>
          </cell>
          <cell r="V3559" t="str">
            <v>Available</v>
          </cell>
        </row>
        <row r="3560">
          <cell r="A3560" t="str">
            <v>104000010008</v>
          </cell>
          <cell r="B3560" t="str">
            <v>Araria</v>
          </cell>
          <cell r="C3560" t="str">
            <v>Araria</v>
          </cell>
          <cell r="D3560" t="str">
            <v>Gauripur</v>
          </cell>
          <cell r="E3560">
            <v>10400001</v>
          </cell>
          <cell r="F3560" t="str">
            <v>0008</v>
          </cell>
          <cell r="G3560">
            <v>3</v>
          </cell>
          <cell r="H3560">
            <v>250</v>
          </cell>
          <cell r="I3560">
            <v>8388.8640000000014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P3560">
            <v>8389</v>
          </cell>
          <cell r="V3560" t="str">
            <v>Available</v>
          </cell>
        </row>
        <row r="3561">
          <cell r="A3561" t="str">
            <v>104000010124</v>
          </cell>
          <cell r="B3561" t="str">
            <v>Araria</v>
          </cell>
          <cell r="C3561" t="str">
            <v>Araria</v>
          </cell>
          <cell r="D3561" t="str">
            <v>Gauripur</v>
          </cell>
          <cell r="E3561">
            <v>10400001</v>
          </cell>
          <cell r="F3561" t="str">
            <v>0124</v>
          </cell>
          <cell r="G3561">
            <v>3</v>
          </cell>
          <cell r="H3561">
            <v>577</v>
          </cell>
          <cell r="I3561">
            <v>19557.201312000005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P3561">
            <v>19557</v>
          </cell>
          <cell r="V3561" t="str">
            <v>Available</v>
          </cell>
        </row>
        <row r="3562">
          <cell r="A3562" t="str">
            <v>104000010131</v>
          </cell>
          <cell r="B3562" t="str">
            <v>Araria</v>
          </cell>
          <cell r="C3562" t="str">
            <v>Araria</v>
          </cell>
          <cell r="D3562" t="str">
            <v>Gauripur</v>
          </cell>
          <cell r="E3562">
            <v>10400001</v>
          </cell>
          <cell r="F3562" t="str">
            <v>0131</v>
          </cell>
          <cell r="G3562">
            <v>3</v>
          </cell>
          <cell r="H3562">
            <v>300</v>
          </cell>
          <cell r="I3562">
            <v>10296.316800000002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P3562">
            <v>10296</v>
          </cell>
          <cell r="V3562" t="str">
            <v>Available</v>
          </cell>
        </row>
        <row r="3563">
          <cell r="A3563" t="str">
            <v>104000010133</v>
          </cell>
          <cell r="B3563" t="str">
            <v>Araria</v>
          </cell>
          <cell r="C3563" t="str">
            <v>Araria</v>
          </cell>
          <cell r="D3563" t="str">
            <v>Gauripur</v>
          </cell>
          <cell r="E3563">
            <v>10400001</v>
          </cell>
          <cell r="F3563" t="str">
            <v>0133</v>
          </cell>
          <cell r="G3563">
            <v>3</v>
          </cell>
          <cell r="H3563">
            <v>300</v>
          </cell>
          <cell r="I3563">
            <v>10058.716800000002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P3563">
            <v>10059</v>
          </cell>
          <cell r="V3563" t="str">
            <v>Available</v>
          </cell>
        </row>
        <row r="3564">
          <cell r="A3564" t="str">
            <v>104100010001</v>
          </cell>
          <cell r="B3564" t="str">
            <v>Araria</v>
          </cell>
          <cell r="C3564" t="str">
            <v>Araria</v>
          </cell>
          <cell r="D3564" t="str">
            <v>Bhramarpur</v>
          </cell>
          <cell r="E3564">
            <v>10410001</v>
          </cell>
          <cell r="F3564" t="str">
            <v>0001</v>
          </cell>
          <cell r="G3564">
            <v>3</v>
          </cell>
          <cell r="H3564">
            <v>6</v>
          </cell>
          <cell r="I3564">
            <v>203.55033600000004</v>
          </cell>
          <cell r="J3564">
            <v>0</v>
          </cell>
          <cell r="K3564">
            <v>203.55033600000004</v>
          </cell>
          <cell r="L3564">
            <v>0</v>
          </cell>
          <cell r="M3564">
            <v>0</v>
          </cell>
          <cell r="P3564">
            <v>0</v>
          </cell>
          <cell r="V3564" t="str">
            <v>Not Available</v>
          </cell>
        </row>
        <row r="3565">
          <cell r="A3565" t="str">
            <v>104100010002</v>
          </cell>
          <cell r="B3565" t="str">
            <v>Araria</v>
          </cell>
          <cell r="C3565" t="str">
            <v>Araria</v>
          </cell>
          <cell r="D3565" t="str">
            <v>Bhramarpur</v>
          </cell>
          <cell r="E3565">
            <v>10410001</v>
          </cell>
          <cell r="F3565" t="str">
            <v>0002</v>
          </cell>
          <cell r="G3565">
            <v>3</v>
          </cell>
          <cell r="H3565">
            <v>600</v>
          </cell>
          <cell r="I3565">
            <v>20355.033600000002</v>
          </cell>
          <cell r="J3565">
            <v>0</v>
          </cell>
          <cell r="K3565">
            <v>0</v>
          </cell>
          <cell r="L3565">
            <v>75</v>
          </cell>
          <cell r="M3565">
            <v>0</v>
          </cell>
          <cell r="P3565">
            <v>6300</v>
          </cell>
          <cell r="V3565" t="str">
            <v>Available</v>
          </cell>
        </row>
        <row r="3566">
          <cell r="A3566" t="str">
            <v>104100010003</v>
          </cell>
          <cell r="B3566" t="str">
            <v>Araria</v>
          </cell>
          <cell r="C3566" t="str">
            <v>Araria</v>
          </cell>
          <cell r="D3566" t="str">
            <v>Bhramarpur</v>
          </cell>
          <cell r="E3566">
            <v>10410001</v>
          </cell>
          <cell r="F3566" t="str">
            <v>0003</v>
          </cell>
          <cell r="G3566">
            <v>3</v>
          </cell>
          <cell r="H3566">
            <v>600</v>
          </cell>
          <cell r="I3566">
            <v>20355.033600000002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P3566">
            <v>20355</v>
          </cell>
          <cell r="V3566" t="str">
            <v>Available</v>
          </cell>
        </row>
        <row r="3567">
          <cell r="A3567" t="str">
            <v>104100010006</v>
          </cell>
          <cell r="B3567" t="str">
            <v>Araria</v>
          </cell>
          <cell r="C3567" t="str">
            <v>Araria</v>
          </cell>
          <cell r="D3567" t="str">
            <v>Bhramarpur</v>
          </cell>
          <cell r="E3567">
            <v>10410001</v>
          </cell>
          <cell r="F3567" t="str">
            <v>0006</v>
          </cell>
          <cell r="G3567">
            <v>3</v>
          </cell>
          <cell r="H3567">
            <v>290</v>
          </cell>
          <cell r="I3567">
            <v>9835.6262400000014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P3567">
            <v>9836</v>
          </cell>
          <cell r="V3567" t="str">
            <v>Available</v>
          </cell>
        </row>
        <row r="3568">
          <cell r="A3568" t="str">
            <v>104100010030</v>
          </cell>
          <cell r="B3568" t="str">
            <v>Araria</v>
          </cell>
          <cell r="C3568" t="str">
            <v>Araria</v>
          </cell>
          <cell r="D3568" t="str">
            <v>Bhramarpur</v>
          </cell>
          <cell r="E3568">
            <v>10410001</v>
          </cell>
          <cell r="F3568" t="str">
            <v>0030</v>
          </cell>
          <cell r="G3568">
            <v>3</v>
          </cell>
          <cell r="H3568">
            <v>600</v>
          </cell>
          <cell r="I3568">
            <v>20355.033600000002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P3568">
            <v>20355</v>
          </cell>
          <cell r="V3568" t="str">
            <v>Not Available</v>
          </cell>
        </row>
        <row r="3569">
          <cell r="A3569" t="str">
            <v>104100010031</v>
          </cell>
          <cell r="B3569" t="str">
            <v>Araria</v>
          </cell>
          <cell r="C3569" t="str">
            <v>Araria</v>
          </cell>
          <cell r="D3569" t="str">
            <v>Bhramarpur</v>
          </cell>
          <cell r="E3569">
            <v>10410001</v>
          </cell>
          <cell r="F3569" t="str">
            <v>0031</v>
          </cell>
          <cell r="G3569">
            <v>3</v>
          </cell>
          <cell r="H3569">
            <v>600</v>
          </cell>
          <cell r="I3569">
            <v>20355.033600000002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P3569">
            <v>20355</v>
          </cell>
          <cell r="V3569" t="str">
            <v>Not Available</v>
          </cell>
        </row>
        <row r="3570">
          <cell r="A3570" t="str">
            <v>104100010032</v>
          </cell>
          <cell r="B3570" t="str">
            <v>Araria</v>
          </cell>
          <cell r="C3570" t="str">
            <v>Araria</v>
          </cell>
          <cell r="D3570" t="str">
            <v>Bhramarpur</v>
          </cell>
          <cell r="E3570">
            <v>10410001</v>
          </cell>
          <cell r="F3570" t="str">
            <v>0032</v>
          </cell>
          <cell r="G3570">
            <v>1</v>
          </cell>
          <cell r="H3570">
            <v>12</v>
          </cell>
          <cell r="I3570">
            <v>405.51667200000009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P3570">
            <v>406</v>
          </cell>
          <cell r="V3570" t="str">
            <v>Not Available</v>
          </cell>
        </row>
        <row r="3571">
          <cell r="A3571" t="str">
            <v>104100010033</v>
          </cell>
          <cell r="B3571" t="str">
            <v>Araria</v>
          </cell>
          <cell r="C3571" t="str">
            <v>Araria</v>
          </cell>
          <cell r="D3571" t="str">
            <v>Bhramarpur</v>
          </cell>
          <cell r="E3571">
            <v>10410001</v>
          </cell>
          <cell r="F3571" t="str">
            <v>0033</v>
          </cell>
          <cell r="G3571">
            <v>1</v>
          </cell>
          <cell r="H3571">
            <v>35</v>
          </cell>
          <cell r="I3571">
            <v>1182.7569600000002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P3571">
            <v>1183</v>
          </cell>
          <cell r="V3571" t="str">
            <v>Not Available</v>
          </cell>
        </row>
        <row r="3572">
          <cell r="A3572" t="str">
            <v>104400010027</v>
          </cell>
          <cell r="B3572" t="str">
            <v>Sahibpur Kamal</v>
          </cell>
          <cell r="C3572" t="str">
            <v>Sahibpur Kamal</v>
          </cell>
          <cell r="D3572" t="str">
            <v>Gomukh Sadananpur</v>
          </cell>
          <cell r="E3572">
            <v>10440001</v>
          </cell>
          <cell r="F3572" t="str">
            <v>0027</v>
          </cell>
          <cell r="G3572">
            <v>8</v>
          </cell>
          <cell r="H3572">
            <v>266.2</v>
          </cell>
          <cell r="I3572">
            <v>9745.1572600800009</v>
          </cell>
          <cell r="J3572">
            <v>0</v>
          </cell>
          <cell r="K3572">
            <v>0</v>
          </cell>
          <cell r="L3572">
            <v>4535</v>
          </cell>
          <cell r="M3572">
            <v>0</v>
          </cell>
          <cell r="P3572">
            <v>5096</v>
          </cell>
          <cell r="V3572" t="str">
            <v>Available</v>
          </cell>
        </row>
        <row r="3573">
          <cell r="A3573" t="str">
            <v>104600010001</v>
          </cell>
          <cell r="B3573" t="str">
            <v>Asarganj</v>
          </cell>
          <cell r="C3573" t="str">
            <v>Asarganj</v>
          </cell>
          <cell r="D3573" t="str">
            <v>TILAKPUR  2</v>
          </cell>
          <cell r="E3573">
            <v>10460001</v>
          </cell>
          <cell r="F3573" t="str">
            <v>0001</v>
          </cell>
          <cell r="G3573">
            <v>5</v>
          </cell>
          <cell r="H3573">
            <v>1.3</v>
          </cell>
          <cell r="I3573">
            <v>47.727189576000008</v>
          </cell>
          <cell r="J3573">
            <v>0</v>
          </cell>
          <cell r="K3573">
            <v>47.727189576000008</v>
          </cell>
          <cell r="L3573">
            <v>0</v>
          </cell>
          <cell r="M3573">
            <v>0</v>
          </cell>
          <cell r="P3573">
            <v>0</v>
          </cell>
          <cell r="V3573" t="str">
            <v>Not Available</v>
          </cell>
        </row>
        <row r="3574">
          <cell r="A3574" t="str">
            <v>104600010002</v>
          </cell>
          <cell r="B3574" t="str">
            <v>Asarganj</v>
          </cell>
          <cell r="C3574" t="str">
            <v>Asarganj</v>
          </cell>
          <cell r="D3574" t="str">
            <v>TILAKPUR  2</v>
          </cell>
          <cell r="E3574">
            <v>10460001</v>
          </cell>
          <cell r="F3574" t="str">
            <v>0002</v>
          </cell>
          <cell r="G3574">
            <v>9</v>
          </cell>
          <cell r="H3574">
            <v>54</v>
          </cell>
          <cell r="I3574">
            <v>1922.5106920800004</v>
          </cell>
          <cell r="J3574">
            <v>0</v>
          </cell>
          <cell r="K3574">
            <v>0</v>
          </cell>
          <cell r="L3574">
            <v>415</v>
          </cell>
          <cell r="M3574">
            <v>0</v>
          </cell>
          <cell r="P3574">
            <v>1508</v>
          </cell>
          <cell r="V3574" t="str">
            <v>Available</v>
          </cell>
        </row>
        <row r="3575">
          <cell r="A3575" t="str">
            <v>104600010003</v>
          </cell>
          <cell r="B3575" t="str">
            <v>Asarganj</v>
          </cell>
          <cell r="C3575" t="str">
            <v>Asarganj</v>
          </cell>
          <cell r="D3575" t="str">
            <v>TILAKPUR  2</v>
          </cell>
          <cell r="E3575">
            <v>10460001</v>
          </cell>
          <cell r="F3575" t="str">
            <v>0003</v>
          </cell>
          <cell r="G3575">
            <v>10</v>
          </cell>
          <cell r="H3575">
            <v>23.9</v>
          </cell>
          <cell r="I3575">
            <v>897.74080169400008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P3575">
            <v>898</v>
          </cell>
          <cell r="V3575" t="str">
            <v>Available</v>
          </cell>
        </row>
        <row r="3576">
          <cell r="A3576" t="str">
            <v>104600010043</v>
          </cell>
          <cell r="B3576" t="str">
            <v>Asarganj</v>
          </cell>
          <cell r="C3576" t="str">
            <v>Asarganj</v>
          </cell>
          <cell r="D3576" t="str">
            <v>TILAKPUR  2</v>
          </cell>
          <cell r="E3576">
            <v>10460001</v>
          </cell>
          <cell r="F3576" t="str">
            <v>0043</v>
          </cell>
          <cell r="G3576">
            <v>13</v>
          </cell>
          <cell r="H3576">
            <v>67.799999999999983</v>
          </cell>
          <cell r="I3576">
            <v>2324.1751434000003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P3576">
            <v>2324</v>
          </cell>
          <cell r="V3576" t="str">
            <v>Available</v>
          </cell>
        </row>
        <row r="3577">
          <cell r="A3577" t="str">
            <v>104600010077</v>
          </cell>
          <cell r="B3577" t="str">
            <v>Asarganj</v>
          </cell>
          <cell r="C3577" t="str">
            <v>Asarganj</v>
          </cell>
          <cell r="D3577" t="str">
            <v>TILAKPUR  2</v>
          </cell>
          <cell r="E3577">
            <v>10460001</v>
          </cell>
          <cell r="F3577" t="str">
            <v>0077</v>
          </cell>
          <cell r="G3577">
            <v>1</v>
          </cell>
          <cell r="H3577">
            <v>3</v>
          </cell>
          <cell r="I3577">
            <v>102.170376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P3577">
            <v>102</v>
          </cell>
          <cell r="V3577" t="str">
            <v>Available</v>
          </cell>
        </row>
        <row r="3578">
          <cell r="A3578" t="str">
            <v>104600010133</v>
          </cell>
          <cell r="B3578" t="str">
            <v>Asarganj</v>
          </cell>
          <cell r="C3578" t="str">
            <v>Asarganj</v>
          </cell>
          <cell r="D3578" t="str">
            <v>TILAKPUR  2</v>
          </cell>
          <cell r="E3578">
            <v>10460001</v>
          </cell>
          <cell r="F3578" t="str">
            <v>0133</v>
          </cell>
          <cell r="G3578">
            <v>10</v>
          </cell>
          <cell r="H3578">
            <v>21.7</v>
          </cell>
          <cell r="I3578">
            <v>853.11306036000019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P3578">
            <v>853</v>
          </cell>
          <cell r="V3578" t="str">
            <v>Available</v>
          </cell>
        </row>
        <row r="3579">
          <cell r="A3579" t="str">
            <v>104600010175</v>
          </cell>
          <cell r="B3579" t="str">
            <v>Asarganj</v>
          </cell>
          <cell r="C3579" t="str">
            <v>Asarganj</v>
          </cell>
          <cell r="D3579" t="str">
            <v>TILAKPUR  2</v>
          </cell>
          <cell r="E3579">
            <v>10460001</v>
          </cell>
          <cell r="F3579" t="str">
            <v>0175</v>
          </cell>
          <cell r="G3579">
            <v>2</v>
          </cell>
          <cell r="H3579">
            <v>4.4000000000000004</v>
          </cell>
          <cell r="I3579">
            <v>152.493326172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P3579">
            <v>152</v>
          </cell>
          <cell r="V3579" t="str">
            <v>Available</v>
          </cell>
        </row>
        <row r="3580">
          <cell r="A3580" t="str">
            <v>104600020001</v>
          </cell>
          <cell r="B3580" t="str">
            <v>Asarganj</v>
          </cell>
          <cell r="C3580" t="str">
            <v>Asarganj</v>
          </cell>
          <cell r="D3580" t="str">
            <v>TILAKPUR</v>
          </cell>
          <cell r="E3580">
            <v>10460002</v>
          </cell>
          <cell r="F3580" t="str">
            <v>0001</v>
          </cell>
          <cell r="G3580">
            <v>11</v>
          </cell>
          <cell r="H3580">
            <v>1.2</v>
          </cell>
          <cell r="I3580">
            <v>37.411259886000011</v>
          </cell>
          <cell r="J3580">
            <v>0</v>
          </cell>
          <cell r="K3580">
            <v>37.411259886000011</v>
          </cell>
          <cell r="L3580">
            <v>0</v>
          </cell>
          <cell r="M3580">
            <v>0</v>
          </cell>
          <cell r="P3580">
            <v>0</v>
          </cell>
          <cell r="V3580" t="str">
            <v>Not Available</v>
          </cell>
        </row>
        <row r="3581">
          <cell r="A3581" t="str">
            <v>104600020002</v>
          </cell>
          <cell r="B3581" t="str">
            <v>Asarganj</v>
          </cell>
          <cell r="C3581" t="str">
            <v>Asarganj</v>
          </cell>
          <cell r="D3581" t="str">
            <v>TILAKPUR</v>
          </cell>
          <cell r="E3581">
            <v>10460002</v>
          </cell>
          <cell r="F3581" t="str">
            <v>0002</v>
          </cell>
          <cell r="G3581">
            <v>5</v>
          </cell>
          <cell r="H3581">
            <v>101.7</v>
          </cell>
          <cell r="I3581">
            <v>3220.2470076480004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P3581">
            <v>3220</v>
          </cell>
          <cell r="V3581" t="str">
            <v>Available</v>
          </cell>
        </row>
        <row r="3582">
          <cell r="A3582" t="str">
            <v>104600020003</v>
          </cell>
          <cell r="B3582" t="str">
            <v>Asarganj</v>
          </cell>
          <cell r="C3582" t="str">
            <v>Asarganj</v>
          </cell>
          <cell r="D3582" t="str">
            <v>TILAKPUR</v>
          </cell>
          <cell r="E3582">
            <v>10460002</v>
          </cell>
          <cell r="F3582" t="str">
            <v>0003</v>
          </cell>
          <cell r="G3582">
            <v>10</v>
          </cell>
          <cell r="H3582">
            <v>271.89999999999998</v>
          </cell>
          <cell r="I3582">
            <v>8210.9258045099996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P3582">
            <v>8211</v>
          </cell>
          <cell r="V3582" t="str">
            <v>Available</v>
          </cell>
        </row>
        <row r="3583">
          <cell r="A3583" t="str">
            <v>104600020004</v>
          </cell>
          <cell r="B3583" t="str">
            <v>Asarganj</v>
          </cell>
          <cell r="C3583" t="str">
            <v>Asarganj</v>
          </cell>
          <cell r="D3583" t="str">
            <v>TILAKPUR</v>
          </cell>
          <cell r="E3583">
            <v>10460002</v>
          </cell>
          <cell r="F3583" t="str">
            <v>0004</v>
          </cell>
          <cell r="G3583">
            <v>4</v>
          </cell>
          <cell r="H3583">
            <v>44.8</v>
          </cell>
          <cell r="I3583">
            <v>1385.6341851000002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P3583">
            <v>1386</v>
          </cell>
          <cell r="V3583" t="str">
            <v>Available</v>
          </cell>
        </row>
        <row r="3584">
          <cell r="A3584" t="str">
            <v>104800010001</v>
          </cell>
          <cell r="B3584" t="str">
            <v>MAHADAT PUR 2</v>
          </cell>
          <cell r="C3584" t="str">
            <v>MAHADAT PUR 2</v>
          </cell>
          <cell r="D3584" t="str">
            <v>Prasharpur Kadwa Gomukh</v>
          </cell>
          <cell r="E3584">
            <v>10480001</v>
          </cell>
          <cell r="F3584" t="str">
            <v>0001</v>
          </cell>
          <cell r="G3584">
            <v>14</v>
          </cell>
          <cell r="H3584">
            <v>3.4999999999999996</v>
          </cell>
          <cell r="I3584">
            <v>119.45419417800002</v>
          </cell>
          <cell r="J3584">
            <v>0</v>
          </cell>
          <cell r="K3584">
            <v>119.45419417800002</v>
          </cell>
          <cell r="L3584">
            <v>0</v>
          </cell>
          <cell r="M3584">
            <v>0</v>
          </cell>
          <cell r="P3584">
            <v>0</v>
          </cell>
          <cell r="V3584" t="str">
            <v>Not Available</v>
          </cell>
        </row>
        <row r="3585">
          <cell r="A3585" t="str">
            <v>104800010002</v>
          </cell>
          <cell r="B3585" t="str">
            <v>MAHADAT PUR 2</v>
          </cell>
          <cell r="C3585" t="str">
            <v>MAHADAT PUR 2</v>
          </cell>
          <cell r="D3585" t="str">
            <v>Prasharpur Kadwa Gomukh</v>
          </cell>
          <cell r="E3585">
            <v>10480001</v>
          </cell>
          <cell r="F3585" t="str">
            <v>0002</v>
          </cell>
          <cell r="G3585">
            <v>14</v>
          </cell>
          <cell r="H3585">
            <v>109.5</v>
          </cell>
          <cell r="I3585">
            <v>3746.5094563380003</v>
          </cell>
          <cell r="J3585">
            <v>0</v>
          </cell>
          <cell r="K3585">
            <v>0</v>
          </cell>
          <cell r="L3585">
            <v>388</v>
          </cell>
          <cell r="M3585">
            <v>0</v>
          </cell>
          <cell r="P3585">
            <v>3359</v>
          </cell>
          <cell r="V3585" t="str">
            <v>Available</v>
          </cell>
        </row>
        <row r="3586">
          <cell r="A3586" t="str">
            <v>104800010003</v>
          </cell>
          <cell r="B3586" t="str">
            <v>MAHADAT PUR 2</v>
          </cell>
          <cell r="C3586" t="str">
            <v>MAHADAT PUR 2</v>
          </cell>
          <cell r="D3586" t="str">
            <v>Prasharpur Kadwa Gomukh</v>
          </cell>
          <cell r="E3586">
            <v>10480001</v>
          </cell>
          <cell r="F3586" t="str">
            <v>0003</v>
          </cell>
          <cell r="G3586">
            <v>13</v>
          </cell>
          <cell r="H3586">
            <v>237.29999999999998</v>
          </cell>
          <cell r="I3586">
            <v>8046.0176419260006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P3586">
            <v>8046</v>
          </cell>
          <cell r="V3586" t="str">
            <v>Available</v>
          </cell>
        </row>
        <row r="3587">
          <cell r="A3587" t="str">
            <v>104800020002</v>
          </cell>
          <cell r="B3587" t="str">
            <v>MAHADAT PUR 2</v>
          </cell>
          <cell r="C3587" t="str">
            <v>MAHADAT PUR 2</v>
          </cell>
          <cell r="D3587" t="str">
            <v>Borwa Tola Gomukh</v>
          </cell>
          <cell r="E3587">
            <v>10480002</v>
          </cell>
          <cell r="F3587" t="str">
            <v>0002</v>
          </cell>
          <cell r="G3587">
            <v>14</v>
          </cell>
          <cell r="H3587">
            <v>247.90000000000003</v>
          </cell>
          <cell r="I3587">
            <v>8629.2707048460015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P3587">
            <v>8629</v>
          </cell>
          <cell r="V3587" t="str">
            <v>Available</v>
          </cell>
        </row>
        <row r="3588">
          <cell r="A3588" t="str">
            <v>104800050001</v>
          </cell>
          <cell r="B3588" t="str">
            <v>MAHADAT PUR 2</v>
          </cell>
          <cell r="C3588" t="str">
            <v>MAHADAT PUR 2</v>
          </cell>
          <cell r="D3588" t="str">
            <v>Gomukh Vijay Lalganj</v>
          </cell>
          <cell r="E3588">
            <v>10480005</v>
          </cell>
          <cell r="F3588" t="str">
            <v>0001</v>
          </cell>
          <cell r="G3588">
            <v>13</v>
          </cell>
          <cell r="H3588">
            <v>1.3</v>
          </cell>
          <cell r="I3588">
            <v>50.425408440000005</v>
          </cell>
          <cell r="J3588">
            <v>0</v>
          </cell>
          <cell r="K3588">
            <v>50.425408440000005</v>
          </cell>
          <cell r="L3588">
            <v>0</v>
          </cell>
          <cell r="M3588">
            <v>0</v>
          </cell>
          <cell r="P3588">
            <v>0</v>
          </cell>
          <cell r="V3588" t="str">
            <v>Not Available</v>
          </cell>
        </row>
        <row r="3589">
          <cell r="A3589" t="str">
            <v>104800050002</v>
          </cell>
          <cell r="B3589" t="str">
            <v>MAHADAT PUR 2</v>
          </cell>
          <cell r="C3589" t="str">
            <v>MAHADAT PUR 2</v>
          </cell>
          <cell r="D3589" t="str">
            <v>Gomukh Vijay Lalganj</v>
          </cell>
          <cell r="E3589">
            <v>10480005</v>
          </cell>
          <cell r="F3589" t="str">
            <v>0002</v>
          </cell>
          <cell r="G3589">
            <v>1</v>
          </cell>
          <cell r="H3589">
            <v>20.100000000000001</v>
          </cell>
          <cell r="I3589">
            <v>756.18349092000005</v>
          </cell>
          <cell r="J3589">
            <v>0</v>
          </cell>
          <cell r="K3589">
            <v>0</v>
          </cell>
          <cell r="L3589">
            <v>130</v>
          </cell>
          <cell r="M3589">
            <v>0</v>
          </cell>
          <cell r="P3589">
            <v>626</v>
          </cell>
          <cell r="V3589" t="str">
            <v>Available</v>
          </cell>
        </row>
        <row r="3590">
          <cell r="A3590" t="str">
            <v>104800050005</v>
          </cell>
          <cell r="B3590" t="str">
            <v>MAHADAT PUR 2</v>
          </cell>
          <cell r="C3590" t="str">
            <v>MAHADAT PUR 2</v>
          </cell>
          <cell r="D3590" t="str">
            <v>Gomukh Vijay Lalganj</v>
          </cell>
          <cell r="E3590">
            <v>10480005</v>
          </cell>
          <cell r="F3590" t="str">
            <v>0005</v>
          </cell>
          <cell r="G3590">
            <v>12</v>
          </cell>
          <cell r="H3590">
            <v>208.9</v>
          </cell>
          <cell r="I3590">
            <v>8086.3350638400007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P3590">
            <v>8086</v>
          </cell>
          <cell r="V3590" t="str">
            <v>Available</v>
          </cell>
        </row>
        <row r="3591">
          <cell r="A3591" t="str">
            <v>104800050032</v>
          </cell>
          <cell r="B3591" t="str">
            <v>MAHADAT PUR 2</v>
          </cell>
          <cell r="C3591" t="str">
            <v>MAHADAT PUR 2</v>
          </cell>
          <cell r="D3591" t="str">
            <v>Gomukh Vijay Lalganj</v>
          </cell>
          <cell r="E3591">
            <v>10480005</v>
          </cell>
          <cell r="F3591" t="str">
            <v>0032</v>
          </cell>
          <cell r="G3591">
            <v>5</v>
          </cell>
          <cell r="H3591">
            <v>63.800000000000004</v>
          </cell>
          <cell r="I3591">
            <v>2422.7437053600001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P3591">
            <v>2423</v>
          </cell>
          <cell r="V3591" t="str">
            <v>Available</v>
          </cell>
        </row>
        <row r="3592">
          <cell r="A3592" t="str">
            <v>104800050035</v>
          </cell>
          <cell r="B3592" t="str">
            <v>MAHADAT PUR 2</v>
          </cell>
          <cell r="C3592" t="str">
            <v>MAHADAT PUR 2</v>
          </cell>
          <cell r="D3592" t="str">
            <v>Gomukh Vijay Lalganj</v>
          </cell>
          <cell r="E3592">
            <v>10480005</v>
          </cell>
          <cell r="F3592" t="str">
            <v>0035</v>
          </cell>
          <cell r="G3592">
            <v>4</v>
          </cell>
          <cell r="H3592">
            <v>43.699999999999996</v>
          </cell>
          <cell r="I3592">
            <v>1659.5375940000001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P3592">
            <v>1660</v>
          </cell>
          <cell r="V3592" t="str">
            <v>Available</v>
          </cell>
        </row>
        <row r="3593">
          <cell r="A3593" t="str">
            <v>104800080001</v>
          </cell>
          <cell r="B3593" t="str">
            <v>MAHADAT PUR 2</v>
          </cell>
          <cell r="C3593" t="str">
            <v>MAHADAT PUR 2</v>
          </cell>
          <cell r="D3593" t="str">
            <v>Gomukh Sarswati Nagar Nakdahri</v>
          </cell>
          <cell r="E3593">
            <v>10480008</v>
          </cell>
          <cell r="F3593" t="str">
            <v>0001</v>
          </cell>
          <cell r="G3593">
            <v>14</v>
          </cell>
          <cell r="H3593">
            <v>3.29</v>
          </cell>
          <cell r="I3593">
            <v>131.39508729600001</v>
          </cell>
          <cell r="J3593">
            <v>0</v>
          </cell>
          <cell r="K3593">
            <v>131.39508729600001</v>
          </cell>
          <cell r="L3593">
            <v>0</v>
          </cell>
          <cell r="M3593">
            <v>0</v>
          </cell>
          <cell r="P3593">
            <v>0</v>
          </cell>
          <cell r="V3593" t="str">
            <v>Not Available</v>
          </cell>
        </row>
        <row r="3594">
          <cell r="A3594" t="str">
            <v>104800080002</v>
          </cell>
          <cell r="B3594" t="str">
            <v>MAHADAT PUR 2</v>
          </cell>
          <cell r="C3594" t="str">
            <v>MAHADAT PUR 2</v>
          </cell>
          <cell r="D3594" t="str">
            <v>Gomukh Sarswati Nagar Nakdahri</v>
          </cell>
          <cell r="E3594">
            <v>10480008</v>
          </cell>
          <cell r="F3594" t="str">
            <v>0002</v>
          </cell>
          <cell r="G3594">
            <v>13</v>
          </cell>
          <cell r="H3594">
            <v>104.77</v>
          </cell>
          <cell r="I3594">
            <v>4049.6930142768006</v>
          </cell>
          <cell r="J3594">
            <v>0</v>
          </cell>
          <cell r="K3594">
            <v>0</v>
          </cell>
          <cell r="L3594">
            <v>1226</v>
          </cell>
          <cell r="M3594">
            <v>0</v>
          </cell>
          <cell r="P3594">
            <v>2824</v>
          </cell>
          <cell r="V3594" t="str">
            <v>Available</v>
          </cell>
        </row>
        <row r="3595">
          <cell r="A3595" t="str">
            <v>104800080010</v>
          </cell>
          <cell r="B3595" t="str">
            <v>MAHADAT PUR 2</v>
          </cell>
          <cell r="C3595" t="str">
            <v>MAHADAT PUR 2</v>
          </cell>
          <cell r="D3595" t="str">
            <v>Gomukh Sarswati Nagar Nakdahri</v>
          </cell>
          <cell r="E3595">
            <v>10480008</v>
          </cell>
          <cell r="F3595" t="str">
            <v>0010</v>
          </cell>
          <cell r="G3595">
            <v>13</v>
          </cell>
          <cell r="H3595">
            <v>73.470000000000013</v>
          </cell>
          <cell r="I3595">
            <v>2960.8821538560005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P3595">
            <v>2961</v>
          </cell>
          <cell r="V3595" t="str">
            <v>Available</v>
          </cell>
        </row>
        <row r="3596">
          <cell r="A3596" t="str">
            <v>104800080023</v>
          </cell>
          <cell r="B3596" t="str">
            <v>MAHADAT PUR 2</v>
          </cell>
          <cell r="C3596" t="str">
            <v>MAHADAT PUR 2</v>
          </cell>
          <cell r="D3596" t="str">
            <v>Gomukh Sarswati Nagar Nakdahri</v>
          </cell>
          <cell r="E3596">
            <v>10480008</v>
          </cell>
          <cell r="F3596" t="str">
            <v>0023</v>
          </cell>
          <cell r="G3596">
            <v>14</v>
          </cell>
          <cell r="H3596">
            <v>90.100000000000009</v>
          </cell>
          <cell r="I3596">
            <v>3565.5667170840002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P3596">
            <v>3566</v>
          </cell>
          <cell r="V3596" t="str">
            <v>Available</v>
          </cell>
        </row>
        <row r="3597">
          <cell r="A3597" t="str">
            <v>104800080054</v>
          </cell>
          <cell r="B3597" t="str">
            <v>MAHADAT PUR 2</v>
          </cell>
          <cell r="C3597" t="str">
            <v>MAHADAT PUR 2</v>
          </cell>
          <cell r="D3597" t="str">
            <v>Gomukh Sarswati Nagar Nakdahri</v>
          </cell>
          <cell r="E3597">
            <v>10480008</v>
          </cell>
          <cell r="F3597" t="str">
            <v>0054</v>
          </cell>
          <cell r="G3597">
            <v>10</v>
          </cell>
          <cell r="H3597">
            <v>50.790000000000006</v>
          </cell>
          <cell r="I3597">
            <v>1994.2126475040002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P3597">
            <v>1994</v>
          </cell>
          <cell r="V3597" t="str">
            <v>Not Available</v>
          </cell>
        </row>
        <row r="3598">
          <cell r="A3598" t="str">
            <v>104800080055</v>
          </cell>
          <cell r="B3598" t="str">
            <v>MAHADAT PUR 2</v>
          </cell>
          <cell r="C3598" t="str">
            <v>MAHADAT PUR 2</v>
          </cell>
          <cell r="D3598" t="str">
            <v>Gomukh Sarswati Nagar Nakdahri</v>
          </cell>
          <cell r="E3598">
            <v>10480008</v>
          </cell>
          <cell r="F3598" t="str">
            <v>0055</v>
          </cell>
          <cell r="G3598">
            <v>6</v>
          </cell>
          <cell r="H3598">
            <v>36.330000000000005</v>
          </cell>
          <cell r="I3598">
            <v>1443.8782294200003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P3598">
            <v>1444</v>
          </cell>
          <cell r="V3598" t="str">
            <v>Not Available</v>
          </cell>
        </row>
        <row r="3599">
          <cell r="A3599" t="str">
            <v>104800080056</v>
          </cell>
          <cell r="B3599" t="str">
            <v>MAHADAT PUR 2</v>
          </cell>
          <cell r="C3599" t="str">
            <v>MAHADAT PUR 2</v>
          </cell>
          <cell r="D3599" t="str">
            <v>Gomukh Sarswati Nagar Nakdahri</v>
          </cell>
          <cell r="E3599">
            <v>10480008</v>
          </cell>
          <cell r="F3599" t="str">
            <v>0056</v>
          </cell>
          <cell r="G3599">
            <v>3</v>
          </cell>
          <cell r="H3599">
            <v>22.7</v>
          </cell>
          <cell r="I3599">
            <v>844.55781141600005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P3599">
            <v>845</v>
          </cell>
          <cell r="V3599" t="str">
            <v>Not Available</v>
          </cell>
        </row>
        <row r="3600">
          <cell r="A3600" t="str">
            <v>104800080058</v>
          </cell>
          <cell r="B3600" t="str">
            <v>MAHADAT PUR 2</v>
          </cell>
          <cell r="C3600" t="str">
            <v>MAHADAT PUR 2</v>
          </cell>
          <cell r="D3600" t="str">
            <v>Gomukh Sarswati Nagar Nakdahri</v>
          </cell>
          <cell r="E3600">
            <v>10480008</v>
          </cell>
          <cell r="F3600" t="str">
            <v>0058</v>
          </cell>
          <cell r="G3600">
            <v>4</v>
          </cell>
          <cell r="H3600">
            <v>28.16</v>
          </cell>
          <cell r="I3600">
            <v>1291.5130301097602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P3600">
            <v>1292</v>
          </cell>
          <cell r="V3600" t="str">
            <v>Not Available</v>
          </cell>
        </row>
        <row r="3601">
          <cell r="A3601" t="str">
            <v>104800120002</v>
          </cell>
          <cell r="B3601" t="str">
            <v>MAHADAT PUR 2</v>
          </cell>
          <cell r="C3601" t="str">
            <v>MAHADAT PUR 2</v>
          </cell>
          <cell r="D3601" t="str">
            <v>Gomukh Krishna Dairy Tulsipur</v>
          </cell>
          <cell r="E3601">
            <v>10480012</v>
          </cell>
          <cell r="F3601" t="str">
            <v>0002</v>
          </cell>
          <cell r="G3601">
            <v>9</v>
          </cell>
          <cell r="H3601">
            <v>169.7</v>
          </cell>
          <cell r="I3601">
            <v>6232.294267986601</v>
          </cell>
          <cell r="J3601">
            <v>0</v>
          </cell>
          <cell r="K3601">
            <v>0</v>
          </cell>
          <cell r="L3601">
            <v>4046</v>
          </cell>
          <cell r="M3601">
            <v>0</v>
          </cell>
          <cell r="P3601">
            <v>2186</v>
          </cell>
          <cell r="V3601" t="str">
            <v>Available</v>
          </cell>
        </row>
        <row r="3602">
          <cell r="A3602" t="str">
            <v>104800120004</v>
          </cell>
          <cell r="B3602" t="str">
            <v>MAHADAT PUR 2</v>
          </cell>
          <cell r="C3602" t="str">
            <v>MAHADAT PUR 2</v>
          </cell>
          <cell r="D3602" t="str">
            <v>Gomukh Krishna Dairy Tulsipur</v>
          </cell>
          <cell r="E3602">
            <v>10480012</v>
          </cell>
          <cell r="F3602" t="str">
            <v>0004</v>
          </cell>
          <cell r="G3602">
            <v>10</v>
          </cell>
          <cell r="H3602">
            <v>133.86000000000001</v>
          </cell>
          <cell r="I3602">
            <v>4660.2887399441997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P3602">
            <v>4660</v>
          </cell>
          <cell r="V3602" t="str">
            <v>Available</v>
          </cell>
        </row>
        <row r="3603">
          <cell r="A3603" t="str">
            <v>104800120006</v>
          </cell>
          <cell r="B3603" t="str">
            <v>MAHADAT PUR 2</v>
          </cell>
          <cell r="C3603" t="str">
            <v>MAHADAT PUR 2</v>
          </cell>
          <cell r="D3603" t="str">
            <v>Gomukh Krishna Dairy Tulsipur</v>
          </cell>
          <cell r="E3603">
            <v>10480012</v>
          </cell>
          <cell r="F3603" t="str">
            <v>0006</v>
          </cell>
          <cell r="G3603">
            <v>4</v>
          </cell>
          <cell r="H3603">
            <v>18.560000000000002</v>
          </cell>
          <cell r="I3603">
            <v>759.49587172800011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P3603">
            <v>759</v>
          </cell>
          <cell r="V3603" t="str">
            <v>Available</v>
          </cell>
        </row>
        <row r="3604">
          <cell r="A3604" t="str">
            <v>104800120010</v>
          </cell>
          <cell r="B3604" t="str">
            <v>MAHADAT PUR 2</v>
          </cell>
          <cell r="C3604" t="str">
            <v>MAHADAT PUR 2</v>
          </cell>
          <cell r="D3604" t="str">
            <v>Gomukh Krishna Dairy Tulsipur</v>
          </cell>
          <cell r="E3604">
            <v>10480012</v>
          </cell>
          <cell r="F3604" t="str">
            <v>0010</v>
          </cell>
          <cell r="G3604">
            <v>3</v>
          </cell>
          <cell r="H3604">
            <v>57.410000000000004</v>
          </cell>
          <cell r="I3604">
            <v>2190.3516183780002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P3604">
            <v>2190</v>
          </cell>
          <cell r="V3604" t="str">
            <v>Available</v>
          </cell>
        </row>
        <row r="3605">
          <cell r="A3605" t="str">
            <v>104800120028</v>
          </cell>
          <cell r="B3605" t="str">
            <v>MAHADAT PUR 2</v>
          </cell>
          <cell r="C3605" t="str">
            <v>MAHADAT PUR 2</v>
          </cell>
          <cell r="D3605" t="str">
            <v>Gomukh Krishna Dairy Tulsipur</v>
          </cell>
          <cell r="E3605">
            <v>10480012</v>
          </cell>
          <cell r="F3605" t="str">
            <v>0028</v>
          </cell>
          <cell r="G3605">
            <v>5</v>
          </cell>
          <cell r="H3605">
            <v>34.369999999999997</v>
          </cell>
          <cell r="I3605">
            <v>1517.9742927366601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P3605">
            <v>1518</v>
          </cell>
          <cell r="V3605" t="str">
            <v>Available</v>
          </cell>
        </row>
        <row r="3606">
          <cell r="A3606" t="str">
            <v>104800120039</v>
          </cell>
          <cell r="B3606" t="str">
            <v>MAHADAT PUR 2</v>
          </cell>
          <cell r="C3606" t="str">
            <v>MAHADAT PUR 2</v>
          </cell>
          <cell r="D3606" t="str">
            <v>Gomukh Krishna Dairy Tulsipur</v>
          </cell>
          <cell r="E3606">
            <v>10480012</v>
          </cell>
          <cell r="F3606" t="str">
            <v>0039</v>
          </cell>
          <cell r="G3606">
            <v>2</v>
          </cell>
          <cell r="H3606">
            <v>10.059999999999999</v>
          </cell>
          <cell r="I3606">
            <v>339.42329178119996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P3606">
            <v>339</v>
          </cell>
          <cell r="V3606" t="str">
            <v>Available</v>
          </cell>
        </row>
        <row r="3607">
          <cell r="A3607" t="str">
            <v>104800120041</v>
          </cell>
          <cell r="B3607" t="str">
            <v>MAHADAT PUR 2</v>
          </cell>
          <cell r="C3607" t="str">
            <v>MAHADAT PUR 2</v>
          </cell>
          <cell r="D3607" t="str">
            <v>Gomukh Krishna Dairy Tulsipur</v>
          </cell>
          <cell r="E3607">
            <v>10480012</v>
          </cell>
          <cell r="F3607" t="str">
            <v>0041</v>
          </cell>
          <cell r="G3607">
            <v>1</v>
          </cell>
          <cell r="H3607">
            <v>1.4</v>
          </cell>
          <cell r="I3607">
            <v>61.355170800000003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P3607">
            <v>61</v>
          </cell>
          <cell r="V3607" t="str">
            <v>Available</v>
          </cell>
        </row>
        <row r="3608">
          <cell r="A3608" t="str">
            <v>104800120044</v>
          </cell>
          <cell r="B3608" t="str">
            <v>MAHADAT PUR 2</v>
          </cell>
          <cell r="C3608" t="str">
            <v>MAHADAT PUR 2</v>
          </cell>
          <cell r="D3608" t="str">
            <v>Gomukh Krishna Dairy Tulsipur</v>
          </cell>
          <cell r="E3608">
            <v>10480012</v>
          </cell>
          <cell r="F3608" t="str">
            <v>0044</v>
          </cell>
          <cell r="G3608">
            <v>3</v>
          </cell>
          <cell r="H3608">
            <v>13.620000000000001</v>
          </cell>
          <cell r="I3608">
            <v>476.18525316780006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P3608">
            <v>476</v>
          </cell>
          <cell r="V3608" t="str">
            <v>Available</v>
          </cell>
        </row>
        <row r="3609">
          <cell r="A3609" t="str">
            <v>104800120045</v>
          </cell>
          <cell r="B3609" t="str">
            <v>MAHADAT PUR 2</v>
          </cell>
          <cell r="C3609" t="str">
            <v>MAHADAT PUR 2</v>
          </cell>
          <cell r="D3609" t="str">
            <v>Gomukh Krishna Dairy Tulsipur</v>
          </cell>
          <cell r="E3609">
            <v>10480012</v>
          </cell>
          <cell r="F3609" t="str">
            <v>0045</v>
          </cell>
          <cell r="G3609">
            <v>3</v>
          </cell>
          <cell r="H3609">
            <v>23.099999999999998</v>
          </cell>
          <cell r="I3609">
            <v>1482.6556469666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P3609">
            <v>1483</v>
          </cell>
          <cell r="V3609" t="str">
            <v>Available</v>
          </cell>
        </row>
        <row r="3610">
          <cell r="A3610" t="str">
            <v>104800120050</v>
          </cell>
          <cell r="B3610" t="str">
            <v>MAHADAT PUR 2</v>
          </cell>
          <cell r="C3610" t="str">
            <v>MAHADAT PUR 2</v>
          </cell>
          <cell r="D3610" t="str">
            <v>Gomukh Krishna Dairy Tulsipur</v>
          </cell>
          <cell r="E3610">
            <v>10480012</v>
          </cell>
          <cell r="F3610" t="str">
            <v>0050</v>
          </cell>
          <cell r="G3610">
            <v>3</v>
          </cell>
          <cell r="H3610">
            <v>6.18</v>
          </cell>
          <cell r="I3610">
            <v>449.83040030760003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P3610">
            <v>450</v>
          </cell>
          <cell r="V3610" t="str">
            <v>Available</v>
          </cell>
        </row>
        <row r="3611">
          <cell r="A3611" t="str">
            <v>104800160002</v>
          </cell>
          <cell r="B3611" t="str">
            <v>MAHADAT PUR 2</v>
          </cell>
          <cell r="C3611" t="str">
            <v>MAHADAT PUR 2</v>
          </cell>
          <cell r="D3611" t="str">
            <v>Gomukh Lauwalagam</v>
          </cell>
          <cell r="E3611">
            <v>10480016</v>
          </cell>
          <cell r="F3611" t="str">
            <v>0002</v>
          </cell>
          <cell r="G3611">
            <v>11</v>
          </cell>
          <cell r="H3611">
            <v>113.8</v>
          </cell>
          <cell r="I3611">
            <v>3925.4743206360008</v>
          </cell>
          <cell r="J3611">
            <v>0</v>
          </cell>
          <cell r="K3611">
            <v>0</v>
          </cell>
          <cell r="L3611">
            <v>391</v>
          </cell>
          <cell r="M3611">
            <v>0</v>
          </cell>
          <cell r="P3611">
            <v>3534</v>
          </cell>
          <cell r="V3611" t="str">
            <v>Available</v>
          </cell>
        </row>
        <row r="3612">
          <cell r="A3612" t="str">
            <v>104800220001</v>
          </cell>
          <cell r="B3612" t="str">
            <v>MAHADAT PUR 2</v>
          </cell>
          <cell r="C3612" t="str">
            <v>MAHADAT PUR 2</v>
          </cell>
          <cell r="D3612" t="str">
            <v>Dhobina Basa</v>
          </cell>
          <cell r="E3612">
            <v>10480022</v>
          </cell>
          <cell r="F3612" t="str">
            <v>0001</v>
          </cell>
          <cell r="G3612">
            <v>13</v>
          </cell>
          <cell r="H3612">
            <v>2.1000000000000005</v>
          </cell>
          <cell r="I3612">
            <v>79.400288880000019</v>
          </cell>
          <cell r="J3612">
            <v>0</v>
          </cell>
          <cell r="K3612">
            <v>79.400288880000019</v>
          </cell>
          <cell r="L3612">
            <v>0</v>
          </cell>
          <cell r="M3612">
            <v>0</v>
          </cell>
          <cell r="P3612">
            <v>0</v>
          </cell>
          <cell r="V3612" t="str">
            <v>Not Available</v>
          </cell>
        </row>
        <row r="3613">
          <cell r="A3613" t="str">
            <v>104800220002</v>
          </cell>
          <cell r="B3613" t="str">
            <v>MAHADAT PUR 2</v>
          </cell>
          <cell r="C3613" t="str">
            <v>MAHADAT PUR 2</v>
          </cell>
          <cell r="D3613" t="str">
            <v>Dhobina Basa</v>
          </cell>
          <cell r="E3613">
            <v>10480022</v>
          </cell>
          <cell r="F3613" t="str">
            <v>0002</v>
          </cell>
          <cell r="G3613">
            <v>13</v>
          </cell>
          <cell r="H3613">
            <v>254.59999999999997</v>
          </cell>
          <cell r="I3613">
            <v>9801.1892563199999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P3613">
            <v>9801</v>
          </cell>
          <cell r="V3613" t="str">
            <v>Available</v>
          </cell>
        </row>
        <row r="3614">
          <cell r="A3614" t="str">
            <v>104800220019</v>
          </cell>
          <cell r="B3614" t="str">
            <v>MAHADAT PUR 2</v>
          </cell>
          <cell r="C3614" t="str">
            <v>MAHADAT PUR 2</v>
          </cell>
          <cell r="D3614" t="str">
            <v>Dhobina Basa</v>
          </cell>
          <cell r="E3614">
            <v>10480022</v>
          </cell>
          <cell r="F3614" t="str">
            <v>0019</v>
          </cell>
          <cell r="G3614">
            <v>13</v>
          </cell>
          <cell r="H3614">
            <v>255.49999999999997</v>
          </cell>
          <cell r="I3614">
            <v>9841.9250595600006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P3614">
            <v>9842</v>
          </cell>
          <cell r="V3614" t="str">
            <v>Not Available</v>
          </cell>
        </row>
        <row r="3615">
          <cell r="A3615" t="str">
            <v>104800230001</v>
          </cell>
          <cell r="B3615" t="str">
            <v>MAHADAT PUR 2</v>
          </cell>
          <cell r="C3615" t="str">
            <v>MAHADAT PUR 2</v>
          </cell>
          <cell r="D3615" t="str">
            <v>Gomukh Shreepur Madhay</v>
          </cell>
          <cell r="E3615">
            <v>10480023</v>
          </cell>
          <cell r="F3615" t="str">
            <v>0001</v>
          </cell>
          <cell r="G3615">
            <v>14</v>
          </cell>
          <cell r="H3615">
            <v>32.500000000000007</v>
          </cell>
          <cell r="I3615">
            <v>1284.725277</v>
          </cell>
          <cell r="J3615">
            <v>0</v>
          </cell>
          <cell r="K3615">
            <v>1284.725277</v>
          </cell>
          <cell r="L3615">
            <v>0</v>
          </cell>
          <cell r="M3615">
            <v>0</v>
          </cell>
          <cell r="P3615">
            <v>0</v>
          </cell>
          <cell r="V3615" t="str">
            <v>Not Available</v>
          </cell>
        </row>
        <row r="3616">
          <cell r="A3616" t="str">
            <v>104800230002</v>
          </cell>
          <cell r="B3616" t="str">
            <v>MAHADAT PUR 2</v>
          </cell>
          <cell r="C3616" t="str">
            <v>MAHADAT PUR 2</v>
          </cell>
          <cell r="D3616" t="str">
            <v>Gomukh Shreepur Madhay</v>
          </cell>
          <cell r="E3616">
            <v>10480023</v>
          </cell>
          <cell r="F3616" t="str">
            <v>0002</v>
          </cell>
          <cell r="G3616">
            <v>14</v>
          </cell>
          <cell r="H3616">
            <v>310</v>
          </cell>
          <cell r="I3616">
            <v>12261.816468000003</v>
          </cell>
          <cell r="J3616">
            <v>0</v>
          </cell>
          <cell r="K3616">
            <v>0</v>
          </cell>
          <cell r="L3616">
            <v>869</v>
          </cell>
          <cell r="M3616">
            <v>0</v>
          </cell>
          <cell r="P3616">
            <v>11393</v>
          </cell>
          <cell r="V3616" t="str">
            <v>Available</v>
          </cell>
        </row>
        <row r="3617">
          <cell r="A3617" t="str">
            <v>104800230004</v>
          </cell>
          <cell r="B3617" t="str">
            <v>MAHADAT PUR 2</v>
          </cell>
          <cell r="C3617" t="str">
            <v>MAHADAT PUR 2</v>
          </cell>
          <cell r="D3617" t="str">
            <v>Gomukh Shreepur Madhay</v>
          </cell>
          <cell r="E3617">
            <v>10480023</v>
          </cell>
          <cell r="F3617" t="str">
            <v>0004</v>
          </cell>
          <cell r="G3617">
            <v>1</v>
          </cell>
          <cell r="H3617">
            <v>8</v>
          </cell>
          <cell r="I3617">
            <v>310.47255360000008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P3617">
            <v>310</v>
          </cell>
          <cell r="V3617" t="str">
            <v>Not Available</v>
          </cell>
        </row>
        <row r="3618">
          <cell r="A3618" t="str">
            <v>104800230005</v>
          </cell>
          <cell r="B3618" t="str">
            <v>MAHADAT PUR 2</v>
          </cell>
          <cell r="C3618" t="str">
            <v>MAHADAT PUR 2</v>
          </cell>
          <cell r="D3618" t="str">
            <v>Gomukh Shreepur Madhay</v>
          </cell>
          <cell r="E3618">
            <v>10480023</v>
          </cell>
          <cell r="F3618" t="str">
            <v>0005</v>
          </cell>
          <cell r="G3618">
            <v>14</v>
          </cell>
          <cell r="H3618">
            <v>370</v>
          </cell>
          <cell r="I3618">
            <v>14653.721610000001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P3618">
            <v>14654</v>
          </cell>
          <cell r="V3618" t="str">
            <v>Available</v>
          </cell>
        </row>
        <row r="3619">
          <cell r="A3619" t="str">
            <v>104800230006</v>
          </cell>
          <cell r="B3619" t="str">
            <v>MAHADAT PUR 2</v>
          </cell>
          <cell r="C3619" t="str">
            <v>MAHADAT PUR 2</v>
          </cell>
          <cell r="D3619" t="str">
            <v>Gomukh Shreepur Madhay</v>
          </cell>
          <cell r="E3619">
            <v>10480023</v>
          </cell>
          <cell r="F3619" t="str">
            <v>0006</v>
          </cell>
          <cell r="G3619">
            <v>14</v>
          </cell>
          <cell r="H3619">
            <v>184</v>
          </cell>
          <cell r="I3619">
            <v>7293.0679272000025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P3619">
            <v>7293</v>
          </cell>
          <cell r="V3619" t="str">
            <v>Available</v>
          </cell>
        </row>
        <row r="3620">
          <cell r="A3620" t="str">
            <v>104800230009</v>
          </cell>
          <cell r="B3620" t="str">
            <v>MAHADAT PUR 2</v>
          </cell>
          <cell r="C3620" t="str">
            <v>MAHADAT PUR 2</v>
          </cell>
          <cell r="D3620" t="str">
            <v>Gomukh Shreepur Madhay</v>
          </cell>
          <cell r="E3620">
            <v>10480023</v>
          </cell>
          <cell r="F3620" t="str">
            <v>0009</v>
          </cell>
          <cell r="G3620">
            <v>14</v>
          </cell>
          <cell r="H3620">
            <v>380</v>
          </cell>
          <cell r="I3620">
            <v>15044.452434000003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P3620">
            <v>15044</v>
          </cell>
          <cell r="V3620" t="str">
            <v>Available</v>
          </cell>
        </row>
        <row r="3621">
          <cell r="A3621" t="str">
            <v>105000010001</v>
          </cell>
          <cell r="B3621" t="str">
            <v>Asarganj</v>
          </cell>
          <cell r="C3621" t="str">
            <v>Asarganj</v>
          </cell>
          <cell r="D3621" t="str">
            <v>KUNTHA M</v>
          </cell>
          <cell r="E3621">
            <v>10500001</v>
          </cell>
          <cell r="F3621" t="str">
            <v>0001</v>
          </cell>
          <cell r="G3621">
            <v>10</v>
          </cell>
          <cell r="H3621">
            <v>10.8</v>
          </cell>
          <cell r="I3621">
            <v>415.01940480000007</v>
          </cell>
          <cell r="J3621">
            <v>0</v>
          </cell>
          <cell r="K3621">
            <v>415.01940480000007</v>
          </cell>
          <cell r="L3621">
            <v>0</v>
          </cell>
          <cell r="M3621">
            <v>0</v>
          </cell>
          <cell r="P3621">
            <v>0</v>
          </cell>
          <cell r="V3621" t="str">
            <v>Not Available</v>
          </cell>
        </row>
        <row r="3622">
          <cell r="A3622" t="str">
            <v>105000010002</v>
          </cell>
          <cell r="B3622" t="str">
            <v>Asarganj</v>
          </cell>
          <cell r="C3622" t="str">
            <v>Asarganj</v>
          </cell>
          <cell r="D3622" t="str">
            <v>KUNTHA M</v>
          </cell>
          <cell r="E3622">
            <v>10500001</v>
          </cell>
          <cell r="F3622" t="str">
            <v>0002</v>
          </cell>
          <cell r="G3622">
            <v>8</v>
          </cell>
          <cell r="H3622">
            <v>37.200000000000003</v>
          </cell>
          <cell r="I3622">
            <v>1518.6200832000002</v>
          </cell>
          <cell r="J3622">
            <v>0</v>
          </cell>
          <cell r="K3622">
            <v>0</v>
          </cell>
          <cell r="L3622">
            <v>1519</v>
          </cell>
          <cell r="M3622">
            <v>0</v>
          </cell>
          <cell r="P3622">
            <v>0</v>
          </cell>
          <cell r="V3622" t="str">
            <v>Available</v>
          </cell>
        </row>
        <row r="3623">
          <cell r="A3623" t="str">
            <v>105000010011</v>
          </cell>
          <cell r="B3623" t="str">
            <v>Asarganj</v>
          </cell>
          <cell r="C3623" t="str">
            <v>Asarganj</v>
          </cell>
          <cell r="D3623" t="str">
            <v>KUNTHA M</v>
          </cell>
          <cell r="E3623">
            <v>10500001</v>
          </cell>
          <cell r="F3623" t="str">
            <v>0011</v>
          </cell>
          <cell r="G3623">
            <v>9</v>
          </cell>
          <cell r="H3623">
            <v>120</v>
          </cell>
          <cell r="I3623">
            <v>4264.2151199999998</v>
          </cell>
          <cell r="J3623">
            <v>0</v>
          </cell>
          <cell r="K3623">
            <v>0</v>
          </cell>
          <cell r="L3623">
            <v>4264</v>
          </cell>
          <cell r="M3623">
            <v>0</v>
          </cell>
          <cell r="P3623">
            <v>0</v>
          </cell>
          <cell r="V3623" t="str">
            <v>Available</v>
          </cell>
        </row>
        <row r="3624">
          <cell r="A3624" t="str">
            <v>105000010013</v>
          </cell>
          <cell r="B3624" t="str">
            <v>Asarganj</v>
          </cell>
          <cell r="C3624" t="str">
            <v>Asarganj</v>
          </cell>
          <cell r="D3624" t="str">
            <v>KUNTHA M</v>
          </cell>
          <cell r="E3624">
            <v>10500001</v>
          </cell>
          <cell r="F3624" t="str">
            <v>0013</v>
          </cell>
          <cell r="G3624">
            <v>2</v>
          </cell>
          <cell r="H3624">
            <v>14.3</v>
          </cell>
          <cell r="I3624">
            <v>499.04110080000009</v>
          </cell>
          <cell r="J3624">
            <v>0</v>
          </cell>
          <cell r="K3624">
            <v>0</v>
          </cell>
          <cell r="L3624">
            <v>499</v>
          </cell>
          <cell r="M3624">
            <v>0</v>
          </cell>
          <cell r="P3624">
            <v>0</v>
          </cell>
          <cell r="V3624" t="str">
            <v>Available</v>
          </cell>
        </row>
        <row r="3625">
          <cell r="A3625" t="str">
            <v>105000010020</v>
          </cell>
          <cell r="B3625" t="str">
            <v>Asarganj</v>
          </cell>
          <cell r="C3625" t="str">
            <v>Asarganj</v>
          </cell>
          <cell r="D3625" t="str">
            <v>KUNTHA M</v>
          </cell>
          <cell r="E3625">
            <v>10500001</v>
          </cell>
          <cell r="F3625" t="str">
            <v>0020</v>
          </cell>
          <cell r="G3625">
            <v>10</v>
          </cell>
          <cell r="H3625">
            <v>131.20000000000002</v>
          </cell>
          <cell r="I3625">
            <v>4562.5469471999995</v>
          </cell>
          <cell r="J3625">
            <v>0</v>
          </cell>
          <cell r="K3625">
            <v>0</v>
          </cell>
          <cell r="L3625">
            <v>2157</v>
          </cell>
          <cell r="M3625">
            <v>0</v>
          </cell>
          <cell r="P3625">
            <v>2406</v>
          </cell>
          <cell r="V3625" t="str">
            <v>Available</v>
          </cell>
        </row>
        <row r="3626">
          <cell r="A3626" t="str">
            <v>105000010044</v>
          </cell>
          <cell r="B3626" t="str">
            <v>Asarganj</v>
          </cell>
          <cell r="C3626" t="str">
            <v>Asarganj</v>
          </cell>
          <cell r="D3626" t="str">
            <v>KUNTHA M</v>
          </cell>
          <cell r="E3626">
            <v>10500001</v>
          </cell>
          <cell r="F3626" t="str">
            <v>0044</v>
          </cell>
          <cell r="G3626">
            <v>9</v>
          </cell>
          <cell r="H3626">
            <v>9.2999999999999989</v>
          </cell>
          <cell r="I3626">
            <v>325.75942079999999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P3626">
            <v>326</v>
          </cell>
          <cell r="V3626" t="str">
            <v>Available</v>
          </cell>
        </row>
        <row r="3627">
          <cell r="A3627" t="str">
            <v>105000010079</v>
          </cell>
          <cell r="B3627" t="str">
            <v>Asarganj</v>
          </cell>
          <cell r="C3627" t="str">
            <v>Asarganj</v>
          </cell>
          <cell r="D3627" t="str">
            <v>KUNTHA M</v>
          </cell>
          <cell r="E3627">
            <v>10500001</v>
          </cell>
          <cell r="F3627" t="str">
            <v>0079</v>
          </cell>
          <cell r="G3627">
            <v>8</v>
          </cell>
          <cell r="H3627">
            <v>64</v>
          </cell>
          <cell r="I3627">
            <v>2608.4139840000003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P3627">
            <v>2608</v>
          </cell>
          <cell r="V3627" t="str">
            <v>Available</v>
          </cell>
        </row>
        <row r="3628">
          <cell r="A3628" t="str">
            <v>105000010102</v>
          </cell>
          <cell r="B3628" t="str">
            <v>Asarganj</v>
          </cell>
          <cell r="C3628" t="str">
            <v>Asarganj</v>
          </cell>
          <cell r="D3628" t="str">
            <v>KUNTHA M</v>
          </cell>
          <cell r="E3628">
            <v>10500001</v>
          </cell>
          <cell r="F3628" t="str">
            <v>0102</v>
          </cell>
          <cell r="G3628">
            <v>10</v>
          </cell>
          <cell r="H3628">
            <v>139.4</v>
          </cell>
          <cell r="I3628">
            <v>4981.6160064000005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P3628">
            <v>4982</v>
          </cell>
          <cell r="V3628" t="str">
            <v>Available</v>
          </cell>
        </row>
        <row r="3629">
          <cell r="A3629" t="str">
            <v>105000010103</v>
          </cell>
          <cell r="B3629" t="str">
            <v>Asarganj</v>
          </cell>
          <cell r="C3629" t="str">
            <v>Asarganj</v>
          </cell>
          <cell r="D3629" t="str">
            <v>KUNTHA M</v>
          </cell>
          <cell r="E3629">
            <v>10500001</v>
          </cell>
          <cell r="F3629" t="str">
            <v>0103</v>
          </cell>
          <cell r="G3629">
            <v>8</v>
          </cell>
          <cell r="H3629">
            <v>56.199999999999996</v>
          </cell>
          <cell r="I3629">
            <v>2291.6057472000002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P3629">
            <v>2292</v>
          </cell>
          <cell r="V3629" t="str">
            <v>Available</v>
          </cell>
        </row>
        <row r="3630">
          <cell r="A3630" t="str">
            <v>105000010113</v>
          </cell>
          <cell r="B3630" t="str">
            <v>Asarganj</v>
          </cell>
          <cell r="C3630" t="str">
            <v>Asarganj</v>
          </cell>
          <cell r="D3630" t="str">
            <v>KUNTHA M</v>
          </cell>
          <cell r="E3630">
            <v>10500001</v>
          </cell>
          <cell r="F3630" t="str">
            <v>0113</v>
          </cell>
          <cell r="G3630">
            <v>9</v>
          </cell>
          <cell r="H3630">
            <v>50.5</v>
          </cell>
          <cell r="I3630">
            <v>1738.6253280000001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P3630">
            <v>1739</v>
          </cell>
          <cell r="V3630" t="str">
            <v>Available</v>
          </cell>
        </row>
        <row r="3631">
          <cell r="A3631" t="str">
            <v>105000010124</v>
          </cell>
          <cell r="B3631" t="str">
            <v>Asarganj</v>
          </cell>
          <cell r="C3631" t="str">
            <v>Asarganj</v>
          </cell>
          <cell r="D3631" t="str">
            <v>KUNTHA M</v>
          </cell>
          <cell r="E3631">
            <v>10500001</v>
          </cell>
          <cell r="F3631" t="str">
            <v>0124</v>
          </cell>
          <cell r="G3631">
            <v>10</v>
          </cell>
          <cell r="H3631">
            <v>61.699999999999989</v>
          </cell>
          <cell r="I3631">
            <v>2144.7879552000004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P3631">
            <v>2145</v>
          </cell>
          <cell r="V3631" t="str">
            <v>Available</v>
          </cell>
        </row>
        <row r="3632">
          <cell r="A3632" t="str">
            <v>105100010001</v>
          </cell>
          <cell r="B3632" t="str">
            <v>Dumraon</v>
          </cell>
          <cell r="C3632" t="str">
            <v>Dumraon</v>
          </cell>
          <cell r="D3632" t="str">
            <v>ARAK</v>
          </cell>
          <cell r="E3632">
            <v>10510001</v>
          </cell>
          <cell r="F3632" t="str">
            <v>0001</v>
          </cell>
          <cell r="G3632">
            <v>13</v>
          </cell>
          <cell r="H3632">
            <v>12.4</v>
          </cell>
          <cell r="I3632">
            <v>611.02941950915999</v>
          </cell>
          <cell r="J3632">
            <v>0</v>
          </cell>
          <cell r="K3632">
            <v>611.02941950915999</v>
          </cell>
          <cell r="L3632">
            <v>0</v>
          </cell>
          <cell r="M3632">
            <v>0</v>
          </cell>
          <cell r="P3632">
            <v>0</v>
          </cell>
          <cell r="V3632" t="str">
            <v>Not Available</v>
          </cell>
        </row>
        <row r="3633">
          <cell r="A3633" t="str">
            <v>105100010002</v>
          </cell>
          <cell r="B3633" t="str">
            <v>Dumraon</v>
          </cell>
          <cell r="C3633" t="str">
            <v>Dumraon</v>
          </cell>
          <cell r="D3633" t="str">
            <v>ARAK</v>
          </cell>
          <cell r="E3633">
            <v>10510001</v>
          </cell>
          <cell r="F3633" t="str">
            <v>0002</v>
          </cell>
          <cell r="G3633">
            <v>14</v>
          </cell>
          <cell r="H3633">
            <v>766.30000000000007</v>
          </cell>
          <cell r="I3633">
            <v>29333.148499272</v>
          </cell>
          <cell r="J3633">
            <v>0</v>
          </cell>
          <cell r="K3633">
            <v>0</v>
          </cell>
          <cell r="L3633">
            <v>2175</v>
          </cell>
          <cell r="M3633">
            <v>0</v>
          </cell>
          <cell r="P3633">
            <v>27158</v>
          </cell>
          <cell r="V3633" t="str">
            <v>Available</v>
          </cell>
        </row>
        <row r="3634">
          <cell r="A3634" t="str">
            <v>105100010005</v>
          </cell>
          <cell r="B3634" t="str">
            <v>Dumraon</v>
          </cell>
          <cell r="C3634" t="str">
            <v>Dumraon</v>
          </cell>
          <cell r="D3634" t="str">
            <v>ARAK</v>
          </cell>
          <cell r="E3634">
            <v>10510001</v>
          </cell>
          <cell r="F3634" t="str">
            <v>0005</v>
          </cell>
          <cell r="G3634">
            <v>13</v>
          </cell>
          <cell r="H3634">
            <v>29.499999999999996</v>
          </cell>
          <cell r="I3634">
            <v>1067.0840904240001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P3634">
            <v>1067</v>
          </cell>
          <cell r="V3634" t="str">
            <v>Available</v>
          </cell>
        </row>
        <row r="3635">
          <cell r="A3635" t="str">
            <v>105100010010</v>
          </cell>
          <cell r="B3635" t="str">
            <v>Dumraon</v>
          </cell>
          <cell r="C3635" t="str">
            <v>Dumraon</v>
          </cell>
          <cell r="D3635" t="str">
            <v>ARAK</v>
          </cell>
          <cell r="E3635">
            <v>10510001</v>
          </cell>
          <cell r="F3635" t="str">
            <v>0010</v>
          </cell>
          <cell r="G3635">
            <v>2</v>
          </cell>
          <cell r="H3635">
            <v>6.8</v>
          </cell>
          <cell r="I3635">
            <v>243.25678080000003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P3635">
            <v>243</v>
          </cell>
          <cell r="V3635" t="str">
            <v>Available</v>
          </cell>
        </row>
        <row r="3636">
          <cell r="A3636" t="str">
            <v>105100010012</v>
          </cell>
          <cell r="B3636" t="str">
            <v>Dumraon</v>
          </cell>
          <cell r="C3636" t="str">
            <v>Dumraon</v>
          </cell>
          <cell r="D3636" t="str">
            <v>ARAK</v>
          </cell>
          <cell r="E3636">
            <v>10510001</v>
          </cell>
          <cell r="F3636" t="str">
            <v>0012</v>
          </cell>
          <cell r="G3636">
            <v>9</v>
          </cell>
          <cell r="H3636">
            <v>53.8</v>
          </cell>
          <cell r="I3636">
            <v>1943.96720364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P3636">
            <v>1944</v>
          </cell>
          <cell r="V3636" t="str">
            <v>Available</v>
          </cell>
        </row>
        <row r="3637">
          <cell r="A3637" t="str">
            <v>105100010029</v>
          </cell>
          <cell r="B3637" t="str">
            <v>Dumraon</v>
          </cell>
          <cell r="C3637" t="str">
            <v>Dumraon</v>
          </cell>
          <cell r="D3637" t="str">
            <v>ARAK</v>
          </cell>
          <cell r="E3637">
            <v>10510001</v>
          </cell>
          <cell r="F3637" t="str">
            <v>0029</v>
          </cell>
          <cell r="G3637">
            <v>13</v>
          </cell>
          <cell r="H3637">
            <v>38.699999999999996</v>
          </cell>
          <cell r="I3637">
            <v>1384.3243537200003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P3637">
            <v>1384</v>
          </cell>
          <cell r="V3637" t="str">
            <v>Available</v>
          </cell>
        </row>
        <row r="3638">
          <cell r="A3638" t="str">
            <v>105100010033</v>
          </cell>
          <cell r="B3638" t="str">
            <v>Dumraon</v>
          </cell>
          <cell r="C3638" t="str">
            <v>Dumraon</v>
          </cell>
          <cell r="D3638" t="str">
            <v>ARAK</v>
          </cell>
          <cell r="E3638">
            <v>10510001</v>
          </cell>
          <cell r="F3638" t="str">
            <v>0033</v>
          </cell>
          <cell r="G3638">
            <v>14</v>
          </cell>
          <cell r="H3638">
            <v>77</v>
          </cell>
          <cell r="I3638">
            <v>2781.7433701200007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P3638">
            <v>2782</v>
          </cell>
          <cell r="V3638" t="str">
            <v>Available</v>
          </cell>
        </row>
        <row r="3639">
          <cell r="A3639" t="str">
            <v>105100010042</v>
          </cell>
          <cell r="B3639" t="str">
            <v>Dumraon</v>
          </cell>
          <cell r="C3639" t="str">
            <v>Dumraon</v>
          </cell>
          <cell r="D3639" t="str">
            <v>ARAK</v>
          </cell>
          <cell r="E3639">
            <v>10510001</v>
          </cell>
          <cell r="F3639" t="str">
            <v>0042</v>
          </cell>
          <cell r="G3639">
            <v>7</v>
          </cell>
          <cell r="H3639">
            <v>17.899999999999999</v>
          </cell>
          <cell r="I3639">
            <v>627.36416503200019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P3639">
            <v>627</v>
          </cell>
          <cell r="V3639" t="str">
            <v>Available</v>
          </cell>
        </row>
        <row r="3640">
          <cell r="A3640" t="str">
            <v>105100010045</v>
          </cell>
          <cell r="B3640" t="str">
            <v>Dumraon</v>
          </cell>
          <cell r="C3640" t="str">
            <v>Dumraon</v>
          </cell>
          <cell r="D3640" t="str">
            <v>ARAK</v>
          </cell>
          <cell r="E3640">
            <v>10510001</v>
          </cell>
          <cell r="F3640" t="str">
            <v>0045</v>
          </cell>
          <cell r="G3640">
            <v>7</v>
          </cell>
          <cell r="H3640">
            <v>12.4</v>
          </cell>
          <cell r="I3640">
            <v>440.85345480000007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P3640">
            <v>441</v>
          </cell>
          <cell r="V3640" t="str">
            <v>Available</v>
          </cell>
        </row>
        <row r="3641">
          <cell r="A3641" t="str">
            <v>105100010047</v>
          </cell>
          <cell r="B3641" t="str">
            <v>Dumraon</v>
          </cell>
          <cell r="C3641" t="str">
            <v>Dumraon</v>
          </cell>
          <cell r="D3641" t="str">
            <v>ARAK</v>
          </cell>
          <cell r="E3641">
            <v>10510001</v>
          </cell>
          <cell r="F3641" t="str">
            <v>0047</v>
          </cell>
          <cell r="G3641">
            <v>3</v>
          </cell>
          <cell r="H3641">
            <v>8</v>
          </cell>
          <cell r="I3641">
            <v>271.75882219200003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P3641">
            <v>272</v>
          </cell>
          <cell r="V3641" t="str">
            <v>Available</v>
          </cell>
        </row>
        <row r="3642">
          <cell r="A3642" t="str">
            <v>105100010062</v>
          </cell>
          <cell r="B3642" t="str">
            <v>Dumraon</v>
          </cell>
          <cell r="C3642" t="str">
            <v>Dumraon</v>
          </cell>
          <cell r="D3642" t="str">
            <v>ARAK</v>
          </cell>
          <cell r="E3642">
            <v>10510001</v>
          </cell>
          <cell r="F3642" t="str">
            <v>0062</v>
          </cell>
          <cell r="G3642">
            <v>13</v>
          </cell>
          <cell r="H3642">
            <v>96.399999999999991</v>
          </cell>
          <cell r="I3642">
            <v>3480.348290760001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P3642">
            <v>3480</v>
          </cell>
          <cell r="V3642" t="str">
            <v>Available</v>
          </cell>
        </row>
        <row r="3643">
          <cell r="A3643" t="str">
            <v>105100010068</v>
          </cell>
          <cell r="B3643" t="str">
            <v>Dumraon</v>
          </cell>
          <cell r="C3643" t="str">
            <v>Dumraon</v>
          </cell>
          <cell r="D3643" t="str">
            <v>ARAK</v>
          </cell>
          <cell r="E3643">
            <v>10510001</v>
          </cell>
          <cell r="F3643" t="str">
            <v>0068</v>
          </cell>
          <cell r="G3643">
            <v>5</v>
          </cell>
          <cell r="H3643">
            <v>10</v>
          </cell>
          <cell r="I3643">
            <v>354.58894152000005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P3643">
            <v>355</v>
          </cell>
          <cell r="V3643" t="str">
            <v>Available</v>
          </cell>
        </row>
        <row r="3644">
          <cell r="A3644" t="str">
            <v>105100010071</v>
          </cell>
          <cell r="B3644" t="str">
            <v>Dumraon</v>
          </cell>
          <cell r="C3644" t="str">
            <v>Dumraon</v>
          </cell>
          <cell r="D3644" t="str">
            <v>ARAK</v>
          </cell>
          <cell r="E3644">
            <v>10510001</v>
          </cell>
          <cell r="F3644" t="str">
            <v>0071</v>
          </cell>
          <cell r="G3644">
            <v>7</v>
          </cell>
          <cell r="H3644">
            <v>17.799999999999997</v>
          </cell>
          <cell r="I3644">
            <v>1181.4652598115601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P3644">
            <v>1181</v>
          </cell>
          <cell r="V3644" t="str">
            <v>Available</v>
          </cell>
        </row>
        <row r="3645">
          <cell r="A3645" t="str">
            <v>105100010075</v>
          </cell>
          <cell r="B3645" t="str">
            <v>Dumraon</v>
          </cell>
          <cell r="C3645" t="str">
            <v>Dumraon</v>
          </cell>
          <cell r="D3645" t="str">
            <v>ARAK</v>
          </cell>
          <cell r="E3645">
            <v>10510001</v>
          </cell>
          <cell r="F3645" t="str">
            <v>0075</v>
          </cell>
          <cell r="G3645">
            <v>7</v>
          </cell>
          <cell r="H3645">
            <v>23.9</v>
          </cell>
          <cell r="I3645">
            <v>1042.1346069670901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P3645">
            <v>1042</v>
          </cell>
          <cell r="V3645" t="str">
            <v>Available</v>
          </cell>
        </row>
        <row r="3646">
          <cell r="A3646" t="str">
            <v>105100010081</v>
          </cell>
          <cell r="B3646" t="str">
            <v>Dumraon</v>
          </cell>
          <cell r="C3646" t="str">
            <v>Dumraon</v>
          </cell>
          <cell r="D3646" t="str">
            <v>ARAK</v>
          </cell>
          <cell r="E3646">
            <v>10510001</v>
          </cell>
          <cell r="F3646" t="str">
            <v>0081</v>
          </cell>
          <cell r="G3646">
            <v>13</v>
          </cell>
          <cell r="H3646">
            <v>32.299999999999997</v>
          </cell>
          <cell r="I3646">
            <v>1176.305742216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P3646">
            <v>1176</v>
          </cell>
          <cell r="V3646" t="str">
            <v>Available</v>
          </cell>
        </row>
        <row r="3647">
          <cell r="A3647" t="str">
            <v>105100010086</v>
          </cell>
          <cell r="B3647" t="str">
            <v>Dumraon</v>
          </cell>
          <cell r="C3647" t="str">
            <v>Dumraon</v>
          </cell>
          <cell r="D3647" t="str">
            <v>ARAK</v>
          </cell>
          <cell r="E3647">
            <v>10510001</v>
          </cell>
          <cell r="F3647" t="str">
            <v>0086</v>
          </cell>
          <cell r="G3647">
            <v>13</v>
          </cell>
          <cell r="H3647">
            <v>41.599999999999994</v>
          </cell>
          <cell r="I3647">
            <v>1495.3524577200003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P3647">
            <v>1495</v>
          </cell>
          <cell r="V3647" t="str">
            <v>Available</v>
          </cell>
        </row>
        <row r="3648">
          <cell r="A3648" t="str">
            <v>105100010088</v>
          </cell>
          <cell r="B3648" t="str">
            <v>Dumraon</v>
          </cell>
          <cell r="C3648" t="str">
            <v>Dumraon</v>
          </cell>
          <cell r="D3648" t="str">
            <v>ARAK</v>
          </cell>
          <cell r="E3648">
            <v>10510001</v>
          </cell>
          <cell r="F3648" t="str">
            <v>0088</v>
          </cell>
          <cell r="G3648">
            <v>2</v>
          </cell>
          <cell r="H3648">
            <v>5.2</v>
          </cell>
          <cell r="I3648">
            <v>185.74251300000003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P3648">
            <v>186</v>
          </cell>
          <cell r="V3648" t="str">
            <v>Available</v>
          </cell>
        </row>
        <row r="3649">
          <cell r="A3649" t="str">
            <v>105100010091</v>
          </cell>
          <cell r="B3649" t="str">
            <v>Dumraon</v>
          </cell>
          <cell r="C3649" t="str">
            <v>Dumraon</v>
          </cell>
          <cell r="D3649" t="str">
            <v>ARAK</v>
          </cell>
          <cell r="E3649">
            <v>10510001</v>
          </cell>
          <cell r="F3649" t="str">
            <v>0091</v>
          </cell>
          <cell r="G3649">
            <v>7</v>
          </cell>
          <cell r="H3649">
            <v>14.8</v>
          </cell>
          <cell r="I3649">
            <v>532.00199844000008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P3649">
            <v>532</v>
          </cell>
          <cell r="V3649" t="str">
            <v>Available</v>
          </cell>
        </row>
        <row r="3650">
          <cell r="A3650" t="str">
            <v>105100010093</v>
          </cell>
          <cell r="B3650" t="str">
            <v>Dumraon</v>
          </cell>
          <cell r="C3650" t="str">
            <v>Dumraon</v>
          </cell>
          <cell r="D3650" t="str">
            <v>ARAK</v>
          </cell>
          <cell r="E3650">
            <v>10510001</v>
          </cell>
          <cell r="F3650" t="str">
            <v>0093</v>
          </cell>
          <cell r="G3650">
            <v>12</v>
          </cell>
          <cell r="H3650">
            <v>45.3</v>
          </cell>
          <cell r="I3650">
            <v>1632.7550052000004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P3650">
            <v>1633</v>
          </cell>
          <cell r="V3650" t="str">
            <v>Available</v>
          </cell>
        </row>
        <row r="3651">
          <cell r="A3651" t="str">
            <v>105100010094</v>
          </cell>
          <cell r="B3651" t="str">
            <v>Dumraon</v>
          </cell>
          <cell r="C3651" t="str">
            <v>Dumraon</v>
          </cell>
          <cell r="D3651" t="str">
            <v>ARAK</v>
          </cell>
          <cell r="E3651">
            <v>10510001</v>
          </cell>
          <cell r="F3651" t="str">
            <v>0094</v>
          </cell>
          <cell r="G3651">
            <v>3</v>
          </cell>
          <cell r="H3651">
            <v>10.199999999999999</v>
          </cell>
          <cell r="I3651">
            <v>362.87856792000002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P3651">
            <v>363</v>
          </cell>
          <cell r="V3651" t="str">
            <v>Available</v>
          </cell>
        </row>
        <row r="3652">
          <cell r="A3652" t="str">
            <v>105100010095</v>
          </cell>
          <cell r="B3652" t="str">
            <v>Dumraon</v>
          </cell>
          <cell r="C3652" t="str">
            <v>Dumraon</v>
          </cell>
          <cell r="D3652" t="str">
            <v>ARAK</v>
          </cell>
          <cell r="E3652">
            <v>10510001</v>
          </cell>
          <cell r="F3652" t="str">
            <v>0095</v>
          </cell>
          <cell r="G3652">
            <v>8</v>
          </cell>
          <cell r="H3652">
            <v>37.9</v>
          </cell>
          <cell r="I3652">
            <v>1352.1813663600003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P3652">
            <v>1352</v>
          </cell>
          <cell r="V3652" t="str">
            <v>Available</v>
          </cell>
        </row>
        <row r="3653">
          <cell r="A3653" t="str">
            <v>105100010102</v>
          </cell>
          <cell r="B3653" t="str">
            <v>Dumraon</v>
          </cell>
          <cell r="C3653" t="str">
            <v>Dumraon</v>
          </cell>
          <cell r="D3653" t="str">
            <v>ARAK</v>
          </cell>
          <cell r="E3653">
            <v>10510001</v>
          </cell>
          <cell r="F3653" t="str">
            <v>0102</v>
          </cell>
          <cell r="G3653">
            <v>13</v>
          </cell>
          <cell r="H3653">
            <v>81</v>
          </cell>
          <cell r="I3653">
            <v>2598.7723740000006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P3653">
            <v>2599</v>
          </cell>
          <cell r="V3653" t="str">
            <v>Available</v>
          </cell>
        </row>
        <row r="3654">
          <cell r="A3654" t="str">
            <v>105100010109</v>
          </cell>
          <cell r="B3654" t="str">
            <v>Dumraon</v>
          </cell>
          <cell r="C3654" t="str">
            <v>Dumraon</v>
          </cell>
          <cell r="D3654" t="str">
            <v>ARAK</v>
          </cell>
          <cell r="E3654">
            <v>10510001</v>
          </cell>
          <cell r="F3654" t="str">
            <v>0109</v>
          </cell>
          <cell r="G3654">
            <v>9</v>
          </cell>
          <cell r="H3654">
            <v>23</v>
          </cell>
          <cell r="I3654">
            <v>795.46577932800005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P3654">
            <v>795</v>
          </cell>
          <cell r="V3654" t="str">
            <v>Available</v>
          </cell>
        </row>
        <row r="3655">
          <cell r="A3655" t="str">
            <v>105100010110</v>
          </cell>
          <cell r="B3655" t="str">
            <v>Dumraon</v>
          </cell>
          <cell r="C3655" t="str">
            <v>Dumraon</v>
          </cell>
          <cell r="D3655" t="str">
            <v>ARAK</v>
          </cell>
          <cell r="E3655">
            <v>10510001</v>
          </cell>
          <cell r="F3655" t="str">
            <v>0110</v>
          </cell>
          <cell r="G3655">
            <v>7</v>
          </cell>
          <cell r="H3655">
            <v>29.700000000000003</v>
          </cell>
          <cell r="I3655">
            <v>1073.70663444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P3655">
            <v>1074</v>
          </cell>
          <cell r="V3655" t="str">
            <v>Available</v>
          </cell>
        </row>
        <row r="3656">
          <cell r="A3656" t="str">
            <v>105100010116</v>
          </cell>
          <cell r="B3656" t="str">
            <v>Dumraon</v>
          </cell>
          <cell r="C3656" t="str">
            <v>Dumraon</v>
          </cell>
          <cell r="D3656" t="str">
            <v>ARAK</v>
          </cell>
          <cell r="E3656">
            <v>10510001</v>
          </cell>
          <cell r="F3656" t="str">
            <v>0116</v>
          </cell>
          <cell r="G3656">
            <v>12</v>
          </cell>
          <cell r="H3656">
            <v>66.600000000000009</v>
          </cell>
          <cell r="I3656">
            <v>2352.5464802400006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P3656">
            <v>2353</v>
          </cell>
          <cell r="V3656" t="str">
            <v>Available</v>
          </cell>
        </row>
        <row r="3657">
          <cell r="A3657" t="str">
            <v>105100010119</v>
          </cell>
          <cell r="B3657" t="str">
            <v>Dumraon</v>
          </cell>
          <cell r="C3657" t="str">
            <v>Dumraon</v>
          </cell>
          <cell r="D3657" t="str">
            <v>ARAK</v>
          </cell>
          <cell r="E3657">
            <v>10510001</v>
          </cell>
          <cell r="F3657" t="str">
            <v>0119</v>
          </cell>
          <cell r="G3657">
            <v>8</v>
          </cell>
          <cell r="H3657">
            <v>26.6</v>
          </cell>
          <cell r="I3657">
            <v>951.54994440000019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P3657">
            <v>952</v>
          </cell>
          <cell r="V3657" t="str">
            <v>Available</v>
          </cell>
        </row>
        <row r="3658">
          <cell r="A3658" t="str">
            <v>105100010124</v>
          </cell>
          <cell r="B3658" t="str">
            <v>Dumraon</v>
          </cell>
          <cell r="C3658" t="str">
            <v>Dumraon</v>
          </cell>
          <cell r="D3658" t="str">
            <v>ARAK</v>
          </cell>
          <cell r="E3658">
            <v>10510001</v>
          </cell>
          <cell r="F3658" t="str">
            <v>0124</v>
          </cell>
          <cell r="G3658">
            <v>12</v>
          </cell>
          <cell r="H3658">
            <v>50.3</v>
          </cell>
          <cell r="I3658">
            <v>1792.1317019760002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P3658">
            <v>1792</v>
          </cell>
          <cell r="V3658" t="str">
            <v>Available</v>
          </cell>
        </row>
        <row r="3659">
          <cell r="A3659" t="str">
            <v>105100010126</v>
          </cell>
          <cell r="B3659" t="str">
            <v>Dumraon</v>
          </cell>
          <cell r="C3659" t="str">
            <v>Dumraon</v>
          </cell>
          <cell r="D3659" t="str">
            <v>ARAK</v>
          </cell>
          <cell r="E3659">
            <v>10510001</v>
          </cell>
          <cell r="F3659" t="str">
            <v>0126</v>
          </cell>
          <cell r="G3659">
            <v>5</v>
          </cell>
          <cell r="H3659">
            <v>19.599999999999998</v>
          </cell>
          <cell r="I3659">
            <v>708.75485208000009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P3659">
            <v>709</v>
          </cell>
          <cell r="V3659" t="str">
            <v>Available</v>
          </cell>
        </row>
        <row r="3660">
          <cell r="A3660" t="str">
            <v>105100010127</v>
          </cell>
          <cell r="B3660" t="str">
            <v>Dumraon</v>
          </cell>
          <cell r="C3660" t="str">
            <v>Dumraon</v>
          </cell>
          <cell r="D3660" t="str">
            <v>ARAK</v>
          </cell>
          <cell r="E3660">
            <v>10510001</v>
          </cell>
          <cell r="F3660" t="str">
            <v>0127</v>
          </cell>
          <cell r="G3660">
            <v>14</v>
          </cell>
          <cell r="H3660">
            <v>58.2</v>
          </cell>
          <cell r="I3660">
            <v>2768.4869563576804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P3660">
            <v>2768</v>
          </cell>
          <cell r="V3660" t="str">
            <v>Available</v>
          </cell>
        </row>
        <row r="3661">
          <cell r="A3661" t="str">
            <v>105100010129</v>
          </cell>
          <cell r="B3661" t="str">
            <v>Dumraon</v>
          </cell>
          <cell r="C3661" t="str">
            <v>Dumraon</v>
          </cell>
          <cell r="D3661" t="str">
            <v>ARAK</v>
          </cell>
          <cell r="E3661">
            <v>10510001</v>
          </cell>
          <cell r="F3661" t="str">
            <v>0129</v>
          </cell>
          <cell r="G3661">
            <v>11</v>
          </cell>
          <cell r="H3661">
            <v>40.700000000000003</v>
          </cell>
          <cell r="I3661">
            <v>1452.3197436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P3661">
            <v>1452</v>
          </cell>
          <cell r="V3661" t="str">
            <v>Available</v>
          </cell>
        </row>
        <row r="3662">
          <cell r="A3662" t="str">
            <v>105100010133</v>
          </cell>
          <cell r="B3662" t="str">
            <v>Dumraon</v>
          </cell>
          <cell r="C3662" t="str">
            <v>Dumraon</v>
          </cell>
          <cell r="D3662" t="str">
            <v>ARAK</v>
          </cell>
          <cell r="E3662">
            <v>10510001</v>
          </cell>
          <cell r="F3662" t="str">
            <v>0133</v>
          </cell>
          <cell r="G3662">
            <v>3</v>
          </cell>
          <cell r="H3662">
            <v>11</v>
          </cell>
          <cell r="I3662">
            <v>388.67247144000004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P3662">
            <v>389</v>
          </cell>
          <cell r="V3662" t="str">
            <v>Available</v>
          </cell>
        </row>
        <row r="3663">
          <cell r="A3663" t="str">
            <v>105100010155</v>
          </cell>
          <cell r="B3663" t="str">
            <v>Dumraon</v>
          </cell>
          <cell r="C3663" t="str">
            <v>Dumraon</v>
          </cell>
          <cell r="D3663" t="str">
            <v>ARAK</v>
          </cell>
          <cell r="E3663">
            <v>10510001</v>
          </cell>
          <cell r="F3663" t="str">
            <v>0155</v>
          </cell>
          <cell r="G3663">
            <v>1</v>
          </cell>
          <cell r="H3663">
            <v>5</v>
          </cell>
          <cell r="I3663">
            <v>174.24534600000001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P3663">
            <v>174</v>
          </cell>
          <cell r="V3663" t="str">
            <v>Available</v>
          </cell>
        </row>
        <row r="3664">
          <cell r="A3664" t="str">
            <v>105100010159</v>
          </cell>
          <cell r="B3664" t="str">
            <v>Dumraon</v>
          </cell>
          <cell r="C3664" t="str">
            <v>Dumraon</v>
          </cell>
          <cell r="D3664" t="str">
            <v>ARAK</v>
          </cell>
          <cell r="E3664">
            <v>10510001</v>
          </cell>
          <cell r="F3664" t="str">
            <v>0159</v>
          </cell>
          <cell r="G3664">
            <v>13</v>
          </cell>
          <cell r="H3664">
            <v>30.8</v>
          </cell>
          <cell r="I3664">
            <v>1091.2493592000001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P3664">
            <v>1091</v>
          </cell>
          <cell r="V3664" t="str">
            <v>Available</v>
          </cell>
        </row>
        <row r="3665">
          <cell r="A3665" t="str">
            <v>105100010174</v>
          </cell>
          <cell r="B3665" t="str">
            <v>Dumraon</v>
          </cell>
          <cell r="C3665" t="str">
            <v>Dumraon</v>
          </cell>
          <cell r="D3665" t="str">
            <v>ARAK</v>
          </cell>
          <cell r="E3665">
            <v>10510001</v>
          </cell>
          <cell r="F3665" t="str">
            <v>0174</v>
          </cell>
          <cell r="G3665">
            <v>7</v>
          </cell>
          <cell r="H3665">
            <v>12.6</v>
          </cell>
          <cell r="I3665">
            <v>475.56991944000009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P3665">
            <v>476</v>
          </cell>
          <cell r="V3665" t="str">
            <v>Available</v>
          </cell>
        </row>
        <row r="3666">
          <cell r="A3666" t="str">
            <v>105100010176</v>
          </cell>
          <cell r="B3666" t="str">
            <v>Dumraon</v>
          </cell>
          <cell r="C3666" t="str">
            <v>Dumraon</v>
          </cell>
          <cell r="D3666" t="str">
            <v>ARAK</v>
          </cell>
          <cell r="E3666">
            <v>10510001</v>
          </cell>
          <cell r="F3666" t="str">
            <v>0176</v>
          </cell>
          <cell r="G3666">
            <v>14</v>
          </cell>
          <cell r="H3666">
            <v>34.900000000000006</v>
          </cell>
          <cell r="I3666">
            <v>1909.2768510560002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P3666">
            <v>1909</v>
          </cell>
          <cell r="V3666" t="str">
            <v>Available</v>
          </cell>
        </row>
        <row r="3667">
          <cell r="A3667" t="str">
            <v>105100010180</v>
          </cell>
          <cell r="B3667" t="str">
            <v>Dumraon</v>
          </cell>
          <cell r="C3667" t="str">
            <v>Dumraon</v>
          </cell>
          <cell r="D3667" t="str">
            <v>ARAK</v>
          </cell>
          <cell r="E3667">
            <v>10510001</v>
          </cell>
          <cell r="F3667" t="str">
            <v>0180</v>
          </cell>
          <cell r="G3667">
            <v>1</v>
          </cell>
          <cell r="H3667">
            <v>2.2000000000000002</v>
          </cell>
          <cell r="I3667">
            <v>78.119894160000015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P3667">
            <v>78</v>
          </cell>
          <cell r="V3667" t="str">
            <v>Available</v>
          </cell>
        </row>
        <row r="3668">
          <cell r="A3668" t="str">
            <v>105100010188</v>
          </cell>
          <cell r="B3668" t="str">
            <v>Dumraon</v>
          </cell>
          <cell r="C3668" t="str">
            <v>Dumraon</v>
          </cell>
          <cell r="D3668" t="str">
            <v>ARAK</v>
          </cell>
          <cell r="E3668">
            <v>10510001</v>
          </cell>
          <cell r="F3668" t="str">
            <v>0188</v>
          </cell>
          <cell r="G3668">
            <v>6</v>
          </cell>
          <cell r="H3668">
            <v>21.2</v>
          </cell>
          <cell r="I3668">
            <v>752.87103012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P3668">
            <v>753</v>
          </cell>
          <cell r="V3668" t="str">
            <v>Available</v>
          </cell>
        </row>
        <row r="3669">
          <cell r="A3669" t="str">
            <v>105100010193</v>
          </cell>
          <cell r="B3669" t="str">
            <v>Dumraon</v>
          </cell>
          <cell r="C3669" t="str">
            <v>Dumraon</v>
          </cell>
          <cell r="D3669" t="str">
            <v>ARAK</v>
          </cell>
          <cell r="E3669">
            <v>10510001</v>
          </cell>
          <cell r="F3669" t="str">
            <v>0193</v>
          </cell>
          <cell r="G3669">
            <v>10</v>
          </cell>
          <cell r="H3669">
            <v>30.3</v>
          </cell>
          <cell r="I3669">
            <v>1096.06738032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P3669">
            <v>1096</v>
          </cell>
          <cell r="V3669" t="str">
            <v>Available</v>
          </cell>
        </row>
        <row r="3670">
          <cell r="A3670" t="str">
            <v>105100010196</v>
          </cell>
          <cell r="B3670" t="str">
            <v>Dumraon</v>
          </cell>
          <cell r="C3670" t="str">
            <v>Dumraon</v>
          </cell>
          <cell r="D3670" t="str">
            <v>ARAK</v>
          </cell>
          <cell r="E3670">
            <v>10510001</v>
          </cell>
          <cell r="F3670" t="str">
            <v>0196</v>
          </cell>
          <cell r="G3670">
            <v>7</v>
          </cell>
          <cell r="H3670">
            <v>27.900000000000002</v>
          </cell>
          <cell r="I3670">
            <v>909.89462282400007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P3670">
            <v>910</v>
          </cell>
          <cell r="V3670" t="str">
            <v>Available</v>
          </cell>
        </row>
        <row r="3671">
          <cell r="A3671" t="str">
            <v>105100010213</v>
          </cell>
          <cell r="B3671" t="str">
            <v>Dumraon</v>
          </cell>
          <cell r="C3671" t="str">
            <v>Dumraon</v>
          </cell>
          <cell r="D3671" t="str">
            <v>ARAK</v>
          </cell>
          <cell r="E3671">
            <v>10510001</v>
          </cell>
          <cell r="F3671" t="str">
            <v>0213</v>
          </cell>
          <cell r="G3671">
            <v>1</v>
          </cell>
          <cell r="H3671">
            <v>2.5</v>
          </cell>
          <cell r="I3671">
            <v>94.118131800000015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P3671">
            <v>94</v>
          </cell>
          <cell r="V3671" t="str">
            <v>Available</v>
          </cell>
        </row>
        <row r="3672">
          <cell r="A3672" t="str">
            <v>105100010220</v>
          </cell>
          <cell r="B3672" t="str">
            <v>Dumraon</v>
          </cell>
          <cell r="C3672" t="str">
            <v>Dumraon</v>
          </cell>
          <cell r="D3672" t="str">
            <v>ARAK</v>
          </cell>
          <cell r="E3672">
            <v>10510001</v>
          </cell>
          <cell r="F3672" t="str">
            <v>0220</v>
          </cell>
          <cell r="G3672">
            <v>7</v>
          </cell>
          <cell r="H3672">
            <v>30.9</v>
          </cell>
          <cell r="I3672">
            <v>1098.6814476000002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P3672">
            <v>1099</v>
          </cell>
          <cell r="V3672" t="str">
            <v>Available</v>
          </cell>
        </row>
        <row r="3673">
          <cell r="A3673" t="str">
            <v>105100010221</v>
          </cell>
          <cell r="B3673" t="str">
            <v>Dumraon</v>
          </cell>
          <cell r="C3673" t="str">
            <v>Dumraon</v>
          </cell>
          <cell r="D3673" t="str">
            <v>ARAK</v>
          </cell>
          <cell r="E3673">
            <v>10510001</v>
          </cell>
          <cell r="F3673" t="str">
            <v>0221</v>
          </cell>
          <cell r="G3673">
            <v>7</v>
          </cell>
          <cell r="H3673">
            <v>29.9</v>
          </cell>
          <cell r="I3673">
            <v>1033.6307652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P3673">
            <v>1034</v>
          </cell>
          <cell r="V3673" t="str">
            <v>Available</v>
          </cell>
        </row>
        <row r="3674">
          <cell r="A3674" t="str">
            <v>105100020001</v>
          </cell>
          <cell r="B3674" t="str">
            <v>Dumraon</v>
          </cell>
          <cell r="C3674" t="str">
            <v>Dumraon</v>
          </cell>
          <cell r="D3674" t="str">
            <v>Diyaman</v>
          </cell>
          <cell r="E3674">
            <v>10510002</v>
          </cell>
          <cell r="F3674" t="str">
            <v>0001</v>
          </cell>
          <cell r="G3674">
            <v>14</v>
          </cell>
          <cell r="H3674">
            <v>6.57</v>
          </cell>
          <cell r="I3674">
            <v>261.88866158400003</v>
          </cell>
          <cell r="J3674">
            <v>0</v>
          </cell>
          <cell r="K3674">
            <v>261.88866158400003</v>
          </cell>
          <cell r="L3674">
            <v>0</v>
          </cell>
          <cell r="M3674">
            <v>0</v>
          </cell>
          <cell r="P3674">
            <v>0</v>
          </cell>
          <cell r="V3674" t="str">
            <v>Not Available</v>
          </cell>
        </row>
        <row r="3675">
          <cell r="A3675" t="str">
            <v>105100020002</v>
          </cell>
          <cell r="B3675" t="str">
            <v>Dumraon</v>
          </cell>
          <cell r="C3675" t="str">
            <v>Dumraon</v>
          </cell>
          <cell r="D3675" t="str">
            <v>Diyaman</v>
          </cell>
          <cell r="E3675">
            <v>10510002</v>
          </cell>
          <cell r="F3675" t="str">
            <v>0002</v>
          </cell>
          <cell r="G3675">
            <v>14</v>
          </cell>
          <cell r="H3675">
            <v>543.04999999999995</v>
          </cell>
          <cell r="I3675">
            <v>21772.051588584</v>
          </cell>
          <cell r="J3675">
            <v>0</v>
          </cell>
          <cell r="K3675">
            <v>0</v>
          </cell>
          <cell r="L3675">
            <v>1004</v>
          </cell>
          <cell r="M3675">
            <v>0</v>
          </cell>
          <cell r="P3675">
            <v>20768</v>
          </cell>
          <cell r="V3675" t="str">
            <v>Available</v>
          </cell>
        </row>
        <row r="3676">
          <cell r="A3676" t="str">
            <v>105100020010</v>
          </cell>
          <cell r="B3676" t="str">
            <v>Dumraon</v>
          </cell>
          <cell r="C3676" t="str">
            <v>Dumraon</v>
          </cell>
          <cell r="D3676" t="str">
            <v>Diyaman</v>
          </cell>
          <cell r="E3676">
            <v>10510002</v>
          </cell>
          <cell r="F3676" t="str">
            <v>0010</v>
          </cell>
          <cell r="G3676">
            <v>14</v>
          </cell>
          <cell r="H3676">
            <v>550.93999999999994</v>
          </cell>
          <cell r="I3676">
            <v>21235.746918189605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P3676">
            <v>21236</v>
          </cell>
          <cell r="V3676" t="str">
            <v>Available</v>
          </cell>
        </row>
        <row r="3677">
          <cell r="A3677" t="str">
            <v>105100020024</v>
          </cell>
          <cell r="B3677" t="str">
            <v>Dumraon</v>
          </cell>
          <cell r="C3677" t="str">
            <v>Dumraon</v>
          </cell>
          <cell r="D3677" t="str">
            <v>Diyaman</v>
          </cell>
          <cell r="E3677">
            <v>10510002</v>
          </cell>
          <cell r="F3677" t="str">
            <v>0024</v>
          </cell>
          <cell r="G3677">
            <v>14</v>
          </cell>
          <cell r="H3677">
            <v>114.67</v>
          </cell>
          <cell r="I3677">
            <v>4241.3922599400003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P3677">
            <v>4241</v>
          </cell>
          <cell r="V3677" t="str">
            <v>Available</v>
          </cell>
        </row>
        <row r="3678">
          <cell r="A3678" t="str">
            <v>105100020031</v>
          </cell>
          <cell r="B3678" t="str">
            <v>Dumraon</v>
          </cell>
          <cell r="C3678" t="str">
            <v>Dumraon</v>
          </cell>
          <cell r="D3678" t="str">
            <v>Diyaman</v>
          </cell>
          <cell r="E3678">
            <v>10510002</v>
          </cell>
          <cell r="F3678" t="str">
            <v>0031</v>
          </cell>
          <cell r="G3678">
            <v>13</v>
          </cell>
          <cell r="H3678">
            <v>67.31</v>
          </cell>
          <cell r="I3678">
            <v>3050.1787198254005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P3678">
            <v>3050</v>
          </cell>
          <cell r="V3678" t="str">
            <v>Available</v>
          </cell>
        </row>
        <row r="3679">
          <cell r="A3679" t="str">
            <v>105100020039</v>
          </cell>
          <cell r="B3679" t="str">
            <v>Dumraon</v>
          </cell>
          <cell r="C3679" t="str">
            <v>Dumraon</v>
          </cell>
          <cell r="D3679" t="str">
            <v>Diyaman</v>
          </cell>
          <cell r="E3679">
            <v>10510002</v>
          </cell>
          <cell r="F3679" t="str">
            <v>0039</v>
          </cell>
          <cell r="G3679">
            <v>14</v>
          </cell>
          <cell r="H3679">
            <v>290.37</v>
          </cell>
          <cell r="I3679">
            <v>11110.184291448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P3679">
            <v>11110</v>
          </cell>
          <cell r="V3679" t="str">
            <v>Available</v>
          </cell>
        </row>
        <row r="3680">
          <cell r="A3680" t="str">
            <v>105100020046</v>
          </cell>
          <cell r="B3680" t="str">
            <v>Dumraon</v>
          </cell>
          <cell r="C3680" t="str">
            <v>Dumraon</v>
          </cell>
          <cell r="D3680" t="str">
            <v>Diyaman</v>
          </cell>
          <cell r="E3680">
            <v>10510002</v>
          </cell>
          <cell r="F3680" t="str">
            <v>0046</v>
          </cell>
          <cell r="G3680">
            <v>5</v>
          </cell>
          <cell r="H3680">
            <v>14.67</v>
          </cell>
          <cell r="I3680">
            <v>581.81173974000001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P3680">
            <v>582</v>
          </cell>
          <cell r="V3680" t="str">
            <v>Available</v>
          </cell>
        </row>
        <row r="3681">
          <cell r="A3681" t="str">
            <v>105100020076</v>
          </cell>
          <cell r="B3681" t="str">
            <v>Dumraon</v>
          </cell>
          <cell r="C3681" t="str">
            <v>Dumraon</v>
          </cell>
          <cell r="D3681" t="str">
            <v>Diyaman</v>
          </cell>
          <cell r="E3681">
            <v>10510002</v>
          </cell>
          <cell r="F3681" t="str">
            <v>0076</v>
          </cell>
          <cell r="G3681">
            <v>13</v>
          </cell>
          <cell r="H3681">
            <v>76.940000000000012</v>
          </cell>
          <cell r="I3681">
            <v>4478.3488554803998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P3681">
            <v>4478</v>
          </cell>
          <cell r="V3681" t="str">
            <v>Available</v>
          </cell>
        </row>
        <row r="3682">
          <cell r="A3682" t="str">
            <v>105100020081</v>
          </cell>
          <cell r="B3682" t="str">
            <v>Dumraon</v>
          </cell>
          <cell r="C3682" t="str">
            <v>Dumraon</v>
          </cell>
          <cell r="D3682" t="str">
            <v>Diyaman</v>
          </cell>
          <cell r="E3682">
            <v>10510002</v>
          </cell>
          <cell r="F3682" t="str">
            <v>0081</v>
          </cell>
          <cell r="G3682">
            <v>12</v>
          </cell>
          <cell r="H3682">
            <v>15.849999999999998</v>
          </cell>
          <cell r="I3682">
            <v>1217.6016557129201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P3682">
            <v>1218</v>
          </cell>
          <cell r="V3682" t="str">
            <v>Available</v>
          </cell>
        </row>
        <row r="3683">
          <cell r="A3683" t="str">
            <v>105100040001</v>
          </cell>
          <cell r="B3683" t="str">
            <v>Dumraon</v>
          </cell>
          <cell r="C3683" t="str">
            <v>Dumraon</v>
          </cell>
          <cell r="D3683" t="str">
            <v>HENHA</v>
          </cell>
          <cell r="E3683">
            <v>10510004</v>
          </cell>
          <cell r="F3683" t="str">
            <v>0001</v>
          </cell>
          <cell r="G3683">
            <v>14</v>
          </cell>
          <cell r="H3683">
            <v>26.099999999999998</v>
          </cell>
          <cell r="I3683">
            <v>1457.7932097326002</v>
          </cell>
          <cell r="J3683">
            <v>0</v>
          </cell>
          <cell r="K3683">
            <v>1457.7932097326002</v>
          </cell>
          <cell r="L3683">
            <v>0</v>
          </cell>
          <cell r="M3683">
            <v>0</v>
          </cell>
          <cell r="P3683">
            <v>0</v>
          </cell>
          <cell r="V3683" t="str">
            <v>Not Available</v>
          </cell>
        </row>
        <row r="3684">
          <cell r="A3684" t="str">
            <v>105100040002</v>
          </cell>
          <cell r="B3684" t="str">
            <v>Dumraon</v>
          </cell>
          <cell r="C3684" t="str">
            <v>Dumraon</v>
          </cell>
          <cell r="D3684" t="str">
            <v>HENHA</v>
          </cell>
          <cell r="E3684">
            <v>10510004</v>
          </cell>
          <cell r="F3684" t="str">
            <v>0002</v>
          </cell>
          <cell r="G3684">
            <v>14</v>
          </cell>
          <cell r="H3684">
            <v>2165.5</v>
          </cell>
          <cell r="I3684">
            <v>90469.088523000013</v>
          </cell>
          <cell r="J3684">
            <v>0</v>
          </cell>
          <cell r="K3684">
            <v>0</v>
          </cell>
          <cell r="L3684">
            <v>16750</v>
          </cell>
          <cell r="M3684">
            <v>0</v>
          </cell>
          <cell r="P3684">
            <v>73719</v>
          </cell>
          <cell r="V3684" t="str">
            <v>Available</v>
          </cell>
        </row>
        <row r="3685">
          <cell r="A3685" t="str">
            <v>105100040003</v>
          </cell>
          <cell r="B3685" t="str">
            <v>Dumraon</v>
          </cell>
          <cell r="C3685" t="str">
            <v>Dumraon</v>
          </cell>
          <cell r="D3685" t="str">
            <v>HENHA</v>
          </cell>
          <cell r="E3685">
            <v>10510004</v>
          </cell>
          <cell r="F3685" t="str">
            <v>0003</v>
          </cell>
          <cell r="G3685">
            <v>1</v>
          </cell>
          <cell r="H3685">
            <v>50</v>
          </cell>
          <cell r="I3685">
            <v>2014.3632959999998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P3685">
            <v>2014</v>
          </cell>
          <cell r="V3685" t="str">
            <v>Available</v>
          </cell>
        </row>
        <row r="3686">
          <cell r="A3686" t="str">
            <v>105100040005</v>
          </cell>
          <cell r="B3686" t="str">
            <v>Dumraon</v>
          </cell>
          <cell r="C3686" t="str">
            <v>Dumraon</v>
          </cell>
          <cell r="D3686" t="str">
            <v>HENHA</v>
          </cell>
          <cell r="E3686">
            <v>10510004</v>
          </cell>
          <cell r="F3686" t="str">
            <v>0005</v>
          </cell>
          <cell r="G3686">
            <v>7</v>
          </cell>
          <cell r="H3686">
            <v>23.4</v>
          </cell>
          <cell r="I3686">
            <v>807.94411632000003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P3686">
            <v>808</v>
          </cell>
          <cell r="V3686" t="str">
            <v>Available</v>
          </cell>
        </row>
        <row r="3687">
          <cell r="A3687" t="str">
            <v>105100040034</v>
          </cell>
          <cell r="B3687" t="str">
            <v>Dumraon</v>
          </cell>
          <cell r="C3687" t="str">
            <v>Dumraon</v>
          </cell>
          <cell r="D3687" t="str">
            <v>HENHA</v>
          </cell>
          <cell r="E3687">
            <v>10510004</v>
          </cell>
          <cell r="F3687" t="str">
            <v>0034</v>
          </cell>
          <cell r="G3687">
            <v>1</v>
          </cell>
          <cell r="H3687">
            <v>2.1</v>
          </cell>
          <cell r="I3687">
            <v>76.786534440000011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P3687">
            <v>77</v>
          </cell>
          <cell r="V3687" t="str">
            <v>Available</v>
          </cell>
        </row>
        <row r="3688">
          <cell r="A3688" t="str">
            <v>105100040055</v>
          </cell>
          <cell r="B3688" t="str">
            <v>Dumraon</v>
          </cell>
          <cell r="C3688" t="str">
            <v>Dumraon</v>
          </cell>
          <cell r="D3688" t="str">
            <v>HENHA</v>
          </cell>
          <cell r="E3688">
            <v>10510004</v>
          </cell>
          <cell r="F3688" t="str">
            <v>0055</v>
          </cell>
          <cell r="G3688">
            <v>13</v>
          </cell>
          <cell r="H3688">
            <v>38.29999999999999</v>
          </cell>
          <cell r="I3688">
            <v>1379.6753644080002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P3688">
            <v>1380</v>
          </cell>
          <cell r="V3688" t="str">
            <v>Available</v>
          </cell>
        </row>
        <row r="3689">
          <cell r="A3689" t="str">
            <v>105300010001</v>
          </cell>
          <cell r="B3689" t="str">
            <v>Kalyanpur</v>
          </cell>
          <cell r="C3689" t="str">
            <v>Kalyanpur</v>
          </cell>
          <cell r="D3689" t="str">
            <v>Gomukh CHANDAULI</v>
          </cell>
          <cell r="E3689">
            <v>10530001</v>
          </cell>
          <cell r="F3689" t="str">
            <v>0001</v>
          </cell>
          <cell r="G3689">
            <v>14</v>
          </cell>
          <cell r="H3689">
            <v>10.55</v>
          </cell>
          <cell r="I3689">
            <v>438.05492953200002</v>
          </cell>
          <cell r="J3689">
            <v>0</v>
          </cell>
          <cell r="K3689">
            <v>438.05492953200002</v>
          </cell>
          <cell r="L3689">
            <v>0</v>
          </cell>
          <cell r="M3689">
            <v>0</v>
          </cell>
          <cell r="P3689">
            <v>0</v>
          </cell>
          <cell r="V3689" t="str">
            <v>Not Available</v>
          </cell>
        </row>
        <row r="3690">
          <cell r="A3690" t="str">
            <v>105300010002</v>
          </cell>
          <cell r="B3690" t="str">
            <v>Kalyanpur</v>
          </cell>
          <cell r="C3690" t="str">
            <v>Kalyanpur</v>
          </cell>
          <cell r="D3690" t="str">
            <v>Gomukh CHANDAULI</v>
          </cell>
          <cell r="E3690">
            <v>10530001</v>
          </cell>
          <cell r="F3690" t="str">
            <v>0002</v>
          </cell>
          <cell r="G3690">
            <v>13</v>
          </cell>
          <cell r="H3690">
            <v>117.19000000000001</v>
          </cell>
          <cell r="I3690">
            <v>4528.2455966880007</v>
          </cell>
          <cell r="J3690">
            <v>0</v>
          </cell>
          <cell r="K3690">
            <v>0</v>
          </cell>
          <cell r="L3690">
            <v>1118</v>
          </cell>
          <cell r="M3690">
            <v>0</v>
          </cell>
          <cell r="P3690">
            <v>3410</v>
          </cell>
          <cell r="V3690" t="str">
            <v>Available</v>
          </cell>
        </row>
        <row r="3691">
          <cell r="A3691" t="str">
            <v>105300010004</v>
          </cell>
          <cell r="B3691" t="str">
            <v>Kalyanpur</v>
          </cell>
          <cell r="C3691" t="str">
            <v>Kalyanpur</v>
          </cell>
          <cell r="D3691" t="str">
            <v>Gomukh CHANDAULI</v>
          </cell>
          <cell r="E3691">
            <v>10530001</v>
          </cell>
          <cell r="F3691" t="str">
            <v>0004</v>
          </cell>
          <cell r="G3691">
            <v>9</v>
          </cell>
          <cell r="H3691">
            <v>16.500000000000004</v>
          </cell>
          <cell r="I3691">
            <v>746.95909265979992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P3691">
            <v>747</v>
          </cell>
          <cell r="V3691" t="str">
            <v>Available</v>
          </cell>
        </row>
        <row r="3692">
          <cell r="A3692" t="str">
            <v>105300010006</v>
          </cell>
          <cell r="B3692" t="str">
            <v>Kalyanpur</v>
          </cell>
          <cell r="C3692" t="str">
            <v>Kalyanpur</v>
          </cell>
          <cell r="D3692" t="str">
            <v>Gomukh CHANDAULI</v>
          </cell>
          <cell r="E3692">
            <v>10530001</v>
          </cell>
          <cell r="F3692" t="str">
            <v>0006</v>
          </cell>
          <cell r="G3692">
            <v>13</v>
          </cell>
          <cell r="H3692">
            <v>38.290000000000006</v>
          </cell>
          <cell r="I3692">
            <v>1441.2487711248004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P3692">
            <v>1441</v>
          </cell>
          <cell r="V3692" t="str">
            <v>Available</v>
          </cell>
        </row>
        <row r="3693">
          <cell r="A3693" t="str">
            <v>105300010009</v>
          </cell>
          <cell r="B3693" t="str">
            <v>Kalyanpur</v>
          </cell>
          <cell r="C3693" t="str">
            <v>Kalyanpur</v>
          </cell>
          <cell r="D3693" t="str">
            <v>Gomukh CHANDAULI</v>
          </cell>
          <cell r="E3693">
            <v>10530001</v>
          </cell>
          <cell r="F3693" t="str">
            <v>0009</v>
          </cell>
          <cell r="G3693">
            <v>5</v>
          </cell>
          <cell r="H3693">
            <v>6.9</v>
          </cell>
          <cell r="I3693">
            <v>263.20436683200006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P3693">
            <v>263</v>
          </cell>
          <cell r="V3693" t="str">
            <v>Available</v>
          </cell>
        </row>
        <row r="3694">
          <cell r="A3694" t="str">
            <v>105300010010</v>
          </cell>
          <cell r="B3694" t="str">
            <v>Kalyanpur</v>
          </cell>
          <cell r="C3694" t="str">
            <v>Kalyanpur</v>
          </cell>
          <cell r="D3694" t="str">
            <v>Gomukh CHANDAULI</v>
          </cell>
          <cell r="E3694">
            <v>10530001</v>
          </cell>
          <cell r="F3694" t="str">
            <v>0010</v>
          </cell>
          <cell r="G3694">
            <v>9</v>
          </cell>
          <cell r="H3694">
            <v>28.5</v>
          </cell>
          <cell r="I3694">
            <v>1547.6367238430901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P3694">
            <v>1548</v>
          </cell>
          <cell r="V3694" t="str">
            <v>Available</v>
          </cell>
        </row>
        <row r="3695">
          <cell r="A3695" t="str">
            <v>105300010014</v>
          </cell>
          <cell r="B3695" t="str">
            <v>Kalyanpur</v>
          </cell>
          <cell r="C3695" t="str">
            <v>Kalyanpur</v>
          </cell>
          <cell r="D3695" t="str">
            <v>Gomukh CHANDAULI</v>
          </cell>
          <cell r="E3695">
            <v>10530001</v>
          </cell>
          <cell r="F3695" t="str">
            <v>0014</v>
          </cell>
          <cell r="G3695">
            <v>6</v>
          </cell>
          <cell r="H3695">
            <v>10.86</v>
          </cell>
          <cell r="I3695">
            <v>425.88235720800003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P3695">
            <v>426</v>
          </cell>
          <cell r="V3695" t="str">
            <v>Available</v>
          </cell>
        </row>
        <row r="3696">
          <cell r="A3696" t="str">
            <v>105300010017</v>
          </cell>
          <cell r="B3696" t="str">
            <v>Kalyanpur</v>
          </cell>
          <cell r="C3696" t="str">
            <v>Kalyanpur</v>
          </cell>
          <cell r="D3696" t="str">
            <v>Gomukh CHANDAULI</v>
          </cell>
          <cell r="E3696">
            <v>10530001</v>
          </cell>
          <cell r="F3696" t="str">
            <v>0017</v>
          </cell>
          <cell r="G3696">
            <v>8</v>
          </cell>
          <cell r="H3696">
            <v>10.010000000000002</v>
          </cell>
          <cell r="I3696">
            <v>569.99033612018002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P3696">
            <v>570</v>
          </cell>
          <cell r="V3696" t="str">
            <v>Available</v>
          </cell>
        </row>
        <row r="3697">
          <cell r="A3697" t="str">
            <v>105300010018</v>
          </cell>
          <cell r="B3697" t="str">
            <v>Kalyanpur</v>
          </cell>
          <cell r="C3697" t="str">
            <v>Kalyanpur</v>
          </cell>
          <cell r="D3697" t="str">
            <v>Gomukh CHANDAULI</v>
          </cell>
          <cell r="E3697">
            <v>10530001</v>
          </cell>
          <cell r="F3697" t="str">
            <v>0018</v>
          </cell>
          <cell r="G3697">
            <v>6</v>
          </cell>
          <cell r="H3697">
            <v>23.61</v>
          </cell>
          <cell r="I3697">
            <v>1236.7393040900001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P3697">
            <v>1237</v>
          </cell>
          <cell r="V3697" t="str">
            <v>Available</v>
          </cell>
        </row>
        <row r="3698">
          <cell r="A3698" t="str">
            <v>105300010019</v>
          </cell>
          <cell r="B3698" t="str">
            <v>Kalyanpur</v>
          </cell>
          <cell r="C3698" t="str">
            <v>Kalyanpur</v>
          </cell>
          <cell r="D3698" t="str">
            <v>Gomukh CHANDAULI</v>
          </cell>
          <cell r="E3698">
            <v>10530001</v>
          </cell>
          <cell r="F3698" t="str">
            <v>0019</v>
          </cell>
          <cell r="G3698">
            <v>8</v>
          </cell>
          <cell r="H3698">
            <v>12.099999999999998</v>
          </cell>
          <cell r="I3698">
            <v>434.64821542560003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P3698">
            <v>435</v>
          </cell>
          <cell r="V3698" t="str">
            <v>Available</v>
          </cell>
        </row>
        <row r="3699">
          <cell r="A3699" t="str">
            <v>105300010022</v>
          </cell>
          <cell r="B3699" t="str">
            <v>Kalyanpur</v>
          </cell>
          <cell r="C3699" t="str">
            <v>Kalyanpur</v>
          </cell>
          <cell r="D3699" t="str">
            <v>Gomukh CHANDAULI</v>
          </cell>
          <cell r="E3699">
            <v>10530001</v>
          </cell>
          <cell r="F3699" t="str">
            <v>0022</v>
          </cell>
          <cell r="G3699">
            <v>13</v>
          </cell>
          <cell r="H3699">
            <v>25.339999999999996</v>
          </cell>
          <cell r="I3699">
            <v>921.68866163880023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P3699">
            <v>922</v>
          </cell>
          <cell r="V3699" t="str">
            <v>Available</v>
          </cell>
        </row>
        <row r="3700">
          <cell r="A3700" t="str">
            <v>105300010028</v>
          </cell>
          <cell r="B3700" t="str">
            <v>Kalyanpur</v>
          </cell>
          <cell r="C3700" t="str">
            <v>Kalyanpur</v>
          </cell>
          <cell r="D3700" t="str">
            <v>Gomukh CHANDAULI</v>
          </cell>
          <cell r="E3700">
            <v>10530001</v>
          </cell>
          <cell r="F3700" t="str">
            <v>0028</v>
          </cell>
          <cell r="G3700">
            <v>13</v>
          </cell>
          <cell r="H3700">
            <v>37.08</v>
          </cell>
          <cell r="I3700">
            <v>1341.6618481200001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P3700">
            <v>1342</v>
          </cell>
          <cell r="V3700" t="str">
            <v>Available</v>
          </cell>
        </row>
        <row r="3701">
          <cell r="A3701" t="str">
            <v>105300010031</v>
          </cell>
          <cell r="B3701" t="str">
            <v>Kalyanpur</v>
          </cell>
          <cell r="C3701" t="str">
            <v>Kalyanpur</v>
          </cell>
          <cell r="D3701" t="str">
            <v>Gomukh CHANDAULI</v>
          </cell>
          <cell r="E3701">
            <v>10530001</v>
          </cell>
          <cell r="F3701" t="str">
            <v>0031</v>
          </cell>
          <cell r="G3701">
            <v>13</v>
          </cell>
          <cell r="H3701">
            <v>37.700000000000003</v>
          </cell>
          <cell r="I3701">
            <v>2099.4055268100997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P3701">
            <v>2099</v>
          </cell>
          <cell r="V3701" t="str">
            <v>Available</v>
          </cell>
        </row>
        <row r="3702">
          <cell r="A3702" t="str">
            <v>105300010035</v>
          </cell>
          <cell r="B3702" t="str">
            <v>Kalyanpur</v>
          </cell>
          <cell r="C3702" t="str">
            <v>Kalyanpur</v>
          </cell>
          <cell r="D3702" t="str">
            <v>Gomukh CHANDAULI</v>
          </cell>
          <cell r="E3702">
            <v>10530001</v>
          </cell>
          <cell r="F3702" t="str">
            <v>0035</v>
          </cell>
          <cell r="G3702">
            <v>13</v>
          </cell>
          <cell r="H3702">
            <v>61.219999999999992</v>
          </cell>
          <cell r="I3702">
            <v>2229.7151891520002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P3702">
            <v>2230</v>
          </cell>
          <cell r="V3702" t="str">
            <v>Available</v>
          </cell>
        </row>
        <row r="3703">
          <cell r="A3703" t="str">
            <v>105300010036</v>
          </cell>
          <cell r="B3703" t="str">
            <v>Kalyanpur</v>
          </cell>
          <cell r="C3703" t="str">
            <v>Kalyanpur</v>
          </cell>
          <cell r="D3703" t="str">
            <v>Gomukh CHANDAULI</v>
          </cell>
          <cell r="E3703">
            <v>10530001</v>
          </cell>
          <cell r="F3703" t="str">
            <v>0036</v>
          </cell>
          <cell r="G3703">
            <v>5</v>
          </cell>
          <cell r="H3703">
            <v>10.76</v>
          </cell>
          <cell r="I3703">
            <v>701.90796367144014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P3703">
            <v>702</v>
          </cell>
          <cell r="V3703" t="str">
            <v>Available</v>
          </cell>
        </row>
        <row r="3704">
          <cell r="A3704" t="str">
            <v>105300010038</v>
          </cell>
          <cell r="B3704" t="str">
            <v>Kalyanpur</v>
          </cell>
          <cell r="C3704" t="str">
            <v>Kalyanpur</v>
          </cell>
          <cell r="D3704" t="str">
            <v>Gomukh CHANDAULI</v>
          </cell>
          <cell r="E3704">
            <v>10530001</v>
          </cell>
          <cell r="F3704" t="str">
            <v>0038</v>
          </cell>
          <cell r="G3704">
            <v>13</v>
          </cell>
          <cell r="H3704">
            <v>314.60999999999996</v>
          </cell>
          <cell r="I3704">
            <v>12505.740842723902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P3704">
            <v>12506</v>
          </cell>
          <cell r="V3704" t="str">
            <v>Available</v>
          </cell>
        </row>
        <row r="3705">
          <cell r="A3705" t="str">
            <v>105300010039</v>
          </cell>
          <cell r="B3705" t="str">
            <v>Kalyanpur</v>
          </cell>
          <cell r="C3705" t="str">
            <v>Kalyanpur</v>
          </cell>
          <cell r="D3705" t="str">
            <v>Gomukh CHANDAULI</v>
          </cell>
          <cell r="E3705">
            <v>10530001</v>
          </cell>
          <cell r="F3705" t="str">
            <v>0039</v>
          </cell>
          <cell r="G3705">
            <v>10</v>
          </cell>
          <cell r="H3705">
            <v>38.919999999999995</v>
          </cell>
          <cell r="I3705">
            <v>1966.5697180375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P3705">
            <v>1967</v>
          </cell>
          <cell r="V3705" t="str">
            <v>Available</v>
          </cell>
        </row>
        <row r="3706">
          <cell r="A3706" t="str">
            <v>105300010044</v>
          </cell>
          <cell r="B3706" t="str">
            <v>Kalyanpur</v>
          </cell>
          <cell r="C3706" t="str">
            <v>Kalyanpur</v>
          </cell>
          <cell r="D3706" t="str">
            <v>Gomukh CHANDAULI</v>
          </cell>
          <cell r="E3706">
            <v>10530001</v>
          </cell>
          <cell r="F3706" t="str">
            <v>0044</v>
          </cell>
          <cell r="G3706">
            <v>8</v>
          </cell>
          <cell r="H3706">
            <v>10.429999999999998</v>
          </cell>
          <cell r="I3706">
            <v>516.0971710777801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P3706">
            <v>516</v>
          </cell>
          <cell r="V3706" t="str">
            <v>Available</v>
          </cell>
        </row>
        <row r="3707">
          <cell r="A3707" t="str">
            <v>105300010046</v>
          </cell>
          <cell r="B3707" t="str">
            <v>Kalyanpur</v>
          </cell>
          <cell r="C3707" t="str">
            <v>Kalyanpur</v>
          </cell>
          <cell r="D3707" t="str">
            <v>Gomukh CHANDAULI</v>
          </cell>
          <cell r="E3707">
            <v>10530001</v>
          </cell>
          <cell r="F3707" t="str">
            <v>0046</v>
          </cell>
          <cell r="G3707">
            <v>13</v>
          </cell>
          <cell r="H3707">
            <v>78.350000000000009</v>
          </cell>
          <cell r="I3707">
            <v>2828.0579906106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P3707">
            <v>2828</v>
          </cell>
          <cell r="V3707" t="str">
            <v>Available</v>
          </cell>
        </row>
        <row r="3708">
          <cell r="A3708" t="str">
            <v>105300010047</v>
          </cell>
          <cell r="B3708" t="str">
            <v>Kalyanpur</v>
          </cell>
          <cell r="C3708" t="str">
            <v>Kalyanpur</v>
          </cell>
          <cell r="D3708" t="str">
            <v>Gomukh CHANDAULI</v>
          </cell>
          <cell r="E3708">
            <v>10530001</v>
          </cell>
          <cell r="F3708" t="str">
            <v>0047</v>
          </cell>
          <cell r="G3708">
            <v>12</v>
          </cell>
          <cell r="H3708">
            <v>48.74</v>
          </cell>
          <cell r="I3708">
            <v>3058.5164792832006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P3708">
            <v>3059</v>
          </cell>
          <cell r="V3708" t="str">
            <v>Available</v>
          </cell>
        </row>
        <row r="3709">
          <cell r="A3709" t="str">
            <v>105300010050</v>
          </cell>
          <cell r="B3709" t="str">
            <v>Kalyanpur</v>
          </cell>
          <cell r="C3709" t="str">
            <v>Kalyanpur</v>
          </cell>
          <cell r="D3709" t="str">
            <v>Gomukh CHANDAULI</v>
          </cell>
          <cell r="E3709">
            <v>10530001</v>
          </cell>
          <cell r="F3709" t="str">
            <v>0050</v>
          </cell>
          <cell r="G3709">
            <v>3</v>
          </cell>
          <cell r="H3709">
            <v>7.91</v>
          </cell>
          <cell r="I3709">
            <v>405.1016566329601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P3709">
            <v>405</v>
          </cell>
          <cell r="V3709" t="str">
            <v>Available</v>
          </cell>
        </row>
        <row r="3710">
          <cell r="A3710" t="str">
            <v>105300010052</v>
          </cell>
          <cell r="B3710" t="str">
            <v>Kalyanpur</v>
          </cell>
          <cell r="C3710" t="str">
            <v>Kalyanpur</v>
          </cell>
          <cell r="D3710" t="str">
            <v>Gomukh CHANDAULI</v>
          </cell>
          <cell r="E3710">
            <v>10530001</v>
          </cell>
          <cell r="F3710" t="str">
            <v>0052</v>
          </cell>
          <cell r="G3710">
            <v>14</v>
          </cell>
          <cell r="H3710">
            <v>54.88</v>
          </cell>
          <cell r="I3710">
            <v>2041.8174329850003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P3710">
            <v>2042</v>
          </cell>
          <cell r="V3710" t="str">
            <v>Available</v>
          </cell>
        </row>
        <row r="3711">
          <cell r="A3711" t="str">
            <v>105300010053</v>
          </cell>
          <cell r="B3711" t="str">
            <v>Kalyanpur</v>
          </cell>
          <cell r="C3711" t="str">
            <v>Kalyanpur</v>
          </cell>
          <cell r="D3711" t="str">
            <v>Gomukh CHANDAULI</v>
          </cell>
          <cell r="E3711">
            <v>10530001</v>
          </cell>
          <cell r="F3711" t="str">
            <v>0053</v>
          </cell>
          <cell r="G3711">
            <v>14</v>
          </cell>
          <cell r="H3711">
            <v>67.419999999999987</v>
          </cell>
          <cell r="I3711">
            <v>2722.5030684741209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P3711">
            <v>2723</v>
          </cell>
          <cell r="V3711" t="str">
            <v>Available</v>
          </cell>
        </row>
        <row r="3712">
          <cell r="A3712" t="str">
            <v>105300010056</v>
          </cell>
          <cell r="B3712" t="str">
            <v>Kalyanpur</v>
          </cell>
          <cell r="C3712" t="str">
            <v>Kalyanpur</v>
          </cell>
          <cell r="D3712" t="str">
            <v>Gomukh CHANDAULI</v>
          </cell>
          <cell r="E3712">
            <v>10530001</v>
          </cell>
          <cell r="F3712" t="str">
            <v>0056</v>
          </cell>
          <cell r="G3712">
            <v>5</v>
          </cell>
          <cell r="H3712">
            <v>7.42</v>
          </cell>
          <cell r="I3712">
            <v>315.48044484000002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P3712">
            <v>315</v>
          </cell>
          <cell r="V3712" t="str">
            <v>Available</v>
          </cell>
        </row>
        <row r="3713">
          <cell r="A3713" t="str">
            <v>105300010058</v>
          </cell>
          <cell r="B3713" t="str">
            <v>Kalyanpur</v>
          </cell>
          <cell r="C3713" t="str">
            <v>Kalyanpur</v>
          </cell>
          <cell r="D3713" t="str">
            <v>Gomukh CHANDAULI</v>
          </cell>
          <cell r="E3713">
            <v>10530001</v>
          </cell>
          <cell r="F3713" t="str">
            <v>0058</v>
          </cell>
          <cell r="G3713">
            <v>10</v>
          </cell>
          <cell r="H3713">
            <v>43.510000000000005</v>
          </cell>
          <cell r="I3713">
            <v>1612.7179524720002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P3713">
            <v>1613</v>
          </cell>
          <cell r="V3713" t="str">
            <v>Available</v>
          </cell>
        </row>
        <row r="3714">
          <cell r="A3714" t="str">
            <v>105300020001</v>
          </cell>
          <cell r="B3714" t="str">
            <v>Kalyanpur</v>
          </cell>
          <cell r="C3714" t="str">
            <v>Kalyanpur</v>
          </cell>
          <cell r="D3714" t="str">
            <v>GOMUKH HATHA</v>
          </cell>
          <cell r="E3714">
            <v>10530002</v>
          </cell>
          <cell r="F3714" t="str">
            <v>0001</v>
          </cell>
          <cell r="G3714">
            <v>11</v>
          </cell>
          <cell r="H3714">
            <v>12.66</v>
          </cell>
          <cell r="I3714">
            <v>542.341549332</v>
          </cell>
          <cell r="J3714">
            <v>0</v>
          </cell>
          <cell r="K3714">
            <v>542.341549332</v>
          </cell>
          <cell r="L3714">
            <v>0</v>
          </cell>
          <cell r="M3714">
            <v>0</v>
          </cell>
          <cell r="P3714">
            <v>0</v>
          </cell>
          <cell r="V3714" t="str">
            <v>Not Available</v>
          </cell>
        </row>
        <row r="3715">
          <cell r="A3715" t="str">
            <v>105300020002</v>
          </cell>
          <cell r="B3715" t="str">
            <v>Kalyanpur</v>
          </cell>
          <cell r="C3715" t="str">
            <v>Kalyanpur</v>
          </cell>
          <cell r="D3715" t="str">
            <v>GOMUKH HATHA</v>
          </cell>
          <cell r="E3715">
            <v>10530002</v>
          </cell>
          <cell r="F3715" t="str">
            <v>0002</v>
          </cell>
          <cell r="G3715">
            <v>7</v>
          </cell>
          <cell r="H3715">
            <v>154.63</v>
          </cell>
          <cell r="I3715">
            <v>5536.0853469306003</v>
          </cell>
          <cell r="J3715">
            <v>0</v>
          </cell>
          <cell r="K3715">
            <v>0</v>
          </cell>
          <cell r="L3715">
            <v>702</v>
          </cell>
          <cell r="M3715">
            <v>4834</v>
          </cell>
          <cell r="P3715">
            <v>0</v>
          </cell>
          <cell r="V3715" t="str">
            <v>Available</v>
          </cell>
        </row>
        <row r="3716">
          <cell r="A3716" t="str">
            <v>105300020004</v>
          </cell>
          <cell r="B3716" t="str">
            <v>Kalyanpur</v>
          </cell>
          <cell r="C3716" t="str">
            <v>Kalyanpur</v>
          </cell>
          <cell r="D3716" t="str">
            <v>GOMUKH HATHA</v>
          </cell>
          <cell r="E3716">
            <v>10530002</v>
          </cell>
          <cell r="F3716" t="str">
            <v>0004</v>
          </cell>
          <cell r="G3716">
            <v>12</v>
          </cell>
          <cell r="H3716">
            <v>116.41999999999999</v>
          </cell>
          <cell r="I3716">
            <v>4570.9485045840001</v>
          </cell>
          <cell r="J3716">
            <v>0</v>
          </cell>
          <cell r="K3716">
            <v>0</v>
          </cell>
          <cell r="L3716">
            <v>0</v>
          </cell>
          <cell r="M3716">
            <v>2700</v>
          </cell>
          <cell r="P3716">
            <v>1871</v>
          </cell>
          <cell r="V3716" t="str">
            <v>Available</v>
          </cell>
        </row>
        <row r="3717">
          <cell r="A3717" t="str">
            <v>105300020006</v>
          </cell>
          <cell r="B3717" t="str">
            <v>Kalyanpur</v>
          </cell>
          <cell r="C3717" t="str">
            <v>Kalyanpur</v>
          </cell>
          <cell r="D3717" t="str">
            <v>GOMUKH HATHA</v>
          </cell>
          <cell r="E3717">
            <v>10530002</v>
          </cell>
          <cell r="F3717" t="str">
            <v>0006</v>
          </cell>
          <cell r="G3717">
            <v>8</v>
          </cell>
          <cell r="H3717">
            <v>18.849999999999998</v>
          </cell>
          <cell r="I3717">
            <v>779.24568027240002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P3717">
            <v>779</v>
          </cell>
          <cell r="V3717" t="str">
            <v>Available</v>
          </cell>
        </row>
        <row r="3718">
          <cell r="A3718" t="str">
            <v>105300020012</v>
          </cell>
          <cell r="B3718" t="str">
            <v>Kalyanpur</v>
          </cell>
          <cell r="C3718" t="str">
            <v>Kalyanpur</v>
          </cell>
          <cell r="D3718" t="str">
            <v>GOMUKH HATHA</v>
          </cell>
          <cell r="E3718">
            <v>10530002</v>
          </cell>
          <cell r="F3718" t="str">
            <v>0012</v>
          </cell>
          <cell r="G3718">
            <v>6</v>
          </cell>
          <cell r="H3718">
            <v>13.219999999999999</v>
          </cell>
          <cell r="I3718">
            <v>556.42336397999998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P3718">
            <v>556</v>
          </cell>
          <cell r="V3718" t="str">
            <v>Available</v>
          </cell>
        </row>
        <row r="3719">
          <cell r="A3719" t="str">
            <v>105300020014</v>
          </cell>
          <cell r="B3719" t="str">
            <v>Kalyanpur</v>
          </cell>
          <cell r="C3719" t="str">
            <v>Kalyanpur</v>
          </cell>
          <cell r="D3719" t="str">
            <v>GOMUKH HATHA</v>
          </cell>
          <cell r="E3719">
            <v>10530002</v>
          </cell>
          <cell r="F3719" t="str">
            <v>0014</v>
          </cell>
          <cell r="G3719">
            <v>13</v>
          </cell>
          <cell r="H3719">
            <v>34.99</v>
          </cell>
          <cell r="I3719">
            <v>1575.0060206745902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P3719">
            <v>1575</v>
          </cell>
          <cell r="V3719" t="str">
            <v>Available</v>
          </cell>
        </row>
        <row r="3720">
          <cell r="A3720" t="str">
            <v>105300020017</v>
          </cell>
          <cell r="B3720" t="str">
            <v>Kalyanpur</v>
          </cell>
          <cell r="C3720" t="str">
            <v>Kalyanpur</v>
          </cell>
          <cell r="D3720" t="str">
            <v>GOMUKH HATHA</v>
          </cell>
          <cell r="E3720">
            <v>10530002</v>
          </cell>
          <cell r="F3720" t="str">
            <v>0017</v>
          </cell>
          <cell r="G3720">
            <v>8</v>
          </cell>
          <cell r="H3720">
            <v>19.84</v>
          </cell>
          <cell r="I3720">
            <v>724.7377192176001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P3720">
            <v>725</v>
          </cell>
          <cell r="V3720" t="str">
            <v>Available</v>
          </cell>
        </row>
        <row r="3721">
          <cell r="A3721" t="str">
            <v>105300020019</v>
          </cell>
          <cell r="B3721" t="str">
            <v>Kalyanpur</v>
          </cell>
          <cell r="C3721" t="str">
            <v>Kalyanpur</v>
          </cell>
          <cell r="D3721" t="str">
            <v>GOMUKH HATHA</v>
          </cell>
          <cell r="E3721">
            <v>10530002</v>
          </cell>
          <cell r="F3721" t="str">
            <v>0019</v>
          </cell>
          <cell r="G3721">
            <v>14</v>
          </cell>
          <cell r="H3721">
            <v>78.52</v>
          </cell>
          <cell r="I3721">
            <v>2861.6823492840003</v>
          </cell>
          <cell r="J3721">
            <v>0</v>
          </cell>
          <cell r="K3721">
            <v>0</v>
          </cell>
          <cell r="L3721">
            <v>0</v>
          </cell>
          <cell r="M3721">
            <v>1350</v>
          </cell>
          <cell r="P3721">
            <v>1512</v>
          </cell>
          <cell r="V3721" t="str">
            <v>Available</v>
          </cell>
        </row>
        <row r="3722">
          <cell r="A3722" t="str">
            <v>105300020025</v>
          </cell>
          <cell r="B3722" t="str">
            <v>Kalyanpur</v>
          </cell>
          <cell r="C3722" t="str">
            <v>Kalyanpur</v>
          </cell>
          <cell r="D3722" t="str">
            <v>GOMUKH HATHA</v>
          </cell>
          <cell r="E3722">
            <v>10530002</v>
          </cell>
          <cell r="F3722" t="str">
            <v>0025</v>
          </cell>
          <cell r="G3722">
            <v>1</v>
          </cell>
          <cell r="H3722">
            <v>2.92</v>
          </cell>
          <cell r="I3722">
            <v>112.2044767272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P3722">
            <v>112</v>
          </cell>
          <cell r="V3722" t="str">
            <v>Available</v>
          </cell>
        </row>
        <row r="3723">
          <cell r="A3723" t="str">
            <v>105300020028</v>
          </cell>
          <cell r="B3723" t="str">
            <v>Kalyanpur</v>
          </cell>
          <cell r="C3723" t="str">
            <v>Kalyanpur</v>
          </cell>
          <cell r="D3723" t="str">
            <v>GOMUKH HATHA</v>
          </cell>
          <cell r="E3723">
            <v>10530002</v>
          </cell>
          <cell r="F3723" t="str">
            <v>0028</v>
          </cell>
          <cell r="G3723">
            <v>13</v>
          </cell>
          <cell r="H3723">
            <v>52.550000000000004</v>
          </cell>
          <cell r="I3723">
            <v>2026.5109761600002</v>
          </cell>
          <cell r="J3723">
            <v>0</v>
          </cell>
          <cell r="K3723">
            <v>0</v>
          </cell>
          <cell r="L3723">
            <v>0</v>
          </cell>
          <cell r="M3723">
            <v>1350</v>
          </cell>
          <cell r="P3723">
            <v>677</v>
          </cell>
          <cell r="V3723" t="str">
            <v>Available</v>
          </cell>
        </row>
        <row r="3724">
          <cell r="A3724" t="str">
            <v>105300020036</v>
          </cell>
          <cell r="B3724" t="str">
            <v>Kalyanpur</v>
          </cell>
          <cell r="C3724" t="str">
            <v>Kalyanpur</v>
          </cell>
          <cell r="D3724" t="str">
            <v>GOMUKH HATHA</v>
          </cell>
          <cell r="E3724">
            <v>10530002</v>
          </cell>
          <cell r="F3724" t="str">
            <v>0036</v>
          </cell>
          <cell r="G3724">
            <v>13</v>
          </cell>
          <cell r="H3724">
            <v>59.830000000000005</v>
          </cell>
          <cell r="I3724">
            <v>2329.1832916439998</v>
          </cell>
          <cell r="J3724">
            <v>0</v>
          </cell>
          <cell r="K3724">
            <v>0</v>
          </cell>
          <cell r="L3724">
            <v>0</v>
          </cell>
          <cell r="M3724">
            <v>2329</v>
          </cell>
          <cell r="P3724">
            <v>0</v>
          </cell>
          <cell r="V3724" t="str">
            <v>Available</v>
          </cell>
        </row>
        <row r="3725">
          <cell r="A3725" t="str">
            <v>105300020037</v>
          </cell>
          <cell r="B3725" t="str">
            <v>Kalyanpur</v>
          </cell>
          <cell r="C3725" t="str">
            <v>Kalyanpur</v>
          </cell>
          <cell r="D3725" t="str">
            <v>GOMUKH HATHA</v>
          </cell>
          <cell r="E3725">
            <v>10530002</v>
          </cell>
          <cell r="F3725" t="str">
            <v>0037</v>
          </cell>
          <cell r="G3725">
            <v>14</v>
          </cell>
          <cell r="H3725">
            <v>40.880000000000003</v>
          </cell>
          <cell r="I3725">
            <v>1588.6948611600003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P3725">
            <v>1589</v>
          </cell>
          <cell r="V3725" t="str">
            <v>Available</v>
          </cell>
        </row>
        <row r="3726">
          <cell r="A3726" t="str">
            <v>105300020038</v>
          </cell>
          <cell r="B3726" t="str">
            <v>Kalyanpur</v>
          </cell>
          <cell r="C3726" t="str">
            <v>Kalyanpur</v>
          </cell>
          <cell r="D3726" t="str">
            <v>GOMUKH HATHA</v>
          </cell>
          <cell r="E3726">
            <v>10530002</v>
          </cell>
          <cell r="F3726" t="str">
            <v>0038</v>
          </cell>
          <cell r="G3726">
            <v>5</v>
          </cell>
          <cell r="H3726">
            <v>16.96</v>
          </cell>
          <cell r="I3726">
            <v>618.78967246800005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P3726">
            <v>619</v>
          </cell>
          <cell r="V3726" t="str">
            <v>Available</v>
          </cell>
        </row>
        <row r="3727">
          <cell r="A3727" t="str">
            <v>105300020040</v>
          </cell>
          <cell r="B3727" t="str">
            <v>Kalyanpur</v>
          </cell>
          <cell r="C3727" t="str">
            <v>Kalyanpur</v>
          </cell>
          <cell r="D3727" t="str">
            <v>GOMUKH HATHA</v>
          </cell>
          <cell r="E3727">
            <v>10530002</v>
          </cell>
          <cell r="F3727" t="str">
            <v>0040</v>
          </cell>
          <cell r="G3727">
            <v>12</v>
          </cell>
          <cell r="H3727">
            <v>13.27</v>
          </cell>
          <cell r="I3727">
            <v>903.47883814930003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P3727">
            <v>903</v>
          </cell>
          <cell r="V3727" t="str">
            <v>Available</v>
          </cell>
        </row>
        <row r="3728">
          <cell r="A3728" t="str">
            <v>105300020041</v>
          </cell>
          <cell r="B3728" t="str">
            <v>Kalyanpur</v>
          </cell>
          <cell r="C3728" t="str">
            <v>Kalyanpur</v>
          </cell>
          <cell r="D3728" t="str">
            <v>GOMUKH HATHA</v>
          </cell>
          <cell r="E3728">
            <v>10530002</v>
          </cell>
          <cell r="F3728" t="str">
            <v>0041</v>
          </cell>
          <cell r="G3728">
            <v>12</v>
          </cell>
          <cell r="H3728">
            <v>64.63000000000001</v>
          </cell>
          <cell r="I3728">
            <v>2760.3905990759999</v>
          </cell>
          <cell r="J3728">
            <v>0</v>
          </cell>
          <cell r="K3728">
            <v>0</v>
          </cell>
          <cell r="L3728">
            <v>0</v>
          </cell>
          <cell r="M3728">
            <v>2700</v>
          </cell>
          <cell r="P3728">
            <v>60</v>
          </cell>
          <cell r="V3728" t="str">
            <v>Available</v>
          </cell>
        </row>
        <row r="3729">
          <cell r="A3729" t="str">
            <v>105300020042</v>
          </cell>
          <cell r="B3729" t="str">
            <v>Kalyanpur</v>
          </cell>
          <cell r="C3729" t="str">
            <v>Kalyanpur</v>
          </cell>
          <cell r="D3729" t="str">
            <v>GOMUKH HATHA</v>
          </cell>
          <cell r="E3729">
            <v>10530002</v>
          </cell>
          <cell r="F3729" t="str">
            <v>0042</v>
          </cell>
          <cell r="G3729">
            <v>4</v>
          </cell>
          <cell r="H3729">
            <v>67.759999999999991</v>
          </cell>
          <cell r="I3729">
            <v>2741.2298475422403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P3729">
            <v>2741</v>
          </cell>
          <cell r="V3729" t="str">
            <v>Available</v>
          </cell>
        </row>
        <row r="3730">
          <cell r="A3730" t="str">
            <v>105300020043</v>
          </cell>
          <cell r="B3730" t="str">
            <v>Kalyanpur</v>
          </cell>
          <cell r="C3730" t="str">
            <v>Kalyanpur</v>
          </cell>
          <cell r="D3730" t="str">
            <v>GOMUKH HATHA</v>
          </cell>
          <cell r="E3730">
            <v>10530002</v>
          </cell>
          <cell r="F3730" t="str">
            <v>0043</v>
          </cell>
          <cell r="G3730">
            <v>1</v>
          </cell>
          <cell r="H3730">
            <v>1.36</v>
          </cell>
          <cell r="I3730">
            <v>67.955752650240015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P3730">
            <v>68</v>
          </cell>
          <cell r="V3730" t="str">
            <v>Available</v>
          </cell>
        </row>
        <row r="3731">
          <cell r="A3731" t="str">
            <v>105300020045</v>
          </cell>
          <cell r="B3731" t="str">
            <v>Kalyanpur</v>
          </cell>
          <cell r="C3731" t="str">
            <v>Kalyanpur</v>
          </cell>
          <cell r="D3731" t="str">
            <v>GOMUKH HATHA</v>
          </cell>
          <cell r="E3731">
            <v>10530002</v>
          </cell>
          <cell r="F3731" t="str">
            <v>0045</v>
          </cell>
          <cell r="G3731">
            <v>3</v>
          </cell>
          <cell r="H3731">
            <v>2.63</v>
          </cell>
          <cell r="I3731">
            <v>188.82741932454996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P3731">
            <v>189</v>
          </cell>
          <cell r="V3731" t="str">
            <v>Available</v>
          </cell>
        </row>
        <row r="3732">
          <cell r="A3732" t="str">
            <v>105300020048</v>
          </cell>
          <cell r="B3732" t="str">
            <v>Kalyanpur</v>
          </cell>
          <cell r="C3732" t="str">
            <v>Kalyanpur</v>
          </cell>
          <cell r="D3732" t="str">
            <v>GOMUKH HATHA</v>
          </cell>
          <cell r="E3732">
            <v>10530002</v>
          </cell>
          <cell r="F3732" t="str">
            <v>0048</v>
          </cell>
          <cell r="G3732">
            <v>7</v>
          </cell>
          <cell r="H3732">
            <v>13.47</v>
          </cell>
          <cell r="I3732">
            <v>588.10733149009809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P3732">
            <v>588</v>
          </cell>
          <cell r="V3732" t="str">
            <v>Available</v>
          </cell>
        </row>
        <row r="3733">
          <cell r="A3733" t="str">
            <v>105300020052</v>
          </cell>
          <cell r="B3733" t="str">
            <v>Kalyanpur</v>
          </cell>
          <cell r="C3733" t="str">
            <v>Kalyanpur</v>
          </cell>
          <cell r="D3733" t="str">
            <v>GOMUKH HATHA</v>
          </cell>
          <cell r="E3733">
            <v>10530002</v>
          </cell>
          <cell r="F3733" t="str">
            <v>0052</v>
          </cell>
          <cell r="G3733">
            <v>5</v>
          </cell>
          <cell r="H3733">
            <v>9.42</v>
          </cell>
          <cell r="I3733">
            <v>324.72272135160006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P3733">
            <v>325</v>
          </cell>
          <cell r="V3733" t="str">
            <v>Available</v>
          </cell>
        </row>
        <row r="3734">
          <cell r="A3734" t="str">
            <v>105300020053</v>
          </cell>
          <cell r="B3734" t="str">
            <v>Kalyanpur</v>
          </cell>
          <cell r="C3734" t="str">
            <v>Kalyanpur</v>
          </cell>
          <cell r="D3734" t="str">
            <v>GOMUKH HATHA</v>
          </cell>
          <cell r="E3734">
            <v>10530002</v>
          </cell>
          <cell r="F3734" t="str">
            <v>0053</v>
          </cell>
          <cell r="G3734">
            <v>13</v>
          </cell>
          <cell r="H3734">
            <v>26.020000000000003</v>
          </cell>
          <cell r="I3734">
            <v>1683.7022165854601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P3734">
            <v>1684</v>
          </cell>
          <cell r="V3734" t="str">
            <v>Available</v>
          </cell>
        </row>
        <row r="3735">
          <cell r="A3735" t="str">
            <v>105300020056</v>
          </cell>
          <cell r="B3735" t="str">
            <v>Kalyanpur</v>
          </cell>
          <cell r="C3735" t="str">
            <v>Kalyanpur</v>
          </cell>
          <cell r="D3735" t="str">
            <v>GOMUKH HATHA</v>
          </cell>
          <cell r="E3735">
            <v>10530002</v>
          </cell>
          <cell r="F3735" t="str">
            <v>0056</v>
          </cell>
          <cell r="G3735">
            <v>5</v>
          </cell>
          <cell r="H3735">
            <v>6.4499999999999993</v>
          </cell>
          <cell r="I3735">
            <v>432.83842500178008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P3735">
            <v>433</v>
          </cell>
          <cell r="V3735" t="str">
            <v>Available</v>
          </cell>
        </row>
        <row r="3736">
          <cell r="A3736" t="str">
            <v>105300020059</v>
          </cell>
          <cell r="B3736" t="str">
            <v>Kalyanpur</v>
          </cell>
          <cell r="C3736" t="str">
            <v>Kalyanpur</v>
          </cell>
          <cell r="D3736" t="str">
            <v>GOMUKH HATHA</v>
          </cell>
          <cell r="E3736">
            <v>10530002</v>
          </cell>
          <cell r="F3736" t="str">
            <v>0059</v>
          </cell>
          <cell r="G3736">
            <v>13</v>
          </cell>
          <cell r="H3736">
            <v>26.280000000000005</v>
          </cell>
          <cell r="I3736">
            <v>1166.7542671982701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P3736">
            <v>1167</v>
          </cell>
          <cell r="V3736" t="str">
            <v>Available</v>
          </cell>
        </row>
        <row r="3737">
          <cell r="A3737" t="str">
            <v>105300020060</v>
          </cell>
          <cell r="B3737" t="str">
            <v>Kalyanpur</v>
          </cell>
          <cell r="C3737" t="str">
            <v>Kalyanpur</v>
          </cell>
          <cell r="D3737" t="str">
            <v>GOMUKH HATHA</v>
          </cell>
          <cell r="E3737">
            <v>10530002</v>
          </cell>
          <cell r="F3737" t="str">
            <v>0060</v>
          </cell>
          <cell r="G3737">
            <v>6</v>
          </cell>
          <cell r="H3737">
            <v>16.22</v>
          </cell>
          <cell r="I3737">
            <v>797.40783057106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P3737">
            <v>797</v>
          </cell>
          <cell r="V3737" t="str">
            <v>Available</v>
          </cell>
        </row>
        <row r="3738">
          <cell r="A3738" t="str">
            <v>105300020062</v>
          </cell>
          <cell r="B3738" t="str">
            <v>Kalyanpur</v>
          </cell>
          <cell r="C3738" t="str">
            <v>Kalyanpur</v>
          </cell>
          <cell r="D3738" t="str">
            <v>GOMUKH HATHA</v>
          </cell>
          <cell r="E3738">
            <v>10530002</v>
          </cell>
          <cell r="F3738" t="str">
            <v>0062</v>
          </cell>
          <cell r="G3738">
            <v>14</v>
          </cell>
          <cell r="H3738">
            <v>29.259999999999998</v>
          </cell>
          <cell r="I3738">
            <v>1242.3707239680002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P3738">
            <v>1242</v>
          </cell>
          <cell r="V3738" t="str">
            <v>Available</v>
          </cell>
        </row>
        <row r="3739">
          <cell r="A3739" t="str">
            <v>105300020063</v>
          </cell>
          <cell r="B3739" t="str">
            <v>Kalyanpur</v>
          </cell>
          <cell r="C3739" t="str">
            <v>Kalyanpur</v>
          </cell>
          <cell r="D3739" t="str">
            <v>GOMUKH HATHA</v>
          </cell>
          <cell r="E3739">
            <v>10530002</v>
          </cell>
          <cell r="F3739" t="str">
            <v>0063</v>
          </cell>
          <cell r="G3739">
            <v>5</v>
          </cell>
          <cell r="H3739">
            <v>8.91</v>
          </cell>
          <cell r="I3739">
            <v>778.3303630865546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P3739">
            <v>778</v>
          </cell>
          <cell r="V3739" t="str">
            <v>Available</v>
          </cell>
        </row>
        <row r="3740">
          <cell r="A3740" t="str">
            <v>105300020066</v>
          </cell>
          <cell r="B3740" t="str">
            <v>Kalyanpur</v>
          </cell>
          <cell r="C3740" t="str">
            <v>Kalyanpur</v>
          </cell>
          <cell r="D3740" t="str">
            <v>GOMUKH HATHA</v>
          </cell>
          <cell r="E3740">
            <v>10530002</v>
          </cell>
          <cell r="F3740" t="str">
            <v>0066</v>
          </cell>
          <cell r="G3740">
            <v>12</v>
          </cell>
          <cell r="H3740">
            <v>94.309999999999988</v>
          </cell>
          <cell r="I3740">
            <v>4274.3682932171805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P3740">
            <v>4274</v>
          </cell>
          <cell r="V3740" t="str">
            <v>Available</v>
          </cell>
        </row>
        <row r="3741">
          <cell r="A3741" t="str">
            <v>105300020067</v>
          </cell>
          <cell r="B3741" t="str">
            <v>Kalyanpur</v>
          </cell>
          <cell r="C3741" t="str">
            <v>Kalyanpur</v>
          </cell>
          <cell r="D3741" t="str">
            <v>GOMUKH HATHA</v>
          </cell>
          <cell r="E3741">
            <v>10530002</v>
          </cell>
          <cell r="F3741" t="str">
            <v>0067</v>
          </cell>
          <cell r="G3741">
            <v>14</v>
          </cell>
          <cell r="H3741">
            <v>49.38</v>
          </cell>
          <cell r="I3741">
            <v>2012.8562113236003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P3741">
            <v>2013</v>
          </cell>
          <cell r="V3741" t="str">
            <v>Available</v>
          </cell>
        </row>
        <row r="3742">
          <cell r="A3742" t="str">
            <v>105300020068</v>
          </cell>
          <cell r="B3742" t="str">
            <v>Kalyanpur</v>
          </cell>
          <cell r="C3742" t="str">
            <v>Kalyanpur</v>
          </cell>
          <cell r="D3742" t="str">
            <v>GOMUKH HATHA</v>
          </cell>
          <cell r="E3742">
            <v>10530002</v>
          </cell>
          <cell r="F3742" t="str">
            <v>0068</v>
          </cell>
          <cell r="G3742">
            <v>14</v>
          </cell>
          <cell r="H3742">
            <v>57.37</v>
          </cell>
          <cell r="I3742">
            <v>2306.3656084920003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P3742">
            <v>2306</v>
          </cell>
          <cell r="V3742" t="str">
            <v>Available</v>
          </cell>
        </row>
        <row r="3743">
          <cell r="A3743" t="str">
            <v>105300020069</v>
          </cell>
          <cell r="B3743" t="str">
            <v>Kalyanpur</v>
          </cell>
          <cell r="C3743" t="str">
            <v>Kalyanpur</v>
          </cell>
          <cell r="D3743" t="str">
            <v>GOMUKH HATHA</v>
          </cell>
          <cell r="E3743">
            <v>10530002</v>
          </cell>
          <cell r="F3743" t="str">
            <v>0069</v>
          </cell>
          <cell r="G3743">
            <v>8</v>
          </cell>
          <cell r="H3743">
            <v>25.830000000000002</v>
          </cell>
          <cell r="I3743">
            <v>1025.728073964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P3743">
            <v>1026</v>
          </cell>
          <cell r="V3743" t="str">
            <v>Available</v>
          </cell>
        </row>
        <row r="3744">
          <cell r="A3744" t="str">
            <v>105300030001</v>
          </cell>
          <cell r="B3744" t="str">
            <v>Kalyanpur</v>
          </cell>
          <cell r="C3744" t="str">
            <v>Kalyanpur</v>
          </cell>
          <cell r="D3744" t="str">
            <v>GOMUKH VADEYA</v>
          </cell>
          <cell r="E3744">
            <v>10530003</v>
          </cell>
          <cell r="F3744" t="str">
            <v>0001</v>
          </cell>
          <cell r="G3744">
            <v>3</v>
          </cell>
          <cell r="H3744">
            <v>8.82</v>
          </cell>
          <cell r="I3744">
            <v>679.31125042237977</v>
          </cell>
          <cell r="J3744">
            <v>0</v>
          </cell>
          <cell r="K3744">
            <v>679.31125042237977</v>
          </cell>
          <cell r="L3744">
            <v>0</v>
          </cell>
          <cell r="M3744">
            <v>0</v>
          </cell>
          <cell r="P3744">
            <v>0</v>
          </cell>
          <cell r="V3744" t="str">
            <v>Not Available</v>
          </cell>
        </row>
        <row r="3745">
          <cell r="A3745" t="str">
            <v>105300030002</v>
          </cell>
          <cell r="B3745" t="str">
            <v>Kalyanpur</v>
          </cell>
          <cell r="C3745" t="str">
            <v>Kalyanpur</v>
          </cell>
          <cell r="D3745" t="str">
            <v>GOMUKH VADEYA</v>
          </cell>
          <cell r="E3745">
            <v>10530003</v>
          </cell>
          <cell r="F3745" t="str">
            <v>0002</v>
          </cell>
          <cell r="G3745">
            <v>7</v>
          </cell>
          <cell r="H3745">
            <v>69.78</v>
          </cell>
          <cell r="I3745">
            <v>3231.3020285130001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P3745">
            <v>3203</v>
          </cell>
          <cell r="V3745" t="str">
            <v>Available</v>
          </cell>
        </row>
        <row r="3746">
          <cell r="A3746" t="str">
            <v>105300030006</v>
          </cell>
          <cell r="B3746" t="str">
            <v>Kalyanpur</v>
          </cell>
          <cell r="C3746" t="str">
            <v>Kalyanpur</v>
          </cell>
          <cell r="D3746" t="str">
            <v>GOMUKH VADEYA</v>
          </cell>
          <cell r="E3746">
            <v>10530003</v>
          </cell>
          <cell r="F3746" t="str">
            <v>0006</v>
          </cell>
          <cell r="G3746">
            <v>4</v>
          </cell>
          <cell r="H3746">
            <v>10.920000000000002</v>
          </cell>
          <cell r="I3746">
            <v>523.74086020185609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P3746">
            <v>524</v>
          </cell>
          <cell r="V3746" t="str">
            <v>Available</v>
          </cell>
        </row>
        <row r="3747">
          <cell r="A3747" t="str">
            <v>105300030008</v>
          </cell>
          <cell r="B3747" t="str">
            <v>Kalyanpur</v>
          </cell>
          <cell r="C3747" t="str">
            <v>Kalyanpur</v>
          </cell>
          <cell r="D3747" t="str">
            <v>GOMUKH VADEYA</v>
          </cell>
          <cell r="E3747">
            <v>10530003</v>
          </cell>
          <cell r="F3747" t="str">
            <v>0008</v>
          </cell>
          <cell r="G3747">
            <v>4</v>
          </cell>
          <cell r="H3747">
            <v>13.54</v>
          </cell>
          <cell r="I3747">
            <v>524.72291493600005</v>
          </cell>
          <cell r="J3747">
            <v>0</v>
          </cell>
          <cell r="K3747">
            <v>0</v>
          </cell>
          <cell r="L3747">
            <v>0</v>
          </cell>
          <cell r="M3747">
            <v>525</v>
          </cell>
          <cell r="P3747">
            <v>0</v>
          </cell>
          <cell r="V3747" t="str">
            <v>Available</v>
          </cell>
        </row>
        <row r="3748">
          <cell r="A3748" t="str">
            <v>105300030009</v>
          </cell>
          <cell r="B3748" t="str">
            <v>Kalyanpur</v>
          </cell>
          <cell r="C3748" t="str">
            <v>Kalyanpur</v>
          </cell>
          <cell r="D3748" t="str">
            <v>GOMUKH VADEYA</v>
          </cell>
          <cell r="E3748">
            <v>10530003</v>
          </cell>
          <cell r="F3748" t="str">
            <v>0009</v>
          </cell>
          <cell r="G3748">
            <v>10</v>
          </cell>
          <cell r="H3748">
            <v>84.68</v>
          </cell>
          <cell r="I3748">
            <v>3031.7020509600002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P3748">
            <v>3032</v>
          </cell>
          <cell r="V3748" t="str">
            <v>Available</v>
          </cell>
        </row>
        <row r="3749">
          <cell r="A3749" t="str">
            <v>105300030011</v>
          </cell>
          <cell r="B3749" t="str">
            <v>Kalyanpur</v>
          </cell>
          <cell r="C3749" t="str">
            <v>Kalyanpur</v>
          </cell>
          <cell r="D3749" t="str">
            <v>GOMUKH VADEYA</v>
          </cell>
          <cell r="E3749">
            <v>10530003</v>
          </cell>
          <cell r="F3749" t="str">
            <v>0011</v>
          </cell>
          <cell r="G3749">
            <v>2</v>
          </cell>
          <cell r="H3749">
            <v>2.04</v>
          </cell>
          <cell r="I3749">
            <v>88.611248880000005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P3749">
            <v>89</v>
          </cell>
          <cell r="V3749" t="str">
            <v>Available</v>
          </cell>
        </row>
        <row r="3750">
          <cell r="A3750" t="str">
            <v>105300030015</v>
          </cell>
          <cell r="B3750" t="str">
            <v>Kalyanpur</v>
          </cell>
          <cell r="C3750" t="str">
            <v>Kalyanpur</v>
          </cell>
          <cell r="D3750" t="str">
            <v>GOMUKH VADEYA</v>
          </cell>
          <cell r="E3750">
            <v>10530003</v>
          </cell>
          <cell r="F3750" t="str">
            <v>0015</v>
          </cell>
          <cell r="G3750">
            <v>4</v>
          </cell>
          <cell r="H3750">
            <v>5.52</v>
          </cell>
          <cell r="I3750">
            <v>269.27873926200004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P3750">
            <v>269</v>
          </cell>
          <cell r="V3750" t="str">
            <v>Available</v>
          </cell>
        </row>
        <row r="3751">
          <cell r="A3751" t="str">
            <v>105300030017</v>
          </cell>
          <cell r="B3751" t="str">
            <v>Kalyanpur</v>
          </cell>
          <cell r="C3751" t="str">
            <v>Kalyanpur</v>
          </cell>
          <cell r="D3751" t="str">
            <v>GOMUKH VADEYA</v>
          </cell>
          <cell r="E3751">
            <v>10530003</v>
          </cell>
          <cell r="F3751" t="str">
            <v>0017</v>
          </cell>
          <cell r="G3751">
            <v>10</v>
          </cell>
          <cell r="H3751">
            <v>29.060000000000006</v>
          </cell>
          <cell r="I3751">
            <v>1063.6717204080001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P3751">
            <v>1064</v>
          </cell>
          <cell r="V3751" t="str">
            <v>Available</v>
          </cell>
        </row>
        <row r="3752">
          <cell r="A3752" t="str">
            <v>105300030021</v>
          </cell>
          <cell r="B3752" t="str">
            <v>Kalyanpur</v>
          </cell>
          <cell r="C3752" t="str">
            <v>Kalyanpur</v>
          </cell>
          <cell r="D3752" t="str">
            <v>GOMUKH VADEYA</v>
          </cell>
          <cell r="E3752">
            <v>10530003</v>
          </cell>
          <cell r="F3752" t="str">
            <v>0021</v>
          </cell>
          <cell r="G3752">
            <v>10</v>
          </cell>
          <cell r="H3752">
            <v>11.52</v>
          </cell>
          <cell r="I3752">
            <v>433.50080004000006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P3752">
            <v>434</v>
          </cell>
          <cell r="V3752" t="str">
            <v>Available</v>
          </cell>
        </row>
        <row r="3753">
          <cell r="A3753" t="str">
            <v>105300030022</v>
          </cell>
          <cell r="B3753" t="str">
            <v>Kalyanpur</v>
          </cell>
          <cell r="C3753" t="str">
            <v>Kalyanpur</v>
          </cell>
          <cell r="D3753" t="str">
            <v>GOMUKH VADEYA</v>
          </cell>
          <cell r="E3753">
            <v>10530003</v>
          </cell>
          <cell r="F3753" t="str">
            <v>0022</v>
          </cell>
          <cell r="G3753">
            <v>5</v>
          </cell>
          <cell r="H3753">
            <v>8</v>
          </cell>
          <cell r="I3753">
            <v>324.09796636800007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P3753">
            <v>324</v>
          </cell>
          <cell r="V3753" t="str">
            <v>Available</v>
          </cell>
        </row>
        <row r="3754">
          <cell r="A3754" t="str">
            <v>105300030025</v>
          </cell>
          <cell r="B3754" t="str">
            <v>Kalyanpur</v>
          </cell>
          <cell r="C3754" t="str">
            <v>Kalyanpur</v>
          </cell>
          <cell r="D3754" t="str">
            <v>GOMUKH VADEYA</v>
          </cell>
          <cell r="E3754">
            <v>10530003</v>
          </cell>
          <cell r="F3754" t="str">
            <v>0025</v>
          </cell>
          <cell r="G3754">
            <v>11</v>
          </cell>
          <cell r="H3754">
            <v>25.099999999999998</v>
          </cell>
          <cell r="I3754">
            <v>1269.95447082756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P3754">
            <v>1270</v>
          </cell>
          <cell r="V3754" t="str">
            <v>Available</v>
          </cell>
        </row>
        <row r="3755">
          <cell r="A3755" t="str">
            <v>105300030033</v>
          </cell>
          <cell r="B3755" t="str">
            <v>Kalyanpur</v>
          </cell>
          <cell r="C3755" t="str">
            <v>Kalyanpur</v>
          </cell>
          <cell r="D3755" t="str">
            <v>GOMUKH VADEYA</v>
          </cell>
          <cell r="E3755">
            <v>10530003</v>
          </cell>
          <cell r="F3755" t="str">
            <v>0033</v>
          </cell>
          <cell r="G3755">
            <v>1</v>
          </cell>
          <cell r="H3755">
            <v>8.66</v>
          </cell>
          <cell r="I3755">
            <v>288.07584220800004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P3755">
            <v>288</v>
          </cell>
          <cell r="V3755" t="str">
            <v>Available</v>
          </cell>
        </row>
        <row r="3756">
          <cell r="A3756" t="str">
            <v>105300030038</v>
          </cell>
          <cell r="B3756" t="str">
            <v>Kalyanpur</v>
          </cell>
          <cell r="C3756" t="str">
            <v>Kalyanpur</v>
          </cell>
          <cell r="D3756" t="str">
            <v>GOMUKH VADEYA</v>
          </cell>
          <cell r="E3756">
            <v>10530003</v>
          </cell>
          <cell r="F3756" t="str">
            <v>0038</v>
          </cell>
          <cell r="G3756">
            <v>6</v>
          </cell>
          <cell r="H3756">
            <v>14.839999999999998</v>
          </cell>
          <cell r="I3756">
            <v>1186.3618674652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P3756">
            <v>1186</v>
          </cell>
          <cell r="V3756" t="str">
            <v>Available</v>
          </cell>
        </row>
        <row r="3757">
          <cell r="A3757" t="str">
            <v>105300030039</v>
          </cell>
          <cell r="B3757" t="str">
            <v>Kalyanpur</v>
          </cell>
          <cell r="C3757" t="str">
            <v>Kalyanpur</v>
          </cell>
          <cell r="D3757" t="str">
            <v>GOMUKH VADEYA</v>
          </cell>
          <cell r="E3757">
            <v>10530003</v>
          </cell>
          <cell r="F3757" t="str">
            <v>0039</v>
          </cell>
          <cell r="G3757">
            <v>1</v>
          </cell>
          <cell r="H3757">
            <v>1.8</v>
          </cell>
          <cell r="I3757">
            <v>103.49882508600001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P3757">
            <v>103</v>
          </cell>
          <cell r="V3757" t="str">
            <v>Available</v>
          </cell>
        </row>
        <row r="3758">
          <cell r="A3758" t="str">
            <v>105300030044</v>
          </cell>
          <cell r="B3758" t="str">
            <v>Kalyanpur</v>
          </cell>
          <cell r="C3758" t="str">
            <v>Kalyanpur</v>
          </cell>
          <cell r="D3758" t="str">
            <v>GOMUKH VADEYA</v>
          </cell>
          <cell r="E3758">
            <v>10530003</v>
          </cell>
          <cell r="F3758" t="str">
            <v>0044</v>
          </cell>
          <cell r="G3758">
            <v>12</v>
          </cell>
          <cell r="H3758">
            <v>27.42</v>
          </cell>
          <cell r="I3758">
            <v>1343.2258301098</v>
          </cell>
          <cell r="J3758">
            <v>0</v>
          </cell>
          <cell r="K3758">
            <v>0</v>
          </cell>
          <cell r="L3758">
            <v>0</v>
          </cell>
          <cell r="M3758">
            <v>80</v>
          </cell>
          <cell r="P3758">
            <v>1263</v>
          </cell>
          <cell r="V3758" t="str">
            <v>Available</v>
          </cell>
        </row>
        <row r="3759">
          <cell r="A3759" t="str">
            <v>105300030047</v>
          </cell>
          <cell r="B3759" t="str">
            <v>Kalyanpur</v>
          </cell>
          <cell r="C3759" t="str">
            <v>Kalyanpur</v>
          </cell>
          <cell r="D3759" t="str">
            <v>GOMUKH VADEYA</v>
          </cell>
          <cell r="E3759">
            <v>10530003</v>
          </cell>
          <cell r="F3759" t="str">
            <v>0047</v>
          </cell>
          <cell r="G3759">
            <v>3</v>
          </cell>
          <cell r="H3759">
            <v>12.92</v>
          </cell>
          <cell r="I3759">
            <v>585.02749104360009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P3759">
            <v>585</v>
          </cell>
          <cell r="V3759" t="str">
            <v>Available</v>
          </cell>
        </row>
        <row r="3760">
          <cell r="A3760" t="str">
            <v>105300030053</v>
          </cell>
          <cell r="B3760" t="str">
            <v>Kalyanpur</v>
          </cell>
          <cell r="C3760" t="str">
            <v>Kalyanpur</v>
          </cell>
          <cell r="D3760" t="str">
            <v>GOMUKH VADEYA</v>
          </cell>
          <cell r="E3760">
            <v>10530003</v>
          </cell>
          <cell r="F3760" t="str">
            <v>0053</v>
          </cell>
          <cell r="G3760">
            <v>9</v>
          </cell>
          <cell r="H3760">
            <v>9.2800000000000011</v>
          </cell>
          <cell r="I3760">
            <v>532.98472530460003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P3760">
            <v>533</v>
          </cell>
          <cell r="V3760" t="str">
            <v>Available</v>
          </cell>
        </row>
        <row r="3761">
          <cell r="A3761" t="str">
            <v>105300030059</v>
          </cell>
          <cell r="B3761" t="str">
            <v>Kalyanpur</v>
          </cell>
          <cell r="C3761" t="str">
            <v>Kalyanpur</v>
          </cell>
          <cell r="D3761" t="str">
            <v>GOMUKH VADEYA</v>
          </cell>
          <cell r="E3761">
            <v>10530003</v>
          </cell>
          <cell r="F3761" t="str">
            <v>0059</v>
          </cell>
          <cell r="G3761">
            <v>5</v>
          </cell>
          <cell r="H3761">
            <v>32.880000000000003</v>
          </cell>
          <cell r="I3761">
            <v>1190.8555003620002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P3761">
            <v>1191</v>
          </cell>
          <cell r="V3761" t="str">
            <v>Available</v>
          </cell>
        </row>
        <row r="3762">
          <cell r="A3762" t="str">
            <v>105300030077</v>
          </cell>
          <cell r="B3762" t="str">
            <v>Kalyanpur</v>
          </cell>
          <cell r="C3762" t="str">
            <v>Kalyanpur</v>
          </cell>
          <cell r="D3762" t="str">
            <v>GOMUKH VADEYA</v>
          </cell>
          <cell r="E3762">
            <v>10530003</v>
          </cell>
          <cell r="F3762" t="str">
            <v>0077</v>
          </cell>
          <cell r="G3762">
            <v>1</v>
          </cell>
          <cell r="H3762">
            <v>2.16</v>
          </cell>
          <cell r="I3762">
            <v>107.4144738744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P3762">
            <v>107</v>
          </cell>
          <cell r="V3762" t="str">
            <v>Available</v>
          </cell>
        </row>
        <row r="3763">
          <cell r="A3763" t="str">
            <v>105300030079</v>
          </cell>
          <cell r="B3763" t="str">
            <v>Kalyanpur</v>
          </cell>
          <cell r="C3763" t="str">
            <v>Kalyanpur</v>
          </cell>
          <cell r="D3763" t="str">
            <v>GOMUKH VADEYA</v>
          </cell>
          <cell r="E3763">
            <v>10530003</v>
          </cell>
          <cell r="F3763" t="str">
            <v>0079</v>
          </cell>
          <cell r="G3763">
            <v>7</v>
          </cell>
          <cell r="H3763">
            <v>26.380000000000003</v>
          </cell>
          <cell r="I3763">
            <v>993.08111760000008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P3763">
            <v>993</v>
          </cell>
          <cell r="V3763" t="str">
            <v>Available</v>
          </cell>
        </row>
        <row r="3764">
          <cell r="A3764" t="str">
            <v>105300030080</v>
          </cell>
          <cell r="B3764" t="str">
            <v>Kalyanpur</v>
          </cell>
          <cell r="C3764" t="str">
            <v>Kalyanpur</v>
          </cell>
          <cell r="D3764" t="str">
            <v>GOMUKH VADEYA</v>
          </cell>
          <cell r="E3764">
            <v>10530003</v>
          </cell>
          <cell r="F3764" t="str">
            <v>0080</v>
          </cell>
          <cell r="G3764">
            <v>1</v>
          </cell>
          <cell r="H3764">
            <v>29.46</v>
          </cell>
          <cell r="I3764">
            <v>1053.8753963760003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P3764">
            <v>1054</v>
          </cell>
          <cell r="V3764" t="str">
            <v>Available</v>
          </cell>
        </row>
        <row r="3765">
          <cell r="A3765" t="str">
            <v>105300030083</v>
          </cell>
          <cell r="B3765" t="str">
            <v>Kalyanpur</v>
          </cell>
          <cell r="C3765" t="str">
            <v>Kalyanpur</v>
          </cell>
          <cell r="D3765" t="str">
            <v>GOMUKH VADEYA</v>
          </cell>
          <cell r="E3765">
            <v>10530003</v>
          </cell>
          <cell r="F3765" t="str">
            <v>0083</v>
          </cell>
          <cell r="G3765">
            <v>7</v>
          </cell>
          <cell r="H3765">
            <v>12</v>
          </cell>
          <cell r="I3765">
            <v>451.52471073600009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P3765">
            <v>452</v>
          </cell>
          <cell r="V3765" t="str">
            <v>Available</v>
          </cell>
        </row>
        <row r="3766">
          <cell r="A3766" t="str">
            <v>105300030086</v>
          </cell>
          <cell r="B3766" t="str">
            <v>Kalyanpur</v>
          </cell>
          <cell r="C3766" t="str">
            <v>Kalyanpur</v>
          </cell>
          <cell r="D3766" t="str">
            <v>GOMUKH VADEYA</v>
          </cell>
          <cell r="E3766">
            <v>10530003</v>
          </cell>
          <cell r="F3766" t="str">
            <v>0086</v>
          </cell>
          <cell r="G3766">
            <v>11</v>
          </cell>
          <cell r="H3766">
            <v>30.039999999999996</v>
          </cell>
          <cell r="I3766">
            <v>1080.706591008</v>
          </cell>
          <cell r="J3766">
            <v>0</v>
          </cell>
          <cell r="K3766">
            <v>0</v>
          </cell>
          <cell r="L3766">
            <v>0</v>
          </cell>
          <cell r="M3766">
            <v>79</v>
          </cell>
          <cell r="P3766">
            <v>1002</v>
          </cell>
          <cell r="V3766" t="str">
            <v>Available</v>
          </cell>
        </row>
        <row r="3767">
          <cell r="A3767" t="str">
            <v>105300030091</v>
          </cell>
          <cell r="B3767" t="str">
            <v>Kalyanpur</v>
          </cell>
          <cell r="C3767" t="str">
            <v>Kalyanpur</v>
          </cell>
          <cell r="D3767" t="str">
            <v>GOMUKH VADEYA</v>
          </cell>
          <cell r="E3767">
            <v>10530003</v>
          </cell>
          <cell r="F3767" t="str">
            <v>0091</v>
          </cell>
          <cell r="G3767">
            <v>11</v>
          </cell>
          <cell r="H3767">
            <v>17.739999999999998</v>
          </cell>
          <cell r="I3767">
            <v>953.12433103780006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P3767">
            <v>953</v>
          </cell>
          <cell r="V3767" t="str">
            <v>Available</v>
          </cell>
        </row>
        <row r="3768">
          <cell r="A3768" t="str">
            <v>105300030094</v>
          </cell>
          <cell r="B3768" t="str">
            <v>Kalyanpur</v>
          </cell>
          <cell r="C3768" t="str">
            <v>Kalyanpur</v>
          </cell>
          <cell r="D3768" t="str">
            <v>GOMUKH VADEYA</v>
          </cell>
          <cell r="E3768">
            <v>10530003</v>
          </cell>
          <cell r="F3768" t="str">
            <v>0094</v>
          </cell>
          <cell r="G3768">
            <v>2</v>
          </cell>
          <cell r="H3768">
            <v>2.88</v>
          </cell>
          <cell r="I3768">
            <v>118.2074061168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P3768">
            <v>118</v>
          </cell>
          <cell r="V3768" t="str">
            <v>Available</v>
          </cell>
        </row>
        <row r="3769">
          <cell r="A3769" t="str">
            <v>105300030095</v>
          </cell>
          <cell r="B3769" t="str">
            <v>Kalyanpur</v>
          </cell>
          <cell r="C3769" t="str">
            <v>Kalyanpur</v>
          </cell>
          <cell r="D3769" t="str">
            <v>GOMUKH VADEYA</v>
          </cell>
          <cell r="E3769">
            <v>10530003</v>
          </cell>
          <cell r="F3769" t="str">
            <v>0095</v>
          </cell>
          <cell r="G3769">
            <v>11</v>
          </cell>
          <cell r="H3769">
            <v>28.160000000000004</v>
          </cell>
          <cell r="I3769">
            <v>1193.0820462000001</v>
          </cell>
          <cell r="J3769">
            <v>0</v>
          </cell>
          <cell r="K3769">
            <v>0</v>
          </cell>
          <cell r="L3769">
            <v>0</v>
          </cell>
          <cell r="M3769">
            <v>190</v>
          </cell>
          <cell r="P3769">
            <v>1003</v>
          </cell>
          <cell r="V3769" t="str">
            <v>Available</v>
          </cell>
        </row>
        <row r="3770">
          <cell r="A3770" t="str">
            <v>105300030096</v>
          </cell>
          <cell r="B3770" t="str">
            <v>Kalyanpur</v>
          </cell>
          <cell r="C3770" t="str">
            <v>Kalyanpur</v>
          </cell>
          <cell r="D3770" t="str">
            <v>GOMUKH VADEYA</v>
          </cell>
          <cell r="E3770">
            <v>10530003</v>
          </cell>
          <cell r="F3770" t="str">
            <v>0096</v>
          </cell>
          <cell r="G3770">
            <v>4</v>
          </cell>
          <cell r="H3770">
            <v>6</v>
          </cell>
          <cell r="I3770">
            <v>197.78187132000005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P3770">
            <v>198</v>
          </cell>
          <cell r="V3770" t="str">
            <v>Available</v>
          </cell>
        </row>
        <row r="3771">
          <cell r="A3771" t="str">
            <v>105300030097</v>
          </cell>
          <cell r="B3771" t="str">
            <v>Kalyanpur</v>
          </cell>
          <cell r="C3771" t="str">
            <v>Kalyanpur</v>
          </cell>
          <cell r="D3771" t="str">
            <v>GOMUKH VADEYA</v>
          </cell>
          <cell r="E3771">
            <v>10530003</v>
          </cell>
          <cell r="F3771" t="str">
            <v>0097</v>
          </cell>
          <cell r="G3771">
            <v>5</v>
          </cell>
          <cell r="H3771">
            <v>11.92</v>
          </cell>
          <cell r="I3771">
            <v>452.16872474400009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P3771">
            <v>452</v>
          </cell>
          <cell r="V3771" t="str">
            <v>Available</v>
          </cell>
        </row>
        <row r="3772">
          <cell r="A3772" t="str">
            <v>105300050001</v>
          </cell>
          <cell r="B3772" t="str">
            <v>Kalyanpur</v>
          </cell>
          <cell r="C3772" t="str">
            <v>Kalyanpur</v>
          </cell>
          <cell r="D3772" t="str">
            <v>GOMUKH CHANDPURA</v>
          </cell>
          <cell r="E3772">
            <v>10530005</v>
          </cell>
          <cell r="F3772" t="str">
            <v>0001</v>
          </cell>
          <cell r="G3772">
            <v>13</v>
          </cell>
          <cell r="H3772">
            <v>7.0100000000000007</v>
          </cell>
          <cell r="I3772">
            <v>311.94000461124006</v>
          </cell>
          <cell r="J3772">
            <v>0</v>
          </cell>
          <cell r="K3772">
            <v>311.94000461124006</v>
          </cell>
          <cell r="L3772">
            <v>0</v>
          </cell>
          <cell r="M3772">
            <v>0</v>
          </cell>
          <cell r="P3772">
            <v>0</v>
          </cell>
          <cell r="V3772" t="str">
            <v>Not Available</v>
          </cell>
        </row>
        <row r="3773">
          <cell r="A3773" t="str">
            <v>105300050002</v>
          </cell>
          <cell r="B3773" t="str">
            <v>Kalyanpur</v>
          </cell>
          <cell r="C3773" t="str">
            <v>Kalyanpur</v>
          </cell>
          <cell r="D3773" t="str">
            <v>GOMUKH CHANDPURA</v>
          </cell>
          <cell r="E3773">
            <v>10530005</v>
          </cell>
          <cell r="F3773" t="str">
            <v>0002</v>
          </cell>
          <cell r="G3773">
            <v>3</v>
          </cell>
          <cell r="H3773">
            <v>7.88</v>
          </cell>
          <cell r="I3773">
            <v>344.83513112136006</v>
          </cell>
          <cell r="J3773">
            <v>0</v>
          </cell>
          <cell r="K3773">
            <v>0</v>
          </cell>
          <cell r="L3773">
            <v>181</v>
          </cell>
          <cell r="M3773">
            <v>65</v>
          </cell>
          <cell r="P3773">
            <v>0</v>
          </cell>
          <cell r="V3773" t="str">
            <v>Available</v>
          </cell>
        </row>
        <row r="3774">
          <cell r="A3774" t="str">
            <v>105300050006</v>
          </cell>
          <cell r="B3774" t="str">
            <v>Kalyanpur</v>
          </cell>
          <cell r="C3774" t="str">
            <v>Kalyanpur</v>
          </cell>
          <cell r="D3774" t="str">
            <v>GOMUKH CHANDPURA</v>
          </cell>
          <cell r="E3774">
            <v>10530005</v>
          </cell>
          <cell r="F3774" t="str">
            <v>0006</v>
          </cell>
          <cell r="G3774">
            <v>10</v>
          </cell>
          <cell r="H3774">
            <v>24.53</v>
          </cell>
          <cell r="I3774">
            <v>1476.7406924325703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P3774">
            <v>1477</v>
          </cell>
          <cell r="V3774" t="str">
            <v>Available</v>
          </cell>
        </row>
        <row r="3775">
          <cell r="A3775" t="str">
            <v>105300050008</v>
          </cell>
          <cell r="B3775" t="str">
            <v>Kalyanpur</v>
          </cell>
          <cell r="C3775" t="str">
            <v>Kalyanpur</v>
          </cell>
          <cell r="D3775" t="str">
            <v>GOMUKH CHANDPURA</v>
          </cell>
          <cell r="E3775">
            <v>10530005</v>
          </cell>
          <cell r="F3775" t="str">
            <v>0008</v>
          </cell>
          <cell r="G3775">
            <v>12</v>
          </cell>
          <cell r="H3775">
            <v>16.099999999999998</v>
          </cell>
          <cell r="I3775">
            <v>646.68083977979995</v>
          </cell>
          <cell r="J3775">
            <v>0</v>
          </cell>
          <cell r="K3775">
            <v>0</v>
          </cell>
          <cell r="L3775">
            <v>0</v>
          </cell>
          <cell r="M3775">
            <v>647</v>
          </cell>
          <cell r="P3775">
            <v>0</v>
          </cell>
          <cell r="V3775" t="str">
            <v>Available</v>
          </cell>
        </row>
        <row r="3776">
          <cell r="A3776" t="str">
            <v>105300050010</v>
          </cell>
          <cell r="B3776" t="str">
            <v>Kalyanpur</v>
          </cell>
          <cell r="C3776" t="str">
            <v>Kalyanpur</v>
          </cell>
          <cell r="D3776" t="str">
            <v>GOMUKH CHANDPURA</v>
          </cell>
          <cell r="E3776">
            <v>10530005</v>
          </cell>
          <cell r="F3776" t="str">
            <v>0010</v>
          </cell>
          <cell r="G3776">
            <v>11</v>
          </cell>
          <cell r="H3776">
            <v>30.549999999999997</v>
          </cell>
          <cell r="I3776">
            <v>1569.2774607814201</v>
          </cell>
          <cell r="J3776">
            <v>0</v>
          </cell>
          <cell r="K3776">
            <v>0</v>
          </cell>
          <cell r="L3776">
            <v>0</v>
          </cell>
          <cell r="M3776">
            <v>1350</v>
          </cell>
          <cell r="P3776">
            <v>219</v>
          </cell>
          <cell r="V3776" t="str">
            <v>Available</v>
          </cell>
        </row>
        <row r="3777">
          <cell r="A3777" t="str">
            <v>105300050014</v>
          </cell>
          <cell r="B3777" t="str">
            <v>Kalyanpur</v>
          </cell>
          <cell r="C3777" t="str">
            <v>Kalyanpur</v>
          </cell>
          <cell r="D3777" t="str">
            <v>GOMUKH CHANDPURA</v>
          </cell>
          <cell r="E3777">
            <v>10530005</v>
          </cell>
          <cell r="F3777" t="str">
            <v>0014</v>
          </cell>
          <cell r="G3777">
            <v>4</v>
          </cell>
          <cell r="H3777">
            <v>9.120000000000001</v>
          </cell>
          <cell r="I3777">
            <v>492.43587389308004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P3777">
            <v>492</v>
          </cell>
          <cell r="V3777" t="str">
            <v>Available</v>
          </cell>
        </row>
        <row r="3778">
          <cell r="A3778" t="str">
            <v>105300050016</v>
          </cell>
          <cell r="B3778" t="str">
            <v>Kalyanpur</v>
          </cell>
          <cell r="C3778" t="str">
            <v>Kalyanpur</v>
          </cell>
          <cell r="D3778" t="str">
            <v>GOMUKH CHANDPURA</v>
          </cell>
          <cell r="E3778">
            <v>10530005</v>
          </cell>
          <cell r="F3778" t="str">
            <v>0016</v>
          </cell>
          <cell r="G3778">
            <v>1</v>
          </cell>
          <cell r="H3778">
            <v>1.1599999999999999</v>
          </cell>
          <cell r="I3778">
            <v>88.331640351199994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P3778">
            <v>88</v>
          </cell>
          <cell r="V3778" t="str">
            <v>Available</v>
          </cell>
        </row>
        <row r="3779">
          <cell r="A3779" t="str">
            <v>105300050020</v>
          </cell>
          <cell r="B3779" t="str">
            <v>Kalyanpur</v>
          </cell>
          <cell r="C3779" t="str">
            <v>Kalyanpur</v>
          </cell>
          <cell r="D3779" t="str">
            <v>GOMUKH CHANDPURA</v>
          </cell>
          <cell r="E3779">
            <v>10530005</v>
          </cell>
          <cell r="F3779" t="str">
            <v>0020</v>
          </cell>
          <cell r="G3779">
            <v>12</v>
          </cell>
          <cell r="H3779">
            <v>30.13</v>
          </cell>
          <cell r="I3779">
            <v>1312.3152753174002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P3779">
            <v>1312</v>
          </cell>
          <cell r="V3779" t="str">
            <v>Available</v>
          </cell>
        </row>
        <row r="3780">
          <cell r="A3780" t="str">
            <v>105300050034</v>
          </cell>
          <cell r="B3780" t="str">
            <v>Kalyanpur</v>
          </cell>
          <cell r="C3780" t="str">
            <v>Kalyanpur</v>
          </cell>
          <cell r="D3780" t="str">
            <v>GOMUKH CHANDPURA</v>
          </cell>
          <cell r="E3780">
            <v>10530005</v>
          </cell>
          <cell r="F3780" t="str">
            <v>0034</v>
          </cell>
          <cell r="G3780">
            <v>9</v>
          </cell>
          <cell r="H3780">
            <v>29.54</v>
          </cell>
          <cell r="I3780">
            <v>1616.1550181351001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P3780">
            <v>1616</v>
          </cell>
          <cell r="V3780" t="str">
            <v>Available</v>
          </cell>
        </row>
        <row r="3781">
          <cell r="A3781" t="str">
            <v>105300050035</v>
          </cell>
          <cell r="B3781" t="str">
            <v>Kalyanpur</v>
          </cell>
          <cell r="C3781" t="str">
            <v>Kalyanpur</v>
          </cell>
          <cell r="D3781" t="str">
            <v>GOMUKH CHANDPURA</v>
          </cell>
          <cell r="E3781">
            <v>10530005</v>
          </cell>
          <cell r="F3781" t="str">
            <v>0035</v>
          </cell>
          <cell r="G3781">
            <v>8</v>
          </cell>
          <cell r="H3781">
            <v>14.43</v>
          </cell>
          <cell r="I3781">
            <v>613.98260901499998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P3781">
            <v>614</v>
          </cell>
          <cell r="V3781" t="str">
            <v>Available</v>
          </cell>
        </row>
        <row r="3782">
          <cell r="A3782" t="str">
            <v>105300050036</v>
          </cell>
          <cell r="B3782" t="str">
            <v>Kalyanpur</v>
          </cell>
          <cell r="C3782" t="str">
            <v>Kalyanpur</v>
          </cell>
          <cell r="D3782" t="str">
            <v>GOMUKH CHANDPURA</v>
          </cell>
          <cell r="E3782">
            <v>10530005</v>
          </cell>
          <cell r="F3782" t="str">
            <v>0036</v>
          </cell>
          <cell r="G3782">
            <v>14</v>
          </cell>
          <cell r="H3782">
            <v>28.359999999999992</v>
          </cell>
          <cell r="I3782">
            <v>1629.0367797652002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P3782">
            <v>1629</v>
          </cell>
          <cell r="V3782" t="str">
            <v>Available</v>
          </cell>
        </row>
        <row r="3783">
          <cell r="A3783" t="str">
            <v>105300050038</v>
          </cell>
          <cell r="B3783" t="str">
            <v>Kalyanpur</v>
          </cell>
          <cell r="C3783" t="str">
            <v>Kalyanpur</v>
          </cell>
          <cell r="D3783" t="str">
            <v>GOMUKH CHANDPURA</v>
          </cell>
          <cell r="E3783">
            <v>10530005</v>
          </cell>
          <cell r="F3783" t="str">
            <v>0038</v>
          </cell>
          <cell r="G3783">
            <v>2</v>
          </cell>
          <cell r="H3783">
            <v>2.2800000000000002</v>
          </cell>
          <cell r="I3783">
            <v>89.978992488000017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P3783">
            <v>90</v>
          </cell>
          <cell r="V3783" t="str">
            <v>Available</v>
          </cell>
        </row>
        <row r="3784">
          <cell r="A3784" t="str">
            <v>105300050041</v>
          </cell>
          <cell r="B3784" t="str">
            <v>Kalyanpur</v>
          </cell>
          <cell r="C3784" t="str">
            <v>Kalyanpur</v>
          </cell>
          <cell r="D3784" t="str">
            <v>GOMUKH CHANDPURA</v>
          </cell>
          <cell r="E3784">
            <v>10530005</v>
          </cell>
          <cell r="F3784" t="str">
            <v>0041</v>
          </cell>
          <cell r="G3784">
            <v>5</v>
          </cell>
          <cell r="H3784">
            <v>10.69</v>
          </cell>
          <cell r="I3784">
            <v>443.72326957200005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P3784">
            <v>444</v>
          </cell>
          <cell r="V3784" t="str">
            <v>Available</v>
          </cell>
        </row>
        <row r="3785">
          <cell r="A3785" t="str">
            <v>105300050042</v>
          </cell>
          <cell r="B3785" t="str">
            <v>Kalyanpur</v>
          </cell>
          <cell r="C3785" t="str">
            <v>Kalyanpur</v>
          </cell>
          <cell r="D3785" t="str">
            <v>GOMUKH CHANDPURA</v>
          </cell>
          <cell r="E3785">
            <v>10530005</v>
          </cell>
          <cell r="F3785" t="str">
            <v>0042</v>
          </cell>
          <cell r="G3785">
            <v>5</v>
          </cell>
          <cell r="H3785">
            <v>21.76</v>
          </cell>
          <cell r="I3785">
            <v>894.79641071699996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P3785">
            <v>895</v>
          </cell>
          <cell r="V3785" t="str">
            <v>Available</v>
          </cell>
        </row>
        <row r="3786">
          <cell r="A3786" t="str">
            <v>105300050043</v>
          </cell>
          <cell r="B3786" t="str">
            <v>Kalyanpur</v>
          </cell>
          <cell r="C3786" t="str">
            <v>Kalyanpur</v>
          </cell>
          <cell r="D3786" t="str">
            <v>GOMUKH CHANDPURA</v>
          </cell>
          <cell r="E3786">
            <v>10530005</v>
          </cell>
          <cell r="F3786" t="str">
            <v>0043</v>
          </cell>
          <cell r="G3786">
            <v>10</v>
          </cell>
          <cell r="H3786">
            <v>38.94</v>
          </cell>
          <cell r="I3786">
            <v>1642.0733876727002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P3786">
            <v>1642</v>
          </cell>
          <cell r="V3786" t="str">
            <v>Available</v>
          </cell>
        </row>
        <row r="3787">
          <cell r="A3787" t="str">
            <v>105300050045</v>
          </cell>
          <cell r="B3787" t="str">
            <v>Kalyanpur</v>
          </cell>
          <cell r="C3787" t="str">
            <v>Kalyanpur</v>
          </cell>
          <cell r="D3787" t="str">
            <v>GOMUKH CHANDPURA</v>
          </cell>
          <cell r="E3787">
            <v>10530005</v>
          </cell>
          <cell r="F3787" t="str">
            <v>0045</v>
          </cell>
          <cell r="G3787">
            <v>12</v>
          </cell>
          <cell r="H3787">
            <v>56.260000000000005</v>
          </cell>
          <cell r="I3787">
            <v>2066.7932517672002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P3787">
            <v>2067</v>
          </cell>
          <cell r="V3787" t="str">
            <v>Available</v>
          </cell>
        </row>
        <row r="3788">
          <cell r="A3788" t="str">
            <v>105300050048</v>
          </cell>
          <cell r="B3788" t="str">
            <v>Kalyanpur</v>
          </cell>
          <cell r="C3788" t="str">
            <v>Kalyanpur</v>
          </cell>
          <cell r="D3788" t="str">
            <v>GOMUKH CHANDPURA</v>
          </cell>
          <cell r="E3788">
            <v>10530005</v>
          </cell>
          <cell r="F3788" t="str">
            <v>0048</v>
          </cell>
          <cell r="G3788">
            <v>14</v>
          </cell>
          <cell r="H3788">
            <v>34.94</v>
          </cell>
          <cell r="I3788">
            <v>1542.4489818259199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P3788">
            <v>1542</v>
          </cell>
          <cell r="V3788" t="str">
            <v>Available</v>
          </cell>
        </row>
        <row r="3789">
          <cell r="A3789" t="str">
            <v>105300060001</v>
          </cell>
          <cell r="B3789" t="str">
            <v>Kalyanpur</v>
          </cell>
          <cell r="C3789" t="str">
            <v>Kalyanpur</v>
          </cell>
          <cell r="D3789" t="str">
            <v>GOMUKH BARGAMA</v>
          </cell>
          <cell r="E3789">
            <v>10530006</v>
          </cell>
          <cell r="F3789" t="str">
            <v>0001</v>
          </cell>
          <cell r="G3789">
            <v>14</v>
          </cell>
          <cell r="H3789">
            <v>45.760000000000005</v>
          </cell>
          <cell r="I3789">
            <v>1880.9878444848002</v>
          </cell>
          <cell r="J3789">
            <v>0</v>
          </cell>
          <cell r="K3789">
            <v>1880.9878444848002</v>
          </cell>
          <cell r="L3789">
            <v>0</v>
          </cell>
          <cell r="M3789">
            <v>0</v>
          </cell>
          <cell r="P3789">
            <v>0</v>
          </cell>
          <cell r="V3789" t="str">
            <v>Not Available</v>
          </cell>
        </row>
        <row r="3790">
          <cell r="A3790" t="str">
            <v>105300060002</v>
          </cell>
          <cell r="B3790" t="str">
            <v>Kalyanpur</v>
          </cell>
          <cell r="C3790" t="str">
            <v>Kalyanpur</v>
          </cell>
          <cell r="D3790" t="str">
            <v>GOMUKH BARGAMA</v>
          </cell>
          <cell r="E3790">
            <v>10530006</v>
          </cell>
          <cell r="F3790" t="str">
            <v>0002</v>
          </cell>
          <cell r="G3790">
            <v>12</v>
          </cell>
          <cell r="H3790">
            <v>37.64</v>
          </cell>
          <cell r="I3790">
            <v>1493.7727941769801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P3790">
            <v>1494</v>
          </cell>
          <cell r="V3790" t="str">
            <v>Available</v>
          </cell>
        </row>
        <row r="3791">
          <cell r="A3791" t="str">
            <v>105300060006</v>
          </cell>
          <cell r="B3791" t="str">
            <v>Kalyanpur</v>
          </cell>
          <cell r="C3791" t="str">
            <v>Kalyanpur</v>
          </cell>
          <cell r="D3791" t="str">
            <v>GOMUKH BARGAMA</v>
          </cell>
          <cell r="E3791">
            <v>10530006</v>
          </cell>
          <cell r="F3791" t="str">
            <v>0006</v>
          </cell>
          <cell r="G3791">
            <v>9</v>
          </cell>
          <cell r="H3791">
            <v>27.87</v>
          </cell>
          <cell r="I3791">
            <v>1074.46158362754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P3791">
            <v>1074</v>
          </cell>
          <cell r="V3791" t="str">
            <v>Available</v>
          </cell>
        </row>
        <row r="3792">
          <cell r="A3792" t="str">
            <v>105300060014</v>
          </cell>
          <cell r="B3792" t="str">
            <v>Kalyanpur</v>
          </cell>
          <cell r="C3792" t="str">
            <v>Kalyanpur</v>
          </cell>
          <cell r="D3792" t="str">
            <v>GOMUKH BARGAMA</v>
          </cell>
          <cell r="E3792">
            <v>10530006</v>
          </cell>
          <cell r="F3792" t="str">
            <v>0014</v>
          </cell>
          <cell r="G3792">
            <v>14</v>
          </cell>
          <cell r="H3792">
            <v>31.429999999999996</v>
          </cell>
          <cell r="I3792">
            <v>1215.7657117649999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P3792">
            <v>1216</v>
          </cell>
          <cell r="V3792" t="str">
            <v>Available</v>
          </cell>
        </row>
        <row r="3793">
          <cell r="A3793" t="str">
            <v>105300060015</v>
          </cell>
          <cell r="B3793" t="str">
            <v>Kalyanpur</v>
          </cell>
          <cell r="C3793" t="str">
            <v>Kalyanpur</v>
          </cell>
          <cell r="D3793" t="str">
            <v>GOMUKH BARGAMA</v>
          </cell>
          <cell r="E3793">
            <v>10530006</v>
          </cell>
          <cell r="F3793" t="str">
            <v>0015</v>
          </cell>
          <cell r="G3793">
            <v>2</v>
          </cell>
          <cell r="H3793">
            <v>6.98</v>
          </cell>
          <cell r="I3793">
            <v>276.41231856220008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P3793">
            <v>276</v>
          </cell>
          <cell r="V3793" t="str">
            <v>Available</v>
          </cell>
        </row>
        <row r="3794">
          <cell r="A3794" t="str">
            <v>105300060019</v>
          </cell>
          <cell r="B3794" t="str">
            <v>Kalyanpur</v>
          </cell>
          <cell r="C3794" t="str">
            <v>Kalyanpur</v>
          </cell>
          <cell r="D3794" t="str">
            <v>GOMUKH BARGAMA</v>
          </cell>
          <cell r="E3794">
            <v>10530006</v>
          </cell>
          <cell r="F3794" t="str">
            <v>0019</v>
          </cell>
          <cell r="G3794">
            <v>5</v>
          </cell>
          <cell r="H3794">
            <v>15.740000000000002</v>
          </cell>
          <cell r="I3794">
            <v>609.598860156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P3794">
            <v>610</v>
          </cell>
          <cell r="V3794" t="str">
            <v>Available</v>
          </cell>
        </row>
        <row r="3795">
          <cell r="A3795" t="str">
            <v>105300060020</v>
          </cell>
          <cell r="B3795" t="str">
            <v>Kalyanpur</v>
          </cell>
          <cell r="C3795" t="str">
            <v>Kalyanpur</v>
          </cell>
          <cell r="D3795" t="str">
            <v>GOMUKH BARGAMA</v>
          </cell>
          <cell r="E3795">
            <v>10530006</v>
          </cell>
          <cell r="F3795" t="str">
            <v>0020</v>
          </cell>
          <cell r="G3795">
            <v>8</v>
          </cell>
          <cell r="H3795">
            <v>35.75</v>
          </cell>
          <cell r="I3795">
            <v>1220.4739658826002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P3795">
            <v>1220</v>
          </cell>
          <cell r="V3795" t="str">
            <v>Available</v>
          </cell>
        </row>
        <row r="3796">
          <cell r="A3796" t="str">
            <v>105300060029</v>
          </cell>
          <cell r="B3796" t="str">
            <v>Kalyanpur</v>
          </cell>
          <cell r="C3796" t="str">
            <v>Kalyanpur</v>
          </cell>
          <cell r="D3796" t="str">
            <v>GOMUKH BARGAMA</v>
          </cell>
          <cell r="E3796">
            <v>10530006</v>
          </cell>
          <cell r="F3796" t="str">
            <v>0029</v>
          </cell>
          <cell r="G3796">
            <v>3</v>
          </cell>
          <cell r="H3796">
            <v>14.5</v>
          </cell>
          <cell r="I3796">
            <v>486.85490057160007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P3796">
            <v>487</v>
          </cell>
          <cell r="V3796" t="str">
            <v>Available</v>
          </cell>
        </row>
        <row r="3797">
          <cell r="A3797" t="str">
            <v>105300060030</v>
          </cell>
          <cell r="B3797" t="str">
            <v>Kalyanpur</v>
          </cell>
          <cell r="C3797" t="str">
            <v>Kalyanpur</v>
          </cell>
          <cell r="D3797" t="str">
            <v>GOMUKH BARGAMA</v>
          </cell>
          <cell r="E3797">
            <v>10530006</v>
          </cell>
          <cell r="F3797" t="str">
            <v>0030</v>
          </cell>
          <cell r="G3797">
            <v>3</v>
          </cell>
          <cell r="H3797">
            <v>4.09</v>
          </cell>
          <cell r="I3797">
            <v>189.80064669369403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P3797">
            <v>190</v>
          </cell>
          <cell r="V3797" t="str">
            <v>Available</v>
          </cell>
        </row>
        <row r="3798">
          <cell r="A3798" t="str">
            <v>105300060032</v>
          </cell>
          <cell r="B3798" t="str">
            <v>Kalyanpur</v>
          </cell>
          <cell r="C3798" t="str">
            <v>Kalyanpur</v>
          </cell>
          <cell r="D3798" t="str">
            <v>GOMUKH BARGAMA</v>
          </cell>
          <cell r="E3798">
            <v>10530006</v>
          </cell>
          <cell r="F3798" t="str">
            <v>0032</v>
          </cell>
          <cell r="G3798">
            <v>5</v>
          </cell>
          <cell r="H3798">
            <v>12.96</v>
          </cell>
          <cell r="I3798">
            <v>555.49682020800014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P3798">
            <v>555</v>
          </cell>
          <cell r="V3798" t="str">
            <v>Available</v>
          </cell>
        </row>
        <row r="3799">
          <cell r="A3799" t="str">
            <v>105300060038</v>
          </cell>
          <cell r="B3799" t="str">
            <v>Kalyanpur</v>
          </cell>
          <cell r="C3799" t="str">
            <v>Kalyanpur</v>
          </cell>
          <cell r="D3799" t="str">
            <v>GOMUKH BARGAMA</v>
          </cell>
          <cell r="E3799">
            <v>10530006</v>
          </cell>
          <cell r="F3799" t="str">
            <v>0038</v>
          </cell>
          <cell r="G3799">
            <v>6</v>
          </cell>
          <cell r="H3799">
            <v>11.809999999999999</v>
          </cell>
          <cell r="I3799">
            <v>548.74327209329999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P3799">
            <v>549</v>
          </cell>
          <cell r="V3799" t="str">
            <v>Available</v>
          </cell>
        </row>
        <row r="3800">
          <cell r="A3800" t="str">
            <v>105300060039</v>
          </cell>
          <cell r="B3800" t="str">
            <v>Kalyanpur</v>
          </cell>
          <cell r="C3800" t="str">
            <v>Kalyanpur</v>
          </cell>
          <cell r="D3800" t="str">
            <v>GOMUKH BARGAMA</v>
          </cell>
          <cell r="E3800">
            <v>10530006</v>
          </cell>
          <cell r="F3800" t="str">
            <v>0039</v>
          </cell>
          <cell r="G3800">
            <v>2</v>
          </cell>
          <cell r="H3800">
            <v>3.91</v>
          </cell>
          <cell r="I3800">
            <v>147.49545596940001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P3800">
            <v>147</v>
          </cell>
          <cell r="V3800" t="str">
            <v>Available</v>
          </cell>
        </row>
        <row r="3801">
          <cell r="A3801" t="str">
            <v>105300060040</v>
          </cell>
          <cell r="B3801" t="str">
            <v>Kalyanpur</v>
          </cell>
          <cell r="C3801" t="str">
            <v>Kalyanpur</v>
          </cell>
          <cell r="D3801" t="str">
            <v>GOMUKH BARGAMA</v>
          </cell>
          <cell r="E3801">
            <v>10530006</v>
          </cell>
          <cell r="F3801" t="str">
            <v>0040</v>
          </cell>
          <cell r="G3801">
            <v>14</v>
          </cell>
          <cell r="H3801">
            <v>34.75</v>
          </cell>
          <cell r="I3801">
            <v>1224.028348884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P3801">
            <v>1224</v>
          </cell>
          <cell r="V3801" t="str">
            <v>Available</v>
          </cell>
        </row>
        <row r="3802">
          <cell r="A3802" t="str">
            <v>105300060042</v>
          </cell>
          <cell r="B3802" t="str">
            <v>Kalyanpur</v>
          </cell>
          <cell r="C3802" t="str">
            <v>Kalyanpur</v>
          </cell>
          <cell r="D3802" t="str">
            <v>GOMUKH BARGAMA</v>
          </cell>
          <cell r="E3802">
            <v>10530006</v>
          </cell>
          <cell r="F3802" t="str">
            <v>0042</v>
          </cell>
          <cell r="G3802">
            <v>6</v>
          </cell>
          <cell r="H3802">
            <v>25.73</v>
          </cell>
          <cell r="I3802">
            <v>839.5360890840002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P3802">
            <v>840</v>
          </cell>
          <cell r="V3802" t="str">
            <v>Available</v>
          </cell>
        </row>
        <row r="3803">
          <cell r="A3803" t="str">
            <v>105300060045</v>
          </cell>
          <cell r="B3803" t="str">
            <v>Kalyanpur</v>
          </cell>
          <cell r="C3803" t="str">
            <v>Kalyanpur</v>
          </cell>
          <cell r="D3803" t="str">
            <v>GOMUKH BARGAMA</v>
          </cell>
          <cell r="E3803">
            <v>10530006</v>
          </cell>
          <cell r="F3803" t="str">
            <v>0045</v>
          </cell>
          <cell r="G3803">
            <v>7</v>
          </cell>
          <cell r="H3803">
            <v>21.48</v>
          </cell>
          <cell r="I3803">
            <v>777.34929294000005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P3803">
            <v>777</v>
          </cell>
          <cell r="V3803" t="str">
            <v>Available</v>
          </cell>
        </row>
        <row r="3804">
          <cell r="A3804" t="str">
            <v>105300060048</v>
          </cell>
          <cell r="B3804" t="str">
            <v>Kalyanpur</v>
          </cell>
          <cell r="C3804" t="str">
            <v>Kalyanpur</v>
          </cell>
          <cell r="D3804" t="str">
            <v>GOMUKH BARGAMA</v>
          </cell>
          <cell r="E3804">
            <v>10530006</v>
          </cell>
          <cell r="F3804" t="str">
            <v>0048</v>
          </cell>
          <cell r="G3804">
            <v>4</v>
          </cell>
          <cell r="H3804">
            <v>4.17</v>
          </cell>
          <cell r="I3804">
            <v>294.93033864968004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P3804">
            <v>295</v>
          </cell>
          <cell r="V3804" t="str">
            <v>Available</v>
          </cell>
        </row>
        <row r="3805">
          <cell r="A3805" t="str">
            <v>105300060049</v>
          </cell>
          <cell r="B3805" t="str">
            <v>Kalyanpur</v>
          </cell>
          <cell r="C3805" t="str">
            <v>Kalyanpur</v>
          </cell>
          <cell r="D3805" t="str">
            <v>GOMUKH BARGAMA</v>
          </cell>
          <cell r="E3805">
            <v>10530006</v>
          </cell>
          <cell r="F3805" t="str">
            <v>0049</v>
          </cell>
          <cell r="G3805">
            <v>6</v>
          </cell>
          <cell r="H3805">
            <v>9.5299999999999994</v>
          </cell>
          <cell r="I3805">
            <v>406.07437266000005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P3805">
            <v>406</v>
          </cell>
          <cell r="V3805" t="str">
            <v>Available</v>
          </cell>
        </row>
        <row r="3806">
          <cell r="A3806" t="str">
            <v>105300060051</v>
          </cell>
          <cell r="B3806" t="str">
            <v>Kalyanpur</v>
          </cell>
          <cell r="C3806" t="str">
            <v>Kalyanpur</v>
          </cell>
          <cell r="D3806" t="str">
            <v>GOMUKH BARGAMA</v>
          </cell>
          <cell r="E3806">
            <v>10530006</v>
          </cell>
          <cell r="F3806" t="str">
            <v>0051</v>
          </cell>
          <cell r="G3806">
            <v>13</v>
          </cell>
          <cell r="H3806">
            <v>34.270000000000003</v>
          </cell>
          <cell r="I3806">
            <v>1080.0613703880001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P3806">
            <v>1080</v>
          </cell>
          <cell r="V3806" t="str">
            <v>Available</v>
          </cell>
        </row>
        <row r="3807">
          <cell r="A3807" t="str">
            <v>105300060056</v>
          </cell>
          <cell r="B3807" t="str">
            <v>Kalyanpur</v>
          </cell>
          <cell r="C3807" t="str">
            <v>Kalyanpur</v>
          </cell>
          <cell r="D3807" t="str">
            <v>GOMUKH BARGAMA</v>
          </cell>
          <cell r="E3807">
            <v>10530006</v>
          </cell>
          <cell r="F3807" t="str">
            <v>0056</v>
          </cell>
          <cell r="G3807">
            <v>4</v>
          </cell>
          <cell r="H3807">
            <v>16.439999999999998</v>
          </cell>
          <cell r="I3807">
            <v>593.49660282000013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P3807">
            <v>593</v>
          </cell>
          <cell r="V3807" t="str">
            <v>Available</v>
          </cell>
        </row>
        <row r="3808">
          <cell r="A3808" t="str">
            <v>105300060058</v>
          </cell>
          <cell r="B3808" t="str">
            <v>Kalyanpur</v>
          </cell>
          <cell r="C3808" t="str">
            <v>Kalyanpur</v>
          </cell>
          <cell r="D3808" t="str">
            <v>GOMUKH BARGAMA</v>
          </cell>
          <cell r="E3808">
            <v>10530006</v>
          </cell>
          <cell r="F3808" t="str">
            <v>0058</v>
          </cell>
          <cell r="G3808">
            <v>8</v>
          </cell>
          <cell r="H3808">
            <v>16.690000000000001</v>
          </cell>
          <cell r="I3808">
            <v>571.10098676400003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P3808">
            <v>571</v>
          </cell>
          <cell r="V3808" t="str">
            <v>Available</v>
          </cell>
        </row>
        <row r="3809">
          <cell r="A3809" t="str">
            <v>105300060060</v>
          </cell>
          <cell r="B3809" t="str">
            <v>Kalyanpur</v>
          </cell>
          <cell r="C3809" t="str">
            <v>Kalyanpur</v>
          </cell>
          <cell r="D3809" t="str">
            <v>GOMUKH BARGAMA</v>
          </cell>
          <cell r="E3809">
            <v>10530006</v>
          </cell>
          <cell r="F3809" t="str">
            <v>0060</v>
          </cell>
          <cell r="G3809">
            <v>12</v>
          </cell>
          <cell r="H3809">
            <v>61.48</v>
          </cell>
          <cell r="I3809">
            <v>2301.8608169964004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P3809">
            <v>2302</v>
          </cell>
          <cell r="V3809" t="str">
            <v>Available</v>
          </cell>
        </row>
        <row r="3810">
          <cell r="A3810" t="str">
            <v>105300060062</v>
          </cell>
          <cell r="B3810" t="str">
            <v>Kalyanpur</v>
          </cell>
          <cell r="C3810" t="str">
            <v>Kalyanpur</v>
          </cell>
          <cell r="D3810" t="str">
            <v>GOMUKH BARGAMA</v>
          </cell>
          <cell r="E3810">
            <v>10530006</v>
          </cell>
          <cell r="F3810" t="str">
            <v>0062</v>
          </cell>
          <cell r="G3810">
            <v>2</v>
          </cell>
          <cell r="H3810">
            <v>2.33</v>
          </cell>
          <cell r="I3810">
            <v>95.198374259999994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P3810">
            <v>95</v>
          </cell>
          <cell r="V3810" t="str">
            <v>Available</v>
          </cell>
        </row>
        <row r="3811">
          <cell r="A3811" t="str">
            <v>105300060063</v>
          </cell>
          <cell r="B3811" t="str">
            <v>Kalyanpur</v>
          </cell>
          <cell r="C3811" t="str">
            <v>Kalyanpur</v>
          </cell>
          <cell r="D3811" t="str">
            <v>GOMUKH BARGAMA</v>
          </cell>
          <cell r="E3811">
            <v>10530006</v>
          </cell>
          <cell r="F3811" t="str">
            <v>0063</v>
          </cell>
          <cell r="G3811">
            <v>3</v>
          </cell>
          <cell r="H3811">
            <v>6.7200000000000006</v>
          </cell>
          <cell r="I3811">
            <v>219.51255286620005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P3811">
            <v>220</v>
          </cell>
          <cell r="V3811" t="str">
            <v>Available</v>
          </cell>
        </row>
        <row r="3812">
          <cell r="A3812" t="str">
            <v>105300060066</v>
          </cell>
          <cell r="B3812" t="str">
            <v>Kalyanpur</v>
          </cell>
          <cell r="C3812" t="str">
            <v>Kalyanpur</v>
          </cell>
          <cell r="D3812" t="str">
            <v>GOMUKH BARGAMA</v>
          </cell>
          <cell r="E3812">
            <v>10530006</v>
          </cell>
          <cell r="F3812" t="str">
            <v>0066</v>
          </cell>
          <cell r="G3812">
            <v>5</v>
          </cell>
          <cell r="H3812">
            <v>12.74</v>
          </cell>
          <cell r="I3812">
            <v>540.97407817200008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P3812">
            <v>541</v>
          </cell>
          <cell r="V3812" t="str">
            <v>Available</v>
          </cell>
        </row>
        <row r="3813">
          <cell r="A3813" t="str">
            <v>105300060069</v>
          </cell>
          <cell r="B3813" t="str">
            <v>Kalyanpur</v>
          </cell>
          <cell r="C3813" t="str">
            <v>Kalyanpur</v>
          </cell>
          <cell r="D3813" t="str">
            <v>GOMUKH BARGAMA</v>
          </cell>
          <cell r="E3813">
            <v>10530006</v>
          </cell>
          <cell r="F3813" t="str">
            <v>0069</v>
          </cell>
          <cell r="G3813">
            <v>8</v>
          </cell>
          <cell r="H3813">
            <v>15.950000000000001</v>
          </cell>
          <cell r="I3813">
            <v>991.94028683424006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P3813">
            <v>992</v>
          </cell>
          <cell r="V3813" t="str">
            <v>Available</v>
          </cell>
        </row>
        <row r="3814">
          <cell r="A3814" t="str">
            <v>105300060072</v>
          </cell>
          <cell r="B3814" t="str">
            <v>Kalyanpur</v>
          </cell>
          <cell r="C3814" t="str">
            <v>Kalyanpur</v>
          </cell>
          <cell r="D3814" t="str">
            <v>GOMUKH BARGAMA</v>
          </cell>
          <cell r="E3814">
            <v>10530006</v>
          </cell>
          <cell r="F3814" t="str">
            <v>0072</v>
          </cell>
          <cell r="G3814">
            <v>7</v>
          </cell>
          <cell r="H3814">
            <v>8.82</v>
          </cell>
          <cell r="I3814">
            <v>436.39476623304006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P3814">
            <v>436</v>
          </cell>
          <cell r="V3814" t="str">
            <v>Available</v>
          </cell>
        </row>
        <row r="3815">
          <cell r="A3815" t="str">
            <v>105300060073</v>
          </cell>
          <cell r="B3815" t="str">
            <v>Kalyanpur</v>
          </cell>
          <cell r="C3815" t="str">
            <v>Kalyanpur</v>
          </cell>
          <cell r="D3815" t="str">
            <v>GOMUKH BARGAMA</v>
          </cell>
          <cell r="E3815">
            <v>10530006</v>
          </cell>
          <cell r="F3815" t="str">
            <v>0073</v>
          </cell>
          <cell r="G3815">
            <v>5</v>
          </cell>
          <cell r="H3815">
            <v>6.76</v>
          </cell>
          <cell r="I3815">
            <v>463.03813226730006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P3815">
            <v>463</v>
          </cell>
          <cell r="V3815" t="str">
            <v>Available</v>
          </cell>
        </row>
        <row r="3816">
          <cell r="A3816" t="str">
            <v>105300060075</v>
          </cell>
          <cell r="B3816" t="str">
            <v>Kalyanpur</v>
          </cell>
          <cell r="C3816" t="str">
            <v>Kalyanpur</v>
          </cell>
          <cell r="D3816" t="str">
            <v>GOMUKH BARGAMA</v>
          </cell>
          <cell r="E3816">
            <v>10530006</v>
          </cell>
          <cell r="F3816" t="str">
            <v>0075</v>
          </cell>
          <cell r="G3816">
            <v>5</v>
          </cell>
          <cell r="H3816">
            <v>8.0299999999999994</v>
          </cell>
          <cell r="I3816">
            <v>320.22621140400008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P3816">
            <v>320</v>
          </cell>
          <cell r="V3816" t="str">
            <v>Available</v>
          </cell>
        </row>
        <row r="3817">
          <cell r="A3817" t="str">
            <v>105300060092</v>
          </cell>
          <cell r="B3817" t="str">
            <v>Kalyanpur</v>
          </cell>
          <cell r="C3817" t="str">
            <v>Kalyanpur</v>
          </cell>
          <cell r="D3817" t="str">
            <v>GOMUKH BARGAMA</v>
          </cell>
          <cell r="E3817">
            <v>10530006</v>
          </cell>
          <cell r="F3817" t="str">
            <v>0092</v>
          </cell>
          <cell r="G3817">
            <v>7</v>
          </cell>
          <cell r="H3817">
            <v>19.89</v>
          </cell>
          <cell r="I3817">
            <v>1182.2032502636998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P3817">
            <v>1182</v>
          </cell>
          <cell r="V3817" t="str">
            <v>Available</v>
          </cell>
        </row>
        <row r="3818">
          <cell r="A3818" t="str">
            <v>105300060097</v>
          </cell>
          <cell r="B3818" t="str">
            <v>Kalyanpur</v>
          </cell>
          <cell r="C3818" t="str">
            <v>Kalyanpur</v>
          </cell>
          <cell r="D3818" t="str">
            <v>GOMUKH BARGAMA</v>
          </cell>
          <cell r="E3818">
            <v>10530006</v>
          </cell>
          <cell r="F3818" t="str">
            <v>0097</v>
          </cell>
          <cell r="G3818">
            <v>1</v>
          </cell>
          <cell r="H3818">
            <v>0.95</v>
          </cell>
          <cell r="I3818">
            <v>35.488902240000002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P3818">
            <v>35</v>
          </cell>
          <cell r="V3818" t="str">
            <v>Available</v>
          </cell>
        </row>
        <row r="3819">
          <cell r="A3819" t="str">
            <v>105300060100</v>
          </cell>
          <cell r="B3819" t="str">
            <v>Kalyanpur</v>
          </cell>
          <cell r="C3819" t="str">
            <v>Kalyanpur</v>
          </cell>
          <cell r="D3819" t="str">
            <v>GOMUKH BARGAMA</v>
          </cell>
          <cell r="E3819">
            <v>10530006</v>
          </cell>
          <cell r="F3819" t="str">
            <v>0100</v>
          </cell>
          <cell r="G3819">
            <v>3</v>
          </cell>
          <cell r="H3819">
            <v>4.3500000000000005</v>
          </cell>
          <cell r="I3819">
            <v>196.59237023580002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P3819">
            <v>197</v>
          </cell>
          <cell r="V3819" t="str">
            <v>Available</v>
          </cell>
        </row>
        <row r="3820">
          <cell r="A3820" t="str">
            <v>105300060101</v>
          </cell>
          <cell r="B3820" t="str">
            <v>Kalyanpur</v>
          </cell>
          <cell r="C3820" t="str">
            <v>Kalyanpur</v>
          </cell>
          <cell r="D3820" t="str">
            <v>GOMUKH BARGAMA</v>
          </cell>
          <cell r="E3820">
            <v>10530006</v>
          </cell>
          <cell r="F3820" t="str">
            <v>0101</v>
          </cell>
          <cell r="G3820">
            <v>6</v>
          </cell>
          <cell r="H3820">
            <v>13.399999999999999</v>
          </cell>
          <cell r="I3820">
            <v>841.49301590827008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P3820">
            <v>841</v>
          </cell>
          <cell r="V3820" t="str">
            <v>Available</v>
          </cell>
        </row>
        <row r="3821">
          <cell r="A3821" t="str">
            <v>105300060106</v>
          </cell>
          <cell r="B3821" t="str">
            <v>Kalyanpur</v>
          </cell>
          <cell r="C3821" t="str">
            <v>Kalyanpur</v>
          </cell>
          <cell r="D3821" t="str">
            <v>GOMUKH BARGAMA</v>
          </cell>
          <cell r="E3821">
            <v>10530006</v>
          </cell>
          <cell r="F3821" t="str">
            <v>0106</v>
          </cell>
          <cell r="G3821">
            <v>7</v>
          </cell>
          <cell r="H3821">
            <v>20.7</v>
          </cell>
          <cell r="I3821">
            <v>791.39097694800012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P3821">
            <v>791</v>
          </cell>
          <cell r="V3821" t="str">
            <v>Available</v>
          </cell>
        </row>
        <row r="3822">
          <cell r="A3822" t="str">
            <v>105300060110</v>
          </cell>
          <cell r="B3822" t="str">
            <v>Kalyanpur</v>
          </cell>
          <cell r="C3822" t="str">
            <v>Kalyanpur</v>
          </cell>
          <cell r="D3822" t="str">
            <v>GOMUKH BARGAMA</v>
          </cell>
          <cell r="E3822">
            <v>10530006</v>
          </cell>
          <cell r="F3822" t="str">
            <v>0110</v>
          </cell>
          <cell r="G3822">
            <v>3</v>
          </cell>
          <cell r="H3822">
            <v>6.76</v>
          </cell>
          <cell r="I3822">
            <v>331.45052012814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P3822">
            <v>331</v>
          </cell>
          <cell r="V3822" t="str">
            <v>Available</v>
          </cell>
        </row>
        <row r="3823">
          <cell r="A3823" t="str">
            <v>105300060121</v>
          </cell>
          <cell r="B3823" t="str">
            <v>Kalyanpur</v>
          </cell>
          <cell r="C3823" t="str">
            <v>Kalyanpur</v>
          </cell>
          <cell r="D3823" t="str">
            <v>GOMUKH BARGAMA</v>
          </cell>
          <cell r="E3823">
            <v>10530006</v>
          </cell>
          <cell r="F3823" t="str">
            <v>0121</v>
          </cell>
          <cell r="G3823">
            <v>4</v>
          </cell>
          <cell r="H3823">
            <v>12.75</v>
          </cell>
          <cell r="I3823">
            <v>486.62549258400009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P3823">
            <v>487</v>
          </cell>
          <cell r="V3823" t="str">
            <v>Available</v>
          </cell>
        </row>
        <row r="3824">
          <cell r="A3824" t="str">
            <v>105300060122</v>
          </cell>
          <cell r="B3824" t="str">
            <v>Kalyanpur</v>
          </cell>
          <cell r="C3824" t="str">
            <v>Kalyanpur</v>
          </cell>
          <cell r="D3824" t="str">
            <v>GOMUKH BARGAMA</v>
          </cell>
          <cell r="E3824">
            <v>10530006</v>
          </cell>
          <cell r="F3824" t="str">
            <v>0122</v>
          </cell>
          <cell r="G3824">
            <v>7</v>
          </cell>
          <cell r="H3824">
            <v>20.86</v>
          </cell>
          <cell r="I3824">
            <v>745.5958564824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P3824">
            <v>746</v>
          </cell>
          <cell r="V3824" t="str">
            <v>Available</v>
          </cell>
        </row>
        <row r="3825">
          <cell r="A3825" t="str">
            <v>105300060123</v>
          </cell>
          <cell r="B3825" t="str">
            <v>Kalyanpur</v>
          </cell>
          <cell r="C3825" t="str">
            <v>Kalyanpur</v>
          </cell>
          <cell r="D3825" t="str">
            <v>GOMUKH BARGAMA</v>
          </cell>
          <cell r="E3825">
            <v>10530006</v>
          </cell>
          <cell r="F3825" t="str">
            <v>0123</v>
          </cell>
          <cell r="G3825">
            <v>3</v>
          </cell>
          <cell r="H3825">
            <v>4.91</v>
          </cell>
          <cell r="I3825">
            <v>322.701183523336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P3825">
            <v>323</v>
          </cell>
          <cell r="V3825" t="str">
            <v>Available</v>
          </cell>
        </row>
        <row r="3826">
          <cell r="A3826" t="str">
            <v>105300060124</v>
          </cell>
          <cell r="B3826" t="str">
            <v>Kalyanpur</v>
          </cell>
          <cell r="C3826" t="str">
            <v>Kalyanpur</v>
          </cell>
          <cell r="D3826" t="str">
            <v>GOMUKH BARGAMA</v>
          </cell>
          <cell r="E3826">
            <v>10530006</v>
          </cell>
          <cell r="F3826" t="str">
            <v>0124</v>
          </cell>
          <cell r="G3826">
            <v>6</v>
          </cell>
          <cell r="H3826">
            <v>35.119999999999997</v>
          </cell>
          <cell r="I3826">
            <v>1373.0499523929202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P3826">
            <v>1373</v>
          </cell>
          <cell r="V3826" t="str">
            <v>Available</v>
          </cell>
        </row>
        <row r="3827">
          <cell r="A3827" t="str">
            <v>105300060125</v>
          </cell>
          <cell r="B3827" t="str">
            <v>Kalyanpur</v>
          </cell>
          <cell r="C3827" t="str">
            <v>Kalyanpur</v>
          </cell>
          <cell r="D3827" t="str">
            <v>GOMUKH BARGAMA</v>
          </cell>
          <cell r="E3827">
            <v>10530006</v>
          </cell>
          <cell r="F3827" t="str">
            <v>0125</v>
          </cell>
          <cell r="G3827">
            <v>3</v>
          </cell>
          <cell r="H3827">
            <v>5.98</v>
          </cell>
          <cell r="I3827">
            <v>169.63182181440004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P3827">
            <v>170</v>
          </cell>
          <cell r="V3827" t="str">
            <v>Available</v>
          </cell>
        </row>
        <row r="3828">
          <cell r="A3828" t="str">
            <v>105300060129</v>
          </cell>
          <cell r="B3828" t="str">
            <v>Kalyanpur</v>
          </cell>
          <cell r="C3828" t="str">
            <v>Kalyanpur</v>
          </cell>
          <cell r="D3828" t="str">
            <v>GOMUKH BARGAMA</v>
          </cell>
          <cell r="E3828">
            <v>10530006</v>
          </cell>
          <cell r="F3828" t="str">
            <v>0129</v>
          </cell>
          <cell r="G3828">
            <v>11</v>
          </cell>
          <cell r="H3828">
            <v>23.8</v>
          </cell>
          <cell r="I3828">
            <v>848.2345759008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P3828">
            <v>848</v>
          </cell>
          <cell r="V3828" t="str">
            <v>Available</v>
          </cell>
        </row>
        <row r="3829">
          <cell r="A3829" t="str">
            <v>105300060132</v>
          </cell>
          <cell r="B3829" t="str">
            <v>Kalyanpur</v>
          </cell>
          <cell r="C3829" t="str">
            <v>Kalyanpur</v>
          </cell>
          <cell r="D3829" t="str">
            <v>GOMUKH BARGAMA</v>
          </cell>
          <cell r="E3829">
            <v>10530006</v>
          </cell>
          <cell r="F3829" t="str">
            <v>0132</v>
          </cell>
          <cell r="G3829">
            <v>6</v>
          </cell>
          <cell r="H3829">
            <v>14.100000000000001</v>
          </cell>
          <cell r="I3829">
            <v>519.00497154000004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P3829">
            <v>519</v>
          </cell>
          <cell r="V3829" t="str">
            <v>Available</v>
          </cell>
        </row>
        <row r="3830">
          <cell r="A3830" t="str">
            <v>105300060133</v>
          </cell>
          <cell r="B3830" t="str">
            <v>Kalyanpur</v>
          </cell>
          <cell r="C3830" t="str">
            <v>Kalyanpur</v>
          </cell>
          <cell r="D3830" t="str">
            <v>GOMUKH BARGAMA</v>
          </cell>
          <cell r="E3830">
            <v>10530006</v>
          </cell>
          <cell r="F3830" t="str">
            <v>0133</v>
          </cell>
          <cell r="G3830">
            <v>14</v>
          </cell>
          <cell r="H3830">
            <v>48.800000000000004</v>
          </cell>
          <cell r="I3830">
            <v>1812.8441602457999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P3830">
            <v>1813</v>
          </cell>
          <cell r="V3830" t="str">
            <v>Available</v>
          </cell>
        </row>
        <row r="3831">
          <cell r="A3831" t="str">
            <v>105300060136</v>
          </cell>
          <cell r="B3831" t="str">
            <v>Kalyanpur</v>
          </cell>
          <cell r="C3831" t="str">
            <v>Kalyanpur</v>
          </cell>
          <cell r="D3831" t="str">
            <v>GOMUKH BARGAMA</v>
          </cell>
          <cell r="E3831">
            <v>10530006</v>
          </cell>
          <cell r="F3831" t="str">
            <v>0136</v>
          </cell>
          <cell r="G3831">
            <v>14</v>
          </cell>
          <cell r="H3831">
            <v>39.33</v>
          </cell>
          <cell r="I3831">
            <v>1462.6863562014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P3831">
            <v>1463</v>
          </cell>
          <cell r="V3831" t="str">
            <v>Available</v>
          </cell>
        </row>
        <row r="3832">
          <cell r="A3832" t="str">
            <v>105300060138</v>
          </cell>
          <cell r="B3832" t="str">
            <v>Kalyanpur</v>
          </cell>
          <cell r="C3832" t="str">
            <v>Kalyanpur</v>
          </cell>
          <cell r="D3832" t="str">
            <v>GOMUKH BARGAMA</v>
          </cell>
          <cell r="E3832">
            <v>10530006</v>
          </cell>
          <cell r="F3832" t="str">
            <v>0138</v>
          </cell>
          <cell r="G3832">
            <v>7</v>
          </cell>
          <cell r="H3832">
            <v>10.170000000000002</v>
          </cell>
          <cell r="I3832">
            <v>481.49529132485009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P3832">
            <v>481</v>
          </cell>
          <cell r="V3832" t="str">
            <v>Available</v>
          </cell>
        </row>
        <row r="3833">
          <cell r="A3833" t="str">
            <v>105300060141</v>
          </cell>
          <cell r="B3833" t="str">
            <v>Kalyanpur</v>
          </cell>
          <cell r="C3833" t="str">
            <v>Kalyanpur</v>
          </cell>
          <cell r="D3833" t="str">
            <v>GOMUKH BARGAMA</v>
          </cell>
          <cell r="E3833">
            <v>10530006</v>
          </cell>
          <cell r="F3833" t="str">
            <v>0141</v>
          </cell>
          <cell r="G3833">
            <v>6</v>
          </cell>
          <cell r="H3833">
            <v>23.060000000000002</v>
          </cell>
          <cell r="I3833">
            <v>872.48077686000022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P3833">
            <v>872</v>
          </cell>
          <cell r="V3833" t="str">
            <v>Available</v>
          </cell>
        </row>
        <row r="3834">
          <cell r="A3834" t="str">
            <v>105300060142</v>
          </cell>
          <cell r="B3834" t="str">
            <v>Kalyanpur</v>
          </cell>
          <cell r="C3834" t="str">
            <v>Kalyanpur</v>
          </cell>
          <cell r="D3834" t="str">
            <v>GOMUKH BARGAMA</v>
          </cell>
          <cell r="E3834">
            <v>10530006</v>
          </cell>
          <cell r="F3834" t="str">
            <v>0142</v>
          </cell>
          <cell r="G3834">
            <v>14</v>
          </cell>
          <cell r="H3834">
            <v>39.869999999999997</v>
          </cell>
          <cell r="I3834">
            <v>1368.56997684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P3834">
            <v>1369</v>
          </cell>
          <cell r="V3834" t="str">
            <v>Available</v>
          </cell>
        </row>
        <row r="3835">
          <cell r="A3835" t="str">
            <v>105300060143</v>
          </cell>
          <cell r="B3835" t="str">
            <v>Kalyanpur</v>
          </cell>
          <cell r="C3835" t="str">
            <v>Kalyanpur</v>
          </cell>
          <cell r="D3835" t="str">
            <v>GOMUKH BARGAMA</v>
          </cell>
          <cell r="E3835">
            <v>10530006</v>
          </cell>
          <cell r="F3835" t="str">
            <v>0143</v>
          </cell>
          <cell r="G3835">
            <v>14</v>
          </cell>
          <cell r="H3835">
            <v>47.61</v>
          </cell>
          <cell r="I3835">
            <v>1842.0245232839998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P3835">
            <v>1842</v>
          </cell>
          <cell r="V3835" t="str">
            <v>Available</v>
          </cell>
        </row>
        <row r="3836">
          <cell r="A3836" t="str">
            <v>105300060144</v>
          </cell>
          <cell r="B3836" t="str">
            <v>Kalyanpur</v>
          </cell>
          <cell r="C3836" t="str">
            <v>Kalyanpur</v>
          </cell>
          <cell r="D3836" t="str">
            <v>GOMUKH BARGAMA</v>
          </cell>
          <cell r="E3836">
            <v>10530006</v>
          </cell>
          <cell r="F3836" t="str">
            <v>0144</v>
          </cell>
          <cell r="G3836">
            <v>6</v>
          </cell>
          <cell r="H3836">
            <v>24.810000000000002</v>
          </cell>
          <cell r="I3836">
            <v>738.7558934778001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P3836">
            <v>739</v>
          </cell>
          <cell r="V3836" t="str">
            <v>Available</v>
          </cell>
        </row>
        <row r="3837">
          <cell r="A3837" t="str">
            <v>105300060146</v>
          </cell>
          <cell r="B3837" t="str">
            <v>Kalyanpur</v>
          </cell>
          <cell r="C3837" t="str">
            <v>Kalyanpur</v>
          </cell>
          <cell r="D3837" t="str">
            <v>GOMUKH BARGAMA</v>
          </cell>
          <cell r="E3837">
            <v>10530006</v>
          </cell>
          <cell r="F3837" t="str">
            <v>0146</v>
          </cell>
          <cell r="G3837">
            <v>6</v>
          </cell>
          <cell r="H3837">
            <v>12.41</v>
          </cell>
          <cell r="I3837">
            <v>441.99071413200005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P3837">
            <v>442</v>
          </cell>
          <cell r="V3837" t="str">
            <v>Available</v>
          </cell>
        </row>
        <row r="3838">
          <cell r="A3838" t="str">
            <v>105300060148</v>
          </cell>
          <cell r="B3838" t="str">
            <v>Kalyanpur</v>
          </cell>
          <cell r="C3838" t="str">
            <v>Kalyanpur</v>
          </cell>
          <cell r="D3838" t="str">
            <v>GOMUKH BARGAMA</v>
          </cell>
          <cell r="E3838">
            <v>10530006</v>
          </cell>
          <cell r="F3838" t="str">
            <v>0148</v>
          </cell>
          <cell r="G3838">
            <v>14</v>
          </cell>
          <cell r="H3838">
            <v>39.830000000000005</v>
          </cell>
          <cell r="I3838">
            <v>1471.1615326584001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P3838">
            <v>1471</v>
          </cell>
          <cell r="V3838" t="str">
            <v>Available</v>
          </cell>
        </row>
        <row r="3839">
          <cell r="A3839" t="str">
            <v>105300060149</v>
          </cell>
          <cell r="B3839" t="str">
            <v>Kalyanpur</v>
          </cell>
          <cell r="C3839" t="str">
            <v>Kalyanpur</v>
          </cell>
          <cell r="D3839" t="str">
            <v>GOMUKH BARGAMA</v>
          </cell>
          <cell r="E3839">
            <v>10530006</v>
          </cell>
          <cell r="F3839" t="str">
            <v>0149</v>
          </cell>
          <cell r="G3839">
            <v>8</v>
          </cell>
          <cell r="H3839">
            <v>13.8</v>
          </cell>
          <cell r="I3839">
            <v>559.78353206740792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P3839">
            <v>560</v>
          </cell>
          <cell r="V3839" t="str">
            <v>Available</v>
          </cell>
        </row>
        <row r="3840">
          <cell r="A3840" t="str">
            <v>105300060150</v>
          </cell>
          <cell r="B3840" t="str">
            <v>Kalyanpur</v>
          </cell>
          <cell r="C3840" t="str">
            <v>Kalyanpur</v>
          </cell>
          <cell r="D3840" t="str">
            <v>GOMUKH BARGAMA</v>
          </cell>
          <cell r="E3840">
            <v>10530006</v>
          </cell>
          <cell r="F3840" t="str">
            <v>0150</v>
          </cell>
          <cell r="G3840">
            <v>7</v>
          </cell>
          <cell r="H3840">
            <v>34.14</v>
          </cell>
          <cell r="I3840">
            <v>1113.2434415520001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P3840">
            <v>1113</v>
          </cell>
          <cell r="V3840" t="str">
            <v>Available</v>
          </cell>
        </row>
        <row r="3841">
          <cell r="A3841" t="str">
            <v>105300060151</v>
          </cell>
          <cell r="B3841" t="str">
            <v>Kalyanpur</v>
          </cell>
          <cell r="C3841" t="str">
            <v>Kalyanpur</v>
          </cell>
          <cell r="D3841" t="str">
            <v>GOMUKH BARGAMA</v>
          </cell>
          <cell r="E3841">
            <v>10530006</v>
          </cell>
          <cell r="F3841" t="str">
            <v>0151</v>
          </cell>
          <cell r="G3841">
            <v>5</v>
          </cell>
          <cell r="H3841">
            <v>9.0499999999999989</v>
          </cell>
          <cell r="I3841">
            <v>414.58021337070005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P3841">
            <v>415</v>
          </cell>
          <cell r="V3841" t="str">
            <v>Available</v>
          </cell>
        </row>
        <row r="3842">
          <cell r="A3842" t="str">
            <v>105300060152</v>
          </cell>
          <cell r="B3842" t="str">
            <v>Kalyanpur</v>
          </cell>
          <cell r="C3842" t="str">
            <v>Kalyanpur</v>
          </cell>
          <cell r="D3842" t="str">
            <v>GOMUKH BARGAMA</v>
          </cell>
          <cell r="E3842">
            <v>10530006</v>
          </cell>
          <cell r="F3842" t="str">
            <v>0152</v>
          </cell>
          <cell r="G3842">
            <v>7</v>
          </cell>
          <cell r="H3842">
            <v>19.509999999999998</v>
          </cell>
          <cell r="I3842">
            <v>726.76110220560008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P3842">
            <v>727</v>
          </cell>
          <cell r="V3842" t="str">
            <v>Available</v>
          </cell>
        </row>
        <row r="3843">
          <cell r="A3843" t="str">
            <v>105300060154</v>
          </cell>
          <cell r="B3843" t="str">
            <v>Kalyanpur</v>
          </cell>
          <cell r="C3843" t="str">
            <v>Kalyanpur</v>
          </cell>
          <cell r="D3843" t="str">
            <v>GOMUKH BARGAMA</v>
          </cell>
          <cell r="E3843">
            <v>10530006</v>
          </cell>
          <cell r="F3843" t="str">
            <v>0154</v>
          </cell>
          <cell r="G3843">
            <v>7</v>
          </cell>
          <cell r="H3843">
            <v>8.23</v>
          </cell>
          <cell r="I3843">
            <v>289.47425512500001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P3843">
            <v>289</v>
          </cell>
          <cell r="V3843" t="str">
            <v>Available</v>
          </cell>
        </row>
        <row r="3844">
          <cell r="A3844" t="str">
            <v>105300060155</v>
          </cell>
          <cell r="B3844" t="str">
            <v>Kalyanpur</v>
          </cell>
          <cell r="C3844" t="str">
            <v>Kalyanpur</v>
          </cell>
          <cell r="D3844" t="str">
            <v>GOMUKH BARGAMA</v>
          </cell>
          <cell r="E3844">
            <v>10530006</v>
          </cell>
          <cell r="F3844" t="str">
            <v>0155</v>
          </cell>
          <cell r="G3844">
            <v>6</v>
          </cell>
          <cell r="H3844">
            <v>9.120000000000001</v>
          </cell>
          <cell r="I3844">
            <v>355.442325084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P3844">
            <v>355</v>
          </cell>
          <cell r="V3844" t="str">
            <v>Available</v>
          </cell>
        </row>
        <row r="3845">
          <cell r="A3845" t="str">
            <v>105300060156</v>
          </cell>
          <cell r="B3845" t="str">
            <v>Kalyanpur</v>
          </cell>
          <cell r="C3845" t="str">
            <v>Kalyanpur</v>
          </cell>
          <cell r="D3845" t="str">
            <v>GOMUKH BARGAMA</v>
          </cell>
          <cell r="E3845">
            <v>10530006</v>
          </cell>
          <cell r="F3845" t="str">
            <v>0156</v>
          </cell>
          <cell r="G3845">
            <v>6</v>
          </cell>
          <cell r="H3845">
            <v>23.310000000000002</v>
          </cell>
          <cell r="I3845">
            <v>669.67340602140007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P3845">
            <v>670</v>
          </cell>
          <cell r="V3845" t="str">
            <v>Available</v>
          </cell>
        </row>
        <row r="3846">
          <cell r="A3846" t="str">
            <v>105300060157</v>
          </cell>
          <cell r="B3846" t="str">
            <v>Kalyanpur</v>
          </cell>
          <cell r="C3846" t="str">
            <v>Kalyanpur</v>
          </cell>
          <cell r="D3846" t="str">
            <v>GOMUKH BARGAMA</v>
          </cell>
          <cell r="E3846">
            <v>10530006</v>
          </cell>
          <cell r="F3846" t="str">
            <v>0157</v>
          </cell>
          <cell r="G3846">
            <v>7</v>
          </cell>
          <cell r="H3846">
            <v>32.44</v>
          </cell>
          <cell r="I3846">
            <v>1041.8391483786002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P3846">
            <v>1042</v>
          </cell>
          <cell r="V3846" t="str">
            <v>Available</v>
          </cell>
        </row>
        <row r="3847">
          <cell r="A3847" t="str">
            <v>105300070001</v>
          </cell>
          <cell r="B3847" t="str">
            <v>Kalyanpur</v>
          </cell>
          <cell r="C3847" t="str">
            <v>Kalyanpur</v>
          </cell>
          <cell r="D3847" t="str">
            <v>Gomukh Gograha Tola</v>
          </cell>
          <cell r="E3847">
            <v>10530007</v>
          </cell>
          <cell r="F3847" t="str">
            <v>0001</v>
          </cell>
          <cell r="G3847">
            <v>5</v>
          </cell>
          <cell r="H3847">
            <v>2.14</v>
          </cell>
          <cell r="I3847">
            <v>98.208036445200008</v>
          </cell>
          <cell r="J3847">
            <v>0</v>
          </cell>
          <cell r="K3847">
            <v>98.208036445200008</v>
          </cell>
          <cell r="L3847">
            <v>0</v>
          </cell>
          <cell r="M3847">
            <v>0</v>
          </cell>
          <cell r="P3847">
            <v>0</v>
          </cell>
          <cell r="V3847" t="str">
            <v>Not Available</v>
          </cell>
        </row>
        <row r="3848">
          <cell r="A3848" t="str">
            <v>105300070002</v>
          </cell>
          <cell r="B3848" t="str">
            <v>Kalyanpur</v>
          </cell>
          <cell r="C3848" t="str">
            <v>Kalyanpur</v>
          </cell>
          <cell r="D3848" t="str">
            <v>Gomukh Gograha Tola</v>
          </cell>
          <cell r="E3848">
            <v>10530007</v>
          </cell>
          <cell r="F3848" t="str">
            <v>0002</v>
          </cell>
          <cell r="G3848">
            <v>2</v>
          </cell>
          <cell r="H3848">
            <v>4.68</v>
          </cell>
          <cell r="I3848">
            <v>205.38395487720001</v>
          </cell>
          <cell r="J3848">
            <v>0</v>
          </cell>
          <cell r="K3848">
            <v>0</v>
          </cell>
          <cell r="L3848">
            <v>202</v>
          </cell>
          <cell r="M3848">
            <v>0</v>
          </cell>
          <cell r="P3848">
            <v>3</v>
          </cell>
          <cell r="V3848" t="str">
            <v>Available</v>
          </cell>
        </row>
        <row r="3849">
          <cell r="A3849" t="str">
            <v>105300070004</v>
          </cell>
          <cell r="B3849" t="str">
            <v>Kalyanpur</v>
          </cell>
          <cell r="C3849" t="str">
            <v>Kalyanpur</v>
          </cell>
          <cell r="D3849" t="str">
            <v>Gomukh Gograha Tola</v>
          </cell>
          <cell r="E3849">
            <v>10530007</v>
          </cell>
          <cell r="F3849" t="str">
            <v>0004</v>
          </cell>
          <cell r="G3849">
            <v>13</v>
          </cell>
          <cell r="H3849">
            <v>54.91</v>
          </cell>
          <cell r="I3849">
            <v>2160.4670607960002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P3849">
            <v>2160</v>
          </cell>
          <cell r="V3849" t="str">
            <v>Available</v>
          </cell>
        </row>
        <row r="3850">
          <cell r="A3850" t="str">
            <v>105300070008</v>
          </cell>
          <cell r="B3850" t="str">
            <v>Kalyanpur</v>
          </cell>
          <cell r="C3850" t="str">
            <v>Kalyanpur</v>
          </cell>
          <cell r="D3850" t="str">
            <v>Gomukh Gograha Tola</v>
          </cell>
          <cell r="E3850">
            <v>10530007</v>
          </cell>
          <cell r="F3850" t="str">
            <v>0008</v>
          </cell>
          <cell r="G3850">
            <v>3</v>
          </cell>
          <cell r="H3850">
            <v>4.41</v>
          </cell>
          <cell r="I3850">
            <v>357.33163309889994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P3850">
            <v>357</v>
          </cell>
          <cell r="V3850" t="str">
            <v>Available</v>
          </cell>
        </row>
        <row r="3851">
          <cell r="A3851" t="str">
            <v>105300070009</v>
          </cell>
          <cell r="B3851" t="str">
            <v>Kalyanpur</v>
          </cell>
          <cell r="C3851" t="str">
            <v>Kalyanpur</v>
          </cell>
          <cell r="D3851" t="str">
            <v>Gomukh Gograha Tola</v>
          </cell>
          <cell r="E3851">
            <v>10530007</v>
          </cell>
          <cell r="F3851" t="str">
            <v>0009</v>
          </cell>
          <cell r="G3851">
            <v>12</v>
          </cell>
          <cell r="H3851">
            <v>85.399999999999991</v>
          </cell>
          <cell r="I3851">
            <v>4045.4841668373001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P3851">
            <v>4045</v>
          </cell>
          <cell r="V3851" t="str">
            <v>Available</v>
          </cell>
        </row>
        <row r="3852">
          <cell r="A3852" t="str">
            <v>105300070010</v>
          </cell>
          <cell r="B3852" t="str">
            <v>Kalyanpur</v>
          </cell>
          <cell r="C3852" t="str">
            <v>Kalyanpur</v>
          </cell>
          <cell r="D3852" t="str">
            <v>Gomukh Gograha Tola</v>
          </cell>
          <cell r="E3852">
            <v>10530007</v>
          </cell>
          <cell r="F3852" t="str">
            <v>0010</v>
          </cell>
          <cell r="G3852">
            <v>7</v>
          </cell>
          <cell r="H3852">
            <v>23.020000000000003</v>
          </cell>
          <cell r="I3852">
            <v>845.33739721200004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P3852">
            <v>845</v>
          </cell>
          <cell r="V3852" t="str">
            <v>Available</v>
          </cell>
        </row>
        <row r="3853">
          <cell r="A3853" t="str">
            <v>105300070015</v>
          </cell>
          <cell r="B3853" t="str">
            <v>Kalyanpur</v>
          </cell>
          <cell r="C3853" t="str">
            <v>Kalyanpur</v>
          </cell>
          <cell r="D3853" t="str">
            <v>Gomukh Gograha Tola</v>
          </cell>
          <cell r="E3853">
            <v>10530007</v>
          </cell>
          <cell r="F3853" t="str">
            <v>0015</v>
          </cell>
          <cell r="G3853">
            <v>4</v>
          </cell>
          <cell r="H3853">
            <v>8.4499999999999993</v>
          </cell>
          <cell r="I3853">
            <v>329.66199367200005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P3853">
            <v>330</v>
          </cell>
          <cell r="V3853" t="str">
            <v>Available</v>
          </cell>
        </row>
        <row r="3854">
          <cell r="A3854" t="str">
            <v>105300070020</v>
          </cell>
          <cell r="B3854" t="str">
            <v>Kalyanpur</v>
          </cell>
          <cell r="C3854" t="str">
            <v>Kalyanpur</v>
          </cell>
          <cell r="D3854" t="str">
            <v>Gomukh Gograha Tola</v>
          </cell>
          <cell r="E3854">
            <v>10530007</v>
          </cell>
          <cell r="F3854" t="str">
            <v>0020</v>
          </cell>
          <cell r="G3854">
            <v>10</v>
          </cell>
          <cell r="H3854">
            <v>23.33</v>
          </cell>
          <cell r="I3854">
            <v>899.04003625259986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P3854">
            <v>899</v>
          </cell>
          <cell r="V3854" t="str">
            <v>Available</v>
          </cell>
        </row>
        <row r="3855">
          <cell r="A3855" t="str">
            <v>105300070022</v>
          </cell>
          <cell r="B3855" t="str">
            <v>Kalyanpur</v>
          </cell>
          <cell r="C3855" t="str">
            <v>Kalyanpur</v>
          </cell>
          <cell r="D3855" t="str">
            <v>Gomukh Gograha Tola</v>
          </cell>
          <cell r="E3855">
            <v>10530007</v>
          </cell>
          <cell r="F3855" t="str">
            <v>0022</v>
          </cell>
          <cell r="G3855">
            <v>6</v>
          </cell>
          <cell r="H3855">
            <v>15.81</v>
          </cell>
          <cell r="I3855">
            <v>901.6037951073489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P3855">
            <v>902</v>
          </cell>
          <cell r="V3855" t="str">
            <v>Available</v>
          </cell>
        </row>
        <row r="3856">
          <cell r="A3856" t="str">
            <v>105300070026</v>
          </cell>
          <cell r="B3856" t="str">
            <v>Kalyanpur</v>
          </cell>
          <cell r="C3856" t="str">
            <v>Kalyanpur</v>
          </cell>
          <cell r="D3856" t="str">
            <v>Gomukh Gograha Tola</v>
          </cell>
          <cell r="E3856">
            <v>10530007</v>
          </cell>
          <cell r="F3856" t="str">
            <v>0026</v>
          </cell>
          <cell r="G3856">
            <v>14</v>
          </cell>
          <cell r="H3856">
            <v>55.710000000000008</v>
          </cell>
          <cell r="I3856">
            <v>2517.093472537651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P3856">
            <v>2517</v>
          </cell>
          <cell r="V3856" t="str">
            <v>Available</v>
          </cell>
        </row>
        <row r="3857">
          <cell r="A3857" t="str">
            <v>105300070028</v>
          </cell>
          <cell r="B3857" t="str">
            <v>Kalyanpur</v>
          </cell>
          <cell r="C3857" t="str">
            <v>Kalyanpur</v>
          </cell>
          <cell r="D3857" t="str">
            <v>Gomukh Gograha Tola</v>
          </cell>
          <cell r="E3857">
            <v>10530007</v>
          </cell>
          <cell r="F3857" t="str">
            <v>0028</v>
          </cell>
          <cell r="G3857">
            <v>13</v>
          </cell>
          <cell r="H3857">
            <v>33.909999999999997</v>
          </cell>
          <cell r="I3857">
            <v>1263.777329628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P3857">
            <v>1264</v>
          </cell>
          <cell r="V3857" t="str">
            <v>Available</v>
          </cell>
        </row>
        <row r="3858">
          <cell r="A3858" t="str">
            <v>105300070029</v>
          </cell>
          <cell r="B3858" t="str">
            <v>Kalyanpur</v>
          </cell>
          <cell r="C3858" t="str">
            <v>Kalyanpur</v>
          </cell>
          <cell r="D3858" t="str">
            <v>Gomukh Gograha Tola</v>
          </cell>
          <cell r="E3858">
            <v>10530007</v>
          </cell>
          <cell r="F3858" t="str">
            <v>0029</v>
          </cell>
          <cell r="G3858">
            <v>10</v>
          </cell>
          <cell r="H3858">
            <v>37.24</v>
          </cell>
          <cell r="I3858">
            <v>2312.7943655097997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P3858">
            <v>2313</v>
          </cell>
          <cell r="V3858" t="str">
            <v>Available</v>
          </cell>
        </row>
        <row r="3859">
          <cell r="A3859" t="str">
            <v>105300070030</v>
          </cell>
          <cell r="B3859" t="str">
            <v>Kalyanpur</v>
          </cell>
          <cell r="C3859" t="str">
            <v>Kalyanpur</v>
          </cell>
          <cell r="D3859" t="str">
            <v>Gomukh Gograha Tola</v>
          </cell>
          <cell r="E3859">
            <v>10530007</v>
          </cell>
          <cell r="F3859" t="str">
            <v>0030</v>
          </cell>
          <cell r="G3859">
            <v>12</v>
          </cell>
          <cell r="H3859">
            <v>55.62</v>
          </cell>
          <cell r="I3859">
            <v>2242.4508307285919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P3859">
            <v>2242</v>
          </cell>
          <cell r="V3859" t="str">
            <v>Available</v>
          </cell>
        </row>
        <row r="3860">
          <cell r="A3860" t="str">
            <v>105300070034</v>
          </cell>
          <cell r="B3860" t="str">
            <v>Kalyanpur</v>
          </cell>
          <cell r="C3860" t="str">
            <v>Kalyanpur</v>
          </cell>
          <cell r="D3860" t="str">
            <v>Gomukh Gograha Tola</v>
          </cell>
          <cell r="E3860">
            <v>10530007</v>
          </cell>
          <cell r="F3860" t="str">
            <v>0034</v>
          </cell>
          <cell r="G3860">
            <v>5</v>
          </cell>
          <cell r="H3860">
            <v>14.350000000000001</v>
          </cell>
          <cell r="I3860">
            <v>541.56535725599997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P3860">
            <v>542</v>
          </cell>
          <cell r="V3860" t="str">
            <v>Available</v>
          </cell>
        </row>
        <row r="3861">
          <cell r="A3861" t="str">
            <v>105300080001</v>
          </cell>
          <cell r="B3861" t="str">
            <v>Kalyanpur</v>
          </cell>
          <cell r="C3861" t="str">
            <v>Kalyanpur</v>
          </cell>
          <cell r="D3861" t="str">
            <v>Gomukh Patsara</v>
          </cell>
          <cell r="E3861">
            <v>10530008</v>
          </cell>
          <cell r="F3861" t="str">
            <v>0001</v>
          </cell>
          <cell r="G3861">
            <v>14</v>
          </cell>
          <cell r="H3861">
            <v>3.5</v>
          </cell>
          <cell r="I3861">
            <v>153.0389880658</v>
          </cell>
          <cell r="J3861">
            <v>0</v>
          </cell>
          <cell r="K3861">
            <v>153.0389880658</v>
          </cell>
          <cell r="L3861">
            <v>0</v>
          </cell>
          <cell r="M3861">
            <v>0</v>
          </cell>
          <cell r="P3861">
            <v>0</v>
          </cell>
          <cell r="V3861" t="str">
            <v>Not Available</v>
          </cell>
        </row>
        <row r="3862">
          <cell r="A3862" t="str">
            <v>105300080002</v>
          </cell>
          <cell r="B3862" t="str">
            <v>Kalyanpur</v>
          </cell>
          <cell r="C3862" t="str">
            <v>Kalyanpur</v>
          </cell>
          <cell r="D3862" t="str">
            <v>Gomukh Patsara</v>
          </cell>
          <cell r="E3862">
            <v>10530008</v>
          </cell>
          <cell r="F3862" t="str">
            <v>0002</v>
          </cell>
          <cell r="G3862">
            <v>14</v>
          </cell>
          <cell r="H3862">
            <v>178.67999999999998</v>
          </cell>
          <cell r="I3862">
            <v>10368.63913706502</v>
          </cell>
          <cell r="J3862">
            <v>0</v>
          </cell>
          <cell r="K3862">
            <v>0</v>
          </cell>
          <cell r="L3862">
            <v>41</v>
          </cell>
          <cell r="M3862">
            <v>0</v>
          </cell>
          <cell r="P3862">
            <v>10328</v>
          </cell>
          <cell r="V3862" t="str">
            <v>Available</v>
          </cell>
        </row>
        <row r="3863">
          <cell r="A3863" t="str">
            <v>105300080011</v>
          </cell>
          <cell r="B3863" t="str">
            <v>Kalyanpur</v>
          </cell>
          <cell r="C3863" t="str">
            <v>Kalyanpur</v>
          </cell>
          <cell r="D3863" t="str">
            <v>Gomukh Patsara</v>
          </cell>
          <cell r="E3863">
            <v>10530008</v>
          </cell>
          <cell r="F3863" t="str">
            <v>0011</v>
          </cell>
          <cell r="G3863">
            <v>7</v>
          </cell>
          <cell r="H3863">
            <v>18.82</v>
          </cell>
          <cell r="I3863">
            <v>819.50566725885005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P3863">
            <v>820</v>
          </cell>
          <cell r="V3863" t="str">
            <v>Available</v>
          </cell>
        </row>
        <row r="3864">
          <cell r="A3864" t="str">
            <v>105300080015</v>
          </cell>
          <cell r="B3864" t="str">
            <v>Kalyanpur</v>
          </cell>
          <cell r="C3864" t="str">
            <v>Kalyanpur</v>
          </cell>
          <cell r="D3864" t="str">
            <v>Gomukh Patsara</v>
          </cell>
          <cell r="E3864">
            <v>10530008</v>
          </cell>
          <cell r="F3864" t="str">
            <v>0015</v>
          </cell>
          <cell r="G3864">
            <v>12</v>
          </cell>
          <cell r="H3864">
            <v>31.08</v>
          </cell>
          <cell r="I3864">
            <v>1140.3947792358001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P3864">
            <v>1140</v>
          </cell>
          <cell r="V3864" t="str">
            <v>Available</v>
          </cell>
        </row>
        <row r="3865">
          <cell r="A3865" t="str">
            <v>105300080018</v>
          </cell>
          <cell r="B3865" t="str">
            <v>Kalyanpur</v>
          </cell>
          <cell r="C3865" t="str">
            <v>Kalyanpur</v>
          </cell>
          <cell r="D3865" t="str">
            <v>Gomukh Patsara</v>
          </cell>
          <cell r="E3865">
            <v>10530008</v>
          </cell>
          <cell r="F3865" t="str">
            <v>0018</v>
          </cell>
          <cell r="G3865">
            <v>7</v>
          </cell>
          <cell r="H3865">
            <v>17.920000000000002</v>
          </cell>
          <cell r="I3865">
            <v>680.08079066400001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P3865">
            <v>680</v>
          </cell>
          <cell r="V3865" t="str">
            <v>Available</v>
          </cell>
        </row>
        <row r="3866">
          <cell r="A3866" t="str">
            <v>105300080020</v>
          </cell>
          <cell r="B3866" t="str">
            <v>Kalyanpur</v>
          </cell>
          <cell r="C3866" t="str">
            <v>Kalyanpur</v>
          </cell>
          <cell r="D3866" t="str">
            <v>Gomukh Patsara</v>
          </cell>
          <cell r="E3866">
            <v>10530008</v>
          </cell>
          <cell r="F3866" t="str">
            <v>0020</v>
          </cell>
          <cell r="G3866">
            <v>14</v>
          </cell>
          <cell r="H3866">
            <v>113.57999999999998</v>
          </cell>
          <cell r="I3866">
            <v>4409.9112454848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P3866">
            <v>4410</v>
          </cell>
          <cell r="V3866" t="str">
            <v>Available</v>
          </cell>
        </row>
        <row r="3867">
          <cell r="A3867" t="str">
            <v>105300080023</v>
          </cell>
          <cell r="B3867" t="str">
            <v>Kalyanpur</v>
          </cell>
          <cell r="C3867" t="str">
            <v>Kalyanpur</v>
          </cell>
          <cell r="D3867" t="str">
            <v>Gomukh Patsara</v>
          </cell>
          <cell r="E3867">
            <v>10530008</v>
          </cell>
          <cell r="F3867" t="str">
            <v>0023</v>
          </cell>
          <cell r="G3867">
            <v>5</v>
          </cell>
          <cell r="H3867">
            <v>8.83</v>
          </cell>
          <cell r="I3867">
            <v>680.89146901231993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P3867">
            <v>681</v>
          </cell>
          <cell r="V3867" t="str">
            <v>Available</v>
          </cell>
        </row>
        <row r="3868">
          <cell r="A3868" t="str">
            <v>105300320001</v>
          </cell>
          <cell r="B3868" t="str">
            <v>Kalyanpur</v>
          </cell>
          <cell r="C3868" t="str">
            <v>Kalyanpur</v>
          </cell>
          <cell r="D3868" t="str">
            <v>Gomukh Bharav</v>
          </cell>
          <cell r="E3868">
            <v>10530032</v>
          </cell>
          <cell r="F3868" t="str">
            <v>0001</v>
          </cell>
          <cell r="G3868">
            <v>14</v>
          </cell>
          <cell r="H3868">
            <v>7.34</v>
          </cell>
          <cell r="I3868">
            <v>339.41820916408005</v>
          </cell>
          <cell r="J3868">
            <v>0</v>
          </cell>
          <cell r="K3868">
            <v>339.41820916408005</v>
          </cell>
          <cell r="L3868">
            <v>0</v>
          </cell>
          <cell r="M3868">
            <v>0</v>
          </cell>
          <cell r="P3868">
            <v>0</v>
          </cell>
          <cell r="V3868" t="str">
            <v>Not Available</v>
          </cell>
        </row>
        <row r="3869">
          <cell r="A3869" t="str">
            <v>105300320002</v>
          </cell>
          <cell r="B3869" t="str">
            <v>Kalyanpur</v>
          </cell>
          <cell r="C3869" t="str">
            <v>Kalyanpur</v>
          </cell>
          <cell r="D3869" t="str">
            <v>Gomukh Bharav</v>
          </cell>
          <cell r="E3869">
            <v>10530032</v>
          </cell>
          <cell r="F3869" t="str">
            <v>0002</v>
          </cell>
          <cell r="G3869">
            <v>12</v>
          </cell>
          <cell r="H3869">
            <v>43.959999999999994</v>
          </cell>
          <cell r="I3869">
            <v>1676.457171972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P3869">
            <v>1676</v>
          </cell>
          <cell r="V3869" t="str">
            <v>Available</v>
          </cell>
        </row>
        <row r="3870">
          <cell r="A3870" t="str">
            <v>105300320003</v>
          </cell>
          <cell r="B3870" t="str">
            <v>Kalyanpur</v>
          </cell>
          <cell r="C3870" t="str">
            <v>Kalyanpur</v>
          </cell>
          <cell r="D3870" t="str">
            <v>Gomukh Bharav</v>
          </cell>
          <cell r="E3870">
            <v>10530032</v>
          </cell>
          <cell r="F3870" t="str">
            <v>0003</v>
          </cell>
          <cell r="G3870">
            <v>7</v>
          </cell>
          <cell r="H3870">
            <v>6.74</v>
          </cell>
          <cell r="I3870">
            <v>436.09189192273999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P3870">
            <v>436</v>
          </cell>
          <cell r="V3870" t="str">
            <v>Available</v>
          </cell>
        </row>
        <row r="3871">
          <cell r="A3871" t="str">
            <v>105300320004</v>
          </cell>
          <cell r="B3871" t="str">
            <v>Kalyanpur</v>
          </cell>
          <cell r="C3871" t="str">
            <v>Kalyanpur</v>
          </cell>
          <cell r="D3871" t="str">
            <v>Gomukh Bharav</v>
          </cell>
          <cell r="E3871">
            <v>10530032</v>
          </cell>
          <cell r="F3871" t="str">
            <v>0004</v>
          </cell>
          <cell r="G3871">
            <v>1</v>
          </cell>
          <cell r="H3871">
            <v>0.04</v>
          </cell>
          <cell r="I3871">
            <v>1.4362048800000002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P3871">
            <v>1</v>
          </cell>
          <cell r="V3871" t="str">
            <v>Available</v>
          </cell>
        </row>
        <row r="3872">
          <cell r="A3872" t="str">
            <v>105300320005</v>
          </cell>
          <cell r="B3872" t="str">
            <v>Kalyanpur</v>
          </cell>
          <cell r="C3872" t="str">
            <v>Kalyanpur</v>
          </cell>
          <cell r="D3872" t="str">
            <v>Gomukh Bharav</v>
          </cell>
          <cell r="E3872">
            <v>10530032</v>
          </cell>
          <cell r="F3872" t="str">
            <v>0005</v>
          </cell>
          <cell r="G3872">
            <v>13</v>
          </cell>
          <cell r="H3872">
            <v>31.14</v>
          </cell>
          <cell r="I3872">
            <v>1847.63827514322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P3872">
            <v>1848</v>
          </cell>
          <cell r="V3872" t="str">
            <v>Available</v>
          </cell>
        </row>
        <row r="3873">
          <cell r="A3873" t="str">
            <v>105300320006</v>
          </cell>
          <cell r="B3873" t="str">
            <v>Kalyanpur</v>
          </cell>
          <cell r="C3873" t="str">
            <v>Kalyanpur</v>
          </cell>
          <cell r="D3873" t="str">
            <v>Gomukh Bharav</v>
          </cell>
          <cell r="E3873">
            <v>10530032</v>
          </cell>
          <cell r="F3873" t="str">
            <v>0006</v>
          </cell>
          <cell r="G3873">
            <v>14</v>
          </cell>
          <cell r="H3873">
            <v>54.02</v>
          </cell>
          <cell r="I3873">
            <v>3441.8937914975604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P3873">
            <v>3442</v>
          </cell>
          <cell r="V3873" t="str">
            <v>Available</v>
          </cell>
        </row>
        <row r="3874">
          <cell r="A3874" t="str">
            <v>105300320010</v>
          </cell>
          <cell r="B3874" t="str">
            <v>Kalyanpur</v>
          </cell>
          <cell r="C3874" t="str">
            <v>Kalyanpur</v>
          </cell>
          <cell r="D3874" t="str">
            <v>Gomukh Bharav</v>
          </cell>
          <cell r="E3874">
            <v>10530032</v>
          </cell>
          <cell r="F3874" t="str">
            <v>0010</v>
          </cell>
          <cell r="G3874">
            <v>13</v>
          </cell>
          <cell r="H3874">
            <v>51.52</v>
          </cell>
          <cell r="I3874">
            <v>1909.9749362760003</v>
          </cell>
          <cell r="J3874">
            <v>0</v>
          </cell>
          <cell r="K3874">
            <v>0</v>
          </cell>
          <cell r="L3874">
            <v>0</v>
          </cell>
          <cell r="M3874">
            <v>1500</v>
          </cell>
          <cell r="P3874">
            <v>410</v>
          </cell>
          <cell r="V3874" t="str">
            <v>Available</v>
          </cell>
        </row>
        <row r="3875">
          <cell r="A3875" t="str">
            <v>105300320013</v>
          </cell>
          <cell r="B3875" t="str">
            <v>Kalyanpur</v>
          </cell>
          <cell r="C3875" t="str">
            <v>Kalyanpur</v>
          </cell>
          <cell r="D3875" t="str">
            <v>Gomukh Bharav</v>
          </cell>
          <cell r="E3875">
            <v>10530032</v>
          </cell>
          <cell r="F3875" t="str">
            <v>0013</v>
          </cell>
          <cell r="G3875">
            <v>6</v>
          </cell>
          <cell r="H3875">
            <v>18.98</v>
          </cell>
          <cell r="I3875">
            <v>988.26407896780006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P3875">
            <v>988</v>
          </cell>
          <cell r="V3875" t="str">
            <v>Available</v>
          </cell>
        </row>
        <row r="3876">
          <cell r="A3876" t="str">
            <v>105300320014</v>
          </cell>
          <cell r="B3876" t="str">
            <v>Kalyanpur</v>
          </cell>
          <cell r="C3876" t="str">
            <v>Kalyanpur</v>
          </cell>
          <cell r="D3876" t="str">
            <v>Gomukh Bharav</v>
          </cell>
          <cell r="E3876">
            <v>10530032</v>
          </cell>
          <cell r="F3876" t="str">
            <v>0014</v>
          </cell>
          <cell r="G3876">
            <v>10</v>
          </cell>
          <cell r="H3876">
            <v>38.999999999999993</v>
          </cell>
          <cell r="I3876">
            <v>1464.8860890004003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P3876">
            <v>1465</v>
          </cell>
          <cell r="V3876" t="str">
            <v>Available</v>
          </cell>
        </row>
        <row r="3877">
          <cell r="A3877" t="str">
            <v>105300320017</v>
          </cell>
          <cell r="B3877" t="str">
            <v>Kalyanpur</v>
          </cell>
          <cell r="C3877" t="str">
            <v>Kalyanpur</v>
          </cell>
          <cell r="D3877" t="str">
            <v>Gomukh Bharav</v>
          </cell>
          <cell r="E3877">
            <v>10530032</v>
          </cell>
          <cell r="F3877" t="str">
            <v>0017</v>
          </cell>
          <cell r="G3877">
            <v>6</v>
          </cell>
          <cell r="H3877">
            <v>18.990000000000002</v>
          </cell>
          <cell r="I3877">
            <v>839.84104386000001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P3877">
            <v>840</v>
          </cell>
          <cell r="V3877" t="str">
            <v>Available</v>
          </cell>
        </row>
        <row r="3878">
          <cell r="A3878" t="str">
            <v>105300320018</v>
          </cell>
          <cell r="B3878" t="str">
            <v>Kalyanpur</v>
          </cell>
          <cell r="C3878" t="str">
            <v>Kalyanpur</v>
          </cell>
          <cell r="D3878" t="str">
            <v>Gomukh Bharav</v>
          </cell>
          <cell r="E3878">
            <v>10530032</v>
          </cell>
          <cell r="F3878" t="str">
            <v>0018</v>
          </cell>
          <cell r="G3878">
            <v>8</v>
          </cell>
          <cell r="H3878">
            <v>13.44</v>
          </cell>
          <cell r="I3878">
            <v>548.92589258198996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P3878">
            <v>549</v>
          </cell>
          <cell r="V3878" t="str">
            <v>Available</v>
          </cell>
        </row>
        <row r="3879">
          <cell r="A3879" t="str">
            <v>105300320022</v>
          </cell>
          <cell r="B3879" t="str">
            <v>Kalyanpur</v>
          </cell>
          <cell r="C3879" t="str">
            <v>Kalyanpur</v>
          </cell>
          <cell r="D3879" t="str">
            <v>Gomukh Bharav</v>
          </cell>
          <cell r="E3879">
            <v>10530032</v>
          </cell>
          <cell r="F3879" t="str">
            <v>0022</v>
          </cell>
          <cell r="G3879">
            <v>10</v>
          </cell>
          <cell r="H3879">
            <v>13.850000000000001</v>
          </cell>
          <cell r="I3879">
            <v>629.72116508004001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P3879">
            <v>630</v>
          </cell>
          <cell r="V3879" t="str">
            <v>Available</v>
          </cell>
        </row>
        <row r="3880">
          <cell r="A3880" t="str">
            <v>105300320023</v>
          </cell>
          <cell r="B3880" t="str">
            <v>Kalyanpur</v>
          </cell>
          <cell r="C3880" t="str">
            <v>Kalyanpur</v>
          </cell>
          <cell r="D3880" t="str">
            <v>Gomukh Bharav</v>
          </cell>
          <cell r="E3880">
            <v>10530032</v>
          </cell>
          <cell r="F3880" t="str">
            <v>0023</v>
          </cell>
          <cell r="G3880">
            <v>6</v>
          </cell>
          <cell r="H3880">
            <v>24.93</v>
          </cell>
          <cell r="I3880">
            <v>1501.1166606840002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P3880">
            <v>1501</v>
          </cell>
          <cell r="V3880" t="str">
            <v>Available</v>
          </cell>
        </row>
        <row r="3881">
          <cell r="A3881" t="str">
            <v>105300320028</v>
          </cell>
          <cell r="B3881" t="str">
            <v>Kalyanpur</v>
          </cell>
          <cell r="C3881" t="str">
            <v>Kalyanpur</v>
          </cell>
          <cell r="D3881" t="str">
            <v>Gomukh Bharav</v>
          </cell>
          <cell r="E3881">
            <v>10530032</v>
          </cell>
          <cell r="F3881" t="str">
            <v>0028</v>
          </cell>
          <cell r="G3881">
            <v>7</v>
          </cell>
          <cell r="H3881">
            <v>26.3</v>
          </cell>
          <cell r="I3881">
            <v>1049.0387886000001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P3881">
            <v>1049</v>
          </cell>
          <cell r="V3881" t="str">
            <v>Available</v>
          </cell>
        </row>
        <row r="3882">
          <cell r="A3882" t="str">
            <v>105300320036</v>
          </cell>
          <cell r="B3882" t="str">
            <v>Kalyanpur</v>
          </cell>
          <cell r="C3882" t="str">
            <v>Kalyanpur</v>
          </cell>
          <cell r="D3882" t="str">
            <v>Gomukh Bharav</v>
          </cell>
          <cell r="E3882">
            <v>10530032</v>
          </cell>
          <cell r="F3882" t="str">
            <v>0036</v>
          </cell>
          <cell r="G3882">
            <v>6</v>
          </cell>
          <cell r="H3882">
            <v>11.790000000000001</v>
          </cell>
          <cell r="I3882">
            <v>626.9604392202001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P3882">
            <v>627</v>
          </cell>
          <cell r="V3882" t="str">
            <v>Available</v>
          </cell>
        </row>
        <row r="3883">
          <cell r="A3883" t="str">
            <v>105300320044</v>
          </cell>
          <cell r="B3883" t="str">
            <v>Kalyanpur</v>
          </cell>
          <cell r="C3883" t="str">
            <v>Kalyanpur</v>
          </cell>
          <cell r="D3883" t="str">
            <v>Gomukh Bharav</v>
          </cell>
          <cell r="E3883">
            <v>10530032</v>
          </cell>
          <cell r="F3883" t="str">
            <v>0044</v>
          </cell>
          <cell r="G3883">
            <v>13</v>
          </cell>
          <cell r="H3883">
            <v>39.779999999999994</v>
          </cell>
          <cell r="I3883">
            <v>2677.8962536444001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P3883">
            <v>2678</v>
          </cell>
          <cell r="V3883" t="str">
            <v>Available</v>
          </cell>
        </row>
        <row r="3884">
          <cell r="A3884" t="str">
            <v>105300320056</v>
          </cell>
          <cell r="B3884" t="str">
            <v>Kalyanpur</v>
          </cell>
          <cell r="C3884" t="str">
            <v>Kalyanpur</v>
          </cell>
          <cell r="D3884" t="str">
            <v>Gomukh Bharav</v>
          </cell>
          <cell r="E3884">
            <v>10530032</v>
          </cell>
          <cell r="F3884" t="str">
            <v>0056</v>
          </cell>
          <cell r="G3884">
            <v>8</v>
          </cell>
          <cell r="H3884">
            <v>7.9800000000000013</v>
          </cell>
          <cell r="I3884">
            <v>436.97661390362009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P3884">
            <v>437</v>
          </cell>
          <cell r="V3884" t="str">
            <v>Available</v>
          </cell>
        </row>
        <row r="3885">
          <cell r="A3885" t="str">
            <v>105300320057</v>
          </cell>
          <cell r="B3885" t="str">
            <v>Kalyanpur</v>
          </cell>
          <cell r="C3885" t="str">
            <v>Kalyanpur</v>
          </cell>
          <cell r="D3885" t="str">
            <v>Gomukh Bharav</v>
          </cell>
          <cell r="E3885">
            <v>10530032</v>
          </cell>
          <cell r="F3885" t="str">
            <v>0057</v>
          </cell>
          <cell r="G3885">
            <v>6</v>
          </cell>
          <cell r="H3885">
            <v>7.6199999999999992</v>
          </cell>
          <cell r="I3885">
            <v>449.76732954720001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P3885">
            <v>450</v>
          </cell>
          <cell r="V3885" t="str">
            <v>Available</v>
          </cell>
        </row>
        <row r="3886">
          <cell r="A3886" t="str">
            <v>105300320063</v>
          </cell>
          <cell r="B3886" t="str">
            <v>Kalyanpur</v>
          </cell>
          <cell r="C3886" t="str">
            <v>Kalyanpur</v>
          </cell>
          <cell r="D3886" t="str">
            <v>Gomukh Bharav</v>
          </cell>
          <cell r="E3886">
            <v>10530032</v>
          </cell>
          <cell r="F3886" t="str">
            <v>0063</v>
          </cell>
          <cell r="G3886">
            <v>4</v>
          </cell>
          <cell r="H3886">
            <v>7.2999999999999989</v>
          </cell>
          <cell r="I3886">
            <v>591.44876046739989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P3886">
            <v>591</v>
          </cell>
          <cell r="V3886" t="str">
            <v>Available</v>
          </cell>
        </row>
        <row r="3887">
          <cell r="A3887" t="str">
            <v>105300320064</v>
          </cell>
          <cell r="B3887" t="str">
            <v>Kalyanpur</v>
          </cell>
          <cell r="C3887" t="str">
            <v>Kalyanpur</v>
          </cell>
          <cell r="D3887" t="str">
            <v>Gomukh Bharav</v>
          </cell>
          <cell r="E3887">
            <v>10530032</v>
          </cell>
          <cell r="F3887" t="str">
            <v>0064</v>
          </cell>
          <cell r="G3887">
            <v>7</v>
          </cell>
          <cell r="H3887">
            <v>24.33</v>
          </cell>
          <cell r="I3887">
            <v>1418.6824768509002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P3887">
            <v>1419</v>
          </cell>
          <cell r="V3887" t="str">
            <v>Available</v>
          </cell>
        </row>
        <row r="3888">
          <cell r="A3888" t="str">
            <v>105300320066</v>
          </cell>
          <cell r="B3888" t="str">
            <v>Kalyanpur</v>
          </cell>
          <cell r="C3888" t="str">
            <v>Kalyanpur</v>
          </cell>
          <cell r="D3888" t="str">
            <v>Gomukh Bharav</v>
          </cell>
          <cell r="E3888">
            <v>10530032</v>
          </cell>
          <cell r="F3888" t="str">
            <v>0066</v>
          </cell>
          <cell r="G3888">
            <v>8</v>
          </cell>
          <cell r="H3888">
            <v>15.17</v>
          </cell>
          <cell r="I3888">
            <v>635.49292113216006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P3888">
            <v>635</v>
          </cell>
          <cell r="V3888" t="str">
            <v>Available</v>
          </cell>
        </row>
        <row r="3889">
          <cell r="A3889" t="str">
            <v>105300330001</v>
          </cell>
          <cell r="B3889" t="str">
            <v>Kalyanpur</v>
          </cell>
          <cell r="C3889" t="str">
            <v>Kalyanpur</v>
          </cell>
          <cell r="D3889" t="str">
            <v>Gomukh Harpur</v>
          </cell>
          <cell r="E3889">
            <v>10530033</v>
          </cell>
          <cell r="F3889" t="str">
            <v>0001</v>
          </cell>
          <cell r="G3889">
            <v>14</v>
          </cell>
          <cell r="H3889">
            <v>13.709999999999999</v>
          </cell>
          <cell r="I3889">
            <v>547.66442924820001</v>
          </cell>
          <cell r="J3889">
            <v>0</v>
          </cell>
          <cell r="K3889">
            <v>547.66442924820001</v>
          </cell>
          <cell r="L3889">
            <v>0</v>
          </cell>
          <cell r="M3889">
            <v>0</v>
          </cell>
          <cell r="P3889">
            <v>0</v>
          </cell>
          <cell r="V3889" t="str">
            <v>Not Available</v>
          </cell>
        </row>
        <row r="3890">
          <cell r="A3890" t="str">
            <v>105300330002</v>
          </cell>
          <cell r="B3890" t="str">
            <v>Kalyanpur</v>
          </cell>
          <cell r="C3890" t="str">
            <v>Kalyanpur</v>
          </cell>
          <cell r="D3890" t="str">
            <v>Gomukh Harpur</v>
          </cell>
          <cell r="E3890">
            <v>10530033</v>
          </cell>
          <cell r="F3890" t="str">
            <v>0002</v>
          </cell>
          <cell r="G3890">
            <v>13</v>
          </cell>
          <cell r="H3890">
            <v>68.94</v>
          </cell>
          <cell r="I3890">
            <v>2998.9505000354206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P3890">
            <v>2999</v>
          </cell>
          <cell r="V3890" t="str">
            <v>Available</v>
          </cell>
        </row>
        <row r="3891">
          <cell r="A3891" t="str">
            <v>105300330004</v>
          </cell>
          <cell r="B3891" t="str">
            <v>Kalyanpur</v>
          </cell>
          <cell r="C3891" t="str">
            <v>Kalyanpur</v>
          </cell>
          <cell r="D3891" t="str">
            <v>Gomukh Harpur</v>
          </cell>
          <cell r="E3891">
            <v>10530033</v>
          </cell>
          <cell r="F3891" t="str">
            <v>0004</v>
          </cell>
          <cell r="G3891">
            <v>7</v>
          </cell>
          <cell r="H3891">
            <v>6.34</v>
          </cell>
          <cell r="I3891">
            <v>249.84519955560006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P3891">
            <v>250</v>
          </cell>
          <cell r="V3891" t="str">
            <v>Available</v>
          </cell>
        </row>
        <row r="3892">
          <cell r="A3892" t="str">
            <v>105300330005</v>
          </cell>
          <cell r="B3892" t="str">
            <v>Kalyanpur</v>
          </cell>
          <cell r="C3892" t="str">
            <v>Kalyanpur</v>
          </cell>
          <cell r="D3892" t="str">
            <v>Gomukh Harpur</v>
          </cell>
          <cell r="E3892">
            <v>10530033</v>
          </cell>
          <cell r="F3892" t="str">
            <v>0005</v>
          </cell>
          <cell r="G3892">
            <v>7</v>
          </cell>
          <cell r="H3892">
            <v>24.6</v>
          </cell>
          <cell r="I3892">
            <v>877.25073348000001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P3892">
            <v>877</v>
          </cell>
          <cell r="V3892" t="str">
            <v>Available</v>
          </cell>
        </row>
        <row r="3893">
          <cell r="A3893" t="str">
            <v>105300330007</v>
          </cell>
          <cell r="B3893" t="str">
            <v>Kalyanpur</v>
          </cell>
          <cell r="C3893" t="str">
            <v>Kalyanpur</v>
          </cell>
          <cell r="D3893" t="str">
            <v>Gomukh Harpur</v>
          </cell>
          <cell r="E3893">
            <v>10530033</v>
          </cell>
          <cell r="F3893" t="str">
            <v>0007</v>
          </cell>
          <cell r="G3893">
            <v>1</v>
          </cell>
          <cell r="H3893">
            <v>4.38</v>
          </cell>
          <cell r="I3893">
            <v>148.59186091199999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P3893">
            <v>149</v>
          </cell>
          <cell r="V3893" t="str">
            <v>Available</v>
          </cell>
        </row>
        <row r="3894">
          <cell r="A3894" t="str">
            <v>105300330010</v>
          </cell>
          <cell r="B3894" t="str">
            <v>Kalyanpur</v>
          </cell>
          <cell r="C3894" t="str">
            <v>Kalyanpur</v>
          </cell>
          <cell r="D3894" t="str">
            <v>Gomukh Harpur</v>
          </cell>
          <cell r="E3894">
            <v>10530033</v>
          </cell>
          <cell r="F3894" t="str">
            <v>0010</v>
          </cell>
          <cell r="G3894">
            <v>11</v>
          </cell>
          <cell r="H3894">
            <v>27.770000000000003</v>
          </cell>
          <cell r="I3894">
            <v>1022.0426989542002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P3894">
            <v>1022</v>
          </cell>
          <cell r="V3894" t="str">
            <v>Available</v>
          </cell>
        </row>
        <row r="3895">
          <cell r="A3895" t="str">
            <v>105300330013</v>
          </cell>
          <cell r="B3895" t="str">
            <v>Kalyanpur</v>
          </cell>
          <cell r="C3895" t="str">
            <v>Kalyanpur</v>
          </cell>
          <cell r="D3895" t="str">
            <v>Gomukh Harpur</v>
          </cell>
          <cell r="E3895">
            <v>10530033</v>
          </cell>
          <cell r="F3895" t="str">
            <v>0013</v>
          </cell>
          <cell r="G3895">
            <v>14</v>
          </cell>
          <cell r="H3895">
            <v>36.44</v>
          </cell>
          <cell r="I3895">
            <v>1349.6290817921999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P3895">
            <v>1350</v>
          </cell>
          <cell r="V3895" t="str">
            <v>Available</v>
          </cell>
        </row>
        <row r="3896">
          <cell r="A3896" t="str">
            <v>105300330014</v>
          </cell>
          <cell r="B3896" t="str">
            <v>Kalyanpur</v>
          </cell>
          <cell r="C3896" t="str">
            <v>Kalyanpur</v>
          </cell>
          <cell r="D3896" t="str">
            <v>Gomukh Harpur</v>
          </cell>
          <cell r="E3896">
            <v>10530033</v>
          </cell>
          <cell r="F3896" t="str">
            <v>0014</v>
          </cell>
          <cell r="G3896">
            <v>1</v>
          </cell>
          <cell r="H3896">
            <v>2.0299999999999998</v>
          </cell>
          <cell r="I3896">
            <v>75.566890476000012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P3896">
            <v>76</v>
          </cell>
          <cell r="V3896" t="str">
            <v>Available</v>
          </cell>
        </row>
        <row r="3897">
          <cell r="A3897" t="str">
            <v>105300330016</v>
          </cell>
          <cell r="B3897" t="str">
            <v>Kalyanpur</v>
          </cell>
          <cell r="C3897" t="str">
            <v>Kalyanpur</v>
          </cell>
          <cell r="D3897" t="str">
            <v>Gomukh Harpur</v>
          </cell>
          <cell r="E3897">
            <v>10530033</v>
          </cell>
          <cell r="F3897" t="str">
            <v>0016</v>
          </cell>
          <cell r="G3897">
            <v>14</v>
          </cell>
          <cell r="H3897">
            <v>52.13</v>
          </cell>
          <cell r="I3897">
            <v>1843.1230046922001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P3897">
            <v>1843</v>
          </cell>
          <cell r="V3897" t="str">
            <v>Available</v>
          </cell>
        </row>
        <row r="3898">
          <cell r="A3898" t="str">
            <v>105300330019</v>
          </cell>
          <cell r="B3898" t="str">
            <v>Kalyanpur</v>
          </cell>
          <cell r="C3898" t="str">
            <v>Kalyanpur</v>
          </cell>
          <cell r="D3898" t="str">
            <v>Gomukh Harpur</v>
          </cell>
          <cell r="E3898">
            <v>10530033</v>
          </cell>
          <cell r="F3898" t="str">
            <v>0019</v>
          </cell>
          <cell r="G3898">
            <v>14</v>
          </cell>
          <cell r="H3898">
            <v>49.38</v>
          </cell>
          <cell r="I3898">
            <v>2734.1940839751501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P3898">
            <v>2734</v>
          </cell>
          <cell r="V3898" t="str">
            <v>Available</v>
          </cell>
        </row>
        <row r="3899">
          <cell r="A3899" t="str">
            <v>105300330020</v>
          </cell>
          <cell r="B3899" t="str">
            <v>Kalyanpur</v>
          </cell>
          <cell r="C3899" t="str">
            <v>Kalyanpur</v>
          </cell>
          <cell r="D3899" t="str">
            <v>Gomukh Harpur</v>
          </cell>
          <cell r="E3899">
            <v>10530033</v>
          </cell>
          <cell r="F3899" t="str">
            <v>0020</v>
          </cell>
          <cell r="G3899">
            <v>14</v>
          </cell>
          <cell r="H3899">
            <v>148.33000000000001</v>
          </cell>
          <cell r="I3899">
            <v>5562.8713839600005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P3899">
            <v>5563</v>
          </cell>
          <cell r="V3899" t="str">
            <v>Available</v>
          </cell>
        </row>
        <row r="3900">
          <cell r="A3900" t="str">
            <v>105300330022</v>
          </cell>
          <cell r="B3900" t="str">
            <v>Kalyanpur</v>
          </cell>
          <cell r="C3900" t="str">
            <v>Kalyanpur</v>
          </cell>
          <cell r="D3900" t="str">
            <v>Gomukh Harpur</v>
          </cell>
          <cell r="E3900">
            <v>10530033</v>
          </cell>
          <cell r="F3900" t="str">
            <v>0022</v>
          </cell>
          <cell r="G3900">
            <v>7</v>
          </cell>
          <cell r="H3900">
            <v>23.12</v>
          </cell>
          <cell r="I3900">
            <v>1512.4303515778402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P3900">
            <v>1512</v>
          </cell>
          <cell r="V3900" t="str">
            <v>Available</v>
          </cell>
        </row>
        <row r="3901">
          <cell r="A3901" t="str">
            <v>105300330023</v>
          </cell>
          <cell r="B3901" t="str">
            <v>Kalyanpur</v>
          </cell>
          <cell r="C3901" t="str">
            <v>Kalyanpur</v>
          </cell>
          <cell r="D3901" t="str">
            <v>Gomukh Harpur</v>
          </cell>
          <cell r="E3901">
            <v>10530033</v>
          </cell>
          <cell r="F3901" t="str">
            <v>0023</v>
          </cell>
          <cell r="G3901">
            <v>5</v>
          </cell>
          <cell r="H3901">
            <v>7.94</v>
          </cell>
          <cell r="I3901">
            <v>488.63954852177449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P3901">
            <v>489</v>
          </cell>
          <cell r="V3901" t="str">
            <v>Available</v>
          </cell>
        </row>
        <row r="3902">
          <cell r="A3902" t="str">
            <v>105300330024</v>
          </cell>
          <cell r="B3902" t="str">
            <v>Kalyanpur</v>
          </cell>
          <cell r="C3902" t="str">
            <v>Kalyanpur</v>
          </cell>
          <cell r="D3902" t="str">
            <v>Gomukh Harpur</v>
          </cell>
          <cell r="E3902">
            <v>10530033</v>
          </cell>
          <cell r="F3902" t="str">
            <v>0024</v>
          </cell>
          <cell r="G3902">
            <v>6</v>
          </cell>
          <cell r="H3902">
            <v>28.25</v>
          </cell>
          <cell r="I3902">
            <v>1100.5160578236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P3902">
            <v>1101</v>
          </cell>
          <cell r="V3902" t="str">
            <v>Available</v>
          </cell>
        </row>
        <row r="3903">
          <cell r="A3903" t="str">
            <v>105300330028</v>
          </cell>
          <cell r="B3903" t="str">
            <v>Kalyanpur</v>
          </cell>
          <cell r="C3903" t="str">
            <v>Kalyanpur</v>
          </cell>
          <cell r="D3903" t="str">
            <v>Gomukh Harpur</v>
          </cell>
          <cell r="E3903">
            <v>10530033</v>
          </cell>
          <cell r="F3903" t="str">
            <v>0028</v>
          </cell>
          <cell r="G3903">
            <v>13</v>
          </cell>
          <cell r="H3903">
            <v>25.759999999999998</v>
          </cell>
          <cell r="I3903">
            <v>940.14257198400026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P3903">
            <v>940</v>
          </cell>
          <cell r="V3903" t="str">
            <v>Available</v>
          </cell>
        </row>
        <row r="3904">
          <cell r="A3904" t="str">
            <v>105300330029</v>
          </cell>
          <cell r="B3904" t="str">
            <v>Kalyanpur</v>
          </cell>
          <cell r="C3904" t="str">
            <v>Kalyanpur</v>
          </cell>
          <cell r="D3904" t="str">
            <v>Gomukh Harpur</v>
          </cell>
          <cell r="E3904">
            <v>10530033</v>
          </cell>
          <cell r="F3904" t="str">
            <v>0029</v>
          </cell>
          <cell r="G3904">
            <v>7</v>
          </cell>
          <cell r="H3904">
            <v>46.37</v>
          </cell>
          <cell r="I3904">
            <v>1599.0467910120001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P3904">
            <v>1599</v>
          </cell>
          <cell r="V3904" t="str">
            <v>Available</v>
          </cell>
        </row>
        <row r="3905">
          <cell r="A3905" t="str">
            <v>105300330030</v>
          </cell>
          <cell r="B3905" t="str">
            <v>Kalyanpur</v>
          </cell>
          <cell r="C3905" t="str">
            <v>Kalyanpur</v>
          </cell>
          <cell r="D3905" t="str">
            <v>Gomukh Harpur</v>
          </cell>
          <cell r="E3905">
            <v>10530033</v>
          </cell>
          <cell r="F3905" t="str">
            <v>0030</v>
          </cell>
          <cell r="G3905">
            <v>4</v>
          </cell>
          <cell r="H3905">
            <v>11.14</v>
          </cell>
          <cell r="I3905">
            <v>538.88958266240002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P3905">
            <v>539</v>
          </cell>
          <cell r="V3905" t="str">
            <v>Available</v>
          </cell>
        </row>
        <row r="3906">
          <cell r="A3906" t="str">
            <v>105300330031</v>
          </cell>
          <cell r="B3906" t="str">
            <v>Kalyanpur</v>
          </cell>
          <cell r="C3906" t="str">
            <v>Kalyanpur</v>
          </cell>
          <cell r="D3906" t="str">
            <v>Gomukh Harpur</v>
          </cell>
          <cell r="E3906">
            <v>10530033</v>
          </cell>
          <cell r="F3906" t="str">
            <v>0031</v>
          </cell>
          <cell r="G3906">
            <v>7</v>
          </cell>
          <cell r="H3906">
            <v>38.800000000000004</v>
          </cell>
          <cell r="I3906">
            <v>1631.5740936000002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P3906">
            <v>1632</v>
          </cell>
          <cell r="V3906" t="str">
            <v>Available</v>
          </cell>
        </row>
        <row r="3907">
          <cell r="A3907" t="str">
            <v>105300330032</v>
          </cell>
          <cell r="B3907" t="str">
            <v>Kalyanpur</v>
          </cell>
          <cell r="C3907" t="str">
            <v>Kalyanpur</v>
          </cell>
          <cell r="D3907" t="str">
            <v>Gomukh Harpur</v>
          </cell>
          <cell r="E3907">
            <v>10530033</v>
          </cell>
          <cell r="F3907" t="str">
            <v>0032</v>
          </cell>
          <cell r="G3907">
            <v>3</v>
          </cell>
          <cell r="H3907">
            <v>8.09</v>
          </cell>
          <cell r="I3907">
            <v>309.71643199200003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P3907">
            <v>310</v>
          </cell>
          <cell r="V3907" t="str">
            <v>Available</v>
          </cell>
        </row>
        <row r="3908">
          <cell r="A3908" t="str">
            <v>105300330033</v>
          </cell>
          <cell r="B3908" t="str">
            <v>Kalyanpur</v>
          </cell>
          <cell r="C3908" t="str">
            <v>Kalyanpur</v>
          </cell>
          <cell r="D3908" t="str">
            <v>Gomukh Harpur</v>
          </cell>
          <cell r="E3908">
            <v>10530033</v>
          </cell>
          <cell r="F3908" t="str">
            <v>0033</v>
          </cell>
          <cell r="G3908">
            <v>2</v>
          </cell>
          <cell r="H3908">
            <v>4.1500000000000004</v>
          </cell>
          <cell r="I3908">
            <v>150.91819001819999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P3908">
            <v>151</v>
          </cell>
          <cell r="V3908" t="str">
            <v>Available</v>
          </cell>
        </row>
        <row r="3909">
          <cell r="A3909" t="str">
            <v>105300330034</v>
          </cell>
          <cell r="B3909" t="str">
            <v>Kalyanpur</v>
          </cell>
          <cell r="C3909" t="str">
            <v>Kalyanpur</v>
          </cell>
          <cell r="D3909" t="str">
            <v>Gomukh Harpur</v>
          </cell>
          <cell r="E3909">
            <v>10530033</v>
          </cell>
          <cell r="F3909" t="str">
            <v>0034</v>
          </cell>
          <cell r="G3909">
            <v>14</v>
          </cell>
          <cell r="H3909">
            <v>58.73</v>
          </cell>
          <cell r="I3909">
            <v>2088.7652616336004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P3909">
            <v>2089</v>
          </cell>
          <cell r="V3909" t="str">
            <v>Available</v>
          </cell>
        </row>
        <row r="3910">
          <cell r="A3910" t="str">
            <v>105300330035</v>
          </cell>
          <cell r="B3910" t="str">
            <v>Kalyanpur</v>
          </cell>
          <cell r="C3910" t="str">
            <v>Kalyanpur</v>
          </cell>
          <cell r="D3910" t="str">
            <v>Gomukh Harpur</v>
          </cell>
          <cell r="E3910">
            <v>10530033</v>
          </cell>
          <cell r="F3910" t="str">
            <v>0035</v>
          </cell>
          <cell r="G3910">
            <v>11</v>
          </cell>
          <cell r="H3910">
            <v>29.81</v>
          </cell>
          <cell r="I3910">
            <v>1791.1006720559001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P3910">
            <v>1791</v>
          </cell>
          <cell r="V3910" t="str">
            <v>Available</v>
          </cell>
        </row>
        <row r="3911">
          <cell r="A3911" t="str">
            <v>105300330036</v>
          </cell>
          <cell r="B3911" t="str">
            <v>Kalyanpur</v>
          </cell>
          <cell r="C3911" t="str">
            <v>Kalyanpur</v>
          </cell>
          <cell r="D3911" t="str">
            <v>Gomukh Harpur</v>
          </cell>
          <cell r="E3911">
            <v>10530033</v>
          </cell>
          <cell r="F3911" t="str">
            <v>0036</v>
          </cell>
          <cell r="G3911">
            <v>14</v>
          </cell>
          <cell r="H3911">
            <v>33.050000000000004</v>
          </cell>
          <cell r="I3911">
            <v>1776.1937296337503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P3911">
            <v>1776</v>
          </cell>
          <cell r="V3911" t="str">
            <v>Available</v>
          </cell>
        </row>
        <row r="3912">
          <cell r="A3912" t="str">
            <v>105300330038</v>
          </cell>
          <cell r="B3912" t="str">
            <v>Kalyanpur</v>
          </cell>
          <cell r="C3912" t="str">
            <v>Kalyanpur</v>
          </cell>
          <cell r="D3912" t="str">
            <v>Gomukh Harpur</v>
          </cell>
          <cell r="E3912">
            <v>10530033</v>
          </cell>
          <cell r="F3912" t="str">
            <v>0038</v>
          </cell>
          <cell r="G3912">
            <v>11</v>
          </cell>
          <cell r="H3912">
            <v>18.009999999999998</v>
          </cell>
          <cell r="I3912">
            <v>601.49901794400012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P3912">
            <v>601</v>
          </cell>
          <cell r="V3912" t="str">
            <v>Available</v>
          </cell>
        </row>
        <row r="3913">
          <cell r="A3913" t="str">
            <v>105300330039</v>
          </cell>
          <cell r="B3913" t="str">
            <v>Kalyanpur</v>
          </cell>
          <cell r="C3913" t="str">
            <v>Kalyanpur</v>
          </cell>
          <cell r="D3913" t="str">
            <v>Gomukh Harpur</v>
          </cell>
          <cell r="E3913">
            <v>10530033</v>
          </cell>
          <cell r="F3913" t="str">
            <v>0039</v>
          </cell>
          <cell r="G3913">
            <v>6</v>
          </cell>
          <cell r="H3913">
            <v>15.87</v>
          </cell>
          <cell r="I3913">
            <v>588.65020711200009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P3913">
            <v>589</v>
          </cell>
          <cell r="V3913" t="str">
            <v>Available</v>
          </cell>
        </row>
        <row r="3914">
          <cell r="A3914" t="str">
            <v>105300330040</v>
          </cell>
          <cell r="B3914" t="str">
            <v>Kalyanpur</v>
          </cell>
          <cell r="C3914" t="str">
            <v>Kalyanpur</v>
          </cell>
          <cell r="D3914" t="str">
            <v>Gomukh Harpur</v>
          </cell>
          <cell r="E3914">
            <v>10530033</v>
          </cell>
          <cell r="F3914" t="str">
            <v>0040</v>
          </cell>
          <cell r="G3914">
            <v>13</v>
          </cell>
          <cell r="H3914">
            <v>60.32</v>
          </cell>
          <cell r="I3914">
            <v>2175.5010572932501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P3914">
            <v>2176</v>
          </cell>
          <cell r="V3914" t="str">
            <v>Available</v>
          </cell>
        </row>
        <row r="3915">
          <cell r="A3915" t="str">
            <v>105300330041</v>
          </cell>
          <cell r="B3915" t="str">
            <v>Kalyanpur</v>
          </cell>
          <cell r="C3915" t="str">
            <v>Kalyanpur</v>
          </cell>
          <cell r="D3915" t="str">
            <v>Gomukh Harpur</v>
          </cell>
          <cell r="E3915">
            <v>10530033</v>
          </cell>
          <cell r="F3915" t="str">
            <v>0041</v>
          </cell>
          <cell r="G3915">
            <v>14</v>
          </cell>
          <cell r="H3915">
            <v>43.21</v>
          </cell>
          <cell r="I3915">
            <v>1424.5202857446002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P3915">
            <v>1425</v>
          </cell>
          <cell r="V3915" t="str">
            <v>Available</v>
          </cell>
        </row>
        <row r="3916">
          <cell r="A3916" t="str">
            <v>105300330042</v>
          </cell>
          <cell r="B3916" t="str">
            <v>Kalyanpur</v>
          </cell>
          <cell r="C3916" t="str">
            <v>Kalyanpur</v>
          </cell>
          <cell r="D3916" t="str">
            <v>Gomukh Harpur</v>
          </cell>
          <cell r="E3916">
            <v>10530033</v>
          </cell>
          <cell r="F3916" t="str">
            <v>0042</v>
          </cell>
          <cell r="G3916">
            <v>13</v>
          </cell>
          <cell r="H3916">
            <v>57.030000000000008</v>
          </cell>
          <cell r="I3916">
            <v>2187.799768984501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P3916">
            <v>2188</v>
          </cell>
          <cell r="V3916" t="str">
            <v>Available</v>
          </cell>
        </row>
        <row r="3917">
          <cell r="A3917" t="str">
            <v>105300340002</v>
          </cell>
          <cell r="B3917" t="str">
            <v>Kalyanpur</v>
          </cell>
          <cell r="C3917" t="str">
            <v>Kalyanpur</v>
          </cell>
          <cell r="D3917" t="str">
            <v>Gomukh Fulhatta</v>
          </cell>
          <cell r="E3917">
            <v>10530034</v>
          </cell>
          <cell r="F3917" t="str">
            <v>0002</v>
          </cell>
          <cell r="G3917">
            <v>14</v>
          </cell>
          <cell r="H3917">
            <v>90.830000000000013</v>
          </cell>
          <cell r="I3917">
            <v>7615.0171977923837</v>
          </cell>
          <cell r="J3917">
            <v>0</v>
          </cell>
          <cell r="K3917">
            <v>0</v>
          </cell>
          <cell r="L3917">
            <v>126</v>
          </cell>
          <cell r="M3917">
            <v>0</v>
          </cell>
          <cell r="P3917">
            <v>7489</v>
          </cell>
          <cell r="V3917" t="str">
            <v>Available</v>
          </cell>
        </row>
        <row r="3918">
          <cell r="A3918" t="str">
            <v>105300340005</v>
          </cell>
          <cell r="B3918" t="str">
            <v>Kalyanpur</v>
          </cell>
          <cell r="C3918" t="str">
            <v>Kalyanpur</v>
          </cell>
          <cell r="D3918" t="str">
            <v>Gomukh Fulhatta</v>
          </cell>
          <cell r="E3918">
            <v>10530034</v>
          </cell>
          <cell r="F3918" t="str">
            <v>0005</v>
          </cell>
          <cell r="G3918">
            <v>12</v>
          </cell>
          <cell r="H3918">
            <v>19.23</v>
          </cell>
          <cell r="I3918">
            <v>807.02476034400001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P3918">
            <v>807</v>
          </cell>
          <cell r="V3918" t="str">
            <v>Available</v>
          </cell>
        </row>
        <row r="3919">
          <cell r="A3919" t="str">
            <v>105300340006</v>
          </cell>
          <cell r="B3919" t="str">
            <v>Kalyanpur</v>
          </cell>
          <cell r="C3919" t="str">
            <v>Kalyanpur</v>
          </cell>
          <cell r="D3919" t="str">
            <v>Gomukh Fulhatta</v>
          </cell>
          <cell r="E3919">
            <v>10530034</v>
          </cell>
          <cell r="F3919" t="str">
            <v>0006</v>
          </cell>
          <cell r="G3919">
            <v>12</v>
          </cell>
          <cell r="H3919">
            <v>62.5</v>
          </cell>
          <cell r="I3919">
            <v>3263.2505747003797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P3919">
            <v>3263</v>
          </cell>
          <cell r="V3919" t="str">
            <v>Available</v>
          </cell>
        </row>
        <row r="3920">
          <cell r="A3920" t="str">
            <v>105300340007</v>
          </cell>
          <cell r="B3920" t="str">
            <v>Kalyanpur</v>
          </cell>
          <cell r="C3920" t="str">
            <v>Kalyanpur</v>
          </cell>
          <cell r="D3920" t="str">
            <v>Gomukh Fulhatta</v>
          </cell>
          <cell r="E3920">
            <v>10530034</v>
          </cell>
          <cell r="F3920" t="str">
            <v>0007</v>
          </cell>
          <cell r="G3920">
            <v>10</v>
          </cell>
          <cell r="H3920">
            <v>42.44</v>
          </cell>
          <cell r="I3920">
            <v>2309.2960490215901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P3920">
            <v>2309</v>
          </cell>
          <cell r="V3920" t="str">
            <v>Available</v>
          </cell>
        </row>
        <row r="3921">
          <cell r="A3921" t="str">
            <v>105300340008</v>
          </cell>
          <cell r="B3921" t="str">
            <v>Kalyanpur</v>
          </cell>
          <cell r="C3921" t="str">
            <v>Kalyanpur</v>
          </cell>
          <cell r="D3921" t="str">
            <v>Gomukh Fulhatta</v>
          </cell>
          <cell r="E3921">
            <v>10530034</v>
          </cell>
          <cell r="F3921" t="str">
            <v>0008</v>
          </cell>
          <cell r="G3921">
            <v>2</v>
          </cell>
          <cell r="H3921">
            <v>2.12</v>
          </cell>
          <cell r="I3921">
            <v>116.52060180520002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P3921">
            <v>117</v>
          </cell>
          <cell r="V3921" t="str">
            <v>Available</v>
          </cell>
        </row>
        <row r="3922">
          <cell r="A3922" t="str">
            <v>105300340010</v>
          </cell>
          <cell r="B3922" t="str">
            <v>Kalyanpur</v>
          </cell>
          <cell r="C3922" t="str">
            <v>Kalyanpur</v>
          </cell>
          <cell r="D3922" t="str">
            <v>Gomukh Fulhatta</v>
          </cell>
          <cell r="E3922">
            <v>10530034</v>
          </cell>
          <cell r="F3922" t="str">
            <v>0010</v>
          </cell>
          <cell r="G3922">
            <v>3</v>
          </cell>
          <cell r="H3922">
            <v>3.48</v>
          </cell>
          <cell r="I3922">
            <v>256.76847896289996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P3922">
            <v>257</v>
          </cell>
          <cell r="V3922" t="str">
            <v>Available</v>
          </cell>
        </row>
        <row r="3923">
          <cell r="A3923" t="str">
            <v>105300340016</v>
          </cell>
          <cell r="B3923" t="str">
            <v>Kalyanpur</v>
          </cell>
          <cell r="C3923" t="str">
            <v>Kalyanpur</v>
          </cell>
          <cell r="D3923" t="str">
            <v>Gomukh Fulhatta</v>
          </cell>
          <cell r="E3923">
            <v>10530034</v>
          </cell>
          <cell r="F3923" t="str">
            <v>0016</v>
          </cell>
          <cell r="G3923">
            <v>14</v>
          </cell>
          <cell r="H3923">
            <v>55.819999999999993</v>
          </cell>
          <cell r="I3923">
            <v>1869.5862808722004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P3923">
            <v>1870</v>
          </cell>
          <cell r="V3923" t="str">
            <v>Available</v>
          </cell>
        </row>
        <row r="3924">
          <cell r="A3924" t="str">
            <v>105300340018</v>
          </cell>
          <cell r="B3924" t="str">
            <v>Kalyanpur</v>
          </cell>
          <cell r="C3924" t="str">
            <v>Kalyanpur</v>
          </cell>
          <cell r="D3924" t="str">
            <v>Gomukh Fulhatta</v>
          </cell>
          <cell r="E3924">
            <v>10530034</v>
          </cell>
          <cell r="F3924" t="str">
            <v>0018</v>
          </cell>
          <cell r="G3924">
            <v>7</v>
          </cell>
          <cell r="H3924">
            <v>30.169999999999995</v>
          </cell>
          <cell r="I3924">
            <v>1752.8156233595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P3924">
            <v>1753</v>
          </cell>
          <cell r="V3924" t="str">
            <v>Available</v>
          </cell>
        </row>
        <row r="3925">
          <cell r="A3925" t="str">
            <v>105300340020</v>
          </cell>
          <cell r="B3925" t="str">
            <v>Kalyanpur</v>
          </cell>
          <cell r="C3925" t="str">
            <v>Kalyanpur</v>
          </cell>
          <cell r="D3925" t="str">
            <v>Gomukh Fulhatta</v>
          </cell>
          <cell r="E3925">
            <v>10530034</v>
          </cell>
          <cell r="F3925" t="str">
            <v>0020</v>
          </cell>
          <cell r="G3925">
            <v>7</v>
          </cell>
          <cell r="H3925">
            <v>19.260000000000002</v>
          </cell>
          <cell r="I3925">
            <v>894.44702844930021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P3925">
            <v>894</v>
          </cell>
          <cell r="V3925" t="str">
            <v>Available</v>
          </cell>
        </row>
        <row r="3926">
          <cell r="A3926" t="str">
            <v>105300340023</v>
          </cell>
          <cell r="B3926" t="str">
            <v>Kalyanpur</v>
          </cell>
          <cell r="C3926" t="str">
            <v>Kalyanpur</v>
          </cell>
          <cell r="D3926" t="str">
            <v>Gomukh Fulhatta</v>
          </cell>
          <cell r="E3926">
            <v>10530034</v>
          </cell>
          <cell r="F3926" t="str">
            <v>0023</v>
          </cell>
          <cell r="G3926">
            <v>13</v>
          </cell>
          <cell r="H3926">
            <v>33.979999999999997</v>
          </cell>
          <cell r="I3926">
            <v>1289.4342495210001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P3926">
            <v>1289</v>
          </cell>
          <cell r="V3926" t="str">
            <v>Available</v>
          </cell>
        </row>
        <row r="3927">
          <cell r="A3927" t="str">
            <v>105300340024</v>
          </cell>
          <cell r="B3927" t="str">
            <v>Kalyanpur</v>
          </cell>
          <cell r="C3927" t="str">
            <v>Kalyanpur</v>
          </cell>
          <cell r="D3927" t="str">
            <v>Gomukh Fulhatta</v>
          </cell>
          <cell r="E3927">
            <v>10530034</v>
          </cell>
          <cell r="F3927" t="str">
            <v>0024</v>
          </cell>
          <cell r="G3927">
            <v>2</v>
          </cell>
          <cell r="H3927">
            <v>4.5999999999999996</v>
          </cell>
          <cell r="I3927">
            <v>174.77293680000002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P3927">
            <v>175</v>
          </cell>
          <cell r="V3927" t="str">
            <v>Available</v>
          </cell>
        </row>
        <row r="3928">
          <cell r="A3928" t="str">
            <v>105300340026</v>
          </cell>
          <cell r="B3928" t="str">
            <v>Kalyanpur</v>
          </cell>
          <cell r="C3928" t="str">
            <v>Kalyanpur</v>
          </cell>
          <cell r="D3928" t="str">
            <v>Gomukh Fulhatta</v>
          </cell>
          <cell r="E3928">
            <v>10530034</v>
          </cell>
          <cell r="F3928" t="str">
            <v>0026</v>
          </cell>
          <cell r="G3928">
            <v>9</v>
          </cell>
          <cell r="H3928">
            <v>14.879999999999999</v>
          </cell>
          <cell r="I3928">
            <v>483.99699783600011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P3928">
            <v>484</v>
          </cell>
          <cell r="V3928" t="str">
            <v>Available</v>
          </cell>
        </row>
        <row r="3929">
          <cell r="A3929" t="str">
            <v>105300340027</v>
          </cell>
          <cell r="B3929" t="str">
            <v>Kalyanpur</v>
          </cell>
          <cell r="C3929" t="str">
            <v>Kalyanpur</v>
          </cell>
          <cell r="D3929" t="str">
            <v>Gomukh Fulhatta</v>
          </cell>
          <cell r="E3929">
            <v>10530034</v>
          </cell>
          <cell r="F3929" t="str">
            <v>0027</v>
          </cell>
          <cell r="G3929">
            <v>7</v>
          </cell>
          <cell r="H3929">
            <v>14.68</v>
          </cell>
          <cell r="I3929">
            <v>954.37001272359998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P3929">
            <v>954</v>
          </cell>
          <cell r="V3929" t="str">
            <v>Available</v>
          </cell>
        </row>
        <row r="3930">
          <cell r="A3930" t="str">
            <v>105300340029</v>
          </cell>
          <cell r="B3930" t="str">
            <v>Kalyanpur</v>
          </cell>
          <cell r="C3930" t="str">
            <v>Kalyanpur</v>
          </cell>
          <cell r="D3930" t="str">
            <v>Gomukh Fulhatta</v>
          </cell>
          <cell r="E3930">
            <v>10530034</v>
          </cell>
          <cell r="F3930" t="str">
            <v>0029</v>
          </cell>
          <cell r="G3930">
            <v>5</v>
          </cell>
          <cell r="H3930">
            <v>6.3000000000000007</v>
          </cell>
          <cell r="I3930">
            <v>226.34924366340005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P3930">
            <v>226</v>
          </cell>
          <cell r="V3930" t="str">
            <v>Available</v>
          </cell>
        </row>
        <row r="3931">
          <cell r="A3931" t="str">
            <v>105300340030</v>
          </cell>
          <cell r="B3931" t="str">
            <v>Kalyanpur</v>
          </cell>
          <cell r="C3931" t="str">
            <v>Kalyanpur</v>
          </cell>
          <cell r="D3931" t="str">
            <v>Gomukh Fulhatta</v>
          </cell>
          <cell r="E3931">
            <v>10530034</v>
          </cell>
          <cell r="F3931" t="str">
            <v>0030</v>
          </cell>
          <cell r="G3931">
            <v>6</v>
          </cell>
          <cell r="H3931">
            <v>19.03</v>
          </cell>
          <cell r="I3931">
            <v>1163.8553903898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P3931">
            <v>1164</v>
          </cell>
          <cell r="V3931" t="str">
            <v>Available</v>
          </cell>
        </row>
        <row r="3932">
          <cell r="A3932" t="str">
            <v>105300340031</v>
          </cell>
          <cell r="B3932" t="str">
            <v>Kalyanpur</v>
          </cell>
          <cell r="C3932" t="str">
            <v>Kalyanpur</v>
          </cell>
          <cell r="D3932" t="str">
            <v>Gomukh Fulhatta</v>
          </cell>
          <cell r="E3932">
            <v>10530034</v>
          </cell>
          <cell r="F3932" t="str">
            <v>0031</v>
          </cell>
          <cell r="G3932">
            <v>6</v>
          </cell>
          <cell r="H3932">
            <v>8.89</v>
          </cell>
          <cell r="I3932">
            <v>523.90269179630013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P3932">
            <v>524</v>
          </cell>
          <cell r="V3932" t="str">
            <v>Available</v>
          </cell>
        </row>
        <row r="3933">
          <cell r="A3933" t="str">
            <v>105300340037</v>
          </cell>
          <cell r="B3933" t="str">
            <v>Kalyanpur</v>
          </cell>
          <cell r="C3933" t="str">
            <v>Kalyanpur</v>
          </cell>
          <cell r="D3933" t="str">
            <v>Gomukh Fulhatta</v>
          </cell>
          <cell r="E3933">
            <v>10530034</v>
          </cell>
          <cell r="F3933" t="str">
            <v>0037</v>
          </cell>
          <cell r="G3933">
            <v>3</v>
          </cell>
          <cell r="H3933">
            <v>2.84</v>
          </cell>
          <cell r="I3933">
            <v>242.80278450359992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P3933">
            <v>243</v>
          </cell>
          <cell r="V3933" t="str">
            <v>Available</v>
          </cell>
        </row>
        <row r="3934">
          <cell r="A3934" t="str">
            <v>105300340044</v>
          </cell>
          <cell r="B3934" t="str">
            <v>Kalyanpur</v>
          </cell>
          <cell r="C3934" t="str">
            <v>Kalyanpur</v>
          </cell>
          <cell r="D3934" t="str">
            <v>Gomukh Fulhatta</v>
          </cell>
          <cell r="E3934">
            <v>10530034</v>
          </cell>
          <cell r="F3934" t="str">
            <v>0044</v>
          </cell>
          <cell r="G3934">
            <v>13</v>
          </cell>
          <cell r="H3934">
            <v>49.410000000000004</v>
          </cell>
          <cell r="I3934">
            <v>1852.0589365452902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P3934">
            <v>1852</v>
          </cell>
          <cell r="V3934" t="str">
            <v>Available</v>
          </cell>
        </row>
        <row r="3935">
          <cell r="A3935" t="str">
            <v>105300340046</v>
          </cell>
          <cell r="B3935" t="str">
            <v>Kalyanpur</v>
          </cell>
          <cell r="C3935" t="str">
            <v>Kalyanpur</v>
          </cell>
          <cell r="D3935" t="str">
            <v>Gomukh Fulhatta</v>
          </cell>
          <cell r="E3935">
            <v>10530034</v>
          </cell>
          <cell r="F3935" t="str">
            <v>0046</v>
          </cell>
          <cell r="G3935">
            <v>7</v>
          </cell>
          <cell r="H3935">
            <v>32.89</v>
          </cell>
          <cell r="I3935">
            <v>1899.7913304937999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P3935">
            <v>1900</v>
          </cell>
          <cell r="V3935" t="str">
            <v>Available</v>
          </cell>
        </row>
        <row r="3936">
          <cell r="A3936" t="str">
            <v>105300340048</v>
          </cell>
          <cell r="B3936" t="str">
            <v>Kalyanpur</v>
          </cell>
          <cell r="C3936" t="str">
            <v>Kalyanpur</v>
          </cell>
          <cell r="D3936" t="str">
            <v>Gomukh Fulhatta</v>
          </cell>
          <cell r="E3936">
            <v>10530034</v>
          </cell>
          <cell r="F3936" t="str">
            <v>0048</v>
          </cell>
          <cell r="G3936">
            <v>13</v>
          </cell>
          <cell r="H3936">
            <v>32.870000000000005</v>
          </cell>
          <cell r="I3936">
            <v>1743.0641939038003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P3936">
            <v>1743</v>
          </cell>
          <cell r="V3936" t="str">
            <v>Available</v>
          </cell>
        </row>
        <row r="3937">
          <cell r="A3937" t="str">
            <v>105300340049</v>
          </cell>
          <cell r="B3937" t="str">
            <v>Kalyanpur</v>
          </cell>
          <cell r="C3937" t="str">
            <v>Kalyanpur</v>
          </cell>
          <cell r="D3937" t="str">
            <v>Gomukh Fulhatta</v>
          </cell>
          <cell r="E3937">
            <v>10530034</v>
          </cell>
          <cell r="F3937" t="str">
            <v>0049</v>
          </cell>
          <cell r="G3937">
            <v>12</v>
          </cell>
          <cell r="H3937">
            <v>54</v>
          </cell>
          <cell r="I3937">
            <v>2098.8419849100001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P3937">
            <v>2099</v>
          </cell>
          <cell r="V3937" t="str">
            <v>Available</v>
          </cell>
        </row>
        <row r="3938">
          <cell r="A3938" t="str">
            <v>105300340051</v>
          </cell>
          <cell r="B3938" t="str">
            <v>Kalyanpur</v>
          </cell>
          <cell r="C3938" t="str">
            <v>Kalyanpur</v>
          </cell>
          <cell r="D3938" t="str">
            <v>Gomukh Fulhatta</v>
          </cell>
          <cell r="E3938">
            <v>10530034</v>
          </cell>
          <cell r="F3938" t="str">
            <v>0051</v>
          </cell>
          <cell r="G3938">
            <v>14</v>
          </cell>
          <cell r="H3938">
            <v>45.59</v>
          </cell>
          <cell r="I3938">
            <v>1372.5602728199997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P3938">
            <v>1373</v>
          </cell>
          <cell r="V3938" t="str">
            <v>Available</v>
          </cell>
        </row>
        <row r="3939">
          <cell r="A3939" t="str">
            <v>105300340052</v>
          </cell>
          <cell r="B3939" t="str">
            <v>Kalyanpur</v>
          </cell>
          <cell r="C3939" t="str">
            <v>Kalyanpur</v>
          </cell>
          <cell r="D3939" t="str">
            <v>Gomukh Fulhatta</v>
          </cell>
          <cell r="E3939">
            <v>10530034</v>
          </cell>
          <cell r="F3939" t="str">
            <v>0052</v>
          </cell>
          <cell r="G3939">
            <v>12</v>
          </cell>
          <cell r="H3939">
            <v>25.47</v>
          </cell>
          <cell r="I3939">
            <v>904.1001058188001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P3939">
            <v>904</v>
          </cell>
          <cell r="V3939" t="str">
            <v>Available</v>
          </cell>
        </row>
        <row r="3940">
          <cell r="A3940" t="str">
            <v>105300340053</v>
          </cell>
          <cell r="B3940" t="str">
            <v>Kalyanpur</v>
          </cell>
          <cell r="C3940" t="str">
            <v>Kalyanpur</v>
          </cell>
          <cell r="D3940" t="str">
            <v>Gomukh Fulhatta</v>
          </cell>
          <cell r="E3940">
            <v>10530034</v>
          </cell>
          <cell r="F3940" t="str">
            <v>0053</v>
          </cell>
          <cell r="G3940">
            <v>10</v>
          </cell>
          <cell r="H3940">
            <v>29.790000000000003</v>
          </cell>
          <cell r="I3940">
            <v>1551.3608139862999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P3940">
            <v>1551</v>
          </cell>
          <cell r="V3940" t="str">
            <v>Available</v>
          </cell>
        </row>
        <row r="3941">
          <cell r="A3941" t="str">
            <v>105300340058</v>
          </cell>
          <cell r="B3941" t="str">
            <v>Kalyanpur</v>
          </cell>
          <cell r="C3941" t="str">
            <v>Kalyanpur</v>
          </cell>
          <cell r="D3941" t="str">
            <v>Gomukh Fulhatta</v>
          </cell>
          <cell r="E3941">
            <v>10530034</v>
          </cell>
          <cell r="F3941" t="str">
            <v>0058</v>
          </cell>
          <cell r="G3941">
            <v>4</v>
          </cell>
          <cell r="H3941">
            <v>8.43</v>
          </cell>
          <cell r="I3941">
            <v>536.8879289322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P3941">
            <v>537</v>
          </cell>
          <cell r="V3941" t="str">
            <v>Available</v>
          </cell>
        </row>
        <row r="3942">
          <cell r="A3942" t="str">
            <v>105300340063</v>
          </cell>
          <cell r="B3942" t="str">
            <v>Kalyanpur</v>
          </cell>
          <cell r="C3942" t="str">
            <v>Kalyanpur</v>
          </cell>
          <cell r="D3942" t="str">
            <v>Gomukh Fulhatta</v>
          </cell>
          <cell r="E3942">
            <v>10530034</v>
          </cell>
          <cell r="F3942" t="str">
            <v>0063</v>
          </cell>
          <cell r="G3942">
            <v>13</v>
          </cell>
          <cell r="H3942">
            <v>29.919999999999998</v>
          </cell>
          <cell r="I3942">
            <v>1249.44280117572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P3942">
            <v>1249</v>
          </cell>
          <cell r="V3942" t="str">
            <v>Available</v>
          </cell>
        </row>
        <row r="3943">
          <cell r="A3943" t="str">
            <v>105300340068</v>
          </cell>
          <cell r="B3943" t="str">
            <v>Kalyanpur</v>
          </cell>
          <cell r="C3943" t="str">
            <v>Kalyanpur</v>
          </cell>
          <cell r="D3943" t="str">
            <v>Gomukh Fulhatta</v>
          </cell>
          <cell r="E3943">
            <v>10530034</v>
          </cell>
          <cell r="F3943" t="str">
            <v>0068</v>
          </cell>
          <cell r="G3943">
            <v>7</v>
          </cell>
          <cell r="H3943">
            <v>13.16</v>
          </cell>
          <cell r="I3943">
            <v>808.16624140529996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P3943">
            <v>808</v>
          </cell>
          <cell r="V3943" t="str">
            <v>Available</v>
          </cell>
        </row>
        <row r="3944">
          <cell r="A3944" t="str">
            <v>105300340071</v>
          </cell>
          <cell r="B3944" t="str">
            <v>Kalyanpur</v>
          </cell>
          <cell r="C3944" t="str">
            <v>Kalyanpur</v>
          </cell>
          <cell r="D3944" t="str">
            <v>Gomukh Fulhatta</v>
          </cell>
          <cell r="E3944">
            <v>10530034</v>
          </cell>
          <cell r="F3944" t="str">
            <v>0071</v>
          </cell>
          <cell r="G3944">
            <v>12</v>
          </cell>
          <cell r="H3944">
            <v>17.5</v>
          </cell>
          <cell r="I3944">
            <v>1154.4689592260002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P3944">
            <v>1154</v>
          </cell>
          <cell r="V3944" t="str">
            <v>Available</v>
          </cell>
        </row>
        <row r="3945">
          <cell r="A3945" t="str">
            <v>105300340078</v>
          </cell>
          <cell r="B3945" t="str">
            <v>Kalyanpur</v>
          </cell>
          <cell r="C3945" t="str">
            <v>Kalyanpur</v>
          </cell>
          <cell r="D3945" t="str">
            <v>Gomukh Fulhatta</v>
          </cell>
          <cell r="E3945">
            <v>10530034</v>
          </cell>
          <cell r="F3945" t="str">
            <v>0078</v>
          </cell>
          <cell r="G3945">
            <v>8</v>
          </cell>
          <cell r="H3945">
            <v>13.23</v>
          </cell>
          <cell r="I3945">
            <v>654.78296905311004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P3945">
            <v>655</v>
          </cell>
          <cell r="V3945" t="str">
            <v>Available</v>
          </cell>
        </row>
        <row r="3946">
          <cell r="A3946" t="str">
            <v>105300340081</v>
          </cell>
          <cell r="B3946" t="str">
            <v>Kalyanpur</v>
          </cell>
          <cell r="C3946" t="str">
            <v>Kalyanpur</v>
          </cell>
          <cell r="D3946" t="str">
            <v>Gomukh Fulhatta</v>
          </cell>
          <cell r="E3946">
            <v>10530034</v>
          </cell>
          <cell r="F3946" t="str">
            <v>0081</v>
          </cell>
          <cell r="G3946">
            <v>7</v>
          </cell>
          <cell r="H3946">
            <v>14.77</v>
          </cell>
          <cell r="I3946">
            <v>693.05400718540011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P3946">
            <v>693</v>
          </cell>
          <cell r="V3946" t="str">
            <v>Available</v>
          </cell>
        </row>
        <row r="3947">
          <cell r="A3947" t="str">
            <v>105300340082</v>
          </cell>
          <cell r="B3947" t="str">
            <v>Kalyanpur</v>
          </cell>
          <cell r="C3947" t="str">
            <v>Kalyanpur</v>
          </cell>
          <cell r="D3947" t="str">
            <v>Gomukh Fulhatta</v>
          </cell>
          <cell r="E3947">
            <v>10530034</v>
          </cell>
          <cell r="F3947" t="str">
            <v>0082</v>
          </cell>
          <cell r="G3947">
            <v>3</v>
          </cell>
          <cell r="H3947">
            <v>8.43</v>
          </cell>
          <cell r="I3947">
            <v>455.33747757846004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P3947">
            <v>455</v>
          </cell>
          <cell r="V3947" t="str">
            <v>Available</v>
          </cell>
        </row>
        <row r="3948">
          <cell r="A3948" t="str">
            <v>105300340083</v>
          </cell>
          <cell r="B3948" t="str">
            <v>Kalyanpur</v>
          </cell>
          <cell r="C3948" t="str">
            <v>Kalyanpur</v>
          </cell>
          <cell r="D3948" t="str">
            <v>Gomukh Fulhatta</v>
          </cell>
          <cell r="E3948">
            <v>10530034</v>
          </cell>
          <cell r="F3948" t="str">
            <v>0083</v>
          </cell>
          <cell r="G3948">
            <v>3</v>
          </cell>
          <cell r="H3948">
            <v>4.99</v>
          </cell>
          <cell r="I3948">
            <v>393.18295772709996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P3948">
            <v>393</v>
          </cell>
          <cell r="V3948" t="str">
            <v>Available</v>
          </cell>
        </row>
        <row r="3949">
          <cell r="A3949" t="str">
            <v>105300340084</v>
          </cell>
          <cell r="B3949" t="str">
            <v>Kalyanpur</v>
          </cell>
          <cell r="C3949" t="str">
            <v>Kalyanpur</v>
          </cell>
          <cell r="D3949" t="str">
            <v>Gomukh Fulhatta</v>
          </cell>
          <cell r="E3949">
            <v>10530034</v>
          </cell>
          <cell r="F3949" t="str">
            <v>0084</v>
          </cell>
          <cell r="G3949">
            <v>10</v>
          </cell>
          <cell r="H3949">
            <v>27.09</v>
          </cell>
          <cell r="I3949">
            <v>1307.1891059253001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P3949">
            <v>1307</v>
          </cell>
          <cell r="V3949" t="str">
            <v>Available</v>
          </cell>
        </row>
        <row r="3950">
          <cell r="A3950" t="str">
            <v>105300340085</v>
          </cell>
          <cell r="B3950" t="str">
            <v>Kalyanpur</v>
          </cell>
          <cell r="C3950" t="str">
            <v>Kalyanpur</v>
          </cell>
          <cell r="D3950" t="str">
            <v>Gomukh Fulhatta</v>
          </cell>
          <cell r="E3950">
            <v>10530034</v>
          </cell>
          <cell r="F3950" t="str">
            <v>0085</v>
          </cell>
          <cell r="G3950">
            <v>6</v>
          </cell>
          <cell r="H3950">
            <v>10.07</v>
          </cell>
          <cell r="I3950">
            <v>674.16894622780001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P3950">
            <v>674</v>
          </cell>
          <cell r="V3950" t="str">
            <v>Available</v>
          </cell>
        </row>
        <row r="3951">
          <cell r="A3951" t="str">
            <v>105300340088</v>
          </cell>
          <cell r="B3951" t="str">
            <v>Kalyanpur</v>
          </cell>
          <cell r="C3951" t="str">
            <v>Kalyanpur</v>
          </cell>
          <cell r="D3951" t="str">
            <v>Gomukh Fulhatta</v>
          </cell>
          <cell r="E3951">
            <v>10530034</v>
          </cell>
          <cell r="F3951" t="str">
            <v>0088</v>
          </cell>
          <cell r="G3951">
            <v>11</v>
          </cell>
          <cell r="H3951">
            <v>19.849999999999998</v>
          </cell>
          <cell r="I3951">
            <v>776.06869850435999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P3951">
            <v>776</v>
          </cell>
          <cell r="V3951" t="str">
            <v>Available</v>
          </cell>
        </row>
        <row r="3952">
          <cell r="A3952" t="str">
            <v>105300350001</v>
          </cell>
          <cell r="B3952" t="str">
            <v>Kalyanpur</v>
          </cell>
          <cell r="C3952" t="str">
            <v>Kalyanpur</v>
          </cell>
          <cell r="D3952" t="str">
            <v>Gomukh Birauli Khurd</v>
          </cell>
          <cell r="E3952">
            <v>10530035</v>
          </cell>
          <cell r="F3952" t="str">
            <v>0001</v>
          </cell>
          <cell r="G3952">
            <v>14</v>
          </cell>
          <cell r="H3952">
            <v>14.589999999999998</v>
          </cell>
          <cell r="I3952">
            <v>613.44358606221613</v>
          </cell>
          <cell r="J3952">
            <v>0</v>
          </cell>
          <cell r="K3952">
            <v>613.44358606221613</v>
          </cell>
          <cell r="L3952">
            <v>0</v>
          </cell>
          <cell r="M3952">
            <v>0</v>
          </cell>
          <cell r="P3952">
            <v>0</v>
          </cell>
          <cell r="V3952" t="str">
            <v>Not Available</v>
          </cell>
        </row>
        <row r="3953">
          <cell r="A3953" t="str">
            <v>105300350002</v>
          </cell>
          <cell r="B3953" t="str">
            <v>Kalyanpur</v>
          </cell>
          <cell r="C3953" t="str">
            <v>Kalyanpur</v>
          </cell>
          <cell r="D3953" t="str">
            <v>Gomukh Birauli Khurd</v>
          </cell>
          <cell r="E3953">
            <v>10530035</v>
          </cell>
          <cell r="F3953" t="str">
            <v>0002</v>
          </cell>
          <cell r="G3953">
            <v>6</v>
          </cell>
          <cell r="H3953">
            <v>32.46</v>
          </cell>
          <cell r="I3953">
            <v>1169.2233550800001</v>
          </cell>
          <cell r="J3953">
            <v>0</v>
          </cell>
          <cell r="K3953">
            <v>0</v>
          </cell>
          <cell r="L3953">
            <v>0</v>
          </cell>
          <cell r="M3953">
            <v>925</v>
          </cell>
          <cell r="P3953">
            <v>0</v>
          </cell>
          <cell r="V3953" t="str">
            <v>Available</v>
          </cell>
        </row>
        <row r="3954">
          <cell r="A3954" t="str">
            <v>105300350003</v>
          </cell>
          <cell r="B3954" t="str">
            <v>Kalyanpur</v>
          </cell>
          <cell r="C3954" t="str">
            <v>Kalyanpur</v>
          </cell>
          <cell r="D3954" t="str">
            <v>Gomukh Birauli Khurd</v>
          </cell>
          <cell r="E3954">
            <v>10530035</v>
          </cell>
          <cell r="F3954" t="str">
            <v>0003</v>
          </cell>
          <cell r="G3954">
            <v>14</v>
          </cell>
          <cell r="H3954">
            <v>62.38</v>
          </cell>
          <cell r="I3954">
            <v>2123.9727086160001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P3954">
            <v>2124</v>
          </cell>
          <cell r="V3954" t="str">
            <v>Available</v>
          </cell>
        </row>
        <row r="3955">
          <cell r="A3955" t="str">
            <v>105300350005</v>
          </cell>
          <cell r="B3955" t="str">
            <v>Kalyanpur</v>
          </cell>
          <cell r="C3955" t="str">
            <v>Kalyanpur</v>
          </cell>
          <cell r="D3955" t="str">
            <v>Gomukh Birauli Khurd</v>
          </cell>
          <cell r="E3955">
            <v>10530035</v>
          </cell>
          <cell r="F3955" t="str">
            <v>0005</v>
          </cell>
          <cell r="G3955">
            <v>8</v>
          </cell>
          <cell r="H3955">
            <v>16.46</v>
          </cell>
          <cell r="I3955">
            <v>582.0584591052002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P3955">
            <v>582</v>
          </cell>
          <cell r="V3955" t="str">
            <v>Available</v>
          </cell>
        </row>
        <row r="3956">
          <cell r="A3956" t="str">
            <v>105300350006</v>
          </cell>
          <cell r="B3956" t="str">
            <v>Kalyanpur</v>
          </cell>
          <cell r="C3956" t="str">
            <v>Kalyanpur</v>
          </cell>
          <cell r="D3956" t="str">
            <v>Gomukh Birauli Khurd</v>
          </cell>
          <cell r="E3956">
            <v>10530035</v>
          </cell>
          <cell r="F3956" t="str">
            <v>0006</v>
          </cell>
          <cell r="G3956">
            <v>7</v>
          </cell>
          <cell r="H3956">
            <v>26.08</v>
          </cell>
          <cell r="I3956">
            <v>985.27636825200011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P3956">
            <v>985</v>
          </cell>
          <cell r="V3956" t="str">
            <v>Available</v>
          </cell>
        </row>
        <row r="3957">
          <cell r="A3957" t="str">
            <v>105300350007</v>
          </cell>
          <cell r="B3957" t="str">
            <v>Kalyanpur</v>
          </cell>
          <cell r="C3957" t="str">
            <v>Kalyanpur</v>
          </cell>
          <cell r="D3957" t="str">
            <v>Gomukh Birauli Khurd</v>
          </cell>
          <cell r="E3957">
            <v>10530035</v>
          </cell>
          <cell r="F3957" t="str">
            <v>0007</v>
          </cell>
          <cell r="G3957">
            <v>7</v>
          </cell>
          <cell r="H3957">
            <v>14.45</v>
          </cell>
          <cell r="I3957">
            <v>483.85869681600002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P3957">
            <v>484</v>
          </cell>
          <cell r="V3957" t="str">
            <v>Available</v>
          </cell>
        </row>
        <row r="3958">
          <cell r="A3958" t="str">
            <v>105300350010</v>
          </cell>
          <cell r="B3958" t="str">
            <v>Kalyanpur</v>
          </cell>
          <cell r="C3958" t="str">
            <v>Kalyanpur</v>
          </cell>
          <cell r="D3958" t="str">
            <v>Gomukh Birauli Khurd</v>
          </cell>
          <cell r="E3958">
            <v>10530035</v>
          </cell>
          <cell r="F3958" t="str">
            <v>0010</v>
          </cell>
          <cell r="G3958">
            <v>13</v>
          </cell>
          <cell r="H3958">
            <v>36.940000000000005</v>
          </cell>
          <cell r="I3958">
            <v>1835.15397720076</v>
          </cell>
          <cell r="J3958">
            <v>0</v>
          </cell>
          <cell r="K3958">
            <v>0</v>
          </cell>
          <cell r="L3958">
            <v>0</v>
          </cell>
          <cell r="M3958">
            <v>1500</v>
          </cell>
          <cell r="P3958">
            <v>335</v>
          </cell>
          <cell r="V3958" t="str">
            <v>Available</v>
          </cell>
        </row>
        <row r="3959">
          <cell r="A3959" t="str">
            <v>105300350012</v>
          </cell>
          <cell r="B3959" t="str">
            <v>Kalyanpur</v>
          </cell>
          <cell r="C3959" t="str">
            <v>Kalyanpur</v>
          </cell>
          <cell r="D3959" t="str">
            <v>Gomukh Birauli Khurd</v>
          </cell>
          <cell r="E3959">
            <v>10530035</v>
          </cell>
          <cell r="F3959" t="str">
            <v>0012</v>
          </cell>
          <cell r="G3959">
            <v>5</v>
          </cell>
          <cell r="H3959">
            <v>10.68</v>
          </cell>
          <cell r="I3959">
            <v>733.44609641790009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P3959">
            <v>733</v>
          </cell>
          <cell r="V3959" t="str">
            <v>Available</v>
          </cell>
        </row>
        <row r="3960">
          <cell r="A3960" t="str">
            <v>105300350015</v>
          </cell>
          <cell r="B3960" t="str">
            <v>Kalyanpur</v>
          </cell>
          <cell r="C3960" t="str">
            <v>Kalyanpur</v>
          </cell>
          <cell r="D3960" t="str">
            <v>Gomukh Birauli Khurd</v>
          </cell>
          <cell r="E3960">
            <v>10530035</v>
          </cell>
          <cell r="F3960" t="str">
            <v>0015</v>
          </cell>
          <cell r="G3960">
            <v>1</v>
          </cell>
          <cell r="H3960">
            <v>4.33</v>
          </cell>
          <cell r="I3960">
            <v>177.76001826000001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P3960">
            <v>178</v>
          </cell>
          <cell r="V3960" t="str">
            <v>Available</v>
          </cell>
        </row>
        <row r="3961">
          <cell r="A3961" t="str">
            <v>105300350017</v>
          </cell>
          <cell r="B3961" t="str">
            <v>Kalyanpur</v>
          </cell>
          <cell r="C3961" t="str">
            <v>Kalyanpur</v>
          </cell>
          <cell r="D3961" t="str">
            <v>Gomukh Birauli Khurd</v>
          </cell>
          <cell r="E3961">
            <v>10530035</v>
          </cell>
          <cell r="F3961" t="str">
            <v>0017</v>
          </cell>
          <cell r="G3961">
            <v>7</v>
          </cell>
          <cell r="H3961">
            <v>39.82</v>
          </cell>
          <cell r="I3961">
            <v>1410.1100247960001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P3961">
            <v>1410</v>
          </cell>
          <cell r="V3961" t="str">
            <v>Available</v>
          </cell>
        </row>
        <row r="3962">
          <cell r="A3962" t="str">
            <v>105300350018</v>
          </cell>
          <cell r="B3962" t="str">
            <v>Kalyanpur</v>
          </cell>
          <cell r="C3962" t="str">
            <v>Kalyanpur</v>
          </cell>
          <cell r="D3962" t="str">
            <v>Gomukh Birauli Khurd</v>
          </cell>
          <cell r="E3962">
            <v>10530035</v>
          </cell>
          <cell r="F3962" t="str">
            <v>0018</v>
          </cell>
          <cell r="G3962">
            <v>8</v>
          </cell>
          <cell r="H3962">
            <v>12.360000000000001</v>
          </cell>
          <cell r="I3962">
            <v>503.23216977839996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P3962">
            <v>503</v>
          </cell>
          <cell r="V3962" t="str">
            <v>Available</v>
          </cell>
        </row>
        <row r="3963">
          <cell r="A3963" t="str">
            <v>105300350019</v>
          </cell>
          <cell r="B3963" t="str">
            <v>Kalyanpur</v>
          </cell>
          <cell r="C3963" t="str">
            <v>Kalyanpur</v>
          </cell>
          <cell r="D3963" t="str">
            <v>Gomukh Birauli Khurd</v>
          </cell>
          <cell r="E3963">
            <v>10530035</v>
          </cell>
          <cell r="F3963" t="str">
            <v>0019</v>
          </cell>
          <cell r="G3963">
            <v>7</v>
          </cell>
          <cell r="H3963">
            <v>45.42</v>
          </cell>
          <cell r="I3963">
            <v>1456.6050625896003</v>
          </cell>
          <cell r="J3963">
            <v>0</v>
          </cell>
          <cell r="K3963">
            <v>0</v>
          </cell>
          <cell r="L3963">
            <v>0</v>
          </cell>
          <cell r="M3963">
            <v>1457</v>
          </cell>
          <cell r="P3963">
            <v>0</v>
          </cell>
          <cell r="V3963" t="str">
            <v>Available</v>
          </cell>
        </row>
        <row r="3964">
          <cell r="A3964" t="str">
            <v>105300350022</v>
          </cell>
          <cell r="B3964" t="str">
            <v>Kalyanpur</v>
          </cell>
          <cell r="C3964" t="str">
            <v>Kalyanpur</v>
          </cell>
          <cell r="D3964" t="str">
            <v>Gomukh Birauli Khurd</v>
          </cell>
          <cell r="E3964">
            <v>10530035</v>
          </cell>
          <cell r="F3964" t="str">
            <v>0022</v>
          </cell>
          <cell r="G3964">
            <v>7</v>
          </cell>
          <cell r="H3964">
            <v>39.57</v>
          </cell>
          <cell r="I3964">
            <v>2377.1056524690598</v>
          </cell>
          <cell r="J3964">
            <v>0</v>
          </cell>
          <cell r="K3964">
            <v>0</v>
          </cell>
          <cell r="L3964">
            <v>0</v>
          </cell>
          <cell r="M3964">
            <v>1500</v>
          </cell>
          <cell r="P3964">
            <v>877</v>
          </cell>
          <cell r="V3964" t="str">
            <v>Available</v>
          </cell>
        </row>
        <row r="3965">
          <cell r="A3965" t="str">
            <v>105300350024</v>
          </cell>
          <cell r="B3965" t="str">
            <v>Kalyanpur</v>
          </cell>
          <cell r="C3965" t="str">
            <v>Kalyanpur</v>
          </cell>
          <cell r="D3965" t="str">
            <v>Gomukh Birauli Khurd</v>
          </cell>
          <cell r="E3965">
            <v>10530035</v>
          </cell>
          <cell r="F3965" t="str">
            <v>0024</v>
          </cell>
          <cell r="G3965">
            <v>9</v>
          </cell>
          <cell r="H3965">
            <v>23.370000000000005</v>
          </cell>
          <cell r="I3965">
            <v>995.94940756994004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P3965">
            <v>996</v>
          </cell>
          <cell r="V3965" t="str">
            <v>Available</v>
          </cell>
        </row>
        <row r="3966">
          <cell r="A3966" t="str">
            <v>105300350025</v>
          </cell>
          <cell r="B3966" t="str">
            <v>Kalyanpur</v>
          </cell>
          <cell r="C3966" t="str">
            <v>Kalyanpur</v>
          </cell>
          <cell r="D3966" t="str">
            <v>Gomukh Birauli Khurd</v>
          </cell>
          <cell r="E3966">
            <v>10530035</v>
          </cell>
          <cell r="F3966" t="str">
            <v>0025</v>
          </cell>
          <cell r="G3966">
            <v>8</v>
          </cell>
          <cell r="H3966">
            <v>12.579999999999998</v>
          </cell>
          <cell r="I3966">
            <v>484.489652724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P3966">
            <v>484</v>
          </cell>
          <cell r="V3966" t="str">
            <v>Available</v>
          </cell>
        </row>
        <row r="3967">
          <cell r="A3967" t="str">
            <v>105300350033</v>
          </cell>
          <cell r="B3967" t="str">
            <v>Kalyanpur</v>
          </cell>
          <cell r="C3967" t="str">
            <v>Kalyanpur</v>
          </cell>
          <cell r="D3967" t="str">
            <v>Gomukh Birauli Khurd</v>
          </cell>
          <cell r="E3967">
            <v>10530035</v>
          </cell>
          <cell r="F3967" t="str">
            <v>0033</v>
          </cell>
          <cell r="G3967">
            <v>5</v>
          </cell>
          <cell r="H3967">
            <v>7.68</v>
          </cell>
          <cell r="I3967">
            <v>323.82416647430006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P3967">
            <v>324</v>
          </cell>
          <cell r="V3967" t="str">
            <v>Available</v>
          </cell>
        </row>
        <row r="3968">
          <cell r="A3968" t="str">
            <v>105300350036</v>
          </cell>
          <cell r="B3968" t="str">
            <v>Kalyanpur</v>
          </cell>
          <cell r="C3968" t="str">
            <v>Kalyanpur</v>
          </cell>
          <cell r="D3968" t="str">
            <v>Gomukh Birauli Khurd</v>
          </cell>
          <cell r="E3968">
            <v>10530035</v>
          </cell>
          <cell r="F3968" t="str">
            <v>0036</v>
          </cell>
          <cell r="G3968">
            <v>13</v>
          </cell>
          <cell r="H3968">
            <v>39.94</v>
          </cell>
          <cell r="I3968">
            <v>1492.3365591816003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P3968">
            <v>1492</v>
          </cell>
          <cell r="V3968" t="str">
            <v>Available</v>
          </cell>
        </row>
        <row r="3969">
          <cell r="A3969" t="str">
            <v>105300350039</v>
          </cell>
          <cell r="B3969" t="str">
            <v>Kalyanpur</v>
          </cell>
          <cell r="C3969" t="str">
            <v>Kalyanpur</v>
          </cell>
          <cell r="D3969" t="str">
            <v>Gomukh Birauli Khurd</v>
          </cell>
          <cell r="E3969">
            <v>10530035</v>
          </cell>
          <cell r="F3969" t="str">
            <v>0039</v>
          </cell>
          <cell r="G3969">
            <v>8</v>
          </cell>
          <cell r="H3969">
            <v>15.82</v>
          </cell>
          <cell r="I3969">
            <v>861.15948239161003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P3969">
            <v>861</v>
          </cell>
          <cell r="V3969" t="str">
            <v>Available</v>
          </cell>
        </row>
        <row r="3970">
          <cell r="A3970" t="str">
            <v>105300350041</v>
          </cell>
          <cell r="B3970" t="str">
            <v>Kalyanpur</v>
          </cell>
          <cell r="C3970" t="str">
            <v>Kalyanpur</v>
          </cell>
          <cell r="D3970" t="str">
            <v>Gomukh Birauli Khurd</v>
          </cell>
          <cell r="E3970">
            <v>10530035</v>
          </cell>
          <cell r="F3970" t="str">
            <v>0041</v>
          </cell>
          <cell r="G3970">
            <v>3</v>
          </cell>
          <cell r="H3970">
            <v>2.94</v>
          </cell>
          <cell r="I3970">
            <v>159.17286998124001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P3970">
            <v>159</v>
          </cell>
          <cell r="V3970" t="str">
            <v>Available</v>
          </cell>
        </row>
        <row r="3971">
          <cell r="A3971" t="str">
            <v>105300350042</v>
          </cell>
          <cell r="B3971" t="str">
            <v>Kalyanpur</v>
          </cell>
          <cell r="C3971" t="str">
            <v>Kalyanpur</v>
          </cell>
          <cell r="D3971" t="str">
            <v>Gomukh Birauli Khurd</v>
          </cell>
          <cell r="E3971">
            <v>10530035</v>
          </cell>
          <cell r="F3971" t="str">
            <v>0042</v>
          </cell>
          <cell r="G3971">
            <v>5</v>
          </cell>
          <cell r="H3971">
            <v>28.65</v>
          </cell>
          <cell r="I3971">
            <v>1004.8586656680001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P3971">
            <v>1005</v>
          </cell>
          <cell r="V3971" t="str">
            <v>Available</v>
          </cell>
        </row>
        <row r="3972">
          <cell r="A3972" t="str">
            <v>105300350047</v>
          </cell>
          <cell r="B3972" t="str">
            <v>Kalyanpur</v>
          </cell>
          <cell r="C3972" t="str">
            <v>Kalyanpur</v>
          </cell>
          <cell r="D3972" t="str">
            <v>Gomukh Birauli Khurd</v>
          </cell>
          <cell r="E3972">
            <v>10530035</v>
          </cell>
          <cell r="F3972" t="str">
            <v>0047</v>
          </cell>
          <cell r="G3972">
            <v>6</v>
          </cell>
          <cell r="H3972">
            <v>8.5</v>
          </cell>
          <cell r="I3972">
            <v>359.14853699999998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P3972">
            <v>359</v>
          </cell>
          <cell r="V3972" t="str">
            <v>Available</v>
          </cell>
        </row>
        <row r="3973">
          <cell r="A3973" t="str">
            <v>105300350048</v>
          </cell>
          <cell r="B3973" t="str">
            <v>Kalyanpur</v>
          </cell>
          <cell r="C3973" t="str">
            <v>Kalyanpur</v>
          </cell>
          <cell r="D3973" t="str">
            <v>Gomukh Birauli Khurd</v>
          </cell>
          <cell r="E3973">
            <v>10530035</v>
          </cell>
          <cell r="F3973" t="str">
            <v>0048</v>
          </cell>
          <cell r="G3973">
            <v>14</v>
          </cell>
          <cell r="H3973">
            <v>42.669999999999995</v>
          </cell>
          <cell r="I3973">
            <v>1923.5145021446199</v>
          </cell>
          <cell r="J3973">
            <v>0</v>
          </cell>
          <cell r="K3973">
            <v>0</v>
          </cell>
          <cell r="L3973">
            <v>0</v>
          </cell>
          <cell r="M3973">
            <v>1500</v>
          </cell>
          <cell r="P3973">
            <v>424</v>
          </cell>
          <cell r="V3973" t="str">
            <v>Available</v>
          </cell>
        </row>
        <row r="3974">
          <cell r="A3974" t="str">
            <v>105300400001</v>
          </cell>
          <cell r="B3974" t="str">
            <v>Kalyanpur</v>
          </cell>
          <cell r="C3974" t="str">
            <v>Kalyanpur</v>
          </cell>
          <cell r="D3974" t="str">
            <v>Gomukh Khanua</v>
          </cell>
          <cell r="E3974">
            <v>10530040</v>
          </cell>
          <cell r="F3974" t="str">
            <v>0001</v>
          </cell>
          <cell r="G3974">
            <v>12</v>
          </cell>
          <cell r="H3974">
            <v>6.02</v>
          </cell>
          <cell r="I3974">
            <v>258.90100632000002</v>
          </cell>
          <cell r="J3974">
            <v>0</v>
          </cell>
          <cell r="K3974">
            <v>258.90100632000002</v>
          </cell>
          <cell r="L3974">
            <v>0</v>
          </cell>
          <cell r="M3974">
            <v>0</v>
          </cell>
          <cell r="P3974">
            <v>0</v>
          </cell>
          <cell r="V3974" t="str">
            <v>Not Available</v>
          </cell>
        </row>
        <row r="3975">
          <cell r="A3975" t="str">
            <v>105300400002</v>
          </cell>
          <cell r="B3975" t="str">
            <v>Kalyanpur</v>
          </cell>
          <cell r="C3975" t="str">
            <v>Kalyanpur</v>
          </cell>
          <cell r="D3975" t="str">
            <v>Gomukh Khanua</v>
          </cell>
          <cell r="E3975">
            <v>10530040</v>
          </cell>
          <cell r="F3975" t="str">
            <v>0002</v>
          </cell>
          <cell r="G3975">
            <v>3</v>
          </cell>
          <cell r="H3975">
            <v>8.83</v>
          </cell>
          <cell r="I3975">
            <v>398.09220530904003</v>
          </cell>
          <cell r="J3975">
            <v>0</v>
          </cell>
          <cell r="K3975">
            <v>0</v>
          </cell>
          <cell r="L3975">
            <v>394</v>
          </cell>
          <cell r="M3975">
            <v>0</v>
          </cell>
          <cell r="P3975">
            <v>4</v>
          </cell>
          <cell r="V3975" t="str">
            <v>Available</v>
          </cell>
        </row>
        <row r="3976">
          <cell r="A3976" t="str">
            <v>105300400003</v>
          </cell>
          <cell r="B3976" t="str">
            <v>Kalyanpur</v>
          </cell>
          <cell r="C3976" t="str">
            <v>Kalyanpur</v>
          </cell>
          <cell r="D3976" t="str">
            <v>Gomukh Khanua</v>
          </cell>
          <cell r="E3976">
            <v>10530040</v>
          </cell>
          <cell r="F3976" t="str">
            <v>0003</v>
          </cell>
          <cell r="G3976">
            <v>1</v>
          </cell>
          <cell r="H3976">
            <v>3.01</v>
          </cell>
          <cell r="I3976">
            <v>116.02073775600002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P3976">
            <v>116</v>
          </cell>
          <cell r="V3976" t="str">
            <v>Available</v>
          </cell>
        </row>
        <row r="3977">
          <cell r="A3977" t="str">
            <v>105300400004</v>
          </cell>
          <cell r="B3977" t="str">
            <v>Kalyanpur</v>
          </cell>
          <cell r="C3977" t="str">
            <v>Kalyanpur</v>
          </cell>
          <cell r="D3977" t="str">
            <v>Gomukh Khanua</v>
          </cell>
          <cell r="E3977">
            <v>10530040</v>
          </cell>
          <cell r="F3977" t="str">
            <v>0004</v>
          </cell>
          <cell r="G3977">
            <v>14</v>
          </cell>
          <cell r="H3977">
            <v>229.97999999999996</v>
          </cell>
          <cell r="I3977">
            <v>10879.523381289002</v>
          </cell>
          <cell r="J3977">
            <v>0</v>
          </cell>
          <cell r="K3977">
            <v>0</v>
          </cell>
          <cell r="L3977">
            <v>0</v>
          </cell>
          <cell r="M3977">
            <v>776</v>
          </cell>
          <cell r="P3977">
            <v>10104</v>
          </cell>
          <cell r="V3977" t="str">
            <v>Available</v>
          </cell>
        </row>
        <row r="3978">
          <cell r="A3978" t="str">
            <v>105300400010</v>
          </cell>
          <cell r="B3978" t="str">
            <v>Kalyanpur</v>
          </cell>
          <cell r="C3978" t="str">
            <v>Kalyanpur</v>
          </cell>
          <cell r="D3978" t="str">
            <v>Gomukh Khanua</v>
          </cell>
          <cell r="E3978">
            <v>10530040</v>
          </cell>
          <cell r="F3978" t="str">
            <v>0010</v>
          </cell>
          <cell r="G3978">
            <v>4</v>
          </cell>
          <cell r="H3978">
            <v>3.8200000000000003</v>
          </cell>
          <cell r="I3978">
            <v>176.93693594717001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P3978">
            <v>177</v>
          </cell>
          <cell r="V3978" t="str">
            <v>Available</v>
          </cell>
        </row>
        <row r="3979">
          <cell r="A3979" t="str">
            <v>105300400020</v>
          </cell>
          <cell r="B3979" t="str">
            <v>Kalyanpur</v>
          </cell>
          <cell r="C3979" t="str">
            <v>Kalyanpur</v>
          </cell>
          <cell r="D3979" t="str">
            <v>Gomukh Khanua</v>
          </cell>
          <cell r="E3979">
            <v>10530040</v>
          </cell>
          <cell r="F3979" t="str">
            <v>0020</v>
          </cell>
          <cell r="G3979">
            <v>12</v>
          </cell>
          <cell r="H3979">
            <v>22.689999999999998</v>
          </cell>
          <cell r="I3979">
            <v>801.85380462000012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P3979">
            <v>802</v>
          </cell>
          <cell r="V3979" t="str">
            <v>Available</v>
          </cell>
        </row>
        <row r="3980">
          <cell r="A3980" t="str">
            <v>105300400021</v>
          </cell>
          <cell r="B3980" t="str">
            <v>Kalyanpur</v>
          </cell>
          <cell r="C3980" t="str">
            <v>Kalyanpur</v>
          </cell>
          <cell r="D3980" t="str">
            <v>Gomukh Khanua</v>
          </cell>
          <cell r="E3980">
            <v>10530040</v>
          </cell>
          <cell r="F3980" t="str">
            <v>0021</v>
          </cell>
          <cell r="G3980">
            <v>3</v>
          </cell>
          <cell r="H3980">
            <v>3.84</v>
          </cell>
          <cell r="I3980">
            <v>158.364660168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P3980">
            <v>158</v>
          </cell>
          <cell r="V3980" t="str">
            <v>Available</v>
          </cell>
        </row>
        <row r="3981">
          <cell r="A3981" t="str">
            <v>105300400022</v>
          </cell>
          <cell r="B3981" t="str">
            <v>Kalyanpur</v>
          </cell>
          <cell r="C3981" t="str">
            <v>Kalyanpur</v>
          </cell>
          <cell r="D3981" t="str">
            <v>Gomukh Khanua</v>
          </cell>
          <cell r="E3981">
            <v>10530040</v>
          </cell>
          <cell r="F3981" t="str">
            <v>0022</v>
          </cell>
          <cell r="G3981">
            <v>6</v>
          </cell>
          <cell r="H3981">
            <v>8.76</v>
          </cell>
          <cell r="I3981">
            <v>405.34088579600007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P3981">
            <v>405</v>
          </cell>
          <cell r="V3981" t="str">
            <v>Available</v>
          </cell>
        </row>
        <row r="3982">
          <cell r="A3982" t="str">
            <v>105300400028</v>
          </cell>
          <cell r="B3982" t="str">
            <v>Kalyanpur</v>
          </cell>
          <cell r="C3982" t="str">
            <v>Kalyanpur</v>
          </cell>
          <cell r="D3982" t="str">
            <v>Gomukh Khanua</v>
          </cell>
          <cell r="E3982">
            <v>10530040</v>
          </cell>
          <cell r="F3982" t="str">
            <v>0028</v>
          </cell>
          <cell r="G3982">
            <v>4</v>
          </cell>
          <cell r="H3982">
            <v>5.9399999999999995</v>
          </cell>
          <cell r="I3982">
            <v>323.81180165474001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P3982">
            <v>324</v>
          </cell>
          <cell r="V3982" t="str">
            <v>Available</v>
          </cell>
        </row>
        <row r="3983">
          <cell r="A3983" t="str">
            <v>105300400029</v>
          </cell>
          <cell r="B3983" t="str">
            <v>Kalyanpur</v>
          </cell>
          <cell r="C3983" t="str">
            <v>Kalyanpur</v>
          </cell>
          <cell r="D3983" t="str">
            <v>Gomukh Khanua</v>
          </cell>
          <cell r="E3983">
            <v>10530040</v>
          </cell>
          <cell r="F3983" t="str">
            <v>0029</v>
          </cell>
          <cell r="G3983">
            <v>6</v>
          </cell>
          <cell r="H3983">
            <v>13.769999999999998</v>
          </cell>
          <cell r="I3983">
            <v>795.76362507976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P3983">
            <v>796</v>
          </cell>
          <cell r="V3983" t="str">
            <v>Available</v>
          </cell>
        </row>
        <row r="3984">
          <cell r="A3984" t="str">
            <v>105300400031</v>
          </cell>
          <cell r="B3984" t="str">
            <v>Kalyanpur</v>
          </cell>
          <cell r="C3984" t="str">
            <v>Kalyanpur</v>
          </cell>
          <cell r="D3984" t="str">
            <v>Gomukh Khanua</v>
          </cell>
          <cell r="E3984">
            <v>10530040</v>
          </cell>
          <cell r="F3984" t="str">
            <v>0031</v>
          </cell>
          <cell r="G3984">
            <v>2</v>
          </cell>
          <cell r="H3984">
            <v>5.36</v>
          </cell>
          <cell r="I3984">
            <v>222.13914141600003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P3984">
            <v>222</v>
          </cell>
          <cell r="V3984" t="str">
            <v>Available</v>
          </cell>
        </row>
        <row r="3985">
          <cell r="A3985" t="str">
            <v>105300400038</v>
          </cell>
          <cell r="B3985" t="str">
            <v>Kalyanpur</v>
          </cell>
          <cell r="C3985" t="str">
            <v>Kalyanpur</v>
          </cell>
          <cell r="D3985" t="str">
            <v>Gomukh Khanua</v>
          </cell>
          <cell r="E3985">
            <v>10530040</v>
          </cell>
          <cell r="F3985" t="str">
            <v>0038</v>
          </cell>
          <cell r="G3985">
            <v>7</v>
          </cell>
          <cell r="H3985">
            <v>17.25</v>
          </cell>
          <cell r="I3985">
            <v>904.36951479706022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P3985">
            <v>904</v>
          </cell>
          <cell r="V3985" t="str">
            <v>Available</v>
          </cell>
        </row>
        <row r="3986">
          <cell r="A3986" t="str">
            <v>105300400040</v>
          </cell>
          <cell r="B3986" t="str">
            <v>Kalyanpur</v>
          </cell>
          <cell r="C3986" t="str">
            <v>Kalyanpur</v>
          </cell>
          <cell r="D3986" t="str">
            <v>Gomukh Khanua</v>
          </cell>
          <cell r="E3986">
            <v>10530040</v>
          </cell>
          <cell r="F3986" t="str">
            <v>0040</v>
          </cell>
          <cell r="G3986">
            <v>3</v>
          </cell>
          <cell r="H3986">
            <v>6.0600000000000005</v>
          </cell>
          <cell r="I3986">
            <v>256.32832658400002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P3986">
            <v>256</v>
          </cell>
          <cell r="V3986" t="str">
            <v>Available</v>
          </cell>
        </row>
        <row r="3987">
          <cell r="A3987" t="str">
            <v>105300400044</v>
          </cell>
          <cell r="B3987" t="str">
            <v>Kalyanpur</v>
          </cell>
          <cell r="C3987" t="str">
            <v>Kalyanpur</v>
          </cell>
          <cell r="D3987" t="str">
            <v>Gomukh Khanua</v>
          </cell>
          <cell r="E3987">
            <v>10530040</v>
          </cell>
          <cell r="F3987" t="str">
            <v>0044</v>
          </cell>
          <cell r="G3987">
            <v>12</v>
          </cell>
          <cell r="H3987">
            <v>20.919999999999998</v>
          </cell>
          <cell r="I3987">
            <v>1021.2961718236199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P3987">
            <v>1021</v>
          </cell>
          <cell r="V3987" t="str">
            <v>Available</v>
          </cell>
        </row>
        <row r="3988">
          <cell r="A3988" t="str">
            <v>105300400045</v>
          </cell>
          <cell r="B3988" t="str">
            <v>Kalyanpur</v>
          </cell>
          <cell r="C3988" t="str">
            <v>Kalyanpur</v>
          </cell>
          <cell r="D3988" t="str">
            <v>Gomukh Khanua</v>
          </cell>
          <cell r="E3988">
            <v>10530040</v>
          </cell>
          <cell r="F3988" t="str">
            <v>0045</v>
          </cell>
          <cell r="G3988">
            <v>13</v>
          </cell>
          <cell r="H3988">
            <v>19.100000000000001</v>
          </cell>
          <cell r="I3988">
            <v>824.4625043223499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  <cell r="P3988">
            <v>824</v>
          </cell>
          <cell r="V3988" t="str">
            <v>Available</v>
          </cell>
        </row>
        <row r="3989">
          <cell r="A3989" t="str">
            <v>105300400047</v>
          </cell>
          <cell r="B3989" t="str">
            <v>Kalyanpur</v>
          </cell>
          <cell r="C3989" t="str">
            <v>Kalyanpur</v>
          </cell>
          <cell r="D3989" t="str">
            <v>Gomukh Khanua</v>
          </cell>
          <cell r="E3989">
            <v>10530040</v>
          </cell>
          <cell r="F3989" t="str">
            <v>0047</v>
          </cell>
          <cell r="G3989">
            <v>5</v>
          </cell>
          <cell r="H3989">
            <v>16.47</v>
          </cell>
          <cell r="I3989">
            <v>580.50123925860009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P3989">
            <v>581</v>
          </cell>
          <cell r="V3989" t="str">
            <v>Available</v>
          </cell>
        </row>
        <row r="3990">
          <cell r="A3990" t="str">
            <v>105300400048</v>
          </cell>
          <cell r="B3990" t="str">
            <v>Kalyanpur</v>
          </cell>
          <cell r="C3990" t="str">
            <v>Kalyanpur</v>
          </cell>
          <cell r="D3990" t="str">
            <v>Gomukh Khanua</v>
          </cell>
          <cell r="E3990">
            <v>10530040</v>
          </cell>
          <cell r="F3990" t="str">
            <v>0048</v>
          </cell>
          <cell r="G3990">
            <v>14</v>
          </cell>
          <cell r="H3990">
            <v>59.49</v>
          </cell>
          <cell r="I3990">
            <v>2306.2332062879996</v>
          </cell>
          <cell r="J3990">
            <v>0</v>
          </cell>
          <cell r="K3990">
            <v>0</v>
          </cell>
          <cell r="L3990">
            <v>0</v>
          </cell>
          <cell r="M3990">
            <v>1500</v>
          </cell>
          <cell r="P3990">
            <v>806</v>
          </cell>
          <cell r="V3990" t="str">
            <v>Available</v>
          </cell>
        </row>
        <row r="3991">
          <cell r="A3991" t="str">
            <v>105300400051</v>
          </cell>
          <cell r="B3991" t="str">
            <v>Kalyanpur</v>
          </cell>
          <cell r="C3991" t="str">
            <v>Kalyanpur</v>
          </cell>
          <cell r="D3991" t="str">
            <v>Gomukh Khanua</v>
          </cell>
          <cell r="E3991">
            <v>10530040</v>
          </cell>
          <cell r="F3991" t="str">
            <v>0051</v>
          </cell>
          <cell r="G3991">
            <v>6</v>
          </cell>
          <cell r="H3991">
            <v>8.879999999999999</v>
          </cell>
          <cell r="I3991">
            <v>336.84497062920002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P3991">
            <v>337</v>
          </cell>
          <cell r="V3991" t="str">
            <v>Available</v>
          </cell>
        </row>
        <row r="3992">
          <cell r="A3992" t="str">
            <v>105300400056</v>
          </cell>
          <cell r="B3992" t="str">
            <v>Kalyanpur</v>
          </cell>
          <cell r="C3992" t="str">
            <v>Kalyanpur</v>
          </cell>
          <cell r="D3992" t="str">
            <v>Gomukh Khanua</v>
          </cell>
          <cell r="E3992">
            <v>10530040</v>
          </cell>
          <cell r="F3992" t="str">
            <v>0056</v>
          </cell>
          <cell r="G3992">
            <v>11</v>
          </cell>
          <cell r="H3992">
            <v>16.48</v>
          </cell>
          <cell r="I3992">
            <v>585.27094962599995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P3992">
            <v>585</v>
          </cell>
          <cell r="V3992" t="str">
            <v>Available</v>
          </cell>
        </row>
        <row r="3993">
          <cell r="A3993" t="str">
            <v>105300400059</v>
          </cell>
          <cell r="B3993" t="str">
            <v>Kalyanpur</v>
          </cell>
          <cell r="C3993" t="str">
            <v>Kalyanpur</v>
          </cell>
          <cell r="D3993" t="str">
            <v>Gomukh Khanua</v>
          </cell>
          <cell r="E3993">
            <v>10530040</v>
          </cell>
          <cell r="F3993" t="str">
            <v>0059</v>
          </cell>
          <cell r="G3993">
            <v>13</v>
          </cell>
          <cell r="H3993">
            <v>27.59</v>
          </cell>
          <cell r="I3993">
            <v>1174.9643159760003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P3993">
            <v>1175</v>
          </cell>
          <cell r="V3993" t="str">
            <v>Available</v>
          </cell>
        </row>
        <row r="3994">
          <cell r="A3994" t="str">
            <v>105300400060</v>
          </cell>
          <cell r="B3994" t="str">
            <v>Kalyanpur</v>
          </cell>
          <cell r="C3994" t="str">
            <v>Kalyanpur</v>
          </cell>
          <cell r="D3994" t="str">
            <v>Gomukh Khanua</v>
          </cell>
          <cell r="E3994">
            <v>10530040</v>
          </cell>
          <cell r="F3994" t="str">
            <v>0060</v>
          </cell>
          <cell r="G3994">
            <v>7</v>
          </cell>
          <cell r="H3994">
            <v>22.68</v>
          </cell>
          <cell r="I3994">
            <v>1226.0929763060001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P3994">
            <v>1226</v>
          </cell>
          <cell r="V3994" t="str">
            <v>Available</v>
          </cell>
        </row>
        <row r="3995">
          <cell r="A3995" t="str">
            <v>105300400063</v>
          </cell>
          <cell r="B3995" t="str">
            <v>Kalyanpur</v>
          </cell>
          <cell r="C3995" t="str">
            <v>Kalyanpur</v>
          </cell>
          <cell r="D3995" t="str">
            <v>Gomukh Khanua</v>
          </cell>
          <cell r="E3995">
            <v>10530040</v>
          </cell>
          <cell r="F3995" t="str">
            <v>0063</v>
          </cell>
          <cell r="G3995">
            <v>10</v>
          </cell>
          <cell r="H3995">
            <v>14.159999999999998</v>
          </cell>
          <cell r="I3995">
            <v>557.78160438000009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P3995">
            <v>558</v>
          </cell>
          <cell r="V3995" t="str">
            <v>Available</v>
          </cell>
        </row>
        <row r="3996">
          <cell r="A3996" t="str">
            <v>105300440001</v>
          </cell>
          <cell r="B3996" t="str">
            <v>Kalyanpur</v>
          </cell>
          <cell r="C3996" t="str">
            <v>Kalyanpur</v>
          </cell>
          <cell r="D3996" t="str">
            <v>Gomukh Punas</v>
          </cell>
          <cell r="E3996">
            <v>10530044</v>
          </cell>
          <cell r="F3996" t="str">
            <v>0001</v>
          </cell>
          <cell r="G3996">
            <v>14</v>
          </cell>
          <cell r="H3996">
            <v>11.73</v>
          </cell>
          <cell r="I3996">
            <v>493.188933996</v>
          </cell>
          <cell r="J3996">
            <v>0</v>
          </cell>
          <cell r="K3996">
            <v>493.188933996</v>
          </cell>
          <cell r="L3996">
            <v>0</v>
          </cell>
          <cell r="M3996">
            <v>0</v>
          </cell>
          <cell r="P3996">
            <v>0</v>
          </cell>
          <cell r="V3996" t="str">
            <v>Not Available</v>
          </cell>
        </row>
        <row r="3997">
          <cell r="A3997" t="str">
            <v>105300440002</v>
          </cell>
          <cell r="B3997" t="str">
            <v>Kalyanpur</v>
          </cell>
          <cell r="C3997" t="str">
            <v>Kalyanpur</v>
          </cell>
          <cell r="D3997" t="str">
            <v>Gomukh Punas</v>
          </cell>
          <cell r="E3997">
            <v>10530044</v>
          </cell>
          <cell r="F3997" t="str">
            <v>0002</v>
          </cell>
          <cell r="G3997">
            <v>11</v>
          </cell>
          <cell r="H3997">
            <v>50.58</v>
          </cell>
          <cell r="I3997">
            <v>2238.2712214846197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P3997">
            <v>1705</v>
          </cell>
          <cell r="V3997" t="str">
            <v>Available</v>
          </cell>
        </row>
        <row r="3998">
          <cell r="A3998" t="str">
            <v>105300440005</v>
          </cell>
          <cell r="B3998" t="str">
            <v>Kalyanpur</v>
          </cell>
          <cell r="C3998" t="str">
            <v>Kalyanpur</v>
          </cell>
          <cell r="D3998" t="str">
            <v>Gomukh Punas</v>
          </cell>
          <cell r="E3998">
            <v>10530044</v>
          </cell>
          <cell r="F3998" t="str">
            <v>0005</v>
          </cell>
          <cell r="G3998">
            <v>7</v>
          </cell>
          <cell r="H3998">
            <v>11.14</v>
          </cell>
          <cell r="I3998">
            <v>661.7151634224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P3998">
            <v>662</v>
          </cell>
          <cell r="V3998" t="str">
            <v>Available</v>
          </cell>
        </row>
        <row r="3999">
          <cell r="A3999" t="str">
            <v>105300440007</v>
          </cell>
          <cell r="B3999" t="str">
            <v>Kalyanpur</v>
          </cell>
          <cell r="C3999" t="str">
            <v>Kalyanpur</v>
          </cell>
          <cell r="D3999" t="str">
            <v>Gomukh Punas</v>
          </cell>
          <cell r="E3999">
            <v>10530044</v>
          </cell>
          <cell r="F3999" t="str">
            <v>0007</v>
          </cell>
          <cell r="G3999">
            <v>14</v>
          </cell>
          <cell r="H3999">
            <v>63.73</v>
          </cell>
          <cell r="I3999">
            <v>2818.8406196436808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P3999">
            <v>2819</v>
          </cell>
          <cell r="V3999" t="str">
            <v>Available</v>
          </cell>
        </row>
        <row r="4000">
          <cell r="A4000" t="str">
            <v>105300440012</v>
          </cell>
          <cell r="B4000" t="str">
            <v>Kalyanpur</v>
          </cell>
          <cell r="C4000" t="str">
            <v>Kalyanpur</v>
          </cell>
          <cell r="D4000" t="str">
            <v>Gomukh Punas</v>
          </cell>
          <cell r="E4000">
            <v>10530044</v>
          </cell>
          <cell r="F4000" t="str">
            <v>0012</v>
          </cell>
          <cell r="G4000">
            <v>14</v>
          </cell>
          <cell r="H4000">
            <v>145.09000000000003</v>
          </cell>
          <cell r="I4000">
            <v>5461.2463119945005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P4000">
            <v>5461</v>
          </cell>
          <cell r="V4000" t="str">
            <v>Available</v>
          </cell>
        </row>
        <row r="4001">
          <cell r="A4001" t="str">
            <v>105300440014</v>
          </cell>
          <cell r="B4001" t="str">
            <v>Kalyanpur</v>
          </cell>
          <cell r="C4001" t="str">
            <v>Kalyanpur</v>
          </cell>
          <cell r="D4001" t="str">
            <v>Gomukh Punas</v>
          </cell>
          <cell r="E4001">
            <v>10530044</v>
          </cell>
          <cell r="F4001" t="str">
            <v>0014</v>
          </cell>
          <cell r="G4001">
            <v>14</v>
          </cell>
          <cell r="H4001">
            <v>26.97</v>
          </cell>
          <cell r="I4001">
            <v>1026.9731739960002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P4001">
            <v>1027</v>
          </cell>
          <cell r="V4001" t="str">
            <v>Available</v>
          </cell>
        </row>
        <row r="4002">
          <cell r="A4002" t="str">
            <v>105300440015</v>
          </cell>
          <cell r="B4002" t="str">
            <v>Kalyanpur</v>
          </cell>
          <cell r="C4002" t="str">
            <v>Kalyanpur</v>
          </cell>
          <cell r="D4002" t="str">
            <v>Gomukh Punas</v>
          </cell>
          <cell r="E4002">
            <v>10530044</v>
          </cell>
          <cell r="F4002" t="str">
            <v>0015</v>
          </cell>
          <cell r="G4002">
            <v>14</v>
          </cell>
          <cell r="H4002">
            <v>29.179999999999996</v>
          </cell>
          <cell r="I4002">
            <v>1104.2390269944001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P4002">
            <v>1104</v>
          </cell>
          <cell r="V4002" t="str">
            <v>Available</v>
          </cell>
        </row>
        <row r="4003">
          <cell r="A4003" t="str">
            <v>105300440017</v>
          </cell>
          <cell r="B4003" t="str">
            <v>Kalyanpur</v>
          </cell>
          <cell r="C4003" t="str">
            <v>Kalyanpur</v>
          </cell>
          <cell r="D4003" t="str">
            <v>Gomukh Punas</v>
          </cell>
          <cell r="E4003">
            <v>10530044</v>
          </cell>
          <cell r="F4003" t="str">
            <v>0017</v>
          </cell>
          <cell r="G4003">
            <v>6</v>
          </cell>
          <cell r="H4003">
            <v>10.029999999999999</v>
          </cell>
          <cell r="I4003">
            <v>539.94716623160002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P4003">
            <v>540</v>
          </cell>
          <cell r="V4003" t="str">
            <v>Available</v>
          </cell>
        </row>
        <row r="4004">
          <cell r="A4004" t="str">
            <v>105300440019</v>
          </cell>
          <cell r="B4004" t="str">
            <v>Kalyanpur</v>
          </cell>
          <cell r="C4004" t="str">
            <v>Kalyanpur</v>
          </cell>
          <cell r="D4004" t="str">
            <v>Gomukh Punas</v>
          </cell>
          <cell r="E4004">
            <v>10530044</v>
          </cell>
          <cell r="F4004" t="str">
            <v>0019</v>
          </cell>
          <cell r="G4004">
            <v>13</v>
          </cell>
          <cell r="H4004">
            <v>15.340000000000002</v>
          </cell>
          <cell r="I4004">
            <v>540.29272649220002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P4004">
            <v>540</v>
          </cell>
          <cell r="V4004" t="str">
            <v>Available</v>
          </cell>
        </row>
        <row r="4005">
          <cell r="A4005" t="str">
            <v>105300440023</v>
          </cell>
          <cell r="B4005" t="str">
            <v>Kalyanpur</v>
          </cell>
          <cell r="C4005" t="str">
            <v>Kalyanpur</v>
          </cell>
          <cell r="D4005" t="str">
            <v>Gomukh Punas</v>
          </cell>
          <cell r="E4005">
            <v>10530044</v>
          </cell>
          <cell r="F4005" t="str">
            <v>0023</v>
          </cell>
          <cell r="G4005">
            <v>11</v>
          </cell>
          <cell r="H4005">
            <v>28.259999999999998</v>
          </cell>
          <cell r="I4005">
            <v>1045.952747928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P4005">
            <v>1046</v>
          </cell>
          <cell r="V4005" t="str">
            <v>Available</v>
          </cell>
        </row>
        <row r="4006">
          <cell r="A4006" t="str">
            <v>105300440024</v>
          </cell>
          <cell r="B4006" t="str">
            <v>Kalyanpur</v>
          </cell>
          <cell r="C4006" t="str">
            <v>Kalyanpur</v>
          </cell>
          <cell r="D4006" t="str">
            <v>Gomukh Punas</v>
          </cell>
          <cell r="E4006">
            <v>10530044</v>
          </cell>
          <cell r="F4006" t="str">
            <v>0024</v>
          </cell>
          <cell r="G4006">
            <v>14</v>
          </cell>
          <cell r="H4006">
            <v>95.449999999999974</v>
          </cell>
          <cell r="I4006">
            <v>4603.5715928665004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P4006">
            <v>4604</v>
          </cell>
          <cell r="V4006" t="str">
            <v>Available</v>
          </cell>
        </row>
        <row r="4007">
          <cell r="A4007" t="str">
            <v>105300440027</v>
          </cell>
          <cell r="B4007" t="str">
            <v>Kalyanpur</v>
          </cell>
          <cell r="C4007" t="str">
            <v>Kalyanpur</v>
          </cell>
          <cell r="D4007" t="str">
            <v>Gomukh Punas</v>
          </cell>
          <cell r="E4007">
            <v>10530044</v>
          </cell>
          <cell r="F4007" t="str">
            <v>0027</v>
          </cell>
          <cell r="G4007">
            <v>14</v>
          </cell>
          <cell r="H4007">
            <v>79.900000000000006</v>
          </cell>
          <cell r="I4007">
            <v>3658.8560693161562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P4007">
            <v>3659</v>
          </cell>
          <cell r="V4007" t="str">
            <v>Available</v>
          </cell>
        </row>
        <row r="4008">
          <cell r="A4008" t="str">
            <v>105300440029</v>
          </cell>
          <cell r="B4008" t="str">
            <v>Kalyanpur</v>
          </cell>
          <cell r="C4008" t="str">
            <v>Kalyanpur</v>
          </cell>
          <cell r="D4008" t="str">
            <v>Gomukh Punas</v>
          </cell>
          <cell r="E4008">
            <v>10530044</v>
          </cell>
          <cell r="F4008" t="str">
            <v>0029</v>
          </cell>
          <cell r="G4008">
            <v>4</v>
          </cell>
          <cell r="H4008">
            <v>5.1800000000000006</v>
          </cell>
          <cell r="I4008">
            <v>270.28707850526001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P4008">
            <v>270</v>
          </cell>
          <cell r="V4008" t="str">
            <v>Available</v>
          </cell>
        </row>
        <row r="4009">
          <cell r="A4009" t="str">
            <v>105300440031</v>
          </cell>
          <cell r="B4009" t="str">
            <v>Kalyanpur</v>
          </cell>
          <cell r="C4009" t="str">
            <v>Kalyanpur</v>
          </cell>
          <cell r="D4009" t="str">
            <v>Gomukh Punas</v>
          </cell>
          <cell r="E4009">
            <v>10530044</v>
          </cell>
          <cell r="F4009" t="str">
            <v>0031</v>
          </cell>
          <cell r="G4009">
            <v>13</v>
          </cell>
          <cell r="H4009">
            <v>27.009999999999998</v>
          </cell>
          <cell r="I4009">
            <v>1346.06397445473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P4009">
            <v>1346</v>
          </cell>
          <cell r="V4009" t="str">
            <v>Available</v>
          </cell>
        </row>
        <row r="4010">
          <cell r="A4010" t="str">
            <v>105300440032</v>
          </cell>
          <cell r="B4010" t="str">
            <v>Kalyanpur</v>
          </cell>
          <cell r="C4010" t="str">
            <v>Kalyanpur</v>
          </cell>
          <cell r="D4010" t="str">
            <v>Gomukh Punas</v>
          </cell>
          <cell r="E4010">
            <v>10530044</v>
          </cell>
          <cell r="F4010" t="str">
            <v>0032</v>
          </cell>
          <cell r="G4010">
            <v>9</v>
          </cell>
          <cell r="H4010">
            <v>11.35</v>
          </cell>
          <cell r="I4010">
            <v>629.43269048669003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P4010">
            <v>629</v>
          </cell>
          <cell r="V4010" t="str">
            <v>Available</v>
          </cell>
        </row>
        <row r="4011">
          <cell r="A4011" t="str">
            <v>105300440033</v>
          </cell>
          <cell r="B4011" t="str">
            <v>Kalyanpur</v>
          </cell>
          <cell r="C4011" t="str">
            <v>Kalyanpur</v>
          </cell>
          <cell r="D4011" t="str">
            <v>Gomukh Punas</v>
          </cell>
          <cell r="E4011">
            <v>10530044</v>
          </cell>
          <cell r="F4011" t="str">
            <v>0033</v>
          </cell>
          <cell r="G4011">
            <v>3</v>
          </cell>
          <cell r="H4011">
            <v>4.41</v>
          </cell>
          <cell r="I4011">
            <v>357.35769570059978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P4011">
            <v>357</v>
          </cell>
          <cell r="V4011" t="str">
            <v>Available</v>
          </cell>
        </row>
        <row r="4012">
          <cell r="A4012" t="str">
            <v>105300440034</v>
          </cell>
          <cell r="B4012" t="str">
            <v>Kalyanpur</v>
          </cell>
          <cell r="C4012" t="str">
            <v>Kalyanpur</v>
          </cell>
          <cell r="D4012" t="str">
            <v>Gomukh Punas</v>
          </cell>
          <cell r="E4012">
            <v>10530044</v>
          </cell>
          <cell r="F4012" t="str">
            <v>0034</v>
          </cell>
          <cell r="G4012">
            <v>14</v>
          </cell>
          <cell r="H4012">
            <v>40.290000000000006</v>
          </cell>
          <cell r="I4012">
            <v>1575.0677673719999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P4012">
            <v>1575</v>
          </cell>
          <cell r="V4012" t="str">
            <v>Available</v>
          </cell>
        </row>
        <row r="4013">
          <cell r="A4013" t="str">
            <v>105300440035</v>
          </cell>
          <cell r="B4013" t="str">
            <v>Kalyanpur</v>
          </cell>
          <cell r="C4013" t="str">
            <v>Kalyanpur</v>
          </cell>
          <cell r="D4013" t="str">
            <v>Gomukh Punas</v>
          </cell>
          <cell r="E4013">
            <v>10530044</v>
          </cell>
          <cell r="F4013" t="str">
            <v>0035</v>
          </cell>
          <cell r="G4013">
            <v>14</v>
          </cell>
          <cell r="H4013">
            <v>53.449999999999996</v>
          </cell>
          <cell r="I4013">
            <v>1926.4751113212001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P4013">
            <v>1926</v>
          </cell>
          <cell r="V4013" t="str">
            <v>Available</v>
          </cell>
        </row>
        <row r="4014">
          <cell r="A4014" t="str">
            <v>105300440036</v>
          </cell>
          <cell r="B4014" t="str">
            <v>Kalyanpur</v>
          </cell>
          <cell r="C4014" t="str">
            <v>Kalyanpur</v>
          </cell>
          <cell r="D4014" t="str">
            <v>Gomukh Punas</v>
          </cell>
          <cell r="E4014">
            <v>10530044</v>
          </cell>
          <cell r="F4014" t="str">
            <v>0036</v>
          </cell>
          <cell r="G4014">
            <v>13</v>
          </cell>
          <cell r="H4014">
            <v>51.74</v>
          </cell>
          <cell r="I4014">
            <v>2654.8162013207802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P4014">
            <v>2655</v>
          </cell>
          <cell r="V4014" t="str">
            <v>Available</v>
          </cell>
        </row>
        <row r="4015">
          <cell r="A4015" t="str">
            <v>105300440037</v>
          </cell>
          <cell r="B4015" t="str">
            <v>Kalyanpur</v>
          </cell>
          <cell r="C4015" t="str">
            <v>Kalyanpur</v>
          </cell>
          <cell r="D4015" t="str">
            <v>Gomukh Punas</v>
          </cell>
          <cell r="E4015">
            <v>10530044</v>
          </cell>
          <cell r="F4015" t="str">
            <v>0037</v>
          </cell>
          <cell r="G4015">
            <v>9</v>
          </cell>
          <cell r="H4015">
            <v>19.29</v>
          </cell>
          <cell r="I4015">
            <v>1019.7714561047202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P4015">
            <v>1020</v>
          </cell>
          <cell r="V4015" t="str">
            <v>Available</v>
          </cell>
        </row>
        <row r="4016">
          <cell r="A4016" t="str">
            <v>105300460001</v>
          </cell>
          <cell r="B4016" t="str">
            <v>Kalyanpur</v>
          </cell>
          <cell r="C4016" t="str">
            <v>Kalyanpur</v>
          </cell>
          <cell r="D4016" t="str">
            <v>Gomukh Loharkha</v>
          </cell>
          <cell r="E4016">
            <v>10530046</v>
          </cell>
          <cell r="F4016" t="str">
            <v>0001</v>
          </cell>
          <cell r="G4016">
            <v>2</v>
          </cell>
          <cell r="H4016">
            <v>1.74</v>
          </cell>
          <cell r="I4016">
            <v>85.22343681000001</v>
          </cell>
          <cell r="J4016">
            <v>0</v>
          </cell>
          <cell r="K4016">
            <v>85.22343681000001</v>
          </cell>
          <cell r="L4016">
            <v>0</v>
          </cell>
          <cell r="M4016">
            <v>0</v>
          </cell>
          <cell r="P4016">
            <v>0</v>
          </cell>
          <cell r="V4016" t="str">
            <v>Not Available</v>
          </cell>
        </row>
        <row r="4017">
          <cell r="A4017" t="str">
            <v>105300460002</v>
          </cell>
          <cell r="B4017" t="str">
            <v>Kalyanpur</v>
          </cell>
          <cell r="C4017" t="str">
            <v>Kalyanpur</v>
          </cell>
          <cell r="D4017" t="str">
            <v>Gomukh Loharkha</v>
          </cell>
          <cell r="E4017">
            <v>10530046</v>
          </cell>
          <cell r="F4017" t="str">
            <v>0002</v>
          </cell>
          <cell r="G4017">
            <v>12</v>
          </cell>
          <cell r="H4017">
            <v>40.19</v>
          </cell>
          <cell r="I4017">
            <v>1902.7988433579999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P4017">
            <v>1903</v>
          </cell>
          <cell r="V4017" t="str">
            <v>Available</v>
          </cell>
        </row>
        <row r="4018">
          <cell r="A4018" t="str">
            <v>105300460009</v>
          </cell>
          <cell r="B4018" t="str">
            <v>Kalyanpur</v>
          </cell>
          <cell r="C4018" t="str">
            <v>Kalyanpur</v>
          </cell>
          <cell r="D4018" t="str">
            <v>Gomukh Loharkha</v>
          </cell>
          <cell r="E4018">
            <v>10530046</v>
          </cell>
          <cell r="F4018" t="str">
            <v>0009</v>
          </cell>
          <cell r="G4018">
            <v>8</v>
          </cell>
          <cell r="H4018">
            <v>11.29</v>
          </cell>
          <cell r="I4018">
            <v>782.94405100979998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P4018">
            <v>783</v>
          </cell>
          <cell r="V4018" t="str">
            <v>Available</v>
          </cell>
        </row>
        <row r="4019">
          <cell r="A4019" t="str">
            <v>105300460012</v>
          </cell>
          <cell r="B4019" t="str">
            <v>Kalyanpur</v>
          </cell>
          <cell r="C4019" t="str">
            <v>Kalyanpur</v>
          </cell>
          <cell r="D4019" t="str">
            <v>Gomukh Loharkha</v>
          </cell>
          <cell r="E4019">
            <v>10530046</v>
          </cell>
          <cell r="F4019" t="str">
            <v>0012</v>
          </cell>
          <cell r="G4019">
            <v>11</v>
          </cell>
          <cell r="H4019">
            <v>26.259999999999998</v>
          </cell>
          <cell r="I4019">
            <v>1285.8431890595402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P4019">
            <v>1286</v>
          </cell>
          <cell r="V4019" t="str">
            <v>Available</v>
          </cell>
        </row>
        <row r="4020">
          <cell r="A4020" t="str">
            <v>105300460016</v>
          </cell>
          <cell r="B4020" t="str">
            <v>Kalyanpur</v>
          </cell>
          <cell r="C4020" t="str">
            <v>Kalyanpur</v>
          </cell>
          <cell r="D4020" t="str">
            <v>Gomukh Loharkha</v>
          </cell>
          <cell r="E4020">
            <v>10530046</v>
          </cell>
          <cell r="F4020" t="str">
            <v>0016</v>
          </cell>
          <cell r="G4020">
            <v>14</v>
          </cell>
          <cell r="H4020">
            <v>30.85</v>
          </cell>
          <cell r="I4020">
            <v>1000.2566556575999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P4020">
            <v>1000</v>
          </cell>
          <cell r="V4020" t="str">
            <v>Available</v>
          </cell>
        </row>
        <row r="4021">
          <cell r="A4021" t="str">
            <v>105300460018</v>
          </cell>
          <cell r="B4021" t="str">
            <v>Kalyanpur</v>
          </cell>
          <cell r="C4021" t="str">
            <v>Kalyanpur</v>
          </cell>
          <cell r="D4021" t="str">
            <v>Gomukh Loharkha</v>
          </cell>
          <cell r="E4021">
            <v>10530046</v>
          </cell>
          <cell r="F4021" t="str">
            <v>0018</v>
          </cell>
          <cell r="G4021">
            <v>9</v>
          </cell>
          <cell r="H4021">
            <v>21.61</v>
          </cell>
          <cell r="I4021">
            <v>1000.2390028191701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P4021">
            <v>1000</v>
          </cell>
          <cell r="V4021" t="str">
            <v>Available</v>
          </cell>
        </row>
        <row r="4022">
          <cell r="A4022" t="str">
            <v>105300460021</v>
          </cell>
          <cell r="B4022" t="str">
            <v>Kalyanpur</v>
          </cell>
          <cell r="C4022" t="str">
            <v>Kalyanpur</v>
          </cell>
          <cell r="D4022" t="str">
            <v>Gomukh Loharkha</v>
          </cell>
          <cell r="E4022">
            <v>10530046</v>
          </cell>
          <cell r="F4022" t="str">
            <v>0021</v>
          </cell>
          <cell r="G4022">
            <v>12</v>
          </cell>
          <cell r="H4022">
            <v>33.130000000000003</v>
          </cell>
          <cell r="I4022">
            <v>1522.2012650312702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P4022">
            <v>1522</v>
          </cell>
          <cell r="V4022" t="str">
            <v>Available</v>
          </cell>
        </row>
        <row r="4023">
          <cell r="A4023" t="str">
            <v>105300460023</v>
          </cell>
          <cell r="B4023" t="str">
            <v>Kalyanpur</v>
          </cell>
          <cell r="C4023" t="str">
            <v>Kalyanpur</v>
          </cell>
          <cell r="D4023" t="str">
            <v>Gomukh Loharkha</v>
          </cell>
          <cell r="E4023">
            <v>10530046</v>
          </cell>
          <cell r="F4023" t="str">
            <v>0023</v>
          </cell>
          <cell r="G4023">
            <v>5</v>
          </cell>
          <cell r="H4023">
            <v>7.6099999999999994</v>
          </cell>
          <cell r="I4023">
            <v>557.80877583389997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P4023">
            <v>558</v>
          </cell>
          <cell r="V4023" t="str">
            <v>Available</v>
          </cell>
        </row>
        <row r="4024">
          <cell r="A4024" t="str">
            <v>105300460024</v>
          </cell>
          <cell r="B4024" t="str">
            <v>Kalyanpur</v>
          </cell>
          <cell r="C4024" t="str">
            <v>Kalyanpur</v>
          </cell>
          <cell r="D4024" t="str">
            <v>Gomukh Loharkha</v>
          </cell>
          <cell r="E4024">
            <v>10530046</v>
          </cell>
          <cell r="F4024" t="str">
            <v>0024</v>
          </cell>
          <cell r="G4024">
            <v>2</v>
          </cell>
          <cell r="H4024">
            <v>2.5099999999999998</v>
          </cell>
          <cell r="I4024">
            <v>85.484599081200003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P4024">
            <v>85</v>
          </cell>
          <cell r="V4024" t="str">
            <v>Available</v>
          </cell>
        </row>
        <row r="4025">
          <cell r="A4025" t="str">
            <v>105300460025</v>
          </cell>
          <cell r="B4025" t="str">
            <v>Kalyanpur</v>
          </cell>
          <cell r="C4025" t="str">
            <v>Kalyanpur</v>
          </cell>
          <cell r="D4025" t="str">
            <v>Gomukh Loharkha</v>
          </cell>
          <cell r="E4025">
            <v>10530046</v>
          </cell>
          <cell r="F4025" t="str">
            <v>0025</v>
          </cell>
          <cell r="G4025">
            <v>4</v>
          </cell>
          <cell r="H4025">
            <v>5.62</v>
          </cell>
          <cell r="I4025">
            <v>419.12391465079997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P4025">
            <v>419</v>
          </cell>
          <cell r="V4025" t="str">
            <v>Available</v>
          </cell>
        </row>
        <row r="4026">
          <cell r="A4026" t="str">
            <v>105300460027</v>
          </cell>
          <cell r="B4026" t="str">
            <v>Kalyanpur</v>
          </cell>
          <cell r="C4026" t="str">
            <v>Kalyanpur</v>
          </cell>
          <cell r="D4026" t="str">
            <v>Gomukh Loharkha</v>
          </cell>
          <cell r="E4026">
            <v>10530046</v>
          </cell>
          <cell r="F4026" t="str">
            <v>0027</v>
          </cell>
          <cell r="G4026">
            <v>5</v>
          </cell>
          <cell r="H4026">
            <v>11.040000000000001</v>
          </cell>
          <cell r="I4026">
            <v>460.07330688000002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P4026">
            <v>460</v>
          </cell>
          <cell r="V4026" t="str">
            <v>Available</v>
          </cell>
        </row>
        <row r="4027">
          <cell r="A4027" t="str">
            <v>105300460028</v>
          </cell>
          <cell r="B4027" t="str">
            <v>Kalyanpur</v>
          </cell>
          <cell r="C4027" t="str">
            <v>Kalyanpur</v>
          </cell>
          <cell r="D4027" t="str">
            <v>Gomukh Loharkha</v>
          </cell>
          <cell r="E4027">
            <v>10530046</v>
          </cell>
          <cell r="F4027" t="str">
            <v>0028</v>
          </cell>
          <cell r="G4027">
            <v>13</v>
          </cell>
          <cell r="H4027">
            <v>19.810000000000002</v>
          </cell>
          <cell r="I4027">
            <v>1297.7843393235999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P4027">
            <v>1298</v>
          </cell>
          <cell r="V4027" t="str">
            <v>Available</v>
          </cell>
        </row>
        <row r="4028">
          <cell r="A4028" t="str">
            <v>105300460029</v>
          </cell>
          <cell r="B4028" t="str">
            <v>Kalyanpur</v>
          </cell>
          <cell r="C4028" t="str">
            <v>Kalyanpur</v>
          </cell>
          <cell r="D4028" t="str">
            <v>Gomukh Loharkha</v>
          </cell>
          <cell r="E4028">
            <v>10530046</v>
          </cell>
          <cell r="F4028" t="str">
            <v>0029</v>
          </cell>
          <cell r="G4028">
            <v>4</v>
          </cell>
          <cell r="H4028">
            <v>12.840000000000002</v>
          </cell>
          <cell r="I4028">
            <v>402.24249909360009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P4028">
            <v>402</v>
          </cell>
          <cell r="V4028" t="str">
            <v>Available</v>
          </cell>
        </row>
        <row r="4029">
          <cell r="A4029" t="str">
            <v>105300460030</v>
          </cell>
          <cell r="B4029" t="str">
            <v>Kalyanpur</v>
          </cell>
          <cell r="C4029" t="str">
            <v>Kalyanpur</v>
          </cell>
          <cell r="D4029" t="str">
            <v>Gomukh Loharkha</v>
          </cell>
          <cell r="E4029">
            <v>10530046</v>
          </cell>
          <cell r="F4029" t="str">
            <v>0030</v>
          </cell>
          <cell r="G4029">
            <v>14</v>
          </cell>
          <cell r="H4029">
            <v>24.749999999999996</v>
          </cell>
          <cell r="I4029">
            <v>937.70524580040012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P4029">
            <v>938</v>
          </cell>
          <cell r="V4029" t="str">
            <v>Available</v>
          </cell>
        </row>
        <row r="4030">
          <cell r="A4030" t="str">
            <v>105300460031</v>
          </cell>
          <cell r="B4030" t="str">
            <v>Kalyanpur</v>
          </cell>
          <cell r="C4030" t="str">
            <v>Kalyanpur</v>
          </cell>
          <cell r="D4030" t="str">
            <v>Gomukh Loharkha</v>
          </cell>
          <cell r="E4030">
            <v>10530046</v>
          </cell>
          <cell r="F4030" t="str">
            <v>0031</v>
          </cell>
          <cell r="G4030">
            <v>7</v>
          </cell>
          <cell r="H4030">
            <v>11.37</v>
          </cell>
          <cell r="I4030">
            <v>411.52768319519998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P4030">
            <v>412</v>
          </cell>
          <cell r="V4030" t="str">
            <v>Available</v>
          </cell>
        </row>
        <row r="4031">
          <cell r="A4031" t="str">
            <v>105300460035</v>
          </cell>
          <cell r="B4031" t="str">
            <v>Kalyanpur</v>
          </cell>
          <cell r="C4031" t="str">
            <v>Kalyanpur</v>
          </cell>
          <cell r="D4031" t="str">
            <v>Gomukh Loharkha</v>
          </cell>
          <cell r="E4031">
            <v>10530046</v>
          </cell>
          <cell r="F4031" t="str">
            <v>0035</v>
          </cell>
          <cell r="G4031">
            <v>7</v>
          </cell>
          <cell r="H4031">
            <v>34.1</v>
          </cell>
          <cell r="I4031">
            <v>1099.6032414058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P4031">
            <v>1100</v>
          </cell>
          <cell r="V4031" t="str">
            <v>Available</v>
          </cell>
        </row>
        <row r="4032">
          <cell r="A4032" t="str">
            <v>105300460037</v>
          </cell>
          <cell r="B4032" t="str">
            <v>Kalyanpur</v>
          </cell>
          <cell r="C4032" t="str">
            <v>Kalyanpur</v>
          </cell>
          <cell r="D4032" t="str">
            <v>Gomukh Loharkha</v>
          </cell>
          <cell r="E4032">
            <v>10530046</v>
          </cell>
          <cell r="F4032" t="str">
            <v>0037</v>
          </cell>
          <cell r="G4032">
            <v>5</v>
          </cell>
          <cell r="H4032">
            <v>7.8000000000000007</v>
          </cell>
          <cell r="I4032">
            <v>283.93807384800004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P4032">
            <v>284</v>
          </cell>
          <cell r="V4032" t="str">
            <v>Available</v>
          </cell>
        </row>
        <row r="4033">
          <cell r="A4033" t="str">
            <v>105300460040</v>
          </cell>
          <cell r="B4033" t="str">
            <v>Kalyanpur</v>
          </cell>
          <cell r="C4033" t="str">
            <v>Kalyanpur</v>
          </cell>
          <cell r="D4033" t="str">
            <v>Gomukh Loharkha</v>
          </cell>
          <cell r="E4033">
            <v>10530046</v>
          </cell>
          <cell r="F4033" t="str">
            <v>0040</v>
          </cell>
          <cell r="G4033">
            <v>9</v>
          </cell>
          <cell r="H4033">
            <v>16.739999999999998</v>
          </cell>
          <cell r="I4033">
            <v>612.73707335280005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P4033">
            <v>613</v>
          </cell>
          <cell r="V4033" t="str">
            <v>Available</v>
          </cell>
        </row>
        <row r="4034">
          <cell r="A4034" t="str">
            <v>105300460043</v>
          </cell>
          <cell r="B4034" t="str">
            <v>Kalyanpur</v>
          </cell>
          <cell r="C4034" t="str">
            <v>Kalyanpur</v>
          </cell>
          <cell r="D4034" t="str">
            <v>Gomukh Loharkha</v>
          </cell>
          <cell r="E4034">
            <v>10530046</v>
          </cell>
          <cell r="F4034" t="str">
            <v>0043</v>
          </cell>
          <cell r="G4034">
            <v>11</v>
          </cell>
          <cell r="H4034">
            <v>24.37</v>
          </cell>
          <cell r="I4034">
            <v>1226.5474263725202</v>
          </cell>
          <cell r="J4034">
            <v>0</v>
          </cell>
          <cell r="K4034">
            <v>0</v>
          </cell>
          <cell r="L4034">
            <v>0</v>
          </cell>
          <cell r="M4034">
            <v>0</v>
          </cell>
          <cell r="P4034">
            <v>1227</v>
          </cell>
          <cell r="V4034" t="str">
            <v>Available</v>
          </cell>
        </row>
        <row r="4035">
          <cell r="A4035" t="str">
            <v>105300460047</v>
          </cell>
          <cell r="B4035" t="str">
            <v>Kalyanpur</v>
          </cell>
          <cell r="C4035" t="str">
            <v>Kalyanpur</v>
          </cell>
          <cell r="D4035" t="str">
            <v>Gomukh Loharkha</v>
          </cell>
          <cell r="E4035">
            <v>10530046</v>
          </cell>
          <cell r="F4035" t="str">
            <v>0047</v>
          </cell>
          <cell r="G4035">
            <v>7</v>
          </cell>
          <cell r="H4035">
            <v>10.66</v>
          </cell>
          <cell r="I4035">
            <v>559.76290386469998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P4035">
            <v>560</v>
          </cell>
          <cell r="V4035" t="str">
            <v>Available</v>
          </cell>
        </row>
        <row r="4036">
          <cell r="A4036" t="str">
            <v>105300460048</v>
          </cell>
          <cell r="B4036" t="str">
            <v>Kalyanpur</v>
          </cell>
          <cell r="C4036" t="str">
            <v>Kalyanpur</v>
          </cell>
          <cell r="D4036" t="str">
            <v>Gomukh Loharkha</v>
          </cell>
          <cell r="E4036">
            <v>10530046</v>
          </cell>
          <cell r="F4036" t="str">
            <v>0048</v>
          </cell>
          <cell r="G4036">
            <v>10</v>
          </cell>
          <cell r="H4036">
            <v>23.339999999999996</v>
          </cell>
          <cell r="I4036">
            <v>1358.0931006584001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P4036">
            <v>1358</v>
          </cell>
          <cell r="V4036" t="str">
            <v>Available</v>
          </cell>
        </row>
        <row r="4037">
          <cell r="A4037" t="str">
            <v>105300460050</v>
          </cell>
          <cell r="B4037" t="str">
            <v>Kalyanpur</v>
          </cell>
          <cell r="C4037" t="str">
            <v>Kalyanpur</v>
          </cell>
          <cell r="D4037" t="str">
            <v>Gomukh Loharkha</v>
          </cell>
          <cell r="E4037">
            <v>10530046</v>
          </cell>
          <cell r="F4037" t="str">
            <v>0050</v>
          </cell>
          <cell r="G4037">
            <v>10</v>
          </cell>
          <cell r="H4037">
            <v>38.47</v>
          </cell>
          <cell r="I4037">
            <v>1871.6218115047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P4037">
            <v>1872</v>
          </cell>
          <cell r="V4037" t="str">
            <v>Available</v>
          </cell>
        </row>
        <row r="4038">
          <cell r="A4038" t="str">
            <v>105300460051</v>
          </cell>
          <cell r="B4038" t="str">
            <v>Kalyanpur</v>
          </cell>
          <cell r="C4038" t="str">
            <v>Kalyanpur</v>
          </cell>
          <cell r="D4038" t="str">
            <v>Gomukh Loharkha</v>
          </cell>
          <cell r="E4038">
            <v>10530046</v>
          </cell>
          <cell r="F4038" t="str">
            <v>0051</v>
          </cell>
          <cell r="G4038">
            <v>5</v>
          </cell>
          <cell r="H4038">
            <v>7.6999999999999993</v>
          </cell>
          <cell r="I4038">
            <v>304.58537485200003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P4038">
            <v>305</v>
          </cell>
          <cell r="V4038" t="str">
            <v>Available</v>
          </cell>
        </row>
        <row r="4039">
          <cell r="A4039" t="str">
            <v>105300470001</v>
          </cell>
          <cell r="B4039" t="str">
            <v>Kalyanpur</v>
          </cell>
          <cell r="C4039" t="str">
            <v>Kalyanpur</v>
          </cell>
          <cell r="D4039" t="str">
            <v>Gomukh Dighra</v>
          </cell>
          <cell r="E4039">
            <v>10530047</v>
          </cell>
          <cell r="F4039" t="str">
            <v>0001</v>
          </cell>
          <cell r="G4039">
            <v>6</v>
          </cell>
          <cell r="H4039">
            <v>1.32</v>
          </cell>
          <cell r="I4039">
            <v>45.183500861399999</v>
          </cell>
          <cell r="J4039">
            <v>0</v>
          </cell>
          <cell r="K4039">
            <v>45.183500861399999</v>
          </cell>
          <cell r="L4039">
            <v>0</v>
          </cell>
          <cell r="M4039">
            <v>0</v>
          </cell>
          <cell r="P4039">
            <v>0</v>
          </cell>
          <cell r="V4039" t="str">
            <v>Not Available</v>
          </cell>
        </row>
        <row r="4040">
          <cell r="A4040" t="str">
            <v>105300470002</v>
          </cell>
          <cell r="B4040" t="str">
            <v>Kalyanpur</v>
          </cell>
          <cell r="C4040" t="str">
            <v>Kalyanpur</v>
          </cell>
          <cell r="D4040" t="str">
            <v>Gomukh Dighra</v>
          </cell>
          <cell r="E4040">
            <v>10530047</v>
          </cell>
          <cell r="F4040" t="str">
            <v>0002</v>
          </cell>
          <cell r="G4040">
            <v>8</v>
          </cell>
          <cell r="H4040">
            <v>40.65</v>
          </cell>
          <cell r="I4040">
            <v>1436.8176529146001</v>
          </cell>
          <cell r="J4040">
            <v>0</v>
          </cell>
          <cell r="K4040">
            <v>0</v>
          </cell>
          <cell r="L4040">
            <v>458</v>
          </cell>
          <cell r="M4040">
            <v>0</v>
          </cell>
          <cell r="P4040">
            <v>884</v>
          </cell>
          <cell r="V4040" t="str">
            <v>Available</v>
          </cell>
        </row>
        <row r="4041">
          <cell r="A4041" t="str">
            <v>105300470005</v>
          </cell>
          <cell r="B4041" t="str">
            <v>Kalyanpur</v>
          </cell>
          <cell r="C4041" t="str">
            <v>Kalyanpur</v>
          </cell>
          <cell r="D4041" t="str">
            <v>Gomukh Dighra</v>
          </cell>
          <cell r="E4041">
            <v>10530047</v>
          </cell>
          <cell r="F4041" t="str">
            <v>0005</v>
          </cell>
          <cell r="G4041">
            <v>14</v>
          </cell>
          <cell r="H4041">
            <v>210.10999999999999</v>
          </cell>
          <cell r="I4041">
            <v>7236.8256273786001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P4041">
            <v>7237</v>
          </cell>
          <cell r="V4041" t="str">
            <v>Available</v>
          </cell>
        </row>
        <row r="4042">
          <cell r="A4042" t="str">
            <v>105300470015</v>
          </cell>
          <cell r="B4042" t="str">
            <v>Kalyanpur</v>
          </cell>
          <cell r="C4042" t="str">
            <v>Kalyanpur</v>
          </cell>
          <cell r="D4042" t="str">
            <v>Gomukh Dighra</v>
          </cell>
          <cell r="E4042">
            <v>10530047</v>
          </cell>
          <cell r="F4042" t="str">
            <v>0015</v>
          </cell>
          <cell r="G4042">
            <v>5</v>
          </cell>
          <cell r="H4042">
            <v>5.0999999999999996</v>
          </cell>
          <cell r="I4042">
            <v>161.01273820500001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P4042">
            <v>161</v>
          </cell>
          <cell r="V4042" t="str">
            <v>Available</v>
          </cell>
        </row>
        <row r="4043">
          <cell r="A4043" t="str">
            <v>105300470019</v>
          </cell>
          <cell r="B4043" t="str">
            <v>Kalyanpur</v>
          </cell>
          <cell r="C4043" t="str">
            <v>Kalyanpur</v>
          </cell>
          <cell r="D4043" t="str">
            <v>Gomukh Dighra</v>
          </cell>
          <cell r="E4043">
            <v>10530047</v>
          </cell>
          <cell r="F4043" t="str">
            <v>0019</v>
          </cell>
          <cell r="G4043">
            <v>8</v>
          </cell>
          <cell r="H4043">
            <v>31.330000000000002</v>
          </cell>
          <cell r="I4043">
            <v>1251.8104896396001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P4043">
            <v>1252</v>
          </cell>
          <cell r="V4043" t="str">
            <v>Available</v>
          </cell>
        </row>
        <row r="4044">
          <cell r="A4044" t="str">
            <v>105300480001</v>
          </cell>
          <cell r="B4044" t="str">
            <v>Kalyanpur</v>
          </cell>
          <cell r="C4044" t="str">
            <v>Kalyanpur</v>
          </cell>
          <cell r="D4044" t="str">
            <v>Basuwari</v>
          </cell>
          <cell r="E4044">
            <v>10530048</v>
          </cell>
          <cell r="F4044" t="str">
            <v>0001</v>
          </cell>
          <cell r="G4044">
            <v>14</v>
          </cell>
          <cell r="H4044">
            <v>5.77</v>
          </cell>
          <cell r="I4044">
            <v>227.89277617650603</v>
          </cell>
          <cell r="J4044">
            <v>0</v>
          </cell>
          <cell r="K4044">
            <v>227.89277617650603</v>
          </cell>
          <cell r="L4044">
            <v>0</v>
          </cell>
          <cell r="M4044">
            <v>0</v>
          </cell>
          <cell r="P4044">
            <v>0</v>
          </cell>
          <cell r="V4044" t="str">
            <v>Not Available</v>
          </cell>
        </row>
        <row r="4045">
          <cell r="A4045" t="str">
            <v>105300480002</v>
          </cell>
          <cell r="B4045" t="str">
            <v>Kalyanpur</v>
          </cell>
          <cell r="C4045" t="str">
            <v>Kalyanpur</v>
          </cell>
          <cell r="D4045" t="str">
            <v>Basuwari</v>
          </cell>
          <cell r="E4045">
            <v>10530048</v>
          </cell>
          <cell r="F4045" t="str">
            <v>0002</v>
          </cell>
          <cell r="G4045">
            <v>1</v>
          </cell>
          <cell r="H4045">
            <v>1</v>
          </cell>
          <cell r="I4045">
            <v>33.001056000000005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P4045">
            <v>33</v>
          </cell>
          <cell r="V4045" t="str">
            <v>Available</v>
          </cell>
        </row>
        <row r="4046">
          <cell r="A4046" t="str">
            <v>105300480004</v>
          </cell>
          <cell r="B4046" t="str">
            <v>Kalyanpur</v>
          </cell>
          <cell r="C4046" t="str">
            <v>Kalyanpur</v>
          </cell>
          <cell r="D4046" t="str">
            <v>Basuwari</v>
          </cell>
          <cell r="E4046">
            <v>10530048</v>
          </cell>
          <cell r="F4046" t="str">
            <v>0004</v>
          </cell>
          <cell r="G4046">
            <v>4</v>
          </cell>
          <cell r="H4046">
            <v>8.6000000000000014</v>
          </cell>
          <cell r="I4046">
            <v>436.94856517842004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P4046">
            <v>437</v>
          </cell>
          <cell r="V4046" t="str">
            <v>Available</v>
          </cell>
        </row>
        <row r="4047">
          <cell r="A4047" t="str">
            <v>105300480010</v>
          </cell>
          <cell r="B4047" t="str">
            <v>Kalyanpur</v>
          </cell>
          <cell r="C4047" t="str">
            <v>Kalyanpur</v>
          </cell>
          <cell r="D4047" t="str">
            <v>Basuwari</v>
          </cell>
          <cell r="E4047">
            <v>10530048</v>
          </cell>
          <cell r="F4047" t="str">
            <v>0010</v>
          </cell>
          <cell r="G4047">
            <v>14</v>
          </cell>
          <cell r="H4047">
            <v>107.09</v>
          </cell>
          <cell r="I4047">
            <v>3851.337922146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  <cell r="P4047">
            <v>3851</v>
          </cell>
          <cell r="V4047" t="str">
            <v>Available</v>
          </cell>
        </row>
        <row r="4048">
          <cell r="A4048" t="str">
            <v>105300480013</v>
          </cell>
          <cell r="B4048" t="str">
            <v>Kalyanpur</v>
          </cell>
          <cell r="C4048" t="str">
            <v>Kalyanpur</v>
          </cell>
          <cell r="D4048" t="str">
            <v>Basuwari</v>
          </cell>
          <cell r="E4048">
            <v>10530048</v>
          </cell>
          <cell r="F4048" t="str">
            <v>0013</v>
          </cell>
          <cell r="G4048">
            <v>1</v>
          </cell>
          <cell r="H4048">
            <v>2.0299999999999998</v>
          </cell>
          <cell r="I4048">
            <v>87.357157271999995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P4048">
            <v>87</v>
          </cell>
          <cell r="V4048" t="str">
            <v>Available</v>
          </cell>
        </row>
        <row r="4049">
          <cell r="A4049" t="str">
            <v>105300480015</v>
          </cell>
          <cell r="B4049" t="str">
            <v>Kalyanpur</v>
          </cell>
          <cell r="C4049" t="str">
            <v>Kalyanpur</v>
          </cell>
          <cell r="D4049" t="str">
            <v>Basuwari</v>
          </cell>
          <cell r="E4049">
            <v>10530048</v>
          </cell>
          <cell r="F4049" t="str">
            <v>0015</v>
          </cell>
          <cell r="G4049">
            <v>11</v>
          </cell>
          <cell r="H4049">
            <v>23.36</v>
          </cell>
          <cell r="I4049">
            <v>864.06959984400009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P4049">
            <v>864</v>
          </cell>
          <cell r="V4049" t="str">
            <v>Available</v>
          </cell>
        </row>
        <row r="4050">
          <cell r="A4050" t="str">
            <v>105300480018</v>
          </cell>
          <cell r="B4050" t="str">
            <v>Kalyanpur</v>
          </cell>
          <cell r="C4050" t="str">
            <v>Kalyanpur</v>
          </cell>
          <cell r="D4050" t="str">
            <v>Basuwari</v>
          </cell>
          <cell r="E4050">
            <v>10530048</v>
          </cell>
          <cell r="F4050" t="str">
            <v>0018</v>
          </cell>
          <cell r="G4050">
            <v>14</v>
          </cell>
          <cell r="H4050">
            <v>38.459999999999994</v>
          </cell>
          <cell r="I4050">
            <v>1390.1020247664001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P4050">
            <v>1390</v>
          </cell>
          <cell r="V4050" t="str">
            <v>Available</v>
          </cell>
        </row>
        <row r="4051">
          <cell r="A4051" t="str">
            <v>105300480019</v>
          </cell>
          <cell r="B4051" t="str">
            <v>Kalyanpur</v>
          </cell>
          <cell r="C4051" t="str">
            <v>Kalyanpur</v>
          </cell>
          <cell r="D4051" t="str">
            <v>Basuwari</v>
          </cell>
          <cell r="E4051">
            <v>10530048</v>
          </cell>
          <cell r="F4051" t="str">
            <v>0019</v>
          </cell>
          <cell r="G4051">
            <v>14</v>
          </cell>
          <cell r="H4051">
            <v>65.449999999999989</v>
          </cell>
          <cell r="I4051">
            <v>2259.9027565289998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P4051">
            <v>2260</v>
          </cell>
          <cell r="V4051" t="str">
            <v>Available</v>
          </cell>
        </row>
        <row r="4052">
          <cell r="A4052" t="str">
            <v>105300480030</v>
          </cell>
          <cell r="B4052" t="str">
            <v>Kalyanpur</v>
          </cell>
          <cell r="C4052" t="str">
            <v>Kalyanpur</v>
          </cell>
          <cell r="D4052" t="str">
            <v>Basuwari</v>
          </cell>
          <cell r="E4052">
            <v>10530048</v>
          </cell>
          <cell r="F4052" t="str">
            <v>0030</v>
          </cell>
          <cell r="G4052">
            <v>7</v>
          </cell>
          <cell r="H4052">
            <v>14.219999999999999</v>
          </cell>
          <cell r="I4052">
            <v>586.928805843963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P4052">
            <v>587</v>
          </cell>
          <cell r="V4052" t="str">
            <v>Available</v>
          </cell>
        </row>
        <row r="4053">
          <cell r="A4053" t="str">
            <v>105300480031</v>
          </cell>
          <cell r="B4053" t="str">
            <v>Kalyanpur</v>
          </cell>
          <cell r="C4053" t="str">
            <v>Kalyanpur</v>
          </cell>
          <cell r="D4053" t="str">
            <v>Basuwari</v>
          </cell>
          <cell r="E4053">
            <v>10530048</v>
          </cell>
          <cell r="F4053" t="str">
            <v>0031</v>
          </cell>
          <cell r="G4053">
            <v>5</v>
          </cell>
          <cell r="H4053">
            <v>15.49</v>
          </cell>
          <cell r="I4053">
            <v>578.20284027000002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P4053">
            <v>578</v>
          </cell>
          <cell r="V4053" t="str">
            <v>Available</v>
          </cell>
        </row>
        <row r="4054">
          <cell r="A4054" t="str">
            <v>105300480034</v>
          </cell>
          <cell r="B4054" t="str">
            <v>Kalyanpur</v>
          </cell>
          <cell r="C4054" t="str">
            <v>Kalyanpur</v>
          </cell>
          <cell r="D4054" t="str">
            <v>Basuwari</v>
          </cell>
          <cell r="E4054">
            <v>10530048</v>
          </cell>
          <cell r="F4054" t="str">
            <v>0034</v>
          </cell>
          <cell r="G4054">
            <v>14</v>
          </cell>
          <cell r="H4054">
            <v>47.14</v>
          </cell>
          <cell r="I4054">
            <v>1676.4866943264001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P4054">
            <v>1676</v>
          </cell>
          <cell r="V4054" t="str">
            <v>Available</v>
          </cell>
        </row>
        <row r="4055">
          <cell r="A4055" t="str">
            <v>105300480035</v>
          </cell>
          <cell r="B4055" t="str">
            <v>Kalyanpur</v>
          </cell>
          <cell r="C4055" t="str">
            <v>Kalyanpur</v>
          </cell>
          <cell r="D4055" t="str">
            <v>Basuwari</v>
          </cell>
          <cell r="E4055">
            <v>10530048</v>
          </cell>
          <cell r="F4055" t="str">
            <v>0035</v>
          </cell>
          <cell r="G4055">
            <v>12</v>
          </cell>
          <cell r="H4055">
            <v>22.080000000000002</v>
          </cell>
          <cell r="I4055">
            <v>820.78539008400014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P4055">
            <v>821</v>
          </cell>
          <cell r="V4055" t="str">
            <v>Available</v>
          </cell>
        </row>
        <row r="4056">
          <cell r="A4056" t="str">
            <v>105300550001</v>
          </cell>
          <cell r="B4056" t="str">
            <v>Kalyanpur</v>
          </cell>
          <cell r="C4056" t="str">
            <v>Kalyanpur</v>
          </cell>
          <cell r="D4056" t="str">
            <v>GOMUKH HARPUR W-13</v>
          </cell>
          <cell r="E4056">
            <v>10530055</v>
          </cell>
          <cell r="F4056" t="str">
            <v>0001</v>
          </cell>
          <cell r="G4056">
            <v>14</v>
          </cell>
          <cell r="H4056">
            <v>28.680000000000003</v>
          </cell>
          <cell r="I4056">
            <v>1138.3862640480002</v>
          </cell>
          <cell r="J4056">
            <v>0</v>
          </cell>
          <cell r="K4056">
            <v>1138.3862640480002</v>
          </cell>
          <cell r="L4056">
            <v>0</v>
          </cell>
          <cell r="M4056">
            <v>0</v>
          </cell>
          <cell r="P4056">
            <v>0</v>
          </cell>
          <cell r="V4056" t="str">
            <v>Not Available</v>
          </cell>
        </row>
        <row r="4057">
          <cell r="A4057" t="str">
            <v>105300550002</v>
          </cell>
          <cell r="B4057" t="str">
            <v>Kalyanpur</v>
          </cell>
          <cell r="C4057" t="str">
            <v>Kalyanpur</v>
          </cell>
          <cell r="D4057" t="str">
            <v>GOMUKH HARPUR W-13</v>
          </cell>
          <cell r="E4057">
            <v>10530055</v>
          </cell>
          <cell r="F4057" t="str">
            <v>0002</v>
          </cell>
          <cell r="G4057">
            <v>12</v>
          </cell>
          <cell r="H4057">
            <v>70.010000000000005</v>
          </cell>
          <cell r="I4057">
            <v>2814.3845139959994</v>
          </cell>
          <cell r="J4057">
            <v>0</v>
          </cell>
          <cell r="K4057">
            <v>0</v>
          </cell>
          <cell r="L4057">
            <v>0</v>
          </cell>
          <cell r="M4057">
            <v>556</v>
          </cell>
          <cell r="P4057">
            <v>2258</v>
          </cell>
          <cell r="V4057" t="str">
            <v>Available</v>
          </cell>
        </row>
        <row r="4058">
          <cell r="A4058" t="str">
            <v>105300550003</v>
          </cell>
          <cell r="B4058" t="str">
            <v>Kalyanpur</v>
          </cell>
          <cell r="C4058" t="str">
            <v>Kalyanpur</v>
          </cell>
          <cell r="D4058" t="str">
            <v>GOMUKH HARPUR W-13</v>
          </cell>
          <cell r="E4058">
            <v>10530055</v>
          </cell>
          <cell r="F4058" t="str">
            <v>0003</v>
          </cell>
          <cell r="G4058">
            <v>5</v>
          </cell>
          <cell r="H4058">
            <v>22.759999999999998</v>
          </cell>
          <cell r="I4058">
            <v>788.840747244</v>
          </cell>
          <cell r="J4058">
            <v>0</v>
          </cell>
          <cell r="K4058">
            <v>0</v>
          </cell>
          <cell r="L4058">
            <v>0</v>
          </cell>
          <cell r="M4058">
            <v>0</v>
          </cell>
          <cell r="P4058">
            <v>789</v>
          </cell>
          <cell r="V4058" t="str">
            <v>Available</v>
          </cell>
        </row>
        <row r="4059">
          <cell r="A4059" t="str">
            <v>105300550005</v>
          </cell>
          <cell r="B4059" t="str">
            <v>Kalyanpur</v>
          </cell>
          <cell r="C4059" t="str">
            <v>Kalyanpur</v>
          </cell>
          <cell r="D4059" t="str">
            <v>GOMUKH HARPUR W-13</v>
          </cell>
          <cell r="E4059">
            <v>10530055</v>
          </cell>
          <cell r="F4059" t="str">
            <v>0005</v>
          </cell>
          <cell r="G4059">
            <v>14</v>
          </cell>
          <cell r="H4059">
            <v>302.26</v>
          </cell>
          <cell r="I4059">
            <v>11319.064335612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P4059">
            <v>11319</v>
          </cell>
          <cell r="V4059" t="str">
            <v>Available</v>
          </cell>
        </row>
        <row r="4060">
          <cell r="A4060" t="str">
            <v>105300550007</v>
          </cell>
          <cell r="B4060" t="str">
            <v>Kalyanpur</v>
          </cell>
          <cell r="C4060" t="str">
            <v>Kalyanpur</v>
          </cell>
          <cell r="D4060" t="str">
            <v>GOMUKH HARPUR W-13</v>
          </cell>
          <cell r="E4060">
            <v>10530055</v>
          </cell>
          <cell r="F4060" t="str">
            <v>0007</v>
          </cell>
          <cell r="G4060">
            <v>14</v>
          </cell>
          <cell r="H4060">
            <v>49.15</v>
          </cell>
          <cell r="I4060">
            <v>1599.8673844494001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P4060">
            <v>1600</v>
          </cell>
          <cell r="V4060" t="str">
            <v>Available</v>
          </cell>
        </row>
        <row r="4061">
          <cell r="A4061" t="str">
            <v>105300550009</v>
          </cell>
          <cell r="B4061" t="str">
            <v>Kalyanpur</v>
          </cell>
          <cell r="C4061" t="str">
            <v>Kalyanpur</v>
          </cell>
          <cell r="D4061" t="str">
            <v>GOMUKH HARPUR W-13</v>
          </cell>
          <cell r="E4061">
            <v>10530055</v>
          </cell>
          <cell r="F4061" t="str">
            <v>0009</v>
          </cell>
          <cell r="G4061">
            <v>13</v>
          </cell>
          <cell r="H4061">
            <v>43.32</v>
          </cell>
          <cell r="I4061">
            <v>1587.5307997560003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P4061">
            <v>1588</v>
          </cell>
          <cell r="V4061" t="str">
            <v>Available</v>
          </cell>
        </row>
        <row r="4062">
          <cell r="A4062" t="str">
            <v>105300550010</v>
          </cell>
          <cell r="B4062" t="str">
            <v>Kalyanpur</v>
          </cell>
          <cell r="C4062" t="str">
            <v>Kalyanpur</v>
          </cell>
          <cell r="D4062" t="str">
            <v>GOMUKH HARPUR W-13</v>
          </cell>
          <cell r="E4062">
            <v>10530055</v>
          </cell>
          <cell r="F4062" t="str">
            <v>0010</v>
          </cell>
          <cell r="G4062">
            <v>12</v>
          </cell>
          <cell r="H4062">
            <v>40.690000000000005</v>
          </cell>
          <cell r="I4062">
            <v>1508.3655375491999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P4062">
            <v>1508</v>
          </cell>
          <cell r="V4062" t="str">
            <v>Available</v>
          </cell>
        </row>
        <row r="4063">
          <cell r="A4063" t="str">
            <v>105300550011</v>
          </cell>
          <cell r="B4063" t="str">
            <v>Kalyanpur</v>
          </cell>
          <cell r="C4063" t="str">
            <v>Kalyanpur</v>
          </cell>
          <cell r="D4063" t="str">
            <v>GOMUKH HARPUR W-13</v>
          </cell>
          <cell r="E4063">
            <v>10530055</v>
          </cell>
          <cell r="F4063" t="str">
            <v>0011</v>
          </cell>
          <cell r="G4063">
            <v>13</v>
          </cell>
          <cell r="H4063">
            <v>37.15</v>
          </cell>
          <cell r="I4063">
            <v>1359.0219043764002</v>
          </cell>
          <cell r="J4063">
            <v>0</v>
          </cell>
          <cell r="K4063">
            <v>0</v>
          </cell>
          <cell r="L4063">
            <v>0</v>
          </cell>
          <cell r="M4063">
            <v>1359</v>
          </cell>
          <cell r="P4063">
            <v>0</v>
          </cell>
          <cell r="V4063" t="str">
            <v>Available</v>
          </cell>
        </row>
        <row r="4064">
          <cell r="A4064" t="str">
            <v>105300550013</v>
          </cell>
          <cell r="B4064" t="str">
            <v>Kalyanpur</v>
          </cell>
          <cell r="C4064" t="str">
            <v>Kalyanpur</v>
          </cell>
          <cell r="D4064" t="str">
            <v>GOMUKH HARPUR W-13</v>
          </cell>
          <cell r="E4064">
            <v>10530055</v>
          </cell>
          <cell r="F4064" t="str">
            <v>0013</v>
          </cell>
          <cell r="G4064">
            <v>4</v>
          </cell>
          <cell r="H4064">
            <v>11.19</v>
          </cell>
          <cell r="I4064">
            <v>587.62270999930001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P4064">
            <v>588</v>
          </cell>
          <cell r="V4064" t="str">
            <v>Available</v>
          </cell>
        </row>
        <row r="4065">
          <cell r="A4065" t="str">
            <v>105300550017</v>
          </cell>
          <cell r="B4065" t="str">
            <v>Kalyanpur</v>
          </cell>
          <cell r="C4065" t="str">
            <v>Kalyanpur</v>
          </cell>
          <cell r="D4065" t="str">
            <v>GOMUKH HARPUR W-13</v>
          </cell>
          <cell r="E4065">
            <v>10530055</v>
          </cell>
          <cell r="F4065" t="str">
            <v>0017</v>
          </cell>
          <cell r="G4065">
            <v>8</v>
          </cell>
          <cell r="H4065">
            <v>28.549999999999997</v>
          </cell>
          <cell r="I4065">
            <v>1099.8981168120001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P4065">
            <v>1100</v>
          </cell>
          <cell r="V4065" t="str">
            <v>Available</v>
          </cell>
        </row>
        <row r="4066">
          <cell r="A4066" t="str">
            <v>105300550019</v>
          </cell>
          <cell r="B4066" t="str">
            <v>Kalyanpur</v>
          </cell>
          <cell r="C4066" t="str">
            <v>Kalyanpur</v>
          </cell>
          <cell r="D4066" t="str">
            <v>GOMUKH HARPUR W-13</v>
          </cell>
          <cell r="E4066">
            <v>10530055</v>
          </cell>
          <cell r="F4066" t="str">
            <v>0019</v>
          </cell>
          <cell r="G4066">
            <v>13</v>
          </cell>
          <cell r="H4066">
            <v>120.88</v>
          </cell>
          <cell r="I4066">
            <v>4893.4963507320008</v>
          </cell>
          <cell r="J4066">
            <v>0</v>
          </cell>
          <cell r="K4066">
            <v>0</v>
          </cell>
          <cell r="L4066">
            <v>0</v>
          </cell>
          <cell r="M4066">
            <v>1500</v>
          </cell>
          <cell r="P4066">
            <v>3393</v>
          </cell>
          <cell r="V4066" t="str">
            <v>Available</v>
          </cell>
        </row>
        <row r="4067">
          <cell r="A4067" t="str">
            <v>105300550020</v>
          </cell>
          <cell r="B4067" t="str">
            <v>Kalyanpur</v>
          </cell>
          <cell r="C4067" t="str">
            <v>Kalyanpur</v>
          </cell>
          <cell r="D4067" t="str">
            <v>GOMUKH HARPUR W-13</v>
          </cell>
          <cell r="E4067">
            <v>10530055</v>
          </cell>
          <cell r="F4067" t="str">
            <v>0020</v>
          </cell>
          <cell r="G4067">
            <v>7</v>
          </cell>
          <cell r="H4067">
            <v>11.019999999999998</v>
          </cell>
          <cell r="I4067">
            <v>454.53091622400001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P4067">
            <v>455</v>
          </cell>
          <cell r="V4067" t="str">
            <v>Available</v>
          </cell>
        </row>
        <row r="4068">
          <cell r="A4068" t="str">
            <v>105300550021</v>
          </cell>
          <cell r="B4068" t="str">
            <v>Kalyanpur</v>
          </cell>
          <cell r="C4068" t="str">
            <v>Kalyanpur</v>
          </cell>
          <cell r="D4068" t="str">
            <v>GOMUKH HARPUR W-13</v>
          </cell>
          <cell r="E4068">
            <v>10530055</v>
          </cell>
          <cell r="F4068" t="str">
            <v>0021</v>
          </cell>
          <cell r="G4068">
            <v>8</v>
          </cell>
          <cell r="H4068">
            <v>13.719999999999999</v>
          </cell>
          <cell r="I4068">
            <v>713.64351058720001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P4068">
            <v>714</v>
          </cell>
          <cell r="V4068" t="str">
            <v>Available</v>
          </cell>
        </row>
        <row r="4069">
          <cell r="A4069" t="str">
            <v>105300550024</v>
          </cell>
          <cell r="B4069" t="str">
            <v>Kalyanpur</v>
          </cell>
          <cell r="C4069" t="str">
            <v>Kalyanpur</v>
          </cell>
          <cell r="D4069" t="str">
            <v>GOMUKH HARPUR W-13</v>
          </cell>
          <cell r="E4069">
            <v>10530055</v>
          </cell>
          <cell r="F4069" t="str">
            <v>0024</v>
          </cell>
          <cell r="G4069">
            <v>5</v>
          </cell>
          <cell r="H4069">
            <v>8.3000000000000007</v>
          </cell>
          <cell r="I4069">
            <v>340.727511564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P4069">
            <v>341</v>
          </cell>
          <cell r="V4069" t="str">
            <v>Available</v>
          </cell>
        </row>
        <row r="4070">
          <cell r="A4070" t="str">
            <v>105300550025</v>
          </cell>
          <cell r="B4070" t="str">
            <v>Kalyanpur</v>
          </cell>
          <cell r="C4070" t="str">
            <v>Kalyanpur</v>
          </cell>
          <cell r="D4070" t="str">
            <v>GOMUKH HARPUR W-13</v>
          </cell>
          <cell r="E4070">
            <v>10530055</v>
          </cell>
          <cell r="F4070" t="str">
            <v>0025</v>
          </cell>
          <cell r="G4070">
            <v>12</v>
          </cell>
          <cell r="H4070">
            <v>35.01</v>
          </cell>
          <cell r="I4070">
            <v>1219.4856064710002</v>
          </cell>
          <cell r="J4070">
            <v>0</v>
          </cell>
          <cell r="K4070">
            <v>0</v>
          </cell>
          <cell r="L4070">
            <v>0</v>
          </cell>
          <cell r="M4070">
            <v>845</v>
          </cell>
          <cell r="P4070">
            <v>374</v>
          </cell>
          <cell r="V4070" t="str">
            <v>Available</v>
          </cell>
        </row>
        <row r="4071">
          <cell r="A4071" t="str">
            <v>105300550027</v>
          </cell>
          <cell r="B4071" t="str">
            <v>Kalyanpur</v>
          </cell>
          <cell r="C4071" t="str">
            <v>Kalyanpur</v>
          </cell>
          <cell r="D4071" t="str">
            <v>GOMUKH HARPUR W-13</v>
          </cell>
          <cell r="E4071">
            <v>10530055</v>
          </cell>
          <cell r="F4071" t="str">
            <v>0027</v>
          </cell>
          <cell r="G4071">
            <v>9</v>
          </cell>
          <cell r="H4071">
            <v>23.490000000000002</v>
          </cell>
          <cell r="I4071">
            <v>940.1430265920003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P4071">
            <v>940</v>
          </cell>
          <cell r="V4071" t="str">
            <v>Available</v>
          </cell>
        </row>
        <row r="4072">
          <cell r="A4072" t="str">
            <v>105300550028</v>
          </cell>
          <cell r="B4072" t="str">
            <v>Kalyanpur</v>
          </cell>
          <cell r="C4072" t="str">
            <v>Kalyanpur</v>
          </cell>
          <cell r="D4072" t="str">
            <v>GOMUKH HARPUR W-13</v>
          </cell>
          <cell r="E4072">
            <v>10530055</v>
          </cell>
          <cell r="F4072" t="str">
            <v>0028</v>
          </cell>
          <cell r="G4072">
            <v>7</v>
          </cell>
          <cell r="H4072">
            <v>24.85</v>
          </cell>
          <cell r="I4072">
            <v>1092.1672432440002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P4072">
            <v>1092</v>
          </cell>
          <cell r="V4072" t="str">
            <v>Available</v>
          </cell>
        </row>
        <row r="4073">
          <cell r="A4073" t="str">
            <v>105300550029</v>
          </cell>
          <cell r="B4073" t="str">
            <v>Kalyanpur</v>
          </cell>
          <cell r="C4073" t="str">
            <v>Kalyanpur</v>
          </cell>
          <cell r="D4073" t="str">
            <v>GOMUKH HARPUR W-13</v>
          </cell>
          <cell r="E4073">
            <v>10530055</v>
          </cell>
          <cell r="F4073" t="str">
            <v>0029</v>
          </cell>
          <cell r="G4073">
            <v>8</v>
          </cell>
          <cell r="H4073">
            <v>33.270000000000003</v>
          </cell>
          <cell r="I4073">
            <v>1212.2519388209998</v>
          </cell>
          <cell r="J4073">
            <v>0</v>
          </cell>
          <cell r="K4073">
            <v>0</v>
          </cell>
          <cell r="L4073">
            <v>0</v>
          </cell>
          <cell r="M4073">
            <v>473</v>
          </cell>
          <cell r="P4073">
            <v>739</v>
          </cell>
          <cell r="V4073" t="str">
            <v>Available</v>
          </cell>
        </row>
        <row r="4074">
          <cell r="A4074" t="str">
            <v>105300550034</v>
          </cell>
          <cell r="B4074" t="str">
            <v>Kalyanpur</v>
          </cell>
          <cell r="C4074" t="str">
            <v>Kalyanpur</v>
          </cell>
          <cell r="D4074" t="str">
            <v>GOMUKH HARPUR W-13</v>
          </cell>
          <cell r="E4074">
            <v>10530055</v>
          </cell>
          <cell r="F4074" t="str">
            <v>0034</v>
          </cell>
          <cell r="G4074">
            <v>4</v>
          </cell>
          <cell r="H4074">
            <v>4.95</v>
          </cell>
          <cell r="I4074">
            <v>183.63597753600004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P4074">
            <v>184</v>
          </cell>
          <cell r="V4074" t="str">
            <v>Available</v>
          </cell>
        </row>
        <row r="4075">
          <cell r="A4075" t="str">
            <v>105300550036</v>
          </cell>
          <cell r="B4075" t="str">
            <v>Kalyanpur</v>
          </cell>
          <cell r="C4075" t="str">
            <v>Kalyanpur</v>
          </cell>
          <cell r="D4075" t="str">
            <v>GOMUKH HARPUR W-13</v>
          </cell>
          <cell r="E4075">
            <v>10530055</v>
          </cell>
          <cell r="F4075" t="str">
            <v>0036</v>
          </cell>
          <cell r="G4075">
            <v>14</v>
          </cell>
          <cell r="H4075">
            <v>84.359999999999985</v>
          </cell>
          <cell r="I4075">
            <v>3265.4761072560004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P4075">
            <v>3265</v>
          </cell>
          <cell r="V4075" t="str">
            <v>Available</v>
          </cell>
        </row>
        <row r="4076">
          <cell r="A4076" t="str">
            <v>105300550038</v>
          </cell>
          <cell r="B4076" t="str">
            <v>Kalyanpur</v>
          </cell>
          <cell r="C4076" t="str">
            <v>Kalyanpur</v>
          </cell>
          <cell r="D4076" t="str">
            <v>GOMUKH HARPUR W-13</v>
          </cell>
          <cell r="E4076">
            <v>10530055</v>
          </cell>
          <cell r="F4076" t="str">
            <v>0038</v>
          </cell>
          <cell r="G4076">
            <v>12</v>
          </cell>
          <cell r="H4076">
            <v>40.42</v>
          </cell>
          <cell r="I4076">
            <v>1520.6879682126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P4076">
            <v>1521</v>
          </cell>
          <cell r="V4076" t="str">
            <v>Available</v>
          </cell>
        </row>
        <row r="4077">
          <cell r="A4077" t="str">
            <v>105300550041</v>
          </cell>
          <cell r="B4077" t="str">
            <v>Kalyanpur</v>
          </cell>
          <cell r="C4077" t="str">
            <v>Kalyanpur</v>
          </cell>
          <cell r="D4077" t="str">
            <v>GOMUKH HARPUR W-13</v>
          </cell>
          <cell r="E4077">
            <v>10530055</v>
          </cell>
          <cell r="F4077" t="str">
            <v>0041</v>
          </cell>
          <cell r="G4077">
            <v>12</v>
          </cell>
          <cell r="H4077">
            <v>28.91</v>
          </cell>
          <cell r="I4077">
            <v>1081.6706930040002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P4077">
            <v>1082</v>
          </cell>
          <cell r="V4077" t="str">
            <v>Available</v>
          </cell>
        </row>
        <row r="4078">
          <cell r="A4078" t="str">
            <v>105300550049</v>
          </cell>
          <cell r="B4078" t="str">
            <v>Kalyanpur</v>
          </cell>
          <cell r="C4078" t="str">
            <v>Kalyanpur</v>
          </cell>
          <cell r="D4078" t="str">
            <v>GOMUKH HARPUR W-13</v>
          </cell>
          <cell r="E4078">
            <v>10530055</v>
          </cell>
          <cell r="F4078" t="str">
            <v>0049</v>
          </cell>
          <cell r="G4078">
            <v>12</v>
          </cell>
          <cell r="H4078">
            <v>58.53</v>
          </cell>
          <cell r="I4078">
            <v>2167.9449569910003</v>
          </cell>
          <cell r="J4078">
            <v>0</v>
          </cell>
          <cell r="K4078">
            <v>0</v>
          </cell>
          <cell r="L4078">
            <v>0</v>
          </cell>
          <cell r="M4078">
            <v>0</v>
          </cell>
          <cell r="P4078">
            <v>2168</v>
          </cell>
          <cell r="V4078" t="str">
            <v>Available</v>
          </cell>
        </row>
        <row r="4079">
          <cell r="A4079" t="str">
            <v>105300550052</v>
          </cell>
          <cell r="B4079" t="str">
            <v>Kalyanpur</v>
          </cell>
          <cell r="C4079" t="str">
            <v>Kalyanpur</v>
          </cell>
          <cell r="D4079" t="str">
            <v>GOMUKH HARPUR W-13</v>
          </cell>
          <cell r="E4079">
            <v>10530055</v>
          </cell>
          <cell r="F4079" t="str">
            <v>0052</v>
          </cell>
          <cell r="G4079">
            <v>2</v>
          </cell>
          <cell r="H4079">
            <v>4.7700000000000005</v>
          </cell>
          <cell r="I4079">
            <v>148.75558346880004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P4079">
            <v>149</v>
          </cell>
          <cell r="V4079" t="str">
            <v>Available</v>
          </cell>
        </row>
        <row r="4080">
          <cell r="A4080" t="str">
            <v>105300550053</v>
          </cell>
          <cell r="B4080" t="str">
            <v>Kalyanpur</v>
          </cell>
          <cell r="C4080" t="str">
            <v>Kalyanpur</v>
          </cell>
          <cell r="D4080" t="str">
            <v>GOMUKH HARPUR W-13</v>
          </cell>
          <cell r="E4080">
            <v>10530055</v>
          </cell>
          <cell r="F4080" t="str">
            <v>0053</v>
          </cell>
          <cell r="G4080">
            <v>12</v>
          </cell>
          <cell r="H4080">
            <v>46.230000000000004</v>
          </cell>
          <cell r="I4080">
            <v>1680.9416472024002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P4080">
            <v>1681</v>
          </cell>
          <cell r="V4080" t="str">
            <v>Available</v>
          </cell>
        </row>
        <row r="4081">
          <cell r="A4081" t="str">
            <v>105300550055</v>
          </cell>
          <cell r="B4081" t="str">
            <v>Kalyanpur</v>
          </cell>
          <cell r="C4081" t="str">
            <v>Kalyanpur</v>
          </cell>
          <cell r="D4081" t="str">
            <v>GOMUKH HARPUR W-13</v>
          </cell>
          <cell r="E4081">
            <v>10530055</v>
          </cell>
          <cell r="F4081" t="str">
            <v>0055</v>
          </cell>
          <cell r="G4081">
            <v>4</v>
          </cell>
          <cell r="H4081">
            <v>8.620000000000001</v>
          </cell>
          <cell r="I4081">
            <v>602.24317284329993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P4081">
            <v>602</v>
          </cell>
          <cell r="V4081" t="str">
            <v>Available</v>
          </cell>
        </row>
        <row r="4082">
          <cell r="A4082" t="str">
            <v>105300550059</v>
          </cell>
          <cell r="B4082" t="str">
            <v>Kalyanpur</v>
          </cell>
          <cell r="C4082" t="str">
            <v>Kalyanpur</v>
          </cell>
          <cell r="D4082" t="str">
            <v>GOMUKH HARPUR W-13</v>
          </cell>
          <cell r="E4082">
            <v>10530055</v>
          </cell>
          <cell r="F4082" t="str">
            <v>0059</v>
          </cell>
          <cell r="G4082">
            <v>7</v>
          </cell>
          <cell r="H4082">
            <v>20.099999999999998</v>
          </cell>
          <cell r="I4082">
            <v>868.57740406800008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P4082">
            <v>869</v>
          </cell>
          <cell r="V4082" t="str">
            <v>Available</v>
          </cell>
        </row>
        <row r="4083">
          <cell r="A4083" t="str">
            <v>105300550063</v>
          </cell>
          <cell r="B4083" t="str">
            <v>Kalyanpur</v>
          </cell>
          <cell r="C4083" t="str">
            <v>Kalyanpur</v>
          </cell>
          <cell r="D4083" t="str">
            <v>GOMUKH HARPUR W-13</v>
          </cell>
          <cell r="E4083">
            <v>10530055</v>
          </cell>
          <cell r="F4083" t="str">
            <v>0063</v>
          </cell>
          <cell r="G4083">
            <v>13</v>
          </cell>
          <cell r="H4083">
            <v>47.410000000000004</v>
          </cell>
          <cell r="I4083">
            <v>1816.013969352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P4083">
            <v>1816</v>
          </cell>
          <cell r="V4083" t="str">
            <v>Available</v>
          </cell>
        </row>
        <row r="4084">
          <cell r="A4084" t="str">
            <v>105300550064</v>
          </cell>
          <cell r="B4084" t="str">
            <v>Kalyanpur</v>
          </cell>
          <cell r="C4084" t="str">
            <v>Kalyanpur</v>
          </cell>
          <cell r="D4084" t="str">
            <v>GOMUKH HARPUR W-13</v>
          </cell>
          <cell r="E4084">
            <v>10530055</v>
          </cell>
          <cell r="F4084" t="str">
            <v>0064</v>
          </cell>
          <cell r="G4084">
            <v>7</v>
          </cell>
          <cell r="H4084">
            <v>14.21</v>
          </cell>
          <cell r="I4084">
            <v>556.82616290400006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P4084">
            <v>557</v>
          </cell>
          <cell r="V4084" t="str">
            <v>Available</v>
          </cell>
        </row>
        <row r="4085">
          <cell r="A4085" t="str">
            <v>105300550067</v>
          </cell>
          <cell r="B4085" t="str">
            <v>Kalyanpur</v>
          </cell>
          <cell r="C4085" t="str">
            <v>Kalyanpur</v>
          </cell>
          <cell r="D4085" t="str">
            <v>GOMUKH HARPUR W-13</v>
          </cell>
          <cell r="E4085">
            <v>10530055</v>
          </cell>
          <cell r="F4085" t="str">
            <v>0067</v>
          </cell>
          <cell r="G4085">
            <v>13</v>
          </cell>
          <cell r="H4085">
            <v>45.419999999999995</v>
          </cell>
          <cell r="I4085">
            <v>1850.4768890520002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P4085">
            <v>1850</v>
          </cell>
          <cell r="V4085" t="str">
            <v>Available</v>
          </cell>
        </row>
        <row r="4086">
          <cell r="A4086" t="str">
            <v>105300550069</v>
          </cell>
          <cell r="B4086" t="str">
            <v>Kalyanpur</v>
          </cell>
          <cell r="C4086" t="str">
            <v>Kalyanpur</v>
          </cell>
          <cell r="D4086" t="str">
            <v>GOMUKH HARPUR W-13</v>
          </cell>
          <cell r="E4086">
            <v>10530055</v>
          </cell>
          <cell r="F4086" t="str">
            <v>0069</v>
          </cell>
          <cell r="G4086">
            <v>14</v>
          </cell>
          <cell r="H4086">
            <v>50.4</v>
          </cell>
          <cell r="I4086">
            <v>1797.8705448264002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P4086">
            <v>1798</v>
          </cell>
          <cell r="V4086" t="str">
            <v>Available</v>
          </cell>
        </row>
        <row r="4087">
          <cell r="A4087" t="str">
            <v>105300550072</v>
          </cell>
          <cell r="B4087" t="str">
            <v>Kalyanpur</v>
          </cell>
          <cell r="C4087" t="str">
            <v>Kalyanpur</v>
          </cell>
          <cell r="D4087" t="str">
            <v>GOMUKH HARPUR W-13</v>
          </cell>
          <cell r="E4087">
            <v>10530055</v>
          </cell>
          <cell r="F4087" t="str">
            <v>0072</v>
          </cell>
          <cell r="G4087">
            <v>9</v>
          </cell>
          <cell r="H4087">
            <v>38.940000000000005</v>
          </cell>
          <cell r="I4087">
            <v>3029.2209487883001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P4087">
            <v>3029</v>
          </cell>
          <cell r="V4087" t="str">
            <v>Available</v>
          </cell>
        </row>
        <row r="4088">
          <cell r="A4088" t="str">
            <v>105300550073</v>
          </cell>
          <cell r="B4088" t="str">
            <v>Kalyanpur</v>
          </cell>
          <cell r="C4088" t="str">
            <v>Kalyanpur</v>
          </cell>
          <cell r="D4088" t="str">
            <v>GOMUKH HARPUR W-13</v>
          </cell>
          <cell r="E4088">
            <v>10530055</v>
          </cell>
          <cell r="F4088" t="str">
            <v>0073</v>
          </cell>
          <cell r="G4088">
            <v>7</v>
          </cell>
          <cell r="H4088">
            <v>11.05</v>
          </cell>
          <cell r="I4088">
            <v>409.53031596180006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P4088">
            <v>410</v>
          </cell>
          <cell r="V4088" t="str">
            <v>Available</v>
          </cell>
        </row>
        <row r="4089">
          <cell r="A4089" t="str">
            <v>105300550074</v>
          </cell>
          <cell r="B4089" t="str">
            <v>Kalyanpur</v>
          </cell>
          <cell r="C4089" t="str">
            <v>Kalyanpur</v>
          </cell>
          <cell r="D4089" t="str">
            <v>GOMUKH HARPUR W-13</v>
          </cell>
          <cell r="E4089">
            <v>10530055</v>
          </cell>
          <cell r="F4089" t="str">
            <v>0074</v>
          </cell>
          <cell r="G4089">
            <v>6</v>
          </cell>
          <cell r="H4089">
            <v>17.53</v>
          </cell>
          <cell r="I4089">
            <v>757.21223888045995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P4089">
            <v>757</v>
          </cell>
          <cell r="V4089" t="str">
            <v>Available</v>
          </cell>
        </row>
        <row r="4090">
          <cell r="A4090" t="str">
            <v>105300550075</v>
          </cell>
          <cell r="B4090" t="str">
            <v>Kalyanpur</v>
          </cell>
          <cell r="C4090" t="str">
            <v>Kalyanpur</v>
          </cell>
          <cell r="D4090" t="str">
            <v>GOMUKH HARPUR W-13</v>
          </cell>
          <cell r="E4090">
            <v>10530055</v>
          </cell>
          <cell r="F4090" t="str">
            <v>0075</v>
          </cell>
          <cell r="G4090">
            <v>6</v>
          </cell>
          <cell r="H4090">
            <v>15.199999999999998</v>
          </cell>
          <cell r="I4090">
            <v>533.19352917600008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P4090">
            <v>533</v>
          </cell>
          <cell r="V4090" t="str">
            <v>Available</v>
          </cell>
        </row>
        <row r="4091">
          <cell r="A4091" t="str">
            <v>105300550076</v>
          </cell>
          <cell r="B4091" t="str">
            <v>Kalyanpur</v>
          </cell>
          <cell r="C4091" t="str">
            <v>Kalyanpur</v>
          </cell>
          <cell r="D4091" t="str">
            <v>GOMUKH HARPUR W-13</v>
          </cell>
          <cell r="E4091">
            <v>10530055</v>
          </cell>
          <cell r="F4091" t="str">
            <v>0076</v>
          </cell>
          <cell r="G4091">
            <v>13</v>
          </cell>
          <cell r="H4091">
            <v>21.55</v>
          </cell>
          <cell r="I4091">
            <v>1429.6860428970997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P4091">
            <v>1430</v>
          </cell>
          <cell r="V4091" t="str">
            <v>Available</v>
          </cell>
        </row>
        <row r="4092">
          <cell r="A4092" t="str">
            <v>105300550077</v>
          </cell>
          <cell r="B4092" t="str">
            <v>Kalyanpur</v>
          </cell>
          <cell r="C4092" t="str">
            <v>Kalyanpur</v>
          </cell>
          <cell r="D4092" t="str">
            <v>GOMUKH HARPUR W-13</v>
          </cell>
          <cell r="E4092">
            <v>10530055</v>
          </cell>
          <cell r="F4092" t="str">
            <v>0077</v>
          </cell>
          <cell r="G4092">
            <v>12</v>
          </cell>
          <cell r="H4092">
            <v>34.5</v>
          </cell>
          <cell r="I4092">
            <v>1173.9783724416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P4092">
            <v>1174</v>
          </cell>
          <cell r="V4092" t="str">
            <v>Available</v>
          </cell>
        </row>
        <row r="4093">
          <cell r="A4093" t="str">
            <v>105300550078</v>
          </cell>
          <cell r="B4093" t="str">
            <v>Kalyanpur</v>
          </cell>
          <cell r="C4093" t="str">
            <v>Kalyanpur</v>
          </cell>
          <cell r="D4093" t="str">
            <v>GOMUKH HARPUR W-13</v>
          </cell>
          <cell r="E4093">
            <v>10530055</v>
          </cell>
          <cell r="F4093" t="str">
            <v>0078</v>
          </cell>
          <cell r="G4093">
            <v>7</v>
          </cell>
          <cell r="H4093">
            <v>15.98</v>
          </cell>
          <cell r="I4093">
            <v>627.59811945600018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P4093">
            <v>628</v>
          </cell>
          <cell r="V4093" t="str">
            <v>Available</v>
          </cell>
        </row>
        <row r="4094">
          <cell r="A4094" t="str">
            <v>105300550079</v>
          </cell>
          <cell r="B4094" t="str">
            <v>Kalyanpur</v>
          </cell>
          <cell r="C4094" t="str">
            <v>Kalyanpur</v>
          </cell>
          <cell r="D4094" t="str">
            <v>GOMUKH HARPUR W-13</v>
          </cell>
          <cell r="E4094">
            <v>10530055</v>
          </cell>
          <cell r="F4094" t="str">
            <v>0079</v>
          </cell>
          <cell r="G4094">
            <v>3</v>
          </cell>
          <cell r="H4094">
            <v>6.9699999999999989</v>
          </cell>
          <cell r="I4094">
            <v>257.75886112019998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P4094">
            <v>258</v>
          </cell>
          <cell r="V4094" t="str">
            <v>Available</v>
          </cell>
        </row>
        <row r="4095">
          <cell r="A4095" t="str">
            <v>105300550080</v>
          </cell>
          <cell r="B4095" t="str">
            <v>Kalyanpur</v>
          </cell>
          <cell r="C4095" t="str">
            <v>Kalyanpur</v>
          </cell>
          <cell r="D4095" t="str">
            <v>GOMUKH HARPUR W-13</v>
          </cell>
          <cell r="E4095">
            <v>10530055</v>
          </cell>
          <cell r="F4095" t="str">
            <v>0080</v>
          </cell>
          <cell r="G4095">
            <v>12</v>
          </cell>
          <cell r="H4095">
            <v>31.78</v>
          </cell>
          <cell r="I4095">
            <v>1101.2745095352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P4095">
            <v>1101</v>
          </cell>
          <cell r="V4095" t="str">
            <v>Available</v>
          </cell>
        </row>
        <row r="4096">
          <cell r="A4096" t="str">
            <v>105300550081</v>
          </cell>
          <cell r="B4096" t="str">
            <v>Kalyanpur</v>
          </cell>
          <cell r="C4096" t="str">
            <v>Kalyanpur</v>
          </cell>
          <cell r="D4096" t="str">
            <v>GOMUKH HARPUR W-13</v>
          </cell>
          <cell r="E4096">
            <v>10530055</v>
          </cell>
          <cell r="F4096" t="str">
            <v>0081</v>
          </cell>
          <cell r="G4096">
            <v>7</v>
          </cell>
          <cell r="H4096">
            <v>13.700000000000001</v>
          </cell>
          <cell r="I4096">
            <v>840.13498060949996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P4096">
            <v>840</v>
          </cell>
          <cell r="V4096" t="str">
            <v>Available</v>
          </cell>
        </row>
        <row r="4097">
          <cell r="A4097" t="str">
            <v>105300550082</v>
          </cell>
          <cell r="B4097" t="str">
            <v>Kalyanpur</v>
          </cell>
          <cell r="C4097" t="str">
            <v>Kalyanpur</v>
          </cell>
          <cell r="D4097" t="str">
            <v>GOMUKH HARPUR W-13</v>
          </cell>
          <cell r="E4097">
            <v>10530055</v>
          </cell>
          <cell r="F4097" t="str">
            <v>0082</v>
          </cell>
          <cell r="G4097">
            <v>14</v>
          </cell>
          <cell r="H4097">
            <v>45.039999999999992</v>
          </cell>
          <cell r="I4097">
            <v>1657.0617778440003</v>
          </cell>
          <cell r="J4097">
            <v>0</v>
          </cell>
          <cell r="K4097">
            <v>0</v>
          </cell>
          <cell r="L4097">
            <v>0</v>
          </cell>
          <cell r="M4097">
            <v>510</v>
          </cell>
          <cell r="P4097">
            <v>1147</v>
          </cell>
          <cell r="V4097" t="str">
            <v>Available</v>
          </cell>
        </row>
        <row r="4098">
          <cell r="A4098" t="str">
            <v>105300550083</v>
          </cell>
          <cell r="B4098" t="str">
            <v>Kalyanpur</v>
          </cell>
          <cell r="C4098" t="str">
            <v>Kalyanpur</v>
          </cell>
          <cell r="D4098" t="str">
            <v>GOMUKH HARPUR W-13</v>
          </cell>
          <cell r="E4098">
            <v>10530055</v>
          </cell>
          <cell r="F4098" t="str">
            <v>0083</v>
          </cell>
          <cell r="G4098">
            <v>14</v>
          </cell>
          <cell r="H4098">
            <v>76.77</v>
          </cell>
          <cell r="I4098">
            <v>2747.6028402768006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P4098">
            <v>2748</v>
          </cell>
          <cell r="V4098" t="str">
            <v>Available</v>
          </cell>
        </row>
        <row r="4099">
          <cell r="A4099" t="str">
            <v>105300550084</v>
          </cell>
          <cell r="B4099" t="str">
            <v>Kalyanpur</v>
          </cell>
          <cell r="C4099" t="str">
            <v>Kalyanpur</v>
          </cell>
          <cell r="D4099" t="str">
            <v>GOMUKH HARPUR W-13</v>
          </cell>
          <cell r="E4099">
            <v>10530055</v>
          </cell>
          <cell r="F4099" t="str">
            <v>0084</v>
          </cell>
          <cell r="G4099">
            <v>7</v>
          </cell>
          <cell r="H4099">
            <v>15.219999999999999</v>
          </cell>
          <cell r="I4099">
            <v>599.59901865600011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P4099">
            <v>600</v>
          </cell>
          <cell r="V4099" t="str">
            <v>Available</v>
          </cell>
        </row>
        <row r="4100">
          <cell r="A4100" t="str">
            <v>105300550085</v>
          </cell>
          <cell r="B4100" t="str">
            <v>Kalyanpur</v>
          </cell>
          <cell r="C4100" t="str">
            <v>Kalyanpur</v>
          </cell>
          <cell r="D4100" t="str">
            <v>GOMUKH HARPUR W-13</v>
          </cell>
          <cell r="E4100">
            <v>10530055</v>
          </cell>
          <cell r="F4100" t="str">
            <v>0085</v>
          </cell>
          <cell r="G4100">
            <v>1</v>
          </cell>
          <cell r="H4100">
            <v>4.91</v>
          </cell>
          <cell r="I4100">
            <v>207.40390902000001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P4100">
            <v>207</v>
          </cell>
          <cell r="V4100" t="str">
            <v>Available</v>
          </cell>
        </row>
        <row r="4101">
          <cell r="A4101" t="str">
            <v>105300550086</v>
          </cell>
          <cell r="B4101" t="str">
            <v>Kalyanpur</v>
          </cell>
          <cell r="C4101" t="str">
            <v>Kalyanpur</v>
          </cell>
          <cell r="D4101" t="str">
            <v>GOMUKH HARPUR W-13</v>
          </cell>
          <cell r="E4101">
            <v>10530055</v>
          </cell>
          <cell r="F4101" t="str">
            <v>0086</v>
          </cell>
          <cell r="G4101">
            <v>14</v>
          </cell>
          <cell r="H4101">
            <v>56.959999999999994</v>
          </cell>
          <cell r="I4101">
            <v>1944.8930836367999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P4101">
            <v>1945</v>
          </cell>
          <cell r="V4101" t="str">
            <v>Available</v>
          </cell>
        </row>
        <row r="4102">
          <cell r="A4102" t="str">
            <v>105300550087</v>
          </cell>
          <cell r="B4102" t="str">
            <v>Kalyanpur</v>
          </cell>
          <cell r="C4102" t="str">
            <v>Kalyanpur</v>
          </cell>
          <cell r="D4102" t="str">
            <v>GOMUKH HARPUR W-13</v>
          </cell>
          <cell r="E4102">
            <v>10530055</v>
          </cell>
          <cell r="F4102" t="str">
            <v>0087</v>
          </cell>
          <cell r="G4102">
            <v>14</v>
          </cell>
          <cell r="H4102">
            <v>36.67</v>
          </cell>
          <cell r="I4102">
            <v>1313.5478084784002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P4102">
            <v>1314</v>
          </cell>
          <cell r="V4102" t="str">
            <v>Available</v>
          </cell>
        </row>
        <row r="4103">
          <cell r="A4103" t="str">
            <v>105300550088</v>
          </cell>
          <cell r="B4103" t="str">
            <v>Kalyanpur</v>
          </cell>
          <cell r="C4103" t="str">
            <v>Kalyanpur</v>
          </cell>
          <cell r="D4103" t="str">
            <v>GOMUKH HARPUR W-13</v>
          </cell>
          <cell r="E4103">
            <v>10530055</v>
          </cell>
          <cell r="F4103" t="str">
            <v>0088</v>
          </cell>
          <cell r="G4103">
            <v>11</v>
          </cell>
          <cell r="H4103">
            <v>26.12</v>
          </cell>
          <cell r="I4103">
            <v>1514.6241153961998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P4103">
            <v>1515</v>
          </cell>
          <cell r="V4103" t="str">
            <v>Available</v>
          </cell>
        </row>
        <row r="4104">
          <cell r="A4104" t="str">
            <v>105300550089</v>
          </cell>
          <cell r="B4104" t="str">
            <v>Kalyanpur</v>
          </cell>
          <cell r="C4104" t="str">
            <v>Kalyanpur</v>
          </cell>
          <cell r="D4104" t="str">
            <v>GOMUKH HARPUR W-13</v>
          </cell>
          <cell r="E4104">
            <v>10530055</v>
          </cell>
          <cell r="F4104" t="str">
            <v>0089</v>
          </cell>
          <cell r="G4104">
            <v>6</v>
          </cell>
          <cell r="H4104">
            <v>13.350000000000001</v>
          </cell>
          <cell r="I4104">
            <v>568.65909869999996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P4104">
            <v>569</v>
          </cell>
          <cell r="V4104" t="str">
            <v>Available</v>
          </cell>
        </row>
        <row r="4105">
          <cell r="A4105" t="str">
            <v>105300550090</v>
          </cell>
          <cell r="B4105" t="str">
            <v>Kalyanpur</v>
          </cell>
          <cell r="C4105" t="str">
            <v>Kalyanpur</v>
          </cell>
          <cell r="D4105" t="str">
            <v>GOMUKH HARPUR W-13</v>
          </cell>
          <cell r="E4105">
            <v>10530055</v>
          </cell>
          <cell r="F4105" t="str">
            <v>0090</v>
          </cell>
          <cell r="G4105">
            <v>14</v>
          </cell>
          <cell r="H4105">
            <v>50.66</v>
          </cell>
          <cell r="I4105">
            <v>1680.4205636724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P4105">
            <v>1680</v>
          </cell>
          <cell r="V4105" t="str">
            <v>Available</v>
          </cell>
        </row>
        <row r="4106">
          <cell r="A4106" t="str">
            <v>105300550091</v>
          </cell>
          <cell r="B4106" t="str">
            <v>Kalyanpur</v>
          </cell>
          <cell r="C4106" t="str">
            <v>Kalyanpur</v>
          </cell>
          <cell r="D4106" t="str">
            <v>GOMUKH HARPUR W-13</v>
          </cell>
          <cell r="E4106">
            <v>10530055</v>
          </cell>
          <cell r="F4106" t="str">
            <v>0091</v>
          </cell>
          <cell r="G4106">
            <v>6</v>
          </cell>
          <cell r="H4106">
            <v>13.64</v>
          </cell>
          <cell r="I4106">
            <v>483.30674492759994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P4106">
            <v>483</v>
          </cell>
          <cell r="V4106" t="str">
            <v>Available</v>
          </cell>
        </row>
        <row r="4107">
          <cell r="A4107" t="str">
            <v>105300550092</v>
          </cell>
          <cell r="B4107" t="str">
            <v>Kalyanpur</v>
          </cell>
          <cell r="C4107" t="str">
            <v>Kalyanpur</v>
          </cell>
          <cell r="D4107" t="str">
            <v>GOMUKH HARPUR W-13</v>
          </cell>
          <cell r="E4107">
            <v>10530055</v>
          </cell>
          <cell r="F4107" t="str">
            <v>0092</v>
          </cell>
          <cell r="G4107">
            <v>6</v>
          </cell>
          <cell r="H4107">
            <v>15.28</v>
          </cell>
          <cell r="I4107">
            <v>733.01259511120008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P4107">
            <v>733</v>
          </cell>
          <cell r="V4107" t="str">
            <v>Available</v>
          </cell>
        </row>
        <row r="4108">
          <cell r="A4108" t="str">
            <v>105300580003</v>
          </cell>
          <cell r="B4108" t="str">
            <v>Kalyanpur</v>
          </cell>
          <cell r="C4108" t="str">
            <v>Kalyanpur</v>
          </cell>
          <cell r="D4108" t="str">
            <v>Gomukh Ratwara</v>
          </cell>
          <cell r="E4108">
            <v>10530058</v>
          </cell>
          <cell r="F4108" t="str">
            <v>0003</v>
          </cell>
          <cell r="G4108">
            <v>10</v>
          </cell>
          <cell r="H4108">
            <v>42.89</v>
          </cell>
          <cell r="I4108">
            <v>1683.9309758040001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P4108">
            <v>1684</v>
          </cell>
          <cell r="V4108" t="str">
            <v>Available</v>
          </cell>
        </row>
        <row r="4109">
          <cell r="A4109" t="str">
            <v>105300580007</v>
          </cell>
          <cell r="B4109" t="str">
            <v>Kalyanpur</v>
          </cell>
          <cell r="C4109" t="str">
            <v>Kalyanpur</v>
          </cell>
          <cell r="D4109" t="str">
            <v>Gomukh Ratwara</v>
          </cell>
          <cell r="E4109">
            <v>10530058</v>
          </cell>
          <cell r="F4109" t="str">
            <v>0007</v>
          </cell>
          <cell r="G4109">
            <v>1</v>
          </cell>
          <cell r="H4109">
            <v>0.98</v>
          </cell>
          <cell r="I4109">
            <v>36.221873688000009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P4109">
            <v>36</v>
          </cell>
          <cell r="V4109" t="str">
            <v>Available</v>
          </cell>
        </row>
        <row r="4110">
          <cell r="A4110" t="str">
            <v>105300580013</v>
          </cell>
          <cell r="B4110" t="str">
            <v>Kalyanpur</v>
          </cell>
          <cell r="C4110" t="str">
            <v>Kalyanpur</v>
          </cell>
          <cell r="D4110" t="str">
            <v>Gomukh Ratwara</v>
          </cell>
          <cell r="E4110">
            <v>10530058</v>
          </cell>
          <cell r="F4110" t="str">
            <v>0013</v>
          </cell>
          <cell r="G4110">
            <v>6</v>
          </cell>
          <cell r="H4110">
            <v>23.459999999999997</v>
          </cell>
          <cell r="I4110">
            <v>874.2212206992001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P4110">
            <v>874</v>
          </cell>
          <cell r="V4110" t="str">
            <v>Available</v>
          </cell>
        </row>
        <row r="4111">
          <cell r="A4111" t="str">
            <v>105300580014</v>
          </cell>
          <cell r="B4111" t="str">
            <v>Kalyanpur</v>
          </cell>
          <cell r="C4111" t="str">
            <v>Kalyanpur</v>
          </cell>
          <cell r="D4111" t="str">
            <v>Gomukh Ratwara</v>
          </cell>
          <cell r="E4111">
            <v>10530058</v>
          </cell>
          <cell r="F4111" t="str">
            <v>0014</v>
          </cell>
          <cell r="G4111">
            <v>1</v>
          </cell>
          <cell r="H4111">
            <v>1.08</v>
          </cell>
          <cell r="I4111">
            <v>36.496500480000009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P4111">
            <v>36</v>
          </cell>
          <cell r="V4111" t="str">
            <v>Available</v>
          </cell>
        </row>
        <row r="4112">
          <cell r="A4112" t="str">
            <v>105300580015</v>
          </cell>
          <cell r="B4112" t="str">
            <v>Kalyanpur</v>
          </cell>
          <cell r="C4112" t="str">
            <v>Kalyanpur</v>
          </cell>
          <cell r="D4112" t="str">
            <v>Gomukh Ratwara</v>
          </cell>
          <cell r="E4112">
            <v>10530058</v>
          </cell>
          <cell r="F4112" t="str">
            <v>0015</v>
          </cell>
          <cell r="G4112">
            <v>7</v>
          </cell>
          <cell r="H4112">
            <v>21.47</v>
          </cell>
          <cell r="I4112">
            <v>734.06404938239996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P4112">
            <v>734</v>
          </cell>
          <cell r="V4112" t="str">
            <v>Available</v>
          </cell>
        </row>
        <row r="4113">
          <cell r="A4113" t="str">
            <v>105300580017</v>
          </cell>
          <cell r="B4113" t="str">
            <v>Kalyanpur</v>
          </cell>
          <cell r="C4113" t="str">
            <v>Kalyanpur</v>
          </cell>
          <cell r="D4113" t="str">
            <v>Gomukh Ratwara</v>
          </cell>
          <cell r="E4113">
            <v>10530058</v>
          </cell>
          <cell r="F4113" t="str">
            <v>0017</v>
          </cell>
          <cell r="G4113">
            <v>7</v>
          </cell>
          <cell r="H4113">
            <v>18.22</v>
          </cell>
          <cell r="I4113">
            <v>678.89620020420011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P4113">
            <v>679</v>
          </cell>
          <cell r="V4113" t="str">
            <v>Available</v>
          </cell>
        </row>
        <row r="4114">
          <cell r="A4114" t="str">
            <v>105300580023</v>
          </cell>
          <cell r="B4114" t="str">
            <v>Kalyanpur</v>
          </cell>
          <cell r="C4114" t="str">
            <v>Kalyanpur</v>
          </cell>
          <cell r="D4114" t="str">
            <v>Gomukh Ratwara</v>
          </cell>
          <cell r="E4114">
            <v>10530058</v>
          </cell>
          <cell r="F4114" t="str">
            <v>0023</v>
          </cell>
          <cell r="G4114">
            <v>6</v>
          </cell>
          <cell r="H4114">
            <v>17.55</v>
          </cell>
          <cell r="I4114">
            <v>682.71169507200011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P4114">
            <v>683</v>
          </cell>
          <cell r="V4114" t="str">
            <v>Available</v>
          </cell>
        </row>
        <row r="4115">
          <cell r="A4115" t="str">
            <v>105300580028</v>
          </cell>
          <cell r="B4115" t="str">
            <v>Kalyanpur</v>
          </cell>
          <cell r="C4115" t="str">
            <v>Kalyanpur</v>
          </cell>
          <cell r="D4115" t="str">
            <v>Gomukh Ratwara</v>
          </cell>
          <cell r="E4115">
            <v>10530058</v>
          </cell>
          <cell r="F4115" t="str">
            <v>0028</v>
          </cell>
          <cell r="G4115">
            <v>11</v>
          </cell>
          <cell r="H4115">
            <v>30.800000000000004</v>
          </cell>
          <cell r="I4115">
            <v>1191.3264522720003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P4115">
            <v>1191</v>
          </cell>
          <cell r="V4115" t="str">
            <v>Available</v>
          </cell>
        </row>
        <row r="4116">
          <cell r="A4116" t="str">
            <v>105300580029</v>
          </cell>
          <cell r="B4116" t="str">
            <v>Kalyanpur</v>
          </cell>
          <cell r="C4116" t="str">
            <v>Kalyanpur</v>
          </cell>
          <cell r="D4116" t="str">
            <v>Gomukh Ratwara</v>
          </cell>
          <cell r="E4116">
            <v>10530058</v>
          </cell>
          <cell r="F4116" t="str">
            <v>0029</v>
          </cell>
          <cell r="G4116">
            <v>6</v>
          </cell>
          <cell r="H4116">
            <v>9.1900000000000013</v>
          </cell>
          <cell r="I4116">
            <v>291.14719413120002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P4116">
            <v>291</v>
          </cell>
          <cell r="V4116" t="str">
            <v>Available</v>
          </cell>
        </row>
        <row r="4117">
          <cell r="A4117" t="str">
            <v>105300620001</v>
          </cell>
          <cell r="B4117" t="str">
            <v>Kalyanpur</v>
          </cell>
          <cell r="C4117" t="str">
            <v>Kalyanpur</v>
          </cell>
          <cell r="D4117" t="str">
            <v>Gomukh Malinagar East</v>
          </cell>
          <cell r="E4117">
            <v>10530062</v>
          </cell>
          <cell r="F4117" t="str">
            <v>0001</v>
          </cell>
          <cell r="G4117">
            <v>13</v>
          </cell>
          <cell r="H4117">
            <v>4.4799999999999995</v>
          </cell>
          <cell r="I4117">
            <v>185.66193800862004</v>
          </cell>
          <cell r="J4117">
            <v>0</v>
          </cell>
          <cell r="K4117">
            <v>185.66193800862004</v>
          </cell>
          <cell r="L4117">
            <v>0</v>
          </cell>
          <cell r="M4117">
            <v>0</v>
          </cell>
          <cell r="P4117">
            <v>0</v>
          </cell>
          <cell r="V4117" t="str">
            <v>Not Available</v>
          </cell>
        </row>
        <row r="4118">
          <cell r="A4118" t="str">
            <v>105300620002</v>
          </cell>
          <cell r="B4118" t="str">
            <v>Kalyanpur</v>
          </cell>
          <cell r="C4118" t="str">
            <v>Kalyanpur</v>
          </cell>
          <cell r="D4118" t="str">
            <v>Gomukh Malinagar East</v>
          </cell>
          <cell r="E4118">
            <v>10530062</v>
          </cell>
          <cell r="F4118" t="str">
            <v>0002</v>
          </cell>
          <cell r="G4118">
            <v>10</v>
          </cell>
          <cell r="H4118">
            <v>100.61999999999998</v>
          </cell>
          <cell r="I4118">
            <v>3944.6171194320009</v>
          </cell>
          <cell r="J4118">
            <v>0</v>
          </cell>
          <cell r="K4118">
            <v>0</v>
          </cell>
          <cell r="L4118">
            <v>47</v>
          </cell>
          <cell r="M4118">
            <v>0</v>
          </cell>
          <cell r="P4118">
            <v>3898</v>
          </cell>
          <cell r="V4118" t="str">
            <v>Available</v>
          </cell>
        </row>
        <row r="4119">
          <cell r="A4119" t="str">
            <v>105300620003</v>
          </cell>
          <cell r="B4119" t="str">
            <v>Kalyanpur</v>
          </cell>
          <cell r="C4119" t="str">
            <v>Kalyanpur</v>
          </cell>
          <cell r="D4119" t="str">
            <v>Gomukh Malinagar East</v>
          </cell>
          <cell r="E4119">
            <v>10530062</v>
          </cell>
          <cell r="F4119" t="str">
            <v>0003</v>
          </cell>
          <cell r="G4119">
            <v>14</v>
          </cell>
          <cell r="H4119">
            <v>282.93</v>
          </cell>
          <cell r="I4119">
            <v>10971.21332007536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P4119">
            <v>10971</v>
          </cell>
          <cell r="V4119" t="str">
            <v>Available</v>
          </cell>
        </row>
        <row r="4120">
          <cell r="A4120" t="str">
            <v>105300620005</v>
          </cell>
          <cell r="B4120" t="str">
            <v>Kalyanpur</v>
          </cell>
          <cell r="C4120" t="str">
            <v>Kalyanpur</v>
          </cell>
          <cell r="D4120" t="str">
            <v>Gomukh Malinagar East</v>
          </cell>
          <cell r="E4120">
            <v>10530062</v>
          </cell>
          <cell r="F4120" t="str">
            <v>0005</v>
          </cell>
          <cell r="G4120">
            <v>13</v>
          </cell>
          <cell r="H4120">
            <v>137.89000000000001</v>
          </cell>
          <cell r="I4120">
            <v>6206.1600340911618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  <cell r="P4120">
            <v>6206</v>
          </cell>
          <cell r="V4120" t="str">
            <v>Available</v>
          </cell>
        </row>
        <row r="4121">
          <cell r="A4121" t="str">
            <v>105300620006</v>
          </cell>
          <cell r="B4121" t="str">
            <v>Kalyanpur</v>
          </cell>
          <cell r="C4121" t="str">
            <v>Kalyanpur</v>
          </cell>
          <cell r="D4121" t="str">
            <v>Gomukh Malinagar East</v>
          </cell>
          <cell r="E4121">
            <v>10530062</v>
          </cell>
          <cell r="F4121" t="str">
            <v>0006</v>
          </cell>
          <cell r="G4121">
            <v>14</v>
          </cell>
          <cell r="H4121">
            <v>39.96</v>
          </cell>
          <cell r="I4121">
            <v>1441.6091355599999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P4121">
            <v>1442</v>
          </cell>
          <cell r="V4121" t="str">
            <v>Available</v>
          </cell>
        </row>
        <row r="4122">
          <cell r="A4122" t="str">
            <v>105300620008</v>
          </cell>
          <cell r="B4122" t="str">
            <v>Kalyanpur</v>
          </cell>
          <cell r="C4122" t="str">
            <v>Kalyanpur</v>
          </cell>
          <cell r="D4122" t="str">
            <v>Gomukh Malinagar East</v>
          </cell>
          <cell r="E4122">
            <v>10530062</v>
          </cell>
          <cell r="F4122" t="str">
            <v>0008</v>
          </cell>
          <cell r="G4122">
            <v>11</v>
          </cell>
          <cell r="H4122">
            <v>18.920000000000002</v>
          </cell>
          <cell r="I4122">
            <v>760.15670338080008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P4122">
            <v>760</v>
          </cell>
          <cell r="V4122" t="str">
            <v>Available</v>
          </cell>
        </row>
        <row r="4123">
          <cell r="A4123" t="str">
            <v>105300620012</v>
          </cell>
          <cell r="B4123" t="str">
            <v>Kalyanpur</v>
          </cell>
          <cell r="C4123" t="str">
            <v>Kalyanpur</v>
          </cell>
          <cell r="D4123" t="str">
            <v>Gomukh Malinagar East</v>
          </cell>
          <cell r="E4123">
            <v>10530062</v>
          </cell>
          <cell r="F4123" t="str">
            <v>0012</v>
          </cell>
          <cell r="G4123">
            <v>12</v>
          </cell>
          <cell r="H4123">
            <v>128.18</v>
          </cell>
          <cell r="I4123">
            <v>5197.7778479388899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P4123">
            <v>5198</v>
          </cell>
          <cell r="V4123" t="str">
            <v>Available</v>
          </cell>
        </row>
        <row r="4124">
          <cell r="A4124" t="str">
            <v>105300620016</v>
          </cell>
          <cell r="B4124" t="str">
            <v>Kalyanpur</v>
          </cell>
          <cell r="C4124" t="str">
            <v>Kalyanpur</v>
          </cell>
          <cell r="D4124" t="str">
            <v>Gomukh Malinagar East</v>
          </cell>
          <cell r="E4124">
            <v>10530062</v>
          </cell>
          <cell r="F4124" t="str">
            <v>0016</v>
          </cell>
          <cell r="G4124">
            <v>4</v>
          </cell>
          <cell r="H4124">
            <v>6.2200000000000006</v>
          </cell>
          <cell r="I4124">
            <v>501.30272748754788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P4124">
            <v>501</v>
          </cell>
          <cell r="V4124" t="str">
            <v>Available</v>
          </cell>
        </row>
        <row r="4125">
          <cell r="A4125" t="str">
            <v>105300620018</v>
          </cell>
          <cell r="B4125" t="str">
            <v>Kalyanpur</v>
          </cell>
          <cell r="C4125" t="str">
            <v>Kalyanpur</v>
          </cell>
          <cell r="D4125" t="str">
            <v>Gomukh Malinagar East</v>
          </cell>
          <cell r="E4125">
            <v>10530062</v>
          </cell>
          <cell r="F4125" t="str">
            <v>0018</v>
          </cell>
          <cell r="G4125">
            <v>12</v>
          </cell>
          <cell r="H4125">
            <v>34.69</v>
          </cell>
          <cell r="I4125">
            <v>1625.2082809144099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P4125">
            <v>1625</v>
          </cell>
          <cell r="V4125" t="str">
            <v>Available</v>
          </cell>
        </row>
        <row r="4126">
          <cell r="A4126" t="str">
            <v>105300620023</v>
          </cell>
          <cell r="B4126" t="str">
            <v>Kalyanpur</v>
          </cell>
          <cell r="C4126" t="str">
            <v>Kalyanpur</v>
          </cell>
          <cell r="D4126" t="str">
            <v>Gomukh Malinagar East</v>
          </cell>
          <cell r="E4126">
            <v>10530062</v>
          </cell>
          <cell r="F4126" t="str">
            <v>0023</v>
          </cell>
          <cell r="G4126">
            <v>3</v>
          </cell>
          <cell r="H4126">
            <v>6.58</v>
          </cell>
          <cell r="I4126">
            <v>241.58597948099998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P4126">
            <v>242</v>
          </cell>
          <cell r="V4126" t="str">
            <v>Available</v>
          </cell>
        </row>
        <row r="4127">
          <cell r="A4127" t="str">
            <v>105300640001</v>
          </cell>
          <cell r="B4127" t="str">
            <v>Kalyanpur</v>
          </cell>
          <cell r="C4127" t="str">
            <v>Kalyanpur</v>
          </cell>
          <cell r="D4127" t="str">
            <v>GOMUKH MANIYARPUR</v>
          </cell>
          <cell r="E4127">
            <v>10530064</v>
          </cell>
          <cell r="F4127" t="str">
            <v>0001</v>
          </cell>
          <cell r="G4127">
            <v>13</v>
          </cell>
          <cell r="H4127">
            <v>14.639999999999999</v>
          </cell>
          <cell r="I4127">
            <v>629.27630686800001</v>
          </cell>
          <cell r="J4127">
            <v>0</v>
          </cell>
          <cell r="K4127">
            <v>629.27630686800001</v>
          </cell>
          <cell r="L4127">
            <v>0</v>
          </cell>
          <cell r="M4127">
            <v>0</v>
          </cell>
          <cell r="P4127">
            <v>0</v>
          </cell>
          <cell r="V4127" t="str">
            <v>Not Available</v>
          </cell>
        </row>
        <row r="4128">
          <cell r="A4128" t="str">
            <v>105300640002</v>
          </cell>
          <cell r="B4128" t="str">
            <v>Kalyanpur</v>
          </cell>
          <cell r="C4128" t="str">
            <v>Kalyanpur</v>
          </cell>
          <cell r="D4128" t="str">
            <v>GOMUKH MANIYARPUR</v>
          </cell>
          <cell r="E4128">
            <v>10530064</v>
          </cell>
          <cell r="F4128" t="str">
            <v>0002</v>
          </cell>
          <cell r="G4128">
            <v>1</v>
          </cell>
          <cell r="H4128">
            <v>2.52</v>
          </cell>
          <cell r="I4128">
            <v>110.43930744000002</v>
          </cell>
          <cell r="J4128">
            <v>0</v>
          </cell>
          <cell r="K4128">
            <v>0</v>
          </cell>
          <cell r="L4128">
            <v>95</v>
          </cell>
          <cell r="M4128">
            <v>0</v>
          </cell>
          <cell r="P4128">
            <v>15</v>
          </cell>
          <cell r="V4128" t="str">
            <v>Available</v>
          </cell>
        </row>
        <row r="4129">
          <cell r="A4129" t="str">
            <v>105300640003</v>
          </cell>
          <cell r="B4129" t="str">
            <v>Kalyanpur</v>
          </cell>
          <cell r="C4129" t="str">
            <v>Kalyanpur</v>
          </cell>
          <cell r="D4129" t="str">
            <v>GOMUKH MANIYARPUR</v>
          </cell>
          <cell r="E4129">
            <v>10530064</v>
          </cell>
          <cell r="F4129" t="str">
            <v>0003</v>
          </cell>
          <cell r="G4129">
            <v>13</v>
          </cell>
          <cell r="H4129">
            <v>35.269999999999996</v>
          </cell>
          <cell r="I4129">
            <v>1478.3456006092001</v>
          </cell>
          <cell r="J4129">
            <v>0</v>
          </cell>
          <cell r="K4129">
            <v>0</v>
          </cell>
          <cell r="L4129">
            <v>0</v>
          </cell>
          <cell r="M4129">
            <v>7</v>
          </cell>
          <cell r="P4129">
            <v>1471</v>
          </cell>
          <cell r="V4129" t="str">
            <v>Available</v>
          </cell>
        </row>
        <row r="4130">
          <cell r="A4130" t="str">
            <v>105300640004</v>
          </cell>
          <cell r="B4130" t="str">
            <v>Kalyanpur</v>
          </cell>
          <cell r="C4130" t="str">
            <v>Kalyanpur</v>
          </cell>
          <cell r="D4130" t="str">
            <v>GOMUKH MANIYARPUR</v>
          </cell>
          <cell r="E4130">
            <v>10530064</v>
          </cell>
          <cell r="F4130" t="str">
            <v>0004</v>
          </cell>
          <cell r="G4130">
            <v>14</v>
          </cell>
          <cell r="H4130">
            <v>25.160000000000007</v>
          </cell>
          <cell r="I4130">
            <v>1350.746330448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P4130">
            <v>1351</v>
          </cell>
          <cell r="V4130" t="str">
            <v>Available</v>
          </cell>
        </row>
        <row r="4131">
          <cell r="A4131" t="str">
            <v>105300640006</v>
          </cell>
          <cell r="B4131" t="str">
            <v>Kalyanpur</v>
          </cell>
          <cell r="C4131" t="str">
            <v>Kalyanpur</v>
          </cell>
          <cell r="D4131" t="str">
            <v>GOMUKH MANIYARPUR</v>
          </cell>
          <cell r="E4131">
            <v>10530064</v>
          </cell>
          <cell r="F4131" t="str">
            <v>0006</v>
          </cell>
          <cell r="G4131">
            <v>6</v>
          </cell>
          <cell r="H4131">
            <v>21.34</v>
          </cell>
          <cell r="I4131">
            <v>1371.1644311809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P4131">
            <v>1371</v>
          </cell>
          <cell r="V4131" t="str">
            <v>Available</v>
          </cell>
        </row>
        <row r="4132">
          <cell r="A4132" t="str">
            <v>105300640007</v>
          </cell>
          <cell r="B4132" t="str">
            <v>Kalyanpur</v>
          </cell>
          <cell r="C4132" t="str">
            <v>Kalyanpur</v>
          </cell>
          <cell r="D4132" t="str">
            <v>GOMUKH MANIYARPUR</v>
          </cell>
          <cell r="E4132">
            <v>10530064</v>
          </cell>
          <cell r="F4132" t="str">
            <v>0007</v>
          </cell>
          <cell r="G4132">
            <v>7</v>
          </cell>
          <cell r="H4132">
            <v>27.59</v>
          </cell>
          <cell r="I4132">
            <v>963.52799811840009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P4132">
            <v>964</v>
          </cell>
          <cell r="V4132" t="str">
            <v>Available</v>
          </cell>
        </row>
        <row r="4133">
          <cell r="A4133" t="str">
            <v>105300640009</v>
          </cell>
          <cell r="B4133" t="str">
            <v>Kalyanpur</v>
          </cell>
          <cell r="C4133" t="str">
            <v>Kalyanpur</v>
          </cell>
          <cell r="D4133" t="str">
            <v>GOMUKH MANIYARPUR</v>
          </cell>
          <cell r="E4133">
            <v>10530064</v>
          </cell>
          <cell r="F4133" t="str">
            <v>0009</v>
          </cell>
          <cell r="G4133">
            <v>1</v>
          </cell>
          <cell r="H4133">
            <v>4.4400000000000004</v>
          </cell>
          <cell r="I4133">
            <v>164.69346168000004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P4133">
            <v>165</v>
          </cell>
          <cell r="V4133" t="str">
            <v>Available</v>
          </cell>
        </row>
        <row r="4134">
          <cell r="A4134" t="str">
            <v>105300640010</v>
          </cell>
          <cell r="B4134" t="str">
            <v>Kalyanpur</v>
          </cell>
          <cell r="C4134" t="str">
            <v>Kalyanpur</v>
          </cell>
          <cell r="D4134" t="str">
            <v>GOMUKH MANIYARPUR</v>
          </cell>
          <cell r="E4134">
            <v>10530064</v>
          </cell>
          <cell r="F4134" t="str">
            <v>0010</v>
          </cell>
          <cell r="G4134">
            <v>14</v>
          </cell>
          <cell r="H4134">
            <v>64.210000000000008</v>
          </cell>
          <cell r="I4134">
            <v>2461.1349007080003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P4134">
            <v>2461</v>
          </cell>
          <cell r="V4134" t="str">
            <v>Available</v>
          </cell>
        </row>
        <row r="4135">
          <cell r="A4135" t="str">
            <v>105300640013</v>
          </cell>
          <cell r="B4135" t="str">
            <v>Kalyanpur</v>
          </cell>
          <cell r="C4135" t="str">
            <v>Kalyanpur</v>
          </cell>
          <cell r="D4135" t="str">
            <v>GOMUKH MANIYARPUR</v>
          </cell>
          <cell r="E4135">
            <v>10530064</v>
          </cell>
          <cell r="F4135" t="str">
            <v>0013</v>
          </cell>
          <cell r="G4135">
            <v>14</v>
          </cell>
          <cell r="H4135">
            <v>44.940000000000005</v>
          </cell>
          <cell r="I4135">
            <v>1885.7720494800001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P4135">
            <v>1886</v>
          </cell>
          <cell r="V4135" t="str">
            <v>Available</v>
          </cell>
        </row>
        <row r="4136">
          <cell r="A4136" t="str">
            <v>105300640014</v>
          </cell>
          <cell r="B4136" t="str">
            <v>Kalyanpur</v>
          </cell>
          <cell r="C4136" t="str">
            <v>Kalyanpur</v>
          </cell>
          <cell r="D4136" t="str">
            <v>GOMUKH MANIYARPUR</v>
          </cell>
          <cell r="E4136">
            <v>10530064</v>
          </cell>
          <cell r="F4136" t="str">
            <v>0014</v>
          </cell>
          <cell r="G4136">
            <v>7</v>
          </cell>
          <cell r="H4136">
            <v>16.79</v>
          </cell>
          <cell r="I4136">
            <v>739.94637420000015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P4136">
            <v>740</v>
          </cell>
          <cell r="V4136" t="str">
            <v>Available</v>
          </cell>
        </row>
        <row r="4137">
          <cell r="A4137" t="str">
            <v>105300640022</v>
          </cell>
          <cell r="B4137" t="str">
            <v>Kalyanpur</v>
          </cell>
          <cell r="C4137" t="str">
            <v>Kalyanpur</v>
          </cell>
          <cell r="D4137" t="str">
            <v>GOMUKH MANIYARPUR</v>
          </cell>
          <cell r="E4137">
            <v>10530064</v>
          </cell>
          <cell r="F4137" t="str">
            <v>0022</v>
          </cell>
          <cell r="G4137">
            <v>12</v>
          </cell>
          <cell r="H4137">
            <v>26.619999999999997</v>
          </cell>
          <cell r="I4137">
            <v>1061.5682821941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P4137">
            <v>1062</v>
          </cell>
          <cell r="V4137" t="str">
            <v>Available</v>
          </cell>
        </row>
        <row r="4138">
          <cell r="A4138" t="str">
            <v>105300640023</v>
          </cell>
          <cell r="B4138" t="str">
            <v>Kalyanpur</v>
          </cell>
          <cell r="C4138" t="str">
            <v>Kalyanpur</v>
          </cell>
          <cell r="D4138" t="str">
            <v>GOMUKH MANIYARPUR</v>
          </cell>
          <cell r="E4138">
            <v>10530064</v>
          </cell>
          <cell r="F4138" t="str">
            <v>0023</v>
          </cell>
          <cell r="G4138">
            <v>13</v>
          </cell>
          <cell r="H4138">
            <v>50.19</v>
          </cell>
          <cell r="I4138">
            <v>2328.9107286189001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P4138">
            <v>2329</v>
          </cell>
          <cell r="V4138" t="str">
            <v>Available</v>
          </cell>
        </row>
        <row r="4139">
          <cell r="A4139" t="str">
            <v>105300640026</v>
          </cell>
          <cell r="B4139" t="str">
            <v>Kalyanpur</v>
          </cell>
          <cell r="C4139" t="str">
            <v>Kalyanpur</v>
          </cell>
          <cell r="D4139" t="str">
            <v>GOMUKH MANIYARPUR</v>
          </cell>
          <cell r="E4139">
            <v>10530064</v>
          </cell>
          <cell r="F4139" t="str">
            <v>0026</v>
          </cell>
          <cell r="G4139">
            <v>1</v>
          </cell>
          <cell r="H4139">
            <v>0.92</v>
          </cell>
          <cell r="I4139">
            <v>34.732811520000006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P4139">
            <v>35</v>
          </cell>
          <cell r="V4139" t="str">
            <v>Available</v>
          </cell>
        </row>
        <row r="4140">
          <cell r="A4140" t="str">
            <v>105300640029</v>
          </cell>
          <cell r="B4140" t="str">
            <v>Kalyanpur</v>
          </cell>
          <cell r="C4140" t="str">
            <v>Kalyanpur</v>
          </cell>
          <cell r="D4140" t="str">
            <v>GOMUKH MANIYARPUR</v>
          </cell>
          <cell r="E4140">
            <v>10530064</v>
          </cell>
          <cell r="F4140" t="str">
            <v>0029</v>
          </cell>
          <cell r="G4140">
            <v>6</v>
          </cell>
          <cell r="H4140">
            <v>24.28</v>
          </cell>
          <cell r="I4140">
            <v>904.73373421199994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P4140">
            <v>905</v>
          </cell>
          <cell r="V4140" t="str">
            <v>Available</v>
          </cell>
        </row>
        <row r="4141">
          <cell r="A4141" t="str">
            <v>105300640032</v>
          </cell>
          <cell r="B4141" t="str">
            <v>Kalyanpur</v>
          </cell>
          <cell r="C4141" t="str">
            <v>Kalyanpur</v>
          </cell>
          <cell r="D4141" t="str">
            <v>GOMUKH MANIYARPUR</v>
          </cell>
          <cell r="E4141">
            <v>10530064</v>
          </cell>
          <cell r="F4141" t="str">
            <v>0032</v>
          </cell>
          <cell r="G4141">
            <v>2</v>
          </cell>
          <cell r="H4141">
            <v>5.8599999999999994</v>
          </cell>
          <cell r="I4141">
            <v>252.29785541400003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P4141">
            <v>252</v>
          </cell>
          <cell r="V4141" t="str">
            <v>Available</v>
          </cell>
        </row>
        <row r="4142">
          <cell r="A4142" t="str">
            <v>105300640035</v>
          </cell>
          <cell r="B4142" t="str">
            <v>Kalyanpur</v>
          </cell>
          <cell r="C4142" t="str">
            <v>Kalyanpur</v>
          </cell>
          <cell r="D4142" t="str">
            <v>GOMUKH MANIYARPUR</v>
          </cell>
          <cell r="E4142">
            <v>10530064</v>
          </cell>
          <cell r="F4142" t="str">
            <v>0035</v>
          </cell>
          <cell r="G4142">
            <v>5</v>
          </cell>
          <cell r="H4142">
            <v>28.7</v>
          </cell>
          <cell r="I4142">
            <v>1007.6551911360001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P4142">
            <v>1008</v>
          </cell>
          <cell r="V4142" t="str">
            <v>Available</v>
          </cell>
        </row>
        <row r="4143">
          <cell r="A4143" t="str">
            <v>105300640036</v>
          </cell>
          <cell r="B4143" t="str">
            <v>Kalyanpur</v>
          </cell>
          <cell r="C4143" t="str">
            <v>Kalyanpur</v>
          </cell>
          <cell r="D4143" t="str">
            <v>GOMUKH MANIYARPUR</v>
          </cell>
          <cell r="E4143">
            <v>10530064</v>
          </cell>
          <cell r="F4143" t="str">
            <v>0036</v>
          </cell>
          <cell r="G4143">
            <v>2</v>
          </cell>
          <cell r="H4143">
            <v>9.08</v>
          </cell>
          <cell r="I4143">
            <v>356.66098776000001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P4143">
            <v>357</v>
          </cell>
          <cell r="V4143" t="str">
            <v>Available</v>
          </cell>
        </row>
        <row r="4144">
          <cell r="A4144" t="str">
            <v>105300640037</v>
          </cell>
          <cell r="B4144" t="str">
            <v>Kalyanpur</v>
          </cell>
          <cell r="C4144" t="str">
            <v>Kalyanpur</v>
          </cell>
          <cell r="D4144" t="str">
            <v>GOMUKH MANIYARPUR</v>
          </cell>
          <cell r="E4144">
            <v>10530064</v>
          </cell>
          <cell r="F4144" t="str">
            <v>0037</v>
          </cell>
          <cell r="G4144">
            <v>10</v>
          </cell>
          <cell r="H4144">
            <v>74.09</v>
          </cell>
          <cell r="I4144">
            <v>3998.0996325809001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P4144">
            <v>3998</v>
          </cell>
          <cell r="V4144" t="str">
            <v>Available</v>
          </cell>
        </row>
        <row r="4145">
          <cell r="A4145" t="str">
            <v>105300640039</v>
          </cell>
          <cell r="B4145" t="str">
            <v>Kalyanpur</v>
          </cell>
          <cell r="C4145" t="str">
            <v>Kalyanpur</v>
          </cell>
          <cell r="D4145" t="str">
            <v>GOMUKH MANIYARPUR</v>
          </cell>
          <cell r="E4145">
            <v>10530064</v>
          </cell>
          <cell r="F4145" t="str">
            <v>0039</v>
          </cell>
          <cell r="G4145">
            <v>14</v>
          </cell>
          <cell r="H4145">
            <v>84.24</v>
          </cell>
          <cell r="I4145">
            <v>2809.6064196354009</v>
          </cell>
          <cell r="J4145">
            <v>0</v>
          </cell>
          <cell r="K4145">
            <v>0</v>
          </cell>
          <cell r="L4145">
            <v>0</v>
          </cell>
          <cell r="M4145">
            <v>0</v>
          </cell>
          <cell r="P4145">
            <v>2810</v>
          </cell>
          <cell r="V4145" t="str">
            <v>Available</v>
          </cell>
        </row>
        <row r="4146">
          <cell r="A4146" t="str">
            <v>105300640042</v>
          </cell>
          <cell r="B4146" t="str">
            <v>Kalyanpur</v>
          </cell>
          <cell r="C4146" t="str">
            <v>Kalyanpur</v>
          </cell>
          <cell r="D4146" t="str">
            <v>GOMUKH MANIYARPUR</v>
          </cell>
          <cell r="E4146">
            <v>10530064</v>
          </cell>
          <cell r="F4146" t="str">
            <v>0042</v>
          </cell>
          <cell r="G4146">
            <v>6</v>
          </cell>
          <cell r="H4146">
            <v>19.490000000000002</v>
          </cell>
          <cell r="I4146">
            <v>1069.9720949105001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P4146">
            <v>1070</v>
          </cell>
          <cell r="V4146" t="str">
            <v>Available</v>
          </cell>
        </row>
        <row r="4147">
          <cell r="A4147" t="str">
            <v>105300640046</v>
          </cell>
          <cell r="B4147" t="str">
            <v>Kalyanpur</v>
          </cell>
          <cell r="C4147" t="str">
            <v>Kalyanpur</v>
          </cell>
          <cell r="D4147" t="str">
            <v>GOMUKH MANIYARPUR</v>
          </cell>
          <cell r="E4147">
            <v>10530064</v>
          </cell>
          <cell r="F4147" t="str">
            <v>0046</v>
          </cell>
          <cell r="G4147">
            <v>12</v>
          </cell>
          <cell r="H4147">
            <v>25.229999999999997</v>
          </cell>
          <cell r="I4147">
            <v>1267.8884816667603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P4147">
            <v>1268</v>
          </cell>
          <cell r="V4147" t="str">
            <v>Available</v>
          </cell>
        </row>
        <row r="4148">
          <cell r="A4148" t="str">
            <v>105300640047</v>
          </cell>
          <cell r="B4148" t="str">
            <v>Kalyanpur</v>
          </cell>
          <cell r="C4148" t="str">
            <v>Kalyanpur</v>
          </cell>
          <cell r="D4148" t="str">
            <v>GOMUKH MANIYARPUR</v>
          </cell>
          <cell r="E4148">
            <v>10530064</v>
          </cell>
          <cell r="F4148" t="str">
            <v>0047</v>
          </cell>
          <cell r="G4148">
            <v>6</v>
          </cell>
          <cell r="H4148">
            <v>9.68</v>
          </cell>
          <cell r="I4148">
            <v>503.31176169436003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P4148">
            <v>503</v>
          </cell>
          <cell r="V4148" t="str">
            <v>Available</v>
          </cell>
        </row>
        <row r="4149">
          <cell r="A4149" t="str">
            <v>105300640049</v>
          </cell>
          <cell r="B4149" t="str">
            <v>Kalyanpur</v>
          </cell>
          <cell r="C4149" t="str">
            <v>Kalyanpur</v>
          </cell>
          <cell r="D4149" t="str">
            <v>GOMUKH MANIYARPUR</v>
          </cell>
          <cell r="E4149">
            <v>10530064</v>
          </cell>
          <cell r="F4149" t="str">
            <v>0049</v>
          </cell>
          <cell r="G4149">
            <v>6</v>
          </cell>
          <cell r="H4149">
            <v>15.57</v>
          </cell>
          <cell r="I4149">
            <v>639.01107190800008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P4149">
            <v>639</v>
          </cell>
          <cell r="V4149" t="str">
            <v>Available</v>
          </cell>
        </row>
        <row r="4150">
          <cell r="A4150" t="str">
            <v>105300640050</v>
          </cell>
          <cell r="B4150" t="str">
            <v>Kalyanpur</v>
          </cell>
          <cell r="C4150" t="str">
            <v>Kalyanpur</v>
          </cell>
          <cell r="D4150" t="str">
            <v>GOMUKH MANIYARPUR</v>
          </cell>
          <cell r="E4150">
            <v>10530064</v>
          </cell>
          <cell r="F4150" t="str">
            <v>0050</v>
          </cell>
          <cell r="G4150">
            <v>12</v>
          </cell>
          <cell r="H4150">
            <v>17.68</v>
          </cell>
          <cell r="I4150">
            <v>762.21908603280019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  <cell r="P4150">
            <v>762</v>
          </cell>
          <cell r="V4150" t="str">
            <v>Available</v>
          </cell>
        </row>
        <row r="4151">
          <cell r="A4151" t="str">
            <v>105300640051</v>
          </cell>
          <cell r="B4151" t="str">
            <v>Kalyanpur</v>
          </cell>
          <cell r="C4151" t="str">
            <v>Kalyanpur</v>
          </cell>
          <cell r="D4151" t="str">
            <v>GOMUKH MANIYARPUR</v>
          </cell>
          <cell r="E4151">
            <v>10530064</v>
          </cell>
          <cell r="F4151" t="str">
            <v>0051</v>
          </cell>
          <cell r="G4151">
            <v>13</v>
          </cell>
          <cell r="H4151">
            <v>39.120000000000005</v>
          </cell>
          <cell r="I4151">
            <v>1712.1158102251004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P4151">
            <v>1712</v>
          </cell>
          <cell r="V4151" t="str">
            <v>Available</v>
          </cell>
        </row>
        <row r="4152">
          <cell r="A4152" t="str">
            <v>105300640052</v>
          </cell>
          <cell r="B4152" t="str">
            <v>Kalyanpur</v>
          </cell>
          <cell r="C4152" t="str">
            <v>Kalyanpur</v>
          </cell>
          <cell r="D4152" t="str">
            <v>GOMUKH MANIYARPUR</v>
          </cell>
          <cell r="E4152">
            <v>10530064</v>
          </cell>
          <cell r="F4152" t="str">
            <v>0052</v>
          </cell>
          <cell r="G4152">
            <v>6</v>
          </cell>
          <cell r="H4152">
            <v>9.8800000000000008</v>
          </cell>
          <cell r="I4152">
            <v>409.03111130508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P4152">
            <v>409</v>
          </cell>
          <cell r="V4152" t="str">
            <v>Available</v>
          </cell>
        </row>
        <row r="4153">
          <cell r="A4153" t="str">
            <v>105300640053</v>
          </cell>
          <cell r="B4153" t="str">
            <v>Kalyanpur</v>
          </cell>
          <cell r="C4153" t="str">
            <v>Kalyanpur</v>
          </cell>
          <cell r="D4153" t="str">
            <v>GOMUKH MANIYARPUR</v>
          </cell>
          <cell r="E4153">
            <v>10530064</v>
          </cell>
          <cell r="F4153" t="str">
            <v>0053</v>
          </cell>
          <cell r="G4153">
            <v>14</v>
          </cell>
          <cell r="H4153">
            <v>32.19</v>
          </cell>
          <cell r="I4153">
            <v>1371.2255564040001</v>
          </cell>
          <cell r="J4153">
            <v>0</v>
          </cell>
          <cell r="K4153">
            <v>0</v>
          </cell>
          <cell r="L4153">
            <v>0</v>
          </cell>
          <cell r="M4153">
            <v>0</v>
          </cell>
          <cell r="P4153">
            <v>1371</v>
          </cell>
          <cell r="V4153" t="str">
            <v>Available</v>
          </cell>
        </row>
        <row r="4154">
          <cell r="A4154" t="str">
            <v>105300640056</v>
          </cell>
          <cell r="B4154" t="str">
            <v>Kalyanpur</v>
          </cell>
          <cell r="C4154" t="str">
            <v>Kalyanpur</v>
          </cell>
          <cell r="D4154" t="str">
            <v>GOMUKH MANIYARPUR</v>
          </cell>
          <cell r="E4154">
            <v>10530064</v>
          </cell>
          <cell r="F4154" t="str">
            <v>0056</v>
          </cell>
          <cell r="G4154">
            <v>14</v>
          </cell>
          <cell r="H4154">
            <v>39.819999999999993</v>
          </cell>
          <cell r="I4154">
            <v>1342.2869101620001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P4154">
            <v>1342</v>
          </cell>
          <cell r="V4154" t="str">
            <v>Available</v>
          </cell>
        </row>
        <row r="4155">
          <cell r="A4155" t="str">
            <v>105300640059</v>
          </cell>
          <cell r="B4155" t="str">
            <v>Kalyanpur</v>
          </cell>
          <cell r="C4155" t="str">
            <v>Kalyanpur</v>
          </cell>
          <cell r="D4155" t="str">
            <v>GOMUKH MANIYARPUR</v>
          </cell>
          <cell r="E4155">
            <v>10530064</v>
          </cell>
          <cell r="F4155" t="str">
            <v>0059</v>
          </cell>
          <cell r="G4155">
            <v>14</v>
          </cell>
          <cell r="H4155">
            <v>35.199999999999996</v>
          </cell>
          <cell r="I4155">
            <v>1405.5276973319999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P4155">
            <v>1406</v>
          </cell>
          <cell r="V4155" t="str">
            <v>Available</v>
          </cell>
        </row>
        <row r="4156">
          <cell r="A4156" t="str">
            <v>105300640060</v>
          </cell>
          <cell r="B4156" t="str">
            <v>Kalyanpur</v>
          </cell>
          <cell r="C4156" t="str">
            <v>Kalyanpur</v>
          </cell>
          <cell r="D4156" t="str">
            <v>GOMUKH MANIYARPUR</v>
          </cell>
          <cell r="E4156">
            <v>10530064</v>
          </cell>
          <cell r="F4156" t="str">
            <v>0060</v>
          </cell>
          <cell r="G4156">
            <v>11</v>
          </cell>
          <cell r="H4156">
            <v>43.360000000000007</v>
          </cell>
          <cell r="I4156">
            <v>2187.1445270162999</v>
          </cell>
          <cell r="J4156">
            <v>0</v>
          </cell>
          <cell r="K4156">
            <v>0</v>
          </cell>
          <cell r="L4156">
            <v>0</v>
          </cell>
          <cell r="M4156">
            <v>0</v>
          </cell>
          <cell r="P4156">
            <v>2187</v>
          </cell>
          <cell r="V4156" t="str">
            <v>Available</v>
          </cell>
        </row>
        <row r="4157">
          <cell r="A4157" t="str">
            <v>105300640062</v>
          </cell>
          <cell r="B4157" t="str">
            <v>Kalyanpur</v>
          </cell>
          <cell r="C4157" t="str">
            <v>Kalyanpur</v>
          </cell>
          <cell r="D4157" t="str">
            <v>GOMUKH MANIYARPUR</v>
          </cell>
          <cell r="E4157">
            <v>10530064</v>
          </cell>
          <cell r="F4157" t="str">
            <v>0062</v>
          </cell>
          <cell r="G4157">
            <v>5</v>
          </cell>
          <cell r="H4157">
            <v>15.33</v>
          </cell>
          <cell r="I4157">
            <v>565.13283868800011</v>
          </cell>
          <cell r="J4157">
            <v>0</v>
          </cell>
          <cell r="K4157">
            <v>0</v>
          </cell>
          <cell r="L4157">
            <v>0</v>
          </cell>
          <cell r="M4157">
            <v>0</v>
          </cell>
          <cell r="P4157">
            <v>565</v>
          </cell>
          <cell r="V4157" t="str">
            <v>Available</v>
          </cell>
        </row>
        <row r="4158">
          <cell r="A4158" t="str">
            <v>105300640063</v>
          </cell>
          <cell r="B4158" t="str">
            <v>Kalyanpur</v>
          </cell>
          <cell r="C4158" t="str">
            <v>Kalyanpur</v>
          </cell>
          <cell r="D4158" t="str">
            <v>GOMUKH MANIYARPUR</v>
          </cell>
          <cell r="E4158">
            <v>10530064</v>
          </cell>
          <cell r="F4158" t="str">
            <v>0063</v>
          </cell>
          <cell r="G4158">
            <v>14</v>
          </cell>
          <cell r="H4158">
            <v>28.45</v>
          </cell>
          <cell r="I4158">
            <v>1185.5580303600002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P4158">
            <v>1186</v>
          </cell>
          <cell r="V4158" t="str">
            <v>Available</v>
          </cell>
        </row>
        <row r="4159">
          <cell r="A4159" t="str">
            <v>105300640064</v>
          </cell>
          <cell r="B4159" t="str">
            <v>Kalyanpur</v>
          </cell>
          <cell r="C4159" t="str">
            <v>Kalyanpur</v>
          </cell>
          <cell r="D4159" t="str">
            <v>GOMUKH MANIYARPUR</v>
          </cell>
          <cell r="E4159">
            <v>10530064</v>
          </cell>
          <cell r="F4159" t="str">
            <v>0064</v>
          </cell>
          <cell r="G4159">
            <v>7</v>
          </cell>
          <cell r="H4159">
            <v>45.83</v>
          </cell>
          <cell r="I4159">
            <v>1631.4466148640001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P4159">
            <v>1631</v>
          </cell>
          <cell r="V4159" t="str">
            <v>Available</v>
          </cell>
        </row>
        <row r="4160">
          <cell r="A4160" t="str">
            <v>105300640065</v>
          </cell>
          <cell r="B4160" t="str">
            <v>Kalyanpur</v>
          </cell>
          <cell r="C4160" t="str">
            <v>Kalyanpur</v>
          </cell>
          <cell r="D4160" t="str">
            <v>GOMUKH MANIYARPUR</v>
          </cell>
          <cell r="E4160">
            <v>10530064</v>
          </cell>
          <cell r="F4160" t="str">
            <v>0065</v>
          </cell>
          <cell r="G4160">
            <v>14</v>
          </cell>
          <cell r="H4160">
            <v>34.450000000000003</v>
          </cell>
          <cell r="I4160">
            <v>1118.9241520776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P4160">
            <v>1119</v>
          </cell>
          <cell r="V4160" t="str">
            <v>Available</v>
          </cell>
        </row>
        <row r="4161">
          <cell r="A4161" t="str">
            <v>105300650001</v>
          </cell>
          <cell r="B4161" t="str">
            <v>Kalyanpur</v>
          </cell>
          <cell r="C4161" t="str">
            <v>Kalyanpur</v>
          </cell>
          <cell r="D4161" t="str">
            <v>GOMUKH DIGHRA W-6</v>
          </cell>
          <cell r="E4161">
            <v>10530065</v>
          </cell>
          <cell r="F4161" t="str">
            <v>0001</v>
          </cell>
          <cell r="G4161">
            <v>13</v>
          </cell>
          <cell r="H4161">
            <v>8.6300000000000008</v>
          </cell>
          <cell r="I4161">
            <v>361.22344911250008</v>
          </cell>
          <cell r="J4161">
            <v>0</v>
          </cell>
          <cell r="K4161">
            <v>361.22344911250008</v>
          </cell>
          <cell r="L4161">
            <v>0</v>
          </cell>
          <cell r="M4161">
            <v>0</v>
          </cell>
          <cell r="P4161">
            <v>0</v>
          </cell>
          <cell r="V4161" t="str">
            <v>Not Available</v>
          </cell>
        </row>
        <row r="4162">
          <cell r="A4162" t="str">
            <v>105300650002</v>
          </cell>
          <cell r="B4162" t="str">
            <v>Kalyanpur</v>
          </cell>
          <cell r="C4162" t="str">
            <v>Kalyanpur</v>
          </cell>
          <cell r="D4162" t="str">
            <v>GOMUKH DIGHRA W-6</v>
          </cell>
          <cell r="E4162">
            <v>10530065</v>
          </cell>
          <cell r="F4162" t="str">
            <v>0002</v>
          </cell>
          <cell r="G4162">
            <v>12</v>
          </cell>
          <cell r="H4162">
            <v>87.589999999999989</v>
          </cell>
          <cell r="I4162">
            <v>3301.6747319692408</v>
          </cell>
          <cell r="J4162">
            <v>0</v>
          </cell>
          <cell r="K4162">
            <v>0</v>
          </cell>
          <cell r="L4162">
            <v>2039</v>
          </cell>
          <cell r="M4162">
            <v>1263</v>
          </cell>
          <cell r="P4162">
            <v>0</v>
          </cell>
          <cell r="V4162" t="str">
            <v>Available</v>
          </cell>
        </row>
        <row r="4163">
          <cell r="A4163" t="str">
            <v>105300650003</v>
          </cell>
          <cell r="B4163" t="str">
            <v>Kalyanpur</v>
          </cell>
          <cell r="C4163" t="str">
            <v>Kalyanpur</v>
          </cell>
          <cell r="D4163" t="str">
            <v>GOMUKH DIGHRA W-6</v>
          </cell>
          <cell r="E4163">
            <v>10530065</v>
          </cell>
          <cell r="F4163" t="str">
            <v>0003</v>
          </cell>
          <cell r="G4163">
            <v>13</v>
          </cell>
          <cell r="H4163">
            <v>162.22</v>
          </cell>
          <cell r="I4163">
            <v>6560.9485274616009</v>
          </cell>
          <cell r="J4163">
            <v>0</v>
          </cell>
          <cell r="K4163">
            <v>0</v>
          </cell>
          <cell r="L4163">
            <v>0</v>
          </cell>
          <cell r="M4163">
            <v>6000</v>
          </cell>
          <cell r="P4163">
            <v>561</v>
          </cell>
          <cell r="V4163" t="str">
            <v>Available</v>
          </cell>
        </row>
        <row r="4164">
          <cell r="A4164" t="str">
            <v>105300650004</v>
          </cell>
          <cell r="B4164" t="str">
            <v>Kalyanpur</v>
          </cell>
          <cell r="C4164" t="str">
            <v>Kalyanpur</v>
          </cell>
          <cell r="D4164" t="str">
            <v>GOMUKH DIGHRA W-6</v>
          </cell>
          <cell r="E4164">
            <v>10530065</v>
          </cell>
          <cell r="F4164" t="str">
            <v>0004</v>
          </cell>
          <cell r="G4164">
            <v>14</v>
          </cell>
          <cell r="H4164">
            <v>249.61999999999998</v>
          </cell>
          <cell r="I4164">
            <v>10247.362039292404</v>
          </cell>
          <cell r="J4164">
            <v>0</v>
          </cell>
          <cell r="K4164">
            <v>0</v>
          </cell>
          <cell r="L4164">
            <v>0</v>
          </cell>
          <cell r="M4164">
            <v>9000</v>
          </cell>
          <cell r="P4164">
            <v>1247</v>
          </cell>
          <cell r="V4164" t="str">
            <v>Available</v>
          </cell>
        </row>
        <row r="4165">
          <cell r="A4165" t="str">
            <v>105300650005</v>
          </cell>
          <cell r="B4165" t="str">
            <v>Kalyanpur</v>
          </cell>
          <cell r="C4165" t="str">
            <v>Kalyanpur</v>
          </cell>
          <cell r="D4165" t="str">
            <v>GOMUKH DIGHRA W-6</v>
          </cell>
          <cell r="E4165">
            <v>10530065</v>
          </cell>
          <cell r="F4165" t="str">
            <v>0005</v>
          </cell>
          <cell r="G4165">
            <v>1</v>
          </cell>
          <cell r="H4165">
            <v>20.16</v>
          </cell>
          <cell r="I4165">
            <v>753.11904729600019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P4165">
            <v>753</v>
          </cell>
          <cell r="V4165" t="str">
            <v>Available</v>
          </cell>
        </row>
        <row r="4166">
          <cell r="A4166" t="str">
            <v>105300650007</v>
          </cell>
          <cell r="B4166" t="str">
            <v>Kalyanpur</v>
          </cell>
          <cell r="C4166" t="str">
            <v>Kalyanpur</v>
          </cell>
          <cell r="D4166" t="str">
            <v>GOMUKH DIGHRA W-6</v>
          </cell>
          <cell r="E4166">
            <v>10530065</v>
          </cell>
          <cell r="F4166" t="str">
            <v>0007</v>
          </cell>
          <cell r="G4166">
            <v>14</v>
          </cell>
          <cell r="H4166">
            <v>84.32</v>
          </cell>
          <cell r="I4166">
            <v>3091.9206391920006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P4166">
            <v>3092</v>
          </cell>
          <cell r="V4166" t="str">
            <v>Available</v>
          </cell>
        </row>
        <row r="4167">
          <cell r="A4167" t="str">
            <v>105300650015</v>
          </cell>
          <cell r="B4167" t="str">
            <v>Kalyanpur</v>
          </cell>
          <cell r="C4167" t="str">
            <v>Kalyanpur</v>
          </cell>
          <cell r="D4167" t="str">
            <v>GOMUKH DIGHRA W-6</v>
          </cell>
          <cell r="E4167">
            <v>10530065</v>
          </cell>
          <cell r="F4167" t="str">
            <v>0015</v>
          </cell>
          <cell r="G4167">
            <v>13</v>
          </cell>
          <cell r="H4167">
            <v>60.359999999999992</v>
          </cell>
          <cell r="I4167">
            <v>2356.7983639199997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P4167">
            <v>2357</v>
          </cell>
          <cell r="V4167" t="str">
            <v>Available</v>
          </cell>
        </row>
        <row r="4168">
          <cell r="A4168" t="str">
            <v>105300650016</v>
          </cell>
          <cell r="B4168" t="str">
            <v>Kalyanpur</v>
          </cell>
          <cell r="C4168" t="str">
            <v>Kalyanpur</v>
          </cell>
          <cell r="D4168" t="str">
            <v>GOMUKH DIGHRA W-6</v>
          </cell>
          <cell r="E4168">
            <v>10530065</v>
          </cell>
          <cell r="F4168" t="str">
            <v>0016</v>
          </cell>
          <cell r="G4168">
            <v>14</v>
          </cell>
          <cell r="H4168">
            <v>339.15</v>
          </cell>
          <cell r="I4168">
            <v>12661.108214040001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P4168">
            <v>12661</v>
          </cell>
          <cell r="V4168" t="str">
            <v>Available</v>
          </cell>
        </row>
        <row r="4169">
          <cell r="A4169" t="str">
            <v>105300650017</v>
          </cell>
          <cell r="B4169" t="str">
            <v>Kalyanpur</v>
          </cell>
          <cell r="C4169" t="str">
            <v>Kalyanpur</v>
          </cell>
          <cell r="D4169" t="str">
            <v>GOMUKH DIGHRA W-6</v>
          </cell>
          <cell r="E4169">
            <v>10530065</v>
          </cell>
          <cell r="F4169" t="str">
            <v>0017</v>
          </cell>
          <cell r="G4169">
            <v>14</v>
          </cell>
          <cell r="H4169">
            <v>175.60000000000002</v>
          </cell>
          <cell r="I4169">
            <v>6949.8420155208005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P4169">
            <v>6950</v>
          </cell>
          <cell r="V4169" t="str">
            <v>Available</v>
          </cell>
        </row>
        <row r="4170">
          <cell r="A4170" t="str">
            <v>105300650018</v>
          </cell>
          <cell r="B4170" t="str">
            <v>Kalyanpur</v>
          </cell>
          <cell r="C4170" t="str">
            <v>Kalyanpur</v>
          </cell>
          <cell r="D4170" t="str">
            <v>GOMUKH DIGHRA W-6</v>
          </cell>
          <cell r="E4170">
            <v>10530065</v>
          </cell>
          <cell r="F4170" t="str">
            <v>0018</v>
          </cell>
          <cell r="G4170">
            <v>14</v>
          </cell>
          <cell r="H4170">
            <v>84.3</v>
          </cell>
          <cell r="I4170">
            <v>3104.9411532480008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P4170">
            <v>3105</v>
          </cell>
          <cell r="V4170" t="str">
            <v>Available</v>
          </cell>
        </row>
        <row r="4171">
          <cell r="A4171" t="str">
            <v>105300670001</v>
          </cell>
          <cell r="B4171" t="str">
            <v>Kalyanpur</v>
          </cell>
          <cell r="C4171" t="str">
            <v>Kalyanpur</v>
          </cell>
          <cell r="D4171" t="str">
            <v>GOMUKH BANDRA W-6</v>
          </cell>
          <cell r="E4171">
            <v>10530067</v>
          </cell>
          <cell r="F4171" t="str">
            <v>0001</v>
          </cell>
          <cell r="G4171">
            <v>14</v>
          </cell>
          <cell r="H4171">
            <v>8.18</v>
          </cell>
          <cell r="I4171">
            <v>322.78840214940004</v>
          </cell>
          <cell r="J4171">
            <v>0</v>
          </cell>
          <cell r="K4171">
            <v>322.78840214940004</v>
          </cell>
          <cell r="L4171">
            <v>0</v>
          </cell>
          <cell r="M4171">
            <v>0</v>
          </cell>
          <cell r="P4171">
            <v>0</v>
          </cell>
          <cell r="V4171" t="str">
            <v>Not Available</v>
          </cell>
        </row>
        <row r="4172">
          <cell r="A4172" t="str">
            <v>105300670002</v>
          </cell>
          <cell r="B4172" t="str">
            <v>Kalyanpur</v>
          </cell>
          <cell r="C4172" t="str">
            <v>Kalyanpur</v>
          </cell>
          <cell r="D4172" t="str">
            <v>GOMUKH BANDRA W-6</v>
          </cell>
          <cell r="E4172">
            <v>10530067</v>
          </cell>
          <cell r="F4172" t="str">
            <v>0002</v>
          </cell>
          <cell r="G4172">
            <v>5</v>
          </cell>
          <cell r="H4172">
            <v>9.36</v>
          </cell>
          <cell r="I4172">
            <v>374.20427603400003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P4172">
            <v>374</v>
          </cell>
          <cell r="V4172" t="str">
            <v>Available</v>
          </cell>
        </row>
        <row r="4173">
          <cell r="A4173" t="str">
            <v>105300670012</v>
          </cell>
          <cell r="B4173" t="str">
            <v>Kalyanpur</v>
          </cell>
          <cell r="C4173" t="str">
            <v>Kalyanpur</v>
          </cell>
          <cell r="D4173" t="str">
            <v>GOMUKH BANDRA W-6</v>
          </cell>
          <cell r="E4173">
            <v>10530067</v>
          </cell>
          <cell r="F4173" t="str">
            <v>0012</v>
          </cell>
          <cell r="G4173">
            <v>1</v>
          </cell>
          <cell r="H4173">
            <v>1.41</v>
          </cell>
          <cell r="I4173">
            <v>53.231808959999995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P4173">
            <v>53</v>
          </cell>
          <cell r="V4173" t="str">
            <v>Available</v>
          </cell>
        </row>
        <row r="4174">
          <cell r="A4174" t="str">
            <v>105300670013</v>
          </cell>
          <cell r="B4174" t="str">
            <v>Kalyanpur</v>
          </cell>
          <cell r="C4174" t="str">
            <v>Kalyanpur</v>
          </cell>
          <cell r="D4174" t="str">
            <v>GOMUKH BANDRA W-6</v>
          </cell>
          <cell r="E4174">
            <v>10530067</v>
          </cell>
          <cell r="F4174" t="str">
            <v>0013</v>
          </cell>
          <cell r="G4174">
            <v>12</v>
          </cell>
          <cell r="H4174">
            <v>55.98</v>
          </cell>
          <cell r="I4174">
            <v>2337.5833797651603</v>
          </cell>
          <cell r="J4174">
            <v>0</v>
          </cell>
          <cell r="K4174">
            <v>0</v>
          </cell>
          <cell r="L4174">
            <v>0</v>
          </cell>
          <cell r="M4174">
            <v>1500</v>
          </cell>
          <cell r="P4174">
            <v>838</v>
          </cell>
          <cell r="V4174" t="str">
            <v>Available</v>
          </cell>
        </row>
        <row r="4175">
          <cell r="A4175" t="str">
            <v>105300670018</v>
          </cell>
          <cell r="B4175" t="str">
            <v>Kalyanpur</v>
          </cell>
          <cell r="C4175" t="str">
            <v>Kalyanpur</v>
          </cell>
          <cell r="D4175" t="str">
            <v>GOMUKH BANDRA W-6</v>
          </cell>
          <cell r="E4175">
            <v>10530067</v>
          </cell>
          <cell r="F4175" t="str">
            <v>0018</v>
          </cell>
          <cell r="G4175">
            <v>1</v>
          </cell>
          <cell r="H4175">
            <v>2.1</v>
          </cell>
          <cell r="I4175">
            <v>127.27170029259001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P4175">
            <v>127</v>
          </cell>
          <cell r="V4175" t="str">
            <v>Available</v>
          </cell>
        </row>
        <row r="4176">
          <cell r="A4176" t="str">
            <v>105300670019</v>
          </cell>
          <cell r="B4176" t="str">
            <v>Kalyanpur</v>
          </cell>
          <cell r="C4176" t="str">
            <v>Kalyanpur</v>
          </cell>
          <cell r="D4176" t="str">
            <v>GOMUKH BANDRA W-6</v>
          </cell>
          <cell r="E4176">
            <v>10530067</v>
          </cell>
          <cell r="F4176" t="str">
            <v>0019</v>
          </cell>
          <cell r="G4176">
            <v>14</v>
          </cell>
          <cell r="H4176">
            <v>42.78</v>
          </cell>
          <cell r="I4176">
            <v>1633.6240541874001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P4176">
            <v>1634</v>
          </cell>
          <cell r="V4176" t="str">
            <v>Available</v>
          </cell>
        </row>
        <row r="4177">
          <cell r="A4177" t="str">
            <v>105300670024</v>
          </cell>
          <cell r="B4177" t="str">
            <v>Kalyanpur</v>
          </cell>
          <cell r="C4177" t="str">
            <v>Kalyanpur</v>
          </cell>
          <cell r="D4177" t="str">
            <v>GOMUKH BANDRA W-6</v>
          </cell>
          <cell r="E4177">
            <v>10530067</v>
          </cell>
          <cell r="F4177" t="str">
            <v>0024</v>
          </cell>
          <cell r="G4177">
            <v>13</v>
          </cell>
          <cell r="H4177">
            <v>47.74</v>
          </cell>
          <cell r="I4177">
            <v>2433.1076823577805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P4177">
            <v>2433</v>
          </cell>
          <cell r="V4177" t="str">
            <v>Available</v>
          </cell>
        </row>
        <row r="4178">
          <cell r="A4178" t="str">
            <v>105300670033</v>
          </cell>
          <cell r="B4178" t="str">
            <v>Kalyanpur</v>
          </cell>
          <cell r="C4178" t="str">
            <v>Kalyanpur</v>
          </cell>
          <cell r="D4178" t="str">
            <v>GOMUKH BANDRA W-6</v>
          </cell>
          <cell r="E4178">
            <v>10530067</v>
          </cell>
          <cell r="F4178" t="str">
            <v>0033</v>
          </cell>
          <cell r="G4178">
            <v>5</v>
          </cell>
          <cell r="H4178">
            <v>11.85</v>
          </cell>
          <cell r="I4178">
            <v>606.720426381837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P4178">
            <v>607</v>
          </cell>
          <cell r="V4178" t="str">
            <v>Available</v>
          </cell>
        </row>
        <row r="4179">
          <cell r="A4179" t="str">
            <v>105300670035</v>
          </cell>
          <cell r="B4179" t="str">
            <v>Kalyanpur</v>
          </cell>
          <cell r="C4179" t="str">
            <v>Kalyanpur</v>
          </cell>
          <cell r="D4179" t="str">
            <v>GOMUKH BANDRA W-6</v>
          </cell>
          <cell r="E4179">
            <v>10530067</v>
          </cell>
          <cell r="F4179" t="str">
            <v>0035</v>
          </cell>
          <cell r="G4179">
            <v>12</v>
          </cell>
          <cell r="H4179">
            <v>29.009999999999998</v>
          </cell>
          <cell r="I4179">
            <v>1034.6052105378001</v>
          </cell>
          <cell r="J4179">
            <v>0</v>
          </cell>
          <cell r="K4179">
            <v>0</v>
          </cell>
          <cell r="L4179">
            <v>0</v>
          </cell>
          <cell r="M4179">
            <v>1035</v>
          </cell>
          <cell r="P4179">
            <v>0</v>
          </cell>
          <cell r="V4179" t="str">
            <v>Available</v>
          </cell>
        </row>
        <row r="4180">
          <cell r="A4180" t="str">
            <v>105300670037</v>
          </cell>
          <cell r="B4180" t="str">
            <v>Kalyanpur</v>
          </cell>
          <cell r="C4180" t="str">
            <v>Kalyanpur</v>
          </cell>
          <cell r="D4180" t="str">
            <v>GOMUKH BANDRA W-6</v>
          </cell>
          <cell r="E4180">
            <v>10530067</v>
          </cell>
          <cell r="F4180" t="str">
            <v>0037</v>
          </cell>
          <cell r="G4180">
            <v>11</v>
          </cell>
          <cell r="H4180">
            <v>24.64</v>
          </cell>
          <cell r="I4180">
            <v>929.60595923580013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P4180">
            <v>930</v>
          </cell>
          <cell r="V4180" t="str">
            <v>Available</v>
          </cell>
        </row>
        <row r="4181">
          <cell r="A4181" t="str">
            <v>105300670041</v>
          </cell>
          <cell r="B4181" t="str">
            <v>Kalyanpur</v>
          </cell>
          <cell r="C4181" t="str">
            <v>Kalyanpur</v>
          </cell>
          <cell r="D4181" t="str">
            <v>GOMUKH BANDRA W-6</v>
          </cell>
          <cell r="E4181">
            <v>10530067</v>
          </cell>
          <cell r="F4181" t="str">
            <v>0041</v>
          </cell>
          <cell r="G4181">
            <v>2</v>
          </cell>
          <cell r="H4181">
            <v>5.66</v>
          </cell>
          <cell r="I4181">
            <v>239.63915051999999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P4181">
            <v>240</v>
          </cell>
          <cell r="V4181" t="str">
            <v>Available</v>
          </cell>
        </row>
        <row r="4182">
          <cell r="A4182" t="str">
            <v>105300670042</v>
          </cell>
          <cell r="B4182" t="str">
            <v>Kalyanpur</v>
          </cell>
          <cell r="C4182" t="str">
            <v>Kalyanpur</v>
          </cell>
          <cell r="D4182" t="str">
            <v>GOMUKH BANDRA W-6</v>
          </cell>
          <cell r="E4182">
            <v>10530067</v>
          </cell>
          <cell r="F4182" t="str">
            <v>0042</v>
          </cell>
          <cell r="G4182">
            <v>2</v>
          </cell>
          <cell r="H4182">
            <v>2.0300000000000002</v>
          </cell>
          <cell r="I4182">
            <v>103.52942305870002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P4182">
            <v>104</v>
          </cell>
          <cell r="V4182" t="str">
            <v>Available</v>
          </cell>
        </row>
        <row r="4183">
          <cell r="A4183" t="str">
            <v>105300670046</v>
          </cell>
          <cell r="B4183" t="str">
            <v>Kalyanpur</v>
          </cell>
          <cell r="C4183" t="str">
            <v>Kalyanpur</v>
          </cell>
          <cell r="D4183" t="str">
            <v>GOMUKH BANDRA W-6</v>
          </cell>
          <cell r="E4183">
            <v>10530067</v>
          </cell>
          <cell r="F4183" t="str">
            <v>0046</v>
          </cell>
          <cell r="G4183">
            <v>12</v>
          </cell>
          <cell r="H4183">
            <v>28.84</v>
          </cell>
          <cell r="I4183">
            <v>1236.8244929831999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P4183">
            <v>1237</v>
          </cell>
          <cell r="V4183" t="str">
            <v>Available</v>
          </cell>
        </row>
        <row r="4184">
          <cell r="A4184" t="str">
            <v>105300670048</v>
          </cell>
          <cell r="B4184" t="str">
            <v>Kalyanpur</v>
          </cell>
          <cell r="C4184" t="str">
            <v>Kalyanpur</v>
          </cell>
          <cell r="D4184" t="str">
            <v>GOMUKH BANDRA W-6</v>
          </cell>
          <cell r="E4184">
            <v>10530067</v>
          </cell>
          <cell r="F4184" t="str">
            <v>0048</v>
          </cell>
          <cell r="G4184">
            <v>7</v>
          </cell>
          <cell r="H4184">
            <v>13.57</v>
          </cell>
          <cell r="I4184">
            <v>526.95259610400012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P4184">
            <v>527</v>
          </cell>
          <cell r="V4184" t="str">
            <v>Available</v>
          </cell>
        </row>
        <row r="4185">
          <cell r="A4185" t="str">
            <v>105300670049</v>
          </cell>
          <cell r="B4185" t="str">
            <v>Kalyanpur</v>
          </cell>
          <cell r="C4185" t="str">
            <v>Kalyanpur</v>
          </cell>
          <cell r="D4185" t="str">
            <v>GOMUKH BANDRA W-6</v>
          </cell>
          <cell r="E4185">
            <v>10530067</v>
          </cell>
          <cell r="F4185" t="str">
            <v>0049</v>
          </cell>
          <cell r="G4185">
            <v>6</v>
          </cell>
          <cell r="H4185">
            <v>16.71</v>
          </cell>
          <cell r="I4185">
            <v>577.54328559840008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P4185">
            <v>578</v>
          </cell>
          <cell r="V4185" t="str">
            <v>Available</v>
          </cell>
        </row>
        <row r="4186">
          <cell r="A4186" t="str">
            <v>105300670050</v>
          </cell>
          <cell r="B4186" t="str">
            <v>Kalyanpur</v>
          </cell>
          <cell r="C4186" t="str">
            <v>Kalyanpur</v>
          </cell>
          <cell r="D4186" t="str">
            <v>GOMUKH BANDRA W-6</v>
          </cell>
          <cell r="E4186">
            <v>10530067</v>
          </cell>
          <cell r="F4186" t="str">
            <v>0050</v>
          </cell>
          <cell r="G4186">
            <v>6</v>
          </cell>
          <cell r="H4186">
            <v>12.25</v>
          </cell>
          <cell r="I4186">
            <v>617.57877486350003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P4186">
            <v>618</v>
          </cell>
          <cell r="V4186" t="str">
            <v>Available</v>
          </cell>
        </row>
        <row r="4187">
          <cell r="A4187" t="str">
            <v>105300670051</v>
          </cell>
          <cell r="B4187" t="str">
            <v>Kalyanpur</v>
          </cell>
          <cell r="C4187" t="str">
            <v>Kalyanpur</v>
          </cell>
          <cell r="D4187" t="str">
            <v>GOMUKH BANDRA W-6</v>
          </cell>
          <cell r="E4187">
            <v>10530067</v>
          </cell>
          <cell r="F4187" t="str">
            <v>0051</v>
          </cell>
          <cell r="G4187">
            <v>7</v>
          </cell>
          <cell r="H4187">
            <v>19.889999999999997</v>
          </cell>
          <cell r="I4187">
            <v>882.43156333968011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P4187">
            <v>882</v>
          </cell>
          <cell r="V4187" t="str">
            <v>Available</v>
          </cell>
        </row>
        <row r="4188">
          <cell r="A4188" t="str">
            <v>105300670053</v>
          </cell>
          <cell r="B4188" t="str">
            <v>Kalyanpur</v>
          </cell>
          <cell r="C4188" t="str">
            <v>Kalyanpur</v>
          </cell>
          <cell r="D4188" t="str">
            <v>GOMUKH BANDRA W-6</v>
          </cell>
          <cell r="E4188">
            <v>10530067</v>
          </cell>
          <cell r="F4188" t="str">
            <v>0053</v>
          </cell>
          <cell r="G4188">
            <v>14</v>
          </cell>
          <cell r="H4188">
            <v>116.12999999999998</v>
          </cell>
          <cell r="I4188">
            <v>4085.2043468280008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P4188">
            <v>4085</v>
          </cell>
          <cell r="V4188" t="str">
            <v>Available</v>
          </cell>
        </row>
        <row r="4189">
          <cell r="A4189" t="str">
            <v>105300670054</v>
          </cell>
          <cell r="B4189" t="str">
            <v>Kalyanpur</v>
          </cell>
          <cell r="C4189" t="str">
            <v>Kalyanpur</v>
          </cell>
          <cell r="D4189" t="str">
            <v>GOMUKH BANDRA W-6</v>
          </cell>
          <cell r="E4189">
            <v>10530067</v>
          </cell>
          <cell r="F4189" t="str">
            <v>0054</v>
          </cell>
          <cell r="G4189">
            <v>8</v>
          </cell>
          <cell r="H4189">
            <v>16.53</v>
          </cell>
          <cell r="I4189">
            <v>587.08406045520007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P4189">
            <v>587</v>
          </cell>
          <cell r="V4189" t="str">
            <v>Available</v>
          </cell>
        </row>
        <row r="4190">
          <cell r="A4190" t="str">
            <v>105300670055</v>
          </cell>
          <cell r="B4190" t="str">
            <v>Kalyanpur</v>
          </cell>
          <cell r="C4190" t="str">
            <v>Kalyanpur</v>
          </cell>
          <cell r="D4190" t="str">
            <v>GOMUKH BANDRA W-6</v>
          </cell>
          <cell r="E4190">
            <v>10530067</v>
          </cell>
          <cell r="F4190" t="str">
            <v>0055</v>
          </cell>
          <cell r="G4190">
            <v>14</v>
          </cell>
          <cell r="H4190">
            <v>61.010000000000005</v>
          </cell>
          <cell r="I4190">
            <v>2308.9051991411998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P4190">
            <v>2309</v>
          </cell>
          <cell r="V4190" t="str">
            <v>Available</v>
          </cell>
        </row>
        <row r="4191">
          <cell r="A4191" t="str">
            <v>105300670056</v>
          </cell>
          <cell r="B4191" t="str">
            <v>Kalyanpur</v>
          </cell>
          <cell r="C4191" t="str">
            <v>Kalyanpur</v>
          </cell>
          <cell r="D4191" t="str">
            <v>GOMUKH BANDRA W-6</v>
          </cell>
          <cell r="E4191">
            <v>10530067</v>
          </cell>
          <cell r="F4191" t="str">
            <v>0056</v>
          </cell>
          <cell r="G4191">
            <v>7</v>
          </cell>
          <cell r="H4191">
            <v>38.89</v>
          </cell>
          <cell r="I4191">
            <v>1483.1792845848004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P4191">
            <v>1483</v>
          </cell>
          <cell r="V4191" t="str">
            <v>Available</v>
          </cell>
        </row>
        <row r="4192">
          <cell r="A4192" t="str">
            <v>105300700001</v>
          </cell>
          <cell r="B4192" t="str">
            <v>Kalyanpur</v>
          </cell>
          <cell r="C4192" t="str">
            <v>Kalyanpur</v>
          </cell>
          <cell r="D4192" t="str">
            <v>GOMUKH PARAN 2</v>
          </cell>
          <cell r="E4192">
            <v>10530070</v>
          </cell>
          <cell r="F4192" t="str">
            <v>0001</v>
          </cell>
          <cell r="G4192">
            <v>13</v>
          </cell>
          <cell r="H4192">
            <v>3.15</v>
          </cell>
          <cell r="I4192">
            <v>157.90380678089599</v>
          </cell>
          <cell r="J4192">
            <v>0</v>
          </cell>
          <cell r="K4192">
            <v>157.90380678089599</v>
          </cell>
          <cell r="L4192">
            <v>0</v>
          </cell>
          <cell r="M4192">
            <v>0</v>
          </cell>
          <cell r="P4192">
            <v>0</v>
          </cell>
          <cell r="V4192" t="str">
            <v>Not Available</v>
          </cell>
        </row>
        <row r="4193">
          <cell r="A4193" t="str">
            <v>105300700002</v>
          </cell>
          <cell r="B4193" t="str">
            <v>Kalyanpur</v>
          </cell>
          <cell r="C4193" t="str">
            <v>Kalyanpur</v>
          </cell>
          <cell r="D4193" t="str">
            <v>GOMUKH PARAN 2</v>
          </cell>
          <cell r="E4193">
            <v>10530070</v>
          </cell>
          <cell r="F4193" t="str">
            <v>0002</v>
          </cell>
          <cell r="G4193">
            <v>7</v>
          </cell>
          <cell r="H4193">
            <v>40.5</v>
          </cell>
          <cell r="I4193">
            <v>2289.1137821768802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P4193">
            <v>2289</v>
          </cell>
          <cell r="V4193" t="str">
            <v>Available</v>
          </cell>
        </row>
        <row r="4194">
          <cell r="A4194" t="str">
            <v>105300700003</v>
          </cell>
          <cell r="B4194" t="str">
            <v>Kalyanpur</v>
          </cell>
          <cell r="C4194" t="str">
            <v>Kalyanpur</v>
          </cell>
          <cell r="D4194" t="str">
            <v>GOMUKH PARAN 2</v>
          </cell>
          <cell r="E4194">
            <v>10530070</v>
          </cell>
          <cell r="F4194" t="str">
            <v>0003</v>
          </cell>
          <cell r="G4194">
            <v>7</v>
          </cell>
          <cell r="H4194">
            <v>30.19</v>
          </cell>
          <cell r="I4194">
            <v>1367.6208307653601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P4194">
            <v>1368</v>
          </cell>
          <cell r="V4194" t="str">
            <v>Available</v>
          </cell>
        </row>
        <row r="4195">
          <cell r="A4195" t="str">
            <v>105300700011</v>
          </cell>
          <cell r="B4195" t="str">
            <v>Kalyanpur</v>
          </cell>
          <cell r="C4195" t="str">
            <v>Kalyanpur</v>
          </cell>
          <cell r="D4195" t="str">
            <v>GOMUKH PARAN 2</v>
          </cell>
          <cell r="E4195">
            <v>10530070</v>
          </cell>
          <cell r="F4195" t="str">
            <v>0011</v>
          </cell>
          <cell r="G4195">
            <v>5</v>
          </cell>
          <cell r="H4195">
            <v>11.07</v>
          </cell>
          <cell r="I4195">
            <v>636.06646016272009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P4195">
            <v>636</v>
          </cell>
          <cell r="V4195" t="str">
            <v>Available</v>
          </cell>
        </row>
        <row r="4196">
          <cell r="A4196" t="str">
            <v>105300700014</v>
          </cell>
          <cell r="B4196" t="str">
            <v>Kalyanpur</v>
          </cell>
          <cell r="C4196" t="str">
            <v>Kalyanpur</v>
          </cell>
          <cell r="D4196" t="str">
            <v>GOMUKH PARAN 2</v>
          </cell>
          <cell r="E4196">
            <v>10530070</v>
          </cell>
          <cell r="F4196" t="str">
            <v>0014</v>
          </cell>
          <cell r="G4196">
            <v>4</v>
          </cell>
          <cell r="H4196">
            <v>12.790000000000001</v>
          </cell>
          <cell r="I4196">
            <v>637.31431888895008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P4196">
            <v>637</v>
          </cell>
          <cell r="V4196" t="str">
            <v>Available</v>
          </cell>
        </row>
        <row r="4197">
          <cell r="A4197" t="str">
            <v>105300700016</v>
          </cell>
          <cell r="B4197" t="str">
            <v>Kalyanpur</v>
          </cell>
          <cell r="C4197" t="str">
            <v>Kalyanpur</v>
          </cell>
          <cell r="D4197" t="str">
            <v>GOMUKH PARAN 2</v>
          </cell>
          <cell r="E4197">
            <v>10530070</v>
          </cell>
          <cell r="F4197" t="str">
            <v>0016</v>
          </cell>
          <cell r="G4197">
            <v>9</v>
          </cell>
          <cell r="H4197">
            <v>14.239999999999998</v>
          </cell>
          <cell r="I4197">
            <v>702.25268071803009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P4197">
            <v>702</v>
          </cell>
          <cell r="V4197" t="str">
            <v>Available</v>
          </cell>
        </row>
        <row r="4198">
          <cell r="A4198" t="str">
            <v>105300700019</v>
          </cell>
          <cell r="B4198" t="str">
            <v>Kalyanpur</v>
          </cell>
          <cell r="C4198" t="str">
            <v>Kalyanpur</v>
          </cell>
          <cell r="D4198" t="str">
            <v>GOMUKH PARAN 2</v>
          </cell>
          <cell r="E4198">
            <v>10530070</v>
          </cell>
          <cell r="F4198" t="str">
            <v>0019</v>
          </cell>
          <cell r="G4198">
            <v>8</v>
          </cell>
          <cell r="H4198">
            <v>12.350000000000001</v>
          </cell>
          <cell r="I4198">
            <v>445.39070524739998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P4198">
            <v>445</v>
          </cell>
          <cell r="V4198" t="str">
            <v>Available</v>
          </cell>
        </row>
        <row r="4199">
          <cell r="A4199" t="str">
            <v>105300700034</v>
          </cell>
          <cell r="B4199" t="str">
            <v>Kalyanpur</v>
          </cell>
          <cell r="C4199" t="str">
            <v>Kalyanpur</v>
          </cell>
          <cell r="D4199" t="str">
            <v>GOMUKH PARAN 2</v>
          </cell>
          <cell r="E4199">
            <v>10530070</v>
          </cell>
          <cell r="F4199" t="str">
            <v>0034</v>
          </cell>
          <cell r="G4199">
            <v>4</v>
          </cell>
          <cell r="H4199">
            <v>6.27</v>
          </cell>
          <cell r="I4199">
            <v>401.42244749041998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P4199">
            <v>401</v>
          </cell>
          <cell r="V4199" t="str">
            <v>Available</v>
          </cell>
        </row>
        <row r="4200">
          <cell r="A4200" t="str">
            <v>105300700040</v>
          </cell>
          <cell r="B4200" t="str">
            <v>Kalyanpur</v>
          </cell>
          <cell r="C4200" t="str">
            <v>Kalyanpur</v>
          </cell>
          <cell r="D4200" t="str">
            <v>GOMUKH PARAN 2</v>
          </cell>
          <cell r="E4200">
            <v>10530070</v>
          </cell>
          <cell r="F4200" t="str">
            <v>0040</v>
          </cell>
          <cell r="G4200">
            <v>2</v>
          </cell>
          <cell r="H4200">
            <v>4.76</v>
          </cell>
          <cell r="I4200">
            <v>261.51688030718003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P4200">
            <v>262</v>
          </cell>
          <cell r="V4200" t="str">
            <v>Available</v>
          </cell>
        </row>
        <row r="4201">
          <cell r="A4201" t="str">
            <v>105300700041</v>
          </cell>
          <cell r="B4201" t="str">
            <v>Kalyanpur</v>
          </cell>
          <cell r="C4201" t="str">
            <v>Kalyanpur</v>
          </cell>
          <cell r="D4201" t="str">
            <v>GOMUKH PARAN 2</v>
          </cell>
          <cell r="E4201">
            <v>10530070</v>
          </cell>
          <cell r="F4201" t="str">
            <v>0041</v>
          </cell>
          <cell r="G4201">
            <v>4</v>
          </cell>
          <cell r="H4201">
            <v>7.65</v>
          </cell>
          <cell r="I4201">
            <v>282.52656295380001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P4201">
            <v>283</v>
          </cell>
          <cell r="V4201" t="str">
            <v>Available</v>
          </cell>
        </row>
        <row r="4202">
          <cell r="A4202" t="str">
            <v>105300710002</v>
          </cell>
          <cell r="B4202" t="str">
            <v>Kalyanpur</v>
          </cell>
          <cell r="C4202" t="str">
            <v>Kalyanpur</v>
          </cell>
          <cell r="D4202" t="str">
            <v>GOMUKH KHARAGPUR</v>
          </cell>
          <cell r="E4202">
            <v>10530071</v>
          </cell>
          <cell r="F4202" t="str">
            <v>0002</v>
          </cell>
          <cell r="G4202">
            <v>13</v>
          </cell>
          <cell r="H4202">
            <v>108.70000000000002</v>
          </cell>
          <cell r="I4202">
            <v>5651.0808954915692</v>
          </cell>
          <cell r="J4202">
            <v>0</v>
          </cell>
          <cell r="K4202">
            <v>0</v>
          </cell>
          <cell r="L4202">
            <v>289</v>
          </cell>
          <cell r="M4202">
            <v>0</v>
          </cell>
          <cell r="P4202">
            <v>5362</v>
          </cell>
          <cell r="V4202" t="str">
            <v>Available</v>
          </cell>
        </row>
        <row r="4203">
          <cell r="A4203" t="str">
            <v>105300710003</v>
          </cell>
          <cell r="B4203" t="str">
            <v>Kalyanpur</v>
          </cell>
          <cell r="C4203" t="str">
            <v>Kalyanpur</v>
          </cell>
          <cell r="D4203" t="str">
            <v>GOMUKH KHARAGPUR</v>
          </cell>
          <cell r="E4203">
            <v>10530071</v>
          </cell>
          <cell r="F4203" t="str">
            <v>0003</v>
          </cell>
          <cell r="G4203">
            <v>7</v>
          </cell>
          <cell r="H4203">
            <v>17.010000000000002</v>
          </cell>
          <cell r="I4203">
            <v>1386.6462403528999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P4203">
            <v>1387</v>
          </cell>
          <cell r="V4203" t="str">
            <v>Available</v>
          </cell>
        </row>
        <row r="4204">
          <cell r="A4204" t="str">
            <v>105300710006</v>
          </cell>
          <cell r="B4204" t="str">
            <v>Kalyanpur</v>
          </cell>
          <cell r="C4204" t="str">
            <v>Kalyanpur</v>
          </cell>
          <cell r="D4204" t="str">
            <v>GOMUKH KHARAGPUR</v>
          </cell>
          <cell r="E4204">
            <v>10530071</v>
          </cell>
          <cell r="F4204" t="str">
            <v>0006</v>
          </cell>
          <cell r="G4204">
            <v>10</v>
          </cell>
          <cell r="H4204">
            <v>22.500000000000004</v>
          </cell>
          <cell r="I4204">
            <v>958.56436216143015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P4204">
            <v>959</v>
          </cell>
          <cell r="V4204" t="str">
            <v>Available</v>
          </cell>
        </row>
        <row r="4205">
          <cell r="A4205" t="str">
            <v>105300710007</v>
          </cell>
          <cell r="B4205" t="str">
            <v>Kalyanpur</v>
          </cell>
          <cell r="C4205" t="str">
            <v>Kalyanpur</v>
          </cell>
          <cell r="D4205" t="str">
            <v>GOMUKH KHARAGPUR</v>
          </cell>
          <cell r="E4205">
            <v>10530071</v>
          </cell>
          <cell r="F4205" t="str">
            <v>0007</v>
          </cell>
          <cell r="G4205">
            <v>7</v>
          </cell>
          <cell r="H4205">
            <v>16.61</v>
          </cell>
          <cell r="I4205">
            <v>1032.1137886242971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P4205">
            <v>1032</v>
          </cell>
          <cell r="V4205" t="str">
            <v>Available</v>
          </cell>
        </row>
        <row r="4206">
          <cell r="A4206" t="str">
            <v>105300710008</v>
          </cell>
          <cell r="B4206" t="str">
            <v>Kalyanpur</v>
          </cell>
          <cell r="C4206" t="str">
            <v>Kalyanpur</v>
          </cell>
          <cell r="D4206" t="str">
            <v>GOMUKH KHARAGPUR</v>
          </cell>
          <cell r="E4206">
            <v>10530071</v>
          </cell>
          <cell r="F4206" t="str">
            <v>0008</v>
          </cell>
          <cell r="G4206">
            <v>13</v>
          </cell>
          <cell r="H4206">
            <v>61.930000000000007</v>
          </cell>
          <cell r="I4206">
            <v>2523.1903416315217</v>
          </cell>
          <cell r="J4206">
            <v>0</v>
          </cell>
          <cell r="K4206">
            <v>0</v>
          </cell>
          <cell r="L4206">
            <v>0</v>
          </cell>
          <cell r="M4206">
            <v>0</v>
          </cell>
          <cell r="P4206">
            <v>2523</v>
          </cell>
          <cell r="V4206" t="str">
            <v>Available</v>
          </cell>
        </row>
        <row r="4207">
          <cell r="A4207" t="str">
            <v>105300710011</v>
          </cell>
          <cell r="B4207" t="str">
            <v>Kalyanpur</v>
          </cell>
          <cell r="C4207" t="str">
            <v>Kalyanpur</v>
          </cell>
          <cell r="D4207" t="str">
            <v>GOMUKH KHARAGPUR</v>
          </cell>
          <cell r="E4207">
            <v>10530071</v>
          </cell>
          <cell r="F4207" t="str">
            <v>0011</v>
          </cell>
          <cell r="G4207">
            <v>12</v>
          </cell>
          <cell r="H4207">
            <v>37.169999999999995</v>
          </cell>
          <cell r="I4207">
            <v>1834.1998669924001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P4207">
            <v>1834</v>
          </cell>
          <cell r="V4207" t="str">
            <v>Available</v>
          </cell>
        </row>
        <row r="4208">
          <cell r="A4208" t="str">
            <v>105300710012</v>
          </cell>
          <cell r="B4208" t="str">
            <v>Kalyanpur</v>
          </cell>
          <cell r="C4208" t="str">
            <v>Kalyanpur</v>
          </cell>
          <cell r="D4208" t="str">
            <v>GOMUKH KHARAGPUR</v>
          </cell>
          <cell r="E4208">
            <v>10530071</v>
          </cell>
          <cell r="F4208" t="str">
            <v>0012</v>
          </cell>
          <cell r="G4208">
            <v>1</v>
          </cell>
          <cell r="H4208">
            <v>3.15</v>
          </cell>
          <cell r="I4208">
            <v>110.27324107800001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P4208">
            <v>110</v>
          </cell>
          <cell r="V4208" t="str">
            <v>Available</v>
          </cell>
        </row>
        <row r="4209">
          <cell r="A4209" t="str">
            <v>105300710024</v>
          </cell>
          <cell r="B4209" t="str">
            <v>Kalyanpur</v>
          </cell>
          <cell r="C4209" t="str">
            <v>Kalyanpur</v>
          </cell>
          <cell r="D4209" t="str">
            <v>GOMUKH KHARAGPUR</v>
          </cell>
          <cell r="E4209">
            <v>10530071</v>
          </cell>
          <cell r="F4209" t="str">
            <v>0024</v>
          </cell>
          <cell r="G4209">
            <v>4</v>
          </cell>
          <cell r="H4209">
            <v>19.18</v>
          </cell>
          <cell r="I4209">
            <v>1121.5019948630761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P4209">
            <v>1122</v>
          </cell>
          <cell r="V4209" t="str">
            <v>Available</v>
          </cell>
        </row>
        <row r="4210">
          <cell r="A4210" t="str">
            <v>105300710025</v>
          </cell>
          <cell r="B4210" t="str">
            <v>Kalyanpur</v>
          </cell>
          <cell r="C4210" t="str">
            <v>Kalyanpur</v>
          </cell>
          <cell r="D4210" t="str">
            <v>GOMUKH KHARAGPUR</v>
          </cell>
          <cell r="E4210">
            <v>10530071</v>
          </cell>
          <cell r="F4210" t="str">
            <v>0025</v>
          </cell>
          <cell r="G4210">
            <v>5</v>
          </cell>
          <cell r="H4210">
            <v>8.58</v>
          </cell>
          <cell r="I4210">
            <v>527.38715704941001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P4210">
            <v>527</v>
          </cell>
          <cell r="V4210" t="str">
            <v>Available</v>
          </cell>
        </row>
        <row r="4211">
          <cell r="A4211" t="str">
            <v>105300710029</v>
          </cell>
          <cell r="B4211" t="str">
            <v>Kalyanpur</v>
          </cell>
          <cell r="C4211" t="str">
            <v>Kalyanpur</v>
          </cell>
          <cell r="D4211" t="str">
            <v>GOMUKH KHARAGPUR</v>
          </cell>
          <cell r="E4211">
            <v>10530071</v>
          </cell>
          <cell r="F4211" t="str">
            <v>0029</v>
          </cell>
          <cell r="G4211">
            <v>9</v>
          </cell>
          <cell r="H4211">
            <v>13.04</v>
          </cell>
          <cell r="I4211">
            <v>949.12672654870005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P4211">
            <v>949</v>
          </cell>
          <cell r="V4211" t="str">
            <v>Available</v>
          </cell>
        </row>
        <row r="4212">
          <cell r="A4212" t="str">
            <v>105300710030</v>
          </cell>
          <cell r="B4212" t="str">
            <v>Kalyanpur</v>
          </cell>
          <cell r="C4212" t="str">
            <v>Kalyanpur</v>
          </cell>
          <cell r="D4212" t="str">
            <v>GOMUKH KHARAGPUR</v>
          </cell>
          <cell r="E4212">
            <v>10530071</v>
          </cell>
          <cell r="F4212" t="str">
            <v>0030</v>
          </cell>
          <cell r="G4212">
            <v>6</v>
          </cell>
          <cell r="H4212">
            <v>9.4699999999999989</v>
          </cell>
          <cell r="I4212">
            <v>392.78410340400001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P4212">
            <v>393</v>
          </cell>
          <cell r="V4212" t="str">
            <v>Available</v>
          </cell>
        </row>
        <row r="4213">
          <cell r="A4213" t="str">
            <v>105300740001</v>
          </cell>
          <cell r="B4213" t="str">
            <v>Kalyanpur</v>
          </cell>
          <cell r="C4213" t="str">
            <v>Kalyanpur</v>
          </cell>
          <cell r="D4213" t="str">
            <v>GOMUKH BALAHA W-9</v>
          </cell>
          <cell r="E4213">
            <v>10530074</v>
          </cell>
          <cell r="F4213" t="str">
            <v>0001</v>
          </cell>
          <cell r="G4213">
            <v>13</v>
          </cell>
          <cell r="H4213">
            <v>11.95</v>
          </cell>
          <cell r="I4213">
            <v>456.275341368</v>
          </cell>
          <cell r="J4213">
            <v>0</v>
          </cell>
          <cell r="K4213">
            <v>456.275341368</v>
          </cell>
          <cell r="L4213">
            <v>0</v>
          </cell>
          <cell r="M4213">
            <v>0</v>
          </cell>
          <cell r="P4213">
            <v>0</v>
          </cell>
          <cell r="V4213" t="str">
            <v>Not Available</v>
          </cell>
        </row>
        <row r="4214">
          <cell r="A4214" t="str">
            <v>105300740002</v>
          </cell>
          <cell r="B4214" t="str">
            <v>Kalyanpur</v>
          </cell>
          <cell r="C4214" t="str">
            <v>Kalyanpur</v>
          </cell>
          <cell r="D4214" t="str">
            <v>GOMUKH BALAHA W-9</v>
          </cell>
          <cell r="E4214">
            <v>10530074</v>
          </cell>
          <cell r="F4214" t="str">
            <v>0002</v>
          </cell>
          <cell r="G4214">
            <v>7</v>
          </cell>
          <cell r="H4214">
            <v>12.95</v>
          </cell>
          <cell r="I4214">
            <v>594.74034669868001</v>
          </cell>
          <cell r="J4214">
            <v>0</v>
          </cell>
          <cell r="K4214">
            <v>0</v>
          </cell>
          <cell r="L4214">
            <v>548</v>
          </cell>
          <cell r="M4214">
            <v>0</v>
          </cell>
          <cell r="P4214">
            <v>47</v>
          </cell>
          <cell r="V4214" t="str">
            <v>Available</v>
          </cell>
        </row>
        <row r="4215">
          <cell r="A4215" t="str">
            <v>105300740003</v>
          </cell>
          <cell r="B4215" t="str">
            <v>Kalyanpur</v>
          </cell>
          <cell r="C4215" t="str">
            <v>Kalyanpur</v>
          </cell>
          <cell r="D4215" t="str">
            <v>GOMUKH BALAHA W-9</v>
          </cell>
          <cell r="E4215">
            <v>10530074</v>
          </cell>
          <cell r="F4215" t="str">
            <v>0003</v>
          </cell>
          <cell r="G4215">
            <v>7</v>
          </cell>
          <cell r="H4215">
            <v>20.779999999999998</v>
          </cell>
          <cell r="I4215">
            <v>778.27686892560018</v>
          </cell>
          <cell r="J4215">
            <v>0</v>
          </cell>
          <cell r="K4215">
            <v>0</v>
          </cell>
          <cell r="L4215">
            <v>0</v>
          </cell>
          <cell r="M4215">
            <v>0</v>
          </cell>
          <cell r="P4215">
            <v>778</v>
          </cell>
          <cell r="V4215" t="str">
            <v>Available</v>
          </cell>
        </row>
        <row r="4216">
          <cell r="A4216" t="str">
            <v>105300740005</v>
          </cell>
          <cell r="B4216" t="str">
            <v>Kalyanpur</v>
          </cell>
          <cell r="C4216" t="str">
            <v>Kalyanpur</v>
          </cell>
          <cell r="D4216" t="str">
            <v>GOMUKH BALAHA W-9</v>
          </cell>
          <cell r="E4216">
            <v>10530074</v>
          </cell>
          <cell r="F4216" t="str">
            <v>0005</v>
          </cell>
          <cell r="G4216">
            <v>6</v>
          </cell>
          <cell r="H4216">
            <v>14.9</v>
          </cell>
          <cell r="I4216">
            <v>587.6780778000001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P4216">
            <v>588</v>
          </cell>
          <cell r="V4216" t="str">
            <v>Available</v>
          </cell>
        </row>
        <row r="4217">
          <cell r="A4217" t="str">
            <v>105300740007</v>
          </cell>
          <cell r="B4217" t="str">
            <v>Kalyanpur</v>
          </cell>
          <cell r="C4217" t="str">
            <v>Kalyanpur</v>
          </cell>
          <cell r="D4217" t="str">
            <v>GOMUKH BALAHA W-9</v>
          </cell>
          <cell r="E4217">
            <v>10530074</v>
          </cell>
          <cell r="F4217" t="str">
            <v>0007</v>
          </cell>
          <cell r="G4217">
            <v>14</v>
          </cell>
          <cell r="H4217">
            <v>171.89000000000001</v>
          </cell>
          <cell r="I4217">
            <v>6692.3908694280008</v>
          </cell>
          <cell r="J4217">
            <v>0</v>
          </cell>
          <cell r="K4217">
            <v>0</v>
          </cell>
          <cell r="L4217">
            <v>0</v>
          </cell>
          <cell r="M4217">
            <v>2276</v>
          </cell>
          <cell r="P4217">
            <v>4416</v>
          </cell>
          <cell r="V4217" t="str">
            <v>Available</v>
          </cell>
        </row>
        <row r="4218">
          <cell r="A4218" t="str">
            <v>105300740008</v>
          </cell>
          <cell r="B4218" t="str">
            <v>Kalyanpur</v>
          </cell>
          <cell r="C4218" t="str">
            <v>Kalyanpur</v>
          </cell>
          <cell r="D4218" t="str">
            <v>GOMUKH BALAHA W-9</v>
          </cell>
          <cell r="E4218">
            <v>10530074</v>
          </cell>
          <cell r="F4218" t="str">
            <v>0008</v>
          </cell>
          <cell r="G4218">
            <v>9</v>
          </cell>
          <cell r="H4218">
            <v>37.32</v>
          </cell>
          <cell r="I4218">
            <v>1770.6781260851103</v>
          </cell>
          <cell r="J4218">
            <v>0</v>
          </cell>
          <cell r="K4218">
            <v>0</v>
          </cell>
          <cell r="L4218">
            <v>0</v>
          </cell>
          <cell r="M4218">
            <v>233</v>
          </cell>
          <cell r="P4218">
            <v>1538</v>
          </cell>
          <cell r="V4218" t="str">
            <v>Available</v>
          </cell>
        </row>
        <row r="4219">
          <cell r="A4219" t="str">
            <v>105300740009</v>
          </cell>
          <cell r="B4219" t="str">
            <v>Kalyanpur</v>
          </cell>
          <cell r="C4219" t="str">
            <v>Kalyanpur</v>
          </cell>
          <cell r="D4219" t="str">
            <v>GOMUKH BALAHA W-9</v>
          </cell>
          <cell r="E4219">
            <v>10530074</v>
          </cell>
          <cell r="F4219" t="str">
            <v>0009</v>
          </cell>
          <cell r="G4219">
            <v>6</v>
          </cell>
          <cell r="H4219">
            <v>20.270000000000003</v>
          </cell>
          <cell r="I4219">
            <v>1116.2311497867402</v>
          </cell>
          <cell r="J4219">
            <v>0</v>
          </cell>
          <cell r="K4219">
            <v>0</v>
          </cell>
          <cell r="L4219">
            <v>0</v>
          </cell>
          <cell r="M4219">
            <v>0</v>
          </cell>
          <cell r="P4219">
            <v>1116</v>
          </cell>
          <cell r="V4219" t="str">
            <v>Available</v>
          </cell>
        </row>
        <row r="4220">
          <cell r="A4220" t="str">
            <v>105300740010</v>
          </cell>
          <cell r="B4220" t="str">
            <v>Kalyanpur</v>
          </cell>
          <cell r="C4220" t="str">
            <v>Kalyanpur</v>
          </cell>
          <cell r="D4220" t="str">
            <v>GOMUKH BALAHA W-9</v>
          </cell>
          <cell r="E4220">
            <v>10530074</v>
          </cell>
          <cell r="F4220" t="str">
            <v>0010</v>
          </cell>
          <cell r="G4220">
            <v>14</v>
          </cell>
          <cell r="H4220">
            <v>52.4</v>
          </cell>
          <cell r="I4220">
            <v>1952.0784122400003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P4220">
            <v>1952</v>
          </cell>
          <cell r="V4220" t="str">
            <v>Available</v>
          </cell>
        </row>
        <row r="4221">
          <cell r="A4221" t="str">
            <v>105300740013</v>
          </cell>
          <cell r="B4221" t="str">
            <v>Kalyanpur</v>
          </cell>
          <cell r="C4221" t="str">
            <v>Kalyanpur</v>
          </cell>
          <cell r="D4221" t="str">
            <v>GOMUKH BALAHA W-9</v>
          </cell>
          <cell r="E4221">
            <v>10530074</v>
          </cell>
          <cell r="F4221" t="str">
            <v>0013</v>
          </cell>
          <cell r="G4221">
            <v>8</v>
          </cell>
          <cell r="H4221">
            <v>31.009999999999998</v>
          </cell>
          <cell r="I4221">
            <v>1051.6558104954001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P4221">
            <v>1052</v>
          </cell>
          <cell r="V4221" t="str">
            <v>Available</v>
          </cell>
        </row>
        <row r="4222">
          <cell r="A4222" t="str">
            <v>105300740017</v>
          </cell>
          <cell r="B4222" t="str">
            <v>Kalyanpur</v>
          </cell>
          <cell r="C4222" t="str">
            <v>Kalyanpur</v>
          </cell>
          <cell r="D4222" t="str">
            <v>GOMUKH BALAHA W-9</v>
          </cell>
          <cell r="E4222">
            <v>10530074</v>
          </cell>
          <cell r="F4222" t="str">
            <v>0017</v>
          </cell>
          <cell r="G4222">
            <v>14</v>
          </cell>
          <cell r="H4222">
            <v>72.100000000000009</v>
          </cell>
          <cell r="I4222">
            <v>2921.5638009360005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P4222">
            <v>2922</v>
          </cell>
          <cell r="V4222" t="str">
            <v>Available</v>
          </cell>
        </row>
        <row r="4223">
          <cell r="A4223" t="str">
            <v>105300740019</v>
          </cell>
          <cell r="B4223" t="str">
            <v>Kalyanpur</v>
          </cell>
          <cell r="C4223" t="str">
            <v>Kalyanpur</v>
          </cell>
          <cell r="D4223" t="str">
            <v>GOMUKH BALAHA W-9</v>
          </cell>
          <cell r="E4223">
            <v>10530074</v>
          </cell>
          <cell r="F4223" t="str">
            <v>0019</v>
          </cell>
          <cell r="G4223">
            <v>5</v>
          </cell>
          <cell r="H4223">
            <v>13.459999999999999</v>
          </cell>
          <cell r="I4223">
            <v>506.03383314000001</v>
          </cell>
          <cell r="J4223">
            <v>0</v>
          </cell>
          <cell r="K4223">
            <v>0</v>
          </cell>
          <cell r="L4223">
            <v>0</v>
          </cell>
          <cell r="M4223">
            <v>506</v>
          </cell>
          <cell r="P4223">
            <v>0</v>
          </cell>
          <cell r="V4223" t="str">
            <v>Available</v>
          </cell>
        </row>
        <row r="4224">
          <cell r="A4224" t="str">
            <v>105300740020</v>
          </cell>
          <cell r="B4224" t="str">
            <v>Kalyanpur</v>
          </cell>
          <cell r="C4224" t="str">
            <v>Kalyanpur</v>
          </cell>
          <cell r="D4224" t="str">
            <v>GOMUKH BALAHA W-9</v>
          </cell>
          <cell r="E4224">
            <v>10530074</v>
          </cell>
          <cell r="F4224" t="str">
            <v>0020</v>
          </cell>
          <cell r="G4224">
            <v>7</v>
          </cell>
          <cell r="H4224">
            <v>31.06</v>
          </cell>
          <cell r="I4224">
            <v>1203.8299210080002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P4224">
            <v>1204</v>
          </cell>
          <cell r="V4224" t="str">
            <v>Available</v>
          </cell>
        </row>
        <row r="4225">
          <cell r="A4225" t="str">
            <v>105300740021</v>
          </cell>
          <cell r="B4225" t="str">
            <v>Kalyanpur</v>
          </cell>
          <cell r="C4225" t="str">
            <v>Kalyanpur</v>
          </cell>
          <cell r="D4225" t="str">
            <v>GOMUKH BALAHA W-9</v>
          </cell>
          <cell r="E4225">
            <v>10530074</v>
          </cell>
          <cell r="F4225" t="str">
            <v>0021</v>
          </cell>
          <cell r="G4225">
            <v>13</v>
          </cell>
          <cell r="H4225">
            <v>33.330000000000005</v>
          </cell>
          <cell r="I4225">
            <v>1313.1344078820002</v>
          </cell>
          <cell r="J4225">
            <v>0</v>
          </cell>
          <cell r="K4225">
            <v>0</v>
          </cell>
          <cell r="L4225">
            <v>0</v>
          </cell>
          <cell r="M4225">
            <v>0</v>
          </cell>
          <cell r="P4225">
            <v>1313</v>
          </cell>
          <cell r="V4225" t="str">
            <v>Available</v>
          </cell>
        </row>
        <row r="4226">
          <cell r="A4226" t="str">
            <v>105300740024</v>
          </cell>
          <cell r="B4226" t="str">
            <v>Kalyanpur</v>
          </cell>
          <cell r="C4226" t="str">
            <v>Kalyanpur</v>
          </cell>
          <cell r="D4226" t="str">
            <v>GOMUKH BALAHA W-9</v>
          </cell>
          <cell r="E4226">
            <v>10530074</v>
          </cell>
          <cell r="F4226" t="str">
            <v>0024</v>
          </cell>
          <cell r="G4226">
            <v>7</v>
          </cell>
          <cell r="H4226">
            <v>29.03</v>
          </cell>
          <cell r="I4226">
            <v>1142.65625166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P4226">
            <v>1143</v>
          </cell>
          <cell r="V4226" t="str">
            <v>Available</v>
          </cell>
        </row>
        <row r="4227">
          <cell r="A4227" t="str">
            <v>105300740025</v>
          </cell>
          <cell r="B4227" t="str">
            <v>Kalyanpur</v>
          </cell>
          <cell r="C4227" t="str">
            <v>Kalyanpur</v>
          </cell>
          <cell r="D4227" t="str">
            <v>GOMUKH BALAHA W-9</v>
          </cell>
          <cell r="E4227">
            <v>10530074</v>
          </cell>
          <cell r="F4227" t="str">
            <v>0025</v>
          </cell>
          <cell r="G4227">
            <v>3</v>
          </cell>
          <cell r="H4227">
            <v>11.99</v>
          </cell>
          <cell r="I4227">
            <v>417.95032791600011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P4227">
            <v>418</v>
          </cell>
          <cell r="V4227" t="str">
            <v>Available</v>
          </cell>
        </row>
        <row r="4228">
          <cell r="A4228" t="str">
            <v>105300740026</v>
          </cell>
          <cell r="B4228" t="str">
            <v>Kalyanpur</v>
          </cell>
          <cell r="C4228" t="str">
            <v>Kalyanpur</v>
          </cell>
          <cell r="D4228" t="str">
            <v>GOMUKH BALAHA W-9</v>
          </cell>
          <cell r="E4228">
            <v>10530074</v>
          </cell>
          <cell r="F4228" t="str">
            <v>0026</v>
          </cell>
          <cell r="G4228">
            <v>6</v>
          </cell>
          <cell r="H4228">
            <v>7.48</v>
          </cell>
          <cell r="I4228">
            <v>286.79404802400006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P4228">
            <v>287</v>
          </cell>
          <cell r="V4228" t="str">
            <v>Available</v>
          </cell>
        </row>
        <row r="4229">
          <cell r="A4229" t="str">
            <v>105300740027</v>
          </cell>
          <cell r="B4229" t="str">
            <v>Kalyanpur</v>
          </cell>
          <cell r="C4229" t="str">
            <v>Kalyanpur</v>
          </cell>
          <cell r="D4229" t="str">
            <v>GOMUKH BALAHA W-9</v>
          </cell>
          <cell r="E4229">
            <v>10530074</v>
          </cell>
          <cell r="F4229" t="str">
            <v>0027</v>
          </cell>
          <cell r="G4229">
            <v>13</v>
          </cell>
          <cell r="H4229">
            <v>61.690000000000012</v>
          </cell>
          <cell r="I4229">
            <v>2363.5816603759999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P4229">
            <v>2364</v>
          </cell>
          <cell r="V4229" t="str">
            <v>Available</v>
          </cell>
        </row>
        <row r="4230">
          <cell r="A4230" t="str">
            <v>105300740028</v>
          </cell>
          <cell r="B4230" t="str">
            <v>Kalyanpur</v>
          </cell>
          <cell r="C4230" t="str">
            <v>Kalyanpur</v>
          </cell>
          <cell r="D4230" t="str">
            <v>GOMUKH BALAHA W-9</v>
          </cell>
          <cell r="E4230">
            <v>10530074</v>
          </cell>
          <cell r="F4230" t="str">
            <v>0028</v>
          </cell>
          <cell r="G4230">
            <v>14</v>
          </cell>
          <cell r="H4230">
            <v>42.61</v>
          </cell>
          <cell r="I4230">
            <v>1364.3553011813999</v>
          </cell>
          <cell r="J4230">
            <v>0</v>
          </cell>
          <cell r="K4230">
            <v>0</v>
          </cell>
          <cell r="L4230">
            <v>0</v>
          </cell>
          <cell r="M4230">
            <v>65</v>
          </cell>
          <cell r="P4230">
            <v>1299</v>
          </cell>
          <cell r="V4230" t="str">
            <v>Available</v>
          </cell>
        </row>
        <row r="4231">
          <cell r="A4231" t="str">
            <v>105300740030</v>
          </cell>
          <cell r="B4231" t="str">
            <v>Kalyanpur</v>
          </cell>
          <cell r="C4231" t="str">
            <v>Kalyanpur</v>
          </cell>
          <cell r="D4231" t="str">
            <v>GOMUKH BALAHA W-9</v>
          </cell>
          <cell r="E4231">
            <v>10530074</v>
          </cell>
          <cell r="F4231" t="str">
            <v>0030</v>
          </cell>
          <cell r="G4231">
            <v>14</v>
          </cell>
          <cell r="H4231">
            <v>33.97</v>
          </cell>
          <cell r="I4231">
            <v>1299.7244208959999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P4231">
            <v>1300</v>
          </cell>
          <cell r="V4231" t="str">
            <v>Available</v>
          </cell>
        </row>
        <row r="4232">
          <cell r="A4232" t="str">
            <v>105300740031</v>
          </cell>
          <cell r="B4232" t="str">
            <v>Kalyanpur</v>
          </cell>
          <cell r="C4232" t="str">
            <v>Kalyanpur</v>
          </cell>
          <cell r="D4232" t="str">
            <v>GOMUKH BALAHA W-9</v>
          </cell>
          <cell r="E4232">
            <v>10530074</v>
          </cell>
          <cell r="F4232" t="str">
            <v>0031</v>
          </cell>
          <cell r="G4232">
            <v>9</v>
          </cell>
          <cell r="H4232">
            <v>37.92</v>
          </cell>
          <cell r="I4232">
            <v>1382.6844662400001</v>
          </cell>
          <cell r="J4232">
            <v>0</v>
          </cell>
          <cell r="K4232">
            <v>0</v>
          </cell>
          <cell r="L4232">
            <v>0</v>
          </cell>
          <cell r="M4232">
            <v>0</v>
          </cell>
          <cell r="P4232">
            <v>1383</v>
          </cell>
          <cell r="V4232" t="str">
            <v>Available</v>
          </cell>
        </row>
        <row r="4233">
          <cell r="A4233" t="str">
            <v>105300740033</v>
          </cell>
          <cell r="B4233" t="str">
            <v>Kalyanpur</v>
          </cell>
          <cell r="C4233" t="str">
            <v>Kalyanpur</v>
          </cell>
          <cell r="D4233" t="str">
            <v>GOMUKH BALAHA W-9</v>
          </cell>
          <cell r="E4233">
            <v>10530074</v>
          </cell>
          <cell r="F4233" t="str">
            <v>0033</v>
          </cell>
          <cell r="G4233">
            <v>5</v>
          </cell>
          <cell r="H4233">
            <v>15.64</v>
          </cell>
          <cell r="I4233">
            <v>663.50630808000005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P4233">
            <v>664</v>
          </cell>
          <cell r="V4233" t="str">
            <v>Available</v>
          </cell>
        </row>
        <row r="4234">
          <cell r="A4234" t="str">
            <v>105300740034</v>
          </cell>
          <cell r="B4234" t="str">
            <v>Kalyanpur</v>
          </cell>
          <cell r="C4234" t="str">
            <v>Kalyanpur</v>
          </cell>
          <cell r="D4234" t="str">
            <v>GOMUKH BALAHA W-9</v>
          </cell>
          <cell r="E4234">
            <v>10530074</v>
          </cell>
          <cell r="F4234" t="str">
            <v>0034</v>
          </cell>
          <cell r="G4234">
            <v>14</v>
          </cell>
          <cell r="H4234">
            <v>44.92</v>
          </cell>
          <cell r="I4234">
            <v>1775.9558848680003</v>
          </cell>
          <cell r="J4234">
            <v>0</v>
          </cell>
          <cell r="K4234">
            <v>0</v>
          </cell>
          <cell r="L4234">
            <v>0</v>
          </cell>
          <cell r="M4234">
            <v>0</v>
          </cell>
          <cell r="P4234">
            <v>1776</v>
          </cell>
          <cell r="V4234" t="str">
            <v>Available</v>
          </cell>
        </row>
        <row r="4235">
          <cell r="A4235" t="str">
            <v>105300740035</v>
          </cell>
          <cell r="B4235" t="str">
            <v>Kalyanpur</v>
          </cell>
          <cell r="C4235" t="str">
            <v>Kalyanpur</v>
          </cell>
          <cell r="D4235" t="str">
            <v>GOMUKH BALAHA W-9</v>
          </cell>
          <cell r="E4235">
            <v>10530074</v>
          </cell>
          <cell r="F4235" t="str">
            <v>0035</v>
          </cell>
          <cell r="G4235">
            <v>11</v>
          </cell>
          <cell r="H4235">
            <v>23.82</v>
          </cell>
          <cell r="I4235">
            <v>797.69018369700007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P4235">
            <v>798</v>
          </cell>
          <cell r="V4235" t="str">
            <v>Available</v>
          </cell>
        </row>
        <row r="4236">
          <cell r="A4236" t="str">
            <v>105300740036</v>
          </cell>
          <cell r="B4236" t="str">
            <v>Kalyanpur</v>
          </cell>
          <cell r="C4236" t="str">
            <v>Kalyanpur</v>
          </cell>
          <cell r="D4236" t="str">
            <v>GOMUKH BALAHA W-9</v>
          </cell>
          <cell r="E4236">
            <v>10530074</v>
          </cell>
          <cell r="F4236" t="str">
            <v>0036</v>
          </cell>
          <cell r="G4236">
            <v>12</v>
          </cell>
          <cell r="H4236">
            <v>32.660000000000004</v>
          </cell>
          <cell r="I4236">
            <v>1093.4850445200002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P4236">
            <v>1093</v>
          </cell>
          <cell r="V4236" t="str">
            <v>Available</v>
          </cell>
        </row>
        <row r="4237">
          <cell r="A4237" t="str">
            <v>105300760001</v>
          </cell>
          <cell r="B4237" t="str">
            <v>Kalyanpur</v>
          </cell>
          <cell r="C4237" t="str">
            <v>Kalyanpur</v>
          </cell>
          <cell r="D4237" t="str">
            <v>GOMUKH Madanpur W-3</v>
          </cell>
          <cell r="E4237">
            <v>10530076</v>
          </cell>
          <cell r="F4237" t="str">
            <v>0001</v>
          </cell>
          <cell r="G4237">
            <v>13</v>
          </cell>
          <cell r="H4237">
            <v>26.52</v>
          </cell>
          <cell r="I4237">
            <v>1201.7695206492103</v>
          </cell>
          <cell r="J4237">
            <v>0</v>
          </cell>
          <cell r="K4237">
            <v>1201.7695206492103</v>
          </cell>
          <cell r="L4237">
            <v>0</v>
          </cell>
          <cell r="M4237">
            <v>0</v>
          </cell>
          <cell r="P4237">
            <v>0</v>
          </cell>
          <cell r="V4237" t="str">
            <v>Not Available</v>
          </cell>
        </row>
        <row r="4238">
          <cell r="A4238" t="str">
            <v>105300760002</v>
          </cell>
          <cell r="B4238" t="str">
            <v>Kalyanpur</v>
          </cell>
          <cell r="C4238" t="str">
            <v>Kalyanpur</v>
          </cell>
          <cell r="D4238" t="str">
            <v>GOMUKH Madanpur W-3</v>
          </cell>
          <cell r="E4238">
            <v>10530076</v>
          </cell>
          <cell r="F4238" t="str">
            <v>0002</v>
          </cell>
          <cell r="G4238">
            <v>1</v>
          </cell>
          <cell r="H4238">
            <v>1.87</v>
          </cell>
          <cell r="I4238">
            <v>119.1476597509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P4238">
            <v>119</v>
          </cell>
          <cell r="V4238" t="str">
            <v>Available</v>
          </cell>
        </row>
        <row r="4239">
          <cell r="A4239" t="str">
            <v>105300760003</v>
          </cell>
          <cell r="B4239" t="str">
            <v>Kalyanpur</v>
          </cell>
          <cell r="C4239" t="str">
            <v>Kalyanpur</v>
          </cell>
          <cell r="D4239" t="str">
            <v>GOMUKH Madanpur W-3</v>
          </cell>
          <cell r="E4239">
            <v>10530076</v>
          </cell>
          <cell r="F4239" t="str">
            <v>0003</v>
          </cell>
          <cell r="G4239">
            <v>7</v>
          </cell>
          <cell r="H4239">
            <v>19.27</v>
          </cell>
          <cell r="I4239">
            <v>936.88622754069002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  <cell r="P4239">
            <v>937</v>
          </cell>
          <cell r="V4239" t="str">
            <v>Available</v>
          </cell>
        </row>
        <row r="4240">
          <cell r="A4240" t="str">
            <v>105300760004</v>
          </cell>
          <cell r="B4240" t="str">
            <v>Kalyanpur</v>
          </cell>
          <cell r="C4240" t="str">
            <v>Kalyanpur</v>
          </cell>
          <cell r="D4240" t="str">
            <v>GOMUKH Madanpur W-3</v>
          </cell>
          <cell r="E4240">
            <v>10530076</v>
          </cell>
          <cell r="F4240" t="str">
            <v>0004</v>
          </cell>
          <cell r="G4240">
            <v>13</v>
          </cell>
          <cell r="H4240">
            <v>28.789999999999992</v>
          </cell>
          <cell r="I4240">
            <v>1049.5072138518001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P4240">
            <v>1050</v>
          </cell>
          <cell r="V4240" t="str">
            <v>Available</v>
          </cell>
        </row>
        <row r="4241">
          <cell r="A4241" t="str">
            <v>105300760006</v>
          </cell>
          <cell r="B4241" t="str">
            <v>Kalyanpur</v>
          </cell>
          <cell r="C4241" t="str">
            <v>Kalyanpur</v>
          </cell>
          <cell r="D4241" t="str">
            <v>GOMUKH Madanpur W-3</v>
          </cell>
          <cell r="E4241">
            <v>10530076</v>
          </cell>
          <cell r="F4241" t="str">
            <v>0006</v>
          </cell>
          <cell r="G4241">
            <v>3</v>
          </cell>
          <cell r="H4241">
            <v>5.08</v>
          </cell>
          <cell r="I4241">
            <v>182.6126631054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P4241">
            <v>183</v>
          </cell>
          <cell r="V4241" t="str">
            <v>Available</v>
          </cell>
        </row>
        <row r="4242">
          <cell r="A4242" t="str">
            <v>105300760007</v>
          </cell>
          <cell r="B4242" t="str">
            <v>Kalyanpur</v>
          </cell>
          <cell r="C4242" t="str">
            <v>Kalyanpur</v>
          </cell>
          <cell r="D4242" t="str">
            <v>GOMUKH Madanpur W-3</v>
          </cell>
          <cell r="E4242">
            <v>10530076</v>
          </cell>
          <cell r="F4242" t="str">
            <v>0007</v>
          </cell>
          <cell r="G4242">
            <v>12</v>
          </cell>
          <cell r="H4242">
            <v>27.86</v>
          </cell>
          <cell r="I4242">
            <v>1356.9025950937701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P4242">
            <v>1357</v>
          </cell>
          <cell r="V4242" t="str">
            <v>Available</v>
          </cell>
        </row>
        <row r="4243">
          <cell r="A4243" t="str">
            <v>105300760010</v>
          </cell>
          <cell r="B4243" t="str">
            <v>Kalyanpur</v>
          </cell>
          <cell r="C4243" t="str">
            <v>Kalyanpur</v>
          </cell>
          <cell r="D4243" t="str">
            <v>GOMUKH Madanpur W-3</v>
          </cell>
          <cell r="E4243">
            <v>10530076</v>
          </cell>
          <cell r="F4243" t="str">
            <v>0010</v>
          </cell>
          <cell r="G4243">
            <v>6</v>
          </cell>
          <cell r="H4243">
            <v>18.16</v>
          </cell>
          <cell r="I4243">
            <v>1049.080480796636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P4243">
            <v>1049</v>
          </cell>
          <cell r="V4243" t="str">
            <v>Available</v>
          </cell>
        </row>
        <row r="4244">
          <cell r="A4244" t="str">
            <v>105300760011</v>
          </cell>
          <cell r="B4244" t="str">
            <v>Kalyanpur</v>
          </cell>
          <cell r="C4244" t="str">
            <v>Kalyanpur</v>
          </cell>
          <cell r="D4244" t="str">
            <v>GOMUKH Madanpur W-3</v>
          </cell>
          <cell r="E4244">
            <v>10530076</v>
          </cell>
          <cell r="F4244" t="str">
            <v>0011</v>
          </cell>
          <cell r="G4244">
            <v>13</v>
          </cell>
          <cell r="H4244">
            <v>31.020000000000003</v>
          </cell>
          <cell r="I4244">
            <v>1740.8299970952999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P4244">
            <v>1741</v>
          </cell>
          <cell r="V4244" t="str">
            <v>Available</v>
          </cell>
        </row>
        <row r="4245">
          <cell r="A4245" t="str">
            <v>105300760012</v>
          </cell>
          <cell r="B4245" t="str">
            <v>Kalyanpur</v>
          </cell>
          <cell r="C4245" t="str">
            <v>Kalyanpur</v>
          </cell>
          <cell r="D4245" t="str">
            <v>GOMUKH Madanpur W-3</v>
          </cell>
          <cell r="E4245">
            <v>10530076</v>
          </cell>
          <cell r="F4245" t="str">
            <v>0012</v>
          </cell>
          <cell r="G4245">
            <v>6</v>
          </cell>
          <cell r="H4245">
            <v>9.9700000000000006</v>
          </cell>
          <cell r="I4245">
            <v>360.99554633999998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P4245">
            <v>361</v>
          </cell>
          <cell r="V4245" t="str">
            <v>Available</v>
          </cell>
        </row>
        <row r="4246">
          <cell r="A4246" t="str">
            <v>105300760013</v>
          </cell>
          <cell r="B4246" t="str">
            <v>Kalyanpur</v>
          </cell>
          <cell r="C4246" t="str">
            <v>Kalyanpur</v>
          </cell>
          <cell r="D4246" t="str">
            <v>GOMUKH Madanpur W-3</v>
          </cell>
          <cell r="E4246">
            <v>10530076</v>
          </cell>
          <cell r="F4246" t="str">
            <v>0013</v>
          </cell>
          <cell r="G4246">
            <v>14</v>
          </cell>
          <cell r="H4246">
            <v>98.649999999999991</v>
          </cell>
          <cell r="I4246">
            <v>4382.8682862481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P4246">
            <v>4383</v>
          </cell>
          <cell r="V4246" t="str">
            <v>Available</v>
          </cell>
        </row>
        <row r="4247">
          <cell r="A4247" t="str">
            <v>105300760014</v>
          </cell>
          <cell r="B4247" t="str">
            <v>Kalyanpur</v>
          </cell>
          <cell r="C4247" t="str">
            <v>Kalyanpur</v>
          </cell>
          <cell r="D4247" t="str">
            <v>GOMUKH Madanpur W-3</v>
          </cell>
          <cell r="E4247">
            <v>10530076</v>
          </cell>
          <cell r="F4247" t="str">
            <v>0014</v>
          </cell>
          <cell r="G4247">
            <v>12</v>
          </cell>
          <cell r="H4247">
            <v>26.169999999999998</v>
          </cell>
          <cell r="I4247">
            <v>1428.51667948717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P4247">
            <v>1429</v>
          </cell>
          <cell r="V4247" t="str">
            <v>Available</v>
          </cell>
        </row>
        <row r="4248">
          <cell r="A4248" t="str">
            <v>105300760016</v>
          </cell>
          <cell r="B4248" t="str">
            <v>Kalyanpur</v>
          </cell>
          <cell r="C4248" t="str">
            <v>Kalyanpur</v>
          </cell>
          <cell r="D4248" t="str">
            <v>GOMUKH Madanpur W-3</v>
          </cell>
          <cell r="E4248">
            <v>10530076</v>
          </cell>
          <cell r="F4248" t="str">
            <v>0016</v>
          </cell>
          <cell r="G4248">
            <v>7</v>
          </cell>
          <cell r="H4248">
            <v>29.6</v>
          </cell>
          <cell r="I4248">
            <v>2023.0875291962</v>
          </cell>
          <cell r="J4248">
            <v>0</v>
          </cell>
          <cell r="K4248">
            <v>0</v>
          </cell>
          <cell r="L4248">
            <v>0</v>
          </cell>
          <cell r="M4248">
            <v>0</v>
          </cell>
          <cell r="P4248">
            <v>2023</v>
          </cell>
          <cell r="V4248" t="str">
            <v>Available</v>
          </cell>
        </row>
        <row r="4249">
          <cell r="A4249" t="str">
            <v>105300760017</v>
          </cell>
          <cell r="B4249" t="str">
            <v>Kalyanpur</v>
          </cell>
          <cell r="C4249" t="str">
            <v>Kalyanpur</v>
          </cell>
          <cell r="D4249" t="str">
            <v>GOMUKH Madanpur W-3</v>
          </cell>
          <cell r="E4249">
            <v>10530076</v>
          </cell>
          <cell r="F4249" t="str">
            <v>0017</v>
          </cell>
          <cell r="G4249">
            <v>14</v>
          </cell>
          <cell r="H4249">
            <v>87.009999999999991</v>
          </cell>
          <cell r="I4249">
            <v>5476.1920742807797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P4249">
            <v>5476</v>
          </cell>
          <cell r="V4249" t="str">
            <v>Available</v>
          </cell>
        </row>
        <row r="4250">
          <cell r="A4250" t="str">
            <v>105300760018</v>
          </cell>
          <cell r="B4250" t="str">
            <v>Kalyanpur</v>
          </cell>
          <cell r="C4250" t="str">
            <v>Kalyanpur</v>
          </cell>
          <cell r="D4250" t="str">
            <v>GOMUKH Madanpur W-3</v>
          </cell>
          <cell r="E4250">
            <v>10530076</v>
          </cell>
          <cell r="F4250" t="str">
            <v>0018</v>
          </cell>
          <cell r="G4250">
            <v>10</v>
          </cell>
          <cell r="H4250">
            <v>47.26</v>
          </cell>
          <cell r="I4250">
            <v>1757.1749698800004</v>
          </cell>
          <cell r="J4250">
            <v>0</v>
          </cell>
          <cell r="K4250">
            <v>0</v>
          </cell>
          <cell r="L4250">
            <v>0</v>
          </cell>
          <cell r="M4250">
            <v>0</v>
          </cell>
          <cell r="P4250">
            <v>1757</v>
          </cell>
          <cell r="V4250" t="str">
            <v>Available</v>
          </cell>
        </row>
        <row r="4251">
          <cell r="A4251" t="str">
            <v>105300760019</v>
          </cell>
          <cell r="B4251" t="str">
            <v>Kalyanpur</v>
          </cell>
          <cell r="C4251" t="str">
            <v>Kalyanpur</v>
          </cell>
          <cell r="D4251" t="str">
            <v>GOMUKH Madanpur W-3</v>
          </cell>
          <cell r="E4251">
            <v>10530076</v>
          </cell>
          <cell r="F4251" t="str">
            <v>0019</v>
          </cell>
          <cell r="G4251">
            <v>11</v>
          </cell>
          <cell r="H4251">
            <v>19.240000000000002</v>
          </cell>
          <cell r="I4251">
            <v>1097.3276404405101</v>
          </cell>
          <cell r="J4251">
            <v>0</v>
          </cell>
          <cell r="K4251">
            <v>0</v>
          </cell>
          <cell r="L4251">
            <v>0</v>
          </cell>
          <cell r="M4251">
            <v>0</v>
          </cell>
          <cell r="P4251">
            <v>1097</v>
          </cell>
          <cell r="V4251" t="str">
            <v>Available</v>
          </cell>
        </row>
        <row r="4252">
          <cell r="A4252" t="str">
            <v>105300760022</v>
          </cell>
          <cell r="B4252" t="str">
            <v>Kalyanpur</v>
          </cell>
          <cell r="C4252" t="str">
            <v>Kalyanpur</v>
          </cell>
          <cell r="D4252" t="str">
            <v>GOMUKH Madanpur W-3</v>
          </cell>
          <cell r="E4252">
            <v>10530076</v>
          </cell>
          <cell r="F4252" t="str">
            <v>0022</v>
          </cell>
          <cell r="G4252">
            <v>14</v>
          </cell>
          <cell r="H4252">
            <v>174.77000000000004</v>
          </cell>
          <cell r="I4252">
            <v>6250.1235073595999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P4252">
            <v>6250</v>
          </cell>
          <cell r="V4252" t="str">
            <v>Available</v>
          </cell>
        </row>
        <row r="4253">
          <cell r="A4253" t="str">
            <v>105300760023</v>
          </cell>
          <cell r="B4253" t="str">
            <v>Kalyanpur</v>
          </cell>
          <cell r="C4253" t="str">
            <v>Kalyanpur</v>
          </cell>
          <cell r="D4253" t="str">
            <v>GOMUKH Madanpur W-3</v>
          </cell>
          <cell r="E4253">
            <v>10530076</v>
          </cell>
          <cell r="F4253" t="str">
            <v>0023</v>
          </cell>
          <cell r="G4253">
            <v>6</v>
          </cell>
          <cell r="H4253">
            <v>50.25</v>
          </cell>
          <cell r="I4253">
            <v>3126.2285802890001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P4253">
            <v>3126</v>
          </cell>
          <cell r="V4253" t="str">
            <v>Available</v>
          </cell>
        </row>
        <row r="4254">
          <cell r="A4254" t="str">
            <v>105300760025</v>
          </cell>
          <cell r="B4254" t="str">
            <v>Kalyanpur</v>
          </cell>
          <cell r="C4254" t="str">
            <v>Kalyanpur</v>
          </cell>
          <cell r="D4254" t="str">
            <v>GOMUKH Madanpur W-3</v>
          </cell>
          <cell r="E4254">
            <v>10530076</v>
          </cell>
          <cell r="F4254" t="str">
            <v>0025</v>
          </cell>
          <cell r="G4254">
            <v>7</v>
          </cell>
          <cell r="H4254">
            <v>14.75</v>
          </cell>
          <cell r="I4254">
            <v>1142.7741082748998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P4254">
            <v>1143</v>
          </cell>
          <cell r="V4254" t="str">
            <v>Available</v>
          </cell>
        </row>
        <row r="4255">
          <cell r="A4255" t="str">
            <v>105300760027</v>
          </cell>
          <cell r="B4255" t="str">
            <v>Kalyanpur</v>
          </cell>
          <cell r="C4255" t="str">
            <v>Kalyanpur</v>
          </cell>
          <cell r="D4255" t="str">
            <v>GOMUKH Madanpur W-3</v>
          </cell>
          <cell r="E4255">
            <v>10530076</v>
          </cell>
          <cell r="F4255" t="str">
            <v>0027</v>
          </cell>
          <cell r="G4255">
            <v>11</v>
          </cell>
          <cell r="H4255">
            <v>40.519999999999996</v>
          </cell>
          <cell r="I4255">
            <v>1462.0060026000003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P4255">
            <v>1462</v>
          </cell>
          <cell r="V4255" t="str">
            <v>Available</v>
          </cell>
        </row>
        <row r="4256">
          <cell r="A4256" t="str">
            <v>105300760028</v>
          </cell>
          <cell r="B4256" t="str">
            <v>Kalyanpur</v>
          </cell>
          <cell r="C4256" t="str">
            <v>Kalyanpur</v>
          </cell>
          <cell r="D4256" t="str">
            <v>GOMUKH Madanpur W-3</v>
          </cell>
          <cell r="E4256">
            <v>10530076</v>
          </cell>
          <cell r="F4256" t="str">
            <v>0028</v>
          </cell>
          <cell r="G4256">
            <v>8</v>
          </cell>
          <cell r="H4256">
            <v>30.759999999999998</v>
          </cell>
          <cell r="I4256">
            <v>1218.8510881668001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P4256">
            <v>1219</v>
          </cell>
          <cell r="V4256" t="str">
            <v>Available</v>
          </cell>
        </row>
        <row r="4257">
          <cell r="A4257" t="str">
            <v>105300760029</v>
          </cell>
          <cell r="B4257" t="str">
            <v>Kalyanpur</v>
          </cell>
          <cell r="C4257" t="str">
            <v>Kalyanpur</v>
          </cell>
          <cell r="D4257" t="str">
            <v>GOMUKH Madanpur W-3</v>
          </cell>
          <cell r="E4257">
            <v>10530076</v>
          </cell>
          <cell r="F4257" t="str">
            <v>0029</v>
          </cell>
          <cell r="G4257">
            <v>3</v>
          </cell>
          <cell r="H4257">
            <v>5.17</v>
          </cell>
          <cell r="I4257">
            <v>336.55192497045999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P4257">
            <v>337</v>
          </cell>
          <cell r="V4257" t="str">
            <v>Available</v>
          </cell>
        </row>
        <row r="4258">
          <cell r="A4258" t="str">
            <v>105300760030</v>
          </cell>
          <cell r="B4258" t="str">
            <v>Kalyanpur</v>
          </cell>
          <cell r="C4258" t="str">
            <v>Kalyanpur</v>
          </cell>
          <cell r="D4258" t="str">
            <v>GOMUKH Madanpur W-3</v>
          </cell>
          <cell r="E4258">
            <v>10530076</v>
          </cell>
          <cell r="F4258" t="str">
            <v>0030</v>
          </cell>
          <cell r="G4258">
            <v>13</v>
          </cell>
          <cell r="H4258">
            <v>35.25</v>
          </cell>
          <cell r="I4258">
            <v>1762.8207250025102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P4258">
            <v>1763</v>
          </cell>
          <cell r="V4258" t="str">
            <v>Available</v>
          </cell>
        </row>
        <row r="4259">
          <cell r="A4259" t="str">
            <v>105300760031</v>
          </cell>
          <cell r="B4259" t="str">
            <v>Kalyanpur</v>
          </cell>
          <cell r="C4259" t="str">
            <v>Kalyanpur</v>
          </cell>
          <cell r="D4259" t="str">
            <v>GOMUKH Madanpur W-3</v>
          </cell>
          <cell r="E4259">
            <v>10530076</v>
          </cell>
          <cell r="F4259" t="str">
            <v>0031</v>
          </cell>
          <cell r="G4259">
            <v>12</v>
          </cell>
          <cell r="H4259">
            <v>18.79</v>
          </cell>
          <cell r="I4259">
            <v>1040.5192375941401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P4259">
            <v>1041</v>
          </cell>
          <cell r="V4259" t="str">
            <v>Available</v>
          </cell>
        </row>
        <row r="4260">
          <cell r="A4260" t="str">
            <v>105300760032</v>
          </cell>
          <cell r="B4260" t="str">
            <v>Kalyanpur</v>
          </cell>
          <cell r="C4260" t="str">
            <v>Kalyanpur</v>
          </cell>
          <cell r="D4260" t="str">
            <v>GOMUKH Madanpur W-3</v>
          </cell>
          <cell r="E4260">
            <v>10530076</v>
          </cell>
          <cell r="F4260" t="str">
            <v>0032</v>
          </cell>
          <cell r="G4260">
            <v>7</v>
          </cell>
          <cell r="H4260">
            <v>15.620000000000001</v>
          </cell>
          <cell r="I4260">
            <v>1160.7483155625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P4260">
            <v>1161</v>
          </cell>
          <cell r="V4260" t="str">
            <v>Available</v>
          </cell>
        </row>
        <row r="4261">
          <cell r="A4261" t="str">
            <v>105300760033</v>
          </cell>
          <cell r="B4261" t="str">
            <v>Kalyanpur</v>
          </cell>
          <cell r="C4261" t="str">
            <v>Kalyanpur</v>
          </cell>
          <cell r="D4261" t="str">
            <v>GOMUKH Madanpur W-3</v>
          </cell>
          <cell r="E4261">
            <v>10530076</v>
          </cell>
          <cell r="F4261" t="str">
            <v>0033</v>
          </cell>
          <cell r="G4261">
            <v>11</v>
          </cell>
          <cell r="H4261">
            <v>22.189999999999998</v>
          </cell>
          <cell r="I4261">
            <v>1606.2074955661001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P4261">
            <v>1606</v>
          </cell>
          <cell r="V4261" t="str">
            <v>Available</v>
          </cell>
        </row>
        <row r="4262">
          <cell r="A4262" t="str">
            <v>105300760034</v>
          </cell>
          <cell r="B4262" t="str">
            <v>Kalyanpur</v>
          </cell>
          <cell r="C4262" t="str">
            <v>Kalyanpur</v>
          </cell>
          <cell r="D4262" t="str">
            <v>GOMUKH Madanpur W-3</v>
          </cell>
          <cell r="E4262">
            <v>10530076</v>
          </cell>
          <cell r="F4262" t="str">
            <v>0034</v>
          </cell>
          <cell r="G4262">
            <v>7</v>
          </cell>
          <cell r="H4262">
            <v>32.910000000000004</v>
          </cell>
          <cell r="I4262">
            <v>1030.2083844822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P4262">
            <v>1030</v>
          </cell>
          <cell r="V4262" t="str">
            <v>Available</v>
          </cell>
        </row>
        <row r="4263">
          <cell r="A4263" t="str">
            <v>105300760035</v>
          </cell>
          <cell r="B4263" t="str">
            <v>Kalyanpur</v>
          </cell>
          <cell r="C4263" t="str">
            <v>Kalyanpur</v>
          </cell>
          <cell r="D4263" t="str">
            <v>GOMUKH Madanpur W-3</v>
          </cell>
          <cell r="E4263">
            <v>10530076</v>
          </cell>
          <cell r="F4263" t="str">
            <v>0035</v>
          </cell>
          <cell r="G4263">
            <v>2</v>
          </cell>
          <cell r="H4263">
            <v>3.2199999999999998</v>
          </cell>
          <cell r="I4263">
            <v>130.76447693759999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P4263">
            <v>131</v>
          </cell>
          <cell r="V4263" t="str">
            <v>Available</v>
          </cell>
        </row>
        <row r="4264">
          <cell r="A4264" t="str">
            <v>105300760036</v>
          </cell>
          <cell r="B4264" t="str">
            <v>Kalyanpur</v>
          </cell>
          <cell r="C4264" t="str">
            <v>Kalyanpur</v>
          </cell>
          <cell r="D4264" t="str">
            <v>GOMUKH Madanpur W-3</v>
          </cell>
          <cell r="E4264">
            <v>10530076</v>
          </cell>
          <cell r="F4264" t="str">
            <v>0036</v>
          </cell>
          <cell r="G4264">
            <v>8</v>
          </cell>
          <cell r="H4264">
            <v>34</v>
          </cell>
          <cell r="I4264">
            <v>1692.6858030418205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P4264">
            <v>1693</v>
          </cell>
          <cell r="V4264" t="str">
            <v>Available</v>
          </cell>
        </row>
        <row r="4265">
          <cell r="A4265" t="str">
            <v>105300760037</v>
          </cell>
          <cell r="B4265" t="str">
            <v>Kalyanpur</v>
          </cell>
          <cell r="C4265" t="str">
            <v>Kalyanpur</v>
          </cell>
          <cell r="D4265" t="str">
            <v>GOMUKH Madanpur W-3</v>
          </cell>
          <cell r="E4265">
            <v>10530076</v>
          </cell>
          <cell r="F4265" t="str">
            <v>0037</v>
          </cell>
          <cell r="G4265">
            <v>6</v>
          </cell>
          <cell r="H4265">
            <v>15.079999999999998</v>
          </cell>
          <cell r="I4265">
            <v>577.24719703200003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P4265">
            <v>577</v>
          </cell>
          <cell r="V4265" t="str">
            <v>Available</v>
          </cell>
        </row>
        <row r="4266">
          <cell r="A4266" t="str">
            <v>105300760038</v>
          </cell>
          <cell r="B4266" t="str">
            <v>Kalyanpur</v>
          </cell>
          <cell r="C4266" t="str">
            <v>Kalyanpur</v>
          </cell>
          <cell r="D4266" t="str">
            <v>GOMUKH Madanpur W-3</v>
          </cell>
          <cell r="E4266">
            <v>10530076</v>
          </cell>
          <cell r="F4266" t="str">
            <v>0038</v>
          </cell>
          <cell r="G4266">
            <v>13</v>
          </cell>
          <cell r="H4266">
            <v>61.899999999999991</v>
          </cell>
          <cell r="I4266">
            <v>2349.4745303006639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P4266">
            <v>2349</v>
          </cell>
          <cell r="V4266" t="str">
            <v>Available</v>
          </cell>
        </row>
        <row r="4267">
          <cell r="A4267" t="str">
            <v>105300760039</v>
          </cell>
          <cell r="B4267" t="str">
            <v>Kalyanpur</v>
          </cell>
          <cell r="C4267" t="str">
            <v>Kalyanpur</v>
          </cell>
          <cell r="D4267" t="str">
            <v>GOMUKH Madanpur W-3</v>
          </cell>
          <cell r="E4267">
            <v>10530076</v>
          </cell>
          <cell r="F4267" t="str">
            <v>0039</v>
          </cell>
          <cell r="G4267">
            <v>5</v>
          </cell>
          <cell r="H4267">
            <v>7.16</v>
          </cell>
          <cell r="I4267">
            <v>238.87374966180002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P4267">
            <v>239</v>
          </cell>
          <cell r="V4267" t="str">
            <v>Available</v>
          </cell>
        </row>
        <row r="4268">
          <cell r="A4268" t="str">
            <v>105300760040</v>
          </cell>
          <cell r="B4268" t="str">
            <v>Kalyanpur</v>
          </cell>
          <cell r="C4268" t="str">
            <v>Kalyanpur</v>
          </cell>
          <cell r="D4268" t="str">
            <v>GOMUKH Madanpur W-3</v>
          </cell>
          <cell r="E4268">
            <v>10530076</v>
          </cell>
          <cell r="F4268" t="str">
            <v>0040</v>
          </cell>
          <cell r="G4268">
            <v>14</v>
          </cell>
          <cell r="H4268">
            <v>90.22</v>
          </cell>
          <cell r="I4268">
            <v>3820.1485467892167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P4268">
            <v>3820</v>
          </cell>
          <cell r="V4268" t="str">
            <v>Available</v>
          </cell>
        </row>
        <row r="4269">
          <cell r="A4269" t="str">
            <v>105300760043</v>
          </cell>
          <cell r="B4269" t="str">
            <v>Kalyanpur</v>
          </cell>
          <cell r="C4269" t="str">
            <v>Kalyanpur</v>
          </cell>
          <cell r="D4269" t="str">
            <v>GOMUKH Madanpur W-3</v>
          </cell>
          <cell r="E4269">
            <v>10530076</v>
          </cell>
          <cell r="F4269" t="str">
            <v>0043</v>
          </cell>
          <cell r="G4269">
            <v>4</v>
          </cell>
          <cell r="H4269">
            <v>6.49</v>
          </cell>
          <cell r="I4269">
            <v>430.21659518339999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P4269">
            <v>430</v>
          </cell>
          <cell r="V4269" t="str">
            <v>Available</v>
          </cell>
        </row>
        <row r="4270">
          <cell r="A4270" t="str">
            <v>105300760045</v>
          </cell>
          <cell r="B4270" t="str">
            <v>Kalyanpur</v>
          </cell>
          <cell r="C4270" t="str">
            <v>Kalyanpur</v>
          </cell>
          <cell r="D4270" t="str">
            <v>GOMUKH Madanpur W-3</v>
          </cell>
          <cell r="E4270">
            <v>10530076</v>
          </cell>
          <cell r="F4270" t="str">
            <v>0045</v>
          </cell>
          <cell r="G4270">
            <v>9</v>
          </cell>
          <cell r="H4270">
            <v>27.5</v>
          </cell>
          <cell r="I4270">
            <v>1263.4030231079998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P4270">
            <v>1263</v>
          </cell>
          <cell r="V4270" t="str">
            <v>Available</v>
          </cell>
        </row>
        <row r="4271">
          <cell r="A4271" t="str">
            <v>105300760046</v>
          </cell>
          <cell r="B4271" t="str">
            <v>Kalyanpur</v>
          </cell>
          <cell r="C4271" t="str">
            <v>Kalyanpur</v>
          </cell>
          <cell r="D4271" t="str">
            <v>GOMUKH Madanpur W-3</v>
          </cell>
          <cell r="E4271">
            <v>10530076</v>
          </cell>
          <cell r="F4271" t="str">
            <v>0046</v>
          </cell>
          <cell r="G4271">
            <v>14</v>
          </cell>
          <cell r="H4271">
            <v>177.5</v>
          </cell>
          <cell r="I4271">
            <v>9633.0768094090981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P4271">
            <v>9633</v>
          </cell>
          <cell r="V4271" t="str">
            <v>Available</v>
          </cell>
        </row>
        <row r="4272">
          <cell r="A4272" t="str">
            <v>105300760048</v>
          </cell>
          <cell r="B4272" t="str">
            <v>Kalyanpur</v>
          </cell>
          <cell r="C4272" t="str">
            <v>Kalyanpur</v>
          </cell>
          <cell r="D4272" t="str">
            <v>GOMUKH Madanpur W-3</v>
          </cell>
          <cell r="E4272">
            <v>10530076</v>
          </cell>
          <cell r="F4272" t="str">
            <v>0048</v>
          </cell>
          <cell r="G4272">
            <v>3</v>
          </cell>
          <cell r="H4272">
            <v>5.41</v>
          </cell>
          <cell r="I4272">
            <v>180.42479330040004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P4272">
            <v>180</v>
          </cell>
          <cell r="V4272" t="str">
            <v>Available</v>
          </cell>
        </row>
        <row r="4273">
          <cell r="A4273" t="str">
            <v>105300760049</v>
          </cell>
          <cell r="B4273" t="str">
            <v>Kalyanpur</v>
          </cell>
          <cell r="C4273" t="str">
            <v>Kalyanpur</v>
          </cell>
          <cell r="D4273" t="str">
            <v>GOMUKH Madanpur W-3</v>
          </cell>
          <cell r="E4273">
            <v>10530076</v>
          </cell>
          <cell r="F4273" t="str">
            <v>0049</v>
          </cell>
          <cell r="G4273">
            <v>6</v>
          </cell>
          <cell r="H4273">
            <v>10.28</v>
          </cell>
          <cell r="I4273">
            <v>411.42973460458506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P4273">
            <v>411</v>
          </cell>
          <cell r="V4273" t="str">
            <v>Available</v>
          </cell>
        </row>
        <row r="4274">
          <cell r="A4274" t="str">
            <v>105300760052</v>
          </cell>
          <cell r="B4274" t="str">
            <v>Kalyanpur</v>
          </cell>
          <cell r="C4274" t="str">
            <v>Kalyanpur</v>
          </cell>
          <cell r="D4274" t="str">
            <v>GOMUKH Madanpur W-3</v>
          </cell>
          <cell r="E4274">
            <v>10530076</v>
          </cell>
          <cell r="F4274" t="str">
            <v>0052</v>
          </cell>
          <cell r="G4274">
            <v>7</v>
          </cell>
          <cell r="H4274">
            <v>30.95</v>
          </cell>
          <cell r="I4274">
            <v>2163.4672195409998</v>
          </cell>
          <cell r="J4274">
            <v>0</v>
          </cell>
          <cell r="K4274">
            <v>0</v>
          </cell>
          <cell r="L4274">
            <v>0</v>
          </cell>
          <cell r="M4274">
            <v>0</v>
          </cell>
          <cell r="P4274">
            <v>2163</v>
          </cell>
          <cell r="V4274" t="str">
            <v>Available</v>
          </cell>
        </row>
        <row r="4275">
          <cell r="A4275" t="str">
            <v>105300760053</v>
          </cell>
          <cell r="B4275" t="str">
            <v>Kalyanpur</v>
          </cell>
          <cell r="C4275" t="str">
            <v>Kalyanpur</v>
          </cell>
          <cell r="D4275" t="str">
            <v>GOMUKH Madanpur W-3</v>
          </cell>
          <cell r="E4275">
            <v>10530076</v>
          </cell>
          <cell r="F4275" t="str">
            <v>0053</v>
          </cell>
          <cell r="G4275">
            <v>14</v>
          </cell>
          <cell r="H4275">
            <v>19.419999999999998</v>
          </cell>
          <cell r="I4275">
            <v>1258.6739987813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P4275">
            <v>1259</v>
          </cell>
          <cell r="V4275" t="str">
            <v>Available</v>
          </cell>
        </row>
        <row r="4276">
          <cell r="A4276" t="str">
            <v>105300760054</v>
          </cell>
          <cell r="B4276" t="str">
            <v>Kalyanpur</v>
          </cell>
          <cell r="C4276" t="str">
            <v>Kalyanpur</v>
          </cell>
          <cell r="D4276" t="str">
            <v>GOMUKH Madanpur W-3</v>
          </cell>
          <cell r="E4276">
            <v>10530076</v>
          </cell>
          <cell r="F4276" t="str">
            <v>0054</v>
          </cell>
          <cell r="G4276">
            <v>8</v>
          </cell>
          <cell r="H4276">
            <v>16.029999999999998</v>
          </cell>
          <cell r="I4276">
            <v>904.03944668991005</v>
          </cell>
          <cell r="J4276">
            <v>0</v>
          </cell>
          <cell r="K4276">
            <v>0</v>
          </cell>
          <cell r="L4276">
            <v>0</v>
          </cell>
          <cell r="M4276">
            <v>0</v>
          </cell>
          <cell r="P4276">
            <v>904</v>
          </cell>
          <cell r="V4276" t="str">
            <v>Available</v>
          </cell>
        </row>
        <row r="4277">
          <cell r="A4277" t="str">
            <v>105300760055</v>
          </cell>
          <cell r="B4277" t="str">
            <v>Kalyanpur</v>
          </cell>
          <cell r="C4277" t="str">
            <v>Kalyanpur</v>
          </cell>
          <cell r="D4277" t="str">
            <v>GOMUKH Madanpur W-3</v>
          </cell>
          <cell r="E4277">
            <v>10530076</v>
          </cell>
          <cell r="F4277" t="str">
            <v>0055</v>
          </cell>
          <cell r="G4277">
            <v>6</v>
          </cell>
          <cell r="H4277">
            <v>24.07</v>
          </cell>
          <cell r="I4277">
            <v>777.39543979020016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P4277">
            <v>777</v>
          </cell>
          <cell r="V4277" t="str">
            <v>Available</v>
          </cell>
        </row>
        <row r="4278">
          <cell r="A4278" t="str">
            <v>105300760056</v>
          </cell>
          <cell r="B4278" t="str">
            <v>Kalyanpur</v>
          </cell>
          <cell r="C4278" t="str">
            <v>Kalyanpur</v>
          </cell>
          <cell r="D4278" t="str">
            <v>GOMUKH Madanpur W-3</v>
          </cell>
          <cell r="E4278">
            <v>10530076</v>
          </cell>
          <cell r="F4278" t="str">
            <v>0056</v>
          </cell>
          <cell r="G4278">
            <v>14</v>
          </cell>
          <cell r="H4278">
            <v>59.769999999999996</v>
          </cell>
          <cell r="I4278">
            <v>2224.5292635588003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P4278">
            <v>2225</v>
          </cell>
          <cell r="V4278" t="str">
            <v>Available</v>
          </cell>
        </row>
        <row r="4279">
          <cell r="A4279" t="str">
            <v>105300760057</v>
          </cell>
          <cell r="B4279" t="str">
            <v>Kalyanpur</v>
          </cell>
          <cell r="C4279" t="str">
            <v>Kalyanpur</v>
          </cell>
          <cell r="D4279" t="str">
            <v>GOMUKH Madanpur W-3</v>
          </cell>
          <cell r="E4279">
            <v>10530076</v>
          </cell>
          <cell r="F4279" t="str">
            <v>0057</v>
          </cell>
          <cell r="G4279">
            <v>7</v>
          </cell>
          <cell r="H4279">
            <v>20.78</v>
          </cell>
          <cell r="I4279">
            <v>1133.129173939948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P4279">
            <v>1133</v>
          </cell>
          <cell r="V4279" t="str">
            <v>Available</v>
          </cell>
        </row>
        <row r="4280">
          <cell r="A4280" t="str">
            <v>105300760060</v>
          </cell>
          <cell r="B4280" t="str">
            <v>Kalyanpur</v>
          </cell>
          <cell r="C4280" t="str">
            <v>Kalyanpur</v>
          </cell>
          <cell r="D4280" t="str">
            <v>GOMUKH Madanpur W-3</v>
          </cell>
          <cell r="E4280">
            <v>10530076</v>
          </cell>
          <cell r="F4280" t="str">
            <v>0060</v>
          </cell>
          <cell r="G4280">
            <v>7</v>
          </cell>
          <cell r="H4280">
            <v>23.86</v>
          </cell>
          <cell r="I4280">
            <v>937.86478514142004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  <cell r="P4280">
            <v>938</v>
          </cell>
          <cell r="V4280" t="str">
            <v>Available</v>
          </cell>
        </row>
        <row r="4281">
          <cell r="A4281" t="str">
            <v>105300760061</v>
          </cell>
          <cell r="B4281" t="str">
            <v>Kalyanpur</v>
          </cell>
          <cell r="C4281" t="str">
            <v>Kalyanpur</v>
          </cell>
          <cell r="D4281" t="str">
            <v>GOMUKH Madanpur W-3</v>
          </cell>
          <cell r="E4281">
            <v>10530076</v>
          </cell>
          <cell r="F4281" t="str">
            <v>0061</v>
          </cell>
          <cell r="G4281">
            <v>4</v>
          </cell>
          <cell r="H4281">
            <v>4.01</v>
          </cell>
          <cell r="I4281">
            <v>253.01250503365003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P4281">
            <v>253</v>
          </cell>
          <cell r="V4281" t="str">
            <v>Available</v>
          </cell>
        </row>
        <row r="4282">
          <cell r="A4282" t="str">
            <v>105300760063</v>
          </cell>
          <cell r="B4282" t="str">
            <v>Kalyanpur</v>
          </cell>
          <cell r="C4282" t="str">
            <v>Kalyanpur</v>
          </cell>
          <cell r="D4282" t="str">
            <v>GOMUKH Madanpur W-3</v>
          </cell>
          <cell r="E4282">
            <v>10530076</v>
          </cell>
          <cell r="F4282" t="str">
            <v>0063</v>
          </cell>
          <cell r="G4282">
            <v>13</v>
          </cell>
          <cell r="H4282">
            <v>56.44</v>
          </cell>
          <cell r="I4282">
            <v>2003.9985607752005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P4282">
            <v>2004</v>
          </cell>
          <cell r="V4282" t="str">
            <v>Available</v>
          </cell>
        </row>
        <row r="4283">
          <cell r="A4283" t="str">
            <v>105300760064</v>
          </cell>
          <cell r="B4283" t="str">
            <v>Kalyanpur</v>
          </cell>
          <cell r="C4283" t="str">
            <v>Kalyanpur</v>
          </cell>
          <cell r="D4283" t="str">
            <v>GOMUKH Madanpur W-3</v>
          </cell>
          <cell r="E4283">
            <v>10530076</v>
          </cell>
          <cell r="F4283" t="str">
            <v>0064</v>
          </cell>
          <cell r="G4283">
            <v>7</v>
          </cell>
          <cell r="H4283">
            <v>13.66</v>
          </cell>
          <cell r="I4283">
            <v>549.9097504560001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P4283">
            <v>550</v>
          </cell>
          <cell r="V4283" t="str">
            <v>Available</v>
          </cell>
        </row>
        <row r="4284">
          <cell r="A4284" t="str">
            <v>105300760066</v>
          </cell>
          <cell r="B4284" t="str">
            <v>Kalyanpur</v>
          </cell>
          <cell r="C4284" t="str">
            <v>Kalyanpur</v>
          </cell>
          <cell r="D4284" t="str">
            <v>GOMUKH Madanpur W-3</v>
          </cell>
          <cell r="E4284">
            <v>10530076</v>
          </cell>
          <cell r="F4284" t="str">
            <v>0066</v>
          </cell>
          <cell r="G4284">
            <v>14</v>
          </cell>
          <cell r="H4284">
            <v>146.35</v>
          </cell>
          <cell r="I4284">
            <v>5527.3264853400005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P4284">
            <v>5527</v>
          </cell>
          <cell r="V4284" t="str">
            <v>Available</v>
          </cell>
        </row>
        <row r="4285">
          <cell r="A4285" t="str">
            <v>105300760068</v>
          </cell>
          <cell r="B4285" t="str">
            <v>Kalyanpur</v>
          </cell>
          <cell r="C4285" t="str">
            <v>Kalyanpur</v>
          </cell>
          <cell r="D4285" t="str">
            <v>GOMUKH Madanpur W-3</v>
          </cell>
          <cell r="E4285">
            <v>10530076</v>
          </cell>
          <cell r="F4285" t="str">
            <v>0068</v>
          </cell>
          <cell r="G4285">
            <v>7</v>
          </cell>
          <cell r="H4285">
            <v>15.52</v>
          </cell>
          <cell r="I4285">
            <v>1064.7117711794999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P4285">
            <v>1065</v>
          </cell>
          <cell r="V4285" t="str">
            <v>Available</v>
          </cell>
        </row>
        <row r="4286">
          <cell r="A4286" t="str">
            <v>105300760069</v>
          </cell>
          <cell r="B4286" t="str">
            <v>Kalyanpur</v>
          </cell>
          <cell r="C4286" t="str">
            <v>Kalyanpur</v>
          </cell>
          <cell r="D4286" t="str">
            <v>GOMUKH Madanpur W-3</v>
          </cell>
          <cell r="E4286">
            <v>10530076</v>
          </cell>
          <cell r="F4286" t="str">
            <v>0069</v>
          </cell>
          <cell r="G4286">
            <v>6</v>
          </cell>
          <cell r="H4286">
            <v>12.1</v>
          </cell>
          <cell r="I4286">
            <v>887.61318533180008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P4286">
            <v>888</v>
          </cell>
          <cell r="V4286" t="str">
            <v>Available</v>
          </cell>
        </row>
        <row r="4287">
          <cell r="A4287" t="str">
            <v>105300760070</v>
          </cell>
          <cell r="B4287" t="str">
            <v>Kalyanpur</v>
          </cell>
          <cell r="C4287" t="str">
            <v>Kalyanpur</v>
          </cell>
          <cell r="D4287" t="str">
            <v>GOMUKH Madanpur W-3</v>
          </cell>
          <cell r="E4287">
            <v>10530076</v>
          </cell>
          <cell r="F4287" t="str">
            <v>0070</v>
          </cell>
          <cell r="G4287">
            <v>12</v>
          </cell>
          <cell r="H4287">
            <v>24.799999999999997</v>
          </cell>
          <cell r="I4287">
            <v>874.94561528220015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P4287">
            <v>875</v>
          </cell>
          <cell r="V4287" t="str">
            <v>Available</v>
          </cell>
        </row>
        <row r="4288">
          <cell r="A4288" t="str">
            <v>105300760071</v>
          </cell>
          <cell r="B4288" t="str">
            <v>Kalyanpur</v>
          </cell>
          <cell r="C4288" t="str">
            <v>Kalyanpur</v>
          </cell>
          <cell r="D4288" t="str">
            <v>GOMUKH Madanpur W-3</v>
          </cell>
          <cell r="E4288">
            <v>10530076</v>
          </cell>
          <cell r="F4288" t="str">
            <v>0071</v>
          </cell>
          <cell r="G4288">
            <v>2</v>
          </cell>
          <cell r="H4288">
            <v>2.98</v>
          </cell>
          <cell r="I4288">
            <v>104.74798356000001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P4288">
            <v>105</v>
          </cell>
          <cell r="V4288" t="str">
            <v>Available</v>
          </cell>
        </row>
        <row r="4289">
          <cell r="A4289" t="str">
            <v>105300760072</v>
          </cell>
          <cell r="B4289" t="str">
            <v>Kalyanpur</v>
          </cell>
          <cell r="C4289" t="str">
            <v>Kalyanpur</v>
          </cell>
          <cell r="D4289" t="str">
            <v>GOMUKH Madanpur W-3</v>
          </cell>
          <cell r="E4289">
            <v>10530076</v>
          </cell>
          <cell r="F4289" t="str">
            <v>0072</v>
          </cell>
          <cell r="G4289">
            <v>11</v>
          </cell>
          <cell r="H4289">
            <v>27.06</v>
          </cell>
          <cell r="I4289">
            <v>910.76013705599996</v>
          </cell>
          <cell r="J4289">
            <v>0</v>
          </cell>
          <cell r="K4289">
            <v>0</v>
          </cell>
          <cell r="L4289">
            <v>0</v>
          </cell>
          <cell r="M4289">
            <v>0</v>
          </cell>
          <cell r="P4289">
            <v>911</v>
          </cell>
          <cell r="V4289" t="str">
            <v>Available</v>
          </cell>
        </row>
        <row r="4290">
          <cell r="A4290" t="str">
            <v>105300760073</v>
          </cell>
          <cell r="B4290" t="str">
            <v>Kalyanpur</v>
          </cell>
          <cell r="C4290" t="str">
            <v>Kalyanpur</v>
          </cell>
          <cell r="D4290" t="str">
            <v>GOMUKH Madanpur W-3</v>
          </cell>
          <cell r="E4290">
            <v>10530076</v>
          </cell>
          <cell r="F4290" t="str">
            <v>0073</v>
          </cell>
          <cell r="G4290">
            <v>8</v>
          </cell>
          <cell r="H4290">
            <v>13.8</v>
          </cell>
          <cell r="I4290">
            <v>786.31557460409999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P4290">
            <v>786</v>
          </cell>
          <cell r="V4290" t="str">
            <v>Available</v>
          </cell>
        </row>
        <row r="4291">
          <cell r="A4291" t="str">
            <v>105300780001</v>
          </cell>
          <cell r="B4291" t="str">
            <v>Kalyanpur</v>
          </cell>
          <cell r="C4291" t="str">
            <v>Kalyanpur</v>
          </cell>
          <cell r="D4291" t="str">
            <v>GOMUKH Kalaunjar</v>
          </cell>
          <cell r="E4291">
            <v>10530078</v>
          </cell>
          <cell r="F4291" t="str">
            <v>0001</v>
          </cell>
          <cell r="G4291">
            <v>13</v>
          </cell>
          <cell r="H4291">
            <v>22.520000000000003</v>
          </cell>
          <cell r="I4291">
            <v>957.54215353120003</v>
          </cell>
          <cell r="J4291">
            <v>0</v>
          </cell>
          <cell r="K4291">
            <v>957.54215353120003</v>
          </cell>
          <cell r="L4291">
            <v>0</v>
          </cell>
          <cell r="M4291">
            <v>0</v>
          </cell>
          <cell r="P4291">
            <v>0</v>
          </cell>
          <cell r="V4291" t="str">
            <v>Not Available</v>
          </cell>
        </row>
        <row r="4292">
          <cell r="A4292" t="str">
            <v>105300780002</v>
          </cell>
          <cell r="B4292" t="str">
            <v>Kalyanpur</v>
          </cell>
          <cell r="C4292" t="str">
            <v>Kalyanpur</v>
          </cell>
          <cell r="D4292" t="str">
            <v>GOMUKH Kalaunjar</v>
          </cell>
          <cell r="E4292">
            <v>10530078</v>
          </cell>
          <cell r="F4292" t="str">
            <v>0002</v>
          </cell>
          <cell r="G4292">
            <v>11</v>
          </cell>
          <cell r="H4292">
            <v>145.08000000000001</v>
          </cell>
          <cell r="I4292">
            <v>6286.6786030412004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P4292">
            <v>6287</v>
          </cell>
          <cell r="V4292" t="str">
            <v>Available</v>
          </cell>
        </row>
        <row r="4293">
          <cell r="A4293" t="str">
            <v>105300780003</v>
          </cell>
          <cell r="B4293" t="str">
            <v>Kalyanpur</v>
          </cell>
          <cell r="C4293" t="str">
            <v>Kalyanpur</v>
          </cell>
          <cell r="D4293" t="str">
            <v>GOMUKH Kalaunjar</v>
          </cell>
          <cell r="E4293">
            <v>10530078</v>
          </cell>
          <cell r="F4293" t="str">
            <v>0003</v>
          </cell>
          <cell r="G4293">
            <v>2</v>
          </cell>
          <cell r="H4293">
            <v>8.11</v>
          </cell>
          <cell r="I4293">
            <v>309.52518894000008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P4293">
            <v>310</v>
          </cell>
          <cell r="V4293" t="str">
            <v>Available</v>
          </cell>
        </row>
        <row r="4294">
          <cell r="A4294" t="str">
            <v>105300780004</v>
          </cell>
          <cell r="B4294" t="str">
            <v>Kalyanpur</v>
          </cell>
          <cell r="C4294" t="str">
            <v>Kalyanpur</v>
          </cell>
          <cell r="D4294" t="str">
            <v>GOMUKH Kalaunjar</v>
          </cell>
          <cell r="E4294">
            <v>10530078</v>
          </cell>
          <cell r="F4294" t="str">
            <v>0004</v>
          </cell>
          <cell r="G4294">
            <v>3</v>
          </cell>
          <cell r="H4294">
            <v>18.970000000000002</v>
          </cell>
          <cell r="I4294">
            <v>697.90396414200006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P4294">
            <v>698</v>
          </cell>
          <cell r="V4294" t="str">
            <v>Available</v>
          </cell>
        </row>
        <row r="4295">
          <cell r="A4295" t="str">
            <v>105300780006</v>
          </cell>
          <cell r="B4295" t="str">
            <v>Kalyanpur</v>
          </cell>
          <cell r="C4295" t="str">
            <v>Kalyanpur</v>
          </cell>
          <cell r="D4295" t="str">
            <v>GOMUKH Kalaunjar</v>
          </cell>
          <cell r="E4295">
            <v>10530078</v>
          </cell>
          <cell r="F4295" t="str">
            <v>0006</v>
          </cell>
          <cell r="G4295">
            <v>9</v>
          </cell>
          <cell r="H4295">
            <v>57.489999999999995</v>
          </cell>
          <cell r="I4295">
            <v>2024.4601337399999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P4295">
            <v>2024</v>
          </cell>
          <cell r="V4295" t="str">
            <v>Available</v>
          </cell>
        </row>
        <row r="4296">
          <cell r="A4296" t="str">
            <v>105300780007</v>
          </cell>
          <cell r="B4296" t="str">
            <v>Kalyanpur</v>
          </cell>
          <cell r="C4296" t="str">
            <v>Kalyanpur</v>
          </cell>
          <cell r="D4296" t="str">
            <v>GOMUKH Kalaunjar</v>
          </cell>
          <cell r="E4296">
            <v>10530078</v>
          </cell>
          <cell r="F4296" t="str">
            <v>0007</v>
          </cell>
          <cell r="G4296">
            <v>7</v>
          </cell>
          <cell r="H4296">
            <v>18.159999999999997</v>
          </cell>
          <cell r="I4296">
            <v>609.80199742440004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P4296">
            <v>610</v>
          </cell>
          <cell r="V4296" t="str">
            <v>Available</v>
          </cell>
        </row>
        <row r="4297">
          <cell r="A4297" t="str">
            <v>105300780012</v>
          </cell>
          <cell r="B4297" t="str">
            <v>Kalyanpur</v>
          </cell>
          <cell r="C4297" t="str">
            <v>Kalyanpur</v>
          </cell>
          <cell r="D4297" t="str">
            <v>GOMUKH Kalaunjar</v>
          </cell>
          <cell r="E4297">
            <v>10530078</v>
          </cell>
          <cell r="F4297" t="str">
            <v>0012</v>
          </cell>
          <cell r="G4297">
            <v>12</v>
          </cell>
          <cell r="H4297">
            <v>64.92</v>
          </cell>
          <cell r="I4297">
            <v>2404.6219826442002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P4297">
            <v>2405</v>
          </cell>
          <cell r="V4297" t="str">
            <v>Available</v>
          </cell>
        </row>
        <row r="4298">
          <cell r="A4298" t="str">
            <v>105300780022</v>
          </cell>
          <cell r="B4298" t="str">
            <v>Kalyanpur</v>
          </cell>
          <cell r="C4298" t="str">
            <v>Kalyanpur</v>
          </cell>
          <cell r="D4298" t="str">
            <v>GOMUKH Kalaunjar</v>
          </cell>
          <cell r="E4298">
            <v>10530078</v>
          </cell>
          <cell r="F4298" t="str">
            <v>0022</v>
          </cell>
          <cell r="G4298">
            <v>4</v>
          </cell>
          <cell r="H4298">
            <v>8.57</v>
          </cell>
          <cell r="I4298">
            <v>305.5228304634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P4298">
            <v>306</v>
          </cell>
          <cell r="V4298" t="str">
            <v>Available</v>
          </cell>
        </row>
        <row r="4299">
          <cell r="A4299" t="str">
            <v>105300780024</v>
          </cell>
          <cell r="B4299" t="str">
            <v>Kalyanpur</v>
          </cell>
          <cell r="C4299" t="str">
            <v>Kalyanpur</v>
          </cell>
          <cell r="D4299" t="str">
            <v>GOMUKH Kalaunjar</v>
          </cell>
          <cell r="E4299">
            <v>10530078</v>
          </cell>
          <cell r="F4299" t="str">
            <v>0024</v>
          </cell>
          <cell r="G4299">
            <v>12</v>
          </cell>
          <cell r="H4299">
            <v>116.84999999999998</v>
          </cell>
          <cell r="I4299">
            <v>6185.9290697721899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P4299">
            <v>6186</v>
          </cell>
          <cell r="V4299" t="str">
            <v>Available</v>
          </cell>
        </row>
        <row r="4300">
          <cell r="A4300" t="str">
            <v>105300780027</v>
          </cell>
          <cell r="B4300" t="str">
            <v>Kalyanpur</v>
          </cell>
          <cell r="C4300" t="str">
            <v>Kalyanpur</v>
          </cell>
          <cell r="D4300" t="str">
            <v>GOMUKH Kalaunjar</v>
          </cell>
          <cell r="E4300">
            <v>10530078</v>
          </cell>
          <cell r="F4300" t="str">
            <v>0027</v>
          </cell>
          <cell r="G4300">
            <v>7</v>
          </cell>
          <cell r="H4300">
            <v>21.01</v>
          </cell>
          <cell r="I4300">
            <v>804.67123611600005</v>
          </cell>
          <cell r="J4300">
            <v>0</v>
          </cell>
          <cell r="K4300">
            <v>0</v>
          </cell>
          <cell r="L4300">
            <v>0</v>
          </cell>
          <cell r="M4300">
            <v>0</v>
          </cell>
          <cell r="P4300">
            <v>805</v>
          </cell>
          <cell r="V4300" t="str">
            <v>Available</v>
          </cell>
        </row>
        <row r="4301">
          <cell r="A4301" t="str">
            <v>105300780030</v>
          </cell>
          <cell r="B4301" t="str">
            <v>Kalyanpur</v>
          </cell>
          <cell r="C4301" t="str">
            <v>Kalyanpur</v>
          </cell>
          <cell r="D4301" t="str">
            <v>GOMUKH Kalaunjar</v>
          </cell>
          <cell r="E4301">
            <v>10530078</v>
          </cell>
          <cell r="F4301" t="str">
            <v>0030</v>
          </cell>
          <cell r="G4301">
            <v>5</v>
          </cell>
          <cell r="H4301">
            <v>11.46</v>
          </cell>
          <cell r="I4301">
            <v>474.61340836800008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P4301">
            <v>475</v>
          </cell>
          <cell r="V4301" t="str">
            <v>Available</v>
          </cell>
        </row>
        <row r="4302">
          <cell r="A4302" t="str">
            <v>105300810001</v>
          </cell>
          <cell r="B4302" t="str">
            <v>Kalyanpur</v>
          </cell>
          <cell r="C4302" t="str">
            <v>Kalyanpur</v>
          </cell>
          <cell r="D4302" t="str">
            <v>GOMUKH DADHIYA-2</v>
          </cell>
          <cell r="E4302">
            <v>10530081</v>
          </cell>
          <cell r="F4302" t="str">
            <v>0001</v>
          </cell>
          <cell r="G4302">
            <v>14</v>
          </cell>
          <cell r="H4302">
            <v>22.810000000000002</v>
          </cell>
          <cell r="I4302">
            <v>991.55841933149998</v>
          </cell>
          <cell r="J4302">
            <v>0</v>
          </cell>
          <cell r="K4302">
            <v>991.55841933149998</v>
          </cell>
          <cell r="L4302">
            <v>0</v>
          </cell>
          <cell r="M4302">
            <v>0</v>
          </cell>
          <cell r="P4302">
            <v>0</v>
          </cell>
          <cell r="V4302" t="str">
            <v>Not Available</v>
          </cell>
        </row>
        <row r="4303">
          <cell r="A4303" t="str">
            <v>105300810002</v>
          </cell>
          <cell r="B4303" t="str">
            <v>Kalyanpur</v>
          </cell>
          <cell r="C4303" t="str">
            <v>Kalyanpur</v>
          </cell>
          <cell r="D4303" t="str">
            <v>GOMUKH DADHIYA-2</v>
          </cell>
          <cell r="E4303">
            <v>10530081</v>
          </cell>
          <cell r="F4303" t="str">
            <v>0002</v>
          </cell>
          <cell r="G4303">
            <v>14</v>
          </cell>
          <cell r="H4303">
            <v>77.989999999999995</v>
          </cell>
          <cell r="I4303">
            <v>3250.4268939382409</v>
          </cell>
          <cell r="J4303">
            <v>0</v>
          </cell>
          <cell r="K4303">
            <v>0</v>
          </cell>
          <cell r="L4303">
            <v>0</v>
          </cell>
          <cell r="M4303">
            <v>0</v>
          </cell>
          <cell r="P4303">
            <v>3250</v>
          </cell>
          <cell r="V4303" t="str">
            <v>Available</v>
          </cell>
        </row>
        <row r="4304">
          <cell r="A4304" t="str">
            <v>105300810003</v>
          </cell>
          <cell r="B4304" t="str">
            <v>Kalyanpur</v>
          </cell>
          <cell r="C4304" t="str">
            <v>Kalyanpur</v>
          </cell>
          <cell r="D4304" t="str">
            <v>GOMUKH DADHIYA-2</v>
          </cell>
          <cell r="E4304">
            <v>10530081</v>
          </cell>
          <cell r="F4304" t="str">
            <v>0003</v>
          </cell>
          <cell r="G4304">
            <v>4</v>
          </cell>
          <cell r="H4304">
            <v>7.1799999999999988</v>
          </cell>
          <cell r="I4304">
            <v>282.42832917539698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P4304">
            <v>282</v>
          </cell>
          <cell r="V4304" t="str">
            <v>Available</v>
          </cell>
        </row>
        <row r="4305">
          <cell r="A4305" t="str">
            <v>105300810005</v>
          </cell>
          <cell r="B4305" t="str">
            <v>Kalyanpur</v>
          </cell>
          <cell r="C4305" t="str">
            <v>Kalyanpur</v>
          </cell>
          <cell r="D4305" t="str">
            <v>GOMUKH DADHIYA-2</v>
          </cell>
          <cell r="E4305">
            <v>10530081</v>
          </cell>
          <cell r="F4305" t="str">
            <v>0005</v>
          </cell>
          <cell r="G4305">
            <v>14</v>
          </cell>
          <cell r="H4305">
            <v>80.849999999999994</v>
          </cell>
          <cell r="I4305">
            <v>4245.9229454350798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P4305">
            <v>4246</v>
          </cell>
          <cell r="V4305" t="str">
            <v>Available</v>
          </cell>
        </row>
        <row r="4306">
          <cell r="A4306" t="str">
            <v>105300810006</v>
          </cell>
          <cell r="B4306" t="str">
            <v>Kalyanpur</v>
          </cell>
          <cell r="C4306" t="str">
            <v>Kalyanpur</v>
          </cell>
          <cell r="D4306" t="str">
            <v>GOMUKH DADHIYA-2</v>
          </cell>
          <cell r="E4306">
            <v>10530081</v>
          </cell>
          <cell r="F4306" t="str">
            <v>0006</v>
          </cell>
          <cell r="G4306">
            <v>1</v>
          </cell>
          <cell r="H4306">
            <v>1.71</v>
          </cell>
          <cell r="I4306">
            <v>69.171720546662996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P4306">
            <v>69</v>
          </cell>
          <cell r="V4306" t="str">
            <v>Available</v>
          </cell>
        </row>
        <row r="4307">
          <cell r="A4307" t="str">
            <v>105300810007</v>
          </cell>
          <cell r="B4307" t="str">
            <v>Kalyanpur</v>
          </cell>
          <cell r="C4307" t="str">
            <v>Kalyanpur</v>
          </cell>
          <cell r="D4307" t="str">
            <v>GOMUKH DADHIYA-2</v>
          </cell>
          <cell r="E4307">
            <v>10530081</v>
          </cell>
          <cell r="F4307" t="str">
            <v>0007</v>
          </cell>
          <cell r="G4307">
            <v>14</v>
          </cell>
          <cell r="H4307">
            <v>36.379999999999995</v>
          </cell>
          <cell r="I4307">
            <v>1305.9488966040001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P4307">
            <v>1306</v>
          </cell>
          <cell r="V4307" t="str">
            <v>Available</v>
          </cell>
        </row>
        <row r="4308">
          <cell r="A4308" t="str">
            <v>105300810008</v>
          </cell>
          <cell r="B4308" t="str">
            <v>Kalyanpur</v>
          </cell>
          <cell r="C4308" t="str">
            <v>Kalyanpur</v>
          </cell>
          <cell r="D4308" t="str">
            <v>GOMUKH DADHIYA-2</v>
          </cell>
          <cell r="E4308">
            <v>10530081</v>
          </cell>
          <cell r="F4308" t="str">
            <v>0008</v>
          </cell>
          <cell r="G4308">
            <v>11</v>
          </cell>
          <cell r="H4308">
            <v>25.43</v>
          </cell>
          <cell r="I4308">
            <v>1017.1065054744001</v>
          </cell>
          <cell r="J4308">
            <v>0</v>
          </cell>
          <cell r="K4308">
            <v>0</v>
          </cell>
          <cell r="L4308">
            <v>0</v>
          </cell>
          <cell r="M4308">
            <v>0</v>
          </cell>
          <cell r="P4308">
            <v>1017</v>
          </cell>
          <cell r="V4308" t="str">
            <v>Available</v>
          </cell>
        </row>
        <row r="4309">
          <cell r="A4309" t="str">
            <v>105300810009</v>
          </cell>
          <cell r="B4309" t="str">
            <v>Kalyanpur</v>
          </cell>
          <cell r="C4309" t="str">
            <v>Kalyanpur</v>
          </cell>
          <cell r="D4309" t="str">
            <v>GOMUKH DADHIYA-2</v>
          </cell>
          <cell r="E4309">
            <v>10530081</v>
          </cell>
          <cell r="F4309" t="str">
            <v>0009</v>
          </cell>
          <cell r="G4309">
            <v>14</v>
          </cell>
          <cell r="H4309">
            <v>47</v>
          </cell>
          <cell r="I4309">
            <v>2593.1371709997907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P4309">
            <v>2593</v>
          </cell>
          <cell r="V4309" t="str">
            <v>Available</v>
          </cell>
        </row>
        <row r="4310">
          <cell r="A4310" t="str">
            <v>105300810010</v>
          </cell>
          <cell r="B4310" t="str">
            <v>Kalyanpur</v>
          </cell>
          <cell r="C4310" t="str">
            <v>Kalyanpur</v>
          </cell>
          <cell r="D4310" t="str">
            <v>GOMUKH DADHIYA-2</v>
          </cell>
          <cell r="E4310">
            <v>10530081</v>
          </cell>
          <cell r="F4310" t="str">
            <v>0010</v>
          </cell>
          <cell r="G4310">
            <v>14</v>
          </cell>
          <cell r="H4310">
            <v>40.46</v>
          </cell>
          <cell r="I4310">
            <v>1925.2782586903002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P4310">
            <v>1925</v>
          </cell>
          <cell r="V4310" t="str">
            <v>Available</v>
          </cell>
        </row>
        <row r="4311">
          <cell r="A4311" t="str">
            <v>105300810011</v>
          </cell>
          <cell r="B4311" t="str">
            <v>Kalyanpur</v>
          </cell>
          <cell r="C4311" t="str">
            <v>Kalyanpur</v>
          </cell>
          <cell r="D4311" t="str">
            <v>GOMUKH DADHIYA-2</v>
          </cell>
          <cell r="E4311">
            <v>10530081</v>
          </cell>
          <cell r="F4311" t="str">
            <v>0011</v>
          </cell>
          <cell r="G4311">
            <v>2</v>
          </cell>
          <cell r="H4311">
            <v>4.7699999999999996</v>
          </cell>
          <cell r="I4311">
            <v>355.29271740579998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P4311">
            <v>355</v>
          </cell>
          <cell r="V4311" t="str">
            <v>Available</v>
          </cell>
        </row>
        <row r="4312">
          <cell r="A4312" t="str">
            <v>105300810014</v>
          </cell>
          <cell r="B4312" t="str">
            <v>Kalyanpur</v>
          </cell>
          <cell r="C4312" t="str">
            <v>Kalyanpur</v>
          </cell>
          <cell r="D4312" t="str">
            <v>GOMUKH DADHIYA-2</v>
          </cell>
          <cell r="E4312">
            <v>10530081</v>
          </cell>
          <cell r="F4312" t="str">
            <v>0014</v>
          </cell>
          <cell r="G4312">
            <v>14</v>
          </cell>
          <cell r="H4312">
            <v>29.740000000000006</v>
          </cell>
          <cell r="I4312">
            <v>1553.9969228821603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P4312">
            <v>1554</v>
          </cell>
          <cell r="V4312" t="str">
            <v>Available</v>
          </cell>
        </row>
        <row r="4313">
          <cell r="A4313" t="str">
            <v>105300810015</v>
          </cell>
          <cell r="B4313" t="str">
            <v>Kalyanpur</v>
          </cell>
          <cell r="C4313" t="str">
            <v>Kalyanpur</v>
          </cell>
          <cell r="D4313" t="str">
            <v>GOMUKH DADHIYA-2</v>
          </cell>
          <cell r="E4313">
            <v>10530081</v>
          </cell>
          <cell r="F4313" t="str">
            <v>0015</v>
          </cell>
          <cell r="G4313">
            <v>6</v>
          </cell>
          <cell r="H4313">
            <v>41.42</v>
          </cell>
          <cell r="I4313">
            <v>1564.0246935720002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P4313">
            <v>1564</v>
          </cell>
          <cell r="V4313" t="str">
            <v>Available</v>
          </cell>
        </row>
        <row r="4314">
          <cell r="A4314" t="str">
            <v>105300810016</v>
          </cell>
          <cell r="B4314" t="str">
            <v>Kalyanpur</v>
          </cell>
          <cell r="C4314" t="str">
            <v>Kalyanpur</v>
          </cell>
          <cell r="D4314" t="str">
            <v>GOMUKH DADHIYA-2</v>
          </cell>
          <cell r="E4314">
            <v>10530081</v>
          </cell>
          <cell r="F4314" t="str">
            <v>0016</v>
          </cell>
          <cell r="G4314">
            <v>12</v>
          </cell>
          <cell r="H4314">
            <v>19.239999999999998</v>
          </cell>
          <cell r="I4314">
            <v>794.29710967200026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P4314">
            <v>794</v>
          </cell>
          <cell r="V4314" t="str">
            <v>Available</v>
          </cell>
        </row>
        <row r="4315">
          <cell r="A4315" t="str">
            <v>105300810017</v>
          </cell>
          <cell r="B4315" t="str">
            <v>Kalyanpur</v>
          </cell>
          <cell r="C4315" t="str">
            <v>Kalyanpur</v>
          </cell>
          <cell r="D4315" t="str">
            <v>GOMUKH DADHIYA-2</v>
          </cell>
          <cell r="E4315">
            <v>10530081</v>
          </cell>
          <cell r="F4315" t="str">
            <v>0017</v>
          </cell>
          <cell r="G4315">
            <v>14</v>
          </cell>
          <cell r="H4315">
            <v>47.01</v>
          </cell>
          <cell r="I4315">
            <v>3324.3229701637006</v>
          </cell>
          <cell r="J4315">
            <v>0</v>
          </cell>
          <cell r="K4315">
            <v>0</v>
          </cell>
          <cell r="L4315">
            <v>0</v>
          </cell>
          <cell r="M4315">
            <v>0</v>
          </cell>
          <cell r="P4315">
            <v>3324</v>
          </cell>
          <cell r="V4315" t="str">
            <v>Available</v>
          </cell>
        </row>
        <row r="4316">
          <cell r="A4316" t="str">
            <v>105300810018</v>
          </cell>
          <cell r="B4316" t="str">
            <v>Kalyanpur</v>
          </cell>
          <cell r="C4316" t="str">
            <v>Kalyanpur</v>
          </cell>
          <cell r="D4316" t="str">
            <v>GOMUKH DADHIYA-2</v>
          </cell>
          <cell r="E4316">
            <v>10530081</v>
          </cell>
          <cell r="F4316" t="str">
            <v>0018</v>
          </cell>
          <cell r="G4316">
            <v>14</v>
          </cell>
          <cell r="H4316">
            <v>41.95000000000001</v>
          </cell>
          <cell r="I4316">
            <v>1674.514410624</v>
          </cell>
          <cell r="J4316">
            <v>0</v>
          </cell>
          <cell r="K4316">
            <v>0</v>
          </cell>
          <cell r="L4316">
            <v>0</v>
          </cell>
          <cell r="M4316">
            <v>0</v>
          </cell>
          <cell r="P4316">
            <v>1675</v>
          </cell>
          <cell r="V4316" t="str">
            <v>Available</v>
          </cell>
        </row>
        <row r="4317">
          <cell r="A4317" t="str">
            <v>105300810021</v>
          </cell>
          <cell r="B4317" t="str">
            <v>Kalyanpur</v>
          </cell>
          <cell r="C4317" t="str">
            <v>Kalyanpur</v>
          </cell>
          <cell r="D4317" t="str">
            <v>GOMUKH DADHIYA-2</v>
          </cell>
          <cell r="E4317">
            <v>10530081</v>
          </cell>
          <cell r="F4317" t="str">
            <v>0021</v>
          </cell>
          <cell r="G4317">
            <v>14</v>
          </cell>
          <cell r="H4317">
            <v>20</v>
          </cell>
          <cell r="I4317">
            <v>1254.9311695005101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P4317">
            <v>1255</v>
          </cell>
          <cell r="V4317" t="str">
            <v>Available</v>
          </cell>
        </row>
        <row r="4318">
          <cell r="A4318" t="str">
            <v>105300810023</v>
          </cell>
          <cell r="B4318" t="str">
            <v>Kalyanpur</v>
          </cell>
          <cell r="C4318" t="str">
            <v>Kalyanpur</v>
          </cell>
          <cell r="D4318" t="str">
            <v>GOMUKH DADHIYA-2</v>
          </cell>
          <cell r="E4318">
            <v>10530081</v>
          </cell>
          <cell r="F4318" t="str">
            <v>0023</v>
          </cell>
          <cell r="G4318">
            <v>8</v>
          </cell>
          <cell r="H4318">
            <v>13.49</v>
          </cell>
          <cell r="I4318">
            <v>806.38224001752405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P4318">
            <v>806</v>
          </cell>
          <cell r="V4318" t="str">
            <v>Available</v>
          </cell>
        </row>
        <row r="4319">
          <cell r="A4319" t="str">
            <v>105300810024</v>
          </cell>
          <cell r="B4319" t="str">
            <v>Kalyanpur</v>
          </cell>
          <cell r="C4319" t="str">
            <v>Kalyanpur</v>
          </cell>
          <cell r="D4319" t="str">
            <v>GOMUKH DADHIYA-2</v>
          </cell>
          <cell r="E4319">
            <v>10530081</v>
          </cell>
          <cell r="F4319" t="str">
            <v>0024</v>
          </cell>
          <cell r="G4319">
            <v>14</v>
          </cell>
          <cell r="H4319">
            <v>39.39</v>
          </cell>
          <cell r="I4319">
            <v>1575.8956173708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P4319">
            <v>1576</v>
          </cell>
          <cell r="V4319" t="str">
            <v>Available</v>
          </cell>
        </row>
        <row r="4320">
          <cell r="A4320" t="str">
            <v>105300810028</v>
          </cell>
          <cell r="B4320" t="str">
            <v>Kalyanpur</v>
          </cell>
          <cell r="C4320" t="str">
            <v>Kalyanpur</v>
          </cell>
          <cell r="D4320" t="str">
            <v>GOMUKH DADHIYA-2</v>
          </cell>
          <cell r="E4320">
            <v>10530081</v>
          </cell>
          <cell r="F4320" t="str">
            <v>0028</v>
          </cell>
          <cell r="G4320">
            <v>14</v>
          </cell>
          <cell r="H4320">
            <v>48.23</v>
          </cell>
          <cell r="I4320">
            <v>1745.2010167020005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P4320">
            <v>1745</v>
          </cell>
          <cell r="V4320" t="str">
            <v>Available</v>
          </cell>
        </row>
        <row r="4321">
          <cell r="A4321" t="str">
            <v>105300810030</v>
          </cell>
          <cell r="B4321" t="str">
            <v>Kalyanpur</v>
          </cell>
          <cell r="C4321" t="str">
            <v>Kalyanpur</v>
          </cell>
          <cell r="D4321" t="str">
            <v>GOMUKH DADHIYA-2</v>
          </cell>
          <cell r="E4321">
            <v>10530081</v>
          </cell>
          <cell r="F4321" t="str">
            <v>0030</v>
          </cell>
          <cell r="G4321">
            <v>7</v>
          </cell>
          <cell r="H4321">
            <v>23.77</v>
          </cell>
          <cell r="I4321">
            <v>1541.42568792662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P4321">
            <v>1541</v>
          </cell>
          <cell r="V4321" t="str">
            <v>Available</v>
          </cell>
        </row>
        <row r="4322">
          <cell r="A4322" t="str">
            <v>105300810031</v>
          </cell>
          <cell r="B4322" t="str">
            <v>Kalyanpur</v>
          </cell>
          <cell r="C4322" t="str">
            <v>Kalyanpur</v>
          </cell>
          <cell r="D4322" t="str">
            <v>GOMUKH DADHIYA-2</v>
          </cell>
          <cell r="E4322">
            <v>10530081</v>
          </cell>
          <cell r="F4322" t="str">
            <v>0031</v>
          </cell>
          <cell r="G4322">
            <v>14</v>
          </cell>
          <cell r="H4322">
            <v>140.02000000000001</v>
          </cell>
          <cell r="I4322">
            <v>5168.1507142320006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P4322">
            <v>5168</v>
          </cell>
          <cell r="V4322" t="str">
            <v>Available</v>
          </cell>
        </row>
        <row r="4323">
          <cell r="A4323" t="str">
            <v>105300810033</v>
          </cell>
          <cell r="B4323" t="str">
            <v>Kalyanpur</v>
          </cell>
          <cell r="C4323" t="str">
            <v>Kalyanpur</v>
          </cell>
          <cell r="D4323" t="str">
            <v>GOMUKH DADHIYA-2</v>
          </cell>
          <cell r="E4323">
            <v>10530081</v>
          </cell>
          <cell r="F4323" t="str">
            <v>0033</v>
          </cell>
          <cell r="G4323">
            <v>7</v>
          </cell>
          <cell r="H4323">
            <v>31.66</v>
          </cell>
          <cell r="I4323">
            <v>1118.0900388042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P4323">
            <v>1118</v>
          </cell>
          <cell r="V4323" t="str">
            <v>Available</v>
          </cell>
        </row>
        <row r="4324">
          <cell r="A4324" t="str">
            <v>105300810034</v>
          </cell>
          <cell r="B4324" t="str">
            <v>Kalyanpur</v>
          </cell>
          <cell r="C4324" t="str">
            <v>Kalyanpur</v>
          </cell>
          <cell r="D4324" t="str">
            <v>GOMUKH DADHIYA-2</v>
          </cell>
          <cell r="E4324">
            <v>10530081</v>
          </cell>
          <cell r="F4324" t="str">
            <v>0034</v>
          </cell>
          <cell r="G4324">
            <v>13</v>
          </cell>
          <cell r="H4324">
            <v>57.469999999999992</v>
          </cell>
          <cell r="I4324">
            <v>2173.9480181496001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P4324">
            <v>2174</v>
          </cell>
          <cell r="V4324" t="str">
            <v>Available</v>
          </cell>
        </row>
        <row r="4325">
          <cell r="A4325" t="str">
            <v>105300810035</v>
          </cell>
          <cell r="B4325" t="str">
            <v>Kalyanpur</v>
          </cell>
          <cell r="C4325" t="str">
            <v>Kalyanpur</v>
          </cell>
          <cell r="D4325" t="str">
            <v>GOMUKH DADHIYA-2</v>
          </cell>
          <cell r="E4325">
            <v>10530081</v>
          </cell>
          <cell r="F4325" t="str">
            <v>0035</v>
          </cell>
          <cell r="G4325">
            <v>14</v>
          </cell>
          <cell r="H4325">
            <v>66.929999999999993</v>
          </cell>
          <cell r="I4325">
            <v>2469.9024512316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P4325">
            <v>2470</v>
          </cell>
          <cell r="V4325" t="str">
            <v>Available</v>
          </cell>
        </row>
        <row r="4326">
          <cell r="A4326" t="str">
            <v>105300810036</v>
          </cell>
          <cell r="B4326" t="str">
            <v>Kalyanpur</v>
          </cell>
          <cell r="C4326" t="str">
            <v>Kalyanpur</v>
          </cell>
          <cell r="D4326" t="str">
            <v>GOMUKH DADHIYA-2</v>
          </cell>
          <cell r="E4326">
            <v>10530081</v>
          </cell>
          <cell r="F4326" t="str">
            <v>0036</v>
          </cell>
          <cell r="G4326">
            <v>14</v>
          </cell>
          <cell r="H4326">
            <v>145.43000000000004</v>
          </cell>
          <cell r="I4326">
            <v>6683.3671439565005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P4326">
            <v>6683</v>
          </cell>
          <cell r="V4326" t="str">
            <v>Available</v>
          </cell>
        </row>
        <row r="4327">
          <cell r="A4327" t="str">
            <v>105300810037</v>
          </cell>
          <cell r="B4327" t="str">
            <v>Kalyanpur</v>
          </cell>
          <cell r="C4327" t="str">
            <v>Kalyanpur</v>
          </cell>
          <cell r="D4327" t="str">
            <v>GOMUKH DADHIYA-2</v>
          </cell>
          <cell r="E4327">
            <v>10530081</v>
          </cell>
          <cell r="F4327" t="str">
            <v>0037</v>
          </cell>
          <cell r="G4327">
            <v>14</v>
          </cell>
          <cell r="H4327">
            <v>29.509999999999994</v>
          </cell>
          <cell r="I4327">
            <v>1975.0769704059001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P4327">
            <v>1975</v>
          </cell>
          <cell r="V4327" t="str">
            <v>Available</v>
          </cell>
        </row>
        <row r="4328">
          <cell r="A4328" t="str">
            <v>105300810038</v>
          </cell>
          <cell r="B4328" t="str">
            <v>Kalyanpur</v>
          </cell>
          <cell r="C4328" t="str">
            <v>Kalyanpur</v>
          </cell>
          <cell r="D4328" t="str">
            <v>GOMUKH DADHIYA-2</v>
          </cell>
          <cell r="E4328">
            <v>10530081</v>
          </cell>
          <cell r="F4328" t="str">
            <v>0038</v>
          </cell>
          <cell r="G4328">
            <v>12</v>
          </cell>
          <cell r="H4328">
            <v>75.44</v>
          </cell>
          <cell r="I4328">
            <v>2729.7654451650005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P4328">
            <v>2730</v>
          </cell>
          <cell r="V4328" t="str">
            <v>Available</v>
          </cell>
        </row>
        <row r="4329">
          <cell r="A4329" t="str">
            <v>105300810039</v>
          </cell>
          <cell r="B4329" t="str">
            <v>Kalyanpur</v>
          </cell>
          <cell r="C4329" t="str">
            <v>Kalyanpur</v>
          </cell>
          <cell r="D4329" t="str">
            <v>GOMUKH DADHIYA-2</v>
          </cell>
          <cell r="E4329">
            <v>10530081</v>
          </cell>
          <cell r="F4329" t="str">
            <v>0039</v>
          </cell>
          <cell r="G4329">
            <v>14</v>
          </cell>
          <cell r="H4329">
            <v>117.08999999999999</v>
          </cell>
          <cell r="I4329">
            <v>4030.4155790844002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P4329">
            <v>4030</v>
          </cell>
          <cell r="V4329" t="str">
            <v>Available</v>
          </cell>
        </row>
        <row r="4330">
          <cell r="A4330" t="str">
            <v>105300810040</v>
          </cell>
          <cell r="B4330" t="str">
            <v>Kalyanpur</v>
          </cell>
          <cell r="C4330" t="str">
            <v>Kalyanpur</v>
          </cell>
          <cell r="D4330" t="str">
            <v>GOMUKH DADHIYA-2</v>
          </cell>
          <cell r="E4330">
            <v>10530081</v>
          </cell>
          <cell r="F4330" t="str">
            <v>0040</v>
          </cell>
          <cell r="G4330">
            <v>14</v>
          </cell>
          <cell r="H4330">
            <v>25.439999999999994</v>
          </cell>
          <cell r="I4330">
            <v>1705.98995159432</v>
          </cell>
          <cell r="J4330">
            <v>0</v>
          </cell>
          <cell r="K4330">
            <v>0</v>
          </cell>
          <cell r="L4330">
            <v>0</v>
          </cell>
          <cell r="M4330">
            <v>0</v>
          </cell>
          <cell r="P4330">
            <v>1706</v>
          </cell>
          <cell r="V4330" t="str">
            <v>Available</v>
          </cell>
        </row>
        <row r="4331">
          <cell r="A4331" t="str">
            <v>105300810041</v>
          </cell>
          <cell r="B4331" t="str">
            <v>Kalyanpur</v>
          </cell>
          <cell r="C4331" t="str">
            <v>Kalyanpur</v>
          </cell>
          <cell r="D4331" t="str">
            <v>GOMUKH DADHIYA-2</v>
          </cell>
          <cell r="E4331">
            <v>10530081</v>
          </cell>
          <cell r="F4331" t="str">
            <v>0041</v>
          </cell>
          <cell r="G4331">
            <v>13</v>
          </cell>
          <cell r="H4331">
            <v>36.599999999999994</v>
          </cell>
          <cell r="I4331">
            <v>1281.9064789080001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P4331">
            <v>1282</v>
          </cell>
          <cell r="V4331" t="str">
            <v>Available</v>
          </cell>
        </row>
        <row r="4332">
          <cell r="A4332" t="str">
            <v>105300810042</v>
          </cell>
          <cell r="B4332" t="str">
            <v>Kalyanpur</v>
          </cell>
          <cell r="C4332" t="str">
            <v>Kalyanpur</v>
          </cell>
          <cell r="D4332" t="str">
            <v>GOMUKH DADHIYA-2</v>
          </cell>
          <cell r="E4332">
            <v>10530081</v>
          </cell>
          <cell r="F4332" t="str">
            <v>0042</v>
          </cell>
          <cell r="G4332">
            <v>4</v>
          </cell>
          <cell r="H4332">
            <v>3.38</v>
          </cell>
          <cell r="I4332">
            <v>154.89682534040003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P4332">
            <v>155</v>
          </cell>
          <cell r="V4332" t="str">
            <v>Available</v>
          </cell>
        </row>
        <row r="4333">
          <cell r="A4333" t="str">
            <v>105300810043</v>
          </cell>
          <cell r="B4333" t="str">
            <v>Kalyanpur</v>
          </cell>
          <cell r="C4333" t="str">
            <v>Kalyanpur</v>
          </cell>
          <cell r="D4333" t="str">
            <v>GOMUKH DADHIYA-2</v>
          </cell>
          <cell r="E4333">
            <v>10530081</v>
          </cell>
          <cell r="F4333" t="str">
            <v>0043</v>
          </cell>
          <cell r="G4333">
            <v>10</v>
          </cell>
          <cell r="H4333">
            <v>25.78</v>
          </cell>
          <cell r="I4333">
            <v>1754.0228001807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P4333">
            <v>1754</v>
          </cell>
          <cell r="V4333" t="str">
            <v>Available</v>
          </cell>
        </row>
        <row r="4334">
          <cell r="A4334" t="str">
            <v>105300810044</v>
          </cell>
          <cell r="B4334" t="str">
            <v>Kalyanpur</v>
          </cell>
          <cell r="C4334" t="str">
            <v>Kalyanpur</v>
          </cell>
          <cell r="D4334" t="str">
            <v>GOMUKH DADHIYA-2</v>
          </cell>
          <cell r="E4334">
            <v>10530081</v>
          </cell>
          <cell r="F4334" t="str">
            <v>0044</v>
          </cell>
          <cell r="G4334">
            <v>1</v>
          </cell>
          <cell r="H4334">
            <v>3.04</v>
          </cell>
          <cell r="I4334">
            <v>236.21486094560001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P4334">
            <v>236</v>
          </cell>
          <cell r="V4334" t="str">
            <v>Available</v>
          </cell>
        </row>
        <row r="4335">
          <cell r="A4335" t="str">
            <v>105300810045</v>
          </cell>
          <cell r="B4335" t="str">
            <v>Kalyanpur</v>
          </cell>
          <cell r="C4335" t="str">
            <v>Kalyanpur</v>
          </cell>
          <cell r="D4335" t="str">
            <v>GOMUKH DADHIYA-2</v>
          </cell>
          <cell r="E4335">
            <v>10530081</v>
          </cell>
          <cell r="F4335" t="str">
            <v>0045</v>
          </cell>
          <cell r="G4335">
            <v>12</v>
          </cell>
          <cell r="H4335">
            <v>44.15</v>
          </cell>
          <cell r="I4335">
            <v>1573.0758448812003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P4335">
            <v>1573</v>
          </cell>
          <cell r="V4335" t="str">
            <v>Available</v>
          </cell>
        </row>
        <row r="4336">
          <cell r="A4336" t="str">
            <v>105300810046</v>
          </cell>
          <cell r="B4336" t="str">
            <v>Kalyanpur</v>
          </cell>
          <cell r="C4336" t="str">
            <v>Kalyanpur</v>
          </cell>
          <cell r="D4336" t="str">
            <v>GOMUKH DADHIYA-2</v>
          </cell>
          <cell r="E4336">
            <v>10530081</v>
          </cell>
          <cell r="F4336" t="str">
            <v>0046</v>
          </cell>
          <cell r="G4336">
            <v>1</v>
          </cell>
          <cell r="H4336">
            <v>2.4300000000000002</v>
          </cell>
          <cell r="I4336">
            <v>98.796806460000013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P4336">
            <v>99</v>
          </cell>
          <cell r="V4336" t="str">
            <v>Available</v>
          </cell>
        </row>
        <row r="4337">
          <cell r="A4337" t="str">
            <v>105300810047</v>
          </cell>
          <cell r="B4337" t="str">
            <v>Kalyanpur</v>
          </cell>
          <cell r="C4337" t="str">
            <v>Kalyanpur</v>
          </cell>
          <cell r="D4337" t="str">
            <v>GOMUKH DADHIYA-2</v>
          </cell>
          <cell r="E4337">
            <v>10530081</v>
          </cell>
          <cell r="F4337" t="str">
            <v>0047</v>
          </cell>
          <cell r="G4337">
            <v>10</v>
          </cell>
          <cell r="H4337">
            <v>27.13</v>
          </cell>
          <cell r="I4337">
            <v>1293.29507854749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P4337">
            <v>1293</v>
          </cell>
          <cell r="V4337" t="str">
            <v>Available</v>
          </cell>
        </row>
        <row r="4338">
          <cell r="A4338" t="str">
            <v>105300810048</v>
          </cell>
          <cell r="B4338" t="str">
            <v>Kalyanpur</v>
          </cell>
          <cell r="C4338" t="str">
            <v>Kalyanpur</v>
          </cell>
          <cell r="D4338" t="str">
            <v>GOMUKH DADHIYA-2</v>
          </cell>
          <cell r="E4338">
            <v>10530081</v>
          </cell>
          <cell r="F4338" t="str">
            <v>0048</v>
          </cell>
          <cell r="G4338">
            <v>13</v>
          </cell>
          <cell r="H4338">
            <v>20.149999999999999</v>
          </cell>
          <cell r="I4338">
            <v>783.50243795999995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P4338">
            <v>784</v>
          </cell>
          <cell r="V4338" t="str">
            <v>Available</v>
          </cell>
        </row>
        <row r="4339">
          <cell r="A4339" t="str">
            <v>105300810049</v>
          </cell>
          <cell r="B4339" t="str">
            <v>Kalyanpur</v>
          </cell>
          <cell r="C4339" t="str">
            <v>Kalyanpur</v>
          </cell>
          <cell r="D4339" t="str">
            <v>GOMUKH DADHIYA-2</v>
          </cell>
          <cell r="E4339">
            <v>10530081</v>
          </cell>
          <cell r="F4339" t="str">
            <v>0049</v>
          </cell>
          <cell r="G4339">
            <v>14</v>
          </cell>
          <cell r="H4339">
            <v>39.179999999999993</v>
          </cell>
          <cell r="I4339">
            <v>1468.5896838096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P4339">
            <v>1469</v>
          </cell>
          <cell r="V4339" t="str">
            <v>Available</v>
          </cell>
        </row>
        <row r="4340">
          <cell r="A4340" t="str">
            <v>105300820001</v>
          </cell>
          <cell r="B4340" t="str">
            <v>Kalyanpur</v>
          </cell>
          <cell r="C4340" t="str">
            <v>Kalyanpur</v>
          </cell>
          <cell r="D4340" t="str">
            <v>GOMUKH PREMNAGAR</v>
          </cell>
          <cell r="E4340">
            <v>10530082</v>
          </cell>
          <cell r="F4340" t="str">
            <v>0001</v>
          </cell>
          <cell r="G4340">
            <v>12</v>
          </cell>
          <cell r="H4340">
            <v>20.959999999999997</v>
          </cell>
          <cell r="I4340">
            <v>810.73237845600011</v>
          </cell>
          <cell r="J4340">
            <v>0</v>
          </cell>
          <cell r="K4340">
            <v>810.73237845600011</v>
          </cell>
          <cell r="L4340">
            <v>0</v>
          </cell>
          <cell r="M4340">
            <v>0</v>
          </cell>
          <cell r="P4340">
            <v>0</v>
          </cell>
          <cell r="V4340" t="str">
            <v>Not Available</v>
          </cell>
        </row>
        <row r="4341">
          <cell r="A4341" t="str">
            <v>105300820002</v>
          </cell>
          <cell r="B4341" t="str">
            <v>Kalyanpur</v>
          </cell>
          <cell r="C4341" t="str">
            <v>Kalyanpur</v>
          </cell>
          <cell r="D4341" t="str">
            <v>GOMUKH PREMNAGAR</v>
          </cell>
          <cell r="E4341">
            <v>10530082</v>
          </cell>
          <cell r="F4341" t="str">
            <v>0002</v>
          </cell>
          <cell r="G4341">
            <v>2</v>
          </cell>
          <cell r="H4341">
            <v>3.59</v>
          </cell>
          <cell r="I4341">
            <v>128.80019988000001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P4341">
            <v>129</v>
          </cell>
          <cell r="V4341" t="str">
            <v>Available</v>
          </cell>
        </row>
        <row r="4342">
          <cell r="A4342" t="str">
            <v>105300820003</v>
          </cell>
          <cell r="B4342" t="str">
            <v>Kalyanpur</v>
          </cell>
          <cell r="C4342" t="str">
            <v>Kalyanpur</v>
          </cell>
          <cell r="D4342" t="str">
            <v>GOMUKH PREMNAGAR</v>
          </cell>
          <cell r="E4342">
            <v>10530082</v>
          </cell>
          <cell r="F4342" t="str">
            <v>0003</v>
          </cell>
          <cell r="G4342">
            <v>4</v>
          </cell>
          <cell r="H4342">
            <v>4.47</v>
          </cell>
          <cell r="I4342">
            <v>209.22143568040002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P4342">
            <v>209</v>
          </cell>
          <cell r="V4342" t="str">
            <v>Available</v>
          </cell>
        </row>
        <row r="4343">
          <cell r="A4343" t="str">
            <v>105300820004</v>
          </cell>
          <cell r="B4343" t="str">
            <v>Kalyanpur</v>
          </cell>
          <cell r="C4343" t="str">
            <v>Kalyanpur</v>
          </cell>
          <cell r="D4343" t="str">
            <v>GOMUKH PREMNAGAR</v>
          </cell>
          <cell r="E4343">
            <v>10530082</v>
          </cell>
          <cell r="F4343" t="str">
            <v>0004</v>
          </cell>
          <cell r="G4343">
            <v>14</v>
          </cell>
          <cell r="H4343">
            <v>55.309999999999995</v>
          </cell>
          <cell r="I4343">
            <v>2291.4764745431767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P4343">
            <v>2291</v>
          </cell>
          <cell r="V4343" t="str">
            <v>Available</v>
          </cell>
        </row>
        <row r="4344">
          <cell r="A4344" t="str">
            <v>105300820007</v>
          </cell>
          <cell r="B4344" t="str">
            <v>Kalyanpur</v>
          </cell>
          <cell r="C4344" t="str">
            <v>Kalyanpur</v>
          </cell>
          <cell r="D4344" t="str">
            <v>GOMUKH PREMNAGAR</v>
          </cell>
          <cell r="E4344">
            <v>10530082</v>
          </cell>
          <cell r="F4344" t="str">
            <v>0007</v>
          </cell>
          <cell r="G4344">
            <v>12</v>
          </cell>
          <cell r="H4344">
            <v>20.190000000000001</v>
          </cell>
          <cell r="I4344">
            <v>707.56932272400002</v>
          </cell>
          <cell r="J4344">
            <v>0</v>
          </cell>
          <cell r="K4344">
            <v>0</v>
          </cell>
          <cell r="L4344">
            <v>0</v>
          </cell>
          <cell r="M4344">
            <v>708</v>
          </cell>
          <cell r="P4344">
            <v>0</v>
          </cell>
          <cell r="V4344" t="str">
            <v>Available</v>
          </cell>
        </row>
        <row r="4345">
          <cell r="A4345" t="str">
            <v>105300820009</v>
          </cell>
          <cell r="B4345" t="str">
            <v>Kalyanpur</v>
          </cell>
          <cell r="C4345" t="str">
            <v>Kalyanpur</v>
          </cell>
          <cell r="D4345" t="str">
            <v>GOMUKH PREMNAGAR</v>
          </cell>
          <cell r="E4345">
            <v>10530082</v>
          </cell>
          <cell r="F4345" t="str">
            <v>0009</v>
          </cell>
          <cell r="G4345">
            <v>10</v>
          </cell>
          <cell r="H4345">
            <v>22.85</v>
          </cell>
          <cell r="I4345">
            <v>856.81575826140011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P4345">
            <v>857</v>
          </cell>
          <cell r="V4345" t="str">
            <v>Available</v>
          </cell>
        </row>
        <row r="4346">
          <cell r="A4346" t="str">
            <v>105300820011</v>
          </cell>
          <cell r="B4346" t="str">
            <v>Kalyanpur</v>
          </cell>
          <cell r="C4346" t="str">
            <v>Kalyanpur</v>
          </cell>
          <cell r="D4346" t="str">
            <v>GOMUKH PREMNAGAR</v>
          </cell>
          <cell r="E4346">
            <v>10530082</v>
          </cell>
          <cell r="F4346" t="str">
            <v>0011</v>
          </cell>
          <cell r="G4346">
            <v>14</v>
          </cell>
          <cell r="H4346">
            <v>36.76</v>
          </cell>
          <cell r="I4346">
            <v>1413.2886550200001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P4346">
            <v>1413</v>
          </cell>
          <cell r="V4346" t="str">
            <v>Available</v>
          </cell>
        </row>
        <row r="4347">
          <cell r="A4347" t="str">
            <v>105300820014</v>
          </cell>
          <cell r="B4347" t="str">
            <v>Kalyanpur</v>
          </cell>
          <cell r="C4347" t="str">
            <v>Kalyanpur</v>
          </cell>
          <cell r="D4347" t="str">
            <v>GOMUKH PREMNAGAR</v>
          </cell>
          <cell r="E4347">
            <v>10530082</v>
          </cell>
          <cell r="F4347" t="str">
            <v>0014</v>
          </cell>
          <cell r="G4347">
            <v>13</v>
          </cell>
          <cell r="H4347">
            <v>25.58</v>
          </cell>
          <cell r="I4347">
            <v>1026.9016934220001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P4347">
            <v>1027</v>
          </cell>
          <cell r="V4347" t="str">
            <v>Available</v>
          </cell>
        </row>
        <row r="4348">
          <cell r="A4348" t="str">
            <v>105300820015</v>
          </cell>
          <cell r="B4348" t="str">
            <v>Kalyanpur</v>
          </cell>
          <cell r="C4348" t="str">
            <v>Kalyanpur</v>
          </cell>
          <cell r="D4348" t="str">
            <v>GOMUKH PREMNAGAR</v>
          </cell>
          <cell r="E4348">
            <v>10530082</v>
          </cell>
          <cell r="F4348" t="str">
            <v>0015</v>
          </cell>
          <cell r="G4348">
            <v>14</v>
          </cell>
          <cell r="H4348">
            <v>125.53999999999998</v>
          </cell>
          <cell r="I4348">
            <v>4938.4637390880016</v>
          </cell>
          <cell r="J4348">
            <v>0</v>
          </cell>
          <cell r="K4348">
            <v>0</v>
          </cell>
          <cell r="L4348">
            <v>0</v>
          </cell>
          <cell r="M4348">
            <v>4500</v>
          </cell>
          <cell r="P4348">
            <v>438</v>
          </cell>
          <cell r="V4348" t="str">
            <v>Available</v>
          </cell>
        </row>
        <row r="4349">
          <cell r="A4349" t="str">
            <v>105300820018</v>
          </cell>
          <cell r="B4349" t="str">
            <v>Kalyanpur</v>
          </cell>
          <cell r="C4349" t="str">
            <v>Kalyanpur</v>
          </cell>
          <cell r="D4349" t="str">
            <v>GOMUKH PREMNAGAR</v>
          </cell>
          <cell r="E4349">
            <v>10530082</v>
          </cell>
          <cell r="F4349" t="str">
            <v>0018</v>
          </cell>
          <cell r="G4349">
            <v>14</v>
          </cell>
          <cell r="H4349">
            <v>61.540000000000006</v>
          </cell>
          <cell r="I4349">
            <v>2536.1131027320007</v>
          </cell>
          <cell r="J4349">
            <v>0</v>
          </cell>
          <cell r="K4349">
            <v>0</v>
          </cell>
          <cell r="L4349">
            <v>0</v>
          </cell>
          <cell r="M4349">
            <v>2536</v>
          </cell>
          <cell r="P4349">
            <v>0</v>
          </cell>
          <cell r="V4349" t="str">
            <v>Available</v>
          </cell>
        </row>
        <row r="4350">
          <cell r="A4350" t="str">
            <v>105300820020</v>
          </cell>
          <cell r="B4350" t="str">
            <v>Kalyanpur</v>
          </cell>
          <cell r="C4350" t="str">
            <v>Kalyanpur</v>
          </cell>
          <cell r="D4350" t="str">
            <v>GOMUKH PREMNAGAR</v>
          </cell>
          <cell r="E4350">
            <v>10530082</v>
          </cell>
          <cell r="F4350" t="str">
            <v>0020</v>
          </cell>
          <cell r="G4350">
            <v>13</v>
          </cell>
          <cell r="H4350">
            <v>54.02</v>
          </cell>
          <cell r="I4350">
            <v>2099.9069441064003</v>
          </cell>
          <cell r="J4350">
            <v>0</v>
          </cell>
          <cell r="K4350">
            <v>0</v>
          </cell>
          <cell r="L4350">
            <v>0</v>
          </cell>
          <cell r="M4350">
            <v>2100</v>
          </cell>
          <cell r="P4350">
            <v>0</v>
          </cell>
          <cell r="V4350" t="str">
            <v>Available</v>
          </cell>
        </row>
        <row r="4351">
          <cell r="A4351" t="str">
            <v>105300820023</v>
          </cell>
          <cell r="B4351" t="str">
            <v>Kalyanpur</v>
          </cell>
          <cell r="C4351" t="str">
            <v>Kalyanpur</v>
          </cell>
          <cell r="D4351" t="str">
            <v>GOMUKH PREMNAGAR</v>
          </cell>
          <cell r="E4351">
            <v>10530082</v>
          </cell>
          <cell r="F4351" t="str">
            <v>0023</v>
          </cell>
          <cell r="G4351">
            <v>3</v>
          </cell>
          <cell r="H4351">
            <v>6.9700000000000006</v>
          </cell>
          <cell r="I4351">
            <v>254.56554327600003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P4351">
            <v>255</v>
          </cell>
          <cell r="V4351" t="str">
            <v>Available</v>
          </cell>
        </row>
        <row r="4352">
          <cell r="A4352" t="str">
            <v>105300820024</v>
          </cell>
          <cell r="B4352" t="str">
            <v>Kalyanpur</v>
          </cell>
          <cell r="C4352" t="str">
            <v>Kalyanpur</v>
          </cell>
          <cell r="D4352" t="str">
            <v>GOMUKH PREMNAGAR</v>
          </cell>
          <cell r="E4352">
            <v>10530082</v>
          </cell>
          <cell r="F4352" t="str">
            <v>0024</v>
          </cell>
          <cell r="G4352">
            <v>7</v>
          </cell>
          <cell r="H4352">
            <v>22.160000000000004</v>
          </cell>
          <cell r="I4352">
            <v>899.60381727973618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P4352">
            <v>900</v>
          </cell>
          <cell r="V4352" t="str">
            <v>Available</v>
          </cell>
        </row>
        <row r="4353">
          <cell r="A4353" t="str">
            <v>105300820025</v>
          </cell>
          <cell r="B4353" t="str">
            <v>Kalyanpur</v>
          </cell>
          <cell r="C4353" t="str">
            <v>Kalyanpur</v>
          </cell>
          <cell r="D4353" t="str">
            <v>GOMUKH PREMNAGAR</v>
          </cell>
          <cell r="E4353">
            <v>10530082</v>
          </cell>
          <cell r="F4353" t="str">
            <v>0025</v>
          </cell>
          <cell r="G4353">
            <v>7</v>
          </cell>
          <cell r="H4353">
            <v>17.79</v>
          </cell>
          <cell r="I4353">
            <v>777.14630294400013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P4353">
            <v>777</v>
          </cell>
          <cell r="V4353" t="str">
            <v>Available</v>
          </cell>
        </row>
        <row r="4354">
          <cell r="A4354" t="str">
            <v>105300820028</v>
          </cell>
          <cell r="B4354" t="str">
            <v>Kalyanpur</v>
          </cell>
          <cell r="C4354" t="str">
            <v>Kalyanpur</v>
          </cell>
          <cell r="D4354" t="str">
            <v>GOMUKH PREMNAGAR</v>
          </cell>
          <cell r="E4354">
            <v>10530082</v>
          </cell>
          <cell r="F4354" t="str">
            <v>0028</v>
          </cell>
          <cell r="G4354">
            <v>13</v>
          </cell>
          <cell r="H4354">
            <v>17.559999999999999</v>
          </cell>
          <cell r="I4354">
            <v>611.20937712780005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P4354">
            <v>611</v>
          </cell>
          <cell r="V4354" t="str">
            <v>Available</v>
          </cell>
        </row>
        <row r="4355">
          <cell r="A4355" t="str">
            <v>105300820029</v>
          </cell>
          <cell r="B4355" t="str">
            <v>Kalyanpur</v>
          </cell>
          <cell r="C4355" t="str">
            <v>Kalyanpur</v>
          </cell>
          <cell r="D4355" t="str">
            <v>GOMUKH PREMNAGAR</v>
          </cell>
          <cell r="E4355">
            <v>10530082</v>
          </cell>
          <cell r="F4355" t="str">
            <v>0029</v>
          </cell>
          <cell r="G4355">
            <v>6</v>
          </cell>
          <cell r="H4355">
            <v>11.03</v>
          </cell>
          <cell r="I4355">
            <v>608.94299829694705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P4355">
            <v>609</v>
          </cell>
          <cell r="V4355" t="str">
            <v>Available</v>
          </cell>
        </row>
        <row r="4356">
          <cell r="A4356" t="str">
            <v>105300820030</v>
          </cell>
          <cell r="B4356" t="str">
            <v>Kalyanpur</v>
          </cell>
          <cell r="C4356" t="str">
            <v>Kalyanpur</v>
          </cell>
          <cell r="D4356" t="str">
            <v>GOMUKH PREMNAGAR</v>
          </cell>
          <cell r="E4356">
            <v>10530082</v>
          </cell>
          <cell r="F4356" t="str">
            <v>0030</v>
          </cell>
          <cell r="G4356">
            <v>13</v>
          </cell>
          <cell r="H4356">
            <v>97.77000000000001</v>
          </cell>
          <cell r="I4356">
            <v>3657.3902295480002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P4356">
            <v>3657</v>
          </cell>
          <cell r="V4356" t="str">
            <v>Available</v>
          </cell>
        </row>
        <row r="4357">
          <cell r="A4357" t="str">
            <v>105300820031</v>
          </cell>
          <cell r="B4357" t="str">
            <v>Kalyanpur</v>
          </cell>
          <cell r="C4357" t="str">
            <v>Kalyanpur</v>
          </cell>
          <cell r="D4357" t="str">
            <v>GOMUKH PREMNAGAR</v>
          </cell>
          <cell r="E4357">
            <v>10530082</v>
          </cell>
          <cell r="F4357" t="str">
            <v>0031</v>
          </cell>
          <cell r="G4357">
            <v>12</v>
          </cell>
          <cell r="H4357">
            <v>30.47</v>
          </cell>
          <cell r="I4357">
            <v>1183.0570144888002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P4357">
            <v>1183</v>
          </cell>
          <cell r="V4357" t="str">
            <v>Available</v>
          </cell>
        </row>
        <row r="4358">
          <cell r="A4358" t="str">
            <v>105300820032</v>
          </cell>
          <cell r="B4358" t="str">
            <v>Kalyanpur</v>
          </cell>
          <cell r="C4358" t="str">
            <v>Kalyanpur</v>
          </cell>
          <cell r="D4358" t="str">
            <v>GOMUKH PREMNAGAR</v>
          </cell>
          <cell r="E4358">
            <v>10530082</v>
          </cell>
          <cell r="F4358" t="str">
            <v>0032</v>
          </cell>
          <cell r="G4358">
            <v>14</v>
          </cell>
          <cell r="H4358">
            <v>165</v>
          </cell>
          <cell r="I4358">
            <v>6622.5232029330009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P4358">
            <v>6623</v>
          </cell>
          <cell r="V4358" t="str">
            <v>Available</v>
          </cell>
        </row>
        <row r="4359">
          <cell r="A4359" t="str">
            <v>105300820040</v>
          </cell>
          <cell r="B4359" t="str">
            <v>Kalyanpur</v>
          </cell>
          <cell r="C4359" t="str">
            <v>Kalyanpur</v>
          </cell>
          <cell r="D4359" t="str">
            <v>GOMUKH PREMNAGAR</v>
          </cell>
          <cell r="E4359">
            <v>10530082</v>
          </cell>
          <cell r="F4359" t="str">
            <v>0040</v>
          </cell>
          <cell r="G4359">
            <v>14</v>
          </cell>
          <cell r="H4359">
            <v>88.820000000000007</v>
          </cell>
          <cell r="I4359">
            <v>3207.4717922478007</v>
          </cell>
          <cell r="J4359">
            <v>0</v>
          </cell>
          <cell r="K4359">
            <v>0</v>
          </cell>
          <cell r="L4359">
            <v>0</v>
          </cell>
          <cell r="M4359">
            <v>3000</v>
          </cell>
          <cell r="P4359">
            <v>207</v>
          </cell>
          <cell r="V4359" t="str">
            <v>Available</v>
          </cell>
        </row>
        <row r="4360">
          <cell r="A4360" t="str">
            <v>105300820041</v>
          </cell>
          <cell r="B4360" t="str">
            <v>Kalyanpur</v>
          </cell>
          <cell r="C4360" t="str">
            <v>Kalyanpur</v>
          </cell>
          <cell r="D4360" t="str">
            <v>GOMUKH PREMNAGAR</v>
          </cell>
          <cell r="E4360">
            <v>10530082</v>
          </cell>
          <cell r="F4360" t="str">
            <v>0041</v>
          </cell>
          <cell r="G4360">
            <v>4</v>
          </cell>
          <cell r="H4360">
            <v>25.24</v>
          </cell>
          <cell r="I4360">
            <v>1638.4856490894401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P4360">
            <v>1638</v>
          </cell>
          <cell r="V4360" t="str">
            <v>Available</v>
          </cell>
        </row>
        <row r="4361">
          <cell r="A4361" t="str">
            <v>105300820042</v>
          </cell>
          <cell r="B4361" t="str">
            <v>Kalyanpur</v>
          </cell>
          <cell r="C4361" t="str">
            <v>Kalyanpur</v>
          </cell>
          <cell r="D4361" t="str">
            <v>GOMUKH PREMNAGAR</v>
          </cell>
          <cell r="E4361">
            <v>10530082</v>
          </cell>
          <cell r="F4361" t="str">
            <v>0042</v>
          </cell>
          <cell r="G4361">
            <v>7</v>
          </cell>
          <cell r="H4361">
            <v>20.5</v>
          </cell>
          <cell r="I4361">
            <v>740.74295807820022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P4361">
            <v>741</v>
          </cell>
          <cell r="V4361" t="str">
            <v>Available</v>
          </cell>
        </row>
        <row r="4362">
          <cell r="A4362" t="str">
            <v>105300820044</v>
          </cell>
          <cell r="B4362" t="str">
            <v>Kalyanpur</v>
          </cell>
          <cell r="C4362" t="str">
            <v>Kalyanpur</v>
          </cell>
          <cell r="D4362" t="str">
            <v>GOMUKH PREMNAGAR</v>
          </cell>
          <cell r="E4362">
            <v>10530082</v>
          </cell>
          <cell r="F4362" t="str">
            <v>0044</v>
          </cell>
          <cell r="G4362">
            <v>9</v>
          </cell>
          <cell r="H4362">
            <v>24.849999999999998</v>
          </cell>
          <cell r="I4362">
            <v>1034.6821281719999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P4362">
            <v>1035</v>
          </cell>
          <cell r="V4362" t="str">
            <v>Available</v>
          </cell>
        </row>
        <row r="4363">
          <cell r="A4363" t="str">
            <v>105300820048</v>
          </cell>
          <cell r="B4363" t="str">
            <v>Kalyanpur</v>
          </cell>
          <cell r="C4363" t="str">
            <v>Kalyanpur</v>
          </cell>
          <cell r="D4363" t="str">
            <v>GOMUKH PREMNAGAR</v>
          </cell>
          <cell r="E4363">
            <v>10530082</v>
          </cell>
          <cell r="F4363" t="str">
            <v>0048</v>
          </cell>
          <cell r="G4363">
            <v>14</v>
          </cell>
          <cell r="H4363">
            <v>43.089999999999989</v>
          </cell>
          <cell r="I4363">
            <v>1694.7995915466001</v>
          </cell>
          <cell r="J4363">
            <v>0</v>
          </cell>
          <cell r="K4363">
            <v>0</v>
          </cell>
          <cell r="L4363">
            <v>0</v>
          </cell>
          <cell r="M4363">
            <v>0</v>
          </cell>
          <cell r="P4363">
            <v>1695</v>
          </cell>
          <cell r="V4363" t="str">
            <v>Available</v>
          </cell>
        </row>
        <row r="4364">
          <cell r="A4364" t="str">
            <v>105300820049</v>
          </cell>
          <cell r="B4364" t="str">
            <v>Kalyanpur</v>
          </cell>
          <cell r="C4364" t="str">
            <v>Kalyanpur</v>
          </cell>
          <cell r="D4364" t="str">
            <v>GOMUKH PREMNAGAR</v>
          </cell>
          <cell r="E4364">
            <v>10530082</v>
          </cell>
          <cell r="F4364" t="str">
            <v>0049</v>
          </cell>
          <cell r="G4364">
            <v>6</v>
          </cell>
          <cell r="H4364">
            <v>20.65</v>
          </cell>
          <cell r="I4364">
            <v>1223.0891165933699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P4364">
            <v>1223</v>
          </cell>
          <cell r="V4364" t="str">
            <v>Available</v>
          </cell>
        </row>
        <row r="4365">
          <cell r="A4365" t="str">
            <v>105300820052</v>
          </cell>
          <cell r="B4365" t="str">
            <v>Kalyanpur</v>
          </cell>
          <cell r="C4365" t="str">
            <v>Kalyanpur</v>
          </cell>
          <cell r="D4365" t="str">
            <v>GOMUKH PREMNAGAR</v>
          </cell>
          <cell r="E4365">
            <v>10530082</v>
          </cell>
          <cell r="F4365" t="str">
            <v>0052</v>
          </cell>
          <cell r="G4365">
            <v>14</v>
          </cell>
          <cell r="H4365">
            <v>51.14</v>
          </cell>
          <cell r="I4365">
            <v>1813.1656316400001</v>
          </cell>
          <cell r="J4365">
            <v>0</v>
          </cell>
          <cell r="K4365">
            <v>0</v>
          </cell>
          <cell r="L4365">
            <v>0</v>
          </cell>
          <cell r="M4365">
            <v>0</v>
          </cell>
          <cell r="P4365">
            <v>1813</v>
          </cell>
          <cell r="V4365" t="str">
            <v>Available</v>
          </cell>
        </row>
        <row r="4366">
          <cell r="A4366" t="str">
            <v>105300820053</v>
          </cell>
          <cell r="B4366" t="str">
            <v>Kalyanpur</v>
          </cell>
          <cell r="C4366" t="str">
            <v>Kalyanpur</v>
          </cell>
          <cell r="D4366" t="str">
            <v>GOMUKH PREMNAGAR</v>
          </cell>
          <cell r="E4366">
            <v>10530082</v>
          </cell>
          <cell r="F4366" t="str">
            <v>0053</v>
          </cell>
          <cell r="G4366">
            <v>14</v>
          </cell>
          <cell r="H4366">
            <v>78.8</v>
          </cell>
          <cell r="I4366">
            <v>2797.6113785267999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P4366">
            <v>2798</v>
          </cell>
          <cell r="V4366" t="str">
            <v>Available</v>
          </cell>
        </row>
        <row r="4367">
          <cell r="A4367" t="str">
            <v>105300820055</v>
          </cell>
          <cell r="B4367" t="str">
            <v>Kalyanpur</v>
          </cell>
          <cell r="C4367" t="str">
            <v>Kalyanpur</v>
          </cell>
          <cell r="D4367" t="str">
            <v>GOMUKH PREMNAGAR</v>
          </cell>
          <cell r="E4367">
            <v>10530082</v>
          </cell>
          <cell r="F4367" t="str">
            <v>0055</v>
          </cell>
          <cell r="G4367">
            <v>14</v>
          </cell>
          <cell r="H4367">
            <v>73.499999999999986</v>
          </cell>
          <cell r="I4367">
            <v>2683.5817397400006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P4367">
            <v>2684</v>
          </cell>
          <cell r="V4367" t="str">
            <v>Available</v>
          </cell>
        </row>
        <row r="4368">
          <cell r="A4368" t="str">
            <v>105300840001</v>
          </cell>
          <cell r="B4368" t="str">
            <v>Kalyanpur</v>
          </cell>
          <cell r="C4368" t="str">
            <v>Kalyanpur</v>
          </cell>
          <cell r="D4368" t="str">
            <v>GOMUKH JITWARIYA W-6</v>
          </cell>
          <cell r="E4368">
            <v>10530084</v>
          </cell>
          <cell r="F4368" t="str">
            <v>0001</v>
          </cell>
          <cell r="G4368">
            <v>13</v>
          </cell>
          <cell r="H4368">
            <v>32.419999999999995</v>
          </cell>
          <cell r="I4368">
            <v>1387.1039706711006</v>
          </cell>
          <cell r="J4368">
            <v>0</v>
          </cell>
          <cell r="K4368">
            <v>1387.1039706711006</v>
          </cell>
          <cell r="L4368">
            <v>0</v>
          </cell>
          <cell r="M4368">
            <v>0</v>
          </cell>
          <cell r="P4368">
            <v>0</v>
          </cell>
          <cell r="V4368" t="str">
            <v>Not Available</v>
          </cell>
        </row>
        <row r="4369">
          <cell r="A4369" t="str">
            <v>105300840002</v>
          </cell>
          <cell r="B4369" t="str">
            <v>Kalyanpur</v>
          </cell>
          <cell r="C4369" t="str">
            <v>Kalyanpur</v>
          </cell>
          <cell r="D4369" t="str">
            <v>GOMUKH JITWARIYA W-6</v>
          </cell>
          <cell r="E4369">
            <v>10530084</v>
          </cell>
          <cell r="F4369" t="str">
            <v>0002</v>
          </cell>
          <cell r="G4369">
            <v>14</v>
          </cell>
          <cell r="H4369">
            <v>141.94999999999999</v>
          </cell>
          <cell r="I4369">
            <v>5184.2005269120009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P4369">
            <v>5184</v>
          </cell>
          <cell r="V4369" t="str">
            <v>Available</v>
          </cell>
        </row>
        <row r="4370">
          <cell r="A4370" t="str">
            <v>105300840003</v>
          </cell>
          <cell r="B4370" t="str">
            <v>Kalyanpur</v>
          </cell>
          <cell r="C4370" t="str">
            <v>Kalyanpur</v>
          </cell>
          <cell r="D4370" t="str">
            <v>GOMUKH JITWARIYA W-6</v>
          </cell>
          <cell r="E4370">
            <v>10530084</v>
          </cell>
          <cell r="F4370" t="str">
            <v>0003</v>
          </cell>
          <cell r="G4370">
            <v>9</v>
          </cell>
          <cell r="H4370">
            <v>35.510000000000005</v>
          </cell>
          <cell r="I4370">
            <v>1442.58600222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P4370">
            <v>1443</v>
          </cell>
          <cell r="V4370" t="str">
            <v>Available</v>
          </cell>
        </row>
        <row r="4371">
          <cell r="A4371" t="str">
            <v>105300840006</v>
          </cell>
          <cell r="B4371" t="str">
            <v>Kalyanpur</v>
          </cell>
          <cell r="C4371" t="str">
            <v>Kalyanpur</v>
          </cell>
          <cell r="D4371" t="str">
            <v>GOMUKH JITWARIYA W-6</v>
          </cell>
          <cell r="E4371">
            <v>10530084</v>
          </cell>
          <cell r="F4371" t="str">
            <v>0006</v>
          </cell>
          <cell r="G4371">
            <v>13</v>
          </cell>
          <cell r="H4371">
            <v>105.85</v>
          </cell>
          <cell r="I4371">
            <v>4011.2696028240002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P4371">
            <v>4011</v>
          </cell>
          <cell r="V4371" t="str">
            <v>Available</v>
          </cell>
        </row>
        <row r="4372">
          <cell r="A4372" t="str">
            <v>105300840007</v>
          </cell>
          <cell r="B4372" t="str">
            <v>Kalyanpur</v>
          </cell>
          <cell r="C4372" t="str">
            <v>Kalyanpur</v>
          </cell>
          <cell r="D4372" t="str">
            <v>GOMUKH JITWARIYA W-6</v>
          </cell>
          <cell r="E4372">
            <v>10530084</v>
          </cell>
          <cell r="F4372" t="str">
            <v>0007</v>
          </cell>
          <cell r="G4372">
            <v>3</v>
          </cell>
          <cell r="H4372">
            <v>6.57</v>
          </cell>
          <cell r="I4372">
            <v>304.40887171200001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P4372">
            <v>304</v>
          </cell>
          <cell r="V4372" t="str">
            <v>Available</v>
          </cell>
        </row>
        <row r="4373">
          <cell r="A4373" t="str">
            <v>105300840008</v>
          </cell>
          <cell r="B4373" t="str">
            <v>Kalyanpur</v>
          </cell>
          <cell r="C4373" t="str">
            <v>Kalyanpur</v>
          </cell>
          <cell r="D4373" t="str">
            <v>GOMUKH JITWARIYA W-6</v>
          </cell>
          <cell r="E4373">
            <v>10530084</v>
          </cell>
          <cell r="F4373" t="str">
            <v>0008</v>
          </cell>
          <cell r="G4373">
            <v>9</v>
          </cell>
          <cell r="H4373">
            <v>31.98</v>
          </cell>
          <cell r="I4373">
            <v>1191.2723606520001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P4373">
            <v>1191</v>
          </cell>
          <cell r="V4373" t="str">
            <v>Available</v>
          </cell>
        </row>
        <row r="4374">
          <cell r="A4374" t="str">
            <v>105300840014</v>
          </cell>
          <cell r="B4374" t="str">
            <v>Kalyanpur</v>
          </cell>
          <cell r="C4374" t="str">
            <v>Kalyanpur</v>
          </cell>
          <cell r="D4374" t="str">
            <v>GOMUKH JITWARIYA W-6</v>
          </cell>
          <cell r="E4374">
            <v>10530084</v>
          </cell>
          <cell r="F4374" t="str">
            <v>0014</v>
          </cell>
          <cell r="G4374">
            <v>7</v>
          </cell>
          <cell r="H4374">
            <v>16.869999999999997</v>
          </cell>
          <cell r="I4374">
            <v>1160.8706378617999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P4374">
            <v>1161</v>
          </cell>
          <cell r="V4374" t="str">
            <v>Available</v>
          </cell>
        </row>
        <row r="4375">
          <cell r="A4375" t="str">
            <v>105300840015</v>
          </cell>
          <cell r="B4375" t="str">
            <v>Kalyanpur</v>
          </cell>
          <cell r="C4375" t="str">
            <v>Kalyanpur</v>
          </cell>
          <cell r="D4375" t="str">
            <v>GOMUKH JITWARIYA W-6</v>
          </cell>
          <cell r="E4375">
            <v>10530084</v>
          </cell>
          <cell r="F4375" t="str">
            <v>0015</v>
          </cell>
          <cell r="G4375">
            <v>14</v>
          </cell>
          <cell r="H4375">
            <v>43.9</v>
          </cell>
          <cell r="I4375">
            <v>2322.71929213972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P4375">
            <v>2323</v>
          </cell>
          <cell r="V4375" t="str">
            <v>Available</v>
          </cell>
        </row>
        <row r="4376">
          <cell r="A4376" t="str">
            <v>105300840016</v>
          </cell>
          <cell r="B4376" t="str">
            <v>Kalyanpur</v>
          </cell>
          <cell r="C4376" t="str">
            <v>Kalyanpur</v>
          </cell>
          <cell r="D4376" t="str">
            <v>GOMUKH JITWARIYA W-6</v>
          </cell>
          <cell r="E4376">
            <v>10530084</v>
          </cell>
          <cell r="F4376" t="str">
            <v>0016</v>
          </cell>
          <cell r="G4376">
            <v>11</v>
          </cell>
          <cell r="H4376">
            <v>36.89</v>
          </cell>
          <cell r="I4376">
            <v>1459.2868705800001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P4376">
            <v>1459</v>
          </cell>
          <cell r="V4376" t="str">
            <v>Available</v>
          </cell>
        </row>
        <row r="4377">
          <cell r="A4377" t="str">
            <v>105300840017</v>
          </cell>
          <cell r="B4377" t="str">
            <v>Kalyanpur</v>
          </cell>
          <cell r="C4377" t="str">
            <v>Kalyanpur</v>
          </cell>
          <cell r="D4377" t="str">
            <v>GOMUKH JITWARIYA W-6</v>
          </cell>
          <cell r="E4377">
            <v>10530084</v>
          </cell>
          <cell r="F4377" t="str">
            <v>0017</v>
          </cell>
          <cell r="G4377">
            <v>12</v>
          </cell>
          <cell r="H4377">
            <v>167.47</v>
          </cell>
          <cell r="I4377">
            <v>6691.648591188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P4377">
            <v>6692</v>
          </cell>
          <cell r="V4377" t="str">
            <v>Available</v>
          </cell>
        </row>
        <row r="4378">
          <cell r="A4378" t="str">
            <v>105300840018</v>
          </cell>
          <cell r="B4378" t="str">
            <v>Kalyanpur</v>
          </cell>
          <cell r="C4378" t="str">
            <v>Kalyanpur</v>
          </cell>
          <cell r="D4378" t="str">
            <v>GOMUKH JITWARIYA W-6</v>
          </cell>
          <cell r="E4378">
            <v>10530084</v>
          </cell>
          <cell r="F4378" t="str">
            <v>0018</v>
          </cell>
          <cell r="G4378">
            <v>7</v>
          </cell>
          <cell r="H4378">
            <v>25.35</v>
          </cell>
          <cell r="I4378">
            <v>1472.3457585963899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P4378">
            <v>1472</v>
          </cell>
          <cell r="V4378" t="str">
            <v>Available</v>
          </cell>
        </row>
        <row r="4379">
          <cell r="A4379" t="str">
            <v>105300840019</v>
          </cell>
          <cell r="B4379" t="str">
            <v>Kalyanpur</v>
          </cell>
          <cell r="C4379" t="str">
            <v>Kalyanpur</v>
          </cell>
          <cell r="D4379" t="str">
            <v>GOMUKH JITWARIYA W-6</v>
          </cell>
          <cell r="E4379">
            <v>10530084</v>
          </cell>
          <cell r="F4379" t="str">
            <v>0019</v>
          </cell>
          <cell r="G4379">
            <v>13</v>
          </cell>
          <cell r="H4379">
            <v>17.86</v>
          </cell>
          <cell r="I4379">
            <v>699.15641930640004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P4379">
            <v>699</v>
          </cell>
          <cell r="V4379" t="str">
            <v>Available</v>
          </cell>
        </row>
        <row r="4380">
          <cell r="A4380" t="str">
            <v>105300840020</v>
          </cell>
          <cell r="B4380" t="str">
            <v>Kalyanpur</v>
          </cell>
          <cell r="C4380" t="str">
            <v>Kalyanpur</v>
          </cell>
          <cell r="D4380" t="str">
            <v>GOMUKH JITWARIYA W-6</v>
          </cell>
          <cell r="E4380">
            <v>10530084</v>
          </cell>
          <cell r="F4380" t="str">
            <v>0020</v>
          </cell>
          <cell r="G4380">
            <v>7</v>
          </cell>
          <cell r="H4380">
            <v>35.56</v>
          </cell>
          <cell r="I4380">
            <v>1608.3508841605503</v>
          </cell>
          <cell r="J4380">
            <v>0</v>
          </cell>
          <cell r="K4380">
            <v>0</v>
          </cell>
          <cell r="L4380">
            <v>0</v>
          </cell>
          <cell r="M4380">
            <v>0</v>
          </cell>
          <cell r="P4380">
            <v>1608</v>
          </cell>
          <cell r="V4380" t="str">
            <v>Available</v>
          </cell>
        </row>
        <row r="4381">
          <cell r="A4381" t="str">
            <v>105300840021</v>
          </cell>
          <cell r="B4381" t="str">
            <v>Kalyanpur</v>
          </cell>
          <cell r="C4381" t="str">
            <v>Kalyanpur</v>
          </cell>
          <cell r="D4381" t="str">
            <v>GOMUKH JITWARIYA W-6</v>
          </cell>
          <cell r="E4381">
            <v>10530084</v>
          </cell>
          <cell r="F4381" t="str">
            <v>0021</v>
          </cell>
          <cell r="G4381">
            <v>11</v>
          </cell>
          <cell r="H4381">
            <v>17.25</v>
          </cell>
          <cell r="I4381">
            <v>605.5198629480002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P4381">
            <v>606</v>
          </cell>
          <cell r="V4381" t="str">
            <v>Available</v>
          </cell>
        </row>
        <row r="4382">
          <cell r="A4382" t="str">
            <v>105300840023</v>
          </cell>
          <cell r="B4382" t="str">
            <v>Kalyanpur</v>
          </cell>
          <cell r="C4382" t="str">
            <v>Kalyanpur</v>
          </cell>
          <cell r="D4382" t="str">
            <v>GOMUKH JITWARIYA W-6</v>
          </cell>
          <cell r="E4382">
            <v>10530084</v>
          </cell>
          <cell r="F4382" t="str">
            <v>0023</v>
          </cell>
          <cell r="G4382">
            <v>13</v>
          </cell>
          <cell r="H4382">
            <v>15.05</v>
          </cell>
          <cell r="I4382">
            <v>625.87239184800023</v>
          </cell>
          <cell r="J4382">
            <v>0</v>
          </cell>
          <cell r="K4382">
            <v>0</v>
          </cell>
          <cell r="L4382">
            <v>0</v>
          </cell>
          <cell r="M4382">
            <v>0</v>
          </cell>
          <cell r="P4382">
            <v>626</v>
          </cell>
          <cell r="V4382" t="str">
            <v>Available</v>
          </cell>
        </row>
        <row r="4383">
          <cell r="A4383" t="str">
            <v>105300840028</v>
          </cell>
          <cell r="B4383" t="str">
            <v>Kalyanpur</v>
          </cell>
          <cell r="C4383" t="str">
            <v>Kalyanpur</v>
          </cell>
          <cell r="D4383" t="str">
            <v>GOMUKH JITWARIYA W-6</v>
          </cell>
          <cell r="E4383">
            <v>10530084</v>
          </cell>
          <cell r="F4383" t="str">
            <v>0028</v>
          </cell>
          <cell r="G4383">
            <v>14</v>
          </cell>
          <cell r="H4383">
            <v>28.61</v>
          </cell>
          <cell r="I4383">
            <v>1740.4495891420001</v>
          </cell>
          <cell r="J4383">
            <v>0</v>
          </cell>
          <cell r="K4383">
            <v>0</v>
          </cell>
          <cell r="L4383">
            <v>0</v>
          </cell>
          <cell r="M4383">
            <v>0</v>
          </cell>
          <cell r="P4383">
            <v>1740</v>
          </cell>
          <cell r="V4383" t="str">
            <v>Available</v>
          </cell>
        </row>
        <row r="4384">
          <cell r="A4384" t="str">
            <v>105300840029</v>
          </cell>
          <cell r="B4384" t="str">
            <v>Kalyanpur</v>
          </cell>
          <cell r="C4384" t="str">
            <v>Kalyanpur</v>
          </cell>
          <cell r="D4384" t="str">
            <v>GOMUKH JITWARIYA W-6</v>
          </cell>
          <cell r="E4384">
            <v>10530084</v>
          </cell>
          <cell r="F4384" t="str">
            <v>0029</v>
          </cell>
          <cell r="G4384">
            <v>7</v>
          </cell>
          <cell r="H4384">
            <v>29.43</v>
          </cell>
          <cell r="I4384">
            <v>1514.5040297658402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P4384">
            <v>1515</v>
          </cell>
          <cell r="V4384" t="str">
            <v>Available</v>
          </cell>
        </row>
        <row r="4385">
          <cell r="A4385" t="str">
            <v>105300840030</v>
          </cell>
          <cell r="B4385" t="str">
            <v>Kalyanpur</v>
          </cell>
          <cell r="C4385" t="str">
            <v>Kalyanpur</v>
          </cell>
          <cell r="D4385" t="str">
            <v>GOMUKH JITWARIYA W-6</v>
          </cell>
          <cell r="E4385">
            <v>10530084</v>
          </cell>
          <cell r="F4385" t="str">
            <v>0030</v>
          </cell>
          <cell r="G4385">
            <v>7</v>
          </cell>
          <cell r="H4385">
            <v>21.86</v>
          </cell>
          <cell r="I4385">
            <v>876.28235310000002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P4385">
            <v>876</v>
          </cell>
          <cell r="V4385" t="str">
            <v>Available</v>
          </cell>
        </row>
        <row r="4386">
          <cell r="A4386" t="str">
            <v>105300840032</v>
          </cell>
          <cell r="B4386" t="str">
            <v>Kalyanpur</v>
          </cell>
          <cell r="C4386" t="str">
            <v>Kalyanpur</v>
          </cell>
          <cell r="D4386" t="str">
            <v>GOMUKH JITWARIYA W-6</v>
          </cell>
          <cell r="E4386">
            <v>10530084</v>
          </cell>
          <cell r="F4386" t="str">
            <v>0032</v>
          </cell>
          <cell r="G4386">
            <v>13</v>
          </cell>
          <cell r="H4386">
            <v>37.059999999999995</v>
          </cell>
          <cell r="I4386">
            <v>1447.2542271536613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P4386">
            <v>1447</v>
          </cell>
          <cell r="V4386" t="str">
            <v>Available</v>
          </cell>
        </row>
        <row r="4387">
          <cell r="A4387" t="str">
            <v>105300840034</v>
          </cell>
          <cell r="B4387" t="str">
            <v>Kalyanpur</v>
          </cell>
          <cell r="C4387" t="str">
            <v>Kalyanpur</v>
          </cell>
          <cell r="D4387" t="str">
            <v>GOMUKH JITWARIYA W-6</v>
          </cell>
          <cell r="E4387">
            <v>10530084</v>
          </cell>
          <cell r="F4387" t="str">
            <v>0034</v>
          </cell>
          <cell r="G4387">
            <v>14</v>
          </cell>
          <cell r="H4387">
            <v>293.82999999999993</v>
          </cell>
          <cell r="I4387">
            <v>11359.432030716001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P4387">
            <v>11359</v>
          </cell>
          <cell r="V4387" t="str">
            <v>Available</v>
          </cell>
        </row>
        <row r="4388">
          <cell r="A4388" t="str">
            <v>105300840035</v>
          </cell>
          <cell r="B4388" t="str">
            <v>Kalyanpur</v>
          </cell>
          <cell r="C4388" t="str">
            <v>Kalyanpur</v>
          </cell>
          <cell r="D4388" t="str">
            <v>GOMUKH JITWARIYA W-6</v>
          </cell>
          <cell r="E4388">
            <v>10530084</v>
          </cell>
          <cell r="F4388" t="str">
            <v>0035</v>
          </cell>
          <cell r="G4388">
            <v>14</v>
          </cell>
          <cell r="H4388">
            <v>47.429999999999993</v>
          </cell>
          <cell r="I4388">
            <v>2466.1134296363102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P4388">
            <v>2466</v>
          </cell>
          <cell r="V4388" t="str">
            <v>Available</v>
          </cell>
        </row>
        <row r="4389">
          <cell r="A4389" t="str">
            <v>105300840036</v>
          </cell>
          <cell r="B4389" t="str">
            <v>Kalyanpur</v>
          </cell>
          <cell r="C4389" t="str">
            <v>Kalyanpur</v>
          </cell>
          <cell r="D4389" t="str">
            <v>GOMUKH JITWARIYA W-6</v>
          </cell>
          <cell r="E4389">
            <v>10530084</v>
          </cell>
          <cell r="F4389" t="str">
            <v>0036</v>
          </cell>
          <cell r="G4389">
            <v>2</v>
          </cell>
          <cell r="H4389">
            <v>2.79</v>
          </cell>
          <cell r="I4389">
            <v>191.75893027910001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P4389">
            <v>192</v>
          </cell>
          <cell r="V4389" t="str">
            <v>Available</v>
          </cell>
        </row>
        <row r="4390">
          <cell r="A4390" t="str">
            <v>105300840043</v>
          </cell>
          <cell r="B4390" t="str">
            <v>Kalyanpur</v>
          </cell>
          <cell r="C4390" t="str">
            <v>Kalyanpur</v>
          </cell>
          <cell r="D4390" t="str">
            <v>GOMUKH JITWARIYA W-6</v>
          </cell>
          <cell r="E4390">
            <v>10530084</v>
          </cell>
          <cell r="F4390" t="str">
            <v>0043</v>
          </cell>
          <cell r="G4390">
            <v>6</v>
          </cell>
          <cell r="H4390">
            <v>12.52</v>
          </cell>
          <cell r="I4390">
            <v>468.12133526400009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P4390">
            <v>468</v>
          </cell>
          <cell r="V4390" t="str">
            <v>Available</v>
          </cell>
        </row>
        <row r="4391">
          <cell r="A4391" t="str">
            <v>105300840045</v>
          </cell>
          <cell r="B4391" t="str">
            <v>Kalyanpur</v>
          </cell>
          <cell r="C4391" t="str">
            <v>Kalyanpur</v>
          </cell>
          <cell r="D4391" t="str">
            <v>GOMUKH JITWARIYA W-6</v>
          </cell>
          <cell r="E4391">
            <v>10530084</v>
          </cell>
          <cell r="F4391" t="str">
            <v>0045</v>
          </cell>
          <cell r="G4391">
            <v>7</v>
          </cell>
          <cell r="H4391">
            <v>25.12</v>
          </cell>
          <cell r="I4391">
            <v>1017.9128971440001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P4391">
            <v>1018</v>
          </cell>
          <cell r="V4391" t="str">
            <v>Available</v>
          </cell>
        </row>
        <row r="4392">
          <cell r="A4392" t="str">
            <v>105300840048</v>
          </cell>
          <cell r="B4392" t="str">
            <v>Kalyanpur</v>
          </cell>
          <cell r="C4392" t="str">
            <v>Kalyanpur</v>
          </cell>
          <cell r="D4392" t="str">
            <v>GOMUKH JITWARIYA W-6</v>
          </cell>
          <cell r="E4392">
            <v>10530084</v>
          </cell>
          <cell r="F4392" t="str">
            <v>0048</v>
          </cell>
          <cell r="G4392">
            <v>12</v>
          </cell>
          <cell r="H4392">
            <v>43.85</v>
          </cell>
          <cell r="I4392">
            <v>1625.6392518168002</v>
          </cell>
          <cell r="J4392">
            <v>0</v>
          </cell>
          <cell r="K4392">
            <v>0</v>
          </cell>
          <cell r="L4392">
            <v>0</v>
          </cell>
          <cell r="M4392">
            <v>0</v>
          </cell>
          <cell r="P4392">
            <v>1626</v>
          </cell>
          <cell r="V4392" t="str">
            <v>Available</v>
          </cell>
        </row>
        <row r="4393">
          <cell r="A4393" t="str">
            <v>105300840050</v>
          </cell>
          <cell r="B4393" t="str">
            <v>Kalyanpur</v>
          </cell>
          <cell r="C4393" t="str">
            <v>Kalyanpur</v>
          </cell>
          <cell r="D4393" t="str">
            <v>GOMUKH JITWARIYA W-6</v>
          </cell>
          <cell r="E4393">
            <v>10530084</v>
          </cell>
          <cell r="F4393" t="str">
            <v>0050</v>
          </cell>
          <cell r="G4393">
            <v>5</v>
          </cell>
          <cell r="H4393">
            <v>8.84</v>
          </cell>
          <cell r="I4393">
            <v>329.49616471200005</v>
          </cell>
          <cell r="J4393">
            <v>0</v>
          </cell>
          <cell r="K4393">
            <v>0</v>
          </cell>
          <cell r="L4393">
            <v>0</v>
          </cell>
          <cell r="M4393">
            <v>0</v>
          </cell>
          <cell r="P4393">
            <v>329</v>
          </cell>
          <cell r="V4393" t="str">
            <v>Available</v>
          </cell>
        </row>
        <row r="4394">
          <cell r="A4394" t="str">
            <v>105300840051</v>
          </cell>
          <cell r="B4394" t="str">
            <v>Kalyanpur</v>
          </cell>
          <cell r="C4394" t="str">
            <v>Kalyanpur</v>
          </cell>
          <cell r="D4394" t="str">
            <v>GOMUKH JITWARIYA W-6</v>
          </cell>
          <cell r="E4394">
            <v>10530084</v>
          </cell>
          <cell r="F4394" t="str">
            <v>0051</v>
          </cell>
          <cell r="G4394">
            <v>14</v>
          </cell>
          <cell r="H4394">
            <v>78.58</v>
          </cell>
          <cell r="I4394">
            <v>2925.7620709680004</v>
          </cell>
          <cell r="J4394">
            <v>0</v>
          </cell>
          <cell r="K4394">
            <v>0</v>
          </cell>
          <cell r="L4394">
            <v>0</v>
          </cell>
          <cell r="M4394">
            <v>0</v>
          </cell>
          <cell r="P4394">
            <v>2926</v>
          </cell>
          <cell r="V4394" t="str">
            <v>Available</v>
          </cell>
        </row>
        <row r="4395">
          <cell r="A4395" t="str">
            <v>105300840053</v>
          </cell>
          <cell r="B4395" t="str">
            <v>Kalyanpur</v>
          </cell>
          <cell r="C4395" t="str">
            <v>Kalyanpur</v>
          </cell>
          <cell r="D4395" t="str">
            <v>GOMUKH JITWARIYA W-6</v>
          </cell>
          <cell r="E4395">
            <v>10530084</v>
          </cell>
          <cell r="F4395" t="str">
            <v>0053</v>
          </cell>
          <cell r="G4395">
            <v>14</v>
          </cell>
          <cell r="H4395">
            <v>68.510000000000005</v>
          </cell>
          <cell r="I4395">
            <v>2738.2795882200007</v>
          </cell>
          <cell r="J4395">
            <v>0</v>
          </cell>
          <cell r="K4395">
            <v>0</v>
          </cell>
          <cell r="L4395">
            <v>0</v>
          </cell>
          <cell r="M4395">
            <v>0</v>
          </cell>
          <cell r="P4395">
            <v>2738</v>
          </cell>
          <cell r="V4395" t="str">
            <v>Available</v>
          </cell>
        </row>
        <row r="4396">
          <cell r="A4396" t="str">
            <v>105300840055</v>
          </cell>
          <cell r="B4396" t="str">
            <v>Kalyanpur</v>
          </cell>
          <cell r="C4396" t="str">
            <v>Kalyanpur</v>
          </cell>
          <cell r="D4396" t="str">
            <v>GOMUKH JITWARIYA W-6</v>
          </cell>
          <cell r="E4396">
            <v>10530084</v>
          </cell>
          <cell r="F4396" t="str">
            <v>0055</v>
          </cell>
          <cell r="G4396">
            <v>13</v>
          </cell>
          <cell r="H4396">
            <v>28.579999999999995</v>
          </cell>
          <cell r="I4396">
            <v>1049.4398301552001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P4396">
            <v>1049</v>
          </cell>
          <cell r="V4396" t="str">
            <v>Available</v>
          </cell>
        </row>
        <row r="4397">
          <cell r="A4397" t="str">
            <v>105300840057</v>
          </cell>
          <cell r="B4397" t="str">
            <v>Kalyanpur</v>
          </cell>
          <cell r="C4397" t="str">
            <v>Kalyanpur</v>
          </cell>
          <cell r="D4397" t="str">
            <v>GOMUKH JITWARIYA W-6</v>
          </cell>
          <cell r="E4397">
            <v>10530084</v>
          </cell>
          <cell r="F4397" t="str">
            <v>0057</v>
          </cell>
          <cell r="G4397">
            <v>11</v>
          </cell>
          <cell r="H4397">
            <v>35</v>
          </cell>
          <cell r="I4397">
            <v>1398.6880434403802</v>
          </cell>
          <cell r="J4397">
            <v>0</v>
          </cell>
          <cell r="K4397">
            <v>0</v>
          </cell>
          <cell r="L4397">
            <v>0</v>
          </cell>
          <cell r="M4397">
            <v>0</v>
          </cell>
          <cell r="P4397">
            <v>1399</v>
          </cell>
          <cell r="V4397" t="str">
            <v>Available</v>
          </cell>
        </row>
        <row r="4398">
          <cell r="A4398" t="str">
            <v>105300840058</v>
          </cell>
          <cell r="B4398" t="str">
            <v>Kalyanpur</v>
          </cell>
          <cell r="C4398" t="str">
            <v>Kalyanpur</v>
          </cell>
          <cell r="D4398" t="str">
            <v>GOMUKH JITWARIYA W-6</v>
          </cell>
          <cell r="E4398">
            <v>10530084</v>
          </cell>
          <cell r="F4398" t="str">
            <v>0058</v>
          </cell>
          <cell r="G4398">
            <v>10</v>
          </cell>
          <cell r="H4398">
            <v>59.139999999999993</v>
          </cell>
          <cell r="I4398">
            <v>2263.826039904</v>
          </cell>
          <cell r="J4398">
            <v>0</v>
          </cell>
          <cell r="K4398">
            <v>0</v>
          </cell>
          <cell r="L4398">
            <v>0</v>
          </cell>
          <cell r="M4398">
            <v>0</v>
          </cell>
          <cell r="P4398">
            <v>2264</v>
          </cell>
          <cell r="V4398" t="str">
            <v>Available</v>
          </cell>
        </row>
        <row r="4399">
          <cell r="A4399" t="str">
            <v>105300840059</v>
          </cell>
          <cell r="B4399" t="str">
            <v>Kalyanpur</v>
          </cell>
          <cell r="C4399" t="str">
            <v>Kalyanpur</v>
          </cell>
          <cell r="D4399" t="str">
            <v>GOMUKH JITWARIYA W-6</v>
          </cell>
          <cell r="E4399">
            <v>10530084</v>
          </cell>
          <cell r="F4399" t="str">
            <v>0059</v>
          </cell>
          <cell r="G4399">
            <v>14</v>
          </cell>
          <cell r="H4399">
            <v>49.429999999999993</v>
          </cell>
          <cell r="I4399">
            <v>2012.6258487720002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P4399">
            <v>2013</v>
          </cell>
          <cell r="V4399" t="str">
            <v>Available</v>
          </cell>
        </row>
        <row r="4400">
          <cell r="A4400" t="str">
            <v>105300840062</v>
          </cell>
          <cell r="B4400" t="str">
            <v>Kalyanpur</v>
          </cell>
          <cell r="C4400" t="str">
            <v>Kalyanpur</v>
          </cell>
          <cell r="D4400" t="str">
            <v>GOMUKH JITWARIYA W-6</v>
          </cell>
          <cell r="E4400">
            <v>10530084</v>
          </cell>
          <cell r="F4400" t="str">
            <v>0062</v>
          </cell>
          <cell r="G4400">
            <v>6</v>
          </cell>
          <cell r="H4400">
            <v>27.960000000000004</v>
          </cell>
          <cell r="I4400">
            <v>1034.8524323280001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  <cell r="P4400">
            <v>1035</v>
          </cell>
          <cell r="V4400" t="str">
            <v>Available</v>
          </cell>
        </row>
        <row r="4401">
          <cell r="A4401" t="str">
            <v>105300840063</v>
          </cell>
          <cell r="B4401" t="str">
            <v>Kalyanpur</v>
          </cell>
          <cell r="C4401" t="str">
            <v>Kalyanpur</v>
          </cell>
          <cell r="D4401" t="str">
            <v>GOMUKH JITWARIYA W-6</v>
          </cell>
          <cell r="E4401">
            <v>10530084</v>
          </cell>
          <cell r="F4401" t="str">
            <v>0063</v>
          </cell>
          <cell r="G4401">
            <v>14</v>
          </cell>
          <cell r="H4401">
            <v>32.160000000000004</v>
          </cell>
          <cell r="I4401">
            <v>1137.6686315412001</v>
          </cell>
          <cell r="J4401">
            <v>0</v>
          </cell>
          <cell r="K4401">
            <v>0</v>
          </cell>
          <cell r="L4401">
            <v>0</v>
          </cell>
          <cell r="M4401">
            <v>427</v>
          </cell>
          <cell r="P4401">
            <v>711</v>
          </cell>
          <cell r="V4401" t="str">
            <v>Available</v>
          </cell>
        </row>
        <row r="4402">
          <cell r="A4402" t="str">
            <v>105300840064</v>
          </cell>
          <cell r="B4402" t="str">
            <v>Kalyanpur</v>
          </cell>
          <cell r="C4402" t="str">
            <v>Kalyanpur</v>
          </cell>
          <cell r="D4402" t="str">
            <v>GOMUKH JITWARIYA W-6</v>
          </cell>
          <cell r="E4402">
            <v>10530084</v>
          </cell>
          <cell r="F4402" t="str">
            <v>0064</v>
          </cell>
          <cell r="G4402">
            <v>5</v>
          </cell>
          <cell r="H4402">
            <v>15.24</v>
          </cell>
          <cell r="I4402">
            <v>986.5619895036001</v>
          </cell>
          <cell r="J4402">
            <v>0</v>
          </cell>
          <cell r="K4402">
            <v>0</v>
          </cell>
          <cell r="L4402">
            <v>0</v>
          </cell>
          <cell r="M4402">
            <v>0</v>
          </cell>
          <cell r="P4402">
            <v>987</v>
          </cell>
          <cell r="V4402" t="str">
            <v>Available</v>
          </cell>
        </row>
        <row r="4403">
          <cell r="A4403" t="str">
            <v>105300840065</v>
          </cell>
          <cell r="B4403" t="str">
            <v>Kalyanpur</v>
          </cell>
          <cell r="C4403" t="str">
            <v>Kalyanpur</v>
          </cell>
          <cell r="D4403" t="str">
            <v>GOMUKH JITWARIYA W-6</v>
          </cell>
          <cell r="E4403">
            <v>10530084</v>
          </cell>
          <cell r="F4403" t="str">
            <v>0065</v>
          </cell>
          <cell r="G4403">
            <v>14</v>
          </cell>
          <cell r="H4403">
            <v>127.31</v>
          </cell>
          <cell r="I4403">
            <v>4962.1229939160003</v>
          </cell>
          <cell r="J4403">
            <v>0</v>
          </cell>
          <cell r="K4403">
            <v>0</v>
          </cell>
          <cell r="L4403">
            <v>0</v>
          </cell>
          <cell r="M4403">
            <v>1500</v>
          </cell>
          <cell r="P4403">
            <v>3462</v>
          </cell>
          <cell r="V4403" t="str">
            <v>Available</v>
          </cell>
        </row>
        <row r="4404">
          <cell r="A4404" t="str">
            <v>105300840068</v>
          </cell>
          <cell r="B4404" t="str">
            <v>Kalyanpur</v>
          </cell>
          <cell r="C4404" t="str">
            <v>Kalyanpur</v>
          </cell>
          <cell r="D4404" t="str">
            <v>GOMUKH JITWARIYA W-6</v>
          </cell>
          <cell r="E4404">
            <v>10530084</v>
          </cell>
          <cell r="F4404" t="str">
            <v>0068</v>
          </cell>
          <cell r="G4404">
            <v>13</v>
          </cell>
          <cell r="H4404">
            <v>42.37</v>
          </cell>
          <cell r="I4404">
            <v>1478.8340216496003</v>
          </cell>
          <cell r="J4404">
            <v>0</v>
          </cell>
          <cell r="K4404">
            <v>0</v>
          </cell>
          <cell r="L4404">
            <v>0</v>
          </cell>
          <cell r="M4404">
            <v>0</v>
          </cell>
          <cell r="P4404">
            <v>1479</v>
          </cell>
          <cell r="V4404" t="str">
            <v>Available</v>
          </cell>
        </row>
        <row r="4405">
          <cell r="A4405" t="str">
            <v>105300840069</v>
          </cell>
          <cell r="B4405" t="str">
            <v>Kalyanpur</v>
          </cell>
          <cell r="C4405" t="str">
            <v>Kalyanpur</v>
          </cell>
          <cell r="D4405" t="str">
            <v>GOMUKH JITWARIYA W-6</v>
          </cell>
          <cell r="E4405">
            <v>10530084</v>
          </cell>
          <cell r="F4405" t="str">
            <v>0069</v>
          </cell>
          <cell r="G4405">
            <v>13</v>
          </cell>
          <cell r="H4405">
            <v>43.3</v>
          </cell>
          <cell r="I4405">
            <v>1585.2683872080001</v>
          </cell>
          <cell r="J4405">
            <v>0</v>
          </cell>
          <cell r="K4405">
            <v>0</v>
          </cell>
          <cell r="L4405">
            <v>0</v>
          </cell>
          <cell r="M4405">
            <v>0</v>
          </cell>
          <cell r="P4405">
            <v>1585</v>
          </cell>
          <cell r="V4405" t="str">
            <v>Available</v>
          </cell>
        </row>
        <row r="4406">
          <cell r="A4406" t="str">
            <v>105300850001</v>
          </cell>
          <cell r="B4406" t="str">
            <v>Kalyanpur</v>
          </cell>
          <cell r="C4406" t="str">
            <v>Kalyanpur</v>
          </cell>
          <cell r="D4406" t="str">
            <v>GOMUKH SUSTA</v>
          </cell>
          <cell r="E4406">
            <v>10530085</v>
          </cell>
          <cell r="F4406" t="str">
            <v>0001</v>
          </cell>
          <cell r="G4406">
            <v>1</v>
          </cell>
          <cell r="H4406">
            <v>5.3</v>
          </cell>
          <cell r="I4406">
            <v>460.71025235769986</v>
          </cell>
          <cell r="J4406">
            <v>0</v>
          </cell>
          <cell r="K4406">
            <v>460.71025235769986</v>
          </cell>
          <cell r="L4406">
            <v>0</v>
          </cell>
          <cell r="M4406">
            <v>0</v>
          </cell>
          <cell r="P4406">
            <v>0</v>
          </cell>
          <cell r="V4406" t="str">
            <v>Not Available</v>
          </cell>
        </row>
        <row r="4407">
          <cell r="A4407" t="str">
            <v>105300850002</v>
          </cell>
          <cell r="B4407" t="str">
            <v>Kalyanpur</v>
          </cell>
          <cell r="C4407" t="str">
            <v>Kalyanpur</v>
          </cell>
          <cell r="D4407" t="str">
            <v>GOMUKH SUSTA</v>
          </cell>
          <cell r="E4407">
            <v>10530085</v>
          </cell>
          <cell r="F4407" t="str">
            <v>0002</v>
          </cell>
          <cell r="G4407">
            <v>12</v>
          </cell>
          <cell r="H4407">
            <v>54.970000000000006</v>
          </cell>
          <cell r="I4407">
            <v>2668.9017380574401</v>
          </cell>
          <cell r="J4407">
            <v>0</v>
          </cell>
          <cell r="K4407">
            <v>0</v>
          </cell>
          <cell r="L4407">
            <v>0</v>
          </cell>
          <cell r="M4407">
            <v>2669</v>
          </cell>
          <cell r="P4407">
            <v>0</v>
          </cell>
          <cell r="V4407" t="str">
            <v>Available</v>
          </cell>
        </row>
        <row r="4408">
          <cell r="A4408" t="str">
            <v>105300850003</v>
          </cell>
          <cell r="B4408" t="str">
            <v>Kalyanpur</v>
          </cell>
          <cell r="C4408" t="str">
            <v>Kalyanpur</v>
          </cell>
          <cell r="D4408" t="str">
            <v>GOMUKH SUSTA</v>
          </cell>
          <cell r="E4408">
            <v>10530085</v>
          </cell>
          <cell r="F4408" t="str">
            <v>0003</v>
          </cell>
          <cell r="G4408">
            <v>13</v>
          </cell>
          <cell r="H4408">
            <v>63.6</v>
          </cell>
          <cell r="I4408">
            <v>3296.9218674040408</v>
          </cell>
          <cell r="J4408">
            <v>0</v>
          </cell>
          <cell r="K4408">
            <v>0</v>
          </cell>
          <cell r="L4408">
            <v>0</v>
          </cell>
          <cell r="M4408">
            <v>2700</v>
          </cell>
          <cell r="P4408">
            <v>597</v>
          </cell>
          <cell r="V4408" t="str">
            <v>Available</v>
          </cell>
        </row>
        <row r="4409">
          <cell r="A4409" t="str">
            <v>105300850004</v>
          </cell>
          <cell r="B4409" t="str">
            <v>Kalyanpur</v>
          </cell>
          <cell r="C4409" t="str">
            <v>Kalyanpur</v>
          </cell>
          <cell r="D4409" t="str">
            <v>GOMUKH SUSTA</v>
          </cell>
          <cell r="E4409">
            <v>10530085</v>
          </cell>
          <cell r="F4409" t="str">
            <v>0004</v>
          </cell>
          <cell r="G4409">
            <v>7</v>
          </cell>
          <cell r="H4409">
            <v>21.16</v>
          </cell>
          <cell r="I4409">
            <v>870.77522746500006</v>
          </cell>
          <cell r="J4409">
            <v>0</v>
          </cell>
          <cell r="K4409">
            <v>0</v>
          </cell>
          <cell r="L4409">
            <v>0</v>
          </cell>
          <cell r="M4409">
            <v>871</v>
          </cell>
          <cell r="P4409">
            <v>0</v>
          </cell>
          <cell r="V4409" t="str">
            <v>Available</v>
          </cell>
        </row>
        <row r="4410">
          <cell r="A4410" t="str">
            <v>105300850006</v>
          </cell>
          <cell r="B4410" t="str">
            <v>Kalyanpur</v>
          </cell>
          <cell r="C4410" t="str">
            <v>Kalyanpur</v>
          </cell>
          <cell r="D4410" t="str">
            <v>GOMUKH SUSTA</v>
          </cell>
          <cell r="E4410">
            <v>10530085</v>
          </cell>
          <cell r="F4410" t="str">
            <v>0006</v>
          </cell>
          <cell r="G4410">
            <v>13</v>
          </cell>
          <cell r="H4410">
            <v>41.59</v>
          </cell>
          <cell r="I4410">
            <v>1577.066284728</v>
          </cell>
          <cell r="J4410">
            <v>0</v>
          </cell>
          <cell r="K4410">
            <v>0</v>
          </cell>
          <cell r="L4410">
            <v>0</v>
          </cell>
          <cell r="M4410">
            <v>1350</v>
          </cell>
          <cell r="P4410">
            <v>227</v>
          </cell>
          <cell r="V4410" t="str">
            <v>Available</v>
          </cell>
        </row>
        <row r="4411">
          <cell r="A4411" t="str">
            <v>105300850015</v>
          </cell>
          <cell r="B4411" t="str">
            <v>Kalyanpur</v>
          </cell>
          <cell r="C4411" t="str">
            <v>Kalyanpur</v>
          </cell>
          <cell r="D4411" t="str">
            <v>GOMUKH SUSTA</v>
          </cell>
          <cell r="E4411">
            <v>10530085</v>
          </cell>
          <cell r="F4411" t="str">
            <v>0015</v>
          </cell>
          <cell r="G4411">
            <v>14</v>
          </cell>
          <cell r="H4411">
            <v>27.449999999999996</v>
          </cell>
          <cell r="I4411">
            <v>1095.0087162960001</v>
          </cell>
          <cell r="J4411">
            <v>0</v>
          </cell>
          <cell r="K4411">
            <v>0</v>
          </cell>
          <cell r="L4411">
            <v>0</v>
          </cell>
          <cell r="M4411">
            <v>0</v>
          </cell>
          <cell r="P4411">
            <v>1095</v>
          </cell>
          <cell r="V4411" t="str">
            <v>Available</v>
          </cell>
        </row>
        <row r="4412">
          <cell r="A4412" t="str">
            <v>105300850018</v>
          </cell>
          <cell r="B4412" t="str">
            <v>Kalyanpur</v>
          </cell>
          <cell r="C4412" t="str">
            <v>Kalyanpur</v>
          </cell>
          <cell r="D4412" t="str">
            <v>GOMUKH SUSTA</v>
          </cell>
          <cell r="E4412">
            <v>10530085</v>
          </cell>
          <cell r="F4412" t="str">
            <v>0018</v>
          </cell>
          <cell r="G4412">
            <v>7</v>
          </cell>
          <cell r="H4412">
            <v>14.17</v>
          </cell>
          <cell r="I4412">
            <v>1200.7395263323685</v>
          </cell>
          <cell r="J4412">
            <v>0</v>
          </cell>
          <cell r="K4412">
            <v>0</v>
          </cell>
          <cell r="L4412">
            <v>0</v>
          </cell>
          <cell r="M4412">
            <v>0</v>
          </cell>
          <cell r="P4412">
            <v>1201</v>
          </cell>
          <cell r="V4412" t="str">
            <v>Available</v>
          </cell>
        </row>
        <row r="4413">
          <cell r="A4413" t="str">
            <v>105300850019</v>
          </cell>
          <cell r="B4413" t="str">
            <v>Kalyanpur</v>
          </cell>
          <cell r="C4413" t="str">
            <v>Kalyanpur</v>
          </cell>
          <cell r="D4413" t="str">
            <v>GOMUKH SUSTA</v>
          </cell>
          <cell r="E4413">
            <v>10530085</v>
          </cell>
          <cell r="F4413" t="str">
            <v>0019</v>
          </cell>
          <cell r="G4413">
            <v>10</v>
          </cell>
          <cell r="H4413">
            <v>48.11</v>
          </cell>
          <cell r="I4413">
            <v>2179.0726476464997</v>
          </cell>
          <cell r="J4413">
            <v>0</v>
          </cell>
          <cell r="K4413">
            <v>0</v>
          </cell>
          <cell r="L4413">
            <v>0</v>
          </cell>
          <cell r="M4413">
            <v>2179</v>
          </cell>
          <cell r="P4413">
            <v>0</v>
          </cell>
          <cell r="V4413" t="str">
            <v>Available</v>
          </cell>
        </row>
        <row r="4414">
          <cell r="A4414" t="str">
            <v>105300850020</v>
          </cell>
          <cell r="B4414" t="str">
            <v>Kalyanpur</v>
          </cell>
          <cell r="C4414" t="str">
            <v>Kalyanpur</v>
          </cell>
          <cell r="D4414" t="str">
            <v>GOMUKH SUSTA</v>
          </cell>
          <cell r="E4414">
            <v>10530085</v>
          </cell>
          <cell r="F4414" t="str">
            <v>0020</v>
          </cell>
          <cell r="G4414">
            <v>8</v>
          </cell>
          <cell r="H4414">
            <v>17.09</v>
          </cell>
          <cell r="I4414">
            <v>782.08061789804003</v>
          </cell>
          <cell r="J4414">
            <v>0</v>
          </cell>
          <cell r="K4414">
            <v>0</v>
          </cell>
          <cell r="L4414">
            <v>0</v>
          </cell>
          <cell r="M4414">
            <v>0</v>
          </cell>
          <cell r="P4414">
            <v>782</v>
          </cell>
          <cell r="V4414" t="str">
            <v>Available</v>
          </cell>
        </row>
        <row r="4415">
          <cell r="A4415" t="str">
            <v>105300850027</v>
          </cell>
          <cell r="B4415" t="str">
            <v>Kalyanpur</v>
          </cell>
          <cell r="C4415" t="str">
            <v>Kalyanpur</v>
          </cell>
          <cell r="D4415" t="str">
            <v>GOMUKH SUSTA</v>
          </cell>
          <cell r="E4415">
            <v>10530085</v>
          </cell>
          <cell r="F4415" t="str">
            <v>0027</v>
          </cell>
          <cell r="G4415">
            <v>8</v>
          </cell>
          <cell r="H4415">
            <v>48.43</v>
          </cell>
          <cell r="I4415">
            <v>2126.1553958057521</v>
          </cell>
          <cell r="J4415">
            <v>0</v>
          </cell>
          <cell r="K4415">
            <v>0</v>
          </cell>
          <cell r="L4415">
            <v>0</v>
          </cell>
          <cell r="M4415">
            <v>1350</v>
          </cell>
          <cell r="P4415">
            <v>776</v>
          </cell>
          <cell r="V4415" t="str">
            <v>Available</v>
          </cell>
        </row>
        <row r="4416">
          <cell r="A4416" t="str">
            <v>105300850030</v>
          </cell>
          <cell r="B4416" t="str">
            <v>Kalyanpur</v>
          </cell>
          <cell r="C4416" t="str">
            <v>Kalyanpur</v>
          </cell>
          <cell r="D4416" t="str">
            <v>GOMUKH SUSTA</v>
          </cell>
          <cell r="E4416">
            <v>10530085</v>
          </cell>
          <cell r="F4416" t="str">
            <v>0030</v>
          </cell>
          <cell r="G4416">
            <v>14</v>
          </cell>
          <cell r="H4416">
            <v>30.900000000000002</v>
          </cell>
          <cell r="I4416">
            <v>2011.39222409385</v>
          </cell>
          <cell r="J4416">
            <v>0</v>
          </cell>
          <cell r="K4416">
            <v>0</v>
          </cell>
          <cell r="L4416">
            <v>0</v>
          </cell>
          <cell r="M4416">
            <v>0</v>
          </cell>
          <cell r="P4416">
            <v>2011</v>
          </cell>
          <cell r="V4416" t="str">
            <v>Available</v>
          </cell>
        </row>
        <row r="4417">
          <cell r="A4417" t="str">
            <v>105300850032</v>
          </cell>
          <cell r="B4417" t="str">
            <v>Kalyanpur</v>
          </cell>
          <cell r="C4417" t="str">
            <v>Kalyanpur</v>
          </cell>
          <cell r="D4417" t="str">
            <v>GOMUKH SUSTA</v>
          </cell>
          <cell r="E4417">
            <v>10530085</v>
          </cell>
          <cell r="F4417" t="str">
            <v>0032</v>
          </cell>
          <cell r="G4417">
            <v>13</v>
          </cell>
          <cell r="H4417">
            <v>35.319999999999993</v>
          </cell>
          <cell r="I4417">
            <v>1315.8095561424002</v>
          </cell>
          <cell r="J4417">
            <v>0</v>
          </cell>
          <cell r="K4417">
            <v>0</v>
          </cell>
          <cell r="L4417">
            <v>0</v>
          </cell>
          <cell r="M4417">
            <v>0</v>
          </cell>
          <cell r="P4417">
            <v>1316</v>
          </cell>
          <cell r="V4417" t="str">
            <v>Available</v>
          </cell>
        </row>
        <row r="4418">
          <cell r="A4418" t="str">
            <v>105300850034</v>
          </cell>
          <cell r="B4418" t="str">
            <v>Kalyanpur</v>
          </cell>
          <cell r="C4418" t="str">
            <v>Kalyanpur</v>
          </cell>
          <cell r="D4418" t="str">
            <v>GOMUKH SUSTA</v>
          </cell>
          <cell r="E4418">
            <v>10530085</v>
          </cell>
          <cell r="F4418" t="str">
            <v>0034</v>
          </cell>
          <cell r="G4418">
            <v>13</v>
          </cell>
          <cell r="H4418">
            <v>39.159999999999997</v>
          </cell>
          <cell r="I4418">
            <v>1381.6137496392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  <cell r="P4418">
            <v>1382</v>
          </cell>
          <cell r="V4418" t="str">
            <v>Available</v>
          </cell>
        </row>
        <row r="4419">
          <cell r="A4419" t="str">
            <v>105300850037</v>
          </cell>
          <cell r="B4419" t="str">
            <v>Kalyanpur</v>
          </cell>
          <cell r="C4419" t="str">
            <v>Kalyanpur</v>
          </cell>
          <cell r="D4419" t="str">
            <v>GOMUKH SUSTA</v>
          </cell>
          <cell r="E4419">
            <v>10530085</v>
          </cell>
          <cell r="F4419" t="str">
            <v>0037</v>
          </cell>
          <cell r="G4419">
            <v>4</v>
          </cell>
          <cell r="H4419">
            <v>7.83</v>
          </cell>
          <cell r="I4419">
            <v>513.99690634308001</v>
          </cell>
          <cell r="J4419">
            <v>0</v>
          </cell>
          <cell r="K4419">
            <v>0</v>
          </cell>
          <cell r="L4419">
            <v>0</v>
          </cell>
          <cell r="M4419">
            <v>0</v>
          </cell>
          <cell r="P4419">
            <v>514</v>
          </cell>
          <cell r="V4419" t="str">
            <v>Available</v>
          </cell>
        </row>
        <row r="4420">
          <cell r="A4420" t="str">
            <v>105300850039</v>
          </cell>
          <cell r="B4420" t="str">
            <v>Kalyanpur</v>
          </cell>
          <cell r="C4420" t="str">
            <v>Kalyanpur</v>
          </cell>
          <cell r="D4420" t="str">
            <v>GOMUKH SUSTA</v>
          </cell>
          <cell r="E4420">
            <v>10530085</v>
          </cell>
          <cell r="F4420" t="str">
            <v>0039</v>
          </cell>
          <cell r="G4420">
            <v>1</v>
          </cell>
          <cell r="H4420">
            <v>2.06</v>
          </cell>
          <cell r="I4420">
            <v>59.932777766400008</v>
          </cell>
          <cell r="J4420">
            <v>0</v>
          </cell>
          <cell r="K4420">
            <v>0</v>
          </cell>
          <cell r="L4420">
            <v>0</v>
          </cell>
          <cell r="M4420">
            <v>0</v>
          </cell>
          <cell r="P4420">
            <v>60</v>
          </cell>
          <cell r="V4420" t="str">
            <v>Available</v>
          </cell>
        </row>
        <row r="4421">
          <cell r="A4421" t="str">
            <v>105300850040</v>
          </cell>
          <cell r="B4421" t="str">
            <v>Kalyanpur</v>
          </cell>
          <cell r="C4421" t="str">
            <v>Kalyanpur</v>
          </cell>
          <cell r="D4421" t="str">
            <v>GOMUKH SUSTA</v>
          </cell>
          <cell r="E4421">
            <v>10530085</v>
          </cell>
          <cell r="F4421" t="str">
            <v>0040</v>
          </cell>
          <cell r="G4421">
            <v>6</v>
          </cell>
          <cell r="H4421">
            <v>15.959999999999997</v>
          </cell>
          <cell r="I4421">
            <v>1092.29904181185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  <cell r="P4421">
            <v>1092</v>
          </cell>
          <cell r="V4421" t="str">
            <v>Available</v>
          </cell>
        </row>
        <row r="4422">
          <cell r="A4422" t="str">
            <v>105300850042</v>
          </cell>
          <cell r="B4422" t="str">
            <v>Kalyanpur</v>
          </cell>
          <cell r="C4422" t="str">
            <v>Kalyanpur</v>
          </cell>
          <cell r="D4422" t="str">
            <v>GOMUKH SUSTA</v>
          </cell>
          <cell r="E4422">
            <v>10530085</v>
          </cell>
          <cell r="F4422" t="str">
            <v>0042</v>
          </cell>
          <cell r="G4422">
            <v>11</v>
          </cell>
          <cell r="H4422">
            <v>136.62999999999997</v>
          </cell>
          <cell r="I4422">
            <v>4601.326820765401</v>
          </cell>
          <cell r="J4422">
            <v>0</v>
          </cell>
          <cell r="K4422">
            <v>0</v>
          </cell>
          <cell r="L4422">
            <v>0</v>
          </cell>
          <cell r="M4422">
            <v>0</v>
          </cell>
          <cell r="P4422">
            <v>4601</v>
          </cell>
          <cell r="V4422" t="str">
            <v>Available</v>
          </cell>
        </row>
        <row r="4423">
          <cell r="A4423" t="str">
            <v>105300850043</v>
          </cell>
          <cell r="B4423" t="str">
            <v>Kalyanpur</v>
          </cell>
          <cell r="C4423" t="str">
            <v>Kalyanpur</v>
          </cell>
          <cell r="D4423" t="str">
            <v>GOMUKH SUSTA</v>
          </cell>
          <cell r="E4423">
            <v>10530085</v>
          </cell>
          <cell r="F4423" t="str">
            <v>0043</v>
          </cell>
          <cell r="G4423">
            <v>7</v>
          </cell>
          <cell r="H4423">
            <v>23.92</v>
          </cell>
          <cell r="I4423">
            <v>902.04678123120004</v>
          </cell>
          <cell r="J4423">
            <v>0</v>
          </cell>
          <cell r="K4423">
            <v>0</v>
          </cell>
          <cell r="L4423">
            <v>0</v>
          </cell>
          <cell r="M4423">
            <v>0</v>
          </cell>
          <cell r="P4423">
            <v>902</v>
          </cell>
          <cell r="V4423" t="str">
            <v>Available</v>
          </cell>
        </row>
        <row r="4424">
          <cell r="A4424" t="str">
            <v>105300850044</v>
          </cell>
          <cell r="B4424" t="str">
            <v>Kalyanpur</v>
          </cell>
          <cell r="C4424" t="str">
            <v>Kalyanpur</v>
          </cell>
          <cell r="D4424" t="str">
            <v>GOMUKH SUSTA</v>
          </cell>
          <cell r="E4424">
            <v>10530085</v>
          </cell>
          <cell r="F4424" t="str">
            <v>0044</v>
          </cell>
          <cell r="G4424">
            <v>11</v>
          </cell>
          <cell r="H4424">
            <v>20.82</v>
          </cell>
          <cell r="I4424">
            <v>823.35108705300001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P4424">
            <v>823</v>
          </cell>
          <cell r="V4424" t="str">
            <v>Available</v>
          </cell>
        </row>
        <row r="4425">
          <cell r="A4425" t="str">
            <v>105300850046</v>
          </cell>
          <cell r="B4425" t="str">
            <v>Kalyanpur</v>
          </cell>
          <cell r="C4425" t="str">
            <v>Kalyanpur</v>
          </cell>
          <cell r="D4425" t="str">
            <v>GOMUKH SUSTA</v>
          </cell>
          <cell r="E4425">
            <v>10530085</v>
          </cell>
          <cell r="F4425" t="str">
            <v>0046</v>
          </cell>
          <cell r="G4425">
            <v>7</v>
          </cell>
          <cell r="H4425">
            <v>43.99</v>
          </cell>
          <cell r="I4425">
            <v>1691.1949405341302</v>
          </cell>
          <cell r="J4425">
            <v>0</v>
          </cell>
          <cell r="K4425">
            <v>0</v>
          </cell>
          <cell r="L4425">
            <v>0</v>
          </cell>
          <cell r="M4425">
            <v>1350</v>
          </cell>
          <cell r="P4425">
            <v>341</v>
          </cell>
          <cell r="V4425" t="str">
            <v>Available</v>
          </cell>
        </row>
        <row r="4426">
          <cell r="A4426" t="str">
            <v>105300850048</v>
          </cell>
          <cell r="B4426" t="str">
            <v>Kalyanpur</v>
          </cell>
          <cell r="C4426" t="str">
            <v>Kalyanpur</v>
          </cell>
          <cell r="D4426" t="str">
            <v>GOMUKH SUSTA</v>
          </cell>
          <cell r="E4426">
            <v>10530085</v>
          </cell>
          <cell r="F4426" t="str">
            <v>0048</v>
          </cell>
          <cell r="G4426">
            <v>6</v>
          </cell>
          <cell r="H4426">
            <v>9.2899999999999991</v>
          </cell>
          <cell r="I4426">
            <v>798.86254977048975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P4426">
            <v>799</v>
          </cell>
          <cell r="V4426" t="str">
            <v>Available</v>
          </cell>
        </row>
        <row r="4427">
          <cell r="A4427" t="str">
            <v>105300850049</v>
          </cell>
          <cell r="B4427" t="str">
            <v>Kalyanpur</v>
          </cell>
          <cell r="C4427" t="str">
            <v>Kalyanpur</v>
          </cell>
          <cell r="D4427" t="str">
            <v>GOMUKH SUSTA</v>
          </cell>
          <cell r="E4427">
            <v>10530085</v>
          </cell>
          <cell r="F4427" t="str">
            <v>0049</v>
          </cell>
          <cell r="G4427">
            <v>7</v>
          </cell>
          <cell r="H4427">
            <v>15.14</v>
          </cell>
          <cell r="I4427">
            <v>652.479875784</v>
          </cell>
          <cell r="J4427">
            <v>0</v>
          </cell>
          <cell r="K4427">
            <v>0</v>
          </cell>
          <cell r="L4427">
            <v>0</v>
          </cell>
          <cell r="M4427">
            <v>0</v>
          </cell>
          <cell r="P4427">
            <v>652</v>
          </cell>
          <cell r="V4427" t="str">
            <v>Available</v>
          </cell>
        </row>
        <row r="4428">
          <cell r="A4428" t="str">
            <v>105300850050</v>
          </cell>
          <cell r="B4428" t="str">
            <v>Kalyanpur</v>
          </cell>
          <cell r="C4428" t="str">
            <v>Kalyanpur</v>
          </cell>
          <cell r="D4428" t="str">
            <v>GOMUKH SUSTA</v>
          </cell>
          <cell r="E4428">
            <v>10530085</v>
          </cell>
          <cell r="F4428" t="str">
            <v>0050</v>
          </cell>
          <cell r="G4428">
            <v>6</v>
          </cell>
          <cell r="H4428">
            <v>17.73</v>
          </cell>
          <cell r="I4428">
            <v>594.44099288640007</v>
          </cell>
          <cell r="J4428">
            <v>0</v>
          </cell>
          <cell r="K4428">
            <v>0</v>
          </cell>
          <cell r="L4428">
            <v>0</v>
          </cell>
          <cell r="M4428">
            <v>0</v>
          </cell>
          <cell r="P4428">
            <v>594</v>
          </cell>
          <cell r="V4428" t="str">
            <v>Available</v>
          </cell>
        </row>
        <row r="4429">
          <cell r="A4429" t="str">
            <v>105300910001</v>
          </cell>
          <cell r="B4429" t="str">
            <v>Kalyanpur</v>
          </cell>
          <cell r="C4429" t="str">
            <v>Kalyanpur</v>
          </cell>
          <cell r="D4429" t="str">
            <v>GOMUKH TOKE</v>
          </cell>
          <cell r="E4429">
            <v>10530091</v>
          </cell>
          <cell r="F4429" t="str">
            <v>0001</v>
          </cell>
          <cell r="G4429">
            <v>13</v>
          </cell>
          <cell r="H4429">
            <v>6.5999999999999988</v>
          </cell>
          <cell r="I4429">
            <v>280.32339178795996</v>
          </cell>
          <cell r="J4429">
            <v>0</v>
          </cell>
          <cell r="K4429">
            <v>280.32339178795996</v>
          </cell>
          <cell r="L4429">
            <v>0</v>
          </cell>
          <cell r="M4429">
            <v>0</v>
          </cell>
          <cell r="P4429">
            <v>0</v>
          </cell>
          <cell r="V4429" t="str">
            <v>Not Available</v>
          </cell>
        </row>
        <row r="4430">
          <cell r="A4430" t="str">
            <v>105300910002</v>
          </cell>
          <cell r="B4430" t="str">
            <v>Kalyanpur</v>
          </cell>
          <cell r="C4430" t="str">
            <v>Kalyanpur</v>
          </cell>
          <cell r="D4430" t="str">
            <v>GOMUKH TOKE</v>
          </cell>
          <cell r="E4430">
            <v>10530091</v>
          </cell>
          <cell r="F4430" t="str">
            <v>0002</v>
          </cell>
          <cell r="G4430">
            <v>13</v>
          </cell>
          <cell r="H4430">
            <v>99.199999999999989</v>
          </cell>
          <cell r="I4430">
            <v>3807.3303635221901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  <cell r="P4430">
            <v>3726</v>
          </cell>
          <cell r="V4430" t="str">
            <v>Available</v>
          </cell>
        </row>
        <row r="4431">
          <cell r="A4431" t="str">
            <v>105300910003</v>
          </cell>
          <cell r="B4431" t="str">
            <v>Kalyanpur</v>
          </cell>
          <cell r="C4431" t="str">
            <v>Kalyanpur</v>
          </cell>
          <cell r="D4431" t="str">
            <v>GOMUKH TOKE</v>
          </cell>
          <cell r="E4431">
            <v>10530091</v>
          </cell>
          <cell r="F4431" t="str">
            <v>0003</v>
          </cell>
          <cell r="G4431">
            <v>11</v>
          </cell>
          <cell r="H4431">
            <v>24.700000000000006</v>
          </cell>
          <cell r="I4431">
            <v>921.40015526997513</v>
          </cell>
          <cell r="J4431">
            <v>0</v>
          </cell>
          <cell r="K4431">
            <v>0</v>
          </cell>
          <cell r="L4431">
            <v>0</v>
          </cell>
          <cell r="M4431">
            <v>0</v>
          </cell>
          <cell r="P4431">
            <v>921</v>
          </cell>
          <cell r="V4431" t="str">
            <v>Available</v>
          </cell>
        </row>
        <row r="4432">
          <cell r="A4432" t="str">
            <v>105300910004</v>
          </cell>
          <cell r="B4432" t="str">
            <v>Kalyanpur</v>
          </cell>
          <cell r="C4432" t="str">
            <v>Kalyanpur</v>
          </cell>
          <cell r="D4432" t="str">
            <v>GOMUKH TOKE</v>
          </cell>
          <cell r="E4432">
            <v>10530091</v>
          </cell>
          <cell r="F4432" t="str">
            <v>0004</v>
          </cell>
          <cell r="G4432">
            <v>1</v>
          </cell>
          <cell r="H4432">
            <v>2</v>
          </cell>
          <cell r="I4432">
            <v>96.177647278800009</v>
          </cell>
          <cell r="J4432">
            <v>0</v>
          </cell>
          <cell r="K4432">
            <v>0</v>
          </cell>
          <cell r="L4432">
            <v>0</v>
          </cell>
          <cell r="M4432">
            <v>0</v>
          </cell>
          <cell r="P4432">
            <v>96</v>
          </cell>
          <cell r="V4432" t="str">
            <v>Available</v>
          </cell>
        </row>
        <row r="4433">
          <cell r="A4433" t="str">
            <v>105300910005</v>
          </cell>
          <cell r="B4433" t="str">
            <v>Kalyanpur</v>
          </cell>
          <cell r="C4433" t="str">
            <v>Kalyanpur</v>
          </cell>
          <cell r="D4433" t="str">
            <v>GOMUKH TOKE</v>
          </cell>
          <cell r="E4433">
            <v>10530091</v>
          </cell>
          <cell r="F4433" t="str">
            <v>0005</v>
          </cell>
          <cell r="G4433">
            <v>4</v>
          </cell>
          <cell r="H4433">
            <v>6.8</v>
          </cell>
          <cell r="I4433">
            <v>438.00209570100003</v>
          </cell>
          <cell r="J4433">
            <v>0</v>
          </cell>
          <cell r="K4433">
            <v>0</v>
          </cell>
          <cell r="L4433">
            <v>0</v>
          </cell>
          <cell r="M4433">
            <v>0</v>
          </cell>
          <cell r="P4433">
            <v>438</v>
          </cell>
          <cell r="V4433" t="str">
            <v>Available</v>
          </cell>
        </row>
        <row r="4434">
          <cell r="A4434" t="str">
            <v>105300910008</v>
          </cell>
          <cell r="B4434" t="str">
            <v>Kalyanpur</v>
          </cell>
          <cell r="C4434" t="str">
            <v>Kalyanpur</v>
          </cell>
          <cell r="D4434" t="str">
            <v>GOMUKH TOKE</v>
          </cell>
          <cell r="E4434">
            <v>10530091</v>
          </cell>
          <cell r="F4434" t="str">
            <v>0008</v>
          </cell>
          <cell r="G4434">
            <v>2</v>
          </cell>
          <cell r="H4434">
            <v>2.4</v>
          </cell>
          <cell r="I4434">
            <v>178.58566121759998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P4434">
            <v>179</v>
          </cell>
          <cell r="V4434" t="str">
            <v>Available</v>
          </cell>
        </row>
        <row r="4435">
          <cell r="A4435" t="str">
            <v>105300910011</v>
          </cell>
          <cell r="B4435" t="str">
            <v>Kalyanpur</v>
          </cell>
          <cell r="C4435" t="str">
            <v>Kalyanpur</v>
          </cell>
          <cell r="D4435" t="str">
            <v>GOMUKH TOKE</v>
          </cell>
          <cell r="E4435">
            <v>10530091</v>
          </cell>
          <cell r="F4435" t="str">
            <v>0011</v>
          </cell>
          <cell r="G4435">
            <v>4</v>
          </cell>
          <cell r="H4435">
            <v>15.7</v>
          </cell>
          <cell r="I4435">
            <v>916.15144289719001</v>
          </cell>
          <cell r="J4435">
            <v>0</v>
          </cell>
          <cell r="K4435">
            <v>0</v>
          </cell>
          <cell r="L4435">
            <v>0</v>
          </cell>
          <cell r="M4435">
            <v>0</v>
          </cell>
          <cell r="P4435">
            <v>916</v>
          </cell>
          <cell r="V4435" t="str">
            <v>Available</v>
          </cell>
        </row>
        <row r="4436">
          <cell r="A4436" t="str">
            <v>105300910013</v>
          </cell>
          <cell r="B4436" t="str">
            <v>Kalyanpur</v>
          </cell>
          <cell r="C4436" t="str">
            <v>Kalyanpur</v>
          </cell>
          <cell r="D4436" t="str">
            <v>GOMUKH TOKE</v>
          </cell>
          <cell r="E4436">
            <v>10530091</v>
          </cell>
          <cell r="F4436" t="str">
            <v>0013</v>
          </cell>
          <cell r="G4436">
            <v>3</v>
          </cell>
          <cell r="H4436">
            <v>3.9000000000000004</v>
          </cell>
          <cell r="I4436">
            <v>274.24868753560003</v>
          </cell>
          <cell r="J4436">
            <v>0</v>
          </cell>
          <cell r="K4436">
            <v>0</v>
          </cell>
          <cell r="L4436">
            <v>0</v>
          </cell>
          <cell r="M4436">
            <v>0</v>
          </cell>
          <cell r="P4436">
            <v>274</v>
          </cell>
          <cell r="V4436" t="str">
            <v>Available</v>
          </cell>
        </row>
        <row r="4437">
          <cell r="A4437" t="str">
            <v>105300910014</v>
          </cell>
          <cell r="B4437" t="str">
            <v>Kalyanpur</v>
          </cell>
          <cell r="C4437" t="str">
            <v>Kalyanpur</v>
          </cell>
          <cell r="D4437" t="str">
            <v>GOMUKH TOKE</v>
          </cell>
          <cell r="E4437">
            <v>10530091</v>
          </cell>
          <cell r="F4437" t="str">
            <v>0014</v>
          </cell>
          <cell r="G4437">
            <v>12</v>
          </cell>
          <cell r="H4437">
            <v>18.400000000000002</v>
          </cell>
          <cell r="I4437">
            <v>1283.6724905615199</v>
          </cell>
          <cell r="J4437">
            <v>0</v>
          </cell>
          <cell r="K4437">
            <v>0</v>
          </cell>
          <cell r="L4437">
            <v>0</v>
          </cell>
          <cell r="M4437">
            <v>0</v>
          </cell>
          <cell r="P4437">
            <v>1284</v>
          </cell>
          <cell r="V4437" t="str">
            <v>Available</v>
          </cell>
        </row>
        <row r="4438">
          <cell r="A4438" t="str">
            <v>105300910024</v>
          </cell>
          <cell r="B4438" t="str">
            <v>Kalyanpur</v>
          </cell>
          <cell r="C4438" t="str">
            <v>Kalyanpur</v>
          </cell>
          <cell r="D4438" t="str">
            <v>GOMUKH TOKE</v>
          </cell>
          <cell r="E4438">
            <v>10530091</v>
          </cell>
          <cell r="F4438" t="str">
            <v>0024</v>
          </cell>
          <cell r="G4438">
            <v>8</v>
          </cell>
          <cell r="H4438">
            <v>11.8</v>
          </cell>
          <cell r="I4438">
            <v>756.85647321697991</v>
          </cell>
          <cell r="J4438">
            <v>0</v>
          </cell>
          <cell r="K4438">
            <v>0</v>
          </cell>
          <cell r="L4438">
            <v>0</v>
          </cell>
          <cell r="M4438">
            <v>0</v>
          </cell>
          <cell r="P4438">
            <v>757</v>
          </cell>
          <cell r="V4438" t="str">
            <v>Available</v>
          </cell>
        </row>
        <row r="4439">
          <cell r="A4439" t="str">
            <v>105300910026</v>
          </cell>
          <cell r="B4439" t="str">
            <v>Kalyanpur</v>
          </cell>
          <cell r="C4439" t="str">
            <v>Kalyanpur</v>
          </cell>
          <cell r="D4439" t="str">
            <v>GOMUKH TOKE</v>
          </cell>
          <cell r="E4439">
            <v>10530091</v>
          </cell>
          <cell r="F4439" t="str">
            <v>0026</v>
          </cell>
          <cell r="G4439">
            <v>4</v>
          </cell>
          <cell r="H4439">
            <v>5</v>
          </cell>
          <cell r="I4439">
            <v>199.56294864</v>
          </cell>
          <cell r="J4439">
            <v>0</v>
          </cell>
          <cell r="K4439">
            <v>0</v>
          </cell>
          <cell r="L4439">
            <v>0</v>
          </cell>
          <cell r="M4439">
            <v>0</v>
          </cell>
          <cell r="P4439">
            <v>200</v>
          </cell>
          <cell r="V4439" t="str">
            <v>Available</v>
          </cell>
        </row>
        <row r="4440">
          <cell r="A4440" t="str">
            <v>105300910028</v>
          </cell>
          <cell r="B4440" t="str">
            <v>Kalyanpur</v>
          </cell>
          <cell r="C4440" t="str">
            <v>Kalyanpur</v>
          </cell>
          <cell r="D4440" t="str">
            <v>GOMUKH TOKE</v>
          </cell>
          <cell r="E4440">
            <v>10530091</v>
          </cell>
          <cell r="F4440" t="str">
            <v>0028</v>
          </cell>
          <cell r="G4440">
            <v>12</v>
          </cell>
          <cell r="H4440">
            <v>26.4</v>
          </cell>
          <cell r="I4440">
            <v>1534.0428448280002</v>
          </cell>
          <cell r="J4440">
            <v>0</v>
          </cell>
          <cell r="K4440">
            <v>0</v>
          </cell>
          <cell r="L4440">
            <v>0</v>
          </cell>
          <cell r="M4440">
            <v>0</v>
          </cell>
          <cell r="P4440">
            <v>1534</v>
          </cell>
          <cell r="V4440" t="str">
            <v>Available</v>
          </cell>
        </row>
        <row r="4441">
          <cell r="A4441" t="str">
            <v>105300910033</v>
          </cell>
          <cell r="B4441" t="str">
            <v>Kalyanpur</v>
          </cell>
          <cell r="C4441" t="str">
            <v>Kalyanpur</v>
          </cell>
          <cell r="D4441" t="str">
            <v>GOMUKH TOKE</v>
          </cell>
          <cell r="E4441">
            <v>10530091</v>
          </cell>
          <cell r="F4441" t="str">
            <v>0033</v>
          </cell>
          <cell r="G4441">
            <v>13</v>
          </cell>
          <cell r="H4441">
            <v>23.9</v>
          </cell>
          <cell r="I4441">
            <v>780.00561183600007</v>
          </cell>
          <cell r="J4441">
            <v>0</v>
          </cell>
          <cell r="K4441">
            <v>0</v>
          </cell>
          <cell r="L4441">
            <v>0</v>
          </cell>
          <cell r="M4441">
            <v>0</v>
          </cell>
          <cell r="P4441">
            <v>780</v>
          </cell>
          <cell r="V4441" t="str">
            <v>Available</v>
          </cell>
        </row>
        <row r="4442">
          <cell r="A4442" t="str">
            <v>105300910034</v>
          </cell>
          <cell r="B4442" t="str">
            <v>Kalyanpur</v>
          </cell>
          <cell r="C4442" t="str">
            <v>Kalyanpur</v>
          </cell>
          <cell r="D4442" t="str">
            <v>GOMUKH TOKE</v>
          </cell>
          <cell r="E4442">
            <v>10530091</v>
          </cell>
          <cell r="F4442" t="str">
            <v>0034</v>
          </cell>
          <cell r="G4442">
            <v>2</v>
          </cell>
          <cell r="H4442">
            <v>1.9</v>
          </cell>
          <cell r="I4442">
            <v>77.787417602400012</v>
          </cell>
          <cell r="J4442">
            <v>0</v>
          </cell>
          <cell r="K4442">
            <v>0</v>
          </cell>
          <cell r="L4442">
            <v>0</v>
          </cell>
          <cell r="M4442">
            <v>0</v>
          </cell>
          <cell r="P4442">
            <v>78</v>
          </cell>
          <cell r="V4442" t="str">
            <v>Available</v>
          </cell>
        </row>
        <row r="4443">
          <cell r="A4443" t="str">
            <v>105300910041</v>
          </cell>
          <cell r="B4443" t="str">
            <v>Kalyanpur</v>
          </cell>
          <cell r="C4443" t="str">
            <v>Kalyanpur</v>
          </cell>
          <cell r="D4443" t="str">
            <v>GOMUKH TOKE</v>
          </cell>
          <cell r="E4443">
            <v>10530091</v>
          </cell>
          <cell r="F4443" t="str">
            <v>0041</v>
          </cell>
          <cell r="G4443">
            <v>10</v>
          </cell>
          <cell r="H4443">
            <v>17.400000000000002</v>
          </cell>
          <cell r="I4443">
            <v>568.98567376200015</v>
          </cell>
          <cell r="J4443">
            <v>0</v>
          </cell>
          <cell r="K4443">
            <v>0</v>
          </cell>
          <cell r="L4443">
            <v>0</v>
          </cell>
          <cell r="M4443">
            <v>0</v>
          </cell>
          <cell r="P4443">
            <v>569</v>
          </cell>
          <cell r="V4443" t="str">
            <v>Available</v>
          </cell>
        </row>
        <row r="4444">
          <cell r="A4444" t="str">
            <v>105300920001</v>
          </cell>
          <cell r="B4444" t="str">
            <v>Kalyanpur</v>
          </cell>
          <cell r="C4444" t="str">
            <v>Kalyanpur</v>
          </cell>
          <cell r="D4444" t="str">
            <v>GOMUKH SHIVNAGAR</v>
          </cell>
          <cell r="E4444">
            <v>10530092</v>
          </cell>
          <cell r="F4444" t="str">
            <v>0001</v>
          </cell>
          <cell r="G4444">
            <v>13</v>
          </cell>
          <cell r="H4444">
            <v>21.400000000000002</v>
          </cell>
          <cell r="I4444">
            <v>845.18438490900019</v>
          </cell>
          <cell r="J4444">
            <v>0</v>
          </cell>
          <cell r="K4444">
            <v>845.18438490900019</v>
          </cell>
          <cell r="L4444">
            <v>0</v>
          </cell>
          <cell r="M4444">
            <v>0</v>
          </cell>
          <cell r="P4444">
            <v>0</v>
          </cell>
          <cell r="V4444" t="str">
            <v>Not Available</v>
          </cell>
        </row>
        <row r="4445">
          <cell r="A4445" t="str">
            <v>105300920002</v>
          </cell>
          <cell r="B4445" t="str">
            <v>Kalyanpur</v>
          </cell>
          <cell r="C4445" t="str">
            <v>Kalyanpur</v>
          </cell>
          <cell r="D4445" t="str">
            <v>GOMUKH SHIVNAGAR</v>
          </cell>
          <cell r="E4445">
            <v>10530092</v>
          </cell>
          <cell r="F4445" t="str">
            <v>0002</v>
          </cell>
          <cell r="G4445">
            <v>2</v>
          </cell>
          <cell r="H4445">
            <v>3.4</v>
          </cell>
          <cell r="I4445">
            <v>115.42952678400002</v>
          </cell>
          <cell r="J4445">
            <v>0</v>
          </cell>
          <cell r="K4445">
            <v>0</v>
          </cell>
          <cell r="L4445">
            <v>0</v>
          </cell>
          <cell r="M4445">
            <v>0</v>
          </cell>
          <cell r="P4445">
            <v>115</v>
          </cell>
          <cell r="V4445" t="str">
            <v>Available</v>
          </cell>
        </row>
        <row r="4446">
          <cell r="A4446" t="str">
            <v>105300920003</v>
          </cell>
          <cell r="B4446" t="str">
            <v>Kalyanpur</v>
          </cell>
          <cell r="C4446" t="str">
            <v>Kalyanpur</v>
          </cell>
          <cell r="D4446" t="str">
            <v>GOMUKH SHIVNAGAR</v>
          </cell>
          <cell r="E4446">
            <v>10530092</v>
          </cell>
          <cell r="F4446" t="str">
            <v>0003</v>
          </cell>
          <cell r="G4446">
            <v>14</v>
          </cell>
          <cell r="H4446">
            <v>453.3</v>
          </cell>
          <cell r="I4446">
            <v>17991.552745527002</v>
          </cell>
          <cell r="J4446">
            <v>0</v>
          </cell>
          <cell r="K4446">
            <v>0</v>
          </cell>
          <cell r="L4446">
            <v>0</v>
          </cell>
          <cell r="M4446">
            <v>3024</v>
          </cell>
          <cell r="P4446">
            <v>14968</v>
          </cell>
          <cell r="V4446" t="str">
            <v>Available</v>
          </cell>
        </row>
        <row r="4447">
          <cell r="A4447" t="str">
            <v>105300920004</v>
          </cell>
          <cell r="B4447" t="str">
            <v>Kalyanpur</v>
          </cell>
          <cell r="C4447" t="str">
            <v>Kalyanpur</v>
          </cell>
          <cell r="D4447" t="str">
            <v>GOMUKH SHIVNAGAR</v>
          </cell>
          <cell r="E4447">
            <v>10530092</v>
          </cell>
          <cell r="F4447" t="str">
            <v>0004</v>
          </cell>
          <cell r="G4447">
            <v>13</v>
          </cell>
          <cell r="H4447">
            <v>25.400000000000006</v>
          </cell>
          <cell r="I4447">
            <v>979.65803923680028</v>
          </cell>
          <cell r="J4447">
            <v>0</v>
          </cell>
          <cell r="K4447">
            <v>0</v>
          </cell>
          <cell r="L4447">
            <v>0</v>
          </cell>
          <cell r="M4447">
            <v>0</v>
          </cell>
          <cell r="P4447">
            <v>980</v>
          </cell>
          <cell r="V4447" t="str">
            <v>Available</v>
          </cell>
        </row>
        <row r="4448">
          <cell r="A4448" t="str">
            <v>105300920005</v>
          </cell>
          <cell r="B4448" t="str">
            <v>Kalyanpur</v>
          </cell>
          <cell r="C4448" t="str">
            <v>Kalyanpur</v>
          </cell>
          <cell r="D4448" t="str">
            <v>GOMUKH SHIVNAGAR</v>
          </cell>
          <cell r="E4448">
            <v>10530092</v>
          </cell>
          <cell r="F4448" t="str">
            <v>0005</v>
          </cell>
          <cell r="G4448">
            <v>1</v>
          </cell>
          <cell r="H4448">
            <v>2.9</v>
          </cell>
          <cell r="I4448">
            <v>93.789138960000017</v>
          </cell>
          <cell r="J4448">
            <v>0</v>
          </cell>
          <cell r="K4448">
            <v>0</v>
          </cell>
          <cell r="L4448">
            <v>0</v>
          </cell>
          <cell r="M4448">
            <v>0</v>
          </cell>
          <cell r="P4448">
            <v>94</v>
          </cell>
          <cell r="V4448" t="str">
            <v>Available</v>
          </cell>
        </row>
        <row r="4449">
          <cell r="A4449" t="str">
            <v>105300920007</v>
          </cell>
          <cell r="B4449" t="str">
            <v>Kalyanpur</v>
          </cell>
          <cell r="C4449" t="str">
            <v>Kalyanpur</v>
          </cell>
          <cell r="D4449" t="str">
            <v>GOMUKH SHIVNAGAR</v>
          </cell>
          <cell r="E4449">
            <v>10530092</v>
          </cell>
          <cell r="F4449" t="str">
            <v>0007</v>
          </cell>
          <cell r="G4449">
            <v>8</v>
          </cell>
          <cell r="H4449">
            <v>21.5</v>
          </cell>
          <cell r="I4449">
            <v>945.50781225600019</v>
          </cell>
          <cell r="J4449">
            <v>0</v>
          </cell>
          <cell r="K4449">
            <v>0</v>
          </cell>
          <cell r="L4449">
            <v>0</v>
          </cell>
          <cell r="M4449">
            <v>946</v>
          </cell>
          <cell r="P4449">
            <v>0</v>
          </cell>
          <cell r="V4449" t="str">
            <v>Available</v>
          </cell>
        </row>
        <row r="4450">
          <cell r="A4450" t="str">
            <v>105300920008</v>
          </cell>
          <cell r="B4450" t="str">
            <v>Kalyanpur</v>
          </cell>
          <cell r="C4450" t="str">
            <v>Kalyanpur</v>
          </cell>
          <cell r="D4450" t="str">
            <v>GOMUKH SHIVNAGAR</v>
          </cell>
          <cell r="E4450">
            <v>10530092</v>
          </cell>
          <cell r="F4450" t="str">
            <v>0008</v>
          </cell>
          <cell r="G4450">
            <v>14</v>
          </cell>
          <cell r="H4450">
            <v>73.5</v>
          </cell>
          <cell r="I4450">
            <v>2494.2615338520009</v>
          </cell>
          <cell r="J4450">
            <v>0</v>
          </cell>
          <cell r="K4450">
            <v>0</v>
          </cell>
          <cell r="L4450">
            <v>0</v>
          </cell>
          <cell r="M4450">
            <v>0</v>
          </cell>
          <cell r="P4450">
            <v>2494</v>
          </cell>
          <cell r="V4450" t="str">
            <v>Available</v>
          </cell>
        </row>
        <row r="4451">
          <cell r="A4451" t="str">
            <v>105300920009</v>
          </cell>
          <cell r="B4451" t="str">
            <v>Kalyanpur</v>
          </cell>
          <cell r="C4451" t="str">
            <v>Kalyanpur</v>
          </cell>
          <cell r="D4451" t="str">
            <v>GOMUKH SHIVNAGAR</v>
          </cell>
          <cell r="E4451">
            <v>10530092</v>
          </cell>
          <cell r="F4451" t="str">
            <v>0009</v>
          </cell>
          <cell r="G4451">
            <v>14</v>
          </cell>
          <cell r="H4451">
            <v>182</v>
          </cell>
          <cell r="I4451">
            <v>6357.1365999900008</v>
          </cell>
          <cell r="J4451">
            <v>0</v>
          </cell>
          <cell r="K4451">
            <v>0</v>
          </cell>
          <cell r="L4451">
            <v>0</v>
          </cell>
          <cell r="M4451">
            <v>1500</v>
          </cell>
          <cell r="P4451">
            <v>4857</v>
          </cell>
          <cell r="V4451" t="str">
            <v>Available</v>
          </cell>
        </row>
        <row r="4452">
          <cell r="A4452" t="str">
            <v>105300920011</v>
          </cell>
          <cell r="B4452" t="str">
            <v>Kalyanpur</v>
          </cell>
          <cell r="C4452" t="str">
            <v>Kalyanpur</v>
          </cell>
          <cell r="D4452" t="str">
            <v>GOMUKH SHIVNAGAR</v>
          </cell>
          <cell r="E4452">
            <v>10530092</v>
          </cell>
          <cell r="F4452" t="str">
            <v>0011</v>
          </cell>
          <cell r="G4452">
            <v>4</v>
          </cell>
          <cell r="H4452">
            <v>10</v>
          </cell>
          <cell r="I4452">
            <v>457.88784454200004</v>
          </cell>
          <cell r="J4452">
            <v>0</v>
          </cell>
          <cell r="K4452">
            <v>0</v>
          </cell>
          <cell r="L4452">
            <v>0</v>
          </cell>
          <cell r="M4452">
            <v>0</v>
          </cell>
          <cell r="P4452">
            <v>458</v>
          </cell>
          <cell r="V4452" t="str">
            <v>Available</v>
          </cell>
        </row>
        <row r="4453">
          <cell r="A4453" t="str">
            <v>105300920012</v>
          </cell>
          <cell r="B4453" t="str">
            <v>Kalyanpur</v>
          </cell>
          <cell r="C4453" t="str">
            <v>Kalyanpur</v>
          </cell>
          <cell r="D4453" t="str">
            <v>GOMUKH SHIVNAGAR</v>
          </cell>
          <cell r="E4453">
            <v>10530092</v>
          </cell>
          <cell r="F4453" t="str">
            <v>0012</v>
          </cell>
          <cell r="G4453">
            <v>5</v>
          </cell>
          <cell r="H4453">
            <v>14.100000000000001</v>
          </cell>
          <cell r="I4453">
            <v>501.99819516000002</v>
          </cell>
          <cell r="J4453">
            <v>0</v>
          </cell>
          <cell r="K4453">
            <v>0</v>
          </cell>
          <cell r="L4453">
            <v>0</v>
          </cell>
          <cell r="M4453">
            <v>0</v>
          </cell>
          <cell r="P4453">
            <v>502</v>
          </cell>
          <cell r="V4453" t="str">
            <v>Not Available</v>
          </cell>
        </row>
        <row r="4454">
          <cell r="A4454" t="str">
            <v>105300920014</v>
          </cell>
          <cell r="B4454" t="str">
            <v>Kalyanpur</v>
          </cell>
          <cell r="C4454" t="str">
            <v>Kalyanpur</v>
          </cell>
          <cell r="D4454" t="str">
            <v>GOMUKH SHIVNAGAR</v>
          </cell>
          <cell r="E4454">
            <v>10530092</v>
          </cell>
          <cell r="F4454" t="str">
            <v>0014</v>
          </cell>
          <cell r="G4454">
            <v>7</v>
          </cell>
          <cell r="H4454">
            <v>18.000000000000004</v>
          </cell>
          <cell r="I4454">
            <v>798.531354308</v>
          </cell>
          <cell r="J4454">
            <v>0</v>
          </cell>
          <cell r="K4454">
            <v>0</v>
          </cell>
          <cell r="L4454">
            <v>0</v>
          </cell>
          <cell r="M4454">
            <v>0</v>
          </cell>
          <cell r="P4454">
            <v>799</v>
          </cell>
          <cell r="V4454" t="str">
            <v>Not Available</v>
          </cell>
        </row>
        <row r="4455">
          <cell r="A4455" t="str">
            <v>105300920016</v>
          </cell>
          <cell r="B4455" t="str">
            <v>Kalyanpur</v>
          </cell>
          <cell r="C4455" t="str">
            <v>Kalyanpur</v>
          </cell>
          <cell r="D4455" t="str">
            <v>GOMUKH SHIVNAGAR</v>
          </cell>
          <cell r="E4455">
            <v>10530092</v>
          </cell>
          <cell r="F4455" t="str">
            <v>0016</v>
          </cell>
          <cell r="G4455">
            <v>13</v>
          </cell>
          <cell r="H4455">
            <v>22</v>
          </cell>
          <cell r="I4455">
            <v>1374.1094853488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  <cell r="P4455">
            <v>1374</v>
          </cell>
          <cell r="V4455" t="str">
            <v>Not Available</v>
          </cell>
        </row>
        <row r="4456">
          <cell r="A4456" t="str">
            <v>105300920017</v>
          </cell>
          <cell r="B4456" t="str">
            <v>Kalyanpur</v>
          </cell>
          <cell r="C4456" t="str">
            <v>Kalyanpur</v>
          </cell>
          <cell r="D4456" t="str">
            <v>GOMUKH SHIVNAGAR</v>
          </cell>
          <cell r="E4456">
            <v>10530092</v>
          </cell>
          <cell r="F4456" t="str">
            <v>0017</v>
          </cell>
          <cell r="G4456">
            <v>10</v>
          </cell>
          <cell r="H4456">
            <v>19.600000000000001</v>
          </cell>
          <cell r="I4456">
            <v>634.9705536240001</v>
          </cell>
          <cell r="J4456">
            <v>0</v>
          </cell>
          <cell r="K4456">
            <v>0</v>
          </cell>
          <cell r="L4456">
            <v>0</v>
          </cell>
          <cell r="M4456">
            <v>0</v>
          </cell>
          <cell r="P4456">
            <v>635</v>
          </cell>
          <cell r="V4456" t="str">
            <v>Not Available</v>
          </cell>
        </row>
        <row r="4457">
          <cell r="A4457" t="str">
            <v>105300920018</v>
          </cell>
          <cell r="B4457" t="str">
            <v>Kalyanpur</v>
          </cell>
          <cell r="C4457" t="str">
            <v>Kalyanpur</v>
          </cell>
          <cell r="D4457" t="str">
            <v>GOMUKH SHIVNAGAR</v>
          </cell>
          <cell r="E4457">
            <v>10530092</v>
          </cell>
          <cell r="F4457" t="str">
            <v>0018</v>
          </cell>
          <cell r="G4457">
            <v>9</v>
          </cell>
          <cell r="H4457">
            <v>27.8</v>
          </cell>
          <cell r="I4457">
            <v>1113.70094748</v>
          </cell>
          <cell r="J4457">
            <v>0</v>
          </cell>
          <cell r="K4457">
            <v>0</v>
          </cell>
          <cell r="L4457">
            <v>0</v>
          </cell>
          <cell r="M4457">
            <v>0</v>
          </cell>
          <cell r="P4457">
            <v>1114</v>
          </cell>
          <cell r="V4457" t="str">
            <v>Not Available</v>
          </cell>
        </row>
        <row r="4458">
          <cell r="A4458" t="str">
            <v>105300920019</v>
          </cell>
          <cell r="B4458" t="str">
            <v>Kalyanpur</v>
          </cell>
          <cell r="C4458" t="str">
            <v>Kalyanpur</v>
          </cell>
          <cell r="D4458" t="str">
            <v>GOMUKH SHIVNAGAR</v>
          </cell>
          <cell r="E4458">
            <v>10530092</v>
          </cell>
          <cell r="F4458" t="str">
            <v>0019</v>
          </cell>
          <cell r="G4458">
            <v>5</v>
          </cell>
          <cell r="H4458">
            <v>12.200000000000001</v>
          </cell>
          <cell r="I4458">
            <v>390.01059523800001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P4458">
            <v>390</v>
          </cell>
          <cell r="V4458" t="str">
            <v>Not Available</v>
          </cell>
        </row>
        <row r="4459">
          <cell r="A4459" t="str">
            <v>105300920020</v>
          </cell>
          <cell r="B4459" t="str">
            <v>Kalyanpur</v>
          </cell>
          <cell r="C4459" t="str">
            <v>Kalyanpur</v>
          </cell>
          <cell r="D4459" t="str">
            <v>GOMUKH SHIVNAGAR</v>
          </cell>
          <cell r="E4459">
            <v>10530092</v>
          </cell>
          <cell r="F4459" t="str">
            <v>0020</v>
          </cell>
          <cell r="G4459">
            <v>9</v>
          </cell>
          <cell r="H4459">
            <v>21.6</v>
          </cell>
          <cell r="I4459">
            <v>1216.0833722172001</v>
          </cell>
          <cell r="J4459">
            <v>0</v>
          </cell>
          <cell r="K4459">
            <v>0</v>
          </cell>
          <cell r="L4459">
            <v>0</v>
          </cell>
          <cell r="M4459">
            <v>0</v>
          </cell>
          <cell r="P4459">
            <v>1216</v>
          </cell>
          <cell r="V4459" t="str">
            <v>Not Available</v>
          </cell>
        </row>
        <row r="4460">
          <cell r="A4460" t="str">
            <v>105300920021</v>
          </cell>
          <cell r="B4460" t="str">
            <v>Kalyanpur</v>
          </cell>
          <cell r="C4460" t="str">
            <v>Kalyanpur</v>
          </cell>
          <cell r="D4460" t="str">
            <v>GOMUKH SHIVNAGAR</v>
          </cell>
          <cell r="E4460">
            <v>10530092</v>
          </cell>
          <cell r="F4460" t="str">
            <v>0021</v>
          </cell>
          <cell r="G4460">
            <v>13</v>
          </cell>
          <cell r="H4460">
            <v>25.100000000000005</v>
          </cell>
          <cell r="I4460">
            <v>1552.60038266275</v>
          </cell>
          <cell r="J4460">
            <v>0</v>
          </cell>
          <cell r="K4460">
            <v>0</v>
          </cell>
          <cell r="L4460">
            <v>0</v>
          </cell>
          <cell r="M4460">
            <v>0</v>
          </cell>
          <cell r="P4460">
            <v>1553</v>
          </cell>
          <cell r="V4460" t="str">
            <v>Available</v>
          </cell>
        </row>
        <row r="4461">
          <cell r="A4461" t="str">
            <v>105300920022</v>
          </cell>
          <cell r="B4461" t="str">
            <v>Kalyanpur</v>
          </cell>
          <cell r="C4461" t="str">
            <v>Kalyanpur</v>
          </cell>
          <cell r="D4461" t="str">
            <v>GOMUKH SHIVNAGAR</v>
          </cell>
          <cell r="E4461">
            <v>10530092</v>
          </cell>
          <cell r="F4461" t="str">
            <v>0022</v>
          </cell>
          <cell r="G4461">
            <v>12</v>
          </cell>
          <cell r="H4461">
            <v>38.200000000000003</v>
          </cell>
          <cell r="I4461">
            <v>1783.1230962270004</v>
          </cell>
          <cell r="J4461">
            <v>0</v>
          </cell>
          <cell r="K4461">
            <v>0</v>
          </cell>
          <cell r="L4461">
            <v>0</v>
          </cell>
          <cell r="M4461">
            <v>0</v>
          </cell>
          <cell r="P4461">
            <v>1783</v>
          </cell>
          <cell r="V4461" t="str">
            <v>Not Available</v>
          </cell>
        </row>
        <row r="4462">
          <cell r="A4462" t="str">
            <v>105300920023</v>
          </cell>
          <cell r="B4462" t="str">
            <v>Kalyanpur</v>
          </cell>
          <cell r="C4462" t="str">
            <v>Kalyanpur</v>
          </cell>
          <cell r="D4462" t="str">
            <v>GOMUKH SHIVNAGAR</v>
          </cell>
          <cell r="E4462">
            <v>10530092</v>
          </cell>
          <cell r="F4462" t="str">
            <v>0023</v>
          </cell>
          <cell r="G4462">
            <v>7</v>
          </cell>
          <cell r="H4462">
            <v>20.299999999999997</v>
          </cell>
          <cell r="I4462">
            <v>659.24852439599999</v>
          </cell>
          <cell r="J4462">
            <v>0</v>
          </cell>
          <cell r="K4462">
            <v>0</v>
          </cell>
          <cell r="L4462">
            <v>0</v>
          </cell>
          <cell r="M4462">
            <v>0</v>
          </cell>
          <cell r="P4462">
            <v>659</v>
          </cell>
          <cell r="V4462" t="str">
            <v>Not Available</v>
          </cell>
        </row>
        <row r="4463">
          <cell r="A4463" t="str">
            <v>105300920025</v>
          </cell>
          <cell r="B4463" t="str">
            <v>Kalyanpur</v>
          </cell>
          <cell r="C4463" t="str">
            <v>Kalyanpur</v>
          </cell>
          <cell r="D4463" t="str">
            <v>GOMUKH SHIVNAGAR</v>
          </cell>
          <cell r="E4463">
            <v>10530092</v>
          </cell>
          <cell r="F4463" t="str">
            <v>0025</v>
          </cell>
          <cell r="G4463">
            <v>6</v>
          </cell>
          <cell r="H4463">
            <v>10.6</v>
          </cell>
          <cell r="I4463">
            <v>363.20933484000011</v>
          </cell>
          <cell r="J4463">
            <v>0</v>
          </cell>
          <cell r="K4463">
            <v>0</v>
          </cell>
          <cell r="L4463">
            <v>0</v>
          </cell>
          <cell r="M4463">
            <v>0</v>
          </cell>
          <cell r="P4463">
            <v>363</v>
          </cell>
          <cell r="V4463" t="str">
            <v>Not Available</v>
          </cell>
        </row>
        <row r="4464">
          <cell r="A4464" t="str">
            <v>105300920026</v>
          </cell>
          <cell r="B4464" t="str">
            <v>Kalyanpur</v>
          </cell>
          <cell r="C4464" t="str">
            <v>Kalyanpur</v>
          </cell>
          <cell r="D4464" t="str">
            <v>GOMUKH SHIVNAGAR</v>
          </cell>
          <cell r="E4464">
            <v>10530092</v>
          </cell>
          <cell r="F4464" t="str">
            <v>0026</v>
          </cell>
          <cell r="G4464">
            <v>14</v>
          </cell>
          <cell r="H4464">
            <v>63.9</v>
          </cell>
          <cell r="I4464">
            <v>2210.7575599560005</v>
          </cell>
          <cell r="J4464">
            <v>0</v>
          </cell>
          <cell r="K4464">
            <v>0</v>
          </cell>
          <cell r="L4464">
            <v>0</v>
          </cell>
          <cell r="M4464">
            <v>0</v>
          </cell>
          <cell r="P4464">
            <v>2211</v>
          </cell>
          <cell r="V4464" t="str">
            <v>Available</v>
          </cell>
        </row>
        <row r="4465">
          <cell r="A4465" t="str">
            <v>105300930001</v>
          </cell>
          <cell r="B4465" t="str">
            <v>Kalyanpur</v>
          </cell>
          <cell r="C4465" t="str">
            <v>Kalyanpur</v>
          </cell>
          <cell r="D4465" t="str">
            <v>GOMUKH BAKHITIYARPUR</v>
          </cell>
          <cell r="E4465">
            <v>10530093</v>
          </cell>
          <cell r="F4465" t="str">
            <v>0001</v>
          </cell>
          <cell r="G4465">
            <v>14</v>
          </cell>
          <cell r="H4465">
            <v>27.4</v>
          </cell>
          <cell r="I4465">
            <v>1131.69275208</v>
          </cell>
          <cell r="J4465">
            <v>0</v>
          </cell>
          <cell r="K4465">
            <v>1131.69275208</v>
          </cell>
          <cell r="L4465">
            <v>0</v>
          </cell>
          <cell r="M4465">
            <v>0</v>
          </cell>
          <cell r="P4465">
            <v>0</v>
          </cell>
          <cell r="V4465" t="str">
            <v>Not Available</v>
          </cell>
        </row>
        <row r="4466">
          <cell r="A4466" t="str">
            <v>105300930002</v>
          </cell>
          <cell r="B4466" t="str">
            <v>Kalyanpur</v>
          </cell>
          <cell r="C4466" t="str">
            <v>Kalyanpur</v>
          </cell>
          <cell r="D4466" t="str">
            <v>GOMUKH BAKHITIYARPUR</v>
          </cell>
          <cell r="E4466">
            <v>10530093</v>
          </cell>
          <cell r="F4466" t="str">
            <v>0002</v>
          </cell>
          <cell r="G4466">
            <v>13</v>
          </cell>
          <cell r="H4466">
            <v>63.199999999999996</v>
          </cell>
          <cell r="I4466">
            <v>3106.7984878573998</v>
          </cell>
          <cell r="J4466">
            <v>0</v>
          </cell>
          <cell r="K4466">
            <v>0</v>
          </cell>
          <cell r="L4466">
            <v>0</v>
          </cell>
          <cell r="M4466">
            <v>1500</v>
          </cell>
          <cell r="P4466">
            <v>1607</v>
          </cell>
          <cell r="V4466" t="str">
            <v>Available</v>
          </cell>
        </row>
        <row r="4467">
          <cell r="A4467" t="str">
            <v>105300930003</v>
          </cell>
          <cell r="B4467" t="str">
            <v>Kalyanpur</v>
          </cell>
          <cell r="C4467" t="str">
            <v>Kalyanpur</v>
          </cell>
          <cell r="D4467" t="str">
            <v>GOMUKH BAKHITIYARPUR</v>
          </cell>
          <cell r="E4467">
            <v>10530093</v>
          </cell>
          <cell r="F4467" t="str">
            <v>0003</v>
          </cell>
          <cell r="G4467">
            <v>13</v>
          </cell>
          <cell r="H4467">
            <v>43.2</v>
          </cell>
          <cell r="I4467">
            <v>2029.2049465229002</v>
          </cell>
          <cell r="J4467">
            <v>0</v>
          </cell>
          <cell r="K4467">
            <v>0</v>
          </cell>
          <cell r="L4467">
            <v>0</v>
          </cell>
          <cell r="M4467">
            <v>0</v>
          </cell>
          <cell r="P4467">
            <v>2029</v>
          </cell>
          <cell r="V4467" t="str">
            <v>Available</v>
          </cell>
        </row>
        <row r="4468">
          <cell r="A4468" t="str">
            <v>105300930004</v>
          </cell>
          <cell r="B4468" t="str">
            <v>Kalyanpur</v>
          </cell>
          <cell r="C4468" t="str">
            <v>Kalyanpur</v>
          </cell>
          <cell r="D4468" t="str">
            <v>GOMUKH BAKHITIYARPUR</v>
          </cell>
          <cell r="E4468">
            <v>10530093</v>
          </cell>
          <cell r="F4468" t="str">
            <v>0004</v>
          </cell>
          <cell r="G4468">
            <v>14</v>
          </cell>
          <cell r="H4468">
            <v>143.9</v>
          </cell>
          <cell r="I4468">
            <v>6888.0613766147999</v>
          </cell>
          <cell r="J4468">
            <v>0</v>
          </cell>
          <cell r="K4468">
            <v>0</v>
          </cell>
          <cell r="L4468">
            <v>0</v>
          </cell>
          <cell r="M4468">
            <v>0</v>
          </cell>
          <cell r="P4468">
            <v>6888</v>
          </cell>
          <cell r="V4468" t="str">
            <v>Available</v>
          </cell>
        </row>
        <row r="4469">
          <cell r="A4469" t="str">
            <v>105300930008</v>
          </cell>
          <cell r="B4469" t="str">
            <v>Kalyanpur</v>
          </cell>
          <cell r="C4469" t="str">
            <v>Kalyanpur</v>
          </cell>
          <cell r="D4469" t="str">
            <v>GOMUKH BAKHITIYARPUR</v>
          </cell>
          <cell r="E4469">
            <v>10530093</v>
          </cell>
          <cell r="F4469" t="str">
            <v>0008</v>
          </cell>
          <cell r="G4469">
            <v>7</v>
          </cell>
          <cell r="H4469">
            <v>10.199999999999999</v>
          </cell>
          <cell r="I4469">
            <v>511.66140257699993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P4469">
            <v>512</v>
          </cell>
          <cell r="V4469" t="str">
            <v>Available</v>
          </cell>
        </row>
        <row r="4470">
          <cell r="A4470" t="str">
            <v>105300930009</v>
          </cell>
          <cell r="B4470" t="str">
            <v>Kalyanpur</v>
          </cell>
          <cell r="C4470" t="str">
            <v>Kalyanpur</v>
          </cell>
          <cell r="D4470" t="str">
            <v>GOMUKH BAKHITIYARPUR</v>
          </cell>
          <cell r="E4470">
            <v>10530093</v>
          </cell>
          <cell r="F4470" t="str">
            <v>0009</v>
          </cell>
          <cell r="G4470">
            <v>7</v>
          </cell>
          <cell r="H4470">
            <v>24.6</v>
          </cell>
          <cell r="I4470">
            <v>1402.3041861716001</v>
          </cell>
          <cell r="J4470">
            <v>0</v>
          </cell>
          <cell r="K4470">
            <v>0</v>
          </cell>
          <cell r="L4470">
            <v>0</v>
          </cell>
          <cell r="M4470">
            <v>0</v>
          </cell>
          <cell r="P4470">
            <v>1402</v>
          </cell>
          <cell r="V4470" t="str">
            <v>Available</v>
          </cell>
        </row>
        <row r="4471">
          <cell r="A4471" t="str">
            <v>105300930010</v>
          </cell>
          <cell r="B4471" t="str">
            <v>Kalyanpur</v>
          </cell>
          <cell r="C4471" t="str">
            <v>Kalyanpur</v>
          </cell>
          <cell r="D4471" t="str">
            <v>GOMUKH BAKHITIYARPUR</v>
          </cell>
          <cell r="E4471">
            <v>10530093</v>
          </cell>
          <cell r="F4471" t="str">
            <v>0010</v>
          </cell>
          <cell r="G4471">
            <v>13</v>
          </cell>
          <cell r="H4471">
            <v>40.900000000000013</v>
          </cell>
          <cell r="I4471">
            <v>1820.2232329639901</v>
          </cell>
          <cell r="J4471">
            <v>0</v>
          </cell>
          <cell r="K4471">
            <v>0</v>
          </cell>
          <cell r="L4471">
            <v>0</v>
          </cell>
          <cell r="M4471">
            <v>0</v>
          </cell>
          <cell r="P4471">
            <v>1820</v>
          </cell>
          <cell r="V4471" t="str">
            <v>Available</v>
          </cell>
        </row>
        <row r="4472">
          <cell r="A4472" t="str">
            <v>105300930013</v>
          </cell>
          <cell r="B4472" t="str">
            <v>Kalyanpur</v>
          </cell>
          <cell r="C4472" t="str">
            <v>Kalyanpur</v>
          </cell>
          <cell r="D4472" t="str">
            <v>GOMUKH BAKHITIYARPUR</v>
          </cell>
          <cell r="E4472">
            <v>10530093</v>
          </cell>
          <cell r="F4472" t="str">
            <v>0013</v>
          </cell>
          <cell r="G4472">
            <v>13</v>
          </cell>
          <cell r="H4472">
            <v>64.5</v>
          </cell>
          <cell r="I4472">
            <v>2642.2766132400002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P4472">
            <v>2642</v>
          </cell>
          <cell r="V4472" t="str">
            <v>Available</v>
          </cell>
        </row>
        <row r="4473">
          <cell r="A4473" t="str">
            <v>105300930015</v>
          </cell>
          <cell r="B4473" t="str">
            <v>Kalyanpur</v>
          </cell>
          <cell r="C4473" t="str">
            <v>Kalyanpur</v>
          </cell>
          <cell r="D4473" t="str">
            <v>GOMUKH BAKHITIYARPUR</v>
          </cell>
          <cell r="E4473">
            <v>10530093</v>
          </cell>
          <cell r="F4473" t="str">
            <v>0015</v>
          </cell>
          <cell r="G4473">
            <v>7</v>
          </cell>
          <cell r="H4473">
            <v>16.299999999999997</v>
          </cell>
          <cell r="I4473">
            <v>1113.6191334510002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P4473">
            <v>1114</v>
          </cell>
          <cell r="V4473" t="str">
            <v>Available</v>
          </cell>
        </row>
        <row r="4474">
          <cell r="A4474" t="str">
            <v>105300930019</v>
          </cell>
          <cell r="B4474" t="str">
            <v>Kalyanpur</v>
          </cell>
          <cell r="C4474" t="str">
            <v>Kalyanpur</v>
          </cell>
          <cell r="D4474" t="str">
            <v>GOMUKH BAKHITIYARPUR</v>
          </cell>
          <cell r="E4474">
            <v>10530093</v>
          </cell>
          <cell r="F4474" t="str">
            <v>0019</v>
          </cell>
          <cell r="G4474">
            <v>5</v>
          </cell>
          <cell r="H4474">
            <v>12.9</v>
          </cell>
          <cell r="I4474">
            <v>461.20860324000012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P4474">
            <v>461</v>
          </cell>
          <cell r="V4474" t="str">
            <v>Available</v>
          </cell>
        </row>
        <row r="4475">
          <cell r="A4475" t="str">
            <v>105300930021</v>
          </cell>
          <cell r="B4475" t="str">
            <v>Kalyanpur</v>
          </cell>
          <cell r="C4475" t="str">
            <v>Kalyanpur</v>
          </cell>
          <cell r="D4475" t="str">
            <v>GOMUKH BAKHITIYARPUR</v>
          </cell>
          <cell r="E4475">
            <v>10530093</v>
          </cell>
          <cell r="F4475" t="str">
            <v>0021</v>
          </cell>
          <cell r="G4475">
            <v>6</v>
          </cell>
          <cell r="H4475">
            <v>8.5</v>
          </cell>
          <cell r="I4475">
            <v>391.49850536680003</v>
          </cell>
          <cell r="J4475">
            <v>0</v>
          </cell>
          <cell r="K4475">
            <v>0</v>
          </cell>
          <cell r="L4475">
            <v>0</v>
          </cell>
          <cell r="M4475">
            <v>0</v>
          </cell>
          <cell r="P4475">
            <v>391</v>
          </cell>
          <cell r="V4475" t="str">
            <v>Available</v>
          </cell>
        </row>
        <row r="4476">
          <cell r="A4476" t="str">
            <v>105300930024</v>
          </cell>
          <cell r="B4476" t="str">
            <v>Kalyanpur</v>
          </cell>
          <cell r="C4476" t="str">
            <v>Kalyanpur</v>
          </cell>
          <cell r="D4476" t="str">
            <v>GOMUKH BAKHITIYARPUR</v>
          </cell>
          <cell r="E4476">
            <v>10530093</v>
          </cell>
          <cell r="F4476" t="str">
            <v>0024</v>
          </cell>
          <cell r="G4476">
            <v>7</v>
          </cell>
          <cell r="H4476">
            <v>30.6</v>
          </cell>
          <cell r="I4476">
            <v>1229.3894250000003</v>
          </cell>
          <cell r="J4476">
            <v>0</v>
          </cell>
          <cell r="K4476">
            <v>0</v>
          </cell>
          <cell r="L4476">
            <v>0</v>
          </cell>
          <cell r="M4476">
            <v>0</v>
          </cell>
          <cell r="P4476">
            <v>1229</v>
          </cell>
          <cell r="V4476" t="str">
            <v>Available</v>
          </cell>
        </row>
        <row r="4477">
          <cell r="A4477" t="str">
            <v>105300930025</v>
          </cell>
          <cell r="B4477" t="str">
            <v>Kalyanpur</v>
          </cell>
          <cell r="C4477" t="str">
            <v>Kalyanpur</v>
          </cell>
          <cell r="D4477" t="str">
            <v>GOMUKH BAKHITIYARPUR</v>
          </cell>
          <cell r="E4477">
            <v>10530093</v>
          </cell>
          <cell r="F4477" t="str">
            <v>0025</v>
          </cell>
          <cell r="G4477">
            <v>6</v>
          </cell>
          <cell r="H4477">
            <v>25.999999999999996</v>
          </cell>
          <cell r="I4477">
            <v>977.47484472000008</v>
          </cell>
          <cell r="J4477">
            <v>0</v>
          </cell>
          <cell r="K4477">
            <v>0</v>
          </cell>
          <cell r="L4477">
            <v>0</v>
          </cell>
          <cell r="M4477">
            <v>0</v>
          </cell>
          <cell r="P4477">
            <v>977</v>
          </cell>
          <cell r="V4477" t="str">
            <v>Available</v>
          </cell>
        </row>
        <row r="4478">
          <cell r="A4478" t="str">
            <v>105300930028</v>
          </cell>
          <cell r="B4478" t="str">
            <v>Kalyanpur</v>
          </cell>
          <cell r="C4478" t="str">
            <v>Kalyanpur</v>
          </cell>
          <cell r="D4478" t="str">
            <v>GOMUKH BAKHITIYARPUR</v>
          </cell>
          <cell r="E4478">
            <v>10530093</v>
          </cell>
          <cell r="F4478" t="str">
            <v>0028</v>
          </cell>
          <cell r="G4478">
            <v>6</v>
          </cell>
          <cell r="H4478">
            <v>18</v>
          </cell>
          <cell r="I4478">
            <v>841.86443107800005</v>
          </cell>
          <cell r="J4478">
            <v>0</v>
          </cell>
          <cell r="K4478">
            <v>0</v>
          </cell>
          <cell r="L4478">
            <v>0</v>
          </cell>
          <cell r="M4478">
            <v>0</v>
          </cell>
          <cell r="P4478">
            <v>842</v>
          </cell>
          <cell r="V4478" t="str">
            <v>Available</v>
          </cell>
        </row>
        <row r="4479">
          <cell r="A4479" t="str">
            <v>105300930031</v>
          </cell>
          <cell r="B4479" t="str">
            <v>Kalyanpur</v>
          </cell>
          <cell r="C4479" t="str">
            <v>Kalyanpur</v>
          </cell>
          <cell r="D4479" t="str">
            <v>GOMUKH BAKHITIYARPUR</v>
          </cell>
          <cell r="E4479">
            <v>10530093</v>
          </cell>
          <cell r="F4479" t="str">
            <v>0031</v>
          </cell>
          <cell r="G4479">
            <v>12</v>
          </cell>
          <cell r="H4479">
            <v>27.499999999999996</v>
          </cell>
          <cell r="I4479">
            <v>2104.4296419329999</v>
          </cell>
          <cell r="J4479">
            <v>0</v>
          </cell>
          <cell r="K4479">
            <v>0</v>
          </cell>
          <cell r="L4479">
            <v>0</v>
          </cell>
          <cell r="M4479">
            <v>0</v>
          </cell>
          <cell r="P4479">
            <v>2104</v>
          </cell>
          <cell r="V4479" t="str">
            <v>Available</v>
          </cell>
        </row>
        <row r="4480">
          <cell r="A4480" t="str">
            <v>105300930032</v>
          </cell>
          <cell r="B4480" t="str">
            <v>Kalyanpur</v>
          </cell>
          <cell r="C4480" t="str">
            <v>Kalyanpur</v>
          </cell>
          <cell r="D4480" t="str">
            <v>GOMUKH BAKHITIYARPUR</v>
          </cell>
          <cell r="E4480">
            <v>10530093</v>
          </cell>
          <cell r="F4480" t="str">
            <v>0032</v>
          </cell>
          <cell r="G4480">
            <v>13</v>
          </cell>
          <cell r="H4480">
            <v>89.4</v>
          </cell>
          <cell r="I4480">
            <v>3590.3947068000007</v>
          </cell>
          <cell r="J4480">
            <v>0</v>
          </cell>
          <cell r="K4480">
            <v>0</v>
          </cell>
          <cell r="L4480">
            <v>0</v>
          </cell>
          <cell r="M4480">
            <v>1500</v>
          </cell>
          <cell r="P4480">
            <v>2090</v>
          </cell>
          <cell r="V4480" t="str">
            <v>Available</v>
          </cell>
        </row>
        <row r="4481">
          <cell r="A4481" t="str">
            <v>105300930033</v>
          </cell>
          <cell r="B4481" t="str">
            <v>Kalyanpur</v>
          </cell>
          <cell r="C4481" t="str">
            <v>Kalyanpur</v>
          </cell>
          <cell r="D4481" t="str">
            <v>GOMUKH BAKHITIYARPUR</v>
          </cell>
          <cell r="E4481">
            <v>10530093</v>
          </cell>
          <cell r="F4481" t="str">
            <v>0033</v>
          </cell>
          <cell r="G4481">
            <v>10</v>
          </cell>
          <cell r="H4481">
            <v>26.200000000000003</v>
          </cell>
          <cell r="I4481">
            <v>1182.6718323890002</v>
          </cell>
          <cell r="J4481">
            <v>0</v>
          </cell>
          <cell r="K4481">
            <v>0</v>
          </cell>
          <cell r="L4481">
            <v>0</v>
          </cell>
          <cell r="M4481">
            <v>0</v>
          </cell>
          <cell r="P4481">
            <v>1183</v>
          </cell>
          <cell r="V4481" t="str">
            <v>Available</v>
          </cell>
        </row>
        <row r="4482">
          <cell r="A4482" t="str">
            <v>105300930034</v>
          </cell>
          <cell r="B4482" t="str">
            <v>Kalyanpur</v>
          </cell>
          <cell r="C4482" t="str">
            <v>Kalyanpur</v>
          </cell>
          <cell r="D4482" t="str">
            <v>GOMUKH BAKHITIYARPUR</v>
          </cell>
          <cell r="E4482">
            <v>10530093</v>
          </cell>
          <cell r="F4482" t="str">
            <v>0034</v>
          </cell>
          <cell r="G4482">
            <v>9</v>
          </cell>
          <cell r="H4482">
            <v>5.8</v>
          </cell>
          <cell r="I4482">
            <v>278.32551575400004</v>
          </cell>
          <cell r="J4482">
            <v>0</v>
          </cell>
          <cell r="K4482">
            <v>0</v>
          </cell>
          <cell r="L4482">
            <v>0</v>
          </cell>
          <cell r="M4482">
            <v>0</v>
          </cell>
          <cell r="P4482">
            <v>278</v>
          </cell>
          <cell r="V4482" t="str">
            <v>Available</v>
          </cell>
        </row>
        <row r="4483">
          <cell r="A4483" t="str">
            <v>105300930037</v>
          </cell>
          <cell r="B4483" t="str">
            <v>Kalyanpur</v>
          </cell>
          <cell r="C4483" t="str">
            <v>Kalyanpur</v>
          </cell>
          <cell r="D4483" t="str">
            <v>GOMUKH BAKHITIYARPUR</v>
          </cell>
          <cell r="E4483">
            <v>10530093</v>
          </cell>
          <cell r="F4483" t="str">
            <v>0037</v>
          </cell>
          <cell r="G4483">
            <v>2</v>
          </cell>
          <cell r="H4483">
            <v>2</v>
          </cell>
          <cell r="I4483">
            <v>81.974178000000009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P4483">
            <v>82</v>
          </cell>
          <cell r="V4483" t="str">
            <v>Available</v>
          </cell>
        </row>
        <row r="4484">
          <cell r="A4484" t="str">
            <v>105300930038</v>
          </cell>
          <cell r="B4484" t="str">
            <v>Kalyanpur</v>
          </cell>
          <cell r="C4484" t="str">
            <v>Kalyanpur</v>
          </cell>
          <cell r="D4484" t="str">
            <v>GOMUKH BAKHITIYARPUR</v>
          </cell>
          <cell r="E4484">
            <v>10530093</v>
          </cell>
          <cell r="F4484" t="str">
            <v>0038</v>
          </cell>
          <cell r="G4484">
            <v>5</v>
          </cell>
          <cell r="H4484">
            <v>11.5</v>
          </cell>
          <cell r="I4484">
            <v>476.42730300000005</v>
          </cell>
          <cell r="J4484">
            <v>0</v>
          </cell>
          <cell r="K4484">
            <v>0</v>
          </cell>
          <cell r="L4484">
            <v>0</v>
          </cell>
          <cell r="M4484">
            <v>0</v>
          </cell>
          <cell r="P4484">
            <v>476</v>
          </cell>
          <cell r="V4484" t="str">
            <v>Available</v>
          </cell>
        </row>
        <row r="4485">
          <cell r="A4485" t="str">
            <v>105300930040</v>
          </cell>
          <cell r="B4485" t="str">
            <v>Kalyanpur</v>
          </cell>
          <cell r="C4485" t="str">
            <v>Kalyanpur</v>
          </cell>
          <cell r="D4485" t="str">
            <v>GOMUKH BAKHITIYARPUR</v>
          </cell>
          <cell r="E4485">
            <v>10530093</v>
          </cell>
          <cell r="F4485" t="str">
            <v>0040</v>
          </cell>
          <cell r="G4485">
            <v>4</v>
          </cell>
          <cell r="H4485">
            <v>7.5</v>
          </cell>
          <cell r="I4485">
            <v>471.16678487950003</v>
          </cell>
          <cell r="J4485">
            <v>0</v>
          </cell>
          <cell r="K4485">
            <v>0</v>
          </cell>
          <cell r="L4485">
            <v>0</v>
          </cell>
          <cell r="M4485">
            <v>0</v>
          </cell>
          <cell r="P4485">
            <v>471</v>
          </cell>
          <cell r="V4485" t="str">
            <v>Available</v>
          </cell>
        </row>
        <row r="4486">
          <cell r="A4486" t="str">
            <v>105300930041</v>
          </cell>
          <cell r="B4486" t="str">
            <v>Kalyanpur</v>
          </cell>
          <cell r="C4486" t="str">
            <v>Kalyanpur</v>
          </cell>
          <cell r="D4486" t="str">
            <v>GOMUKH BAKHITIYARPUR</v>
          </cell>
          <cell r="E4486">
            <v>10530093</v>
          </cell>
          <cell r="F4486" t="str">
            <v>0041</v>
          </cell>
          <cell r="G4486">
            <v>2</v>
          </cell>
          <cell r="H4486">
            <v>6.5</v>
          </cell>
          <cell r="I4486">
            <v>224.49483916200001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  <cell r="P4486">
            <v>224</v>
          </cell>
          <cell r="V4486" t="str">
            <v>Available</v>
          </cell>
        </row>
        <row r="4487">
          <cell r="A4487" t="str">
            <v>105300930043</v>
          </cell>
          <cell r="B4487" t="str">
            <v>Kalyanpur</v>
          </cell>
          <cell r="C4487" t="str">
            <v>Kalyanpur</v>
          </cell>
          <cell r="D4487" t="str">
            <v>GOMUKH BAKHITIYARPUR</v>
          </cell>
          <cell r="E4487">
            <v>10530093</v>
          </cell>
          <cell r="F4487" t="str">
            <v>0043</v>
          </cell>
          <cell r="G4487">
            <v>4</v>
          </cell>
          <cell r="H4487">
            <v>5.5</v>
          </cell>
          <cell r="I4487">
            <v>250.90740572999999</v>
          </cell>
          <cell r="J4487">
            <v>0</v>
          </cell>
          <cell r="K4487">
            <v>0</v>
          </cell>
          <cell r="L4487">
            <v>0</v>
          </cell>
          <cell r="M4487">
            <v>0</v>
          </cell>
          <cell r="P4487">
            <v>251</v>
          </cell>
          <cell r="V4487" t="str">
            <v>Available</v>
          </cell>
        </row>
        <row r="4488">
          <cell r="A4488" t="str">
            <v>105300930044</v>
          </cell>
          <cell r="B4488" t="str">
            <v>Kalyanpur</v>
          </cell>
          <cell r="C4488" t="str">
            <v>Kalyanpur</v>
          </cell>
          <cell r="D4488" t="str">
            <v>GOMUKH BAKHITIYARPUR</v>
          </cell>
          <cell r="E4488">
            <v>10530093</v>
          </cell>
          <cell r="F4488" t="str">
            <v>0044</v>
          </cell>
          <cell r="G4488">
            <v>14</v>
          </cell>
          <cell r="H4488">
            <v>65</v>
          </cell>
          <cell r="I4488">
            <v>2700.522970002</v>
          </cell>
          <cell r="J4488">
            <v>0</v>
          </cell>
          <cell r="K4488">
            <v>0</v>
          </cell>
          <cell r="L4488">
            <v>0</v>
          </cell>
          <cell r="M4488">
            <v>2701</v>
          </cell>
          <cell r="P4488">
            <v>0</v>
          </cell>
          <cell r="V4488" t="str">
            <v>Available</v>
          </cell>
        </row>
        <row r="4489">
          <cell r="A4489" t="str">
            <v>105300930046</v>
          </cell>
          <cell r="B4489" t="str">
            <v>Kalyanpur</v>
          </cell>
          <cell r="C4489" t="str">
            <v>Kalyanpur</v>
          </cell>
          <cell r="D4489" t="str">
            <v>GOMUKH BAKHITIYARPUR</v>
          </cell>
          <cell r="E4489">
            <v>10530093</v>
          </cell>
          <cell r="F4489" t="str">
            <v>0046</v>
          </cell>
          <cell r="G4489">
            <v>7</v>
          </cell>
          <cell r="H4489">
            <v>32.9</v>
          </cell>
          <cell r="I4489">
            <v>1419.6966062400002</v>
          </cell>
          <cell r="J4489">
            <v>0</v>
          </cell>
          <cell r="K4489">
            <v>0</v>
          </cell>
          <cell r="L4489">
            <v>0</v>
          </cell>
          <cell r="M4489">
            <v>0</v>
          </cell>
          <cell r="P4489">
            <v>1420</v>
          </cell>
          <cell r="V4489" t="str">
            <v>Available</v>
          </cell>
        </row>
        <row r="4490">
          <cell r="A4490" t="str">
            <v>105300930047</v>
          </cell>
          <cell r="B4490" t="str">
            <v>Kalyanpur</v>
          </cell>
          <cell r="C4490" t="str">
            <v>Kalyanpur</v>
          </cell>
          <cell r="D4490" t="str">
            <v>GOMUKH BAKHITIYARPUR</v>
          </cell>
          <cell r="E4490">
            <v>10530093</v>
          </cell>
          <cell r="F4490" t="str">
            <v>0047</v>
          </cell>
          <cell r="G4490">
            <v>6</v>
          </cell>
          <cell r="H4490">
            <v>16.7</v>
          </cell>
          <cell r="I4490">
            <v>638.12703675600005</v>
          </cell>
          <cell r="J4490">
            <v>0</v>
          </cell>
          <cell r="K4490">
            <v>0</v>
          </cell>
          <cell r="L4490">
            <v>0</v>
          </cell>
          <cell r="M4490">
            <v>0</v>
          </cell>
          <cell r="P4490">
            <v>638</v>
          </cell>
          <cell r="V4490" t="str">
            <v>Available</v>
          </cell>
        </row>
        <row r="4491">
          <cell r="A4491" t="str">
            <v>105300930050</v>
          </cell>
          <cell r="B4491" t="str">
            <v>Kalyanpur</v>
          </cell>
          <cell r="C4491" t="str">
            <v>Kalyanpur</v>
          </cell>
          <cell r="D4491" t="str">
            <v>GOMUKH BAKHITIYARPUR</v>
          </cell>
          <cell r="E4491">
            <v>10530093</v>
          </cell>
          <cell r="F4491" t="str">
            <v>0050</v>
          </cell>
          <cell r="G4491">
            <v>12</v>
          </cell>
          <cell r="H4491">
            <v>36</v>
          </cell>
          <cell r="I4491">
            <v>1303.6841017200002</v>
          </cell>
          <cell r="J4491">
            <v>0</v>
          </cell>
          <cell r="K4491">
            <v>0</v>
          </cell>
          <cell r="L4491">
            <v>0</v>
          </cell>
          <cell r="M4491">
            <v>0</v>
          </cell>
          <cell r="P4491">
            <v>1304</v>
          </cell>
          <cell r="V4491" t="str">
            <v>Available</v>
          </cell>
        </row>
        <row r="4492">
          <cell r="A4492" t="str">
            <v>105300930052</v>
          </cell>
          <cell r="B4492" t="str">
            <v>Kalyanpur</v>
          </cell>
          <cell r="C4492" t="str">
            <v>Kalyanpur</v>
          </cell>
          <cell r="D4492" t="str">
            <v>GOMUKH BAKHITIYARPUR</v>
          </cell>
          <cell r="E4492">
            <v>10530093</v>
          </cell>
          <cell r="F4492" t="str">
            <v>0052</v>
          </cell>
          <cell r="G4492">
            <v>11</v>
          </cell>
          <cell r="H4492">
            <v>25.499999999999996</v>
          </cell>
          <cell r="I4492">
            <v>945.54402623999999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P4492">
            <v>946</v>
          </cell>
          <cell r="V4492" t="str">
            <v>Available</v>
          </cell>
        </row>
        <row r="4493">
          <cell r="A4493" t="str">
            <v>105300930053</v>
          </cell>
          <cell r="B4493" t="str">
            <v>Kalyanpur</v>
          </cell>
          <cell r="C4493" t="str">
            <v>Kalyanpur</v>
          </cell>
          <cell r="D4493" t="str">
            <v>GOMUKH BAKHITIYARPUR</v>
          </cell>
          <cell r="E4493">
            <v>10530093</v>
          </cell>
          <cell r="F4493" t="str">
            <v>0053</v>
          </cell>
          <cell r="G4493">
            <v>9</v>
          </cell>
          <cell r="H4493">
            <v>31.5</v>
          </cell>
          <cell r="I4493">
            <v>1203.17630552115</v>
          </cell>
          <cell r="J4493">
            <v>0</v>
          </cell>
          <cell r="K4493">
            <v>0</v>
          </cell>
          <cell r="L4493">
            <v>0</v>
          </cell>
          <cell r="M4493">
            <v>1203</v>
          </cell>
          <cell r="P4493">
            <v>0</v>
          </cell>
          <cell r="V4493" t="str">
            <v>Available</v>
          </cell>
        </row>
        <row r="4494">
          <cell r="A4494" t="str">
            <v>105300930054</v>
          </cell>
          <cell r="B4494" t="str">
            <v>Kalyanpur</v>
          </cell>
          <cell r="C4494" t="str">
            <v>Kalyanpur</v>
          </cell>
          <cell r="D4494" t="str">
            <v>GOMUKH BAKHITIYARPUR</v>
          </cell>
          <cell r="E4494">
            <v>10530093</v>
          </cell>
          <cell r="F4494" t="str">
            <v>0054</v>
          </cell>
          <cell r="G4494">
            <v>8</v>
          </cell>
          <cell r="H4494">
            <v>34.900000000000006</v>
          </cell>
          <cell r="I4494">
            <v>1166.5702235880001</v>
          </cell>
          <cell r="J4494">
            <v>0</v>
          </cell>
          <cell r="K4494">
            <v>0</v>
          </cell>
          <cell r="L4494">
            <v>0</v>
          </cell>
          <cell r="M4494">
            <v>0</v>
          </cell>
          <cell r="P4494">
            <v>1167</v>
          </cell>
          <cell r="V4494" t="str">
            <v>Available</v>
          </cell>
        </row>
        <row r="4495">
          <cell r="A4495" t="str">
            <v>105300930060</v>
          </cell>
          <cell r="B4495" t="str">
            <v>Kalyanpur</v>
          </cell>
          <cell r="C4495" t="str">
            <v>Kalyanpur</v>
          </cell>
          <cell r="D4495" t="str">
            <v>GOMUKH BAKHITIYARPUR</v>
          </cell>
          <cell r="E4495">
            <v>10530093</v>
          </cell>
          <cell r="F4495" t="str">
            <v>0060</v>
          </cell>
          <cell r="G4495">
            <v>14</v>
          </cell>
          <cell r="H4495">
            <v>92.799999999999983</v>
          </cell>
          <cell r="I4495">
            <v>3876.1078054903001</v>
          </cell>
          <cell r="J4495">
            <v>0</v>
          </cell>
          <cell r="K4495">
            <v>0</v>
          </cell>
          <cell r="L4495">
            <v>0</v>
          </cell>
          <cell r="M4495">
            <v>0</v>
          </cell>
          <cell r="P4495">
            <v>3876</v>
          </cell>
          <cell r="V4495" t="str">
            <v>Available</v>
          </cell>
        </row>
        <row r="4496">
          <cell r="A4496" t="str">
            <v>105300930061</v>
          </cell>
          <cell r="B4496" t="str">
            <v>Kalyanpur</v>
          </cell>
          <cell r="C4496" t="str">
            <v>Kalyanpur</v>
          </cell>
          <cell r="D4496" t="str">
            <v>GOMUKH BAKHITIYARPUR</v>
          </cell>
          <cell r="E4496">
            <v>10530093</v>
          </cell>
          <cell r="F4496" t="str">
            <v>0061</v>
          </cell>
          <cell r="G4496">
            <v>3</v>
          </cell>
          <cell r="H4496">
            <v>7.9</v>
          </cell>
          <cell r="I4496">
            <v>368.69291101170001</v>
          </cell>
          <cell r="J4496">
            <v>0</v>
          </cell>
          <cell r="K4496">
            <v>0</v>
          </cell>
          <cell r="L4496">
            <v>0</v>
          </cell>
          <cell r="M4496">
            <v>0</v>
          </cell>
          <cell r="P4496">
            <v>369</v>
          </cell>
          <cell r="V4496" t="str">
            <v>Available</v>
          </cell>
        </row>
        <row r="4497">
          <cell r="A4497" t="str">
            <v>105300960002</v>
          </cell>
          <cell r="B4497" t="str">
            <v>Kalyanpur</v>
          </cell>
          <cell r="C4497" t="str">
            <v>Kalyanpur</v>
          </cell>
          <cell r="D4497" t="str">
            <v>GOMUKH BHARJA</v>
          </cell>
          <cell r="E4497">
            <v>10530096</v>
          </cell>
          <cell r="F4497" t="str">
            <v>0002</v>
          </cell>
          <cell r="G4497">
            <v>13</v>
          </cell>
          <cell r="H4497">
            <v>358.70000000000005</v>
          </cell>
          <cell r="I4497">
            <v>19765.3896762105</v>
          </cell>
          <cell r="J4497">
            <v>0</v>
          </cell>
          <cell r="K4497">
            <v>0</v>
          </cell>
          <cell r="L4497">
            <v>400</v>
          </cell>
          <cell r="M4497">
            <v>18323</v>
          </cell>
          <cell r="P4497">
            <v>0</v>
          </cell>
          <cell r="V4497" t="str">
            <v>Available</v>
          </cell>
        </row>
        <row r="4498">
          <cell r="A4498" t="str">
            <v>105300970001</v>
          </cell>
          <cell r="B4498" t="str">
            <v>Kalyanpur</v>
          </cell>
          <cell r="C4498" t="str">
            <v>Kalyanpur</v>
          </cell>
          <cell r="D4498" t="str">
            <v>GOMUKH NAWABGANJ</v>
          </cell>
          <cell r="E4498">
            <v>10530097</v>
          </cell>
          <cell r="F4498" t="str">
            <v>0001</v>
          </cell>
          <cell r="G4498">
            <v>11</v>
          </cell>
          <cell r="H4498">
            <v>11</v>
          </cell>
          <cell r="I4498">
            <v>555.01192247688004</v>
          </cell>
          <cell r="J4498">
            <v>0</v>
          </cell>
          <cell r="K4498">
            <v>555.01192247688004</v>
          </cell>
          <cell r="L4498">
            <v>0</v>
          </cell>
          <cell r="M4498">
            <v>0</v>
          </cell>
          <cell r="P4498">
            <v>0</v>
          </cell>
          <cell r="V4498" t="str">
            <v>Not Available</v>
          </cell>
        </row>
        <row r="4499">
          <cell r="A4499" t="str">
            <v>105300970002</v>
          </cell>
          <cell r="B4499" t="str">
            <v>Kalyanpur</v>
          </cell>
          <cell r="C4499" t="str">
            <v>Kalyanpur</v>
          </cell>
          <cell r="D4499" t="str">
            <v>GOMUKH NAWABGANJ</v>
          </cell>
          <cell r="E4499">
            <v>10530097</v>
          </cell>
          <cell r="F4499" t="str">
            <v>0002</v>
          </cell>
          <cell r="G4499">
            <v>14</v>
          </cell>
          <cell r="H4499">
            <v>72.699999999999989</v>
          </cell>
          <cell r="I4499">
            <v>3011.7184238481</v>
          </cell>
          <cell r="J4499">
            <v>0</v>
          </cell>
          <cell r="K4499">
            <v>0</v>
          </cell>
          <cell r="L4499">
            <v>0</v>
          </cell>
          <cell r="M4499">
            <v>0</v>
          </cell>
          <cell r="P4499">
            <v>3012</v>
          </cell>
          <cell r="V4499" t="str">
            <v>Available</v>
          </cell>
        </row>
        <row r="4500">
          <cell r="A4500" t="str">
            <v>105300970003</v>
          </cell>
          <cell r="B4500" t="str">
            <v>Kalyanpur</v>
          </cell>
          <cell r="C4500" t="str">
            <v>Kalyanpur</v>
          </cell>
          <cell r="D4500" t="str">
            <v>GOMUKH NAWABGANJ</v>
          </cell>
          <cell r="E4500">
            <v>10530097</v>
          </cell>
          <cell r="F4500" t="str">
            <v>0003</v>
          </cell>
          <cell r="G4500">
            <v>9</v>
          </cell>
          <cell r="H4500">
            <v>10.9</v>
          </cell>
          <cell r="I4500">
            <v>440.51868946800005</v>
          </cell>
          <cell r="J4500">
            <v>0</v>
          </cell>
          <cell r="K4500">
            <v>0</v>
          </cell>
          <cell r="L4500">
            <v>0</v>
          </cell>
          <cell r="M4500">
            <v>0</v>
          </cell>
          <cell r="P4500">
            <v>441</v>
          </cell>
          <cell r="V4500" t="str">
            <v>Available</v>
          </cell>
        </row>
        <row r="4501">
          <cell r="A4501" t="str">
            <v>105300970004</v>
          </cell>
          <cell r="B4501" t="str">
            <v>Kalyanpur</v>
          </cell>
          <cell r="C4501" t="str">
            <v>Kalyanpur</v>
          </cell>
          <cell r="D4501" t="str">
            <v>GOMUKH NAWABGANJ</v>
          </cell>
          <cell r="E4501">
            <v>10530097</v>
          </cell>
          <cell r="F4501" t="str">
            <v>0004</v>
          </cell>
          <cell r="G4501">
            <v>1</v>
          </cell>
          <cell r="H4501">
            <v>1.5</v>
          </cell>
          <cell r="I4501">
            <v>66.331683000000012</v>
          </cell>
          <cell r="J4501">
            <v>0</v>
          </cell>
          <cell r="K4501">
            <v>0</v>
          </cell>
          <cell r="L4501">
            <v>0</v>
          </cell>
          <cell r="M4501">
            <v>0</v>
          </cell>
          <cell r="P4501">
            <v>66</v>
          </cell>
          <cell r="V4501" t="str">
            <v>Available</v>
          </cell>
        </row>
        <row r="4502">
          <cell r="A4502" t="str">
            <v>105300970008</v>
          </cell>
          <cell r="B4502" t="str">
            <v>Kalyanpur</v>
          </cell>
          <cell r="C4502" t="str">
            <v>Kalyanpur</v>
          </cell>
          <cell r="D4502" t="str">
            <v>GOMUKH NAWABGANJ</v>
          </cell>
          <cell r="E4502">
            <v>10530097</v>
          </cell>
          <cell r="F4502" t="str">
            <v>0008</v>
          </cell>
          <cell r="G4502">
            <v>14</v>
          </cell>
          <cell r="H4502">
            <v>54.600000000000016</v>
          </cell>
          <cell r="I4502">
            <v>2265.2212359533996</v>
          </cell>
          <cell r="J4502">
            <v>0</v>
          </cell>
          <cell r="K4502">
            <v>0</v>
          </cell>
          <cell r="L4502">
            <v>0</v>
          </cell>
          <cell r="M4502">
            <v>0</v>
          </cell>
          <cell r="P4502">
            <v>2265</v>
          </cell>
          <cell r="V4502" t="str">
            <v>Available</v>
          </cell>
        </row>
        <row r="4503">
          <cell r="A4503" t="str">
            <v>105300970011</v>
          </cell>
          <cell r="B4503" t="str">
            <v>Kalyanpur</v>
          </cell>
          <cell r="C4503" t="str">
            <v>Kalyanpur</v>
          </cell>
          <cell r="D4503" t="str">
            <v>GOMUKH NAWABGANJ</v>
          </cell>
          <cell r="E4503">
            <v>10530097</v>
          </cell>
          <cell r="F4503" t="str">
            <v>0011</v>
          </cell>
          <cell r="G4503">
            <v>7</v>
          </cell>
          <cell r="H4503">
            <v>11.8</v>
          </cell>
          <cell r="I4503">
            <v>459.54443700000002</v>
          </cell>
          <cell r="J4503">
            <v>0</v>
          </cell>
          <cell r="K4503">
            <v>0</v>
          </cell>
          <cell r="L4503">
            <v>0</v>
          </cell>
          <cell r="M4503">
            <v>0</v>
          </cell>
          <cell r="P4503">
            <v>460</v>
          </cell>
          <cell r="V4503" t="str">
            <v>Available</v>
          </cell>
        </row>
        <row r="4504">
          <cell r="A4504" t="str">
            <v>105300970014</v>
          </cell>
          <cell r="B4504" t="str">
            <v>Kalyanpur</v>
          </cell>
          <cell r="C4504" t="str">
            <v>Kalyanpur</v>
          </cell>
          <cell r="D4504" t="str">
            <v>GOMUKH NAWABGANJ</v>
          </cell>
          <cell r="E4504">
            <v>10530097</v>
          </cell>
          <cell r="F4504" t="str">
            <v>0014</v>
          </cell>
          <cell r="G4504">
            <v>14</v>
          </cell>
          <cell r="H4504">
            <v>26.5</v>
          </cell>
          <cell r="I4504">
            <v>1164.3658474336198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P4504">
            <v>1164</v>
          </cell>
          <cell r="V4504" t="str">
            <v>Available</v>
          </cell>
        </row>
        <row r="4505">
          <cell r="A4505" t="str">
            <v>105300970017</v>
          </cell>
          <cell r="B4505" t="str">
            <v>Kalyanpur</v>
          </cell>
          <cell r="C4505" t="str">
            <v>Kalyanpur</v>
          </cell>
          <cell r="D4505" t="str">
            <v>GOMUKH NAWABGANJ</v>
          </cell>
          <cell r="E4505">
            <v>10530097</v>
          </cell>
          <cell r="F4505" t="str">
            <v>0017</v>
          </cell>
          <cell r="G4505">
            <v>7</v>
          </cell>
          <cell r="H4505">
            <v>8.1</v>
          </cell>
          <cell r="I4505">
            <v>734.52915630007965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P4505">
            <v>735</v>
          </cell>
          <cell r="V4505" t="str">
            <v>Available</v>
          </cell>
        </row>
        <row r="4506">
          <cell r="A4506" t="str">
            <v>105300970020</v>
          </cell>
          <cell r="B4506" t="str">
            <v>Kalyanpur</v>
          </cell>
          <cell r="C4506" t="str">
            <v>Kalyanpur</v>
          </cell>
          <cell r="D4506" t="str">
            <v>GOMUKH NAWABGANJ</v>
          </cell>
          <cell r="E4506">
            <v>10530097</v>
          </cell>
          <cell r="F4506" t="str">
            <v>0020</v>
          </cell>
          <cell r="G4506">
            <v>11</v>
          </cell>
          <cell r="H4506">
            <v>46.199999999999996</v>
          </cell>
          <cell r="I4506">
            <v>1677.9154011840001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P4506">
            <v>1678</v>
          </cell>
          <cell r="V4506" t="str">
            <v>Available</v>
          </cell>
        </row>
        <row r="4507">
          <cell r="A4507" t="str">
            <v>105300970021</v>
          </cell>
          <cell r="B4507" t="str">
            <v>Kalyanpur</v>
          </cell>
          <cell r="C4507" t="str">
            <v>Kalyanpur</v>
          </cell>
          <cell r="D4507" t="str">
            <v>GOMUKH NAWABGANJ</v>
          </cell>
          <cell r="E4507">
            <v>10530097</v>
          </cell>
          <cell r="F4507" t="str">
            <v>0021</v>
          </cell>
          <cell r="G4507">
            <v>14</v>
          </cell>
          <cell r="H4507">
            <v>41.4</v>
          </cell>
          <cell r="I4507">
            <v>1427.8511817899998</v>
          </cell>
          <cell r="J4507">
            <v>0</v>
          </cell>
          <cell r="K4507">
            <v>0</v>
          </cell>
          <cell r="L4507">
            <v>0</v>
          </cell>
          <cell r="M4507">
            <v>0</v>
          </cell>
          <cell r="P4507">
            <v>1428</v>
          </cell>
          <cell r="V4507" t="str">
            <v>Available</v>
          </cell>
        </row>
        <row r="4508">
          <cell r="A4508" t="str">
            <v>105300970022</v>
          </cell>
          <cell r="B4508" t="str">
            <v>Kalyanpur</v>
          </cell>
          <cell r="C4508" t="str">
            <v>Kalyanpur</v>
          </cell>
          <cell r="D4508" t="str">
            <v>GOMUKH NAWABGANJ</v>
          </cell>
          <cell r="E4508">
            <v>10530097</v>
          </cell>
          <cell r="F4508" t="str">
            <v>0022</v>
          </cell>
          <cell r="G4508">
            <v>7</v>
          </cell>
          <cell r="H4508">
            <v>16.7</v>
          </cell>
          <cell r="I4508">
            <v>651.70767321000005</v>
          </cell>
          <cell r="J4508">
            <v>0</v>
          </cell>
          <cell r="K4508">
            <v>0</v>
          </cell>
          <cell r="L4508">
            <v>0</v>
          </cell>
          <cell r="M4508">
            <v>0</v>
          </cell>
          <cell r="P4508">
            <v>652</v>
          </cell>
          <cell r="V4508" t="str">
            <v>Available</v>
          </cell>
        </row>
        <row r="4509">
          <cell r="A4509" t="str">
            <v>105300970024</v>
          </cell>
          <cell r="B4509" t="str">
            <v>Kalyanpur</v>
          </cell>
          <cell r="C4509" t="str">
            <v>Kalyanpur</v>
          </cell>
          <cell r="D4509" t="str">
            <v>GOMUKH NAWABGANJ</v>
          </cell>
          <cell r="E4509">
            <v>10530097</v>
          </cell>
          <cell r="F4509" t="str">
            <v>0024</v>
          </cell>
          <cell r="G4509">
            <v>14</v>
          </cell>
          <cell r="H4509">
            <v>31.300000000000004</v>
          </cell>
          <cell r="I4509">
            <v>1482.97874521372</v>
          </cell>
          <cell r="J4509">
            <v>0</v>
          </cell>
          <cell r="K4509">
            <v>0</v>
          </cell>
          <cell r="L4509">
            <v>0</v>
          </cell>
          <cell r="M4509">
            <v>0</v>
          </cell>
          <cell r="P4509">
            <v>1483</v>
          </cell>
          <cell r="V4509" t="str">
            <v>Available</v>
          </cell>
        </row>
        <row r="4510">
          <cell r="A4510" t="str">
            <v>105300970026</v>
          </cell>
          <cell r="B4510" t="str">
            <v>Kalyanpur</v>
          </cell>
          <cell r="C4510" t="str">
            <v>Kalyanpur</v>
          </cell>
          <cell r="D4510" t="str">
            <v>GOMUKH NAWABGANJ</v>
          </cell>
          <cell r="E4510">
            <v>10530097</v>
          </cell>
          <cell r="F4510" t="str">
            <v>0026</v>
          </cell>
          <cell r="G4510">
            <v>7</v>
          </cell>
          <cell r="H4510">
            <v>57.5</v>
          </cell>
          <cell r="I4510">
            <v>2279.92392700952</v>
          </cell>
          <cell r="J4510">
            <v>0</v>
          </cell>
          <cell r="K4510">
            <v>0</v>
          </cell>
          <cell r="L4510">
            <v>0</v>
          </cell>
          <cell r="M4510">
            <v>1500</v>
          </cell>
          <cell r="P4510">
            <v>780</v>
          </cell>
          <cell r="V4510" t="str">
            <v>Available</v>
          </cell>
        </row>
        <row r="4511">
          <cell r="A4511" t="str">
            <v>105300970027</v>
          </cell>
          <cell r="B4511" t="str">
            <v>Kalyanpur</v>
          </cell>
          <cell r="C4511" t="str">
            <v>Kalyanpur</v>
          </cell>
          <cell r="D4511" t="str">
            <v>GOMUKH NAWABGANJ</v>
          </cell>
          <cell r="E4511">
            <v>10530097</v>
          </cell>
          <cell r="F4511" t="str">
            <v>0027</v>
          </cell>
          <cell r="G4511">
            <v>13</v>
          </cell>
          <cell r="H4511">
            <v>31.8</v>
          </cell>
          <cell r="I4511">
            <v>2049.4548692962003</v>
          </cell>
          <cell r="J4511">
            <v>0</v>
          </cell>
          <cell r="K4511">
            <v>0</v>
          </cell>
          <cell r="L4511">
            <v>0</v>
          </cell>
          <cell r="M4511">
            <v>0</v>
          </cell>
          <cell r="P4511">
            <v>2049</v>
          </cell>
          <cell r="V4511" t="str">
            <v>Available</v>
          </cell>
        </row>
        <row r="4512">
          <cell r="A4512" t="str">
            <v>105300970029</v>
          </cell>
          <cell r="B4512" t="str">
            <v>Kalyanpur</v>
          </cell>
          <cell r="C4512" t="str">
            <v>Kalyanpur</v>
          </cell>
          <cell r="D4512" t="str">
            <v>GOMUKH NAWABGANJ</v>
          </cell>
          <cell r="E4512">
            <v>10530097</v>
          </cell>
          <cell r="F4512" t="str">
            <v>0029</v>
          </cell>
          <cell r="G4512">
            <v>14</v>
          </cell>
          <cell r="H4512">
            <v>75.800000000000011</v>
          </cell>
          <cell r="I4512">
            <v>2880.238126194</v>
          </cell>
          <cell r="J4512">
            <v>0</v>
          </cell>
          <cell r="K4512">
            <v>0</v>
          </cell>
          <cell r="L4512">
            <v>0</v>
          </cell>
          <cell r="M4512">
            <v>0</v>
          </cell>
          <cell r="P4512">
            <v>2880</v>
          </cell>
          <cell r="V4512" t="str">
            <v>Available</v>
          </cell>
        </row>
        <row r="4513">
          <cell r="A4513" t="str">
            <v>105300970033</v>
          </cell>
          <cell r="B4513" t="str">
            <v>Kalyanpur</v>
          </cell>
          <cell r="C4513" t="str">
            <v>Kalyanpur</v>
          </cell>
          <cell r="D4513" t="str">
            <v>GOMUKH NAWABGANJ</v>
          </cell>
          <cell r="E4513">
            <v>10530097</v>
          </cell>
          <cell r="F4513" t="str">
            <v>0033</v>
          </cell>
          <cell r="G4513">
            <v>11</v>
          </cell>
          <cell r="H4513">
            <v>21.7</v>
          </cell>
          <cell r="I4513">
            <v>1002.2008694185201</v>
          </cell>
          <cell r="J4513">
            <v>0</v>
          </cell>
          <cell r="K4513">
            <v>0</v>
          </cell>
          <cell r="L4513">
            <v>0</v>
          </cell>
          <cell r="M4513">
            <v>0</v>
          </cell>
          <cell r="P4513">
            <v>1002</v>
          </cell>
          <cell r="V4513" t="str">
            <v>Available</v>
          </cell>
        </row>
        <row r="4514">
          <cell r="A4514" t="str">
            <v>105300970037</v>
          </cell>
          <cell r="B4514" t="str">
            <v>Kalyanpur</v>
          </cell>
          <cell r="C4514" t="str">
            <v>Kalyanpur</v>
          </cell>
          <cell r="D4514" t="str">
            <v>GOMUKH NAWABGANJ</v>
          </cell>
          <cell r="E4514">
            <v>10530097</v>
          </cell>
          <cell r="F4514" t="str">
            <v>0037</v>
          </cell>
          <cell r="G4514">
            <v>3</v>
          </cell>
          <cell r="H4514">
            <v>3.3</v>
          </cell>
          <cell r="I4514">
            <v>125.60154156000002</v>
          </cell>
          <cell r="J4514">
            <v>0</v>
          </cell>
          <cell r="K4514">
            <v>0</v>
          </cell>
          <cell r="L4514">
            <v>0</v>
          </cell>
          <cell r="M4514">
            <v>0</v>
          </cell>
          <cell r="P4514">
            <v>126</v>
          </cell>
          <cell r="V4514" t="str">
            <v>Available</v>
          </cell>
        </row>
        <row r="4515">
          <cell r="A4515" t="str">
            <v>105300970039</v>
          </cell>
          <cell r="B4515" t="str">
            <v>Kalyanpur</v>
          </cell>
          <cell r="C4515" t="str">
            <v>Kalyanpur</v>
          </cell>
          <cell r="D4515" t="str">
            <v>GOMUKH NAWABGANJ</v>
          </cell>
          <cell r="E4515">
            <v>10530097</v>
          </cell>
          <cell r="F4515" t="str">
            <v>0039</v>
          </cell>
          <cell r="G4515">
            <v>14</v>
          </cell>
          <cell r="H4515">
            <v>66.2</v>
          </cell>
          <cell r="I4515">
            <v>2691.5748132266399</v>
          </cell>
          <cell r="J4515">
            <v>0</v>
          </cell>
          <cell r="K4515">
            <v>0</v>
          </cell>
          <cell r="L4515">
            <v>0</v>
          </cell>
          <cell r="M4515">
            <v>0</v>
          </cell>
          <cell r="P4515">
            <v>2692</v>
          </cell>
          <cell r="V4515" t="str">
            <v>Available</v>
          </cell>
        </row>
        <row r="4516">
          <cell r="A4516" t="str">
            <v>105300970040</v>
          </cell>
          <cell r="B4516" t="str">
            <v>Kalyanpur</v>
          </cell>
          <cell r="C4516" t="str">
            <v>Kalyanpur</v>
          </cell>
          <cell r="D4516" t="str">
            <v>GOMUKH NAWABGANJ</v>
          </cell>
          <cell r="E4516">
            <v>10530097</v>
          </cell>
          <cell r="F4516" t="str">
            <v>0040</v>
          </cell>
          <cell r="G4516">
            <v>12</v>
          </cell>
          <cell r="H4516">
            <v>24.300000000000004</v>
          </cell>
          <cell r="I4516">
            <v>915.27849962999994</v>
          </cell>
          <cell r="J4516">
            <v>0</v>
          </cell>
          <cell r="K4516">
            <v>0</v>
          </cell>
          <cell r="L4516">
            <v>0</v>
          </cell>
          <cell r="M4516">
            <v>0</v>
          </cell>
          <cell r="P4516">
            <v>915</v>
          </cell>
          <cell r="V4516" t="str">
            <v>Available</v>
          </cell>
        </row>
        <row r="4517">
          <cell r="A4517" t="str">
            <v>105300970041</v>
          </cell>
          <cell r="B4517" t="str">
            <v>Kalyanpur</v>
          </cell>
          <cell r="C4517" t="str">
            <v>Kalyanpur</v>
          </cell>
          <cell r="D4517" t="str">
            <v>GOMUKH NAWABGANJ</v>
          </cell>
          <cell r="E4517">
            <v>10530097</v>
          </cell>
          <cell r="F4517" t="str">
            <v>0041</v>
          </cell>
          <cell r="G4517">
            <v>6</v>
          </cell>
          <cell r="H4517">
            <v>12.7</v>
          </cell>
          <cell r="I4517">
            <v>485.23034003400005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  <cell r="P4517">
            <v>485</v>
          </cell>
          <cell r="V4517" t="str">
            <v>Available</v>
          </cell>
        </row>
        <row r="4518">
          <cell r="A4518" t="str">
            <v>105301000001</v>
          </cell>
          <cell r="B4518" t="str">
            <v>Kalyanpur</v>
          </cell>
          <cell r="C4518" t="str">
            <v>Kalyanpur</v>
          </cell>
          <cell r="D4518" t="str">
            <v>GOMUKH CHAKKI</v>
          </cell>
          <cell r="E4518">
            <v>10530100</v>
          </cell>
          <cell r="F4518" t="str">
            <v>0001</v>
          </cell>
          <cell r="G4518">
            <v>13</v>
          </cell>
          <cell r="H4518">
            <v>3.25</v>
          </cell>
          <cell r="I4518">
            <v>131.892487813</v>
          </cell>
          <cell r="J4518">
            <v>0</v>
          </cell>
          <cell r="K4518">
            <v>131.892487813</v>
          </cell>
          <cell r="L4518">
            <v>0</v>
          </cell>
          <cell r="M4518">
            <v>0</v>
          </cell>
          <cell r="P4518">
            <v>0</v>
          </cell>
          <cell r="V4518" t="str">
            <v>Not Available</v>
          </cell>
        </row>
        <row r="4519">
          <cell r="A4519" t="str">
            <v>105301000002</v>
          </cell>
          <cell r="B4519" t="str">
            <v>Kalyanpur</v>
          </cell>
          <cell r="C4519" t="str">
            <v>Kalyanpur</v>
          </cell>
          <cell r="D4519" t="str">
            <v>GOMUKH CHAKKI</v>
          </cell>
          <cell r="E4519">
            <v>10530100</v>
          </cell>
          <cell r="F4519" t="str">
            <v>0002</v>
          </cell>
          <cell r="G4519">
            <v>8</v>
          </cell>
          <cell r="H4519">
            <v>21.6</v>
          </cell>
          <cell r="I4519">
            <v>808.5085826400001</v>
          </cell>
          <cell r="J4519">
            <v>0</v>
          </cell>
          <cell r="K4519">
            <v>0</v>
          </cell>
          <cell r="L4519">
            <v>159</v>
          </cell>
          <cell r="M4519">
            <v>650</v>
          </cell>
          <cell r="P4519">
            <v>0</v>
          </cell>
          <cell r="V4519" t="str">
            <v>Available</v>
          </cell>
        </row>
        <row r="4520">
          <cell r="A4520" t="str">
            <v>105301000004</v>
          </cell>
          <cell r="B4520" t="str">
            <v>Kalyanpur</v>
          </cell>
          <cell r="C4520" t="str">
            <v>Kalyanpur</v>
          </cell>
          <cell r="D4520" t="str">
            <v>GOMUKH CHAKKI</v>
          </cell>
          <cell r="E4520">
            <v>10530100</v>
          </cell>
          <cell r="F4520" t="str">
            <v>0004</v>
          </cell>
          <cell r="G4520">
            <v>13</v>
          </cell>
          <cell r="H4520">
            <v>43.4</v>
          </cell>
          <cell r="I4520">
            <v>2582.566385695</v>
          </cell>
          <cell r="J4520">
            <v>0</v>
          </cell>
          <cell r="K4520">
            <v>0</v>
          </cell>
          <cell r="L4520">
            <v>0</v>
          </cell>
          <cell r="M4520">
            <v>1350</v>
          </cell>
          <cell r="P4520">
            <v>1233</v>
          </cell>
          <cell r="V4520" t="str">
            <v>Available</v>
          </cell>
        </row>
        <row r="4521">
          <cell r="A4521" t="str">
            <v>105301000006</v>
          </cell>
          <cell r="B4521" t="str">
            <v>Kalyanpur</v>
          </cell>
          <cell r="C4521" t="str">
            <v>Kalyanpur</v>
          </cell>
          <cell r="D4521" t="str">
            <v>GOMUKH CHAKKI</v>
          </cell>
          <cell r="E4521">
            <v>10530100</v>
          </cell>
          <cell r="F4521" t="str">
            <v>0006</v>
          </cell>
          <cell r="G4521">
            <v>7</v>
          </cell>
          <cell r="H4521">
            <v>57.3</v>
          </cell>
          <cell r="I4521">
            <v>2001.0849804000002</v>
          </cell>
          <cell r="J4521">
            <v>0</v>
          </cell>
          <cell r="K4521">
            <v>0</v>
          </cell>
          <cell r="L4521">
            <v>0</v>
          </cell>
          <cell r="M4521">
            <v>1350</v>
          </cell>
          <cell r="P4521">
            <v>651</v>
          </cell>
          <cell r="V4521" t="str">
            <v>Available</v>
          </cell>
        </row>
        <row r="4522">
          <cell r="A4522" t="str">
            <v>105301000014</v>
          </cell>
          <cell r="B4522" t="str">
            <v>Kalyanpur</v>
          </cell>
          <cell r="C4522" t="str">
            <v>Kalyanpur</v>
          </cell>
          <cell r="D4522" t="str">
            <v>GOMUKH CHAKKI</v>
          </cell>
          <cell r="E4522">
            <v>10530100</v>
          </cell>
          <cell r="F4522" t="str">
            <v>0014</v>
          </cell>
          <cell r="G4522">
            <v>5</v>
          </cell>
          <cell r="H4522">
            <v>8.3000000000000007</v>
          </cell>
          <cell r="I4522">
            <v>305.39932612200005</v>
          </cell>
          <cell r="J4522">
            <v>0</v>
          </cell>
          <cell r="K4522">
            <v>0</v>
          </cell>
          <cell r="L4522">
            <v>0</v>
          </cell>
          <cell r="M4522">
            <v>0</v>
          </cell>
          <cell r="P4522">
            <v>305</v>
          </cell>
          <cell r="V4522" t="str">
            <v>Available</v>
          </cell>
        </row>
        <row r="4523">
          <cell r="A4523" t="str">
            <v>105301000015</v>
          </cell>
          <cell r="B4523" t="str">
            <v>Kalyanpur</v>
          </cell>
          <cell r="C4523" t="str">
            <v>Kalyanpur</v>
          </cell>
          <cell r="D4523" t="str">
            <v>GOMUKH CHAKKI</v>
          </cell>
          <cell r="E4523">
            <v>10530100</v>
          </cell>
          <cell r="F4523" t="str">
            <v>0015</v>
          </cell>
          <cell r="G4523">
            <v>3</v>
          </cell>
          <cell r="H4523">
            <v>3</v>
          </cell>
          <cell r="I4523">
            <v>212.54238032424999</v>
          </cell>
          <cell r="J4523">
            <v>0</v>
          </cell>
          <cell r="K4523">
            <v>0</v>
          </cell>
          <cell r="L4523">
            <v>0</v>
          </cell>
          <cell r="M4523">
            <v>0</v>
          </cell>
          <cell r="P4523">
            <v>213</v>
          </cell>
          <cell r="V4523" t="str">
            <v>Available</v>
          </cell>
        </row>
        <row r="4524">
          <cell r="A4524" t="str">
            <v>105301000018</v>
          </cell>
          <cell r="B4524" t="str">
            <v>Kalyanpur</v>
          </cell>
          <cell r="C4524" t="str">
            <v>Kalyanpur</v>
          </cell>
          <cell r="D4524" t="str">
            <v>GOMUKH CHAKKI</v>
          </cell>
          <cell r="E4524">
            <v>10530100</v>
          </cell>
          <cell r="F4524" t="str">
            <v>0018</v>
          </cell>
          <cell r="G4524">
            <v>1</v>
          </cell>
          <cell r="H4524">
            <v>1</v>
          </cell>
          <cell r="I4524">
            <v>41.977108800000011</v>
          </cell>
          <cell r="J4524">
            <v>0</v>
          </cell>
          <cell r="K4524">
            <v>0</v>
          </cell>
          <cell r="L4524">
            <v>0</v>
          </cell>
          <cell r="M4524">
            <v>0</v>
          </cell>
          <cell r="P4524">
            <v>42</v>
          </cell>
          <cell r="V4524" t="str">
            <v>Available</v>
          </cell>
        </row>
        <row r="4525">
          <cell r="A4525" t="str">
            <v>105301000021</v>
          </cell>
          <cell r="B4525" t="str">
            <v>Kalyanpur</v>
          </cell>
          <cell r="C4525" t="str">
            <v>Kalyanpur</v>
          </cell>
          <cell r="D4525" t="str">
            <v>GOMUKH CHAKKI</v>
          </cell>
          <cell r="E4525">
            <v>10530100</v>
          </cell>
          <cell r="F4525" t="str">
            <v>0021</v>
          </cell>
          <cell r="G4525">
            <v>12</v>
          </cell>
          <cell r="H4525">
            <v>20.799999999999997</v>
          </cell>
          <cell r="I4525">
            <v>858.06282276000013</v>
          </cell>
          <cell r="J4525">
            <v>0</v>
          </cell>
          <cell r="K4525">
            <v>0</v>
          </cell>
          <cell r="L4525">
            <v>0</v>
          </cell>
          <cell r="M4525">
            <v>0</v>
          </cell>
          <cell r="P4525">
            <v>858</v>
          </cell>
          <cell r="V4525" t="str">
            <v>Available</v>
          </cell>
        </row>
        <row r="4526">
          <cell r="A4526" t="str">
            <v>105301000023</v>
          </cell>
          <cell r="B4526" t="str">
            <v>Kalyanpur</v>
          </cell>
          <cell r="C4526" t="str">
            <v>Kalyanpur</v>
          </cell>
          <cell r="D4526" t="str">
            <v>GOMUKH CHAKKI</v>
          </cell>
          <cell r="E4526">
            <v>10530100</v>
          </cell>
          <cell r="F4526" t="str">
            <v>0023</v>
          </cell>
          <cell r="G4526">
            <v>5</v>
          </cell>
          <cell r="H4526">
            <v>5</v>
          </cell>
          <cell r="I4526">
            <v>252.42239421680003</v>
          </cell>
          <cell r="J4526">
            <v>0</v>
          </cell>
          <cell r="K4526">
            <v>0</v>
          </cell>
          <cell r="L4526">
            <v>0</v>
          </cell>
          <cell r="M4526">
            <v>0</v>
          </cell>
          <cell r="P4526">
            <v>252</v>
          </cell>
          <cell r="V4526" t="str">
            <v>Available</v>
          </cell>
        </row>
        <row r="4527">
          <cell r="A4527" t="str">
            <v>105301000024</v>
          </cell>
          <cell r="B4527" t="str">
            <v>Kalyanpur</v>
          </cell>
          <cell r="C4527" t="str">
            <v>Kalyanpur</v>
          </cell>
          <cell r="D4527" t="str">
            <v>GOMUKH CHAKKI</v>
          </cell>
          <cell r="E4527">
            <v>10530100</v>
          </cell>
          <cell r="F4527" t="str">
            <v>0024</v>
          </cell>
          <cell r="G4527">
            <v>1</v>
          </cell>
          <cell r="H4527">
            <v>7.5</v>
          </cell>
          <cell r="I4527">
            <v>267.30801900000006</v>
          </cell>
          <cell r="J4527">
            <v>0</v>
          </cell>
          <cell r="K4527">
            <v>0</v>
          </cell>
          <cell r="L4527">
            <v>0</v>
          </cell>
          <cell r="M4527">
            <v>0</v>
          </cell>
          <cell r="P4527">
            <v>267</v>
          </cell>
          <cell r="V4527" t="str">
            <v>Available</v>
          </cell>
        </row>
        <row r="4528">
          <cell r="A4528" t="str">
            <v>105301000026</v>
          </cell>
          <cell r="B4528" t="str">
            <v>Kalyanpur</v>
          </cell>
          <cell r="C4528" t="str">
            <v>Kalyanpur</v>
          </cell>
          <cell r="D4528" t="str">
            <v>GOMUKH CHAKKI</v>
          </cell>
          <cell r="E4528">
            <v>10530100</v>
          </cell>
          <cell r="F4528" t="str">
            <v>0026</v>
          </cell>
          <cell r="G4528">
            <v>5</v>
          </cell>
          <cell r="H4528">
            <v>7.5</v>
          </cell>
          <cell r="I4528">
            <v>414.66321287739999</v>
          </cell>
          <cell r="J4528">
            <v>0</v>
          </cell>
          <cell r="K4528">
            <v>0</v>
          </cell>
          <cell r="L4528">
            <v>0</v>
          </cell>
          <cell r="M4528">
            <v>0</v>
          </cell>
          <cell r="P4528">
            <v>415</v>
          </cell>
          <cell r="V4528" t="str">
            <v>Available</v>
          </cell>
        </row>
        <row r="4529">
          <cell r="A4529" t="str">
            <v>105301000027</v>
          </cell>
          <cell r="B4529" t="str">
            <v>Kalyanpur</v>
          </cell>
          <cell r="C4529" t="str">
            <v>Kalyanpur</v>
          </cell>
          <cell r="D4529" t="str">
            <v>GOMUKH CHAKKI</v>
          </cell>
          <cell r="E4529">
            <v>10530100</v>
          </cell>
          <cell r="F4529" t="str">
            <v>0027</v>
          </cell>
          <cell r="G4529">
            <v>5</v>
          </cell>
          <cell r="H4529">
            <v>47.2</v>
          </cell>
          <cell r="I4529">
            <v>1673.26891776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P4529">
            <v>1673</v>
          </cell>
          <cell r="V4529" t="str">
            <v>Available</v>
          </cell>
        </row>
        <row r="4530">
          <cell r="A4530" t="str">
            <v>105301000028</v>
          </cell>
          <cell r="B4530" t="str">
            <v>Kalyanpur</v>
          </cell>
          <cell r="C4530" t="str">
            <v>Kalyanpur</v>
          </cell>
          <cell r="D4530" t="str">
            <v>GOMUKH CHAKKI</v>
          </cell>
          <cell r="E4530">
            <v>10530100</v>
          </cell>
          <cell r="F4530" t="str">
            <v>0028</v>
          </cell>
          <cell r="G4530">
            <v>12</v>
          </cell>
          <cell r="H4530">
            <v>32.4</v>
          </cell>
          <cell r="I4530">
            <v>1162.4146498800003</v>
          </cell>
          <cell r="J4530">
            <v>0</v>
          </cell>
          <cell r="K4530">
            <v>0</v>
          </cell>
          <cell r="L4530">
            <v>0</v>
          </cell>
          <cell r="M4530">
            <v>0</v>
          </cell>
          <cell r="P4530">
            <v>1162</v>
          </cell>
          <cell r="V4530" t="str">
            <v>Available</v>
          </cell>
        </row>
        <row r="4531">
          <cell r="A4531" t="str">
            <v>105301010001</v>
          </cell>
          <cell r="B4531" t="str">
            <v>Kalyanpur</v>
          </cell>
          <cell r="C4531" t="str">
            <v>Kalyanpur</v>
          </cell>
          <cell r="D4531" t="str">
            <v>GOMUKH LAKSHMAN NAGAR</v>
          </cell>
          <cell r="E4531">
            <v>10530101</v>
          </cell>
          <cell r="F4531" t="str">
            <v>0001</v>
          </cell>
          <cell r="G4531">
            <v>5</v>
          </cell>
          <cell r="H4531">
            <v>2.8</v>
          </cell>
          <cell r="I4531">
            <v>117.62741183625002</v>
          </cell>
          <cell r="J4531">
            <v>0</v>
          </cell>
          <cell r="K4531">
            <v>117.62741183625002</v>
          </cell>
          <cell r="L4531">
            <v>0</v>
          </cell>
          <cell r="M4531">
            <v>0</v>
          </cell>
          <cell r="P4531">
            <v>0</v>
          </cell>
          <cell r="V4531" t="str">
            <v>Not Available</v>
          </cell>
        </row>
        <row r="4532">
          <cell r="A4532" t="str">
            <v>105301010003</v>
          </cell>
          <cell r="B4532" t="str">
            <v>Kalyanpur</v>
          </cell>
          <cell r="C4532" t="str">
            <v>Kalyanpur</v>
          </cell>
          <cell r="D4532" t="str">
            <v>GOMUKH LAKSHMAN NAGAR</v>
          </cell>
          <cell r="E4532">
            <v>10530101</v>
          </cell>
          <cell r="F4532" t="str">
            <v>0003</v>
          </cell>
          <cell r="G4532">
            <v>11</v>
          </cell>
          <cell r="H4532">
            <v>41.999999999999993</v>
          </cell>
          <cell r="I4532">
            <v>1557.2049205680003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P4532">
            <v>1557</v>
          </cell>
          <cell r="V4532" t="str">
            <v>Available</v>
          </cell>
        </row>
        <row r="4533">
          <cell r="A4533" t="str">
            <v>105301010005</v>
          </cell>
          <cell r="B4533" t="str">
            <v>Kalyanpur</v>
          </cell>
          <cell r="C4533" t="str">
            <v>Kalyanpur</v>
          </cell>
          <cell r="D4533" t="str">
            <v>GOMUKH LAKSHMAN NAGAR</v>
          </cell>
          <cell r="E4533">
            <v>10530101</v>
          </cell>
          <cell r="F4533" t="str">
            <v>0005</v>
          </cell>
          <cell r="G4533">
            <v>11</v>
          </cell>
          <cell r="H4533">
            <v>37.200000000000003</v>
          </cell>
          <cell r="I4533">
            <v>1560.676903478</v>
          </cell>
          <cell r="J4533">
            <v>0</v>
          </cell>
          <cell r="K4533">
            <v>0</v>
          </cell>
          <cell r="L4533">
            <v>0</v>
          </cell>
          <cell r="M4533">
            <v>0</v>
          </cell>
          <cell r="P4533">
            <v>1561</v>
          </cell>
          <cell r="V4533" t="str">
            <v>Available</v>
          </cell>
        </row>
        <row r="4534">
          <cell r="A4534" t="str">
            <v>105301010006</v>
          </cell>
          <cell r="B4534" t="str">
            <v>Kalyanpur</v>
          </cell>
          <cell r="C4534" t="str">
            <v>Kalyanpur</v>
          </cell>
          <cell r="D4534" t="str">
            <v>GOMUKH LAKSHMAN NAGAR</v>
          </cell>
          <cell r="E4534">
            <v>10530101</v>
          </cell>
          <cell r="F4534" t="str">
            <v>0006</v>
          </cell>
          <cell r="G4534">
            <v>1</v>
          </cell>
          <cell r="H4534">
            <v>1</v>
          </cell>
          <cell r="I4534">
            <v>46.362152550000005</v>
          </cell>
          <cell r="J4534">
            <v>0</v>
          </cell>
          <cell r="K4534">
            <v>0</v>
          </cell>
          <cell r="L4534">
            <v>0</v>
          </cell>
          <cell r="M4534">
            <v>0</v>
          </cell>
          <cell r="P4534">
            <v>46</v>
          </cell>
          <cell r="V4534" t="str">
            <v>Available</v>
          </cell>
        </row>
        <row r="4535">
          <cell r="A4535" t="str">
            <v>105301010016</v>
          </cell>
          <cell r="B4535" t="str">
            <v>Kalyanpur</v>
          </cell>
          <cell r="C4535" t="str">
            <v>Kalyanpur</v>
          </cell>
          <cell r="D4535" t="str">
            <v>GOMUKH LAKSHMAN NAGAR</v>
          </cell>
          <cell r="E4535">
            <v>10530101</v>
          </cell>
          <cell r="F4535" t="str">
            <v>0016</v>
          </cell>
          <cell r="G4535">
            <v>13</v>
          </cell>
          <cell r="H4535">
            <v>59.899999999999991</v>
          </cell>
          <cell r="I4535">
            <v>2597.9242840686002</v>
          </cell>
          <cell r="J4535">
            <v>0</v>
          </cell>
          <cell r="K4535">
            <v>0</v>
          </cell>
          <cell r="L4535">
            <v>0</v>
          </cell>
          <cell r="M4535">
            <v>0</v>
          </cell>
          <cell r="P4535">
            <v>2598</v>
          </cell>
          <cell r="V4535" t="str">
            <v>Available</v>
          </cell>
        </row>
        <row r="4536">
          <cell r="A4536" t="str">
            <v>105301010017</v>
          </cell>
          <cell r="B4536" t="str">
            <v>Kalyanpur</v>
          </cell>
          <cell r="C4536" t="str">
            <v>Kalyanpur</v>
          </cell>
          <cell r="D4536" t="str">
            <v>GOMUKH LAKSHMAN NAGAR</v>
          </cell>
          <cell r="E4536">
            <v>10530101</v>
          </cell>
          <cell r="F4536" t="str">
            <v>0017</v>
          </cell>
          <cell r="G4536">
            <v>2</v>
          </cell>
          <cell r="H4536">
            <v>1.6</v>
          </cell>
          <cell r="I4536">
            <v>117.7432325268</v>
          </cell>
          <cell r="J4536">
            <v>0</v>
          </cell>
          <cell r="K4536">
            <v>0</v>
          </cell>
          <cell r="L4536">
            <v>0</v>
          </cell>
          <cell r="M4536">
            <v>0</v>
          </cell>
          <cell r="P4536">
            <v>118</v>
          </cell>
          <cell r="V4536" t="str">
            <v>Available</v>
          </cell>
        </row>
        <row r="4537">
          <cell r="A4537" t="str">
            <v>105301010018</v>
          </cell>
          <cell r="B4537" t="str">
            <v>Kalyanpur</v>
          </cell>
          <cell r="C4537" t="str">
            <v>Kalyanpur</v>
          </cell>
          <cell r="D4537" t="str">
            <v>GOMUKH LAKSHMAN NAGAR</v>
          </cell>
          <cell r="E4537">
            <v>10530101</v>
          </cell>
          <cell r="F4537" t="str">
            <v>0018</v>
          </cell>
          <cell r="G4537">
            <v>4</v>
          </cell>
          <cell r="H4537">
            <v>4.9000000000000004</v>
          </cell>
          <cell r="I4537">
            <v>188.69924700000001</v>
          </cell>
          <cell r="J4537">
            <v>0</v>
          </cell>
          <cell r="K4537">
            <v>0</v>
          </cell>
          <cell r="L4537">
            <v>0</v>
          </cell>
          <cell r="M4537">
            <v>0</v>
          </cell>
          <cell r="P4537">
            <v>189</v>
          </cell>
          <cell r="V4537" t="str">
            <v>Available</v>
          </cell>
        </row>
        <row r="4538">
          <cell r="A4538" t="str">
            <v>105301010019</v>
          </cell>
          <cell r="B4538" t="str">
            <v>Kalyanpur</v>
          </cell>
          <cell r="C4538" t="str">
            <v>Kalyanpur</v>
          </cell>
          <cell r="D4538" t="str">
            <v>GOMUKH LAKSHMAN NAGAR</v>
          </cell>
          <cell r="E4538">
            <v>10530101</v>
          </cell>
          <cell r="F4538" t="str">
            <v>0019</v>
          </cell>
          <cell r="G4538">
            <v>5</v>
          </cell>
          <cell r="H4538">
            <v>14.100000000000001</v>
          </cell>
          <cell r="I4538">
            <v>542.95754039999997</v>
          </cell>
          <cell r="J4538">
            <v>0</v>
          </cell>
          <cell r="K4538">
            <v>0</v>
          </cell>
          <cell r="L4538">
            <v>0</v>
          </cell>
          <cell r="M4538">
            <v>0</v>
          </cell>
          <cell r="P4538">
            <v>543</v>
          </cell>
          <cell r="V4538" t="str">
            <v>Available</v>
          </cell>
        </row>
        <row r="4539">
          <cell r="A4539" t="str">
            <v>105301010021</v>
          </cell>
          <cell r="B4539" t="str">
            <v>Kalyanpur</v>
          </cell>
          <cell r="C4539" t="str">
            <v>Kalyanpur</v>
          </cell>
          <cell r="D4539" t="str">
            <v>GOMUKH LAKSHMAN NAGAR</v>
          </cell>
          <cell r="E4539">
            <v>10530101</v>
          </cell>
          <cell r="F4539" t="str">
            <v>0021</v>
          </cell>
          <cell r="G4539">
            <v>12</v>
          </cell>
          <cell r="H4539">
            <v>45.499999999999993</v>
          </cell>
          <cell r="I4539">
            <v>2039.4758199028201</v>
          </cell>
          <cell r="J4539">
            <v>0</v>
          </cell>
          <cell r="K4539">
            <v>0</v>
          </cell>
          <cell r="L4539">
            <v>0</v>
          </cell>
          <cell r="M4539">
            <v>0</v>
          </cell>
          <cell r="P4539">
            <v>2039</v>
          </cell>
          <cell r="V4539" t="str">
            <v>Available</v>
          </cell>
        </row>
        <row r="4540">
          <cell r="A4540" t="str">
            <v>105301010024</v>
          </cell>
          <cell r="B4540" t="str">
            <v>Kalyanpur</v>
          </cell>
          <cell r="C4540" t="str">
            <v>Kalyanpur</v>
          </cell>
          <cell r="D4540" t="str">
            <v>GOMUKH LAKSHMAN NAGAR</v>
          </cell>
          <cell r="E4540">
            <v>10530101</v>
          </cell>
          <cell r="F4540" t="str">
            <v>0024</v>
          </cell>
          <cell r="G4540">
            <v>6</v>
          </cell>
          <cell r="H4540">
            <v>17.399999999999999</v>
          </cell>
          <cell r="I4540">
            <v>1498.8076560610994</v>
          </cell>
          <cell r="J4540">
            <v>0</v>
          </cell>
          <cell r="K4540">
            <v>0</v>
          </cell>
          <cell r="L4540">
            <v>0</v>
          </cell>
          <cell r="M4540">
            <v>0</v>
          </cell>
          <cell r="P4540">
            <v>1499</v>
          </cell>
          <cell r="V4540" t="str">
            <v>Available</v>
          </cell>
        </row>
        <row r="4541">
          <cell r="A4541" t="str">
            <v>105301010026</v>
          </cell>
          <cell r="B4541" t="str">
            <v>Kalyanpur</v>
          </cell>
          <cell r="C4541" t="str">
            <v>Kalyanpur</v>
          </cell>
          <cell r="D4541" t="str">
            <v>GOMUKH LAKSHMAN NAGAR</v>
          </cell>
          <cell r="E4541">
            <v>10530101</v>
          </cell>
          <cell r="F4541" t="str">
            <v>0026</v>
          </cell>
          <cell r="G4541">
            <v>5</v>
          </cell>
          <cell r="H4541">
            <v>10.1</v>
          </cell>
          <cell r="I4541">
            <v>333.49890439800004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P4541">
            <v>333</v>
          </cell>
          <cell r="V4541" t="str">
            <v>Available</v>
          </cell>
        </row>
        <row r="4542">
          <cell r="A4542" t="str">
            <v>105301010030</v>
          </cell>
          <cell r="B4542" t="str">
            <v>Kalyanpur</v>
          </cell>
          <cell r="C4542" t="str">
            <v>Kalyanpur</v>
          </cell>
          <cell r="D4542" t="str">
            <v>GOMUKH LAKSHMAN NAGAR</v>
          </cell>
          <cell r="E4542">
            <v>10530101</v>
          </cell>
          <cell r="F4542" t="str">
            <v>0030</v>
          </cell>
          <cell r="G4542">
            <v>11</v>
          </cell>
          <cell r="H4542">
            <v>23.1</v>
          </cell>
          <cell r="I4542">
            <v>1072.1525604108003</v>
          </cell>
          <cell r="J4542">
            <v>0</v>
          </cell>
          <cell r="K4542">
            <v>0</v>
          </cell>
          <cell r="L4542">
            <v>0</v>
          </cell>
          <cell r="M4542">
            <v>0</v>
          </cell>
          <cell r="P4542">
            <v>1072</v>
          </cell>
          <cell r="V4542" t="str">
            <v>Available</v>
          </cell>
        </row>
        <row r="4543">
          <cell r="A4543" t="str">
            <v>105301010032</v>
          </cell>
          <cell r="B4543" t="str">
            <v>Kalyanpur</v>
          </cell>
          <cell r="C4543" t="str">
            <v>Kalyanpur</v>
          </cell>
          <cell r="D4543" t="str">
            <v>GOMUKH LAKSHMAN NAGAR</v>
          </cell>
          <cell r="E4543">
            <v>10530101</v>
          </cell>
          <cell r="F4543" t="str">
            <v>0032</v>
          </cell>
          <cell r="G4543">
            <v>12</v>
          </cell>
          <cell r="H4543">
            <v>31.900000000000002</v>
          </cell>
          <cell r="I4543">
            <v>1042.3767039840002</v>
          </cell>
          <cell r="J4543">
            <v>0</v>
          </cell>
          <cell r="K4543">
            <v>0</v>
          </cell>
          <cell r="L4543">
            <v>0</v>
          </cell>
          <cell r="M4543">
            <v>0</v>
          </cell>
          <cell r="P4543">
            <v>1042</v>
          </cell>
          <cell r="V4543" t="str">
            <v>Available</v>
          </cell>
        </row>
        <row r="4544">
          <cell r="A4544" t="str">
            <v>105301010033</v>
          </cell>
          <cell r="B4544" t="str">
            <v>Kalyanpur</v>
          </cell>
          <cell r="C4544" t="str">
            <v>Kalyanpur</v>
          </cell>
          <cell r="D4544" t="str">
            <v>GOMUKH LAKSHMAN NAGAR</v>
          </cell>
          <cell r="E4544">
            <v>10530101</v>
          </cell>
          <cell r="F4544" t="str">
            <v>0033</v>
          </cell>
          <cell r="G4544">
            <v>7</v>
          </cell>
          <cell r="H4544">
            <v>11.3</v>
          </cell>
          <cell r="I4544">
            <v>684.95972128729011</v>
          </cell>
          <cell r="J4544">
            <v>0</v>
          </cell>
          <cell r="K4544">
            <v>0</v>
          </cell>
          <cell r="L4544">
            <v>0</v>
          </cell>
          <cell r="M4544">
            <v>0</v>
          </cell>
          <cell r="P4544">
            <v>685</v>
          </cell>
          <cell r="V4544" t="str">
            <v>Available</v>
          </cell>
        </row>
        <row r="4545">
          <cell r="A4545" t="str">
            <v>105301020001</v>
          </cell>
          <cell r="B4545" t="str">
            <v>Kalyanpur</v>
          </cell>
          <cell r="C4545" t="str">
            <v>Kalyanpur</v>
          </cell>
          <cell r="D4545" t="str">
            <v>GOMUKH KOTHIYA</v>
          </cell>
          <cell r="E4545">
            <v>10530102</v>
          </cell>
          <cell r="F4545" t="str">
            <v>0001</v>
          </cell>
          <cell r="G4545">
            <v>2</v>
          </cell>
          <cell r="H4545">
            <v>0.2</v>
          </cell>
          <cell r="I4545">
            <v>7.7142756240000017</v>
          </cell>
          <cell r="J4545">
            <v>0</v>
          </cell>
          <cell r="K4545">
            <v>7.7142756240000017</v>
          </cell>
          <cell r="L4545">
            <v>0</v>
          </cell>
          <cell r="M4545">
            <v>0</v>
          </cell>
          <cell r="P4545">
            <v>0</v>
          </cell>
          <cell r="V4545" t="str">
            <v>Not Available</v>
          </cell>
        </row>
        <row r="4546">
          <cell r="A4546" t="str">
            <v>105301020002</v>
          </cell>
          <cell r="B4546" t="str">
            <v>Kalyanpur</v>
          </cell>
          <cell r="C4546" t="str">
            <v>Kalyanpur</v>
          </cell>
          <cell r="D4546" t="str">
            <v>GOMUKH KOTHIYA</v>
          </cell>
          <cell r="E4546">
            <v>10530102</v>
          </cell>
          <cell r="F4546" t="str">
            <v>0002</v>
          </cell>
          <cell r="G4546">
            <v>5</v>
          </cell>
          <cell r="H4546">
            <v>5.1999999999999993</v>
          </cell>
          <cell r="I4546">
            <v>195.06218688000001</v>
          </cell>
          <cell r="J4546">
            <v>0</v>
          </cell>
          <cell r="K4546">
            <v>0</v>
          </cell>
          <cell r="L4546">
            <v>0</v>
          </cell>
          <cell r="M4546">
            <v>0</v>
          </cell>
          <cell r="P4546">
            <v>195</v>
          </cell>
          <cell r="V4546" t="str">
            <v>Available</v>
          </cell>
        </row>
        <row r="4547">
          <cell r="A4547" t="str">
            <v>105301020010</v>
          </cell>
          <cell r="B4547" t="str">
            <v>Kalyanpur</v>
          </cell>
          <cell r="C4547" t="str">
            <v>Kalyanpur</v>
          </cell>
          <cell r="D4547" t="str">
            <v>GOMUKH KOTHIYA</v>
          </cell>
          <cell r="E4547">
            <v>10530102</v>
          </cell>
          <cell r="F4547" t="str">
            <v>0010</v>
          </cell>
          <cell r="G4547">
            <v>12</v>
          </cell>
          <cell r="H4547">
            <v>21.5</v>
          </cell>
          <cell r="I4547">
            <v>956.99994535434507</v>
          </cell>
          <cell r="J4547">
            <v>0</v>
          </cell>
          <cell r="K4547">
            <v>0</v>
          </cell>
          <cell r="L4547">
            <v>0</v>
          </cell>
          <cell r="M4547">
            <v>0</v>
          </cell>
          <cell r="P4547">
            <v>957</v>
          </cell>
          <cell r="V4547" t="str">
            <v>Available</v>
          </cell>
        </row>
        <row r="4548">
          <cell r="A4548" t="str">
            <v>105301020013</v>
          </cell>
          <cell r="B4548" t="str">
            <v>Kalyanpur</v>
          </cell>
          <cell r="C4548" t="str">
            <v>Kalyanpur</v>
          </cell>
          <cell r="D4548" t="str">
            <v>GOMUKH KOTHIYA</v>
          </cell>
          <cell r="E4548">
            <v>10530102</v>
          </cell>
          <cell r="F4548" t="str">
            <v>0013</v>
          </cell>
          <cell r="G4548">
            <v>12</v>
          </cell>
          <cell r="H4548">
            <v>47.9</v>
          </cell>
          <cell r="I4548">
            <v>1611.2640519360002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P4548">
            <v>1611</v>
          </cell>
          <cell r="V4548" t="str">
            <v>Available</v>
          </cell>
        </row>
        <row r="4549">
          <cell r="A4549" t="str">
            <v>105301020014</v>
          </cell>
          <cell r="B4549" t="str">
            <v>Kalyanpur</v>
          </cell>
          <cell r="C4549" t="str">
            <v>Kalyanpur</v>
          </cell>
          <cell r="D4549" t="str">
            <v>GOMUKH KOTHIYA</v>
          </cell>
          <cell r="E4549">
            <v>10530102</v>
          </cell>
          <cell r="F4549" t="str">
            <v>0014</v>
          </cell>
          <cell r="G4549">
            <v>3</v>
          </cell>
          <cell r="H4549">
            <v>4.2</v>
          </cell>
          <cell r="I4549">
            <v>161.27139679200002</v>
          </cell>
          <cell r="J4549">
            <v>0</v>
          </cell>
          <cell r="K4549">
            <v>0</v>
          </cell>
          <cell r="L4549">
            <v>0</v>
          </cell>
          <cell r="M4549">
            <v>0</v>
          </cell>
          <cell r="P4549">
            <v>161</v>
          </cell>
          <cell r="V4549" t="str">
            <v>Available</v>
          </cell>
        </row>
        <row r="4550">
          <cell r="A4550" t="str">
            <v>105301030001</v>
          </cell>
          <cell r="B4550" t="str">
            <v>Kalyanpur</v>
          </cell>
          <cell r="C4550" t="str">
            <v>Kalyanpur</v>
          </cell>
          <cell r="D4550" t="str">
            <v>GOMUKH JHAHURI</v>
          </cell>
          <cell r="E4550">
            <v>10530103</v>
          </cell>
          <cell r="F4550" t="str">
            <v>0001</v>
          </cell>
          <cell r="G4550">
            <v>14</v>
          </cell>
          <cell r="H4550">
            <v>29.199999999999996</v>
          </cell>
          <cell r="I4550">
            <v>1251.7182432900001</v>
          </cell>
          <cell r="J4550">
            <v>0</v>
          </cell>
          <cell r="K4550">
            <v>1251.7182432900001</v>
          </cell>
          <cell r="L4550">
            <v>0</v>
          </cell>
          <cell r="M4550">
            <v>0</v>
          </cell>
          <cell r="P4550">
            <v>0</v>
          </cell>
          <cell r="V4550" t="str">
            <v>Not Available</v>
          </cell>
        </row>
        <row r="4551">
          <cell r="A4551" t="str">
            <v>105301030002</v>
          </cell>
          <cell r="B4551" t="str">
            <v>Kalyanpur</v>
          </cell>
          <cell r="C4551" t="str">
            <v>Kalyanpur</v>
          </cell>
          <cell r="D4551" t="str">
            <v>GOMUKH JHAHURI</v>
          </cell>
          <cell r="E4551">
            <v>10530103</v>
          </cell>
          <cell r="F4551" t="str">
            <v>0002</v>
          </cell>
          <cell r="G4551">
            <v>14</v>
          </cell>
          <cell r="H4551">
            <v>399.70000000000005</v>
          </cell>
          <cell r="I4551">
            <v>18568.341615098801</v>
          </cell>
          <cell r="J4551">
            <v>0</v>
          </cell>
          <cell r="K4551">
            <v>0</v>
          </cell>
          <cell r="L4551">
            <v>0</v>
          </cell>
          <cell r="M4551">
            <v>2700</v>
          </cell>
          <cell r="P4551">
            <v>15868</v>
          </cell>
          <cell r="V4551" t="str">
            <v>Available</v>
          </cell>
        </row>
        <row r="4552">
          <cell r="A4552" t="str">
            <v>105301030003</v>
          </cell>
          <cell r="B4552" t="str">
            <v>Kalyanpur</v>
          </cell>
          <cell r="C4552" t="str">
            <v>Kalyanpur</v>
          </cell>
          <cell r="D4552" t="str">
            <v>GOMUKH JHAHURI</v>
          </cell>
          <cell r="E4552">
            <v>10530103</v>
          </cell>
          <cell r="F4552" t="str">
            <v>0003</v>
          </cell>
          <cell r="G4552">
            <v>14</v>
          </cell>
          <cell r="H4552">
            <v>359.30000000000007</v>
          </cell>
          <cell r="I4552">
            <v>14480.205303960001</v>
          </cell>
          <cell r="J4552">
            <v>0</v>
          </cell>
          <cell r="K4552">
            <v>0</v>
          </cell>
          <cell r="L4552">
            <v>0</v>
          </cell>
          <cell r="M4552">
            <v>0</v>
          </cell>
          <cell r="P4552">
            <v>14480</v>
          </cell>
          <cell r="V4552" t="str">
            <v>Available</v>
          </cell>
        </row>
        <row r="4553">
          <cell r="A4553" t="str">
            <v>105301030004</v>
          </cell>
          <cell r="B4553" t="str">
            <v>Kalyanpur</v>
          </cell>
          <cell r="C4553" t="str">
            <v>Kalyanpur</v>
          </cell>
          <cell r="D4553" t="str">
            <v>GOMUKH JHAHURI</v>
          </cell>
          <cell r="E4553">
            <v>10530103</v>
          </cell>
          <cell r="F4553" t="str">
            <v>0004</v>
          </cell>
          <cell r="G4553">
            <v>14</v>
          </cell>
          <cell r="H4553">
            <v>520.89999999999986</v>
          </cell>
          <cell r="I4553">
            <v>25374.131228608952</v>
          </cell>
          <cell r="J4553">
            <v>0</v>
          </cell>
          <cell r="K4553">
            <v>0</v>
          </cell>
          <cell r="L4553">
            <v>0</v>
          </cell>
          <cell r="M4553">
            <v>1350</v>
          </cell>
          <cell r="P4553">
            <v>24024</v>
          </cell>
          <cell r="V4553" t="str">
            <v>Available</v>
          </cell>
        </row>
        <row r="4554">
          <cell r="A4554" t="str">
            <v>105301030005</v>
          </cell>
          <cell r="B4554" t="str">
            <v>Kalyanpur</v>
          </cell>
          <cell r="C4554" t="str">
            <v>Kalyanpur</v>
          </cell>
          <cell r="D4554" t="str">
            <v>GOMUKH JHAHURI</v>
          </cell>
          <cell r="E4554">
            <v>10530103</v>
          </cell>
          <cell r="F4554" t="str">
            <v>0005</v>
          </cell>
          <cell r="G4554">
            <v>12</v>
          </cell>
          <cell r="H4554">
            <v>21.5</v>
          </cell>
          <cell r="I4554">
            <v>892.88049842073008</v>
          </cell>
          <cell r="J4554">
            <v>0</v>
          </cell>
          <cell r="K4554">
            <v>0</v>
          </cell>
          <cell r="L4554">
            <v>0</v>
          </cell>
          <cell r="M4554">
            <v>0</v>
          </cell>
          <cell r="P4554">
            <v>893</v>
          </cell>
          <cell r="V4554" t="str">
            <v>Available</v>
          </cell>
        </row>
        <row r="4555">
          <cell r="A4555" t="str">
            <v>105301030006</v>
          </cell>
          <cell r="B4555" t="str">
            <v>Kalyanpur</v>
          </cell>
          <cell r="C4555" t="str">
            <v>Kalyanpur</v>
          </cell>
          <cell r="D4555" t="str">
            <v>GOMUKH JHAHURI</v>
          </cell>
          <cell r="E4555">
            <v>10530103</v>
          </cell>
          <cell r="F4555" t="str">
            <v>0006</v>
          </cell>
          <cell r="G4555">
            <v>13</v>
          </cell>
          <cell r="H4555">
            <v>53.600000000000009</v>
          </cell>
          <cell r="I4555">
            <v>1904.0815902239999</v>
          </cell>
          <cell r="J4555">
            <v>0</v>
          </cell>
          <cell r="K4555">
            <v>0</v>
          </cell>
          <cell r="L4555">
            <v>0</v>
          </cell>
          <cell r="M4555">
            <v>1350</v>
          </cell>
          <cell r="P4555">
            <v>554</v>
          </cell>
          <cell r="V4555" t="str">
            <v>Available</v>
          </cell>
        </row>
        <row r="4556">
          <cell r="A4556" t="str">
            <v>105301030007</v>
          </cell>
          <cell r="B4556" t="str">
            <v>Kalyanpur</v>
          </cell>
          <cell r="C4556" t="str">
            <v>Kalyanpur</v>
          </cell>
          <cell r="D4556" t="str">
            <v>GOMUKH JHAHURI</v>
          </cell>
          <cell r="E4556">
            <v>10530103</v>
          </cell>
          <cell r="F4556" t="str">
            <v>0007</v>
          </cell>
          <cell r="G4556">
            <v>12</v>
          </cell>
          <cell r="H4556">
            <v>51.7</v>
          </cell>
          <cell r="I4556">
            <v>2220.1899872400004</v>
          </cell>
          <cell r="J4556">
            <v>0</v>
          </cell>
          <cell r="K4556">
            <v>0</v>
          </cell>
          <cell r="L4556">
            <v>0</v>
          </cell>
          <cell r="M4556">
            <v>1350</v>
          </cell>
          <cell r="P4556">
            <v>870</v>
          </cell>
          <cell r="V4556" t="str">
            <v>Available</v>
          </cell>
        </row>
        <row r="4557">
          <cell r="A4557" t="str">
            <v>105301030008</v>
          </cell>
          <cell r="B4557" t="str">
            <v>Kalyanpur</v>
          </cell>
          <cell r="C4557" t="str">
            <v>Kalyanpur</v>
          </cell>
          <cell r="D4557" t="str">
            <v>GOMUKH JHAHURI</v>
          </cell>
          <cell r="E4557">
            <v>10530103</v>
          </cell>
          <cell r="F4557" t="str">
            <v>0008</v>
          </cell>
          <cell r="G4557">
            <v>14</v>
          </cell>
          <cell r="H4557">
            <v>108.4</v>
          </cell>
          <cell r="I4557">
            <v>4641.9675231600013</v>
          </cell>
          <cell r="J4557">
            <v>0</v>
          </cell>
          <cell r="K4557">
            <v>0</v>
          </cell>
          <cell r="L4557">
            <v>0</v>
          </cell>
          <cell r="M4557">
            <v>1350</v>
          </cell>
          <cell r="P4557">
            <v>3292</v>
          </cell>
          <cell r="V4557" t="str">
            <v>Available</v>
          </cell>
        </row>
        <row r="4558">
          <cell r="A4558" t="str">
            <v>105301030009</v>
          </cell>
          <cell r="B4558" t="str">
            <v>Kalyanpur</v>
          </cell>
          <cell r="C4558" t="str">
            <v>Kalyanpur</v>
          </cell>
          <cell r="D4558" t="str">
            <v>GOMUKH JHAHURI</v>
          </cell>
          <cell r="E4558">
            <v>10530103</v>
          </cell>
          <cell r="F4558" t="str">
            <v>0009</v>
          </cell>
          <cell r="G4558">
            <v>7</v>
          </cell>
          <cell r="H4558">
            <v>16.5</v>
          </cell>
          <cell r="I4558">
            <v>705.43937046000008</v>
          </cell>
          <cell r="J4558">
            <v>0</v>
          </cell>
          <cell r="K4558">
            <v>0</v>
          </cell>
          <cell r="L4558">
            <v>0</v>
          </cell>
          <cell r="M4558">
            <v>0</v>
          </cell>
          <cell r="P4558">
            <v>705</v>
          </cell>
          <cell r="V4558" t="str">
            <v>Available</v>
          </cell>
        </row>
        <row r="4559">
          <cell r="A4559" t="str">
            <v>105301030013</v>
          </cell>
          <cell r="B4559" t="str">
            <v>Kalyanpur</v>
          </cell>
          <cell r="C4559" t="str">
            <v>Kalyanpur</v>
          </cell>
          <cell r="D4559" t="str">
            <v>GOMUKH JHAHURI</v>
          </cell>
          <cell r="E4559">
            <v>10530103</v>
          </cell>
          <cell r="F4559" t="str">
            <v>0013</v>
          </cell>
          <cell r="G4559">
            <v>8</v>
          </cell>
          <cell r="H4559">
            <v>15.7</v>
          </cell>
          <cell r="I4559">
            <v>964.8973955350001</v>
          </cell>
          <cell r="J4559">
            <v>0</v>
          </cell>
          <cell r="K4559">
            <v>0</v>
          </cell>
          <cell r="L4559">
            <v>0</v>
          </cell>
          <cell r="M4559">
            <v>0</v>
          </cell>
          <cell r="P4559">
            <v>965</v>
          </cell>
          <cell r="V4559" t="str">
            <v>Available</v>
          </cell>
        </row>
        <row r="4560">
          <cell r="A4560" t="str">
            <v>105301030014</v>
          </cell>
          <cell r="B4560" t="str">
            <v>Kalyanpur</v>
          </cell>
          <cell r="C4560" t="str">
            <v>Kalyanpur</v>
          </cell>
          <cell r="D4560" t="str">
            <v>GOMUKH JHAHURI</v>
          </cell>
          <cell r="E4560">
            <v>10530103</v>
          </cell>
          <cell r="F4560" t="str">
            <v>0014</v>
          </cell>
          <cell r="G4560">
            <v>7</v>
          </cell>
          <cell r="H4560">
            <v>16.5</v>
          </cell>
          <cell r="I4560">
            <v>621.83053547999998</v>
          </cell>
          <cell r="J4560">
            <v>0</v>
          </cell>
          <cell r="K4560">
            <v>0</v>
          </cell>
          <cell r="L4560">
            <v>0</v>
          </cell>
          <cell r="M4560">
            <v>0</v>
          </cell>
          <cell r="P4560">
            <v>622</v>
          </cell>
          <cell r="V4560" t="str">
            <v>Available</v>
          </cell>
        </row>
        <row r="4561">
          <cell r="A4561" t="str">
            <v>105301030016</v>
          </cell>
          <cell r="B4561" t="str">
            <v>Kalyanpur</v>
          </cell>
          <cell r="C4561" t="str">
            <v>Kalyanpur</v>
          </cell>
          <cell r="D4561" t="str">
            <v>GOMUKH JHAHURI</v>
          </cell>
          <cell r="E4561">
            <v>10530103</v>
          </cell>
          <cell r="F4561" t="str">
            <v>0016</v>
          </cell>
          <cell r="G4561">
            <v>2</v>
          </cell>
          <cell r="H4561">
            <v>3.0999999999999996</v>
          </cell>
          <cell r="I4561">
            <v>148.16621804300001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P4561">
            <v>148</v>
          </cell>
          <cell r="V4561" t="str">
            <v>Available</v>
          </cell>
        </row>
        <row r="4562">
          <cell r="A4562" t="str">
            <v>105301030018</v>
          </cell>
          <cell r="B4562" t="str">
            <v>Kalyanpur</v>
          </cell>
          <cell r="C4562" t="str">
            <v>Kalyanpur</v>
          </cell>
          <cell r="D4562" t="str">
            <v>GOMUKH JHAHURI</v>
          </cell>
          <cell r="E4562">
            <v>10530103</v>
          </cell>
          <cell r="F4562" t="str">
            <v>0018</v>
          </cell>
          <cell r="G4562">
            <v>6</v>
          </cell>
          <cell r="H4562">
            <v>11.4</v>
          </cell>
          <cell r="I4562">
            <v>556.48937039500004</v>
          </cell>
          <cell r="J4562">
            <v>0</v>
          </cell>
          <cell r="K4562">
            <v>0</v>
          </cell>
          <cell r="L4562">
            <v>0</v>
          </cell>
          <cell r="M4562">
            <v>0</v>
          </cell>
          <cell r="P4562">
            <v>556</v>
          </cell>
          <cell r="V4562" t="str">
            <v>Available</v>
          </cell>
        </row>
        <row r="4563">
          <cell r="A4563" t="str">
            <v>105301030021</v>
          </cell>
          <cell r="B4563" t="str">
            <v>Kalyanpur</v>
          </cell>
          <cell r="C4563" t="str">
            <v>Kalyanpur</v>
          </cell>
          <cell r="D4563" t="str">
            <v>GOMUKH JHAHURI</v>
          </cell>
          <cell r="E4563">
            <v>10530103</v>
          </cell>
          <cell r="F4563" t="str">
            <v>0021</v>
          </cell>
          <cell r="G4563">
            <v>13</v>
          </cell>
          <cell r="H4563">
            <v>76.099999999999994</v>
          </cell>
          <cell r="I4563">
            <v>2717.7267310380003</v>
          </cell>
          <cell r="J4563">
            <v>0</v>
          </cell>
          <cell r="K4563">
            <v>0</v>
          </cell>
          <cell r="L4563">
            <v>0</v>
          </cell>
          <cell r="M4563">
            <v>1350</v>
          </cell>
          <cell r="P4563">
            <v>1368</v>
          </cell>
          <cell r="V4563" t="str">
            <v>Available</v>
          </cell>
        </row>
        <row r="4564">
          <cell r="A4564" t="str">
            <v>105301030022</v>
          </cell>
          <cell r="B4564" t="str">
            <v>Kalyanpur</v>
          </cell>
          <cell r="C4564" t="str">
            <v>Kalyanpur</v>
          </cell>
          <cell r="D4564" t="str">
            <v>GOMUKH JHAHURI</v>
          </cell>
          <cell r="E4564">
            <v>10530103</v>
          </cell>
          <cell r="F4564" t="str">
            <v>0022</v>
          </cell>
          <cell r="G4564">
            <v>14</v>
          </cell>
          <cell r="H4564">
            <v>109.60000000000001</v>
          </cell>
          <cell r="I4564">
            <v>4304.0845188000012</v>
          </cell>
          <cell r="J4564">
            <v>0</v>
          </cell>
          <cell r="K4564">
            <v>0</v>
          </cell>
          <cell r="L4564">
            <v>0</v>
          </cell>
          <cell r="M4564">
            <v>1350</v>
          </cell>
          <cell r="P4564">
            <v>2954</v>
          </cell>
          <cell r="V4564" t="str">
            <v>Available</v>
          </cell>
        </row>
        <row r="4565">
          <cell r="A4565" t="str">
            <v>105301030023</v>
          </cell>
          <cell r="B4565" t="str">
            <v>Kalyanpur</v>
          </cell>
          <cell r="C4565" t="str">
            <v>Kalyanpur</v>
          </cell>
          <cell r="D4565" t="str">
            <v>GOMUKH JHAHURI</v>
          </cell>
          <cell r="E4565">
            <v>10530103</v>
          </cell>
          <cell r="F4565" t="str">
            <v>0023</v>
          </cell>
          <cell r="G4565">
            <v>14</v>
          </cell>
          <cell r="H4565">
            <v>47.4</v>
          </cell>
          <cell r="I4565">
            <v>1997.9523828000001</v>
          </cell>
          <cell r="J4565">
            <v>0</v>
          </cell>
          <cell r="K4565">
            <v>0</v>
          </cell>
          <cell r="L4565">
            <v>0</v>
          </cell>
          <cell r="M4565">
            <v>1350</v>
          </cell>
          <cell r="P4565">
            <v>648</v>
          </cell>
          <cell r="V4565" t="str">
            <v>Available</v>
          </cell>
        </row>
        <row r="4566">
          <cell r="A4566" t="str">
            <v>105301030024</v>
          </cell>
          <cell r="B4566" t="str">
            <v>Kalyanpur</v>
          </cell>
          <cell r="C4566" t="str">
            <v>Kalyanpur</v>
          </cell>
          <cell r="D4566" t="str">
            <v>GOMUKH JHAHURI</v>
          </cell>
          <cell r="E4566">
            <v>10530103</v>
          </cell>
          <cell r="F4566" t="str">
            <v>0024</v>
          </cell>
          <cell r="G4566">
            <v>7</v>
          </cell>
          <cell r="H4566">
            <v>7</v>
          </cell>
          <cell r="I4566">
            <v>393.94818290000001</v>
          </cell>
          <cell r="J4566">
            <v>0</v>
          </cell>
          <cell r="K4566">
            <v>0</v>
          </cell>
          <cell r="L4566">
            <v>0</v>
          </cell>
          <cell r="M4566">
            <v>0</v>
          </cell>
          <cell r="P4566">
            <v>394</v>
          </cell>
          <cell r="V4566" t="str">
            <v>Available</v>
          </cell>
        </row>
        <row r="4567">
          <cell r="A4567" t="str">
            <v>105301030028</v>
          </cell>
          <cell r="B4567" t="str">
            <v>Kalyanpur</v>
          </cell>
          <cell r="C4567" t="str">
            <v>Kalyanpur</v>
          </cell>
          <cell r="D4567" t="str">
            <v>GOMUKH JHAHURI</v>
          </cell>
          <cell r="E4567">
            <v>10530103</v>
          </cell>
          <cell r="F4567" t="str">
            <v>0028</v>
          </cell>
          <cell r="G4567">
            <v>7</v>
          </cell>
          <cell r="H4567">
            <v>12.1</v>
          </cell>
          <cell r="I4567">
            <v>1115.5012487089994</v>
          </cell>
          <cell r="J4567">
            <v>0</v>
          </cell>
          <cell r="K4567">
            <v>0</v>
          </cell>
          <cell r="L4567">
            <v>0</v>
          </cell>
          <cell r="M4567">
            <v>0</v>
          </cell>
          <cell r="P4567">
            <v>1116</v>
          </cell>
          <cell r="V4567" t="str">
            <v>Available</v>
          </cell>
        </row>
        <row r="4568">
          <cell r="A4568" t="str">
            <v>105301030029</v>
          </cell>
          <cell r="B4568" t="str">
            <v>Kalyanpur</v>
          </cell>
          <cell r="C4568" t="str">
            <v>Kalyanpur</v>
          </cell>
          <cell r="D4568" t="str">
            <v>GOMUKH JHAHURI</v>
          </cell>
          <cell r="E4568">
            <v>10530103</v>
          </cell>
          <cell r="F4568" t="str">
            <v>0029</v>
          </cell>
          <cell r="G4568">
            <v>13</v>
          </cell>
          <cell r="H4568">
            <v>26.900000000000002</v>
          </cell>
          <cell r="I4568">
            <v>1018.07910468</v>
          </cell>
          <cell r="J4568">
            <v>0</v>
          </cell>
          <cell r="K4568">
            <v>0</v>
          </cell>
          <cell r="L4568">
            <v>0</v>
          </cell>
          <cell r="M4568">
            <v>0</v>
          </cell>
          <cell r="P4568">
            <v>1018</v>
          </cell>
          <cell r="V4568" t="str">
            <v>Available</v>
          </cell>
        </row>
        <row r="4569">
          <cell r="A4569" t="str">
            <v>105301030030</v>
          </cell>
          <cell r="B4569" t="str">
            <v>Kalyanpur</v>
          </cell>
          <cell r="C4569" t="str">
            <v>Kalyanpur</v>
          </cell>
          <cell r="D4569" t="str">
            <v>GOMUKH JHAHURI</v>
          </cell>
          <cell r="E4569">
            <v>10530103</v>
          </cell>
          <cell r="F4569" t="str">
            <v>0030</v>
          </cell>
          <cell r="G4569">
            <v>14</v>
          </cell>
          <cell r="H4569">
            <v>118.8</v>
          </cell>
          <cell r="I4569">
            <v>4810.8996935999994</v>
          </cell>
          <cell r="J4569">
            <v>0</v>
          </cell>
          <cell r="K4569">
            <v>0</v>
          </cell>
          <cell r="L4569">
            <v>0</v>
          </cell>
          <cell r="M4569">
            <v>1350</v>
          </cell>
          <cell r="P4569">
            <v>3461</v>
          </cell>
          <cell r="V4569" t="str">
            <v>Available</v>
          </cell>
        </row>
        <row r="4570">
          <cell r="A4570" t="str">
            <v>105301030031</v>
          </cell>
          <cell r="B4570" t="str">
            <v>Kalyanpur</v>
          </cell>
          <cell r="C4570" t="str">
            <v>Kalyanpur</v>
          </cell>
          <cell r="D4570" t="str">
            <v>GOMUKH JHAHURI</v>
          </cell>
          <cell r="E4570">
            <v>10530103</v>
          </cell>
          <cell r="F4570" t="str">
            <v>0031</v>
          </cell>
          <cell r="G4570">
            <v>13</v>
          </cell>
          <cell r="H4570">
            <v>69.100000000000009</v>
          </cell>
          <cell r="I4570">
            <v>2573.19298368</v>
          </cell>
          <cell r="J4570">
            <v>0</v>
          </cell>
          <cell r="K4570">
            <v>0</v>
          </cell>
          <cell r="L4570">
            <v>0</v>
          </cell>
          <cell r="M4570">
            <v>0</v>
          </cell>
          <cell r="P4570">
            <v>2573</v>
          </cell>
          <cell r="V4570" t="str">
            <v>Available</v>
          </cell>
        </row>
        <row r="4571">
          <cell r="A4571" t="str">
            <v>105301030032</v>
          </cell>
          <cell r="B4571" t="str">
            <v>Kalyanpur</v>
          </cell>
          <cell r="C4571" t="str">
            <v>Kalyanpur</v>
          </cell>
          <cell r="D4571" t="str">
            <v>GOMUKH JHAHURI</v>
          </cell>
          <cell r="E4571">
            <v>10530103</v>
          </cell>
          <cell r="F4571" t="str">
            <v>0032</v>
          </cell>
          <cell r="G4571">
            <v>6</v>
          </cell>
          <cell r="H4571">
            <v>19.7</v>
          </cell>
          <cell r="I4571">
            <v>818.31641760000002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P4571">
            <v>818</v>
          </cell>
          <cell r="V4571" t="str">
            <v>Available</v>
          </cell>
        </row>
        <row r="4572">
          <cell r="A4572" t="str">
            <v>105301030033</v>
          </cell>
          <cell r="B4572" t="str">
            <v>Kalyanpur</v>
          </cell>
          <cell r="C4572" t="str">
            <v>Kalyanpur</v>
          </cell>
          <cell r="D4572" t="str">
            <v>GOMUKH JHAHURI</v>
          </cell>
          <cell r="E4572">
            <v>10530103</v>
          </cell>
          <cell r="F4572" t="str">
            <v>0033</v>
          </cell>
          <cell r="G4572">
            <v>14</v>
          </cell>
          <cell r="H4572">
            <v>47.800000000000004</v>
          </cell>
          <cell r="I4572">
            <v>1718.9837280000002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P4572">
            <v>1719</v>
          </cell>
          <cell r="V4572" t="str">
            <v>Available</v>
          </cell>
        </row>
        <row r="4573">
          <cell r="A4573" t="str">
            <v>105301030034</v>
          </cell>
          <cell r="B4573" t="str">
            <v>Kalyanpur</v>
          </cell>
          <cell r="C4573" t="str">
            <v>Kalyanpur</v>
          </cell>
          <cell r="D4573" t="str">
            <v>GOMUKH JHAHURI</v>
          </cell>
          <cell r="E4573">
            <v>10530103</v>
          </cell>
          <cell r="F4573" t="str">
            <v>0034</v>
          </cell>
          <cell r="G4573">
            <v>13</v>
          </cell>
          <cell r="H4573">
            <v>38</v>
          </cell>
          <cell r="I4573">
            <v>1552.573836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P4573">
            <v>1553</v>
          </cell>
          <cell r="V4573" t="str">
            <v>Available</v>
          </cell>
        </row>
        <row r="4574">
          <cell r="A4574" t="str">
            <v>105301030035</v>
          </cell>
          <cell r="B4574" t="str">
            <v>Kalyanpur</v>
          </cell>
          <cell r="C4574" t="str">
            <v>Kalyanpur</v>
          </cell>
          <cell r="D4574" t="str">
            <v>GOMUKH JHAHURI</v>
          </cell>
          <cell r="E4574">
            <v>10530103</v>
          </cell>
          <cell r="F4574" t="str">
            <v>0035</v>
          </cell>
          <cell r="G4574">
            <v>7</v>
          </cell>
          <cell r="H4574">
            <v>14.5</v>
          </cell>
          <cell r="I4574">
            <v>581.37066900000013</v>
          </cell>
          <cell r="J4574">
            <v>0</v>
          </cell>
          <cell r="K4574">
            <v>0</v>
          </cell>
          <cell r="L4574">
            <v>0</v>
          </cell>
          <cell r="M4574">
            <v>0</v>
          </cell>
          <cell r="P4574">
            <v>581</v>
          </cell>
          <cell r="V4574" t="str">
            <v>Available</v>
          </cell>
        </row>
        <row r="4575">
          <cell r="A4575" t="str">
            <v>105301030038</v>
          </cell>
          <cell r="B4575" t="str">
            <v>Kalyanpur</v>
          </cell>
          <cell r="C4575" t="str">
            <v>Kalyanpur</v>
          </cell>
          <cell r="D4575" t="str">
            <v>GOMUKH JHAHURI</v>
          </cell>
          <cell r="E4575">
            <v>10530103</v>
          </cell>
          <cell r="F4575" t="str">
            <v>0038</v>
          </cell>
          <cell r="G4575">
            <v>1</v>
          </cell>
          <cell r="H4575">
            <v>2.4</v>
          </cell>
          <cell r="I4575">
            <v>144.494558208</v>
          </cell>
          <cell r="J4575">
            <v>0</v>
          </cell>
          <cell r="K4575">
            <v>0</v>
          </cell>
          <cell r="L4575">
            <v>0</v>
          </cell>
          <cell r="M4575">
            <v>0</v>
          </cell>
          <cell r="P4575">
            <v>144</v>
          </cell>
          <cell r="V4575" t="str">
            <v>Available</v>
          </cell>
        </row>
        <row r="4576">
          <cell r="A4576" t="str">
            <v>105301030039</v>
          </cell>
          <cell r="B4576" t="str">
            <v>Kalyanpur</v>
          </cell>
          <cell r="C4576" t="str">
            <v>Kalyanpur</v>
          </cell>
          <cell r="D4576" t="str">
            <v>GOMUKH JHAHURI</v>
          </cell>
          <cell r="E4576">
            <v>10530103</v>
          </cell>
          <cell r="F4576" t="str">
            <v>0039</v>
          </cell>
          <cell r="G4576">
            <v>7</v>
          </cell>
          <cell r="H4576">
            <v>25.299999999999997</v>
          </cell>
          <cell r="I4576">
            <v>1177.449036045</v>
          </cell>
          <cell r="J4576">
            <v>0</v>
          </cell>
          <cell r="K4576">
            <v>0</v>
          </cell>
          <cell r="L4576">
            <v>0</v>
          </cell>
          <cell r="M4576">
            <v>0</v>
          </cell>
          <cell r="P4576">
            <v>1177</v>
          </cell>
          <cell r="V4576" t="str">
            <v>Available</v>
          </cell>
        </row>
        <row r="4577">
          <cell r="A4577" t="str">
            <v>105301030040</v>
          </cell>
          <cell r="B4577" t="str">
            <v>Kalyanpur</v>
          </cell>
          <cell r="C4577" t="str">
            <v>Kalyanpur</v>
          </cell>
          <cell r="D4577" t="str">
            <v>GOMUKH JHAHURI</v>
          </cell>
          <cell r="E4577">
            <v>10530103</v>
          </cell>
          <cell r="F4577" t="str">
            <v>0040</v>
          </cell>
          <cell r="G4577">
            <v>13</v>
          </cell>
          <cell r="H4577">
            <v>37.200000000000003</v>
          </cell>
          <cell r="I4577">
            <v>1597.5455205600001</v>
          </cell>
          <cell r="J4577">
            <v>0</v>
          </cell>
          <cell r="K4577">
            <v>0</v>
          </cell>
          <cell r="L4577">
            <v>0</v>
          </cell>
          <cell r="M4577">
            <v>0</v>
          </cell>
          <cell r="P4577">
            <v>1598</v>
          </cell>
          <cell r="V4577" t="str">
            <v>Available</v>
          </cell>
        </row>
        <row r="4578">
          <cell r="A4578" t="str">
            <v>105301030041</v>
          </cell>
          <cell r="B4578" t="str">
            <v>Kalyanpur</v>
          </cell>
          <cell r="C4578" t="str">
            <v>Kalyanpur</v>
          </cell>
          <cell r="D4578" t="str">
            <v>GOMUKH JHAHURI</v>
          </cell>
          <cell r="E4578">
            <v>10530103</v>
          </cell>
          <cell r="F4578" t="str">
            <v>0041</v>
          </cell>
          <cell r="G4578">
            <v>14</v>
          </cell>
          <cell r="H4578">
            <v>38.800000000000004</v>
          </cell>
          <cell r="I4578">
            <v>1609.1366266800003</v>
          </cell>
          <cell r="J4578">
            <v>0</v>
          </cell>
          <cell r="K4578">
            <v>0</v>
          </cell>
          <cell r="L4578">
            <v>0</v>
          </cell>
          <cell r="M4578">
            <v>0</v>
          </cell>
          <cell r="P4578">
            <v>1609</v>
          </cell>
          <cell r="V4578" t="str">
            <v>Available</v>
          </cell>
        </row>
        <row r="4579">
          <cell r="A4579" t="str">
            <v>105301050001</v>
          </cell>
          <cell r="B4579" t="str">
            <v>Kalyanpur</v>
          </cell>
          <cell r="C4579" t="str">
            <v>Kalyanpur</v>
          </cell>
          <cell r="D4579" t="str">
            <v>GOMUKH Gopalpur Ward 1</v>
          </cell>
          <cell r="E4579">
            <v>10530105</v>
          </cell>
          <cell r="F4579" t="str">
            <v>0001</v>
          </cell>
          <cell r="G4579">
            <v>14</v>
          </cell>
          <cell r="H4579">
            <v>1.2000000000000002</v>
          </cell>
          <cell r="I4579">
            <v>45.128176632000006</v>
          </cell>
          <cell r="J4579">
            <v>0</v>
          </cell>
          <cell r="K4579">
            <v>45.128176632000006</v>
          </cell>
          <cell r="L4579">
            <v>0</v>
          </cell>
          <cell r="M4579">
            <v>0</v>
          </cell>
          <cell r="P4579">
            <v>0</v>
          </cell>
          <cell r="V4579" t="str">
            <v>Not Available</v>
          </cell>
        </row>
        <row r="4580">
          <cell r="A4580" t="str">
            <v>105301050002</v>
          </cell>
          <cell r="B4580" t="str">
            <v>Kalyanpur</v>
          </cell>
          <cell r="C4580" t="str">
            <v>Kalyanpur</v>
          </cell>
          <cell r="D4580" t="str">
            <v>GOMUKH Gopalpur Ward 1</v>
          </cell>
          <cell r="E4580">
            <v>10530105</v>
          </cell>
          <cell r="F4580" t="str">
            <v>0002</v>
          </cell>
          <cell r="G4580">
            <v>1</v>
          </cell>
          <cell r="H4580">
            <v>3</v>
          </cell>
          <cell r="I4580">
            <v>107.31916800000002</v>
          </cell>
          <cell r="J4580">
            <v>0</v>
          </cell>
          <cell r="K4580">
            <v>0</v>
          </cell>
          <cell r="L4580">
            <v>0</v>
          </cell>
          <cell r="M4580">
            <v>0</v>
          </cell>
          <cell r="P4580">
            <v>107</v>
          </cell>
          <cell r="V4580" t="str">
            <v>Available</v>
          </cell>
        </row>
        <row r="4581">
          <cell r="A4581" t="str">
            <v>105301050003</v>
          </cell>
          <cell r="B4581" t="str">
            <v>Kalyanpur</v>
          </cell>
          <cell r="C4581" t="str">
            <v>Kalyanpur</v>
          </cell>
          <cell r="D4581" t="str">
            <v>GOMUKH Gopalpur Ward 1</v>
          </cell>
          <cell r="E4581">
            <v>10530105</v>
          </cell>
          <cell r="F4581" t="str">
            <v>0003</v>
          </cell>
          <cell r="G4581">
            <v>14</v>
          </cell>
          <cell r="H4581">
            <v>122.57</v>
          </cell>
          <cell r="I4581">
            <v>4605.7547400480007</v>
          </cell>
          <cell r="J4581">
            <v>0</v>
          </cell>
          <cell r="K4581">
            <v>0</v>
          </cell>
          <cell r="L4581">
            <v>0</v>
          </cell>
          <cell r="M4581">
            <v>0</v>
          </cell>
          <cell r="P4581">
            <v>4606</v>
          </cell>
          <cell r="V4581" t="str">
            <v>Available</v>
          </cell>
        </row>
        <row r="4582">
          <cell r="A4582" t="str">
            <v>105301050010</v>
          </cell>
          <cell r="B4582" t="str">
            <v>Kalyanpur</v>
          </cell>
          <cell r="C4582" t="str">
            <v>Kalyanpur</v>
          </cell>
          <cell r="D4582" t="str">
            <v>GOMUKH Gopalpur Ward 1</v>
          </cell>
          <cell r="E4582">
            <v>10530105</v>
          </cell>
          <cell r="F4582" t="str">
            <v>0010</v>
          </cell>
          <cell r="G4582">
            <v>13</v>
          </cell>
          <cell r="H4582">
            <v>35.099999999999994</v>
          </cell>
          <cell r="I4582">
            <v>1270.2002072759999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P4582">
            <v>1270</v>
          </cell>
          <cell r="V4582" t="str">
            <v>Available</v>
          </cell>
        </row>
        <row r="4583">
          <cell r="A4583" t="str">
            <v>105301060001</v>
          </cell>
          <cell r="B4583" t="str">
            <v>Kalyanpur</v>
          </cell>
          <cell r="C4583" t="str">
            <v>Kalyanpur</v>
          </cell>
          <cell r="D4583" t="str">
            <v>GOMUKH Keotsa</v>
          </cell>
          <cell r="E4583">
            <v>10530106</v>
          </cell>
          <cell r="F4583" t="str">
            <v>0001</v>
          </cell>
          <cell r="G4583">
            <v>10</v>
          </cell>
          <cell r="H4583">
            <v>5.63</v>
          </cell>
          <cell r="I4583">
            <v>209.1094522308</v>
          </cell>
          <cell r="J4583">
            <v>0</v>
          </cell>
          <cell r="K4583">
            <v>209.1094522308</v>
          </cell>
          <cell r="L4583">
            <v>0</v>
          </cell>
          <cell r="M4583">
            <v>0</v>
          </cell>
          <cell r="P4583">
            <v>0</v>
          </cell>
          <cell r="V4583" t="str">
            <v>Not Available</v>
          </cell>
        </row>
        <row r="4584">
          <cell r="A4584" t="str">
            <v>105301060002</v>
          </cell>
          <cell r="B4584" t="str">
            <v>Kalyanpur</v>
          </cell>
          <cell r="C4584" t="str">
            <v>Kalyanpur</v>
          </cell>
          <cell r="D4584" t="str">
            <v>GOMUKH Keotsa</v>
          </cell>
          <cell r="E4584">
            <v>10530106</v>
          </cell>
          <cell r="F4584" t="str">
            <v>0002</v>
          </cell>
          <cell r="G4584">
            <v>14</v>
          </cell>
          <cell r="H4584">
            <v>137.36000000000001</v>
          </cell>
          <cell r="I4584">
            <v>4374.9833158944011</v>
          </cell>
          <cell r="J4584">
            <v>0</v>
          </cell>
          <cell r="K4584">
            <v>0</v>
          </cell>
          <cell r="L4584">
            <v>137</v>
          </cell>
          <cell r="M4584">
            <v>2700</v>
          </cell>
          <cell r="P4584">
            <v>1538</v>
          </cell>
          <cell r="V4584" t="str">
            <v>Available</v>
          </cell>
        </row>
        <row r="4585">
          <cell r="A4585" t="str">
            <v>105301060004</v>
          </cell>
          <cell r="B4585" t="str">
            <v>Kalyanpur</v>
          </cell>
          <cell r="C4585" t="str">
            <v>Kalyanpur</v>
          </cell>
          <cell r="D4585" t="str">
            <v>GOMUKH Keotsa</v>
          </cell>
          <cell r="E4585">
            <v>10530106</v>
          </cell>
          <cell r="F4585" t="str">
            <v>0004</v>
          </cell>
          <cell r="G4585">
            <v>10</v>
          </cell>
          <cell r="H4585">
            <v>44.98</v>
          </cell>
          <cell r="I4585">
            <v>1765.6784737848805</v>
          </cell>
          <cell r="J4585">
            <v>0</v>
          </cell>
          <cell r="K4585">
            <v>0</v>
          </cell>
          <cell r="L4585">
            <v>0</v>
          </cell>
          <cell r="M4585">
            <v>0</v>
          </cell>
          <cell r="P4585">
            <v>1766</v>
          </cell>
          <cell r="V4585" t="str">
            <v>Available</v>
          </cell>
        </row>
        <row r="4586">
          <cell r="A4586" t="str">
            <v>105301060005</v>
          </cell>
          <cell r="B4586" t="str">
            <v>Kalyanpur</v>
          </cell>
          <cell r="C4586" t="str">
            <v>Kalyanpur</v>
          </cell>
          <cell r="D4586" t="str">
            <v>GOMUKH Keotsa</v>
          </cell>
          <cell r="E4586">
            <v>10530106</v>
          </cell>
          <cell r="F4586" t="str">
            <v>0005</v>
          </cell>
          <cell r="G4586">
            <v>14</v>
          </cell>
          <cell r="H4586">
            <v>114.13000000000001</v>
          </cell>
          <cell r="I4586">
            <v>4286.5741458738012</v>
          </cell>
          <cell r="J4586">
            <v>0</v>
          </cell>
          <cell r="K4586">
            <v>0</v>
          </cell>
          <cell r="L4586">
            <v>0</v>
          </cell>
          <cell r="M4586">
            <v>0</v>
          </cell>
          <cell r="P4586">
            <v>4287</v>
          </cell>
          <cell r="V4586" t="str">
            <v>Available</v>
          </cell>
        </row>
        <row r="4587">
          <cell r="A4587" t="str">
            <v>105301060006</v>
          </cell>
          <cell r="B4587" t="str">
            <v>Kalyanpur</v>
          </cell>
          <cell r="C4587" t="str">
            <v>Kalyanpur</v>
          </cell>
          <cell r="D4587" t="str">
            <v>GOMUKH Keotsa</v>
          </cell>
          <cell r="E4587">
            <v>10530106</v>
          </cell>
          <cell r="F4587" t="str">
            <v>0006</v>
          </cell>
          <cell r="G4587">
            <v>14</v>
          </cell>
          <cell r="H4587">
            <v>65.940000000000012</v>
          </cell>
          <cell r="I4587">
            <v>2327.3825532605997</v>
          </cell>
          <cell r="J4587">
            <v>0</v>
          </cell>
          <cell r="K4587">
            <v>0</v>
          </cell>
          <cell r="L4587">
            <v>0</v>
          </cell>
          <cell r="M4587">
            <v>0</v>
          </cell>
          <cell r="P4587">
            <v>2327</v>
          </cell>
          <cell r="V4587" t="str">
            <v>Available</v>
          </cell>
        </row>
        <row r="4588">
          <cell r="A4588" t="str">
            <v>105301060007</v>
          </cell>
          <cell r="B4588" t="str">
            <v>Kalyanpur</v>
          </cell>
          <cell r="C4588" t="str">
            <v>Kalyanpur</v>
          </cell>
          <cell r="D4588" t="str">
            <v>GOMUKH Keotsa</v>
          </cell>
          <cell r="E4588">
            <v>10530106</v>
          </cell>
          <cell r="F4588" t="str">
            <v>0007</v>
          </cell>
          <cell r="G4588">
            <v>4</v>
          </cell>
          <cell r="H4588">
            <v>6.59</v>
          </cell>
          <cell r="I4588">
            <v>300.64632153134005</v>
          </cell>
          <cell r="J4588">
            <v>0</v>
          </cell>
          <cell r="K4588">
            <v>0</v>
          </cell>
          <cell r="L4588">
            <v>0</v>
          </cell>
          <cell r="M4588">
            <v>0</v>
          </cell>
          <cell r="P4588">
            <v>301</v>
          </cell>
          <cell r="V4588" t="str">
            <v>Available</v>
          </cell>
        </row>
        <row r="4589">
          <cell r="A4589" t="str">
            <v>105301060009</v>
          </cell>
          <cell r="B4589" t="str">
            <v>Kalyanpur</v>
          </cell>
          <cell r="C4589" t="str">
            <v>Kalyanpur</v>
          </cell>
          <cell r="D4589" t="str">
            <v>GOMUKH Keotsa</v>
          </cell>
          <cell r="E4589">
            <v>10530106</v>
          </cell>
          <cell r="F4589" t="str">
            <v>0009</v>
          </cell>
          <cell r="G4589">
            <v>12</v>
          </cell>
          <cell r="H4589">
            <v>43.959999999999994</v>
          </cell>
          <cell r="I4589">
            <v>1686.8384985672001</v>
          </cell>
          <cell r="J4589">
            <v>0</v>
          </cell>
          <cell r="K4589">
            <v>0</v>
          </cell>
          <cell r="L4589">
            <v>0</v>
          </cell>
          <cell r="M4589">
            <v>0</v>
          </cell>
          <cell r="P4589">
            <v>1687</v>
          </cell>
          <cell r="V4589" t="str">
            <v>Available</v>
          </cell>
        </row>
        <row r="4590">
          <cell r="A4590" t="str">
            <v>105301080001</v>
          </cell>
          <cell r="B4590" t="str">
            <v>Kalyanpur</v>
          </cell>
          <cell r="C4590" t="str">
            <v>Kalyanpur</v>
          </cell>
          <cell r="D4590" t="str">
            <v>GOMUKH Waini</v>
          </cell>
          <cell r="E4590">
            <v>10530108</v>
          </cell>
          <cell r="F4590" t="str">
            <v>0001</v>
          </cell>
          <cell r="G4590">
            <v>14</v>
          </cell>
          <cell r="H4590">
            <v>4.97</v>
          </cell>
          <cell r="I4590">
            <v>184.12398132480004</v>
          </cell>
          <cell r="J4590">
            <v>0</v>
          </cell>
          <cell r="K4590">
            <v>184.12398132480004</v>
          </cell>
          <cell r="L4590">
            <v>0</v>
          </cell>
          <cell r="M4590">
            <v>0</v>
          </cell>
          <cell r="P4590">
            <v>0</v>
          </cell>
          <cell r="V4590" t="str">
            <v>Not Available</v>
          </cell>
        </row>
        <row r="4591">
          <cell r="A4591" t="str">
            <v>105301080002</v>
          </cell>
          <cell r="B4591" t="str">
            <v>Kalyanpur</v>
          </cell>
          <cell r="C4591" t="str">
            <v>Kalyanpur</v>
          </cell>
          <cell r="D4591" t="str">
            <v>GOMUKH Waini</v>
          </cell>
          <cell r="E4591">
            <v>10530108</v>
          </cell>
          <cell r="F4591" t="str">
            <v>0002</v>
          </cell>
          <cell r="G4591">
            <v>14</v>
          </cell>
          <cell r="H4591">
            <v>159.23999999999998</v>
          </cell>
          <cell r="I4591">
            <v>6143.5644023556006</v>
          </cell>
          <cell r="J4591">
            <v>0</v>
          </cell>
          <cell r="K4591">
            <v>0</v>
          </cell>
          <cell r="L4591">
            <v>0</v>
          </cell>
          <cell r="M4591">
            <v>0</v>
          </cell>
          <cell r="P4591">
            <v>6144</v>
          </cell>
          <cell r="V4591" t="str">
            <v>Available</v>
          </cell>
        </row>
        <row r="4592">
          <cell r="A4592" t="str">
            <v>105301080003</v>
          </cell>
          <cell r="B4592" t="str">
            <v>Kalyanpur</v>
          </cell>
          <cell r="C4592" t="str">
            <v>Kalyanpur</v>
          </cell>
          <cell r="D4592" t="str">
            <v>GOMUKH Waini</v>
          </cell>
          <cell r="E4592">
            <v>10530108</v>
          </cell>
          <cell r="F4592" t="str">
            <v>0003</v>
          </cell>
          <cell r="G4592">
            <v>6</v>
          </cell>
          <cell r="H4592">
            <v>12.77</v>
          </cell>
          <cell r="I4592">
            <v>496.12654990800013</v>
          </cell>
          <cell r="J4592">
            <v>0</v>
          </cell>
          <cell r="K4592">
            <v>0</v>
          </cell>
          <cell r="L4592">
            <v>0</v>
          </cell>
          <cell r="M4592">
            <v>0</v>
          </cell>
          <cell r="P4592">
            <v>496</v>
          </cell>
          <cell r="V4592" t="str">
            <v>Available</v>
          </cell>
        </row>
        <row r="4593">
          <cell r="A4593" t="str">
            <v>105301080004</v>
          </cell>
          <cell r="B4593" t="str">
            <v>Kalyanpur</v>
          </cell>
          <cell r="C4593" t="str">
            <v>Kalyanpur</v>
          </cell>
          <cell r="D4593" t="str">
            <v>GOMUKH Waini</v>
          </cell>
          <cell r="E4593">
            <v>10530108</v>
          </cell>
          <cell r="F4593" t="str">
            <v>0004</v>
          </cell>
          <cell r="G4593">
            <v>14</v>
          </cell>
          <cell r="H4593">
            <v>38.509999999999991</v>
          </cell>
          <cell r="I4593">
            <v>1427.2856939880003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P4593">
            <v>1427</v>
          </cell>
          <cell r="V4593" t="str">
            <v>Available</v>
          </cell>
        </row>
        <row r="4594">
          <cell r="A4594" t="str">
            <v>105301090001</v>
          </cell>
          <cell r="B4594" t="str">
            <v>Kalyanpur</v>
          </cell>
          <cell r="C4594" t="str">
            <v>Kalyanpur</v>
          </cell>
          <cell r="D4594" t="str">
            <v>GOMUKH SAKARI</v>
          </cell>
          <cell r="E4594">
            <v>10530109</v>
          </cell>
          <cell r="F4594" t="str">
            <v>0001</v>
          </cell>
          <cell r="G4594">
            <v>12</v>
          </cell>
          <cell r="H4594">
            <v>8.379999999999999</v>
          </cell>
          <cell r="I4594">
            <v>363.67401007490008</v>
          </cell>
          <cell r="J4594">
            <v>0</v>
          </cell>
          <cell r="K4594">
            <v>363.67401007490008</v>
          </cell>
          <cell r="L4594">
            <v>0</v>
          </cell>
          <cell r="M4594">
            <v>0</v>
          </cell>
          <cell r="P4594">
            <v>0</v>
          </cell>
          <cell r="V4594" t="str">
            <v>Not Available</v>
          </cell>
        </row>
        <row r="4595">
          <cell r="A4595" t="str">
            <v>105301090002</v>
          </cell>
          <cell r="B4595" t="str">
            <v>Kalyanpur</v>
          </cell>
          <cell r="C4595" t="str">
            <v>Kalyanpur</v>
          </cell>
          <cell r="D4595" t="str">
            <v>GOMUKH SAKARI</v>
          </cell>
          <cell r="E4595">
            <v>10530109</v>
          </cell>
          <cell r="F4595" t="str">
            <v>0002</v>
          </cell>
          <cell r="G4595">
            <v>14</v>
          </cell>
          <cell r="H4595">
            <v>48.360000000000007</v>
          </cell>
          <cell r="I4595">
            <v>2335.4615851009403</v>
          </cell>
          <cell r="J4595">
            <v>0</v>
          </cell>
          <cell r="K4595">
            <v>0</v>
          </cell>
          <cell r="L4595">
            <v>334</v>
          </cell>
          <cell r="M4595">
            <v>0</v>
          </cell>
          <cell r="P4595">
            <v>2001</v>
          </cell>
          <cell r="V4595" t="str">
            <v>Available</v>
          </cell>
        </row>
        <row r="4596">
          <cell r="A4596" t="str">
            <v>105301090003</v>
          </cell>
          <cell r="B4596" t="str">
            <v>Kalyanpur</v>
          </cell>
          <cell r="C4596" t="str">
            <v>Kalyanpur</v>
          </cell>
          <cell r="D4596" t="str">
            <v>GOMUKH SAKARI</v>
          </cell>
          <cell r="E4596">
            <v>10530109</v>
          </cell>
          <cell r="F4596" t="str">
            <v>0003</v>
          </cell>
          <cell r="G4596">
            <v>13</v>
          </cell>
          <cell r="H4596">
            <v>69.84</v>
          </cell>
          <cell r="I4596">
            <v>3415.64733203593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P4596">
            <v>3416</v>
          </cell>
          <cell r="V4596" t="str">
            <v>Available</v>
          </cell>
        </row>
        <row r="4597">
          <cell r="A4597" t="str">
            <v>105301090004</v>
          </cell>
          <cell r="B4597" t="str">
            <v>Kalyanpur</v>
          </cell>
          <cell r="C4597" t="str">
            <v>Kalyanpur</v>
          </cell>
          <cell r="D4597" t="str">
            <v>GOMUKH SAKARI</v>
          </cell>
          <cell r="E4597">
            <v>10530109</v>
          </cell>
          <cell r="F4597" t="str">
            <v>0004</v>
          </cell>
          <cell r="G4597">
            <v>14</v>
          </cell>
          <cell r="H4597">
            <v>560.97</v>
          </cell>
          <cell r="I4597">
            <v>22880.644132811503</v>
          </cell>
          <cell r="J4597">
            <v>0</v>
          </cell>
          <cell r="K4597">
            <v>0</v>
          </cell>
          <cell r="L4597">
            <v>0</v>
          </cell>
          <cell r="M4597">
            <v>15000</v>
          </cell>
          <cell r="P4597">
            <v>7881</v>
          </cell>
          <cell r="V4597" t="str">
            <v>Available</v>
          </cell>
        </row>
        <row r="4598">
          <cell r="A4598" t="str">
            <v>105301090005</v>
          </cell>
          <cell r="B4598" t="str">
            <v>Kalyanpur</v>
          </cell>
          <cell r="C4598" t="str">
            <v>Kalyanpur</v>
          </cell>
          <cell r="D4598" t="str">
            <v>GOMUKH SAKARI</v>
          </cell>
          <cell r="E4598">
            <v>10530109</v>
          </cell>
          <cell r="F4598" t="str">
            <v>0005</v>
          </cell>
          <cell r="G4598">
            <v>14</v>
          </cell>
          <cell r="H4598">
            <v>491.27</v>
          </cell>
          <cell r="I4598">
            <v>21172.839565352202</v>
          </cell>
          <cell r="J4598">
            <v>0</v>
          </cell>
          <cell r="K4598">
            <v>0</v>
          </cell>
          <cell r="L4598">
            <v>0</v>
          </cell>
          <cell r="M4598">
            <v>12882</v>
          </cell>
          <cell r="P4598">
            <v>8291</v>
          </cell>
          <cell r="V4598" t="str">
            <v>Available</v>
          </cell>
        </row>
        <row r="4599">
          <cell r="A4599" t="str">
            <v>105301090006</v>
          </cell>
          <cell r="B4599" t="str">
            <v>Kalyanpur</v>
          </cell>
          <cell r="C4599" t="str">
            <v>Kalyanpur</v>
          </cell>
          <cell r="D4599" t="str">
            <v>GOMUKH SAKARI</v>
          </cell>
          <cell r="E4599">
            <v>10530109</v>
          </cell>
          <cell r="F4599" t="str">
            <v>0006</v>
          </cell>
          <cell r="G4599">
            <v>14</v>
          </cell>
          <cell r="H4599">
            <v>124.12999999999998</v>
          </cell>
          <cell r="I4599">
            <v>4380.8342252399998</v>
          </cell>
          <cell r="J4599">
            <v>0</v>
          </cell>
          <cell r="K4599">
            <v>0</v>
          </cell>
          <cell r="L4599">
            <v>0</v>
          </cell>
          <cell r="M4599">
            <v>0</v>
          </cell>
          <cell r="P4599">
            <v>4381</v>
          </cell>
          <cell r="V4599" t="str">
            <v>Available</v>
          </cell>
        </row>
        <row r="4600">
          <cell r="A4600" t="str">
            <v>105301090008</v>
          </cell>
          <cell r="B4600" t="str">
            <v>Kalyanpur</v>
          </cell>
          <cell r="C4600" t="str">
            <v>Kalyanpur</v>
          </cell>
          <cell r="D4600" t="str">
            <v>GOMUKH SAKARI</v>
          </cell>
          <cell r="E4600">
            <v>10530109</v>
          </cell>
          <cell r="F4600" t="str">
            <v>0008</v>
          </cell>
          <cell r="G4600">
            <v>5</v>
          </cell>
          <cell r="H4600">
            <v>10.129999999999999</v>
          </cell>
          <cell r="I4600">
            <v>699.99051377609999</v>
          </cell>
          <cell r="J4600">
            <v>0</v>
          </cell>
          <cell r="K4600">
            <v>0</v>
          </cell>
          <cell r="L4600">
            <v>0</v>
          </cell>
          <cell r="M4600">
            <v>0</v>
          </cell>
          <cell r="P4600">
            <v>700</v>
          </cell>
          <cell r="V4600" t="str">
            <v>Available</v>
          </cell>
        </row>
        <row r="4601">
          <cell r="A4601" t="str">
            <v>105301090009</v>
          </cell>
          <cell r="B4601" t="str">
            <v>Kalyanpur</v>
          </cell>
          <cell r="C4601" t="str">
            <v>Kalyanpur</v>
          </cell>
          <cell r="D4601" t="str">
            <v>GOMUKH SAKARI</v>
          </cell>
          <cell r="E4601">
            <v>10530109</v>
          </cell>
          <cell r="F4601" t="str">
            <v>0009</v>
          </cell>
          <cell r="G4601">
            <v>13</v>
          </cell>
          <cell r="H4601">
            <v>38.910000000000004</v>
          </cell>
          <cell r="I4601">
            <v>1735.1276379619503</v>
          </cell>
          <cell r="J4601">
            <v>0</v>
          </cell>
          <cell r="K4601">
            <v>0</v>
          </cell>
          <cell r="L4601">
            <v>0</v>
          </cell>
          <cell r="M4601">
            <v>0</v>
          </cell>
          <cell r="P4601">
            <v>1735</v>
          </cell>
          <cell r="V4601" t="str">
            <v>Available</v>
          </cell>
        </row>
        <row r="4602">
          <cell r="A4602" t="str">
            <v>105301090010</v>
          </cell>
          <cell r="B4602" t="str">
            <v>Kalyanpur</v>
          </cell>
          <cell r="C4602" t="str">
            <v>Kalyanpur</v>
          </cell>
          <cell r="D4602" t="str">
            <v>GOMUKH SAKARI</v>
          </cell>
          <cell r="E4602">
            <v>10530109</v>
          </cell>
          <cell r="F4602" t="str">
            <v>0010</v>
          </cell>
          <cell r="G4602">
            <v>9</v>
          </cell>
          <cell r="H4602">
            <v>36.550000000000004</v>
          </cell>
          <cell r="I4602">
            <v>1496.3454891000003</v>
          </cell>
          <cell r="J4602">
            <v>0</v>
          </cell>
          <cell r="K4602">
            <v>0</v>
          </cell>
          <cell r="L4602">
            <v>0</v>
          </cell>
          <cell r="M4602">
            <v>0</v>
          </cell>
          <cell r="P4602">
            <v>1496</v>
          </cell>
          <cell r="V4602" t="str">
            <v>Available</v>
          </cell>
        </row>
        <row r="4603">
          <cell r="A4603" t="str">
            <v>105301090011</v>
          </cell>
          <cell r="B4603" t="str">
            <v>Kalyanpur</v>
          </cell>
          <cell r="C4603" t="str">
            <v>Kalyanpur</v>
          </cell>
          <cell r="D4603" t="str">
            <v>GOMUKH SAKARI</v>
          </cell>
          <cell r="E4603">
            <v>10530109</v>
          </cell>
          <cell r="F4603" t="str">
            <v>0011</v>
          </cell>
          <cell r="G4603">
            <v>14</v>
          </cell>
          <cell r="H4603">
            <v>64.839999999999989</v>
          </cell>
          <cell r="I4603">
            <v>2645.1375904799997</v>
          </cell>
          <cell r="J4603">
            <v>0</v>
          </cell>
          <cell r="K4603">
            <v>0</v>
          </cell>
          <cell r="L4603">
            <v>0</v>
          </cell>
          <cell r="M4603">
            <v>0</v>
          </cell>
          <cell r="P4603">
            <v>2645</v>
          </cell>
          <cell r="V4603" t="str">
            <v>Available</v>
          </cell>
        </row>
        <row r="4604">
          <cell r="A4604" t="str">
            <v>105301090012</v>
          </cell>
          <cell r="B4604" t="str">
            <v>Kalyanpur</v>
          </cell>
          <cell r="C4604" t="str">
            <v>Kalyanpur</v>
          </cell>
          <cell r="D4604" t="str">
            <v>GOMUKH SAKARI</v>
          </cell>
          <cell r="E4604">
            <v>10530109</v>
          </cell>
          <cell r="F4604" t="str">
            <v>0012</v>
          </cell>
          <cell r="G4604">
            <v>11</v>
          </cell>
          <cell r="H4604">
            <v>43.09</v>
          </cell>
          <cell r="I4604">
            <v>1724.357120508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P4604">
            <v>1724</v>
          </cell>
          <cell r="V4604" t="str">
            <v>Available</v>
          </cell>
        </row>
        <row r="4605">
          <cell r="A4605" t="str">
            <v>105301090013</v>
          </cell>
          <cell r="B4605" t="str">
            <v>Kalyanpur</v>
          </cell>
          <cell r="C4605" t="str">
            <v>Kalyanpur</v>
          </cell>
          <cell r="D4605" t="str">
            <v>GOMUKH SAKARI</v>
          </cell>
          <cell r="E4605">
            <v>10530109</v>
          </cell>
          <cell r="F4605" t="str">
            <v>0013</v>
          </cell>
          <cell r="G4605">
            <v>13</v>
          </cell>
          <cell r="H4605">
            <v>26.5</v>
          </cell>
          <cell r="I4605">
            <v>1113.9932525040001</v>
          </cell>
          <cell r="J4605">
            <v>0</v>
          </cell>
          <cell r="K4605">
            <v>0</v>
          </cell>
          <cell r="L4605">
            <v>0</v>
          </cell>
          <cell r="M4605">
            <v>0</v>
          </cell>
          <cell r="P4605">
            <v>1114</v>
          </cell>
          <cell r="V4605" t="str">
            <v>Available</v>
          </cell>
        </row>
        <row r="4606">
          <cell r="A4606" t="str">
            <v>105301100001</v>
          </cell>
          <cell r="B4606" t="str">
            <v>Kalyanpur</v>
          </cell>
          <cell r="C4606" t="str">
            <v>Kalyanpur</v>
          </cell>
          <cell r="D4606" t="str">
            <v>GOMUKH DHOBGAMA</v>
          </cell>
          <cell r="E4606">
            <v>10530110</v>
          </cell>
          <cell r="F4606" t="str">
            <v>0001</v>
          </cell>
          <cell r="G4606">
            <v>14</v>
          </cell>
          <cell r="H4606">
            <v>34.809999999999988</v>
          </cell>
          <cell r="I4606">
            <v>1393.8447849480003</v>
          </cell>
          <cell r="J4606">
            <v>0</v>
          </cell>
          <cell r="K4606">
            <v>1393.8447849480003</v>
          </cell>
          <cell r="L4606">
            <v>0</v>
          </cell>
          <cell r="M4606">
            <v>0</v>
          </cell>
          <cell r="P4606">
            <v>0</v>
          </cell>
          <cell r="V4606" t="str">
            <v>Not Available</v>
          </cell>
        </row>
        <row r="4607">
          <cell r="A4607" t="str">
            <v>105301100002</v>
          </cell>
          <cell r="B4607" t="str">
            <v>Kalyanpur</v>
          </cell>
          <cell r="C4607" t="str">
            <v>Kalyanpur</v>
          </cell>
          <cell r="D4607" t="str">
            <v>GOMUKH DHOBGAMA</v>
          </cell>
          <cell r="E4607">
            <v>10530110</v>
          </cell>
          <cell r="F4607" t="str">
            <v>0002</v>
          </cell>
          <cell r="G4607">
            <v>14</v>
          </cell>
          <cell r="H4607">
            <v>115.74000000000001</v>
          </cell>
          <cell r="I4607">
            <v>4327.9322652720002</v>
          </cell>
          <cell r="J4607">
            <v>0</v>
          </cell>
          <cell r="K4607">
            <v>0</v>
          </cell>
          <cell r="L4607">
            <v>0</v>
          </cell>
          <cell r="M4607">
            <v>0</v>
          </cell>
          <cell r="P4607">
            <v>4328</v>
          </cell>
          <cell r="V4607" t="str">
            <v>Available</v>
          </cell>
        </row>
        <row r="4608">
          <cell r="A4608" t="str">
            <v>105301100005</v>
          </cell>
          <cell r="B4608" t="str">
            <v>Kalyanpur</v>
          </cell>
          <cell r="C4608" t="str">
            <v>Kalyanpur</v>
          </cell>
          <cell r="D4608" t="str">
            <v>GOMUKH DHOBGAMA</v>
          </cell>
          <cell r="E4608">
            <v>10530110</v>
          </cell>
          <cell r="F4608" t="str">
            <v>0005</v>
          </cell>
          <cell r="G4608">
            <v>14</v>
          </cell>
          <cell r="H4608">
            <v>97.72</v>
          </cell>
          <cell r="I4608">
            <v>3607.2737173440009</v>
          </cell>
          <cell r="J4608">
            <v>0</v>
          </cell>
          <cell r="K4608">
            <v>0</v>
          </cell>
          <cell r="L4608">
            <v>0</v>
          </cell>
          <cell r="M4608">
            <v>0</v>
          </cell>
          <cell r="P4608">
            <v>3607</v>
          </cell>
          <cell r="V4608" t="str">
            <v>Available</v>
          </cell>
        </row>
        <row r="4609">
          <cell r="A4609" t="str">
            <v>105301100006</v>
          </cell>
          <cell r="B4609" t="str">
            <v>Kalyanpur</v>
          </cell>
          <cell r="C4609" t="str">
            <v>Kalyanpur</v>
          </cell>
          <cell r="D4609" t="str">
            <v>GOMUKH DHOBGAMA</v>
          </cell>
          <cell r="E4609">
            <v>10530110</v>
          </cell>
          <cell r="F4609" t="str">
            <v>0006</v>
          </cell>
          <cell r="G4609">
            <v>14</v>
          </cell>
          <cell r="H4609">
            <v>35.71</v>
          </cell>
          <cell r="I4609">
            <v>2155.9260761211099</v>
          </cell>
          <cell r="J4609">
            <v>0</v>
          </cell>
          <cell r="K4609">
            <v>0</v>
          </cell>
          <cell r="L4609">
            <v>0</v>
          </cell>
          <cell r="M4609">
            <v>0</v>
          </cell>
          <cell r="P4609">
            <v>2156</v>
          </cell>
          <cell r="V4609" t="str">
            <v>Available</v>
          </cell>
        </row>
        <row r="4610">
          <cell r="A4610" t="str">
            <v>105301100008</v>
          </cell>
          <cell r="B4610" t="str">
            <v>Kalyanpur</v>
          </cell>
          <cell r="C4610" t="str">
            <v>Kalyanpur</v>
          </cell>
          <cell r="D4610" t="str">
            <v>GOMUKH DHOBGAMA</v>
          </cell>
          <cell r="E4610">
            <v>10530110</v>
          </cell>
          <cell r="F4610" t="str">
            <v>0008</v>
          </cell>
          <cell r="G4610">
            <v>7</v>
          </cell>
          <cell r="H4610">
            <v>15.34</v>
          </cell>
          <cell r="I4610">
            <v>622.14587169279207</v>
          </cell>
          <cell r="J4610">
            <v>0</v>
          </cell>
          <cell r="K4610">
            <v>0</v>
          </cell>
          <cell r="L4610">
            <v>0</v>
          </cell>
          <cell r="M4610">
            <v>0</v>
          </cell>
          <cell r="P4610">
            <v>622</v>
          </cell>
          <cell r="V4610" t="str">
            <v>Available</v>
          </cell>
        </row>
        <row r="4611">
          <cell r="A4611" t="str">
            <v>105301100009</v>
          </cell>
          <cell r="B4611" t="str">
            <v>Kalyanpur</v>
          </cell>
          <cell r="C4611" t="str">
            <v>Kalyanpur</v>
          </cell>
          <cell r="D4611" t="str">
            <v>GOMUKH DHOBGAMA</v>
          </cell>
          <cell r="E4611">
            <v>10530110</v>
          </cell>
          <cell r="F4611" t="str">
            <v>0009</v>
          </cell>
          <cell r="G4611">
            <v>14</v>
          </cell>
          <cell r="H4611">
            <v>57.26</v>
          </cell>
          <cell r="I4611">
            <v>2158.4857935959999</v>
          </cell>
          <cell r="J4611">
            <v>0</v>
          </cell>
          <cell r="K4611">
            <v>0</v>
          </cell>
          <cell r="L4611">
            <v>0</v>
          </cell>
          <cell r="M4611">
            <v>0</v>
          </cell>
          <cell r="P4611">
            <v>2158</v>
          </cell>
          <cell r="V4611" t="str">
            <v>Available</v>
          </cell>
        </row>
        <row r="4612">
          <cell r="A4612" t="str">
            <v>105301100010</v>
          </cell>
          <cell r="B4612" t="str">
            <v>Kalyanpur</v>
          </cell>
          <cell r="C4612" t="str">
            <v>Kalyanpur</v>
          </cell>
          <cell r="D4612" t="str">
            <v>GOMUKH DHOBGAMA</v>
          </cell>
          <cell r="E4612">
            <v>10530110</v>
          </cell>
          <cell r="F4612" t="str">
            <v>0010</v>
          </cell>
          <cell r="G4612">
            <v>7</v>
          </cell>
          <cell r="H4612">
            <v>10.54</v>
          </cell>
          <cell r="I4612">
            <v>467.21904750149997</v>
          </cell>
          <cell r="J4612">
            <v>0</v>
          </cell>
          <cell r="K4612">
            <v>0</v>
          </cell>
          <cell r="L4612">
            <v>0</v>
          </cell>
          <cell r="M4612">
            <v>0</v>
          </cell>
          <cell r="P4612">
            <v>467</v>
          </cell>
          <cell r="V4612" t="str">
            <v>Available</v>
          </cell>
        </row>
        <row r="4613">
          <cell r="A4613" t="str">
            <v>105301100012</v>
          </cell>
          <cell r="B4613" t="str">
            <v>Kalyanpur</v>
          </cell>
          <cell r="C4613" t="str">
            <v>Kalyanpur</v>
          </cell>
          <cell r="D4613" t="str">
            <v>GOMUKH DHOBGAMA</v>
          </cell>
          <cell r="E4613">
            <v>10530110</v>
          </cell>
          <cell r="F4613" t="str">
            <v>0012</v>
          </cell>
          <cell r="G4613">
            <v>8</v>
          </cell>
          <cell r="H4613">
            <v>9.7199999999999989</v>
          </cell>
          <cell r="I4613">
            <v>381.22011061200004</v>
          </cell>
          <cell r="J4613">
            <v>0</v>
          </cell>
          <cell r="K4613">
            <v>0</v>
          </cell>
          <cell r="L4613">
            <v>0</v>
          </cell>
          <cell r="M4613">
            <v>0</v>
          </cell>
          <cell r="P4613">
            <v>381</v>
          </cell>
          <cell r="V4613" t="str">
            <v>Available</v>
          </cell>
        </row>
        <row r="4614">
          <cell r="A4614" t="str">
            <v>105301100013</v>
          </cell>
          <cell r="B4614" t="str">
            <v>Kalyanpur</v>
          </cell>
          <cell r="C4614" t="str">
            <v>Kalyanpur</v>
          </cell>
          <cell r="D4614" t="str">
            <v>GOMUKH DHOBGAMA</v>
          </cell>
          <cell r="E4614">
            <v>10530110</v>
          </cell>
          <cell r="F4614" t="str">
            <v>0013</v>
          </cell>
          <cell r="G4614">
            <v>7</v>
          </cell>
          <cell r="H4614">
            <v>23.9</v>
          </cell>
          <cell r="I4614">
            <v>1431.3987431536</v>
          </cell>
          <cell r="J4614">
            <v>0</v>
          </cell>
          <cell r="K4614">
            <v>0</v>
          </cell>
          <cell r="L4614">
            <v>0</v>
          </cell>
          <cell r="M4614">
            <v>0</v>
          </cell>
          <cell r="P4614">
            <v>1431</v>
          </cell>
          <cell r="V4614" t="str">
            <v>Available</v>
          </cell>
        </row>
        <row r="4615">
          <cell r="A4615" t="str">
            <v>105301100014</v>
          </cell>
          <cell r="B4615" t="str">
            <v>Kalyanpur</v>
          </cell>
          <cell r="C4615" t="str">
            <v>Kalyanpur</v>
          </cell>
          <cell r="D4615" t="str">
            <v>GOMUKH DHOBGAMA</v>
          </cell>
          <cell r="E4615">
            <v>10530110</v>
          </cell>
          <cell r="F4615" t="str">
            <v>0014</v>
          </cell>
          <cell r="G4615">
            <v>7</v>
          </cell>
          <cell r="H4615">
            <v>13.69</v>
          </cell>
          <cell r="I4615">
            <v>702.71473534130007</v>
          </cell>
          <cell r="J4615">
            <v>0</v>
          </cell>
          <cell r="K4615">
            <v>0</v>
          </cell>
          <cell r="L4615">
            <v>0</v>
          </cell>
          <cell r="M4615">
            <v>0</v>
          </cell>
          <cell r="P4615">
            <v>703</v>
          </cell>
          <cell r="V4615" t="str">
            <v>Available</v>
          </cell>
        </row>
        <row r="4616">
          <cell r="A4616" t="str">
            <v>105301100015</v>
          </cell>
          <cell r="B4616" t="str">
            <v>Kalyanpur</v>
          </cell>
          <cell r="C4616" t="str">
            <v>Kalyanpur</v>
          </cell>
          <cell r="D4616" t="str">
            <v>GOMUKH DHOBGAMA</v>
          </cell>
          <cell r="E4616">
            <v>10530110</v>
          </cell>
          <cell r="F4616" t="str">
            <v>0015</v>
          </cell>
          <cell r="G4616">
            <v>12</v>
          </cell>
          <cell r="H4616">
            <v>32.42</v>
          </cell>
          <cell r="I4616">
            <v>1148.8604903226001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P4616">
            <v>1149</v>
          </cell>
          <cell r="V4616" t="str">
            <v>Available</v>
          </cell>
        </row>
        <row r="4617">
          <cell r="A4617" t="str">
            <v>105301100016</v>
          </cell>
          <cell r="B4617" t="str">
            <v>Kalyanpur</v>
          </cell>
          <cell r="C4617" t="str">
            <v>Kalyanpur</v>
          </cell>
          <cell r="D4617" t="str">
            <v>GOMUKH DHOBGAMA</v>
          </cell>
          <cell r="E4617">
            <v>10530110</v>
          </cell>
          <cell r="F4617" t="str">
            <v>0016</v>
          </cell>
          <cell r="G4617">
            <v>11</v>
          </cell>
          <cell r="H4617">
            <v>47.66</v>
          </cell>
          <cell r="I4617">
            <v>1659.1559509800002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P4617">
            <v>1659</v>
          </cell>
          <cell r="V4617" t="str">
            <v>Available</v>
          </cell>
        </row>
        <row r="4618">
          <cell r="A4618" t="str">
            <v>105301100017</v>
          </cell>
          <cell r="B4618" t="str">
            <v>Kalyanpur</v>
          </cell>
          <cell r="C4618" t="str">
            <v>Kalyanpur</v>
          </cell>
          <cell r="D4618" t="str">
            <v>GOMUKH DHOBGAMA</v>
          </cell>
          <cell r="E4618">
            <v>10530110</v>
          </cell>
          <cell r="F4618" t="str">
            <v>0017</v>
          </cell>
          <cell r="G4618">
            <v>6</v>
          </cell>
          <cell r="H4618">
            <v>20.78</v>
          </cell>
          <cell r="I4618">
            <v>706.97961878940009</v>
          </cell>
          <cell r="J4618">
            <v>0</v>
          </cell>
          <cell r="K4618">
            <v>0</v>
          </cell>
          <cell r="L4618">
            <v>0</v>
          </cell>
          <cell r="M4618">
            <v>0</v>
          </cell>
          <cell r="P4618">
            <v>707</v>
          </cell>
          <cell r="V4618" t="str">
            <v>Available</v>
          </cell>
        </row>
        <row r="4619">
          <cell r="A4619" t="str">
            <v>105301100018</v>
          </cell>
          <cell r="B4619" t="str">
            <v>Kalyanpur</v>
          </cell>
          <cell r="C4619" t="str">
            <v>Kalyanpur</v>
          </cell>
          <cell r="D4619" t="str">
            <v>GOMUKH DHOBGAMA</v>
          </cell>
          <cell r="E4619">
            <v>10530110</v>
          </cell>
          <cell r="F4619" t="str">
            <v>0018</v>
          </cell>
          <cell r="G4619">
            <v>9</v>
          </cell>
          <cell r="H4619">
            <v>36.53</v>
          </cell>
          <cell r="I4619">
            <v>1165.8855041064003</v>
          </cell>
          <cell r="J4619">
            <v>0</v>
          </cell>
          <cell r="K4619">
            <v>0</v>
          </cell>
          <cell r="L4619">
            <v>0</v>
          </cell>
          <cell r="M4619">
            <v>0</v>
          </cell>
          <cell r="P4619">
            <v>1166</v>
          </cell>
          <cell r="V4619" t="str">
            <v>Available</v>
          </cell>
        </row>
        <row r="4620">
          <cell r="A4620" t="str">
            <v>105301100019</v>
          </cell>
          <cell r="B4620" t="str">
            <v>Kalyanpur</v>
          </cell>
          <cell r="C4620" t="str">
            <v>Kalyanpur</v>
          </cell>
          <cell r="D4620" t="str">
            <v>GOMUKH DHOBGAMA</v>
          </cell>
          <cell r="E4620">
            <v>10530110</v>
          </cell>
          <cell r="F4620" t="str">
            <v>0019</v>
          </cell>
          <cell r="G4620">
            <v>10</v>
          </cell>
          <cell r="H4620">
            <v>26.61</v>
          </cell>
          <cell r="I4620">
            <v>1012.7980558080002</v>
          </cell>
          <cell r="J4620">
            <v>0</v>
          </cell>
          <cell r="K4620">
            <v>0</v>
          </cell>
          <cell r="L4620">
            <v>0</v>
          </cell>
          <cell r="M4620">
            <v>0</v>
          </cell>
          <cell r="P4620">
            <v>1013</v>
          </cell>
          <cell r="V4620" t="str">
            <v>Available</v>
          </cell>
        </row>
        <row r="4621">
          <cell r="A4621" t="str">
            <v>105301100020</v>
          </cell>
          <cell r="B4621" t="str">
            <v>Kalyanpur</v>
          </cell>
          <cell r="C4621" t="str">
            <v>Kalyanpur</v>
          </cell>
          <cell r="D4621" t="str">
            <v>GOMUKH DHOBGAMA</v>
          </cell>
          <cell r="E4621">
            <v>10530110</v>
          </cell>
          <cell r="F4621" t="str">
            <v>0020</v>
          </cell>
          <cell r="G4621">
            <v>4</v>
          </cell>
          <cell r="H4621">
            <v>23.049999999999997</v>
          </cell>
          <cell r="I4621">
            <v>832.31754210000008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P4621">
            <v>832</v>
          </cell>
          <cell r="V4621" t="str">
            <v>Available</v>
          </cell>
        </row>
        <row r="4622">
          <cell r="A4622" t="str">
            <v>105301100021</v>
          </cell>
          <cell r="B4622" t="str">
            <v>Kalyanpur</v>
          </cell>
          <cell r="C4622" t="str">
            <v>Kalyanpur</v>
          </cell>
          <cell r="D4622" t="str">
            <v>GOMUKH DHOBGAMA</v>
          </cell>
          <cell r="E4622">
            <v>10530110</v>
          </cell>
          <cell r="F4622" t="str">
            <v>0021</v>
          </cell>
          <cell r="G4622">
            <v>5</v>
          </cell>
          <cell r="H4622">
            <v>15.919999999999998</v>
          </cell>
          <cell r="I4622">
            <v>566.02800009359999</v>
          </cell>
          <cell r="J4622">
            <v>0</v>
          </cell>
          <cell r="K4622">
            <v>0</v>
          </cell>
          <cell r="L4622">
            <v>0</v>
          </cell>
          <cell r="M4622">
            <v>0</v>
          </cell>
          <cell r="P4622">
            <v>566</v>
          </cell>
          <cell r="V4622" t="str">
            <v>Available</v>
          </cell>
        </row>
        <row r="4623">
          <cell r="A4623" t="str">
            <v>105301100022</v>
          </cell>
          <cell r="B4623" t="str">
            <v>Kalyanpur</v>
          </cell>
          <cell r="C4623" t="str">
            <v>Kalyanpur</v>
          </cell>
          <cell r="D4623" t="str">
            <v>GOMUKH DHOBGAMA</v>
          </cell>
          <cell r="E4623">
            <v>10530110</v>
          </cell>
          <cell r="F4623" t="str">
            <v>0022</v>
          </cell>
          <cell r="G4623">
            <v>8</v>
          </cell>
          <cell r="H4623">
            <v>23.89</v>
          </cell>
          <cell r="I4623">
            <v>980.99783654400017</v>
          </cell>
          <cell r="J4623">
            <v>0</v>
          </cell>
          <cell r="K4623">
            <v>0</v>
          </cell>
          <cell r="L4623">
            <v>0</v>
          </cell>
          <cell r="M4623">
            <v>0</v>
          </cell>
          <cell r="P4623">
            <v>981</v>
          </cell>
          <cell r="V4623" t="str">
            <v>Available</v>
          </cell>
        </row>
        <row r="4624">
          <cell r="A4624" t="str">
            <v>105301100023</v>
          </cell>
          <cell r="B4624" t="str">
            <v>Kalyanpur</v>
          </cell>
          <cell r="C4624" t="str">
            <v>Kalyanpur</v>
          </cell>
          <cell r="D4624" t="str">
            <v>GOMUKH DHOBGAMA</v>
          </cell>
          <cell r="E4624">
            <v>10530110</v>
          </cell>
          <cell r="F4624" t="str">
            <v>0023</v>
          </cell>
          <cell r="G4624">
            <v>14</v>
          </cell>
          <cell r="H4624">
            <v>74.02</v>
          </cell>
          <cell r="I4624">
            <v>2695.1383217880002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P4624">
            <v>2695</v>
          </cell>
          <cell r="V4624" t="str">
            <v>Available</v>
          </cell>
        </row>
        <row r="4625">
          <cell r="A4625" t="str">
            <v>105301100024</v>
          </cell>
          <cell r="B4625" t="str">
            <v>Kalyanpur</v>
          </cell>
          <cell r="C4625" t="str">
            <v>Kalyanpur</v>
          </cell>
          <cell r="D4625" t="str">
            <v>GOMUKH DHOBGAMA</v>
          </cell>
          <cell r="E4625">
            <v>10530110</v>
          </cell>
          <cell r="F4625" t="str">
            <v>0024</v>
          </cell>
          <cell r="G4625">
            <v>6</v>
          </cell>
          <cell r="H4625">
            <v>14.95</v>
          </cell>
          <cell r="I4625">
            <v>580.2842267640001</v>
          </cell>
          <cell r="J4625">
            <v>0</v>
          </cell>
          <cell r="K4625">
            <v>0</v>
          </cell>
          <cell r="L4625">
            <v>0</v>
          </cell>
          <cell r="M4625">
            <v>0</v>
          </cell>
          <cell r="P4625">
            <v>580</v>
          </cell>
          <cell r="V4625" t="str">
            <v>Available</v>
          </cell>
        </row>
        <row r="4626">
          <cell r="A4626" t="str">
            <v>105301110001</v>
          </cell>
          <cell r="B4626" t="str">
            <v>Kalyanpur</v>
          </cell>
          <cell r="C4626" t="str">
            <v>Kalyanpur</v>
          </cell>
          <cell r="D4626" t="str">
            <v>GOMUKH BHUSKOUL</v>
          </cell>
          <cell r="E4626">
            <v>10530111</v>
          </cell>
          <cell r="F4626" t="str">
            <v>0001</v>
          </cell>
          <cell r="G4626">
            <v>13</v>
          </cell>
          <cell r="H4626">
            <v>12</v>
          </cell>
          <cell r="I4626">
            <v>479.69605846800005</v>
          </cell>
          <cell r="J4626">
            <v>0</v>
          </cell>
          <cell r="K4626">
            <v>479.69605846800005</v>
          </cell>
          <cell r="L4626">
            <v>0</v>
          </cell>
          <cell r="M4626">
            <v>0</v>
          </cell>
          <cell r="P4626">
            <v>0</v>
          </cell>
          <cell r="V4626" t="str">
            <v>Not Available</v>
          </cell>
        </row>
        <row r="4627">
          <cell r="A4627" t="str">
            <v>105301110002</v>
          </cell>
          <cell r="B4627" t="str">
            <v>Kalyanpur</v>
          </cell>
          <cell r="C4627" t="str">
            <v>Kalyanpur</v>
          </cell>
          <cell r="D4627" t="str">
            <v>GOMUKH BHUSKOUL</v>
          </cell>
          <cell r="E4627">
            <v>10530111</v>
          </cell>
          <cell r="F4627" t="str">
            <v>0002</v>
          </cell>
          <cell r="G4627">
            <v>14</v>
          </cell>
          <cell r="H4627">
            <v>210.18999999999994</v>
          </cell>
          <cell r="I4627">
            <v>7781.2585669376313</v>
          </cell>
          <cell r="J4627">
            <v>0</v>
          </cell>
          <cell r="K4627">
            <v>0</v>
          </cell>
          <cell r="L4627">
            <v>0</v>
          </cell>
          <cell r="M4627">
            <v>0</v>
          </cell>
          <cell r="P4627">
            <v>7781</v>
          </cell>
          <cell r="V4627" t="str">
            <v>Available</v>
          </cell>
        </row>
        <row r="4628">
          <cell r="A4628" t="str">
            <v>105301110003</v>
          </cell>
          <cell r="B4628" t="str">
            <v>Kalyanpur</v>
          </cell>
          <cell r="C4628" t="str">
            <v>Kalyanpur</v>
          </cell>
          <cell r="D4628" t="str">
            <v>GOMUKH BHUSKOUL</v>
          </cell>
          <cell r="E4628">
            <v>10530111</v>
          </cell>
          <cell r="F4628" t="str">
            <v>0003</v>
          </cell>
          <cell r="G4628">
            <v>14</v>
          </cell>
          <cell r="H4628">
            <v>57.72</v>
          </cell>
          <cell r="I4628">
            <v>2241.0607653720008</v>
          </cell>
          <cell r="J4628">
            <v>0</v>
          </cell>
          <cell r="K4628">
            <v>0</v>
          </cell>
          <cell r="L4628">
            <v>0</v>
          </cell>
          <cell r="M4628">
            <v>0</v>
          </cell>
          <cell r="P4628">
            <v>2241</v>
          </cell>
          <cell r="V4628" t="str">
            <v>Available</v>
          </cell>
        </row>
        <row r="4629">
          <cell r="A4629" t="str">
            <v>105301110004</v>
          </cell>
          <cell r="B4629" t="str">
            <v>Kalyanpur</v>
          </cell>
          <cell r="C4629" t="str">
            <v>Kalyanpur</v>
          </cell>
          <cell r="D4629" t="str">
            <v>GOMUKH BHUSKOUL</v>
          </cell>
          <cell r="E4629">
            <v>10530111</v>
          </cell>
          <cell r="F4629" t="str">
            <v>0004</v>
          </cell>
          <cell r="G4629">
            <v>13</v>
          </cell>
          <cell r="H4629">
            <v>88.16</v>
          </cell>
          <cell r="I4629">
            <v>4001.4395555873207</v>
          </cell>
          <cell r="J4629">
            <v>0</v>
          </cell>
          <cell r="K4629">
            <v>0</v>
          </cell>
          <cell r="L4629">
            <v>0</v>
          </cell>
          <cell r="M4629">
            <v>0</v>
          </cell>
          <cell r="P4629">
            <v>4001</v>
          </cell>
          <cell r="V4629" t="str">
            <v>Available</v>
          </cell>
        </row>
        <row r="4630">
          <cell r="A4630" t="str">
            <v>105301110006</v>
          </cell>
          <cell r="B4630" t="str">
            <v>Kalyanpur</v>
          </cell>
          <cell r="C4630" t="str">
            <v>Kalyanpur</v>
          </cell>
          <cell r="D4630" t="str">
            <v>GOMUKH BHUSKOUL</v>
          </cell>
          <cell r="E4630">
            <v>10530111</v>
          </cell>
          <cell r="F4630" t="str">
            <v>0006</v>
          </cell>
          <cell r="G4630">
            <v>2</v>
          </cell>
          <cell r="H4630">
            <v>3.5700000000000003</v>
          </cell>
          <cell r="I4630">
            <v>113.66655179220002</v>
          </cell>
          <cell r="J4630">
            <v>0</v>
          </cell>
          <cell r="K4630">
            <v>0</v>
          </cell>
          <cell r="L4630">
            <v>0</v>
          </cell>
          <cell r="M4630">
            <v>0</v>
          </cell>
          <cell r="P4630">
            <v>114</v>
          </cell>
          <cell r="V4630" t="str">
            <v>Available</v>
          </cell>
        </row>
        <row r="4631">
          <cell r="A4631" t="str">
            <v>105301110008</v>
          </cell>
          <cell r="B4631" t="str">
            <v>Kalyanpur</v>
          </cell>
          <cell r="C4631" t="str">
            <v>Kalyanpur</v>
          </cell>
          <cell r="D4631" t="str">
            <v>GOMUKH BHUSKOUL</v>
          </cell>
          <cell r="E4631">
            <v>10530111</v>
          </cell>
          <cell r="F4631" t="str">
            <v>0008</v>
          </cell>
          <cell r="G4631">
            <v>11</v>
          </cell>
          <cell r="H4631">
            <v>40.660000000000004</v>
          </cell>
          <cell r="I4631">
            <v>1351.4339238444002</v>
          </cell>
          <cell r="J4631">
            <v>0</v>
          </cell>
          <cell r="K4631">
            <v>0</v>
          </cell>
          <cell r="L4631">
            <v>0</v>
          </cell>
          <cell r="M4631">
            <v>0</v>
          </cell>
          <cell r="P4631">
            <v>1351</v>
          </cell>
          <cell r="V4631" t="str">
            <v>Available</v>
          </cell>
        </row>
        <row r="4632">
          <cell r="A4632" t="str">
            <v>105301110010</v>
          </cell>
          <cell r="B4632" t="str">
            <v>Kalyanpur</v>
          </cell>
          <cell r="C4632" t="str">
            <v>Kalyanpur</v>
          </cell>
          <cell r="D4632" t="str">
            <v>GOMUKH BHUSKOUL</v>
          </cell>
          <cell r="E4632">
            <v>10530111</v>
          </cell>
          <cell r="F4632" t="str">
            <v>0010</v>
          </cell>
          <cell r="G4632">
            <v>4</v>
          </cell>
          <cell r="H4632">
            <v>14.34</v>
          </cell>
          <cell r="I4632">
            <v>584.93976948</v>
          </cell>
          <cell r="J4632">
            <v>0</v>
          </cell>
          <cell r="K4632">
            <v>0</v>
          </cell>
          <cell r="L4632">
            <v>0</v>
          </cell>
          <cell r="M4632">
            <v>0</v>
          </cell>
          <cell r="P4632">
            <v>585</v>
          </cell>
          <cell r="V4632" t="str">
            <v>Available</v>
          </cell>
        </row>
        <row r="4633">
          <cell r="A4633" t="str">
            <v>105301110014</v>
          </cell>
          <cell r="B4633" t="str">
            <v>Kalyanpur</v>
          </cell>
          <cell r="C4633" t="str">
            <v>Kalyanpur</v>
          </cell>
          <cell r="D4633" t="str">
            <v>GOMUKH BHUSKOUL</v>
          </cell>
          <cell r="E4633">
            <v>10530111</v>
          </cell>
          <cell r="F4633" t="str">
            <v>0014</v>
          </cell>
          <cell r="G4633">
            <v>14</v>
          </cell>
          <cell r="H4633">
            <v>67.72</v>
          </cell>
          <cell r="I4633">
            <v>2583.0410657039997</v>
          </cell>
          <cell r="J4633">
            <v>0</v>
          </cell>
          <cell r="K4633">
            <v>0</v>
          </cell>
          <cell r="L4633">
            <v>0</v>
          </cell>
          <cell r="M4633">
            <v>0</v>
          </cell>
          <cell r="P4633">
            <v>2583</v>
          </cell>
          <cell r="V4633" t="str">
            <v>Available</v>
          </cell>
        </row>
        <row r="4634">
          <cell r="A4634" t="str">
            <v>105301110015</v>
          </cell>
          <cell r="B4634" t="str">
            <v>Kalyanpur</v>
          </cell>
          <cell r="C4634" t="str">
            <v>Kalyanpur</v>
          </cell>
          <cell r="D4634" t="str">
            <v>GOMUKH BHUSKOUL</v>
          </cell>
          <cell r="E4634">
            <v>10530111</v>
          </cell>
          <cell r="F4634" t="str">
            <v>0015</v>
          </cell>
          <cell r="G4634">
            <v>7</v>
          </cell>
          <cell r="H4634">
            <v>22.63</v>
          </cell>
          <cell r="I4634">
            <v>1278.3461549217802</v>
          </cell>
          <cell r="J4634">
            <v>0</v>
          </cell>
          <cell r="K4634">
            <v>0</v>
          </cell>
          <cell r="L4634">
            <v>0</v>
          </cell>
          <cell r="M4634">
            <v>0</v>
          </cell>
          <cell r="P4634">
            <v>1278</v>
          </cell>
          <cell r="V4634" t="str">
            <v>Available</v>
          </cell>
        </row>
        <row r="4635">
          <cell r="A4635" t="str">
            <v>105301110016</v>
          </cell>
          <cell r="B4635" t="str">
            <v>Kalyanpur</v>
          </cell>
          <cell r="C4635" t="str">
            <v>Kalyanpur</v>
          </cell>
          <cell r="D4635" t="str">
            <v>GOMUKH BHUSKOUL</v>
          </cell>
          <cell r="E4635">
            <v>10530111</v>
          </cell>
          <cell r="F4635" t="str">
            <v>0016</v>
          </cell>
          <cell r="G4635">
            <v>5</v>
          </cell>
          <cell r="H4635">
            <v>10.9</v>
          </cell>
          <cell r="I4635">
            <v>386.80218680400003</v>
          </cell>
          <cell r="J4635">
            <v>0</v>
          </cell>
          <cell r="K4635">
            <v>0</v>
          </cell>
          <cell r="L4635">
            <v>0</v>
          </cell>
          <cell r="M4635">
            <v>0</v>
          </cell>
          <cell r="P4635">
            <v>387</v>
          </cell>
          <cell r="V4635" t="str">
            <v>Available</v>
          </cell>
        </row>
        <row r="4636">
          <cell r="A4636" t="str">
            <v>105301110017</v>
          </cell>
          <cell r="B4636" t="str">
            <v>Kalyanpur</v>
          </cell>
          <cell r="C4636" t="str">
            <v>Kalyanpur</v>
          </cell>
          <cell r="D4636" t="str">
            <v>GOMUKH BHUSKOUL</v>
          </cell>
          <cell r="E4636">
            <v>10530111</v>
          </cell>
          <cell r="F4636" t="str">
            <v>0017</v>
          </cell>
          <cell r="G4636">
            <v>7</v>
          </cell>
          <cell r="H4636">
            <v>14.67</v>
          </cell>
          <cell r="I4636">
            <v>499.62631647060005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P4636">
            <v>500</v>
          </cell>
          <cell r="V4636" t="str">
            <v>Available</v>
          </cell>
        </row>
        <row r="4637">
          <cell r="A4637" t="str">
            <v>105301110018</v>
          </cell>
          <cell r="B4637" t="str">
            <v>Kalyanpur</v>
          </cell>
          <cell r="C4637" t="str">
            <v>Kalyanpur</v>
          </cell>
          <cell r="D4637" t="str">
            <v>GOMUKH BHUSKOUL</v>
          </cell>
          <cell r="E4637">
            <v>10530111</v>
          </cell>
          <cell r="F4637" t="str">
            <v>0018</v>
          </cell>
          <cell r="G4637">
            <v>14</v>
          </cell>
          <cell r="H4637">
            <v>41.46</v>
          </cell>
          <cell r="I4637">
            <v>1705.9954891320001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P4637">
            <v>1706</v>
          </cell>
          <cell r="V4637" t="str">
            <v>Available</v>
          </cell>
        </row>
        <row r="4638">
          <cell r="A4638" t="str">
            <v>105301110022</v>
          </cell>
          <cell r="B4638" t="str">
            <v>Kalyanpur</v>
          </cell>
          <cell r="C4638" t="str">
            <v>Kalyanpur</v>
          </cell>
          <cell r="D4638" t="str">
            <v>GOMUKH BHUSKOUL</v>
          </cell>
          <cell r="E4638">
            <v>10530111</v>
          </cell>
          <cell r="F4638" t="str">
            <v>0022</v>
          </cell>
          <cell r="G4638">
            <v>6</v>
          </cell>
          <cell r="H4638">
            <v>14.959999999999999</v>
          </cell>
          <cell r="I4638">
            <v>444.63259946160002</v>
          </cell>
          <cell r="J4638">
            <v>0</v>
          </cell>
          <cell r="K4638">
            <v>0</v>
          </cell>
          <cell r="L4638">
            <v>0</v>
          </cell>
          <cell r="M4638">
            <v>0</v>
          </cell>
          <cell r="P4638">
            <v>445</v>
          </cell>
          <cell r="V4638" t="str">
            <v>Available</v>
          </cell>
        </row>
        <row r="4639">
          <cell r="A4639" t="str">
            <v>105301110023</v>
          </cell>
          <cell r="B4639" t="str">
            <v>Kalyanpur</v>
          </cell>
          <cell r="C4639" t="str">
            <v>Kalyanpur</v>
          </cell>
          <cell r="D4639" t="str">
            <v>GOMUKH BHUSKOUL</v>
          </cell>
          <cell r="E4639">
            <v>10530111</v>
          </cell>
          <cell r="F4639" t="str">
            <v>0023</v>
          </cell>
          <cell r="G4639">
            <v>6</v>
          </cell>
          <cell r="H4639">
            <v>20.209999999999997</v>
          </cell>
          <cell r="I4639">
            <v>651.09008590560006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  <cell r="P4639">
            <v>651</v>
          </cell>
          <cell r="V4639" t="str">
            <v>Available</v>
          </cell>
        </row>
        <row r="4640">
          <cell r="A4640" t="str">
            <v>105301110025</v>
          </cell>
          <cell r="B4640" t="str">
            <v>Kalyanpur</v>
          </cell>
          <cell r="C4640" t="str">
            <v>Kalyanpur</v>
          </cell>
          <cell r="D4640" t="str">
            <v>GOMUKH BHUSKOUL</v>
          </cell>
          <cell r="E4640">
            <v>10530111</v>
          </cell>
          <cell r="F4640" t="str">
            <v>0025</v>
          </cell>
          <cell r="G4640">
            <v>4</v>
          </cell>
          <cell r="H4640">
            <v>12.82</v>
          </cell>
          <cell r="I4640">
            <v>350.53723298880004</v>
          </cell>
          <cell r="J4640">
            <v>0</v>
          </cell>
          <cell r="K4640">
            <v>0</v>
          </cell>
          <cell r="L4640">
            <v>0</v>
          </cell>
          <cell r="M4640">
            <v>0</v>
          </cell>
          <cell r="P4640">
            <v>351</v>
          </cell>
          <cell r="V4640" t="str">
            <v>Available</v>
          </cell>
        </row>
        <row r="4641">
          <cell r="A4641" t="str">
            <v>105301110026</v>
          </cell>
          <cell r="B4641" t="str">
            <v>Kalyanpur</v>
          </cell>
          <cell r="C4641" t="str">
            <v>Kalyanpur</v>
          </cell>
          <cell r="D4641" t="str">
            <v>GOMUKH BHUSKOUL</v>
          </cell>
          <cell r="E4641">
            <v>10530111</v>
          </cell>
          <cell r="F4641" t="str">
            <v>0026</v>
          </cell>
          <cell r="G4641">
            <v>10</v>
          </cell>
          <cell r="H4641">
            <v>22.12</v>
          </cell>
          <cell r="I4641">
            <v>1580.5279205065726</v>
          </cell>
          <cell r="J4641">
            <v>0</v>
          </cell>
          <cell r="K4641">
            <v>0</v>
          </cell>
          <cell r="L4641">
            <v>0</v>
          </cell>
          <cell r="M4641">
            <v>0</v>
          </cell>
          <cell r="P4641">
            <v>1581</v>
          </cell>
          <cell r="V4641" t="str">
            <v>Available</v>
          </cell>
        </row>
        <row r="4642">
          <cell r="A4642" t="str">
            <v>105301110027</v>
          </cell>
          <cell r="B4642" t="str">
            <v>Kalyanpur</v>
          </cell>
          <cell r="C4642" t="str">
            <v>Kalyanpur</v>
          </cell>
          <cell r="D4642" t="str">
            <v>GOMUKH BHUSKOUL</v>
          </cell>
          <cell r="E4642">
            <v>10530111</v>
          </cell>
          <cell r="F4642" t="str">
            <v>0027</v>
          </cell>
          <cell r="G4642">
            <v>14</v>
          </cell>
          <cell r="H4642">
            <v>67.319999999999993</v>
          </cell>
          <cell r="I4642">
            <v>2305.6683477696001</v>
          </cell>
          <cell r="J4642">
            <v>0</v>
          </cell>
          <cell r="K4642">
            <v>0</v>
          </cell>
          <cell r="L4642">
            <v>0</v>
          </cell>
          <cell r="M4642">
            <v>0</v>
          </cell>
          <cell r="P4642">
            <v>2306</v>
          </cell>
          <cell r="V4642" t="str">
            <v>Available</v>
          </cell>
        </row>
        <row r="4643">
          <cell r="A4643" t="str">
            <v>105301120001</v>
          </cell>
          <cell r="B4643" t="str">
            <v>Kalyanpur</v>
          </cell>
          <cell r="C4643" t="str">
            <v>Kalyanpur</v>
          </cell>
          <cell r="D4643" t="str">
            <v>GOMUKH BIRSINGHPUR</v>
          </cell>
          <cell r="E4643">
            <v>10530112</v>
          </cell>
          <cell r="F4643" t="str">
            <v>0001</v>
          </cell>
          <cell r="G4643">
            <v>1</v>
          </cell>
          <cell r="H4643">
            <v>0.05</v>
          </cell>
          <cell r="I4643">
            <v>1.9866547800000003</v>
          </cell>
          <cell r="J4643">
            <v>0</v>
          </cell>
          <cell r="K4643">
            <v>1.9866547800000003</v>
          </cell>
          <cell r="L4643">
            <v>0</v>
          </cell>
          <cell r="M4643">
            <v>0</v>
          </cell>
          <cell r="P4643">
            <v>0</v>
          </cell>
          <cell r="V4643" t="str">
            <v>Not Available</v>
          </cell>
        </row>
        <row r="4644">
          <cell r="A4644" t="str">
            <v>105301120002</v>
          </cell>
          <cell r="B4644" t="str">
            <v>Kalyanpur</v>
          </cell>
          <cell r="C4644" t="str">
            <v>Kalyanpur</v>
          </cell>
          <cell r="D4644" t="str">
            <v>GOMUKH BIRSINGHPUR</v>
          </cell>
          <cell r="E4644">
            <v>10530112</v>
          </cell>
          <cell r="F4644" t="str">
            <v>0002</v>
          </cell>
          <cell r="G4644">
            <v>14</v>
          </cell>
          <cell r="H4644">
            <v>317.12999999999994</v>
          </cell>
          <cell r="I4644">
            <v>12144.666928680004</v>
          </cell>
          <cell r="J4644">
            <v>0</v>
          </cell>
          <cell r="K4644">
            <v>0</v>
          </cell>
          <cell r="L4644">
            <v>301</v>
          </cell>
          <cell r="M4644">
            <v>0</v>
          </cell>
          <cell r="P4644">
            <v>11844</v>
          </cell>
          <cell r="V4644" t="str">
            <v>Available</v>
          </cell>
        </row>
        <row r="4645">
          <cell r="A4645" t="str">
            <v>105301120003</v>
          </cell>
          <cell r="B4645" t="str">
            <v>Kalyanpur</v>
          </cell>
          <cell r="C4645" t="str">
            <v>Kalyanpur</v>
          </cell>
          <cell r="D4645" t="str">
            <v>GOMUKH BIRSINGHPUR</v>
          </cell>
          <cell r="E4645">
            <v>10530112</v>
          </cell>
          <cell r="F4645" t="str">
            <v>0003</v>
          </cell>
          <cell r="G4645">
            <v>2</v>
          </cell>
          <cell r="H4645">
            <v>6.59</v>
          </cell>
          <cell r="I4645">
            <v>397.22927496479997</v>
          </cell>
          <cell r="J4645">
            <v>0</v>
          </cell>
          <cell r="K4645">
            <v>0</v>
          </cell>
          <cell r="L4645">
            <v>0</v>
          </cell>
          <cell r="M4645">
            <v>0</v>
          </cell>
          <cell r="P4645">
            <v>397</v>
          </cell>
          <cell r="V4645" t="str">
            <v>Available</v>
          </cell>
        </row>
        <row r="4646">
          <cell r="A4646" t="str">
            <v>105301130001</v>
          </cell>
          <cell r="B4646" t="str">
            <v>Kalyanpur</v>
          </cell>
          <cell r="C4646" t="str">
            <v>Kalyanpur</v>
          </cell>
          <cell r="D4646" t="str">
            <v>GOMUKH GHOSRAWAN</v>
          </cell>
          <cell r="E4646">
            <v>10530113</v>
          </cell>
          <cell r="F4646" t="str">
            <v>0001</v>
          </cell>
          <cell r="G4646">
            <v>14</v>
          </cell>
          <cell r="H4646">
            <v>3.9199999999999995</v>
          </cell>
          <cell r="I4646">
            <v>154.0150265808</v>
          </cell>
          <cell r="J4646">
            <v>0</v>
          </cell>
          <cell r="K4646">
            <v>154.0150265808</v>
          </cell>
          <cell r="L4646">
            <v>0</v>
          </cell>
          <cell r="M4646">
            <v>0</v>
          </cell>
          <cell r="P4646">
            <v>0</v>
          </cell>
          <cell r="V4646" t="str">
            <v>Not Available</v>
          </cell>
        </row>
        <row r="4647">
          <cell r="A4647" t="str">
            <v>105301130002</v>
          </cell>
          <cell r="B4647" t="str">
            <v>Kalyanpur</v>
          </cell>
          <cell r="C4647" t="str">
            <v>Kalyanpur</v>
          </cell>
          <cell r="D4647" t="str">
            <v>GOMUKH GHOSRAWAN</v>
          </cell>
          <cell r="E4647">
            <v>10530113</v>
          </cell>
          <cell r="F4647" t="str">
            <v>0002</v>
          </cell>
          <cell r="G4647">
            <v>13</v>
          </cell>
          <cell r="H4647">
            <v>297.56</v>
          </cell>
          <cell r="I4647">
            <v>11859.795447984001</v>
          </cell>
          <cell r="J4647">
            <v>0</v>
          </cell>
          <cell r="K4647">
            <v>0</v>
          </cell>
          <cell r="L4647">
            <v>860</v>
          </cell>
          <cell r="M4647">
            <v>0</v>
          </cell>
          <cell r="P4647">
            <v>11000</v>
          </cell>
          <cell r="V4647" t="str">
            <v>Available</v>
          </cell>
        </row>
        <row r="4648">
          <cell r="A4648" t="str">
            <v>105301130004</v>
          </cell>
          <cell r="B4648" t="str">
            <v>Kalyanpur</v>
          </cell>
          <cell r="C4648" t="str">
            <v>Kalyanpur</v>
          </cell>
          <cell r="D4648" t="str">
            <v>GOMUKH GHOSRAWAN</v>
          </cell>
          <cell r="E4648">
            <v>10530113</v>
          </cell>
          <cell r="F4648" t="str">
            <v>0004</v>
          </cell>
          <cell r="G4648">
            <v>5</v>
          </cell>
          <cell r="H4648">
            <v>5.38</v>
          </cell>
          <cell r="I4648">
            <v>210.35589141600002</v>
          </cell>
          <cell r="J4648">
            <v>0</v>
          </cell>
          <cell r="K4648">
            <v>0</v>
          </cell>
          <cell r="L4648">
            <v>0</v>
          </cell>
          <cell r="M4648">
            <v>0</v>
          </cell>
          <cell r="P4648">
            <v>210</v>
          </cell>
          <cell r="V4648" t="str">
            <v>Available</v>
          </cell>
        </row>
        <row r="4649">
          <cell r="A4649" t="str">
            <v>105301130005</v>
          </cell>
          <cell r="B4649" t="str">
            <v>Kalyanpur</v>
          </cell>
          <cell r="C4649" t="str">
            <v>Kalyanpur</v>
          </cell>
          <cell r="D4649" t="str">
            <v>GOMUKH GHOSRAWAN</v>
          </cell>
          <cell r="E4649">
            <v>10530113</v>
          </cell>
          <cell r="F4649" t="str">
            <v>0005</v>
          </cell>
          <cell r="G4649">
            <v>4</v>
          </cell>
          <cell r="H4649">
            <v>28.38</v>
          </cell>
          <cell r="I4649">
            <v>1064.7109062272159</v>
          </cell>
          <cell r="J4649">
            <v>0</v>
          </cell>
          <cell r="K4649">
            <v>0</v>
          </cell>
          <cell r="L4649">
            <v>0</v>
          </cell>
          <cell r="M4649">
            <v>0</v>
          </cell>
          <cell r="P4649">
            <v>1065</v>
          </cell>
          <cell r="V4649" t="str">
            <v>Available</v>
          </cell>
        </row>
        <row r="4650">
          <cell r="A4650" t="str">
            <v>105301130008</v>
          </cell>
          <cell r="B4650" t="str">
            <v>Kalyanpur</v>
          </cell>
          <cell r="C4650" t="str">
            <v>Kalyanpur</v>
          </cell>
          <cell r="D4650" t="str">
            <v>GOMUKH GHOSRAWAN</v>
          </cell>
          <cell r="E4650">
            <v>10530113</v>
          </cell>
          <cell r="F4650" t="str">
            <v>0008</v>
          </cell>
          <cell r="G4650">
            <v>6</v>
          </cell>
          <cell r="H4650">
            <v>12.559999999999999</v>
          </cell>
          <cell r="I4650">
            <v>541.20617792999997</v>
          </cell>
          <cell r="J4650">
            <v>0</v>
          </cell>
          <cell r="K4650">
            <v>0</v>
          </cell>
          <cell r="L4650">
            <v>0</v>
          </cell>
          <cell r="M4650">
            <v>0</v>
          </cell>
          <cell r="P4650">
            <v>541</v>
          </cell>
          <cell r="V4650" t="str">
            <v>Available</v>
          </cell>
        </row>
        <row r="4651">
          <cell r="A4651" t="str">
            <v>105301130014</v>
          </cell>
          <cell r="B4651" t="str">
            <v>Kalyanpur</v>
          </cell>
          <cell r="C4651" t="str">
            <v>Kalyanpur</v>
          </cell>
          <cell r="D4651" t="str">
            <v>GOMUKH GHOSRAWAN</v>
          </cell>
          <cell r="E4651">
            <v>10530113</v>
          </cell>
          <cell r="F4651" t="str">
            <v>0014</v>
          </cell>
          <cell r="G4651">
            <v>14</v>
          </cell>
          <cell r="H4651">
            <v>62.919999999999995</v>
          </cell>
          <cell r="I4651">
            <v>2460.5368967520003</v>
          </cell>
          <cell r="J4651">
            <v>0</v>
          </cell>
          <cell r="K4651">
            <v>0</v>
          </cell>
          <cell r="L4651">
            <v>0</v>
          </cell>
          <cell r="M4651">
            <v>0</v>
          </cell>
          <cell r="P4651">
            <v>2461</v>
          </cell>
          <cell r="V4651" t="str">
            <v>Available</v>
          </cell>
        </row>
        <row r="4652">
          <cell r="A4652" t="str">
            <v>105301130015</v>
          </cell>
          <cell r="B4652" t="str">
            <v>Kalyanpur</v>
          </cell>
          <cell r="C4652" t="str">
            <v>Kalyanpur</v>
          </cell>
          <cell r="D4652" t="str">
            <v>GOMUKH GHOSRAWAN</v>
          </cell>
          <cell r="E4652">
            <v>10530113</v>
          </cell>
          <cell r="F4652" t="str">
            <v>0015</v>
          </cell>
          <cell r="G4652">
            <v>1</v>
          </cell>
          <cell r="H4652">
            <v>0.02</v>
          </cell>
          <cell r="I4652">
            <v>0.81050191199999999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P4652">
            <v>1</v>
          </cell>
          <cell r="V4652" t="str">
            <v>Available</v>
          </cell>
        </row>
        <row r="4653">
          <cell r="A4653" t="str">
            <v>105301130016</v>
          </cell>
          <cell r="B4653" t="str">
            <v>Kalyanpur</v>
          </cell>
          <cell r="C4653" t="str">
            <v>Kalyanpur</v>
          </cell>
          <cell r="D4653" t="str">
            <v>GOMUKH GHOSRAWAN</v>
          </cell>
          <cell r="E4653">
            <v>10530113</v>
          </cell>
          <cell r="F4653" t="str">
            <v>0016</v>
          </cell>
          <cell r="G4653">
            <v>14</v>
          </cell>
          <cell r="H4653">
            <v>30.760000000000005</v>
          </cell>
          <cell r="I4653">
            <v>1100.0208756240002</v>
          </cell>
          <cell r="J4653">
            <v>0</v>
          </cell>
          <cell r="K4653">
            <v>0</v>
          </cell>
          <cell r="L4653">
            <v>0</v>
          </cell>
          <cell r="M4653">
            <v>0</v>
          </cell>
          <cell r="P4653">
            <v>1100</v>
          </cell>
          <cell r="V4653" t="str">
            <v>Available</v>
          </cell>
        </row>
        <row r="4654">
          <cell r="A4654" t="str">
            <v>105301130019</v>
          </cell>
          <cell r="B4654" t="str">
            <v>Kalyanpur</v>
          </cell>
          <cell r="C4654" t="str">
            <v>Kalyanpur</v>
          </cell>
          <cell r="D4654" t="str">
            <v>GOMUKH GHOSRAWAN</v>
          </cell>
          <cell r="E4654">
            <v>10530113</v>
          </cell>
          <cell r="F4654" t="str">
            <v>0019</v>
          </cell>
          <cell r="G4654">
            <v>14</v>
          </cell>
          <cell r="H4654">
            <v>53.699999999999996</v>
          </cell>
          <cell r="I4654">
            <v>2261.1777978240002</v>
          </cell>
          <cell r="J4654">
            <v>0</v>
          </cell>
          <cell r="K4654">
            <v>0</v>
          </cell>
          <cell r="L4654">
            <v>0</v>
          </cell>
          <cell r="M4654">
            <v>0</v>
          </cell>
          <cell r="P4654">
            <v>2261</v>
          </cell>
          <cell r="V4654" t="str">
            <v>Available</v>
          </cell>
        </row>
        <row r="4655">
          <cell r="A4655" t="str">
            <v>105400030002</v>
          </cell>
          <cell r="B4655" t="str">
            <v xml:space="preserve">Alauli </v>
          </cell>
          <cell r="C4655" t="str">
            <v xml:space="preserve">Alauli </v>
          </cell>
          <cell r="D4655" t="str">
            <v>GOMUKH ANANDPUR PARAS 2</v>
          </cell>
          <cell r="E4655">
            <v>10540003</v>
          </cell>
          <cell r="F4655" t="str">
            <v>0002</v>
          </cell>
          <cell r="G4655">
            <v>7</v>
          </cell>
          <cell r="H4655">
            <v>3238.1</v>
          </cell>
          <cell r="I4655">
            <v>131473.49220323999</v>
          </cell>
          <cell r="J4655">
            <v>0</v>
          </cell>
          <cell r="K4655">
            <v>0</v>
          </cell>
          <cell r="L4655">
            <v>21444</v>
          </cell>
          <cell r="M4655">
            <v>0</v>
          </cell>
          <cell r="P4655">
            <v>110029</v>
          </cell>
          <cell r="V4655" t="str">
            <v>Available</v>
          </cell>
        </row>
        <row r="4656">
          <cell r="A4656" t="str">
            <v>105400050005</v>
          </cell>
          <cell r="B4656" t="str">
            <v xml:space="preserve">Alauli </v>
          </cell>
          <cell r="C4656" t="str">
            <v xml:space="preserve">Alauli </v>
          </cell>
          <cell r="D4656" t="str">
            <v>GOMUKH GADBANNI</v>
          </cell>
          <cell r="E4656">
            <v>10540005</v>
          </cell>
          <cell r="F4656" t="str">
            <v>0005</v>
          </cell>
          <cell r="G4656">
            <v>13</v>
          </cell>
          <cell r="H4656">
            <v>74.36</v>
          </cell>
          <cell r="I4656">
            <v>3013.9813519200002</v>
          </cell>
          <cell r="J4656">
            <v>0</v>
          </cell>
          <cell r="K4656">
            <v>0</v>
          </cell>
          <cell r="L4656">
            <v>250</v>
          </cell>
          <cell r="M4656">
            <v>0</v>
          </cell>
          <cell r="P4656">
            <v>2764</v>
          </cell>
          <cell r="V4656" t="str">
            <v>Available</v>
          </cell>
        </row>
        <row r="4657">
          <cell r="A4657" t="str">
            <v>105400050006</v>
          </cell>
          <cell r="B4657" t="str">
            <v xml:space="preserve">Alauli </v>
          </cell>
          <cell r="C4657" t="str">
            <v xml:space="preserve">Alauli </v>
          </cell>
          <cell r="D4657" t="str">
            <v>GOMUKH GADBANNI</v>
          </cell>
          <cell r="E4657">
            <v>10540005</v>
          </cell>
          <cell r="F4657" t="str">
            <v>0006</v>
          </cell>
          <cell r="G4657">
            <v>13</v>
          </cell>
          <cell r="H4657">
            <v>27.93</v>
          </cell>
          <cell r="I4657">
            <v>1128.5660295360001</v>
          </cell>
          <cell r="J4657">
            <v>0</v>
          </cell>
          <cell r="K4657">
            <v>0</v>
          </cell>
          <cell r="L4657">
            <v>100</v>
          </cell>
          <cell r="M4657">
            <v>0</v>
          </cell>
          <cell r="P4657">
            <v>1029</v>
          </cell>
          <cell r="V4657" t="str">
            <v>Available</v>
          </cell>
        </row>
        <row r="4658">
          <cell r="A4658" t="str">
            <v>105400050010</v>
          </cell>
          <cell r="B4658" t="str">
            <v xml:space="preserve">Alauli </v>
          </cell>
          <cell r="C4658" t="str">
            <v xml:space="preserve">Alauli </v>
          </cell>
          <cell r="D4658" t="str">
            <v>GOMUKH GADBANNI</v>
          </cell>
          <cell r="E4658">
            <v>10540005</v>
          </cell>
          <cell r="F4658" t="str">
            <v>0010</v>
          </cell>
          <cell r="G4658">
            <v>11</v>
          </cell>
          <cell r="H4658">
            <v>26.07</v>
          </cell>
          <cell r="I4658">
            <v>940.31665683120013</v>
          </cell>
          <cell r="J4658">
            <v>0</v>
          </cell>
          <cell r="K4658">
            <v>0</v>
          </cell>
          <cell r="L4658">
            <v>50</v>
          </cell>
          <cell r="M4658">
            <v>0</v>
          </cell>
          <cell r="P4658">
            <v>890</v>
          </cell>
          <cell r="V4658" t="str">
            <v>Available</v>
          </cell>
        </row>
        <row r="4659">
          <cell r="A4659" t="str">
            <v>105400050015</v>
          </cell>
          <cell r="B4659" t="str">
            <v xml:space="preserve">Alauli </v>
          </cell>
          <cell r="C4659" t="str">
            <v xml:space="preserve">Alauli </v>
          </cell>
          <cell r="D4659" t="str">
            <v>GOMUKH GADBANNI</v>
          </cell>
          <cell r="E4659">
            <v>10540005</v>
          </cell>
          <cell r="F4659" t="str">
            <v>0015</v>
          </cell>
          <cell r="G4659">
            <v>13</v>
          </cell>
          <cell r="H4659">
            <v>56.480000000000004</v>
          </cell>
          <cell r="I4659">
            <v>2087.853052428</v>
          </cell>
          <cell r="J4659">
            <v>0</v>
          </cell>
          <cell r="K4659">
            <v>0</v>
          </cell>
          <cell r="L4659">
            <v>804</v>
          </cell>
          <cell r="M4659">
            <v>0</v>
          </cell>
          <cell r="P4659">
            <v>902</v>
          </cell>
          <cell r="V4659" t="str">
            <v>Available</v>
          </cell>
        </row>
        <row r="4660">
          <cell r="A4660" t="str">
            <v>105400050016</v>
          </cell>
          <cell r="B4660" t="str">
            <v xml:space="preserve">Alauli </v>
          </cell>
          <cell r="C4660" t="str">
            <v xml:space="preserve">Alauli </v>
          </cell>
          <cell r="D4660" t="str">
            <v>GOMUKH GADBANNI</v>
          </cell>
          <cell r="E4660">
            <v>10540005</v>
          </cell>
          <cell r="F4660" t="str">
            <v>0016</v>
          </cell>
          <cell r="G4660">
            <v>6</v>
          </cell>
          <cell r="H4660">
            <v>13.56</v>
          </cell>
          <cell r="I4660">
            <v>569.6663409360001</v>
          </cell>
          <cell r="J4660">
            <v>0</v>
          </cell>
          <cell r="K4660">
            <v>0</v>
          </cell>
          <cell r="L4660">
            <v>150</v>
          </cell>
          <cell r="M4660">
            <v>0</v>
          </cell>
          <cell r="P4660">
            <v>420</v>
          </cell>
          <cell r="V4660" t="str">
            <v>Available</v>
          </cell>
        </row>
        <row r="4661">
          <cell r="A4661" t="str">
            <v>105400050023</v>
          </cell>
          <cell r="B4661" t="str">
            <v xml:space="preserve">Alauli </v>
          </cell>
          <cell r="C4661" t="str">
            <v xml:space="preserve">Alauli </v>
          </cell>
          <cell r="D4661" t="str">
            <v>GOMUKH GADBANNI</v>
          </cell>
          <cell r="E4661">
            <v>10540005</v>
          </cell>
          <cell r="F4661" t="str">
            <v>0023</v>
          </cell>
          <cell r="G4661">
            <v>7</v>
          </cell>
          <cell r="H4661">
            <v>13.760000000000002</v>
          </cell>
          <cell r="I4661">
            <v>496.34448141960007</v>
          </cell>
          <cell r="J4661">
            <v>0</v>
          </cell>
          <cell r="K4661">
            <v>0</v>
          </cell>
          <cell r="L4661">
            <v>80</v>
          </cell>
          <cell r="M4661">
            <v>0</v>
          </cell>
          <cell r="P4661">
            <v>416</v>
          </cell>
          <cell r="V4661" t="str">
            <v>Available</v>
          </cell>
        </row>
        <row r="4662">
          <cell r="A4662" t="str">
            <v>105400050037</v>
          </cell>
          <cell r="B4662" t="str">
            <v xml:space="preserve">Alauli </v>
          </cell>
          <cell r="C4662" t="str">
            <v xml:space="preserve">Alauli </v>
          </cell>
          <cell r="D4662" t="str">
            <v>GOMUKH GADBANNI</v>
          </cell>
          <cell r="E4662">
            <v>10540005</v>
          </cell>
          <cell r="F4662" t="str">
            <v>0037</v>
          </cell>
          <cell r="G4662">
            <v>13</v>
          </cell>
          <cell r="H4662">
            <v>24.979999999999997</v>
          </cell>
          <cell r="I4662">
            <v>1055.131725384</v>
          </cell>
          <cell r="J4662">
            <v>0</v>
          </cell>
          <cell r="K4662">
            <v>0</v>
          </cell>
          <cell r="L4662">
            <v>150</v>
          </cell>
          <cell r="M4662">
            <v>0</v>
          </cell>
          <cell r="P4662">
            <v>905</v>
          </cell>
          <cell r="V4662" t="str">
            <v>Available</v>
          </cell>
        </row>
        <row r="4663">
          <cell r="A4663" t="str">
            <v>105400080006</v>
          </cell>
          <cell r="B4663" t="str">
            <v xml:space="preserve">Alauli </v>
          </cell>
          <cell r="C4663" t="str">
            <v xml:space="preserve">Alauli </v>
          </cell>
          <cell r="D4663" t="str">
            <v>GOMUKH PARRI</v>
          </cell>
          <cell r="E4663">
            <v>10540008</v>
          </cell>
          <cell r="F4663" t="str">
            <v>0006</v>
          </cell>
          <cell r="G4663">
            <v>10</v>
          </cell>
          <cell r="H4663">
            <v>12.91</v>
          </cell>
          <cell r="I4663">
            <v>699.42171059891007</v>
          </cell>
          <cell r="J4663">
            <v>0</v>
          </cell>
          <cell r="K4663">
            <v>0</v>
          </cell>
          <cell r="L4663">
            <v>120</v>
          </cell>
          <cell r="M4663">
            <v>0</v>
          </cell>
          <cell r="P4663">
            <v>579</v>
          </cell>
          <cell r="V4663" t="str">
            <v>Available</v>
          </cell>
        </row>
        <row r="4664">
          <cell r="A4664" t="str">
            <v>105400080007</v>
          </cell>
          <cell r="B4664" t="str">
            <v xml:space="preserve">Alauli </v>
          </cell>
          <cell r="C4664" t="str">
            <v xml:space="preserve">Alauli </v>
          </cell>
          <cell r="D4664" t="str">
            <v>GOMUKH PARRI</v>
          </cell>
          <cell r="E4664">
            <v>10540008</v>
          </cell>
          <cell r="F4664" t="str">
            <v>0007</v>
          </cell>
          <cell r="G4664">
            <v>2</v>
          </cell>
          <cell r="H4664">
            <v>4.63</v>
          </cell>
          <cell r="I4664">
            <v>222.95311947056001</v>
          </cell>
          <cell r="J4664">
            <v>0</v>
          </cell>
          <cell r="K4664">
            <v>0</v>
          </cell>
          <cell r="L4664">
            <v>0</v>
          </cell>
          <cell r="M4664">
            <v>0</v>
          </cell>
          <cell r="P4664">
            <v>223</v>
          </cell>
          <cell r="V4664" t="str">
            <v>Available</v>
          </cell>
        </row>
        <row r="4665">
          <cell r="A4665" t="str">
            <v>105400080009</v>
          </cell>
          <cell r="B4665" t="str">
            <v xml:space="preserve">Alauli </v>
          </cell>
          <cell r="C4665" t="str">
            <v xml:space="preserve">Alauli </v>
          </cell>
          <cell r="D4665" t="str">
            <v>GOMUKH PARRI</v>
          </cell>
          <cell r="E4665">
            <v>10540008</v>
          </cell>
          <cell r="F4665" t="str">
            <v>0009</v>
          </cell>
          <cell r="G4665">
            <v>5</v>
          </cell>
          <cell r="H4665">
            <v>10.020000000000001</v>
          </cell>
          <cell r="I4665">
            <v>709.86305706919995</v>
          </cell>
          <cell r="J4665">
            <v>0</v>
          </cell>
          <cell r="K4665">
            <v>0</v>
          </cell>
          <cell r="L4665">
            <v>130</v>
          </cell>
          <cell r="M4665">
            <v>0</v>
          </cell>
          <cell r="P4665">
            <v>580</v>
          </cell>
          <cell r="V4665" t="str">
            <v>Available</v>
          </cell>
        </row>
        <row r="4666">
          <cell r="A4666" t="str">
            <v>105400080010</v>
          </cell>
          <cell r="B4666" t="str">
            <v xml:space="preserve">Alauli </v>
          </cell>
          <cell r="C4666" t="str">
            <v xml:space="preserve">Alauli </v>
          </cell>
          <cell r="D4666" t="str">
            <v>GOMUKH PARRI</v>
          </cell>
          <cell r="E4666">
            <v>10540008</v>
          </cell>
          <cell r="F4666" t="str">
            <v>0010</v>
          </cell>
          <cell r="G4666">
            <v>12</v>
          </cell>
          <cell r="H4666">
            <v>30.450000000000003</v>
          </cell>
          <cell r="I4666">
            <v>1913.7937458119245</v>
          </cell>
          <cell r="J4666">
            <v>0</v>
          </cell>
          <cell r="K4666">
            <v>0</v>
          </cell>
          <cell r="L4666">
            <v>389</v>
          </cell>
          <cell r="M4666">
            <v>1350</v>
          </cell>
          <cell r="P4666">
            <v>140</v>
          </cell>
          <cell r="V4666" t="str">
            <v>Available</v>
          </cell>
        </row>
        <row r="4667">
          <cell r="A4667" t="str">
            <v>105400080011</v>
          </cell>
          <cell r="B4667" t="str">
            <v xml:space="preserve">Alauli </v>
          </cell>
          <cell r="C4667" t="str">
            <v xml:space="preserve">Alauli </v>
          </cell>
          <cell r="D4667" t="str">
            <v>GOMUKH PARRI</v>
          </cell>
          <cell r="E4667">
            <v>10540008</v>
          </cell>
          <cell r="F4667" t="str">
            <v>0011</v>
          </cell>
          <cell r="G4667">
            <v>14</v>
          </cell>
          <cell r="H4667">
            <v>62.570000000000007</v>
          </cell>
          <cell r="I4667">
            <v>3380.5365069006361</v>
          </cell>
          <cell r="J4667">
            <v>0</v>
          </cell>
          <cell r="K4667">
            <v>0</v>
          </cell>
          <cell r="L4667">
            <v>150</v>
          </cell>
          <cell r="M4667">
            <v>0</v>
          </cell>
          <cell r="P4667">
            <v>3231</v>
          </cell>
          <cell r="V4667" t="str">
            <v>Available</v>
          </cell>
        </row>
        <row r="4668">
          <cell r="A4668" t="str">
            <v>105400080015</v>
          </cell>
          <cell r="B4668" t="str">
            <v xml:space="preserve">Alauli </v>
          </cell>
          <cell r="C4668" t="str">
            <v xml:space="preserve">Alauli </v>
          </cell>
          <cell r="D4668" t="str">
            <v>GOMUKH PARRI</v>
          </cell>
          <cell r="E4668">
            <v>10540008</v>
          </cell>
          <cell r="F4668" t="str">
            <v>0015</v>
          </cell>
          <cell r="G4668">
            <v>13</v>
          </cell>
          <cell r="H4668">
            <v>19.760000000000002</v>
          </cell>
          <cell r="I4668">
            <v>734.99854009557191</v>
          </cell>
          <cell r="J4668">
            <v>0</v>
          </cell>
          <cell r="K4668">
            <v>0</v>
          </cell>
          <cell r="L4668">
            <v>150</v>
          </cell>
          <cell r="M4668">
            <v>0</v>
          </cell>
          <cell r="P4668">
            <v>585</v>
          </cell>
          <cell r="V4668" t="str">
            <v>Available</v>
          </cell>
        </row>
        <row r="4669">
          <cell r="A4669" t="str">
            <v>105400080029</v>
          </cell>
          <cell r="B4669" t="str">
            <v xml:space="preserve">Alauli </v>
          </cell>
          <cell r="C4669" t="str">
            <v xml:space="preserve">Alauli </v>
          </cell>
          <cell r="D4669" t="str">
            <v>GOMUKH PARRI</v>
          </cell>
          <cell r="E4669">
            <v>10540008</v>
          </cell>
          <cell r="F4669" t="str">
            <v>0029</v>
          </cell>
          <cell r="G4669">
            <v>2</v>
          </cell>
          <cell r="H4669">
            <v>4.33</v>
          </cell>
          <cell r="I4669">
            <v>200.90783768400001</v>
          </cell>
          <cell r="J4669">
            <v>0</v>
          </cell>
          <cell r="K4669">
            <v>0</v>
          </cell>
          <cell r="L4669">
            <v>0</v>
          </cell>
          <cell r="M4669">
            <v>0</v>
          </cell>
          <cell r="P4669">
            <v>201</v>
          </cell>
          <cell r="V4669" t="str">
            <v>Available</v>
          </cell>
        </row>
        <row r="4670">
          <cell r="A4670" t="str">
            <v>105400080036</v>
          </cell>
          <cell r="B4670" t="str">
            <v xml:space="preserve">Alauli </v>
          </cell>
          <cell r="C4670" t="str">
            <v xml:space="preserve">Alauli </v>
          </cell>
          <cell r="D4670" t="str">
            <v>GOMUKH PARRI</v>
          </cell>
          <cell r="E4670">
            <v>10540008</v>
          </cell>
          <cell r="F4670" t="str">
            <v>0036</v>
          </cell>
          <cell r="G4670">
            <v>7</v>
          </cell>
          <cell r="H4670">
            <v>17.47</v>
          </cell>
          <cell r="I4670">
            <v>1102.5925605915199</v>
          </cell>
          <cell r="J4670">
            <v>0</v>
          </cell>
          <cell r="K4670">
            <v>0</v>
          </cell>
          <cell r="L4670">
            <v>150</v>
          </cell>
          <cell r="M4670">
            <v>0</v>
          </cell>
          <cell r="P4670">
            <v>953</v>
          </cell>
          <cell r="V4670" t="str">
            <v>Available</v>
          </cell>
        </row>
        <row r="4671">
          <cell r="A4671" t="str">
            <v>105400080039</v>
          </cell>
          <cell r="B4671" t="str">
            <v xml:space="preserve">Alauli </v>
          </cell>
          <cell r="C4671" t="str">
            <v xml:space="preserve">Alauli </v>
          </cell>
          <cell r="D4671" t="str">
            <v>GOMUKH PARRI</v>
          </cell>
          <cell r="E4671">
            <v>10540008</v>
          </cell>
          <cell r="F4671" t="str">
            <v>0039</v>
          </cell>
          <cell r="G4671">
            <v>7</v>
          </cell>
          <cell r="H4671">
            <v>9.67</v>
          </cell>
          <cell r="I4671">
            <v>380.4462653256</v>
          </cell>
          <cell r="J4671">
            <v>0</v>
          </cell>
          <cell r="K4671">
            <v>0</v>
          </cell>
          <cell r="L4671">
            <v>180</v>
          </cell>
          <cell r="M4671">
            <v>0</v>
          </cell>
          <cell r="P4671">
            <v>200</v>
          </cell>
          <cell r="V4671" t="str">
            <v>Available</v>
          </cell>
        </row>
        <row r="4672">
          <cell r="A4672" t="str">
            <v>105400080040</v>
          </cell>
          <cell r="B4672" t="str">
            <v xml:space="preserve">Alauli </v>
          </cell>
          <cell r="C4672" t="str">
            <v xml:space="preserve">Alauli </v>
          </cell>
          <cell r="D4672" t="str">
            <v>GOMUKH PARRI</v>
          </cell>
          <cell r="E4672">
            <v>10540008</v>
          </cell>
          <cell r="F4672" t="str">
            <v>0040</v>
          </cell>
          <cell r="G4672">
            <v>9</v>
          </cell>
          <cell r="H4672">
            <v>12.5</v>
          </cell>
          <cell r="I4672">
            <v>450.4690409274001</v>
          </cell>
          <cell r="J4672">
            <v>0</v>
          </cell>
          <cell r="K4672">
            <v>0</v>
          </cell>
          <cell r="L4672">
            <v>150</v>
          </cell>
          <cell r="M4672">
            <v>0</v>
          </cell>
          <cell r="P4672">
            <v>300</v>
          </cell>
          <cell r="V4672" t="str">
            <v>Available</v>
          </cell>
        </row>
        <row r="4673">
          <cell r="A4673" t="str">
            <v>105400090002</v>
          </cell>
          <cell r="B4673" t="str">
            <v xml:space="preserve">Alauli </v>
          </cell>
          <cell r="C4673" t="str">
            <v xml:space="preserve">Alauli </v>
          </cell>
          <cell r="D4673" t="str">
            <v>GOMUKH BHIKHARI GHAT</v>
          </cell>
          <cell r="E4673">
            <v>10540009</v>
          </cell>
          <cell r="F4673" t="str">
            <v>0002</v>
          </cell>
          <cell r="G4673">
            <v>3</v>
          </cell>
          <cell r="H4673">
            <v>3.21</v>
          </cell>
          <cell r="I4673">
            <v>135.74052162000001</v>
          </cell>
          <cell r="J4673">
            <v>0</v>
          </cell>
          <cell r="K4673">
            <v>0</v>
          </cell>
          <cell r="L4673">
            <v>136</v>
          </cell>
          <cell r="M4673">
            <v>0</v>
          </cell>
          <cell r="P4673">
            <v>0</v>
          </cell>
          <cell r="V4673" t="str">
            <v>Available</v>
          </cell>
        </row>
        <row r="4674">
          <cell r="A4674" t="str">
            <v>105400090005</v>
          </cell>
          <cell r="B4674" t="str">
            <v xml:space="preserve">Alauli </v>
          </cell>
          <cell r="C4674" t="str">
            <v xml:space="preserve">Alauli </v>
          </cell>
          <cell r="D4674" t="str">
            <v>GOMUKH BHIKHARI GHAT</v>
          </cell>
          <cell r="E4674">
            <v>10540009</v>
          </cell>
          <cell r="F4674" t="str">
            <v>0005</v>
          </cell>
          <cell r="G4674">
            <v>8</v>
          </cell>
          <cell r="H4674">
            <v>15.120000000000001</v>
          </cell>
          <cell r="I4674">
            <v>648.71058071160007</v>
          </cell>
          <cell r="J4674">
            <v>0</v>
          </cell>
          <cell r="K4674">
            <v>0</v>
          </cell>
          <cell r="L4674">
            <v>80</v>
          </cell>
          <cell r="M4674">
            <v>0</v>
          </cell>
          <cell r="P4674">
            <v>569</v>
          </cell>
          <cell r="V4674" t="str">
            <v>Available</v>
          </cell>
        </row>
        <row r="4675">
          <cell r="A4675" t="str">
            <v>105400090009</v>
          </cell>
          <cell r="B4675" t="str">
            <v xml:space="preserve">Alauli </v>
          </cell>
          <cell r="C4675" t="str">
            <v xml:space="preserve">Alauli </v>
          </cell>
          <cell r="D4675" t="str">
            <v>GOMUKH BHIKHARI GHAT</v>
          </cell>
          <cell r="E4675">
            <v>10540009</v>
          </cell>
          <cell r="F4675" t="str">
            <v>0009</v>
          </cell>
          <cell r="G4675">
            <v>10</v>
          </cell>
          <cell r="H4675">
            <v>23.42</v>
          </cell>
          <cell r="I4675">
            <v>1211.67617202928</v>
          </cell>
          <cell r="J4675">
            <v>0</v>
          </cell>
          <cell r="K4675">
            <v>0</v>
          </cell>
          <cell r="L4675">
            <v>110</v>
          </cell>
          <cell r="M4675">
            <v>0</v>
          </cell>
          <cell r="P4675">
            <v>1102</v>
          </cell>
          <cell r="V4675" t="str">
            <v>Available</v>
          </cell>
        </row>
        <row r="4676">
          <cell r="A4676" t="str">
            <v>105400090012</v>
          </cell>
          <cell r="B4676" t="str">
            <v xml:space="preserve">Alauli </v>
          </cell>
          <cell r="C4676" t="str">
            <v xml:space="preserve">Alauli </v>
          </cell>
          <cell r="D4676" t="str">
            <v>GOMUKH BHIKHARI GHAT</v>
          </cell>
          <cell r="E4676">
            <v>10540009</v>
          </cell>
          <cell r="F4676" t="str">
            <v>0012</v>
          </cell>
          <cell r="G4676">
            <v>11</v>
          </cell>
          <cell r="H4676">
            <v>26.739999999999995</v>
          </cell>
          <cell r="I4676">
            <v>1250.8303122337002</v>
          </cell>
          <cell r="J4676">
            <v>0</v>
          </cell>
          <cell r="K4676">
            <v>0</v>
          </cell>
          <cell r="L4676">
            <v>120</v>
          </cell>
          <cell r="M4676">
            <v>0</v>
          </cell>
          <cell r="P4676">
            <v>1131</v>
          </cell>
          <cell r="V4676" t="str">
            <v>Available</v>
          </cell>
        </row>
        <row r="4677">
          <cell r="A4677" t="str">
            <v>105400090013</v>
          </cell>
          <cell r="B4677" t="str">
            <v xml:space="preserve">Alauli </v>
          </cell>
          <cell r="C4677" t="str">
            <v xml:space="preserve">Alauli </v>
          </cell>
          <cell r="D4677" t="str">
            <v>GOMUKH BHIKHARI GHAT</v>
          </cell>
          <cell r="E4677">
            <v>10540009</v>
          </cell>
          <cell r="F4677" t="str">
            <v>0013</v>
          </cell>
          <cell r="G4677">
            <v>12</v>
          </cell>
          <cell r="H4677">
            <v>23.32</v>
          </cell>
          <cell r="I4677">
            <v>993.49750684800017</v>
          </cell>
          <cell r="J4677">
            <v>0</v>
          </cell>
          <cell r="K4677">
            <v>0</v>
          </cell>
          <cell r="L4677">
            <v>100</v>
          </cell>
          <cell r="M4677">
            <v>0</v>
          </cell>
          <cell r="P4677">
            <v>893</v>
          </cell>
          <cell r="V4677" t="str">
            <v>Available</v>
          </cell>
        </row>
        <row r="4678">
          <cell r="A4678" t="str">
            <v>105400090014</v>
          </cell>
          <cell r="B4678" t="str">
            <v xml:space="preserve">Alauli </v>
          </cell>
          <cell r="C4678" t="str">
            <v xml:space="preserve">Alauli </v>
          </cell>
          <cell r="D4678" t="str">
            <v>GOMUKH BHIKHARI GHAT</v>
          </cell>
          <cell r="E4678">
            <v>10540009</v>
          </cell>
          <cell r="F4678" t="str">
            <v>0014</v>
          </cell>
          <cell r="G4678">
            <v>1</v>
          </cell>
          <cell r="H4678">
            <v>1.08</v>
          </cell>
          <cell r="I4678">
            <v>75.525910487999994</v>
          </cell>
          <cell r="J4678">
            <v>0</v>
          </cell>
          <cell r="K4678">
            <v>0</v>
          </cell>
          <cell r="L4678">
            <v>70</v>
          </cell>
          <cell r="M4678">
            <v>0</v>
          </cell>
          <cell r="P4678">
            <v>6</v>
          </cell>
          <cell r="V4678" t="str">
            <v>Available</v>
          </cell>
        </row>
        <row r="4679">
          <cell r="A4679" t="str">
            <v>105400090020</v>
          </cell>
          <cell r="B4679" t="str">
            <v xml:space="preserve">Alauli </v>
          </cell>
          <cell r="C4679" t="str">
            <v xml:space="preserve">Alauli </v>
          </cell>
          <cell r="D4679" t="str">
            <v>GOMUKH BHIKHARI GHAT</v>
          </cell>
          <cell r="E4679">
            <v>10540009</v>
          </cell>
          <cell r="F4679" t="str">
            <v>0020</v>
          </cell>
          <cell r="G4679">
            <v>3</v>
          </cell>
          <cell r="H4679">
            <v>4.7700000000000005</v>
          </cell>
          <cell r="I4679">
            <v>173.25007005240002</v>
          </cell>
          <cell r="J4679">
            <v>0</v>
          </cell>
          <cell r="K4679">
            <v>0</v>
          </cell>
          <cell r="L4679">
            <v>14</v>
          </cell>
          <cell r="M4679">
            <v>0</v>
          </cell>
          <cell r="P4679">
            <v>159</v>
          </cell>
          <cell r="V4679" t="str">
            <v>Available</v>
          </cell>
        </row>
        <row r="4680">
          <cell r="A4680" t="str">
            <v>105400090024</v>
          </cell>
          <cell r="B4680" t="str">
            <v xml:space="preserve">Alauli </v>
          </cell>
          <cell r="C4680" t="str">
            <v xml:space="preserve">Alauli </v>
          </cell>
          <cell r="D4680" t="str">
            <v>GOMUKH BHIKHARI GHAT</v>
          </cell>
          <cell r="E4680">
            <v>10540009</v>
          </cell>
          <cell r="F4680" t="str">
            <v>0024</v>
          </cell>
          <cell r="G4680">
            <v>13</v>
          </cell>
          <cell r="H4680">
            <v>21.110000000000003</v>
          </cell>
          <cell r="I4680">
            <v>808.54430342400019</v>
          </cell>
          <cell r="J4680">
            <v>0</v>
          </cell>
          <cell r="K4680">
            <v>0</v>
          </cell>
          <cell r="L4680">
            <v>0</v>
          </cell>
          <cell r="M4680">
            <v>0</v>
          </cell>
          <cell r="P4680">
            <v>809</v>
          </cell>
          <cell r="V4680" t="str">
            <v>Available</v>
          </cell>
        </row>
        <row r="4681">
          <cell r="A4681" t="str">
            <v>105400090025</v>
          </cell>
          <cell r="B4681" t="str">
            <v xml:space="preserve">Alauli </v>
          </cell>
          <cell r="C4681" t="str">
            <v xml:space="preserve">Alauli </v>
          </cell>
          <cell r="D4681" t="str">
            <v>GOMUKH BHIKHARI GHAT</v>
          </cell>
          <cell r="E4681">
            <v>10540009</v>
          </cell>
          <cell r="F4681" t="str">
            <v>0025</v>
          </cell>
          <cell r="G4681">
            <v>9</v>
          </cell>
          <cell r="H4681">
            <v>14.139999999999999</v>
          </cell>
          <cell r="I4681">
            <v>576.27498931200012</v>
          </cell>
          <cell r="J4681">
            <v>0</v>
          </cell>
          <cell r="K4681">
            <v>0</v>
          </cell>
          <cell r="L4681">
            <v>50</v>
          </cell>
          <cell r="M4681">
            <v>0</v>
          </cell>
          <cell r="P4681">
            <v>526</v>
          </cell>
          <cell r="V4681" t="str">
            <v>Available</v>
          </cell>
        </row>
        <row r="4682">
          <cell r="A4682" t="str">
            <v>105400090033</v>
          </cell>
          <cell r="B4682" t="str">
            <v xml:space="preserve">Alauli </v>
          </cell>
          <cell r="C4682" t="str">
            <v xml:space="preserve">Alauli </v>
          </cell>
          <cell r="D4682" t="str">
            <v>GOMUKH BHIKHARI GHAT</v>
          </cell>
          <cell r="E4682">
            <v>10540009</v>
          </cell>
          <cell r="F4682" t="str">
            <v>0033</v>
          </cell>
          <cell r="G4682">
            <v>7</v>
          </cell>
          <cell r="H4682">
            <v>22.82</v>
          </cell>
          <cell r="I4682">
            <v>891.78800818140007</v>
          </cell>
          <cell r="J4682">
            <v>0</v>
          </cell>
          <cell r="K4682">
            <v>0</v>
          </cell>
          <cell r="L4682">
            <v>85</v>
          </cell>
          <cell r="M4682">
            <v>0</v>
          </cell>
          <cell r="P4682">
            <v>807</v>
          </cell>
          <cell r="V4682" t="str">
            <v>Available</v>
          </cell>
        </row>
        <row r="4683">
          <cell r="A4683" t="str">
            <v>105400090036</v>
          </cell>
          <cell r="B4683" t="str">
            <v xml:space="preserve">Alauli </v>
          </cell>
          <cell r="C4683" t="str">
            <v xml:space="preserve">Alauli </v>
          </cell>
          <cell r="D4683" t="str">
            <v>GOMUKH BHIKHARI GHAT</v>
          </cell>
          <cell r="E4683">
            <v>10540009</v>
          </cell>
          <cell r="F4683" t="str">
            <v>0036</v>
          </cell>
          <cell r="G4683">
            <v>13</v>
          </cell>
          <cell r="H4683">
            <v>44.290000000000006</v>
          </cell>
          <cell r="I4683">
            <v>1968.9574927386602</v>
          </cell>
          <cell r="J4683">
            <v>0</v>
          </cell>
          <cell r="K4683">
            <v>0</v>
          </cell>
          <cell r="L4683">
            <v>100</v>
          </cell>
          <cell r="M4683">
            <v>0</v>
          </cell>
          <cell r="P4683">
            <v>1869</v>
          </cell>
          <cell r="V4683" t="str">
            <v>Available</v>
          </cell>
        </row>
        <row r="4684">
          <cell r="A4684" t="str">
            <v>105400090038</v>
          </cell>
          <cell r="B4684" t="str">
            <v xml:space="preserve">Alauli </v>
          </cell>
          <cell r="C4684" t="str">
            <v xml:space="preserve">Alauli </v>
          </cell>
          <cell r="D4684" t="str">
            <v>GOMUKH BHIKHARI GHAT</v>
          </cell>
          <cell r="E4684">
            <v>10540009</v>
          </cell>
          <cell r="F4684" t="str">
            <v>0038</v>
          </cell>
          <cell r="G4684">
            <v>13</v>
          </cell>
          <cell r="H4684">
            <v>121.42000000000002</v>
          </cell>
          <cell r="I4684">
            <v>6448.2282827677773</v>
          </cell>
          <cell r="J4684">
            <v>0</v>
          </cell>
          <cell r="K4684">
            <v>0</v>
          </cell>
          <cell r="L4684">
            <v>130</v>
          </cell>
          <cell r="M4684">
            <v>0</v>
          </cell>
          <cell r="P4684">
            <v>6318</v>
          </cell>
          <cell r="V4684" t="str">
            <v>Available</v>
          </cell>
        </row>
        <row r="4685">
          <cell r="A4685" t="str">
            <v>105400090040</v>
          </cell>
          <cell r="B4685" t="str">
            <v xml:space="preserve">Alauli </v>
          </cell>
          <cell r="C4685" t="str">
            <v xml:space="preserve">Alauli </v>
          </cell>
          <cell r="D4685" t="str">
            <v>GOMUKH BHIKHARI GHAT</v>
          </cell>
          <cell r="E4685">
            <v>10540009</v>
          </cell>
          <cell r="F4685" t="str">
            <v>0040</v>
          </cell>
          <cell r="G4685">
            <v>14</v>
          </cell>
          <cell r="H4685">
            <v>15.33</v>
          </cell>
          <cell r="I4685">
            <v>703.19460392160011</v>
          </cell>
          <cell r="J4685">
            <v>0</v>
          </cell>
          <cell r="K4685">
            <v>0</v>
          </cell>
          <cell r="L4685">
            <v>60</v>
          </cell>
          <cell r="M4685">
            <v>0</v>
          </cell>
          <cell r="P4685">
            <v>643</v>
          </cell>
          <cell r="V4685" t="str">
            <v>Available</v>
          </cell>
        </row>
        <row r="4686">
          <cell r="A4686" t="str">
            <v>105400090042</v>
          </cell>
          <cell r="B4686" t="str">
            <v xml:space="preserve">Alauli </v>
          </cell>
          <cell r="C4686" t="str">
            <v xml:space="preserve">Alauli </v>
          </cell>
          <cell r="D4686" t="str">
            <v>GOMUKH BHIKHARI GHAT</v>
          </cell>
          <cell r="E4686">
            <v>10540009</v>
          </cell>
          <cell r="F4686" t="str">
            <v>0042</v>
          </cell>
          <cell r="G4686">
            <v>5</v>
          </cell>
          <cell r="H4686">
            <v>7.9699999999999989</v>
          </cell>
          <cell r="I4686">
            <v>351.71158709100001</v>
          </cell>
          <cell r="J4686">
            <v>0</v>
          </cell>
          <cell r="K4686">
            <v>0</v>
          </cell>
          <cell r="L4686">
            <v>0</v>
          </cell>
          <cell r="M4686">
            <v>0</v>
          </cell>
          <cell r="P4686">
            <v>352</v>
          </cell>
          <cell r="V4686" t="str">
            <v>Available</v>
          </cell>
        </row>
        <row r="4687">
          <cell r="A4687" t="str">
            <v>105400090043</v>
          </cell>
          <cell r="B4687" t="str">
            <v xml:space="preserve">Alauli </v>
          </cell>
          <cell r="C4687" t="str">
            <v xml:space="preserve">Alauli </v>
          </cell>
          <cell r="D4687" t="str">
            <v>GOMUKH BHIKHARI GHAT</v>
          </cell>
          <cell r="E4687">
            <v>10540009</v>
          </cell>
          <cell r="F4687" t="str">
            <v>0043</v>
          </cell>
          <cell r="G4687">
            <v>8</v>
          </cell>
          <cell r="H4687">
            <v>15.369999999999997</v>
          </cell>
          <cell r="I4687">
            <v>639.0753545880001</v>
          </cell>
          <cell r="J4687">
            <v>0</v>
          </cell>
          <cell r="K4687">
            <v>0</v>
          </cell>
          <cell r="L4687">
            <v>50</v>
          </cell>
          <cell r="M4687">
            <v>0</v>
          </cell>
          <cell r="P4687">
            <v>589</v>
          </cell>
          <cell r="V4687" t="str">
            <v>Available</v>
          </cell>
        </row>
        <row r="4688">
          <cell r="A4688" t="str">
            <v>105400090049</v>
          </cell>
          <cell r="B4688" t="str">
            <v xml:space="preserve">Alauli </v>
          </cell>
          <cell r="C4688" t="str">
            <v xml:space="preserve">Alauli </v>
          </cell>
          <cell r="D4688" t="str">
            <v>GOMUKH BHIKHARI GHAT</v>
          </cell>
          <cell r="E4688">
            <v>10540009</v>
          </cell>
          <cell r="F4688" t="str">
            <v>0049</v>
          </cell>
          <cell r="G4688">
            <v>13</v>
          </cell>
          <cell r="H4688">
            <v>57.33</v>
          </cell>
          <cell r="I4688">
            <v>2145.1715746560003</v>
          </cell>
          <cell r="J4688">
            <v>0</v>
          </cell>
          <cell r="K4688">
            <v>0</v>
          </cell>
          <cell r="L4688">
            <v>50</v>
          </cell>
          <cell r="M4688">
            <v>0</v>
          </cell>
          <cell r="P4688">
            <v>2095</v>
          </cell>
          <cell r="V4688" t="str">
            <v>Available</v>
          </cell>
        </row>
        <row r="4689">
          <cell r="A4689" t="str">
            <v>105400090052</v>
          </cell>
          <cell r="B4689" t="str">
            <v xml:space="preserve">Alauli </v>
          </cell>
          <cell r="C4689" t="str">
            <v xml:space="preserve">Alauli </v>
          </cell>
          <cell r="D4689" t="str">
            <v>GOMUKH BHIKHARI GHAT</v>
          </cell>
          <cell r="E4689">
            <v>10540009</v>
          </cell>
          <cell r="F4689" t="str">
            <v>0052</v>
          </cell>
          <cell r="G4689">
            <v>14</v>
          </cell>
          <cell r="H4689">
            <v>147.32</v>
          </cell>
          <cell r="I4689">
            <v>7041.3154856759593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P4689">
            <v>6410</v>
          </cell>
          <cell r="V4689" t="str">
            <v>Available</v>
          </cell>
        </row>
        <row r="4690">
          <cell r="A4690" t="str">
            <v>105400090055</v>
          </cell>
          <cell r="B4690" t="str">
            <v xml:space="preserve">Alauli </v>
          </cell>
          <cell r="C4690" t="str">
            <v xml:space="preserve">Alauli </v>
          </cell>
          <cell r="D4690" t="str">
            <v>GOMUKH BHIKHARI GHAT</v>
          </cell>
          <cell r="E4690">
            <v>10540009</v>
          </cell>
          <cell r="F4690" t="str">
            <v>0055</v>
          </cell>
          <cell r="G4690">
            <v>14</v>
          </cell>
          <cell r="H4690">
            <v>137.85000000000002</v>
          </cell>
          <cell r="I4690">
            <v>5207.4417205799991</v>
          </cell>
          <cell r="J4690">
            <v>0</v>
          </cell>
          <cell r="K4690">
            <v>0</v>
          </cell>
          <cell r="L4690">
            <v>150</v>
          </cell>
          <cell r="M4690">
            <v>0</v>
          </cell>
          <cell r="P4690">
            <v>5057</v>
          </cell>
          <cell r="V4690" t="str">
            <v>Available</v>
          </cell>
        </row>
        <row r="4691">
          <cell r="A4691" t="str">
            <v>105400090058</v>
          </cell>
          <cell r="B4691" t="str">
            <v xml:space="preserve">Alauli </v>
          </cell>
          <cell r="C4691" t="str">
            <v xml:space="preserve">Alauli </v>
          </cell>
          <cell r="D4691" t="str">
            <v>GOMUKH BHIKHARI GHAT</v>
          </cell>
          <cell r="E4691">
            <v>10540009</v>
          </cell>
          <cell r="F4691" t="str">
            <v>0058</v>
          </cell>
          <cell r="G4691">
            <v>8</v>
          </cell>
          <cell r="H4691">
            <v>36.74</v>
          </cell>
          <cell r="I4691">
            <v>1931.4344104599204</v>
          </cell>
          <cell r="J4691">
            <v>0</v>
          </cell>
          <cell r="K4691">
            <v>0</v>
          </cell>
          <cell r="L4691">
            <v>0</v>
          </cell>
          <cell r="M4691">
            <v>0</v>
          </cell>
          <cell r="P4691">
            <v>1931</v>
          </cell>
          <cell r="V4691" t="str">
            <v>Available</v>
          </cell>
        </row>
        <row r="4692">
          <cell r="A4692" t="str">
            <v>105400090059</v>
          </cell>
          <cell r="B4692" t="str">
            <v xml:space="preserve">Alauli </v>
          </cell>
          <cell r="C4692" t="str">
            <v xml:space="preserve">Alauli </v>
          </cell>
          <cell r="D4692" t="str">
            <v>GOMUKH BHIKHARI GHAT</v>
          </cell>
          <cell r="E4692">
            <v>10540009</v>
          </cell>
          <cell r="F4692" t="str">
            <v>0059</v>
          </cell>
          <cell r="G4692">
            <v>14</v>
          </cell>
          <cell r="H4692">
            <v>94.38000000000001</v>
          </cell>
          <cell r="I4692">
            <v>3533.1588547200004</v>
          </cell>
          <cell r="J4692">
            <v>0</v>
          </cell>
          <cell r="K4692">
            <v>0</v>
          </cell>
          <cell r="L4692">
            <v>180</v>
          </cell>
          <cell r="M4692">
            <v>0</v>
          </cell>
          <cell r="P4692">
            <v>3353</v>
          </cell>
          <cell r="V4692" t="str">
            <v>Available</v>
          </cell>
        </row>
        <row r="4693">
          <cell r="A4693" t="str">
            <v>105400090061</v>
          </cell>
          <cell r="B4693" t="str">
            <v xml:space="preserve">Alauli </v>
          </cell>
          <cell r="C4693" t="str">
            <v xml:space="preserve">Alauli </v>
          </cell>
          <cell r="D4693" t="str">
            <v>GOMUKH BHIKHARI GHAT</v>
          </cell>
          <cell r="E4693">
            <v>10540009</v>
          </cell>
          <cell r="F4693" t="str">
            <v>0061</v>
          </cell>
          <cell r="G4693">
            <v>9</v>
          </cell>
          <cell r="H4693">
            <v>10.96</v>
          </cell>
          <cell r="I4693">
            <v>474.3084048602401</v>
          </cell>
          <cell r="J4693">
            <v>0</v>
          </cell>
          <cell r="K4693">
            <v>0</v>
          </cell>
          <cell r="L4693">
            <v>130</v>
          </cell>
          <cell r="M4693">
            <v>0</v>
          </cell>
          <cell r="P4693">
            <v>344</v>
          </cell>
          <cell r="V4693" t="str">
            <v>Available</v>
          </cell>
        </row>
        <row r="4694">
          <cell r="A4694" t="str">
            <v>105400090065</v>
          </cell>
          <cell r="B4694" t="str">
            <v xml:space="preserve">Alauli </v>
          </cell>
          <cell r="C4694" t="str">
            <v xml:space="preserve">Alauli </v>
          </cell>
          <cell r="D4694" t="str">
            <v>GOMUKH BHIKHARI GHAT</v>
          </cell>
          <cell r="E4694">
            <v>10540009</v>
          </cell>
          <cell r="F4694" t="str">
            <v>0065</v>
          </cell>
          <cell r="G4694">
            <v>1</v>
          </cell>
          <cell r="H4694">
            <v>11.69</v>
          </cell>
          <cell r="I4694">
            <v>435.16152187200009</v>
          </cell>
          <cell r="J4694">
            <v>0</v>
          </cell>
          <cell r="K4694">
            <v>0</v>
          </cell>
          <cell r="L4694">
            <v>0</v>
          </cell>
          <cell r="M4694">
            <v>0</v>
          </cell>
          <cell r="P4694">
            <v>435</v>
          </cell>
          <cell r="V4694" t="str">
            <v>Available</v>
          </cell>
        </row>
        <row r="4695">
          <cell r="A4695" t="str">
            <v>105400090066</v>
          </cell>
          <cell r="B4695" t="str">
            <v xml:space="preserve">Alauli </v>
          </cell>
          <cell r="C4695" t="str">
            <v xml:space="preserve">Alauli </v>
          </cell>
          <cell r="D4695" t="str">
            <v>GOMUKH BHIKHARI GHAT</v>
          </cell>
          <cell r="E4695">
            <v>10540009</v>
          </cell>
          <cell r="F4695" t="str">
            <v>0066</v>
          </cell>
          <cell r="G4695">
            <v>13</v>
          </cell>
          <cell r="H4695">
            <v>41.83</v>
          </cell>
          <cell r="I4695">
            <v>2273.7520333827702</v>
          </cell>
          <cell r="J4695">
            <v>0</v>
          </cell>
          <cell r="K4695">
            <v>0</v>
          </cell>
          <cell r="L4695">
            <v>70</v>
          </cell>
          <cell r="M4695">
            <v>0</v>
          </cell>
          <cell r="P4695">
            <v>2204</v>
          </cell>
          <cell r="V4695" t="str">
            <v>Available</v>
          </cell>
        </row>
        <row r="4696">
          <cell r="A4696" t="str">
            <v>105400090070</v>
          </cell>
          <cell r="B4696" t="str">
            <v xml:space="preserve">Alauli </v>
          </cell>
          <cell r="C4696" t="str">
            <v xml:space="preserve">Alauli </v>
          </cell>
          <cell r="D4696" t="str">
            <v>GOMUKH BHIKHARI GHAT</v>
          </cell>
          <cell r="E4696">
            <v>10540009</v>
          </cell>
          <cell r="F4696" t="str">
            <v>0070</v>
          </cell>
          <cell r="G4696">
            <v>12</v>
          </cell>
          <cell r="H4696">
            <v>24.399999999999991</v>
          </cell>
          <cell r="I4696">
            <v>884.49317043120016</v>
          </cell>
          <cell r="J4696">
            <v>0</v>
          </cell>
          <cell r="K4696">
            <v>0</v>
          </cell>
          <cell r="L4696">
            <v>0</v>
          </cell>
          <cell r="M4696">
            <v>0</v>
          </cell>
          <cell r="P4696">
            <v>884</v>
          </cell>
          <cell r="V4696" t="str">
            <v>Available</v>
          </cell>
        </row>
        <row r="4697">
          <cell r="A4697" t="str">
            <v>105400090073</v>
          </cell>
          <cell r="B4697" t="str">
            <v xml:space="preserve">Alauli </v>
          </cell>
          <cell r="C4697" t="str">
            <v xml:space="preserve">Alauli </v>
          </cell>
          <cell r="D4697" t="str">
            <v>GOMUKH BHIKHARI GHAT</v>
          </cell>
          <cell r="E4697">
            <v>10540009</v>
          </cell>
          <cell r="F4697" t="str">
            <v>0073</v>
          </cell>
          <cell r="G4697">
            <v>11</v>
          </cell>
          <cell r="H4697">
            <v>31.03</v>
          </cell>
          <cell r="I4697">
            <v>1320.8499823499001</v>
          </cell>
          <cell r="J4697">
            <v>0</v>
          </cell>
          <cell r="K4697">
            <v>0</v>
          </cell>
          <cell r="L4697">
            <v>70</v>
          </cell>
          <cell r="M4697">
            <v>0</v>
          </cell>
          <cell r="P4697">
            <v>1251</v>
          </cell>
          <cell r="V4697" t="str">
            <v>Available</v>
          </cell>
        </row>
        <row r="4698">
          <cell r="A4698" t="str">
            <v>105400090075</v>
          </cell>
          <cell r="B4698" t="str">
            <v xml:space="preserve">Alauli </v>
          </cell>
          <cell r="C4698" t="str">
            <v xml:space="preserve">Alauli </v>
          </cell>
          <cell r="D4698" t="str">
            <v>GOMUKH BHIKHARI GHAT</v>
          </cell>
          <cell r="E4698">
            <v>10540009</v>
          </cell>
          <cell r="F4698" t="str">
            <v>0075</v>
          </cell>
          <cell r="G4698">
            <v>12</v>
          </cell>
          <cell r="H4698">
            <v>26.81</v>
          </cell>
          <cell r="I4698">
            <v>1114.71996323088</v>
          </cell>
          <cell r="J4698">
            <v>0</v>
          </cell>
          <cell r="K4698">
            <v>0</v>
          </cell>
          <cell r="L4698">
            <v>80</v>
          </cell>
          <cell r="M4698">
            <v>0</v>
          </cell>
          <cell r="P4698">
            <v>1035</v>
          </cell>
          <cell r="V4698" t="str">
            <v>Available</v>
          </cell>
        </row>
        <row r="4699">
          <cell r="A4699" t="str">
            <v>105400090078</v>
          </cell>
          <cell r="B4699" t="str">
            <v xml:space="preserve">Alauli </v>
          </cell>
          <cell r="C4699" t="str">
            <v xml:space="preserve">Alauli </v>
          </cell>
          <cell r="D4699" t="str">
            <v>GOMUKH BHIKHARI GHAT</v>
          </cell>
          <cell r="E4699">
            <v>10540009</v>
          </cell>
          <cell r="F4699" t="str">
            <v>0078</v>
          </cell>
          <cell r="G4699">
            <v>7</v>
          </cell>
          <cell r="H4699">
            <v>12.44</v>
          </cell>
          <cell r="I4699">
            <v>537.11781654178651</v>
          </cell>
          <cell r="J4699">
            <v>0</v>
          </cell>
          <cell r="K4699">
            <v>0</v>
          </cell>
          <cell r="L4699">
            <v>0</v>
          </cell>
          <cell r="M4699">
            <v>0</v>
          </cell>
          <cell r="P4699">
            <v>537</v>
          </cell>
          <cell r="V4699" t="str">
            <v>Available</v>
          </cell>
        </row>
        <row r="4700">
          <cell r="A4700" t="str">
            <v>105400090083</v>
          </cell>
          <cell r="B4700" t="str">
            <v xml:space="preserve">Alauli </v>
          </cell>
          <cell r="C4700" t="str">
            <v xml:space="preserve">Alauli </v>
          </cell>
          <cell r="D4700" t="str">
            <v>GOMUKH BHIKHARI GHAT</v>
          </cell>
          <cell r="E4700">
            <v>10540009</v>
          </cell>
          <cell r="F4700" t="str">
            <v>0083</v>
          </cell>
          <cell r="G4700">
            <v>12</v>
          </cell>
          <cell r="H4700">
            <v>36.659999999999997</v>
          </cell>
          <cell r="I4700">
            <v>1428.589573488</v>
          </cell>
          <cell r="J4700">
            <v>0</v>
          </cell>
          <cell r="K4700">
            <v>0</v>
          </cell>
          <cell r="L4700">
            <v>0</v>
          </cell>
          <cell r="M4700">
            <v>0</v>
          </cell>
          <cell r="P4700">
            <v>1429</v>
          </cell>
          <cell r="V4700" t="str">
            <v>Available</v>
          </cell>
        </row>
        <row r="4701">
          <cell r="A4701" t="str">
            <v>105400090086</v>
          </cell>
          <cell r="B4701" t="str">
            <v xml:space="preserve">Alauli </v>
          </cell>
          <cell r="C4701" t="str">
            <v xml:space="preserve">Alauli </v>
          </cell>
          <cell r="D4701" t="str">
            <v>GOMUKH BHIKHARI GHAT</v>
          </cell>
          <cell r="E4701">
            <v>10540009</v>
          </cell>
          <cell r="F4701" t="str">
            <v>0086</v>
          </cell>
          <cell r="G4701">
            <v>6</v>
          </cell>
          <cell r="H4701">
            <v>10.14</v>
          </cell>
          <cell r="I4701">
            <v>543.57400520934004</v>
          </cell>
          <cell r="J4701">
            <v>0</v>
          </cell>
          <cell r="K4701">
            <v>0</v>
          </cell>
          <cell r="L4701">
            <v>0</v>
          </cell>
          <cell r="M4701">
            <v>0</v>
          </cell>
          <cell r="P4701">
            <v>394</v>
          </cell>
          <cell r="V4701" t="str">
            <v>Available</v>
          </cell>
        </row>
        <row r="4702">
          <cell r="A4702" t="str">
            <v>105400090090</v>
          </cell>
          <cell r="B4702" t="str">
            <v xml:space="preserve">Alauli </v>
          </cell>
          <cell r="C4702" t="str">
            <v xml:space="preserve">Alauli </v>
          </cell>
          <cell r="D4702" t="str">
            <v>GOMUKH BHIKHARI GHAT</v>
          </cell>
          <cell r="E4702">
            <v>10540009</v>
          </cell>
          <cell r="F4702" t="str">
            <v>0090</v>
          </cell>
          <cell r="G4702">
            <v>2</v>
          </cell>
          <cell r="H4702">
            <v>2.9699999999999998</v>
          </cell>
          <cell r="I4702">
            <v>151.93424286652001</v>
          </cell>
          <cell r="J4702">
            <v>0</v>
          </cell>
          <cell r="K4702">
            <v>0</v>
          </cell>
          <cell r="L4702">
            <v>0</v>
          </cell>
          <cell r="M4702">
            <v>0</v>
          </cell>
          <cell r="P4702">
            <v>152</v>
          </cell>
          <cell r="V4702" t="str">
            <v>Available</v>
          </cell>
        </row>
        <row r="4703">
          <cell r="A4703" t="str">
            <v>105400090096</v>
          </cell>
          <cell r="B4703" t="str">
            <v xml:space="preserve">Alauli </v>
          </cell>
          <cell r="C4703" t="str">
            <v xml:space="preserve">Alauli </v>
          </cell>
          <cell r="D4703" t="str">
            <v>GOMUKH BHIKHARI GHAT</v>
          </cell>
          <cell r="E4703">
            <v>10540009</v>
          </cell>
          <cell r="F4703" t="str">
            <v>0096</v>
          </cell>
          <cell r="G4703">
            <v>7</v>
          </cell>
          <cell r="H4703">
            <v>15.58</v>
          </cell>
          <cell r="I4703">
            <v>604.4728167720001</v>
          </cell>
          <cell r="J4703">
            <v>0</v>
          </cell>
          <cell r="K4703">
            <v>0</v>
          </cell>
          <cell r="L4703">
            <v>55</v>
          </cell>
          <cell r="M4703">
            <v>0</v>
          </cell>
          <cell r="P4703">
            <v>524</v>
          </cell>
          <cell r="V4703" t="str">
            <v>Available</v>
          </cell>
        </row>
        <row r="4704">
          <cell r="A4704" t="str">
            <v>105400090101</v>
          </cell>
          <cell r="B4704" t="str">
            <v xml:space="preserve">Alauli </v>
          </cell>
          <cell r="C4704" t="str">
            <v xml:space="preserve">Alauli </v>
          </cell>
          <cell r="D4704" t="str">
            <v>GOMUKH BHIKHARI GHAT</v>
          </cell>
          <cell r="E4704">
            <v>10540009</v>
          </cell>
          <cell r="F4704" t="str">
            <v>0101</v>
          </cell>
          <cell r="G4704">
            <v>11</v>
          </cell>
          <cell r="H4704">
            <v>30.88</v>
          </cell>
          <cell r="I4704">
            <v>1035.6804450234001</v>
          </cell>
          <cell r="J4704">
            <v>0</v>
          </cell>
          <cell r="K4704">
            <v>0</v>
          </cell>
          <cell r="L4704">
            <v>19</v>
          </cell>
          <cell r="M4704">
            <v>0</v>
          </cell>
          <cell r="P4704">
            <v>1017</v>
          </cell>
          <cell r="V4704" t="str">
            <v>Available</v>
          </cell>
        </row>
        <row r="4705">
          <cell r="A4705" t="str">
            <v>105400160001</v>
          </cell>
          <cell r="B4705" t="str">
            <v xml:space="preserve">Alauli </v>
          </cell>
          <cell r="C4705" t="str">
            <v xml:space="preserve">Alauli </v>
          </cell>
          <cell r="D4705" t="str">
            <v>GOMUKH BENHER</v>
          </cell>
          <cell r="E4705">
            <v>10540016</v>
          </cell>
          <cell r="F4705" t="str">
            <v>0001</v>
          </cell>
          <cell r="G4705">
            <v>8</v>
          </cell>
          <cell r="H4705">
            <v>0.72999999999999987</v>
          </cell>
          <cell r="I4705">
            <v>36.594498448940001</v>
          </cell>
          <cell r="J4705">
            <v>0</v>
          </cell>
          <cell r="K4705">
            <v>36.594498448940001</v>
          </cell>
          <cell r="L4705">
            <v>0</v>
          </cell>
          <cell r="M4705">
            <v>0</v>
          </cell>
          <cell r="P4705">
            <v>0</v>
          </cell>
          <cell r="V4705" t="str">
            <v>Not Available</v>
          </cell>
        </row>
        <row r="4706">
          <cell r="A4706" t="str">
            <v>105400160002</v>
          </cell>
          <cell r="B4706" t="str">
            <v xml:space="preserve">Alauli </v>
          </cell>
          <cell r="C4706" t="str">
            <v xml:space="preserve">Alauli </v>
          </cell>
          <cell r="D4706" t="str">
            <v>GOMUKH BENHER</v>
          </cell>
          <cell r="E4706">
            <v>10540016</v>
          </cell>
          <cell r="F4706" t="str">
            <v>0002</v>
          </cell>
          <cell r="G4706">
            <v>8</v>
          </cell>
          <cell r="H4706">
            <v>16.590000000000003</v>
          </cell>
          <cell r="I4706">
            <v>836.84802451932001</v>
          </cell>
          <cell r="J4706">
            <v>0</v>
          </cell>
          <cell r="K4706">
            <v>0</v>
          </cell>
          <cell r="L4706">
            <v>0</v>
          </cell>
          <cell r="M4706">
            <v>0</v>
          </cell>
          <cell r="P4706">
            <v>763</v>
          </cell>
          <cell r="V4706" t="str">
            <v>Available</v>
          </cell>
        </row>
        <row r="4707">
          <cell r="A4707" t="str">
            <v>105400160003</v>
          </cell>
          <cell r="B4707" t="str">
            <v xml:space="preserve">Alauli </v>
          </cell>
          <cell r="C4707" t="str">
            <v xml:space="preserve">Alauli </v>
          </cell>
          <cell r="D4707" t="str">
            <v>GOMUKH BENHER</v>
          </cell>
          <cell r="E4707">
            <v>10540016</v>
          </cell>
          <cell r="F4707" t="str">
            <v>0003</v>
          </cell>
          <cell r="G4707">
            <v>12</v>
          </cell>
          <cell r="H4707">
            <v>46.710000000000008</v>
          </cell>
          <cell r="I4707">
            <v>2413.3396839928705</v>
          </cell>
          <cell r="J4707">
            <v>0</v>
          </cell>
          <cell r="K4707">
            <v>0</v>
          </cell>
          <cell r="L4707">
            <v>0</v>
          </cell>
          <cell r="M4707">
            <v>0</v>
          </cell>
          <cell r="P4707">
            <v>2413</v>
          </cell>
          <cell r="V4707" t="str">
            <v>Available</v>
          </cell>
        </row>
        <row r="4708">
          <cell r="A4708" t="str">
            <v>105400160004</v>
          </cell>
          <cell r="B4708" t="str">
            <v xml:space="preserve">Alauli </v>
          </cell>
          <cell r="C4708" t="str">
            <v xml:space="preserve">Alauli </v>
          </cell>
          <cell r="D4708" t="str">
            <v>GOMUKH BENHER</v>
          </cell>
          <cell r="E4708">
            <v>10540016</v>
          </cell>
          <cell r="F4708" t="str">
            <v>0004</v>
          </cell>
          <cell r="G4708">
            <v>12</v>
          </cell>
          <cell r="H4708">
            <v>72.069999999999993</v>
          </cell>
          <cell r="I4708">
            <v>3883.4577845097206</v>
          </cell>
          <cell r="J4708">
            <v>0</v>
          </cell>
          <cell r="K4708">
            <v>0</v>
          </cell>
          <cell r="L4708">
            <v>0</v>
          </cell>
          <cell r="M4708">
            <v>0</v>
          </cell>
          <cell r="P4708">
            <v>3883</v>
          </cell>
          <cell r="V4708" t="str">
            <v>Available</v>
          </cell>
        </row>
        <row r="4709">
          <cell r="A4709" t="str">
            <v>105400160006</v>
          </cell>
          <cell r="B4709" t="str">
            <v xml:space="preserve">Alauli </v>
          </cell>
          <cell r="C4709" t="str">
            <v xml:space="preserve">Alauli </v>
          </cell>
          <cell r="D4709" t="str">
            <v>GOMUKH BENHER</v>
          </cell>
          <cell r="E4709">
            <v>10540016</v>
          </cell>
          <cell r="F4709" t="str">
            <v>0006</v>
          </cell>
          <cell r="G4709">
            <v>11</v>
          </cell>
          <cell r="H4709">
            <v>68.45</v>
          </cell>
          <cell r="I4709">
            <v>3267.8445958248403</v>
          </cell>
          <cell r="J4709">
            <v>0</v>
          </cell>
          <cell r="K4709">
            <v>0</v>
          </cell>
          <cell r="L4709">
            <v>0</v>
          </cell>
          <cell r="M4709">
            <v>0</v>
          </cell>
          <cell r="P4709">
            <v>3268</v>
          </cell>
          <cell r="V4709" t="str">
            <v>Available</v>
          </cell>
        </row>
        <row r="4710">
          <cell r="A4710" t="str">
            <v>105400160011</v>
          </cell>
          <cell r="B4710" t="str">
            <v xml:space="preserve">Alauli </v>
          </cell>
          <cell r="C4710" t="str">
            <v xml:space="preserve">Alauli </v>
          </cell>
          <cell r="D4710" t="str">
            <v>GOMUKH BENHER</v>
          </cell>
          <cell r="E4710">
            <v>10540016</v>
          </cell>
          <cell r="F4710" t="str">
            <v>0011</v>
          </cell>
          <cell r="G4710">
            <v>12</v>
          </cell>
          <cell r="H4710">
            <v>61.189999999999991</v>
          </cell>
          <cell r="I4710">
            <v>2825.3237315937245</v>
          </cell>
          <cell r="J4710">
            <v>0</v>
          </cell>
          <cell r="K4710">
            <v>0</v>
          </cell>
          <cell r="L4710">
            <v>0</v>
          </cell>
          <cell r="M4710">
            <v>0</v>
          </cell>
          <cell r="P4710">
            <v>2825</v>
          </cell>
          <cell r="V4710" t="str">
            <v>Available</v>
          </cell>
        </row>
        <row r="4711">
          <cell r="A4711" t="str">
            <v>105400160015</v>
          </cell>
          <cell r="B4711" t="str">
            <v xml:space="preserve">Alauli </v>
          </cell>
          <cell r="C4711" t="str">
            <v xml:space="preserve">Alauli </v>
          </cell>
          <cell r="D4711" t="str">
            <v>GOMUKH BENHER</v>
          </cell>
          <cell r="E4711">
            <v>10540016</v>
          </cell>
          <cell r="F4711" t="str">
            <v>0015</v>
          </cell>
          <cell r="G4711">
            <v>6</v>
          </cell>
          <cell r="H4711">
            <v>7.04</v>
          </cell>
          <cell r="I4711">
            <v>344.22071928008006</v>
          </cell>
          <cell r="J4711">
            <v>0</v>
          </cell>
          <cell r="K4711">
            <v>0</v>
          </cell>
          <cell r="L4711">
            <v>0</v>
          </cell>
          <cell r="M4711">
            <v>0</v>
          </cell>
          <cell r="P4711">
            <v>344</v>
          </cell>
          <cell r="V4711" t="str">
            <v>Available</v>
          </cell>
        </row>
        <row r="4712">
          <cell r="A4712" t="str">
            <v>105400160020</v>
          </cell>
          <cell r="B4712" t="str">
            <v xml:space="preserve">Alauli </v>
          </cell>
          <cell r="C4712" t="str">
            <v xml:space="preserve">Alauli </v>
          </cell>
          <cell r="D4712" t="str">
            <v>GOMUKH BENHER</v>
          </cell>
          <cell r="E4712">
            <v>10540016</v>
          </cell>
          <cell r="F4712" t="str">
            <v>0020</v>
          </cell>
          <cell r="G4712">
            <v>4</v>
          </cell>
          <cell r="H4712">
            <v>7.48</v>
          </cell>
          <cell r="I4712">
            <v>371.87412113940002</v>
          </cell>
          <cell r="J4712">
            <v>0</v>
          </cell>
          <cell r="K4712">
            <v>0</v>
          </cell>
          <cell r="L4712">
            <v>0</v>
          </cell>
          <cell r="M4712">
            <v>0</v>
          </cell>
          <cell r="P4712">
            <v>372</v>
          </cell>
          <cell r="V4712" t="str">
            <v>Available</v>
          </cell>
        </row>
        <row r="4713">
          <cell r="A4713" t="str">
            <v>105400170002</v>
          </cell>
          <cell r="B4713" t="str">
            <v xml:space="preserve">Alauli </v>
          </cell>
          <cell r="C4713" t="str">
            <v xml:space="preserve">Alauli </v>
          </cell>
          <cell r="D4713" t="str">
            <v>GOMUKH LADORA</v>
          </cell>
          <cell r="E4713">
            <v>10540017</v>
          </cell>
          <cell r="F4713" t="str">
            <v>0002</v>
          </cell>
          <cell r="G4713">
            <v>10</v>
          </cell>
          <cell r="H4713">
            <v>363.51000000000005</v>
          </cell>
          <cell r="I4713">
            <v>17183.50585896118</v>
          </cell>
          <cell r="J4713">
            <v>0</v>
          </cell>
          <cell r="K4713">
            <v>0</v>
          </cell>
          <cell r="L4713">
            <v>9462</v>
          </cell>
          <cell r="M4713">
            <v>0</v>
          </cell>
          <cell r="P4713">
            <v>7722</v>
          </cell>
          <cell r="V4713" t="str">
            <v>Available</v>
          </cell>
        </row>
        <row r="4714">
          <cell r="A4714" t="str">
            <v>105400170004</v>
          </cell>
          <cell r="B4714" t="str">
            <v xml:space="preserve">Alauli </v>
          </cell>
          <cell r="C4714" t="str">
            <v xml:space="preserve">Alauli </v>
          </cell>
          <cell r="D4714" t="str">
            <v>GOMUKH LADORA</v>
          </cell>
          <cell r="E4714">
            <v>10540017</v>
          </cell>
          <cell r="F4714" t="str">
            <v>0004</v>
          </cell>
          <cell r="G4714">
            <v>11</v>
          </cell>
          <cell r="H4714">
            <v>449.83</v>
          </cell>
          <cell r="I4714">
            <v>20819.527915313836</v>
          </cell>
          <cell r="J4714">
            <v>0</v>
          </cell>
          <cell r="K4714">
            <v>0</v>
          </cell>
          <cell r="L4714">
            <v>0</v>
          </cell>
          <cell r="M4714">
            <v>0</v>
          </cell>
          <cell r="P4714">
            <v>20820</v>
          </cell>
          <cell r="V4714" t="str">
            <v>Available</v>
          </cell>
        </row>
        <row r="4715">
          <cell r="A4715" t="str">
            <v>105400180002</v>
          </cell>
          <cell r="B4715" t="str">
            <v xml:space="preserve">Alauli </v>
          </cell>
          <cell r="C4715" t="str">
            <v xml:space="preserve">Alauli </v>
          </cell>
          <cell r="D4715" t="str">
            <v>GOMUKH SAHSI</v>
          </cell>
          <cell r="E4715">
            <v>10540018</v>
          </cell>
          <cell r="F4715" t="str">
            <v>0002</v>
          </cell>
          <cell r="G4715">
            <v>12</v>
          </cell>
          <cell r="H4715">
            <v>115.46999999999998</v>
          </cell>
          <cell r="I4715">
            <v>4922.9226974043613</v>
          </cell>
          <cell r="J4715">
            <v>0</v>
          </cell>
          <cell r="K4715">
            <v>0</v>
          </cell>
          <cell r="L4715">
            <v>716</v>
          </cell>
          <cell r="M4715">
            <v>0</v>
          </cell>
          <cell r="P4715">
            <v>4207</v>
          </cell>
          <cell r="V4715" t="str">
            <v>Available</v>
          </cell>
        </row>
        <row r="4716">
          <cell r="A4716" t="str">
            <v>105400180004</v>
          </cell>
          <cell r="B4716" t="str">
            <v xml:space="preserve">Alauli </v>
          </cell>
          <cell r="C4716" t="str">
            <v xml:space="preserve">Alauli </v>
          </cell>
          <cell r="D4716" t="str">
            <v>GOMUKH SAHSI</v>
          </cell>
          <cell r="E4716">
            <v>10540018</v>
          </cell>
          <cell r="F4716" t="str">
            <v>0004</v>
          </cell>
          <cell r="G4716">
            <v>13</v>
          </cell>
          <cell r="H4716">
            <v>29.85</v>
          </cell>
          <cell r="I4716">
            <v>1235.3556679200001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P4716">
            <v>1235</v>
          </cell>
          <cell r="V4716" t="str">
            <v>Available</v>
          </cell>
        </row>
        <row r="4717">
          <cell r="A4717" t="str">
            <v>105400180009</v>
          </cell>
          <cell r="B4717" t="str">
            <v xml:space="preserve">Alauli </v>
          </cell>
          <cell r="C4717" t="str">
            <v xml:space="preserve">Alauli </v>
          </cell>
          <cell r="D4717" t="str">
            <v>GOMUKH SAHSI</v>
          </cell>
          <cell r="E4717">
            <v>10540018</v>
          </cell>
          <cell r="F4717" t="str">
            <v>0009</v>
          </cell>
          <cell r="G4717">
            <v>1</v>
          </cell>
          <cell r="H4717">
            <v>0.99</v>
          </cell>
          <cell r="I4717">
            <v>43.366946428080006</v>
          </cell>
          <cell r="J4717">
            <v>0</v>
          </cell>
          <cell r="K4717">
            <v>0</v>
          </cell>
          <cell r="L4717">
            <v>0</v>
          </cell>
          <cell r="M4717">
            <v>0</v>
          </cell>
          <cell r="P4717">
            <v>43</v>
          </cell>
          <cell r="V4717" t="str">
            <v>Available</v>
          </cell>
        </row>
        <row r="4718">
          <cell r="A4718" t="str">
            <v>105400180011</v>
          </cell>
          <cell r="B4718" t="str">
            <v xml:space="preserve">Alauli </v>
          </cell>
          <cell r="C4718" t="str">
            <v xml:space="preserve">Alauli </v>
          </cell>
          <cell r="D4718" t="str">
            <v>GOMUKH SAHSI</v>
          </cell>
          <cell r="E4718">
            <v>10540018</v>
          </cell>
          <cell r="F4718" t="str">
            <v>0011</v>
          </cell>
          <cell r="G4718">
            <v>8</v>
          </cell>
          <cell r="H4718">
            <v>17.649999999999999</v>
          </cell>
          <cell r="I4718">
            <v>918.08560075912794</v>
          </cell>
          <cell r="J4718">
            <v>0</v>
          </cell>
          <cell r="K4718">
            <v>0</v>
          </cell>
          <cell r="L4718">
            <v>0</v>
          </cell>
          <cell r="M4718">
            <v>0</v>
          </cell>
          <cell r="P4718">
            <v>918</v>
          </cell>
          <cell r="V4718" t="str">
            <v>Available</v>
          </cell>
        </row>
        <row r="4719">
          <cell r="A4719" t="str">
            <v>105400180012</v>
          </cell>
          <cell r="B4719" t="str">
            <v xml:space="preserve">Alauli </v>
          </cell>
          <cell r="C4719" t="str">
            <v xml:space="preserve">Alauli </v>
          </cell>
          <cell r="D4719" t="str">
            <v>GOMUKH SAHSI</v>
          </cell>
          <cell r="E4719">
            <v>10540018</v>
          </cell>
          <cell r="F4719" t="str">
            <v>0012</v>
          </cell>
          <cell r="G4719">
            <v>8</v>
          </cell>
          <cell r="H4719">
            <v>10.149999999999999</v>
          </cell>
          <cell r="I4719">
            <v>491.40020733299605</v>
          </cell>
          <cell r="J4719">
            <v>0</v>
          </cell>
          <cell r="K4719">
            <v>0</v>
          </cell>
          <cell r="L4719">
            <v>0</v>
          </cell>
          <cell r="M4719">
            <v>0</v>
          </cell>
          <cell r="P4719">
            <v>491</v>
          </cell>
          <cell r="V4719" t="str">
            <v>Available</v>
          </cell>
        </row>
        <row r="4720">
          <cell r="A4720" t="str">
            <v>105400180017</v>
          </cell>
          <cell r="B4720" t="str">
            <v xml:space="preserve">Alauli </v>
          </cell>
          <cell r="C4720" t="str">
            <v xml:space="preserve">Alauli </v>
          </cell>
          <cell r="D4720" t="str">
            <v>GOMUKH SAHSI</v>
          </cell>
          <cell r="E4720">
            <v>10540018</v>
          </cell>
          <cell r="F4720" t="str">
            <v>0017</v>
          </cell>
          <cell r="G4720">
            <v>5</v>
          </cell>
          <cell r="H4720">
            <v>29.5</v>
          </cell>
          <cell r="I4720">
            <v>1148.1629691113999</v>
          </cell>
          <cell r="J4720">
            <v>0</v>
          </cell>
          <cell r="K4720">
            <v>0</v>
          </cell>
          <cell r="L4720">
            <v>0</v>
          </cell>
          <cell r="M4720">
            <v>0</v>
          </cell>
          <cell r="P4720">
            <v>1148</v>
          </cell>
          <cell r="V4720" t="str">
            <v>Available</v>
          </cell>
        </row>
        <row r="4721">
          <cell r="A4721" t="str">
            <v>105400190004</v>
          </cell>
          <cell r="B4721" t="str">
            <v xml:space="preserve">Alauli </v>
          </cell>
          <cell r="C4721" t="str">
            <v xml:space="preserve">Alauli </v>
          </cell>
          <cell r="D4721" t="str">
            <v>Gomukh Chikni</v>
          </cell>
          <cell r="E4721">
            <v>10540019</v>
          </cell>
          <cell r="F4721" t="str">
            <v>0004</v>
          </cell>
          <cell r="G4721">
            <v>14</v>
          </cell>
          <cell r="H4721">
            <v>190.28999999999996</v>
          </cell>
          <cell r="I4721">
            <v>6922.4206201920006</v>
          </cell>
          <cell r="J4721">
            <v>0</v>
          </cell>
          <cell r="K4721">
            <v>0</v>
          </cell>
          <cell r="L4721">
            <v>0</v>
          </cell>
          <cell r="M4721">
            <v>0</v>
          </cell>
          <cell r="P4721">
            <v>6922</v>
          </cell>
          <cell r="V4721" t="str">
            <v>Available</v>
          </cell>
        </row>
        <row r="4722">
          <cell r="A4722" t="str">
            <v>105400200003</v>
          </cell>
          <cell r="B4722" t="str">
            <v xml:space="preserve">Alauli </v>
          </cell>
          <cell r="C4722" t="str">
            <v xml:space="preserve">Alauli </v>
          </cell>
          <cell r="D4722" t="str">
            <v>GOMUKH BUDWA</v>
          </cell>
          <cell r="E4722">
            <v>10540020</v>
          </cell>
          <cell r="F4722" t="str">
            <v>0003</v>
          </cell>
          <cell r="G4722">
            <v>10</v>
          </cell>
          <cell r="H4722">
            <v>13.96</v>
          </cell>
          <cell r="I4722">
            <v>439.5595705578001</v>
          </cell>
          <cell r="J4722">
            <v>0</v>
          </cell>
          <cell r="K4722">
            <v>0</v>
          </cell>
          <cell r="L4722">
            <v>168</v>
          </cell>
          <cell r="M4722">
            <v>0</v>
          </cell>
          <cell r="P4722">
            <v>248</v>
          </cell>
          <cell r="V4722" t="str">
            <v>Available</v>
          </cell>
        </row>
        <row r="4723">
          <cell r="A4723" t="str">
            <v>105400200004</v>
          </cell>
          <cell r="B4723" t="str">
            <v xml:space="preserve">Alauli </v>
          </cell>
          <cell r="C4723" t="str">
            <v xml:space="preserve">Alauli </v>
          </cell>
          <cell r="D4723" t="str">
            <v>GOMUKH BUDWA</v>
          </cell>
          <cell r="E4723">
            <v>10540020</v>
          </cell>
          <cell r="F4723" t="str">
            <v>0004</v>
          </cell>
          <cell r="G4723">
            <v>3</v>
          </cell>
          <cell r="H4723">
            <v>3.9799999999999995</v>
          </cell>
          <cell r="I4723">
            <v>192.025798938859</v>
          </cell>
          <cell r="J4723">
            <v>0</v>
          </cell>
          <cell r="K4723">
            <v>0</v>
          </cell>
          <cell r="L4723">
            <v>0</v>
          </cell>
          <cell r="M4723">
            <v>0</v>
          </cell>
          <cell r="P4723">
            <v>192</v>
          </cell>
          <cell r="V4723" t="str">
            <v>Available</v>
          </cell>
        </row>
        <row r="4724">
          <cell r="A4724" t="str">
            <v>105400200015</v>
          </cell>
          <cell r="B4724" t="str">
            <v xml:space="preserve">Alauli </v>
          </cell>
          <cell r="C4724" t="str">
            <v xml:space="preserve">Alauli </v>
          </cell>
          <cell r="D4724" t="str">
            <v>GOMUKH BUDWA</v>
          </cell>
          <cell r="E4724">
            <v>10540020</v>
          </cell>
          <cell r="F4724" t="str">
            <v>0015</v>
          </cell>
          <cell r="G4724">
            <v>6</v>
          </cell>
          <cell r="H4724">
            <v>6.81</v>
          </cell>
          <cell r="I4724">
            <v>242.86552661718599</v>
          </cell>
          <cell r="J4724">
            <v>0</v>
          </cell>
          <cell r="K4724">
            <v>0</v>
          </cell>
          <cell r="L4724">
            <v>0</v>
          </cell>
          <cell r="M4724">
            <v>0</v>
          </cell>
          <cell r="P4724">
            <v>243</v>
          </cell>
          <cell r="V4724" t="str">
            <v>Available</v>
          </cell>
        </row>
        <row r="4725">
          <cell r="A4725" t="str">
            <v>105400200016</v>
          </cell>
          <cell r="B4725" t="str">
            <v xml:space="preserve">Alauli </v>
          </cell>
          <cell r="C4725" t="str">
            <v xml:space="preserve">Alauli </v>
          </cell>
          <cell r="D4725" t="str">
            <v>GOMUKH BUDWA</v>
          </cell>
          <cell r="E4725">
            <v>10540020</v>
          </cell>
          <cell r="F4725" t="str">
            <v>0016</v>
          </cell>
          <cell r="G4725">
            <v>14</v>
          </cell>
          <cell r="H4725">
            <v>61.79</v>
          </cell>
          <cell r="I4725">
            <v>2057.1452600886</v>
          </cell>
          <cell r="J4725">
            <v>0</v>
          </cell>
          <cell r="K4725">
            <v>0</v>
          </cell>
          <cell r="L4725">
            <v>0</v>
          </cell>
          <cell r="M4725">
            <v>0</v>
          </cell>
          <cell r="P4725">
            <v>2057</v>
          </cell>
          <cell r="V4725" t="str">
            <v>Available</v>
          </cell>
        </row>
        <row r="4726">
          <cell r="A4726" t="str">
            <v>105400200017</v>
          </cell>
          <cell r="B4726" t="str">
            <v xml:space="preserve">Alauli </v>
          </cell>
          <cell r="C4726" t="str">
            <v xml:space="preserve">Alauli </v>
          </cell>
          <cell r="D4726" t="str">
            <v>GOMUKH BUDWA</v>
          </cell>
          <cell r="E4726">
            <v>10540020</v>
          </cell>
          <cell r="F4726" t="str">
            <v>0017</v>
          </cell>
          <cell r="G4726">
            <v>7</v>
          </cell>
          <cell r="H4726">
            <v>11.540000000000001</v>
          </cell>
          <cell r="I4726">
            <v>476.63937070199995</v>
          </cell>
          <cell r="J4726">
            <v>0</v>
          </cell>
          <cell r="K4726">
            <v>0</v>
          </cell>
          <cell r="L4726">
            <v>0</v>
          </cell>
          <cell r="M4726">
            <v>0</v>
          </cell>
          <cell r="P4726">
            <v>477</v>
          </cell>
          <cell r="V4726" t="str">
            <v>Available</v>
          </cell>
        </row>
        <row r="4727">
          <cell r="A4727" t="str">
            <v>105400200018</v>
          </cell>
          <cell r="B4727" t="str">
            <v xml:space="preserve">Alauli </v>
          </cell>
          <cell r="C4727" t="str">
            <v xml:space="preserve">Alauli </v>
          </cell>
          <cell r="D4727" t="str">
            <v>GOMUKH BUDWA</v>
          </cell>
          <cell r="E4727">
            <v>10540020</v>
          </cell>
          <cell r="F4727" t="str">
            <v>0018</v>
          </cell>
          <cell r="G4727">
            <v>8</v>
          </cell>
          <cell r="H4727">
            <v>25.33</v>
          </cell>
          <cell r="I4727">
            <v>935.71578084600014</v>
          </cell>
          <cell r="J4727">
            <v>0</v>
          </cell>
          <cell r="K4727">
            <v>0</v>
          </cell>
          <cell r="L4727">
            <v>0</v>
          </cell>
          <cell r="M4727">
            <v>0</v>
          </cell>
          <cell r="P4727">
            <v>936</v>
          </cell>
          <cell r="V4727" t="str">
            <v>Available</v>
          </cell>
        </row>
        <row r="4728">
          <cell r="A4728" t="str">
            <v>105400260002</v>
          </cell>
          <cell r="B4728" t="str">
            <v xml:space="preserve">Alauli </v>
          </cell>
          <cell r="C4728" t="str">
            <v xml:space="preserve">Alauli </v>
          </cell>
          <cell r="D4728" t="str">
            <v>GOMUKH AMBA ICHARUA</v>
          </cell>
          <cell r="E4728">
            <v>10540026</v>
          </cell>
          <cell r="F4728" t="str">
            <v>0002</v>
          </cell>
          <cell r="G4728">
            <v>7</v>
          </cell>
          <cell r="H4728">
            <v>663.16000000000008</v>
          </cell>
          <cell r="I4728">
            <v>27298.851916921205</v>
          </cell>
          <cell r="J4728">
            <v>0</v>
          </cell>
          <cell r="K4728">
            <v>0</v>
          </cell>
          <cell r="L4728">
            <v>22770</v>
          </cell>
          <cell r="M4728">
            <v>0</v>
          </cell>
          <cell r="P4728">
            <v>4529</v>
          </cell>
          <cell r="V4728" t="str">
            <v>Available</v>
          </cell>
        </row>
        <row r="4729">
          <cell r="A4729" t="str">
            <v>105400260003</v>
          </cell>
          <cell r="B4729" t="str">
            <v xml:space="preserve">Alauli </v>
          </cell>
          <cell r="C4729" t="str">
            <v xml:space="preserve">Alauli </v>
          </cell>
          <cell r="D4729" t="str">
            <v>GOMUKH AMBA ICHARUA</v>
          </cell>
          <cell r="E4729">
            <v>10540026</v>
          </cell>
          <cell r="F4729" t="str">
            <v>0003</v>
          </cell>
          <cell r="G4729">
            <v>4</v>
          </cell>
          <cell r="H4729">
            <v>154.9</v>
          </cell>
          <cell r="I4729">
            <v>6096.0060374400009</v>
          </cell>
          <cell r="J4729">
            <v>0</v>
          </cell>
          <cell r="K4729">
            <v>0</v>
          </cell>
          <cell r="L4729">
            <v>0</v>
          </cell>
          <cell r="M4729">
            <v>0</v>
          </cell>
          <cell r="P4729">
            <v>6096</v>
          </cell>
          <cell r="V4729" t="str">
            <v>Not Available</v>
          </cell>
        </row>
        <row r="4730">
          <cell r="A4730" t="str">
            <v>105400260004</v>
          </cell>
          <cell r="B4730" t="str">
            <v xml:space="preserve">Alauli </v>
          </cell>
          <cell r="C4730" t="str">
            <v xml:space="preserve">Alauli </v>
          </cell>
          <cell r="D4730" t="str">
            <v>GOMUKH AMBA ICHARUA</v>
          </cell>
          <cell r="E4730">
            <v>10540026</v>
          </cell>
          <cell r="F4730" t="str">
            <v>0004</v>
          </cell>
          <cell r="G4730">
            <v>2</v>
          </cell>
          <cell r="H4730">
            <v>10.120000000000001</v>
          </cell>
          <cell r="I4730">
            <v>499.56490743120003</v>
          </cell>
          <cell r="J4730">
            <v>0</v>
          </cell>
          <cell r="K4730">
            <v>0</v>
          </cell>
          <cell r="L4730">
            <v>0</v>
          </cell>
          <cell r="M4730">
            <v>0</v>
          </cell>
          <cell r="P4730">
            <v>500</v>
          </cell>
          <cell r="V4730" t="str">
            <v>Not Available</v>
          </cell>
        </row>
        <row r="4731">
          <cell r="A4731" t="str">
            <v>105400260005</v>
          </cell>
          <cell r="B4731" t="str">
            <v xml:space="preserve">Alauli </v>
          </cell>
          <cell r="C4731" t="str">
            <v xml:space="preserve">Alauli </v>
          </cell>
          <cell r="D4731" t="str">
            <v>GOMUKH AMBA ICHARUA</v>
          </cell>
          <cell r="E4731">
            <v>10540026</v>
          </cell>
          <cell r="F4731" t="str">
            <v>0005</v>
          </cell>
          <cell r="G4731">
            <v>4</v>
          </cell>
          <cell r="H4731">
            <v>49.12</v>
          </cell>
          <cell r="I4731">
            <v>1802.3788499112004</v>
          </cell>
          <cell r="J4731">
            <v>0</v>
          </cell>
          <cell r="K4731">
            <v>0</v>
          </cell>
          <cell r="L4731">
            <v>0</v>
          </cell>
          <cell r="M4731">
            <v>0</v>
          </cell>
          <cell r="P4731">
            <v>1802</v>
          </cell>
          <cell r="V4731" t="str">
            <v>Not Available</v>
          </cell>
        </row>
        <row r="4732">
          <cell r="A4732" t="str">
            <v>105400260006</v>
          </cell>
          <cell r="B4732" t="str">
            <v xml:space="preserve">Alauli </v>
          </cell>
          <cell r="C4732" t="str">
            <v xml:space="preserve">Alauli </v>
          </cell>
          <cell r="D4732" t="str">
            <v>GOMUKH AMBA ICHARUA</v>
          </cell>
          <cell r="E4732">
            <v>10540026</v>
          </cell>
          <cell r="F4732" t="str">
            <v>0006</v>
          </cell>
          <cell r="G4732">
            <v>6</v>
          </cell>
          <cell r="H4732">
            <v>51.46</v>
          </cell>
          <cell r="I4732">
            <v>2647.5117009214</v>
          </cell>
          <cell r="J4732">
            <v>0</v>
          </cell>
          <cell r="K4732">
            <v>0</v>
          </cell>
          <cell r="L4732">
            <v>0</v>
          </cell>
          <cell r="M4732">
            <v>0</v>
          </cell>
          <cell r="P4732">
            <v>2648</v>
          </cell>
          <cell r="V4732" t="str">
            <v>Not Available</v>
          </cell>
        </row>
        <row r="4733">
          <cell r="A4733" t="str">
            <v>105400260007</v>
          </cell>
          <cell r="B4733" t="str">
            <v xml:space="preserve">Alauli </v>
          </cell>
          <cell r="C4733" t="str">
            <v xml:space="preserve">Alauli </v>
          </cell>
          <cell r="D4733" t="str">
            <v>GOMUKH AMBA ICHARUA</v>
          </cell>
          <cell r="E4733">
            <v>10540026</v>
          </cell>
          <cell r="F4733" t="str">
            <v>0007</v>
          </cell>
          <cell r="G4733">
            <v>9</v>
          </cell>
          <cell r="H4733">
            <v>132.16</v>
          </cell>
          <cell r="I4733">
            <v>5756.6908975896013</v>
          </cell>
          <cell r="J4733">
            <v>0</v>
          </cell>
          <cell r="K4733">
            <v>0</v>
          </cell>
          <cell r="L4733">
            <v>0</v>
          </cell>
          <cell r="M4733">
            <v>0</v>
          </cell>
          <cell r="P4733">
            <v>5757</v>
          </cell>
          <cell r="V4733" t="str">
            <v>Not Available</v>
          </cell>
        </row>
        <row r="4734">
          <cell r="A4734" t="str">
            <v>105400260008</v>
          </cell>
          <cell r="B4734" t="str">
            <v xml:space="preserve">Alauli </v>
          </cell>
          <cell r="C4734" t="str">
            <v xml:space="preserve">Alauli </v>
          </cell>
          <cell r="D4734" t="str">
            <v>GOMUKH AMBA ICHARUA</v>
          </cell>
          <cell r="E4734">
            <v>10540026</v>
          </cell>
          <cell r="F4734" t="str">
            <v>0008</v>
          </cell>
          <cell r="G4734">
            <v>5</v>
          </cell>
          <cell r="H4734">
            <v>52.800000000000004</v>
          </cell>
          <cell r="I4734">
            <v>2567.2947308456</v>
          </cell>
          <cell r="J4734">
            <v>0</v>
          </cell>
          <cell r="K4734">
            <v>0</v>
          </cell>
          <cell r="L4734">
            <v>0</v>
          </cell>
          <cell r="M4734">
            <v>0</v>
          </cell>
          <cell r="P4734">
            <v>2567</v>
          </cell>
          <cell r="V4734" t="str">
            <v>Not Available</v>
          </cell>
        </row>
        <row r="4735">
          <cell r="A4735" t="str">
            <v>105400320002</v>
          </cell>
          <cell r="B4735" t="str">
            <v xml:space="preserve">Alauli </v>
          </cell>
          <cell r="C4735" t="str">
            <v xml:space="preserve">Alauli </v>
          </cell>
          <cell r="D4735" t="str">
            <v>GOMUKH JWALAPUR</v>
          </cell>
          <cell r="E4735">
            <v>10540032</v>
          </cell>
          <cell r="F4735" t="str">
            <v>0002</v>
          </cell>
          <cell r="G4735">
            <v>2</v>
          </cell>
          <cell r="H4735">
            <v>450</v>
          </cell>
          <cell r="I4735">
            <v>18505.577574000003</v>
          </cell>
          <cell r="J4735">
            <v>0</v>
          </cell>
          <cell r="K4735">
            <v>0</v>
          </cell>
          <cell r="L4735">
            <v>10953</v>
          </cell>
          <cell r="M4735">
            <v>0</v>
          </cell>
          <cell r="P4735">
            <v>7553</v>
          </cell>
          <cell r="V4735" t="str">
            <v>Available</v>
          </cell>
        </row>
        <row r="4736">
          <cell r="A4736" t="str">
            <v>105400340002</v>
          </cell>
          <cell r="B4736" t="str">
            <v xml:space="preserve">Alauli </v>
          </cell>
          <cell r="C4736" t="str">
            <v xml:space="preserve">Alauli </v>
          </cell>
          <cell r="D4736" t="str">
            <v>GOMUKH MATHURAPUR</v>
          </cell>
          <cell r="E4736">
            <v>10540034</v>
          </cell>
          <cell r="F4736" t="str">
            <v>0002</v>
          </cell>
          <cell r="G4736">
            <v>2</v>
          </cell>
          <cell r="H4736">
            <v>385</v>
          </cell>
          <cell r="I4736">
            <v>15720.311970000001</v>
          </cell>
          <cell r="J4736">
            <v>0</v>
          </cell>
          <cell r="K4736">
            <v>0</v>
          </cell>
          <cell r="L4736">
            <v>5452</v>
          </cell>
          <cell r="M4736">
            <v>0</v>
          </cell>
          <cell r="P4736">
            <v>10268</v>
          </cell>
          <cell r="V4736" t="str">
            <v>Available</v>
          </cell>
        </row>
        <row r="4737">
          <cell r="A4737" t="str">
            <v>105400420002</v>
          </cell>
          <cell r="B4737" t="str">
            <v xml:space="preserve">Alauli </v>
          </cell>
          <cell r="C4737" t="str">
            <v xml:space="preserve">Alauli </v>
          </cell>
          <cell r="D4737" t="str">
            <v>Gomukh Balaur</v>
          </cell>
          <cell r="E4737">
            <v>10540042</v>
          </cell>
          <cell r="F4737" t="str">
            <v>0002</v>
          </cell>
          <cell r="G4737">
            <v>3</v>
          </cell>
          <cell r="H4737">
            <v>1457.4099999999999</v>
          </cell>
          <cell r="I4737">
            <v>85425.063854958018</v>
          </cell>
          <cell r="J4737">
            <v>0</v>
          </cell>
          <cell r="K4737">
            <v>0</v>
          </cell>
          <cell r="L4737">
            <v>27831</v>
          </cell>
          <cell r="M4737">
            <v>0</v>
          </cell>
          <cell r="P4737">
            <v>57594</v>
          </cell>
          <cell r="V4737" t="str">
            <v>Available</v>
          </cell>
        </row>
        <row r="4738">
          <cell r="A4738" t="str">
            <v>105400440002</v>
          </cell>
          <cell r="B4738" t="str">
            <v xml:space="preserve">Alauli </v>
          </cell>
          <cell r="C4738" t="str">
            <v xml:space="preserve">Alauli </v>
          </cell>
          <cell r="D4738" t="str">
            <v>Gomukh Hathwan - 2</v>
          </cell>
          <cell r="E4738">
            <v>10540044</v>
          </cell>
          <cell r="F4738" t="str">
            <v>0002</v>
          </cell>
          <cell r="G4738">
            <v>2</v>
          </cell>
          <cell r="H4738">
            <v>580</v>
          </cell>
          <cell r="I4738">
            <v>23806.839078000001</v>
          </cell>
          <cell r="J4738">
            <v>0</v>
          </cell>
          <cell r="K4738">
            <v>0</v>
          </cell>
          <cell r="L4738">
            <v>7857</v>
          </cell>
          <cell r="M4738">
            <v>0</v>
          </cell>
          <cell r="P4738">
            <v>15950</v>
          </cell>
          <cell r="V4738" t="str">
            <v>Available</v>
          </cell>
        </row>
        <row r="4739">
          <cell r="A4739" t="str">
            <v>105400460002</v>
          </cell>
          <cell r="B4739" t="str">
            <v xml:space="preserve">Alauli </v>
          </cell>
          <cell r="C4739" t="str">
            <v xml:space="preserve">Alauli </v>
          </cell>
          <cell r="D4739" t="str">
            <v xml:space="preserve">Gomukh Hathwan </v>
          </cell>
          <cell r="E4739">
            <v>10540046</v>
          </cell>
          <cell r="F4739" t="str">
            <v>0002</v>
          </cell>
          <cell r="G4739">
            <v>14</v>
          </cell>
          <cell r="H4739">
            <v>287.49</v>
          </cell>
          <cell r="I4739">
            <v>16594.83968631411</v>
          </cell>
          <cell r="J4739">
            <v>0</v>
          </cell>
          <cell r="K4739">
            <v>0</v>
          </cell>
          <cell r="L4739">
            <v>4854</v>
          </cell>
          <cell r="M4739">
            <v>0</v>
          </cell>
          <cell r="P4739">
            <v>11741</v>
          </cell>
          <cell r="V4739" t="str">
            <v>Available</v>
          </cell>
        </row>
        <row r="4740">
          <cell r="A4740" t="str">
            <v>105500050001</v>
          </cell>
          <cell r="B4740" t="str">
            <v>Matihani</v>
          </cell>
          <cell r="C4740" t="str">
            <v>Matihani</v>
          </cell>
          <cell r="D4740" t="str">
            <v>Gomukh Matihani</v>
          </cell>
          <cell r="E4740">
            <v>10550005</v>
          </cell>
          <cell r="F4740" t="str">
            <v>0001</v>
          </cell>
          <cell r="G4740">
            <v>1</v>
          </cell>
          <cell r="H4740">
            <v>21.81</v>
          </cell>
          <cell r="I4740">
            <v>904.004487144</v>
          </cell>
          <cell r="J4740">
            <v>0</v>
          </cell>
          <cell r="K4740">
            <v>904.004487144</v>
          </cell>
          <cell r="L4740">
            <v>0</v>
          </cell>
          <cell r="M4740">
            <v>0</v>
          </cell>
          <cell r="P4740">
            <v>0</v>
          </cell>
          <cell r="V4740" t="str">
            <v>Not Available</v>
          </cell>
        </row>
        <row r="4741">
          <cell r="A4741" t="str">
            <v>105500050002</v>
          </cell>
          <cell r="B4741" t="str">
            <v>Matihani</v>
          </cell>
          <cell r="C4741" t="str">
            <v>Matihani</v>
          </cell>
          <cell r="D4741" t="str">
            <v>Gomukh Matihani</v>
          </cell>
          <cell r="E4741">
            <v>10550005</v>
          </cell>
          <cell r="F4741" t="str">
            <v>0002</v>
          </cell>
          <cell r="G4741">
            <v>11</v>
          </cell>
          <cell r="H4741">
            <v>141.22</v>
          </cell>
          <cell r="I4741">
            <v>5581.1258019000006</v>
          </cell>
          <cell r="J4741">
            <v>0</v>
          </cell>
          <cell r="K4741">
            <v>0</v>
          </cell>
          <cell r="L4741">
            <v>533</v>
          </cell>
          <cell r="M4741">
            <v>0</v>
          </cell>
          <cell r="P4741">
            <v>5048</v>
          </cell>
          <cell r="V4741" t="str">
            <v>Available</v>
          </cell>
        </row>
        <row r="4742">
          <cell r="A4742" t="str">
            <v>105500050004</v>
          </cell>
          <cell r="B4742" t="str">
            <v>Matihani</v>
          </cell>
          <cell r="C4742" t="str">
            <v>Matihani</v>
          </cell>
          <cell r="D4742" t="str">
            <v>Gomukh Matihani</v>
          </cell>
          <cell r="E4742">
            <v>10550005</v>
          </cell>
          <cell r="F4742" t="str">
            <v>0004</v>
          </cell>
          <cell r="G4742">
            <v>7</v>
          </cell>
          <cell r="H4742">
            <v>33.47</v>
          </cell>
          <cell r="I4742">
            <v>1333.1418064272002</v>
          </cell>
          <cell r="J4742">
            <v>0</v>
          </cell>
          <cell r="K4742">
            <v>0</v>
          </cell>
          <cell r="L4742">
            <v>0</v>
          </cell>
          <cell r="M4742">
            <v>0</v>
          </cell>
          <cell r="P4742">
            <v>1333</v>
          </cell>
          <cell r="V4742" t="str">
            <v>Available</v>
          </cell>
        </row>
        <row r="4743">
          <cell r="A4743" t="str">
            <v>105600040002</v>
          </cell>
          <cell r="B4743" t="str">
            <v>Chautham</v>
          </cell>
          <cell r="C4743" t="str">
            <v>Chautham</v>
          </cell>
          <cell r="D4743" t="str">
            <v>Gomukh Nawada</v>
          </cell>
          <cell r="E4743">
            <v>10560004</v>
          </cell>
          <cell r="F4743" t="str">
            <v>0002</v>
          </cell>
          <cell r="G4743">
            <v>14</v>
          </cell>
          <cell r="H4743">
            <v>917.66</v>
          </cell>
          <cell r="I4743">
            <v>32496.221988648005</v>
          </cell>
          <cell r="J4743">
            <v>0</v>
          </cell>
          <cell r="K4743">
            <v>0</v>
          </cell>
          <cell r="L4743">
            <v>375</v>
          </cell>
          <cell r="M4743">
            <v>0</v>
          </cell>
          <cell r="P4743">
            <v>32121</v>
          </cell>
          <cell r="V4743" t="str">
            <v>Available</v>
          </cell>
        </row>
        <row r="4744">
          <cell r="A4744" t="str">
            <v>105600050002</v>
          </cell>
          <cell r="B4744" t="str">
            <v>Chautham</v>
          </cell>
          <cell r="C4744" t="str">
            <v>Chautham</v>
          </cell>
          <cell r="D4744" t="str">
            <v>Gomukh Yadav Tol Kanauli</v>
          </cell>
          <cell r="E4744">
            <v>10560005</v>
          </cell>
          <cell r="F4744" t="str">
            <v>0002</v>
          </cell>
          <cell r="G4744">
            <v>14</v>
          </cell>
          <cell r="H4744">
            <v>25.46</v>
          </cell>
          <cell r="I4744">
            <v>1029.8968978319999</v>
          </cell>
          <cell r="J4744">
            <v>0</v>
          </cell>
          <cell r="K4744">
            <v>0</v>
          </cell>
          <cell r="L4744">
            <v>1030</v>
          </cell>
          <cell r="M4744">
            <v>0</v>
          </cell>
          <cell r="P4744">
            <v>0</v>
          </cell>
          <cell r="V4744" t="str">
            <v>Available</v>
          </cell>
        </row>
        <row r="4745">
          <cell r="A4745" t="str">
            <v>105600050003</v>
          </cell>
          <cell r="B4745" t="str">
            <v>Chautham</v>
          </cell>
          <cell r="C4745" t="str">
            <v>Chautham</v>
          </cell>
          <cell r="D4745" t="str">
            <v>Gomukh Yadav Tol Kanauli</v>
          </cell>
          <cell r="E4745">
            <v>10560005</v>
          </cell>
          <cell r="F4745" t="str">
            <v>0003</v>
          </cell>
          <cell r="G4745">
            <v>14</v>
          </cell>
          <cell r="H4745">
            <v>1395</v>
          </cell>
          <cell r="I4745">
            <v>56253.969683999996</v>
          </cell>
          <cell r="J4745">
            <v>0</v>
          </cell>
          <cell r="K4745">
            <v>0</v>
          </cell>
          <cell r="L4745">
            <v>85</v>
          </cell>
          <cell r="M4745">
            <v>0</v>
          </cell>
          <cell r="P4745">
            <v>56169</v>
          </cell>
          <cell r="V4745" t="str">
            <v>Not Available</v>
          </cell>
        </row>
        <row r="4746">
          <cell r="A4746" t="str">
            <v>105600050004</v>
          </cell>
          <cell r="B4746" t="str">
            <v>Chautham</v>
          </cell>
          <cell r="C4746" t="str">
            <v>Chautham</v>
          </cell>
          <cell r="D4746" t="str">
            <v>Gomukh Yadav Tol Kanauli</v>
          </cell>
          <cell r="E4746">
            <v>10560005</v>
          </cell>
          <cell r="F4746" t="str">
            <v>0004</v>
          </cell>
          <cell r="G4746">
            <v>14</v>
          </cell>
          <cell r="H4746">
            <v>845</v>
          </cell>
          <cell r="I4746">
            <v>34015.7303244</v>
          </cell>
          <cell r="J4746">
            <v>0</v>
          </cell>
          <cell r="K4746">
            <v>0</v>
          </cell>
          <cell r="L4746">
            <v>0</v>
          </cell>
          <cell r="M4746">
            <v>0</v>
          </cell>
          <cell r="P4746">
            <v>34016</v>
          </cell>
          <cell r="V4746" t="str">
            <v>Not Available</v>
          </cell>
        </row>
        <row r="4747">
          <cell r="A4747" t="str">
            <v>105600070002</v>
          </cell>
          <cell r="B4747" t="str">
            <v>Chautham</v>
          </cell>
          <cell r="C4747" t="str">
            <v>Chautham</v>
          </cell>
          <cell r="D4747" t="str">
            <v>Gomukh Hardia</v>
          </cell>
          <cell r="E4747">
            <v>10560007</v>
          </cell>
          <cell r="F4747" t="str">
            <v>0002</v>
          </cell>
          <cell r="G4747">
            <v>1</v>
          </cell>
          <cell r="H4747">
            <v>180.36</v>
          </cell>
          <cell r="I4747">
            <v>8094.761544672001</v>
          </cell>
          <cell r="J4747">
            <v>0</v>
          </cell>
          <cell r="K4747">
            <v>0</v>
          </cell>
          <cell r="L4747">
            <v>64</v>
          </cell>
          <cell r="M4747">
            <v>0</v>
          </cell>
          <cell r="P4747">
            <v>8031</v>
          </cell>
          <cell r="V4747" t="str">
            <v>Available</v>
          </cell>
        </row>
        <row r="4748">
          <cell r="A4748" t="str">
            <v>105600110002</v>
          </cell>
          <cell r="B4748" t="str">
            <v>Chautham</v>
          </cell>
          <cell r="C4748" t="str">
            <v>Chautham</v>
          </cell>
          <cell r="D4748" t="str">
            <v>Gomukh Ashatol Paharpur</v>
          </cell>
          <cell r="E4748">
            <v>10560011</v>
          </cell>
          <cell r="F4748" t="str">
            <v>0002</v>
          </cell>
          <cell r="G4748">
            <v>14</v>
          </cell>
          <cell r="H4748">
            <v>135.51999999999998</v>
          </cell>
          <cell r="I4748">
            <v>5150.1865468680007</v>
          </cell>
          <cell r="J4748">
            <v>0</v>
          </cell>
          <cell r="K4748">
            <v>0</v>
          </cell>
          <cell r="L4748">
            <v>3737</v>
          </cell>
          <cell r="M4748">
            <v>0</v>
          </cell>
          <cell r="P4748">
            <v>1413</v>
          </cell>
          <cell r="V4748" t="str">
            <v>Available</v>
          </cell>
        </row>
        <row r="4749">
          <cell r="A4749" t="str">
            <v>105600110003</v>
          </cell>
          <cell r="B4749" t="str">
            <v>Chautham</v>
          </cell>
          <cell r="C4749" t="str">
            <v>Chautham</v>
          </cell>
          <cell r="D4749" t="str">
            <v>Gomukh Ashatol Paharpur</v>
          </cell>
          <cell r="E4749">
            <v>10560011</v>
          </cell>
          <cell r="F4749" t="str">
            <v>0003</v>
          </cell>
          <cell r="G4749">
            <v>14</v>
          </cell>
          <cell r="H4749">
            <v>37.86</v>
          </cell>
          <cell r="I4749">
            <v>1573.3503054720002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P4749">
            <v>1573</v>
          </cell>
          <cell r="V4749" t="str">
            <v>Available</v>
          </cell>
        </row>
        <row r="4750">
          <cell r="A4750" t="str">
            <v>105600110004</v>
          </cell>
          <cell r="B4750" t="str">
            <v>Chautham</v>
          </cell>
          <cell r="C4750" t="str">
            <v>Chautham</v>
          </cell>
          <cell r="D4750" t="str">
            <v>Gomukh Ashatol Paharpur</v>
          </cell>
          <cell r="E4750">
            <v>10560011</v>
          </cell>
          <cell r="F4750" t="str">
            <v>0004</v>
          </cell>
          <cell r="G4750">
            <v>14</v>
          </cell>
          <cell r="H4750">
            <v>760.38000000000011</v>
          </cell>
          <cell r="I4750">
            <v>28919.184482627999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P4750">
            <v>28919</v>
          </cell>
          <cell r="V4750" t="str">
            <v>Available</v>
          </cell>
        </row>
        <row r="4751">
          <cell r="A4751" t="str">
            <v>105600110007</v>
          </cell>
          <cell r="B4751" t="str">
            <v>Chautham</v>
          </cell>
          <cell r="C4751" t="str">
            <v>Chautham</v>
          </cell>
          <cell r="D4751" t="str">
            <v>Gomukh Ashatol Paharpur</v>
          </cell>
          <cell r="E4751">
            <v>10560011</v>
          </cell>
          <cell r="F4751" t="str">
            <v>0007</v>
          </cell>
          <cell r="G4751">
            <v>12</v>
          </cell>
          <cell r="H4751">
            <v>97.25</v>
          </cell>
          <cell r="I4751">
            <v>3708.948304908</v>
          </cell>
          <cell r="J4751">
            <v>0</v>
          </cell>
          <cell r="K4751">
            <v>0</v>
          </cell>
          <cell r="L4751">
            <v>0</v>
          </cell>
          <cell r="M4751">
            <v>0</v>
          </cell>
          <cell r="P4751">
            <v>3709</v>
          </cell>
          <cell r="V4751" t="str">
            <v>Available</v>
          </cell>
        </row>
        <row r="4752">
          <cell r="A4752" t="str">
            <v>105600110009</v>
          </cell>
          <cell r="B4752" t="str">
            <v>Chautham</v>
          </cell>
          <cell r="C4752" t="str">
            <v>Chautham</v>
          </cell>
          <cell r="D4752" t="str">
            <v>Gomukh Ashatol Paharpur</v>
          </cell>
          <cell r="E4752">
            <v>10560011</v>
          </cell>
          <cell r="F4752" t="str">
            <v>0009</v>
          </cell>
          <cell r="G4752">
            <v>11</v>
          </cell>
          <cell r="H4752">
            <v>39.099999999999994</v>
          </cell>
          <cell r="I4752">
            <v>1509.2869627440002</v>
          </cell>
          <cell r="J4752">
            <v>0</v>
          </cell>
          <cell r="K4752">
            <v>0</v>
          </cell>
          <cell r="L4752">
            <v>0</v>
          </cell>
          <cell r="M4752">
            <v>0</v>
          </cell>
          <cell r="P4752">
            <v>1509</v>
          </cell>
          <cell r="V4752" t="str">
            <v>Available</v>
          </cell>
        </row>
        <row r="4753">
          <cell r="A4753" t="str">
            <v>105600110011</v>
          </cell>
          <cell r="B4753" t="str">
            <v>Chautham</v>
          </cell>
          <cell r="C4753" t="str">
            <v>Chautham</v>
          </cell>
          <cell r="D4753" t="str">
            <v>Gomukh Ashatol Paharpur</v>
          </cell>
          <cell r="E4753">
            <v>10560011</v>
          </cell>
          <cell r="F4753" t="str">
            <v>0011</v>
          </cell>
          <cell r="G4753">
            <v>14</v>
          </cell>
          <cell r="H4753">
            <v>419.82000000000005</v>
          </cell>
          <cell r="I4753">
            <v>15935.010743520001</v>
          </cell>
          <cell r="J4753">
            <v>0</v>
          </cell>
          <cell r="K4753">
            <v>0</v>
          </cell>
          <cell r="L4753">
            <v>0</v>
          </cell>
          <cell r="M4753">
            <v>0</v>
          </cell>
          <cell r="P4753">
            <v>15935</v>
          </cell>
          <cell r="V4753" t="str">
            <v>Available</v>
          </cell>
        </row>
        <row r="4754">
          <cell r="A4754" t="str">
            <v>105600110012</v>
          </cell>
          <cell r="B4754" t="str">
            <v>Chautham</v>
          </cell>
          <cell r="C4754" t="str">
            <v>Chautham</v>
          </cell>
          <cell r="D4754" t="str">
            <v>Gomukh Ashatol Paharpur</v>
          </cell>
          <cell r="E4754">
            <v>10560011</v>
          </cell>
          <cell r="F4754" t="str">
            <v>0012</v>
          </cell>
          <cell r="G4754">
            <v>14</v>
          </cell>
          <cell r="H4754">
            <v>68.790000000000006</v>
          </cell>
          <cell r="I4754">
            <v>2893.8708718920007</v>
          </cell>
          <cell r="J4754">
            <v>0</v>
          </cell>
          <cell r="K4754">
            <v>0</v>
          </cell>
          <cell r="L4754">
            <v>0</v>
          </cell>
          <cell r="M4754">
            <v>0</v>
          </cell>
          <cell r="P4754">
            <v>2894</v>
          </cell>
          <cell r="V4754" t="str">
            <v>Available</v>
          </cell>
        </row>
        <row r="4755">
          <cell r="A4755" t="str">
            <v>105600110014</v>
          </cell>
          <cell r="B4755" t="str">
            <v>Chautham</v>
          </cell>
          <cell r="C4755" t="str">
            <v>Chautham</v>
          </cell>
          <cell r="D4755" t="str">
            <v>Gomukh Ashatol Paharpur</v>
          </cell>
          <cell r="E4755">
            <v>10560011</v>
          </cell>
          <cell r="F4755" t="str">
            <v>0014</v>
          </cell>
          <cell r="G4755">
            <v>7</v>
          </cell>
          <cell r="H4755">
            <v>60.71</v>
          </cell>
          <cell r="I4755">
            <v>2336.3634824640003</v>
          </cell>
          <cell r="J4755">
            <v>0</v>
          </cell>
          <cell r="K4755">
            <v>0</v>
          </cell>
          <cell r="L4755">
            <v>0</v>
          </cell>
          <cell r="M4755">
            <v>0</v>
          </cell>
          <cell r="P4755">
            <v>2336</v>
          </cell>
          <cell r="V4755" t="str">
            <v>Available</v>
          </cell>
        </row>
        <row r="4756">
          <cell r="A4756" t="str">
            <v>105600110016</v>
          </cell>
          <cell r="B4756" t="str">
            <v>Chautham</v>
          </cell>
          <cell r="C4756" t="str">
            <v>Chautham</v>
          </cell>
          <cell r="D4756" t="str">
            <v>Gomukh Ashatol Paharpur</v>
          </cell>
          <cell r="E4756">
            <v>10560011</v>
          </cell>
          <cell r="F4756" t="str">
            <v>0016</v>
          </cell>
          <cell r="G4756">
            <v>14</v>
          </cell>
          <cell r="H4756">
            <v>108.23999999999998</v>
          </cell>
          <cell r="I4756">
            <v>5059.1749696696806</v>
          </cell>
          <cell r="J4756">
            <v>0</v>
          </cell>
          <cell r="K4756">
            <v>0</v>
          </cell>
          <cell r="L4756">
            <v>0</v>
          </cell>
          <cell r="M4756">
            <v>0</v>
          </cell>
          <cell r="P4756">
            <v>5059</v>
          </cell>
          <cell r="V4756" t="str">
            <v>Available</v>
          </cell>
        </row>
        <row r="4757">
          <cell r="A4757" t="str">
            <v>105600110025</v>
          </cell>
          <cell r="B4757" t="str">
            <v>Chautham</v>
          </cell>
          <cell r="C4757" t="str">
            <v>Chautham</v>
          </cell>
          <cell r="D4757" t="str">
            <v>Gomukh Ashatol Paharpur</v>
          </cell>
          <cell r="E4757">
            <v>10560011</v>
          </cell>
          <cell r="F4757" t="str">
            <v>0025</v>
          </cell>
          <cell r="G4757">
            <v>14</v>
          </cell>
          <cell r="H4757">
            <v>44.269999999999996</v>
          </cell>
          <cell r="I4757">
            <v>1769.9081578200003</v>
          </cell>
          <cell r="J4757">
            <v>0</v>
          </cell>
          <cell r="K4757">
            <v>0</v>
          </cell>
          <cell r="L4757">
            <v>0</v>
          </cell>
          <cell r="M4757">
            <v>0</v>
          </cell>
          <cell r="P4757">
            <v>1770</v>
          </cell>
          <cell r="V4757" t="str">
            <v>Available</v>
          </cell>
        </row>
        <row r="4758">
          <cell r="A4758" t="str">
            <v>105600110026</v>
          </cell>
          <cell r="B4758" t="str">
            <v>Chautham</v>
          </cell>
          <cell r="C4758" t="str">
            <v>Chautham</v>
          </cell>
          <cell r="D4758" t="str">
            <v>Gomukh Ashatol Paharpur</v>
          </cell>
          <cell r="E4758">
            <v>10560011</v>
          </cell>
          <cell r="F4758" t="str">
            <v>0026</v>
          </cell>
          <cell r="G4758">
            <v>12</v>
          </cell>
          <cell r="H4758">
            <v>35.72</v>
          </cell>
          <cell r="I4758">
            <v>1332.2129859720001</v>
          </cell>
          <cell r="J4758">
            <v>0</v>
          </cell>
          <cell r="K4758">
            <v>0</v>
          </cell>
          <cell r="L4758">
            <v>0</v>
          </cell>
          <cell r="M4758">
            <v>0</v>
          </cell>
          <cell r="P4758">
            <v>1332</v>
          </cell>
          <cell r="V4758" t="str">
            <v>Available</v>
          </cell>
        </row>
        <row r="4759">
          <cell r="A4759" t="str">
            <v>105600110027</v>
          </cell>
          <cell r="B4759" t="str">
            <v>Chautham</v>
          </cell>
          <cell r="C4759" t="str">
            <v>Chautham</v>
          </cell>
          <cell r="D4759" t="str">
            <v>Gomukh Ashatol Paharpur</v>
          </cell>
          <cell r="E4759">
            <v>10560011</v>
          </cell>
          <cell r="F4759" t="str">
            <v>0027</v>
          </cell>
          <cell r="G4759">
            <v>13</v>
          </cell>
          <cell r="H4759">
            <v>30.58</v>
          </cell>
          <cell r="I4759">
            <v>2203.3368162589604</v>
          </cell>
          <cell r="J4759">
            <v>0</v>
          </cell>
          <cell r="K4759">
            <v>0</v>
          </cell>
          <cell r="L4759">
            <v>0</v>
          </cell>
          <cell r="M4759">
            <v>0</v>
          </cell>
          <cell r="P4759">
            <v>2203</v>
          </cell>
          <cell r="V4759" t="str">
            <v>Available</v>
          </cell>
        </row>
        <row r="4760">
          <cell r="A4760" t="str">
            <v>105600120002</v>
          </cell>
          <cell r="B4760" t="str">
            <v>Chautham</v>
          </cell>
          <cell r="C4760" t="str">
            <v>Chautham</v>
          </cell>
          <cell r="D4760" t="str">
            <v>Gomukh Kharawa</v>
          </cell>
          <cell r="E4760">
            <v>10560012</v>
          </cell>
          <cell r="F4760" t="str">
            <v>0002</v>
          </cell>
          <cell r="G4760">
            <v>14</v>
          </cell>
          <cell r="H4760">
            <v>1010.3600000000002</v>
          </cell>
          <cell r="I4760">
            <v>37809.225106032609</v>
          </cell>
          <cell r="J4760">
            <v>0</v>
          </cell>
          <cell r="K4760">
            <v>0</v>
          </cell>
          <cell r="L4760">
            <v>291</v>
          </cell>
          <cell r="M4760">
            <v>0</v>
          </cell>
          <cell r="P4760">
            <v>37518</v>
          </cell>
          <cell r="V4760" t="str">
            <v>Available</v>
          </cell>
        </row>
        <row r="4761">
          <cell r="A4761" t="str">
            <v>105600120003</v>
          </cell>
          <cell r="B4761" t="str">
            <v>Chautham</v>
          </cell>
          <cell r="C4761" t="str">
            <v>Chautham</v>
          </cell>
          <cell r="D4761" t="str">
            <v>Gomukh Kharawa</v>
          </cell>
          <cell r="E4761">
            <v>10560012</v>
          </cell>
          <cell r="F4761" t="str">
            <v>0003</v>
          </cell>
          <cell r="G4761">
            <v>9</v>
          </cell>
          <cell r="H4761">
            <v>41.029999999999994</v>
          </cell>
          <cell r="I4761">
            <v>1531.7284945842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  <cell r="P4761">
            <v>1532</v>
          </cell>
          <cell r="V4761" t="str">
            <v>Available</v>
          </cell>
        </row>
        <row r="4762">
          <cell r="A4762" t="str">
            <v>105600160002</v>
          </cell>
          <cell r="B4762" t="str">
            <v>Chautham</v>
          </cell>
          <cell r="C4762" t="str">
            <v>Chautham</v>
          </cell>
          <cell r="D4762" t="str">
            <v>Gomukh Pachout</v>
          </cell>
          <cell r="E4762">
            <v>10560016</v>
          </cell>
          <cell r="F4762" t="str">
            <v>0002</v>
          </cell>
          <cell r="G4762">
            <v>1</v>
          </cell>
          <cell r="H4762">
            <v>989.6</v>
          </cell>
          <cell r="I4762">
            <v>38666.761531200005</v>
          </cell>
          <cell r="J4762">
            <v>0</v>
          </cell>
          <cell r="K4762">
            <v>0</v>
          </cell>
          <cell r="L4762">
            <v>1600</v>
          </cell>
          <cell r="M4762">
            <v>0</v>
          </cell>
          <cell r="P4762">
            <v>37067</v>
          </cell>
          <cell r="V4762" t="str">
            <v>Available</v>
          </cell>
        </row>
        <row r="4763">
          <cell r="A4763" t="str">
            <v>105600170005</v>
          </cell>
          <cell r="B4763" t="str">
            <v>Chautham</v>
          </cell>
          <cell r="C4763" t="str">
            <v>Chautham</v>
          </cell>
          <cell r="D4763" t="str">
            <v>Gomukh Telihar</v>
          </cell>
          <cell r="E4763">
            <v>10560017</v>
          </cell>
          <cell r="F4763" t="str">
            <v>0005</v>
          </cell>
          <cell r="G4763">
            <v>13</v>
          </cell>
          <cell r="H4763">
            <v>72.5</v>
          </cell>
          <cell r="I4763">
            <v>2851.9555325521205</v>
          </cell>
          <cell r="J4763">
            <v>0</v>
          </cell>
          <cell r="K4763">
            <v>0</v>
          </cell>
          <cell r="L4763">
            <v>1684</v>
          </cell>
          <cell r="M4763">
            <v>0</v>
          </cell>
          <cell r="P4763">
            <v>1168</v>
          </cell>
          <cell r="V4763" t="str">
            <v>Available</v>
          </cell>
        </row>
        <row r="4764">
          <cell r="A4764" t="str">
            <v>105600170006</v>
          </cell>
          <cell r="B4764" t="str">
            <v>Chautham</v>
          </cell>
          <cell r="C4764" t="str">
            <v>Chautham</v>
          </cell>
          <cell r="D4764" t="str">
            <v>Gomukh Telihar</v>
          </cell>
          <cell r="E4764">
            <v>10560017</v>
          </cell>
          <cell r="F4764" t="str">
            <v>0006</v>
          </cell>
          <cell r="G4764">
            <v>14</v>
          </cell>
          <cell r="H4764">
            <v>149.23999999999998</v>
          </cell>
          <cell r="I4764">
            <v>5715.9299399400006</v>
          </cell>
          <cell r="J4764">
            <v>0</v>
          </cell>
          <cell r="K4764">
            <v>0</v>
          </cell>
          <cell r="L4764">
            <v>0</v>
          </cell>
          <cell r="M4764">
            <v>0</v>
          </cell>
          <cell r="P4764">
            <v>5716</v>
          </cell>
          <cell r="V4764" t="str">
            <v>Available</v>
          </cell>
        </row>
        <row r="4765">
          <cell r="A4765" t="str">
            <v>105600170007</v>
          </cell>
          <cell r="B4765" t="str">
            <v>Chautham</v>
          </cell>
          <cell r="C4765" t="str">
            <v>Chautham</v>
          </cell>
          <cell r="D4765" t="str">
            <v>Gomukh Telihar</v>
          </cell>
          <cell r="E4765">
            <v>10560017</v>
          </cell>
          <cell r="F4765" t="str">
            <v>0007</v>
          </cell>
          <cell r="G4765">
            <v>14</v>
          </cell>
          <cell r="H4765">
            <v>71.400000000000006</v>
          </cell>
          <cell r="I4765">
            <v>2721.7014072732004</v>
          </cell>
          <cell r="J4765">
            <v>0</v>
          </cell>
          <cell r="K4765">
            <v>0</v>
          </cell>
          <cell r="L4765">
            <v>0</v>
          </cell>
          <cell r="M4765">
            <v>0</v>
          </cell>
          <cell r="P4765">
            <v>2722</v>
          </cell>
          <cell r="V4765" t="str">
            <v>Available</v>
          </cell>
        </row>
        <row r="4766">
          <cell r="A4766" t="str">
            <v>105600170008</v>
          </cell>
          <cell r="B4766" t="str">
            <v>Chautham</v>
          </cell>
          <cell r="C4766" t="str">
            <v>Chautham</v>
          </cell>
          <cell r="D4766" t="str">
            <v>Gomukh Telihar</v>
          </cell>
          <cell r="E4766">
            <v>10560017</v>
          </cell>
          <cell r="F4766" t="str">
            <v>0008</v>
          </cell>
          <cell r="G4766">
            <v>14</v>
          </cell>
          <cell r="H4766">
            <v>57.74</v>
          </cell>
          <cell r="I4766">
            <v>2166.9036345990003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  <cell r="P4766">
            <v>2167</v>
          </cell>
          <cell r="V4766" t="str">
            <v>Available</v>
          </cell>
        </row>
        <row r="4767">
          <cell r="A4767" t="str">
            <v>105600170009</v>
          </cell>
          <cell r="B4767" t="str">
            <v>Chautham</v>
          </cell>
          <cell r="C4767" t="str">
            <v>Chautham</v>
          </cell>
          <cell r="D4767" t="str">
            <v>Gomukh Telihar</v>
          </cell>
          <cell r="E4767">
            <v>10560017</v>
          </cell>
          <cell r="F4767" t="str">
            <v>0009</v>
          </cell>
          <cell r="G4767">
            <v>13</v>
          </cell>
          <cell r="H4767">
            <v>35.72</v>
          </cell>
          <cell r="I4767">
            <v>1328.4995271371999</v>
          </cell>
          <cell r="J4767">
            <v>0</v>
          </cell>
          <cell r="K4767">
            <v>0</v>
          </cell>
          <cell r="L4767">
            <v>0</v>
          </cell>
          <cell r="M4767">
            <v>0</v>
          </cell>
          <cell r="P4767">
            <v>1328</v>
          </cell>
          <cell r="V4767" t="str">
            <v>Available</v>
          </cell>
        </row>
        <row r="4768">
          <cell r="A4768" t="str">
            <v>105600170010</v>
          </cell>
          <cell r="B4768" t="str">
            <v>Chautham</v>
          </cell>
          <cell r="C4768" t="str">
            <v>Chautham</v>
          </cell>
          <cell r="D4768" t="str">
            <v>Gomukh Telihar</v>
          </cell>
          <cell r="E4768">
            <v>10560017</v>
          </cell>
          <cell r="F4768" t="str">
            <v>0010</v>
          </cell>
          <cell r="G4768">
            <v>8</v>
          </cell>
          <cell r="H4768">
            <v>8.6</v>
          </cell>
          <cell r="I4768">
            <v>405.06643806143995</v>
          </cell>
          <cell r="J4768">
            <v>0</v>
          </cell>
          <cell r="K4768">
            <v>0</v>
          </cell>
          <cell r="L4768">
            <v>0</v>
          </cell>
          <cell r="M4768">
            <v>0</v>
          </cell>
          <cell r="P4768">
            <v>405</v>
          </cell>
          <cell r="V4768" t="str">
            <v>Available</v>
          </cell>
        </row>
        <row r="4769">
          <cell r="A4769" t="str">
            <v>105600170011</v>
          </cell>
          <cell r="B4769" t="str">
            <v>Chautham</v>
          </cell>
          <cell r="C4769" t="str">
            <v>Chautham</v>
          </cell>
          <cell r="D4769" t="str">
            <v>Gomukh Telihar</v>
          </cell>
          <cell r="E4769">
            <v>10560017</v>
          </cell>
          <cell r="F4769" t="str">
            <v>0011</v>
          </cell>
          <cell r="G4769">
            <v>14</v>
          </cell>
          <cell r="H4769">
            <v>120.51999999999998</v>
          </cell>
          <cell r="I4769">
            <v>5059.4076881832998</v>
          </cell>
          <cell r="J4769">
            <v>0</v>
          </cell>
          <cell r="K4769">
            <v>0</v>
          </cell>
          <cell r="L4769">
            <v>0</v>
          </cell>
          <cell r="M4769">
            <v>0</v>
          </cell>
          <cell r="P4769">
            <v>5059</v>
          </cell>
          <cell r="V4769" t="str">
            <v>Available</v>
          </cell>
        </row>
        <row r="4770">
          <cell r="A4770" t="str">
            <v>105600170012</v>
          </cell>
          <cell r="B4770" t="str">
            <v>Chautham</v>
          </cell>
          <cell r="C4770" t="str">
            <v>Chautham</v>
          </cell>
          <cell r="D4770" t="str">
            <v>Gomukh Telihar</v>
          </cell>
          <cell r="E4770">
            <v>10560017</v>
          </cell>
          <cell r="F4770" t="str">
            <v>0012</v>
          </cell>
          <cell r="G4770">
            <v>11</v>
          </cell>
          <cell r="H4770">
            <v>25</v>
          </cell>
          <cell r="I4770">
            <v>976.95067100400001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P4770">
            <v>977</v>
          </cell>
          <cell r="V4770" t="str">
            <v>Available</v>
          </cell>
        </row>
        <row r="4771">
          <cell r="A4771" t="str">
            <v>105600170013</v>
          </cell>
          <cell r="B4771" t="str">
            <v>Chautham</v>
          </cell>
          <cell r="C4771" t="str">
            <v>Chautham</v>
          </cell>
          <cell r="D4771" t="str">
            <v>Gomukh Telihar</v>
          </cell>
          <cell r="E4771">
            <v>10560017</v>
          </cell>
          <cell r="F4771" t="str">
            <v>0013</v>
          </cell>
          <cell r="G4771">
            <v>7</v>
          </cell>
          <cell r="H4771">
            <v>15.31</v>
          </cell>
          <cell r="I4771">
            <v>699.02514592060004</v>
          </cell>
          <cell r="J4771">
            <v>0</v>
          </cell>
          <cell r="K4771">
            <v>0</v>
          </cell>
          <cell r="L4771">
            <v>0</v>
          </cell>
          <cell r="M4771">
            <v>0</v>
          </cell>
          <cell r="P4771">
            <v>699</v>
          </cell>
          <cell r="V4771" t="str">
            <v>Available</v>
          </cell>
        </row>
        <row r="4772">
          <cell r="A4772" t="str">
            <v>105600170014</v>
          </cell>
          <cell r="B4772" t="str">
            <v>Chautham</v>
          </cell>
          <cell r="C4772" t="str">
            <v>Chautham</v>
          </cell>
          <cell r="D4772" t="str">
            <v>Gomukh Telihar</v>
          </cell>
          <cell r="E4772">
            <v>10560017</v>
          </cell>
          <cell r="F4772" t="str">
            <v>0014</v>
          </cell>
          <cell r="G4772">
            <v>14</v>
          </cell>
          <cell r="H4772">
            <v>46.669999999999987</v>
          </cell>
          <cell r="I4772">
            <v>1761.9578658594005</v>
          </cell>
          <cell r="J4772">
            <v>0</v>
          </cell>
          <cell r="K4772">
            <v>0</v>
          </cell>
          <cell r="L4772">
            <v>0</v>
          </cell>
          <cell r="M4772">
            <v>0</v>
          </cell>
          <cell r="P4772">
            <v>1762</v>
          </cell>
          <cell r="V4772" t="str">
            <v>Available</v>
          </cell>
        </row>
        <row r="4773">
          <cell r="A4773" t="str">
            <v>105600170015</v>
          </cell>
          <cell r="B4773" t="str">
            <v>Chautham</v>
          </cell>
          <cell r="C4773" t="str">
            <v>Chautham</v>
          </cell>
          <cell r="D4773" t="str">
            <v>Gomukh Telihar</v>
          </cell>
          <cell r="E4773">
            <v>10560017</v>
          </cell>
          <cell r="F4773" t="str">
            <v>0015</v>
          </cell>
          <cell r="G4773">
            <v>14</v>
          </cell>
          <cell r="H4773">
            <v>82.86999999999999</v>
          </cell>
          <cell r="I4773">
            <v>3084.4444866840004</v>
          </cell>
          <cell r="J4773">
            <v>0</v>
          </cell>
          <cell r="K4773">
            <v>0</v>
          </cell>
          <cell r="L4773">
            <v>0</v>
          </cell>
          <cell r="M4773">
            <v>0</v>
          </cell>
          <cell r="P4773">
            <v>3084</v>
          </cell>
          <cell r="V4773" t="str">
            <v>Available</v>
          </cell>
        </row>
        <row r="4774">
          <cell r="A4774" t="str">
            <v>105600170016</v>
          </cell>
          <cell r="B4774" t="str">
            <v>Chautham</v>
          </cell>
          <cell r="C4774" t="str">
            <v>Chautham</v>
          </cell>
          <cell r="D4774" t="str">
            <v>Gomukh Telihar</v>
          </cell>
          <cell r="E4774">
            <v>10560017</v>
          </cell>
          <cell r="F4774" t="str">
            <v>0016</v>
          </cell>
          <cell r="G4774">
            <v>12</v>
          </cell>
          <cell r="H4774">
            <v>27.160000000000004</v>
          </cell>
          <cell r="I4774">
            <v>1106.513078817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P4774">
            <v>1107</v>
          </cell>
          <cell r="V4774" t="str">
            <v>Available</v>
          </cell>
        </row>
        <row r="4775">
          <cell r="A4775" t="str">
            <v>105600170021</v>
          </cell>
          <cell r="B4775" t="str">
            <v>Chautham</v>
          </cell>
          <cell r="C4775" t="str">
            <v>Chautham</v>
          </cell>
          <cell r="D4775" t="str">
            <v>Gomukh Telihar</v>
          </cell>
          <cell r="E4775">
            <v>10560017</v>
          </cell>
          <cell r="F4775" t="str">
            <v>0021</v>
          </cell>
          <cell r="G4775">
            <v>5</v>
          </cell>
          <cell r="H4775">
            <v>20.869999999999997</v>
          </cell>
          <cell r="I4775">
            <v>1055.1004098291</v>
          </cell>
          <cell r="J4775">
            <v>0</v>
          </cell>
          <cell r="K4775">
            <v>0</v>
          </cell>
          <cell r="L4775">
            <v>0</v>
          </cell>
          <cell r="M4775">
            <v>0</v>
          </cell>
          <cell r="P4775">
            <v>1055</v>
          </cell>
          <cell r="V4775" t="str">
            <v>Available</v>
          </cell>
        </row>
        <row r="4776">
          <cell r="A4776" t="str">
            <v>105600170023</v>
          </cell>
          <cell r="B4776" t="str">
            <v>Chautham</v>
          </cell>
          <cell r="C4776" t="str">
            <v>Chautham</v>
          </cell>
          <cell r="D4776" t="str">
            <v>Gomukh Telihar</v>
          </cell>
          <cell r="E4776">
            <v>10560017</v>
          </cell>
          <cell r="F4776" t="str">
            <v>0023</v>
          </cell>
          <cell r="G4776">
            <v>7</v>
          </cell>
          <cell r="H4776">
            <v>49.1</v>
          </cell>
          <cell r="I4776">
            <v>1830.0319381080003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P4776">
            <v>1830</v>
          </cell>
          <cell r="V4776" t="str">
            <v>Available</v>
          </cell>
        </row>
        <row r="4777">
          <cell r="A4777" t="str">
            <v>105600170025</v>
          </cell>
          <cell r="B4777" t="str">
            <v>Chautham</v>
          </cell>
          <cell r="C4777" t="str">
            <v>Chautham</v>
          </cell>
          <cell r="D4777" t="str">
            <v>Gomukh Telihar</v>
          </cell>
          <cell r="E4777">
            <v>10560017</v>
          </cell>
          <cell r="F4777" t="str">
            <v>0025</v>
          </cell>
          <cell r="G4777">
            <v>14</v>
          </cell>
          <cell r="H4777">
            <v>122.15999999999998</v>
          </cell>
          <cell r="I4777">
            <v>4579.9787805353999</v>
          </cell>
          <cell r="J4777">
            <v>0</v>
          </cell>
          <cell r="K4777">
            <v>0</v>
          </cell>
          <cell r="L4777">
            <v>0</v>
          </cell>
          <cell r="M4777">
            <v>0</v>
          </cell>
          <cell r="P4777">
            <v>4580</v>
          </cell>
          <cell r="V4777" t="str">
            <v>Available</v>
          </cell>
        </row>
        <row r="4778">
          <cell r="A4778" t="str">
            <v>105600170032</v>
          </cell>
          <cell r="B4778" t="str">
            <v>Chautham</v>
          </cell>
          <cell r="C4778" t="str">
            <v>Chautham</v>
          </cell>
          <cell r="D4778" t="str">
            <v>Gomukh Telihar</v>
          </cell>
          <cell r="E4778">
            <v>10560017</v>
          </cell>
          <cell r="F4778" t="str">
            <v>0032</v>
          </cell>
          <cell r="G4778">
            <v>13</v>
          </cell>
          <cell r="H4778">
            <v>87.539999999999992</v>
          </cell>
          <cell r="I4778">
            <v>4045.5868109794505</v>
          </cell>
          <cell r="J4778">
            <v>0</v>
          </cell>
          <cell r="K4778">
            <v>0</v>
          </cell>
          <cell r="L4778">
            <v>0</v>
          </cell>
          <cell r="M4778">
            <v>0</v>
          </cell>
          <cell r="P4778">
            <v>4046</v>
          </cell>
          <cell r="V4778" t="str">
            <v>Available</v>
          </cell>
        </row>
        <row r="4779">
          <cell r="A4779" t="str">
            <v>105600170033</v>
          </cell>
          <cell r="B4779" t="str">
            <v>Chautham</v>
          </cell>
          <cell r="C4779" t="str">
            <v>Chautham</v>
          </cell>
          <cell r="D4779" t="str">
            <v>Gomukh Telihar</v>
          </cell>
          <cell r="E4779">
            <v>10560017</v>
          </cell>
          <cell r="F4779" t="str">
            <v>0033</v>
          </cell>
          <cell r="G4779">
            <v>13</v>
          </cell>
          <cell r="H4779">
            <v>29.56</v>
          </cell>
          <cell r="I4779">
            <v>1194.0867161189999</v>
          </cell>
          <cell r="J4779">
            <v>0</v>
          </cell>
          <cell r="K4779">
            <v>0</v>
          </cell>
          <cell r="L4779">
            <v>0</v>
          </cell>
          <cell r="M4779">
            <v>0</v>
          </cell>
          <cell r="P4779">
            <v>1194</v>
          </cell>
          <cell r="V4779" t="str">
            <v>Available</v>
          </cell>
        </row>
        <row r="4780">
          <cell r="A4780" t="str">
            <v>105600170034</v>
          </cell>
          <cell r="B4780" t="str">
            <v>Chautham</v>
          </cell>
          <cell r="C4780" t="str">
            <v>Chautham</v>
          </cell>
          <cell r="D4780" t="str">
            <v>Gomukh Telihar</v>
          </cell>
          <cell r="E4780">
            <v>10560017</v>
          </cell>
          <cell r="F4780" t="str">
            <v>0034</v>
          </cell>
          <cell r="G4780">
            <v>13</v>
          </cell>
          <cell r="H4780">
            <v>28.44</v>
          </cell>
          <cell r="I4780">
            <v>1157.6308283757201</v>
          </cell>
          <cell r="J4780">
            <v>0</v>
          </cell>
          <cell r="K4780">
            <v>0</v>
          </cell>
          <cell r="L4780">
            <v>0</v>
          </cell>
          <cell r="M4780">
            <v>0</v>
          </cell>
          <cell r="P4780">
            <v>1158</v>
          </cell>
          <cell r="V4780" t="str">
            <v>Available</v>
          </cell>
        </row>
        <row r="4781">
          <cell r="A4781" t="str">
            <v>105600170042</v>
          </cell>
          <cell r="B4781" t="str">
            <v>Chautham</v>
          </cell>
          <cell r="C4781" t="str">
            <v>Chautham</v>
          </cell>
          <cell r="D4781" t="str">
            <v>Gomukh Telihar</v>
          </cell>
          <cell r="E4781">
            <v>10560017</v>
          </cell>
          <cell r="F4781" t="str">
            <v>0042</v>
          </cell>
          <cell r="G4781">
            <v>14</v>
          </cell>
          <cell r="H4781">
            <v>46.86</v>
          </cell>
          <cell r="I4781">
            <v>1830.5381839733998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P4781">
            <v>1831</v>
          </cell>
          <cell r="V4781" t="str">
            <v>Available</v>
          </cell>
        </row>
        <row r="4782">
          <cell r="A4782" t="str">
            <v>105600220002</v>
          </cell>
          <cell r="B4782" t="str">
            <v>Chautham</v>
          </cell>
          <cell r="C4782" t="str">
            <v>Chautham</v>
          </cell>
          <cell r="D4782" t="str">
            <v xml:space="preserve">Gomukh Paharpur Jilebya </v>
          </cell>
          <cell r="E4782">
            <v>10560022</v>
          </cell>
          <cell r="F4782" t="str">
            <v>0002</v>
          </cell>
          <cell r="G4782">
            <v>14</v>
          </cell>
          <cell r="H4782">
            <v>2036.08</v>
          </cell>
          <cell r="I4782">
            <v>85691.000494123204</v>
          </cell>
          <cell r="J4782">
            <v>0</v>
          </cell>
          <cell r="K4782">
            <v>0</v>
          </cell>
          <cell r="L4782">
            <v>0</v>
          </cell>
          <cell r="M4782">
            <v>0</v>
          </cell>
          <cell r="P4782">
            <v>85691</v>
          </cell>
          <cell r="V4782" t="str">
            <v>Available</v>
          </cell>
        </row>
        <row r="4783">
          <cell r="A4783" t="str">
            <v>105600260002</v>
          </cell>
          <cell r="B4783" t="str">
            <v>Chautham</v>
          </cell>
          <cell r="C4783" t="str">
            <v>Chautham</v>
          </cell>
          <cell r="D4783" t="str">
            <v>Gomukh Azad Nagar</v>
          </cell>
          <cell r="E4783">
            <v>10560026</v>
          </cell>
          <cell r="F4783" t="str">
            <v>0002</v>
          </cell>
          <cell r="G4783">
            <v>14</v>
          </cell>
          <cell r="H4783">
            <v>74.530000000000015</v>
          </cell>
          <cell r="I4783">
            <v>2621.0051510346002</v>
          </cell>
          <cell r="J4783">
            <v>0</v>
          </cell>
          <cell r="K4783">
            <v>0</v>
          </cell>
          <cell r="L4783">
            <v>1139</v>
          </cell>
          <cell r="M4783">
            <v>0</v>
          </cell>
          <cell r="P4783">
            <v>1482</v>
          </cell>
          <cell r="V4783" t="str">
            <v>Available</v>
          </cell>
        </row>
        <row r="4784">
          <cell r="A4784" t="str">
            <v>105600260003</v>
          </cell>
          <cell r="B4784" t="str">
            <v>Chautham</v>
          </cell>
          <cell r="C4784" t="str">
            <v>Chautham</v>
          </cell>
          <cell r="D4784" t="str">
            <v>Gomukh Azad Nagar</v>
          </cell>
          <cell r="E4784">
            <v>10560026</v>
          </cell>
          <cell r="F4784" t="str">
            <v>0003</v>
          </cell>
          <cell r="G4784">
            <v>14</v>
          </cell>
          <cell r="H4784">
            <v>87.750000000000014</v>
          </cell>
          <cell r="I4784">
            <v>3198.7272548880005</v>
          </cell>
          <cell r="J4784">
            <v>0</v>
          </cell>
          <cell r="K4784">
            <v>0</v>
          </cell>
          <cell r="L4784">
            <v>0</v>
          </cell>
          <cell r="M4784">
            <v>0</v>
          </cell>
          <cell r="P4784">
            <v>3199</v>
          </cell>
          <cell r="V4784" t="str">
            <v>Available</v>
          </cell>
        </row>
        <row r="4785">
          <cell r="A4785" t="str">
            <v>105600260004</v>
          </cell>
          <cell r="B4785" t="str">
            <v>Chautham</v>
          </cell>
          <cell r="C4785" t="str">
            <v>Chautham</v>
          </cell>
          <cell r="D4785" t="str">
            <v>Gomukh Azad Nagar</v>
          </cell>
          <cell r="E4785">
            <v>10560026</v>
          </cell>
          <cell r="F4785" t="str">
            <v>0004</v>
          </cell>
          <cell r="G4785">
            <v>14</v>
          </cell>
          <cell r="H4785">
            <v>34.169999999999995</v>
          </cell>
          <cell r="I4785">
            <v>1774.6227844958098</v>
          </cell>
          <cell r="J4785">
            <v>0</v>
          </cell>
          <cell r="K4785">
            <v>0</v>
          </cell>
          <cell r="L4785">
            <v>0</v>
          </cell>
          <cell r="M4785">
            <v>0</v>
          </cell>
          <cell r="P4785">
            <v>1775</v>
          </cell>
          <cell r="V4785" t="str">
            <v>Available</v>
          </cell>
        </row>
        <row r="4786">
          <cell r="A4786" t="str">
            <v>105600260005</v>
          </cell>
          <cell r="B4786" t="str">
            <v>Chautham</v>
          </cell>
          <cell r="C4786" t="str">
            <v>Chautham</v>
          </cell>
          <cell r="D4786" t="str">
            <v>Gomukh Azad Nagar</v>
          </cell>
          <cell r="E4786">
            <v>10560026</v>
          </cell>
          <cell r="F4786" t="str">
            <v>0005</v>
          </cell>
          <cell r="G4786">
            <v>13</v>
          </cell>
          <cell r="H4786">
            <v>31.319999999999997</v>
          </cell>
          <cell r="I4786">
            <v>2094.3248715003001</v>
          </cell>
          <cell r="J4786">
            <v>0</v>
          </cell>
          <cell r="K4786">
            <v>0</v>
          </cell>
          <cell r="L4786">
            <v>0</v>
          </cell>
          <cell r="M4786">
            <v>0</v>
          </cell>
          <cell r="P4786">
            <v>2094</v>
          </cell>
          <cell r="V4786" t="str">
            <v>Available</v>
          </cell>
        </row>
        <row r="4787">
          <cell r="A4787" t="str">
            <v>105600260006</v>
          </cell>
          <cell r="B4787" t="str">
            <v>Chautham</v>
          </cell>
          <cell r="C4787" t="str">
            <v>Chautham</v>
          </cell>
          <cell r="D4787" t="str">
            <v>Gomukh Azad Nagar</v>
          </cell>
          <cell r="E4787">
            <v>10560026</v>
          </cell>
          <cell r="F4787" t="str">
            <v>0006</v>
          </cell>
          <cell r="G4787">
            <v>11</v>
          </cell>
          <cell r="H4787">
            <v>29.36</v>
          </cell>
          <cell r="I4787">
            <v>1105.4216364840001</v>
          </cell>
          <cell r="J4787">
            <v>0</v>
          </cell>
          <cell r="K4787">
            <v>0</v>
          </cell>
          <cell r="L4787">
            <v>0</v>
          </cell>
          <cell r="M4787">
            <v>0</v>
          </cell>
          <cell r="P4787">
            <v>1105</v>
          </cell>
          <cell r="V4787" t="str">
            <v>Available</v>
          </cell>
        </row>
        <row r="4788">
          <cell r="A4788" t="str">
            <v>105600260007</v>
          </cell>
          <cell r="B4788" t="str">
            <v>Chautham</v>
          </cell>
          <cell r="C4788" t="str">
            <v>Chautham</v>
          </cell>
          <cell r="D4788" t="str">
            <v>Gomukh Azad Nagar</v>
          </cell>
          <cell r="E4788">
            <v>10560026</v>
          </cell>
          <cell r="F4788" t="str">
            <v>0007</v>
          </cell>
          <cell r="G4788">
            <v>14</v>
          </cell>
          <cell r="H4788">
            <v>62.669999999999995</v>
          </cell>
          <cell r="I4788">
            <v>2383.742949984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P4788">
            <v>2384</v>
          </cell>
          <cell r="V4788" t="str">
            <v>Available</v>
          </cell>
        </row>
        <row r="4789">
          <cell r="A4789" t="str">
            <v>105600260008</v>
          </cell>
          <cell r="B4789" t="str">
            <v>Chautham</v>
          </cell>
          <cell r="C4789" t="str">
            <v>Chautham</v>
          </cell>
          <cell r="D4789" t="str">
            <v>Gomukh Azad Nagar</v>
          </cell>
          <cell r="E4789">
            <v>10560026</v>
          </cell>
          <cell r="F4789" t="str">
            <v>0008</v>
          </cell>
          <cell r="G4789">
            <v>14</v>
          </cell>
          <cell r="H4789">
            <v>50.060000000000009</v>
          </cell>
          <cell r="I4789">
            <v>2032.6887880200002</v>
          </cell>
          <cell r="J4789">
            <v>0</v>
          </cell>
          <cell r="K4789">
            <v>0</v>
          </cell>
          <cell r="L4789">
            <v>0</v>
          </cell>
          <cell r="M4789">
            <v>0</v>
          </cell>
          <cell r="P4789">
            <v>2033</v>
          </cell>
          <cell r="V4789" t="str">
            <v>Available</v>
          </cell>
        </row>
        <row r="4790">
          <cell r="A4790" t="str">
            <v>105600260013</v>
          </cell>
          <cell r="B4790" t="str">
            <v>Chautham</v>
          </cell>
          <cell r="C4790" t="str">
            <v>Chautham</v>
          </cell>
          <cell r="D4790" t="str">
            <v>Gomukh Azad Nagar</v>
          </cell>
          <cell r="E4790">
            <v>10560026</v>
          </cell>
          <cell r="F4790" t="str">
            <v>0013</v>
          </cell>
          <cell r="G4790">
            <v>13</v>
          </cell>
          <cell r="H4790">
            <v>32.28</v>
          </cell>
          <cell r="I4790">
            <v>1185.9774003000002</v>
          </cell>
          <cell r="J4790">
            <v>0</v>
          </cell>
          <cell r="K4790">
            <v>0</v>
          </cell>
          <cell r="L4790">
            <v>0</v>
          </cell>
          <cell r="M4790">
            <v>0</v>
          </cell>
          <cell r="P4790">
            <v>1186</v>
          </cell>
          <cell r="V4790" t="str">
            <v>Available</v>
          </cell>
        </row>
        <row r="4791">
          <cell r="A4791" t="str">
            <v>105600260015</v>
          </cell>
          <cell r="B4791" t="str">
            <v>Chautham</v>
          </cell>
          <cell r="C4791" t="str">
            <v>Chautham</v>
          </cell>
          <cell r="D4791" t="str">
            <v>Gomukh Azad Nagar</v>
          </cell>
          <cell r="E4791">
            <v>10560026</v>
          </cell>
          <cell r="F4791" t="str">
            <v>0015</v>
          </cell>
          <cell r="G4791">
            <v>6</v>
          </cell>
          <cell r="H4791">
            <v>9.1999999999999993</v>
          </cell>
          <cell r="I4791">
            <v>388.46733977700001</v>
          </cell>
          <cell r="J4791">
            <v>0</v>
          </cell>
          <cell r="K4791">
            <v>0</v>
          </cell>
          <cell r="L4791">
            <v>0</v>
          </cell>
          <cell r="M4791">
            <v>0</v>
          </cell>
          <cell r="P4791">
            <v>388</v>
          </cell>
          <cell r="V4791" t="str">
            <v>Available</v>
          </cell>
        </row>
        <row r="4792">
          <cell r="A4792" t="str">
            <v>105600260016</v>
          </cell>
          <cell r="B4792" t="str">
            <v>Chautham</v>
          </cell>
          <cell r="C4792" t="str">
            <v>Chautham</v>
          </cell>
          <cell r="D4792" t="str">
            <v>Gomukh Azad Nagar</v>
          </cell>
          <cell r="E4792">
            <v>10560026</v>
          </cell>
          <cell r="F4792" t="str">
            <v>0016</v>
          </cell>
          <cell r="G4792">
            <v>2</v>
          </cell>
          <cell r="H4792">
            <v>3.63</v>
          </cell>
          <cell r="I4792">
            <v>128.23729126559999</v>
          </cell>
          <cell r="J4792">
            <v>0</v>
          </cell>
          <cell r="K4792">
            <v>0</v>
          </cell>
          <cell r="L4792">
            <v>0</v>
          </cell>
          <cell r="M4792">
            <v>0</v>
          </cell>
          <cell r="P4792">
            <v>128</v>
          </cell>
          <cell r="V4792" t="str">
            <v>Available</v>
          </cell>
        </row>
        <row r="4793">
          <cell r="A4793" t="str">
            <v>105600260017</v>
          </cell>
          <cell r="B4793" t="str">
            <v>Chautham</v>
          </cell>
          <cell r="C4793" t="str">
            <v>Chautham</v>
          </cell>
          <cell r="D4793" t="str">
            <v>Gomukh Azad Nagar</v>
          </cell>
          <cell r="E4793">
            <v>10560026</v>
          </cell>
          <cell r="F4793" t="str">
            <v>0017</v>
          </cell>
          <cell r="G4793">
            <v>3</v>
          </cell>
          <cell r="H4793">
            <v>6.6999999999999993</v>
          </cell>
          <cell r="I4793">
            <v>247.38600189600001</v>
          </cell>
          <cell r="J4793">
            <v>0</v>
          </cell>
          <cell r="K4793">
            <v>0</v>
          </cell>
          <cell r="L4793">
            <v>0</v>
          </cell>
          <cell r="M4793">
            <v>0</v>
          </cell>
          <cell r="P4793">
            <v>247</v>
          </cell>
          <cell r="V4793" t="str">
            <v>Available</v>
          </cell>
        </row>
        <row r="4794">
          <cell r="A4794" t="str">
            <v>105600260021</v>
          </cell>
          <cell r="B4794" t="str">
            <v>Chautham</v>
          </cell>
          <cell r="C4794" t="str">
            <v>Chautham</v>
          </cell>
          <cell r="D4794" t="str">
            <v>Gomukh Azad Nagar</v>
          </cell>
          <cell r="E4794">
            <v>10560026</v>
          </cell>
          <cell r="F4794" t="str">
            <v>0021</v>
          </cell>
          <cell r="G4794">
            <v>12</v>
          </cell>
          <cell r="H4794">
            <v>56.110000000000007</v>
          </cell>
          <cell r="I4794">
            <v>1984.50441189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P4794">
            <v>1985</v>
          </cell>
          <cell r="V4794" t="str">
            <v>Available</v>
          </cell>
        </row>
        <row r="4795">
          <cell r="A4795" t="str">
            <v>105600260022</v>
          </cell>
          <cell r="B4795" t="str">
            <v>Chautham</v>
          </cell>
          <cell r="C4795" t="str">
            <v>Chautham</v>
          </cell>
          <cell r="D4795" t="str">
            <v>Gomukh Azad Nagar</v>
          </cell>
          <cell r="E4795">
            <v>10560026</v>
          </cell>
          <cell r="F4795" t="str">
            <v>0022</v>
          </cell>
          <cell r="G4795">
            <v>13</v>
          </cell>
          <cell r="H4795">
            <v>83.36999999999999</v>
          </cell>
          <cell r="I4795">
            <v>3023.0777208926006</v>
          </cell>
          <cell r="J4795">
            <v>0</v>
          </cell>
          <cell r="K4795">
            <v>0</v>
          </cell>
          <cell r="L4795">
            <v>0</v>
          </cell>
          <cell r="M4795">
            <v>0</v>
          </cell>
          <cell r="P4795">
            <v>3023</v>
          </cell>
          <cell r="V4795" t="str">
            <v>Available</v>
          </cell>
        </row>
        <row r="4796">
          <cell r="A4796" t="str">
            <v>105600260024</v>
          </cell>
          <cell r="B4796" t="str">
            <v>Chautham</v>
          </cell>
          <cell r="C4796" t="str">
            <v>Chautham</v>
          </cell>
          <cell r="D4796" t="str">
            <v>Gomukh Azad Nagar</v>
          </cell>
          <cell r="E4796">
            <v>10560026</v>
          </cell>
          <cell r="F4796" t="str">
            <v>0024</v>
          </cell>
          <cell r="G4796">
            <v>13</v>
          </cell>
          <cell r="H4796">
            <v>50.930000000000007</v>
          </cell>
          <cell r="I4796">
            <v>1810.907719632</v>
          </cell>
          <cell r="J4796">
            <v>0</v>
          </cell>
          <cell r="K4796">
            <v>0</v>
          </cell>
          <cell r="L4796">
            <v>0</v>
          </cell>
          <cell r="M4796">
            <v>0</v>
          </cell>
          <cell r="P4796">
            <v>1811</v>
          </cell>
          <cell r="V4796" t="str">
            <v>Available</v>
          </cell>
        </row>
        <row r="4797">
          <cell r="A4797" t="str">
            <v>105600260025</v>
          </cell>
          <cell r="B4797" t="str">
            <v>Chautham</v>
          </cell>
          <cell r="C4797" t="str">
            <v>Chautham</v>
          </cell>
          <cell r="D4797" t="str">
            <v>Gomukh Azad Nagar</v>
          </cell>
          <cell r="E4797">
            <v>10560026</v>
          </cell>
          <cell r="F4797" t="str">
            <v>0025</v>
          </cell>
          <cell r="G4797">
            <v>14</v>
          </cell>
          <cell r="H4797">
            <v>40.909999999999997</v>
          </cell>
          <cell r="I4797">
            <v>1452.7305208944001</v>
          </cell>
          <cell r="J4797">
            <v>0</v>
          </cell>
          <cell r="K4797">
            <v>0</v>
          </cell>
          <cell r="L4797">
            <v>0</v>
          </cell>
          <cell r="M4797">
            <v>0</v>
          </cell>
          <cell r="P4797">
            <v>1453</v>
          </cell>
          <cell r="V4797" t="str">
            <v>Available</v>
          </cell>
        </row>
        <row r="4798">
          <cell r="A4798" t="str">
            <v>105600260027</v>
          </cell>
          <cell r="B4798" t="str">
            <v>Chautham</v>
          </cell>
          <cell r="C4798" t="str">
            <v>Chautham</v>
          </cell>
          <cell r="D4798" t="str">
            <v>Gomukh Azad Nagar</v>
          </cell>
          <cell r="E4798">
            <v>10560026</v>
          </cell>
          <cell r="F4798" t="str">
            <v>0027</v>
          </cell>
          <cell r="G4798">
            <v>11</v>
          </cell>
          <cell r="H4798">
            <v>42.660000000000004</v>
          </cell>
          <cell r="I4798">
            <v>1540.0602428309999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P4798">
            <v>1540</v>
          </cell>
          <cell r="V4798" t="str">
            <v>Available</v>
          </cell>
        </row>
        <row r="4799">
          <cell r="A4799" t="str">
            <v>105600260037</v>
          </cell>
          <cell r="B4799" t="str">
            <v>Chautham</v>
          </cell>
          <cell r="C4799" t="str">
            <v>Chautham</v>
          </cell>
          <cell r="D4799" t="str">
            <v>Gomukh Azad Nagar</v>
          </cell>
          <cell r="E4799">
            <v>10560026</v>
          </cell>
          <cell r="F4799" t="str">
            <v>0037</v>
          </cell>
          <cell r="G4799">
            <v>8</v>
          </cell>
          <cell r="H4799">
            <v>17.329999999999998</v>
          </cell>
          <cell r="I4799">
            <v>662.03513612279994</v>
          </cell>
          <cell r="J4799">
            <v>0</v>
          </cell>
          <cell r="K4799">
            <v>0</v>
          </cell>
          <cell r="L4799">
            <v>0</v>
          </cell>
          <cell r="M4799">
            <v>0</v>
          </cell>
          <cell r="P4799">
            <v>662</v>
          </cell>
          <cell r="V4799" t="str">
            <v>Available</v>
          </cell>
        </row>
        <row r="4800">
          <cell r="A4800" t="str">
            <v>105600260038</v>
          </cell>
          <cell r="B4800" t="str">
            <v>Chautham</v>
          </cell>
          <cell r="C4800" t="str">
            <v>Chautham</v>
          </cell>
          <cell r="D4800" t="str">
            <v>Gomukh Azad Nagar</v>
          </cell>
          <cell r="E4800">
            <v>10560026</v>
          </cell>
          <cell r="F4800" t="str">
            <v>0038</v>
          </cell>
          <cell r="G4800">
            <v>14</v>
          </cell>
          <cell r="H4800">
            <v>182.94</v>
          </cell>
          <cell r="I4800">
            <v>7362.8523405360011</v>
          </cell>
          <cell r="J4800">
            <v>0</v>
          </cell>
          <cell r="K4800">
            <v>0</v>
          </cell>
          <cell r="L4800">
            <v>0</v>
          </cell>
          <cell r="M4800">
            <v>0</v>
          </cell>
          <cell r="P4800">
            <v>7363</v>
          </cell>
          <cell r="V4800" t="str">
            <v>Available</v>
          </cell>
        </row>
        <row r="4801">
          <cell r="A4801" t="str">
            <v>105600260042</v>
          </cell>
          <cell r="B4801" t="str">
            <v>Chautham</v>
          </cell>
          <cell r="C4801" t="str">
            <v>Chautham</v>
          </cell>
          <cell r="D4801" t="str">
            <v>Gomukh Azad Nagar</v>
          </cell>
          <cell r="E4801">
            <v>10560026</v>
          </cell>
          <cell r="F4801" t="str">
            <v>0042</v>
          </cell>
          <cell r="G4801">
            <v>14</v>
          </cell>
          <cell r="H4801">
            <v>78.199999999999989</v>
          </cell>
          <cell r="I4801">
            <v>3144.8424815280005</v>
          </cell>
          <cell r="J4801">
            <v>0</v>
          </cell>
          <cell r="K4801">
            <v>0</v>
          </cell>
          <cell r="L4801">
            <v>0</v>
          </cell>
          <cell r="M4801">
            <v>0</v>
          </cell>
          <cell r="P4801">
            <v>3145</v>
          </cell>
          <cell r="V4801" t="str">
            <v>Available</v>
          </cell>
        </row>
        <row r="4802">
          <cell r="A4802" t="str">
            <v>105600260046</v>
          </cell>
          <cell r="B4802" t="str">
            <v>Chautham</v>
          </cell>
          <cell r="C4802" t="str">
            <v>Chautham</v>
          </cell>
          <cell r="D4802" t="str">
            <v>Gomukh Azad Nagar</v>
          </cell>
          <cell r="E4802">
            <v>10560026</v>
          </cell>
          <cell r="F4802" t="str">
            <v>0046</v>
          </cell>
          <cell r="G4802">
            <v>14</v>
          </cell>
          <cell r="H4802">
            <v>68.290000000000006</v>
          </cell>
          <cell r="I4802">
            <v>2571.4359819719998</v>
          </cell>
          <cell r="J4802">
            <v>0</v>
          </cell>
          <cell r="K4802">
            <v>0</v>
          </cell>
          <cell r="L4802">
            <v>0</v>
          </cell>
          <cell r="M4802">
            <v>0</v>
          </cell>
          <cell r="P4802">
            <v>2571</v>
          </cell>
          <cell r="V4802" t="str">
            <v>Available</v>
          </cell>
        </row>
        <row r="4803">
          <cell r="A4803" t="str">
            <v>105600260047</v>
          </cell>
          <cell r="B4803" t="str">
            <v>Chautham</v>
          </cell>
          <cell r="C4803" t="str">
            <v>Chautham</v>
          </cell>
          <cell r="D4803" t="str">
            <v>Gomukh Azad Nagar</v>
          </cell>
          <cell r="E4803">
            <v>10560026</v>
          </cell>
          <cell r="F4803" t="str">
            <v>0047</v>
          </cell>
          <cell r="G4803">
            <v>12</v>
          </cell>
          <cell r="H4803">
            <v>58.740000000000009</v>
          </cell>
          <cell r="I4803">
            <v>2395.6091200800001</v>
          </cell>
          <cell r="J4803">
            <v>0</v>
          </cell>
          <cell r="K4803">
            <v>0</v>
          </cell>
          <cell r="L4803">
            <v>0</v>
          </cell>
          <cell r="M4803">
            <v>0</v>
          </cell>
          <cell r="P4803">
            <v>2396</v>
          </cell>
          <cell r="V4803" t="str">
            <v>Available</v>
          </cell>
        </row>
        <row r="4804">
          <cell r="A4804" t="str">
            <v>105600270002</v>
          </cell>
          <cell r="B4804" t="str">
            <v>Chautham</v>
          </cell>
          <cell r="C4804" t="str">
            <v>Chautham</v>
          </cell>
          <cell r="D4804" t="str">
            <v>Gomukh Purani Hrdia</v>
          </cell>
          <cell r="E4804">
            <v>10560027</v>
          </cell>
          <cell r="F4804" t="str">
            <v>0002</v>
          </cell>
          <cell r="G4804">
            <v>1</v>
          </cell>
          <cell r="H4804">
            <v>278.8</v>
          </cell>
          <cell r="I4804">
            <v>10709.56369296</v>
          </cell>
          <cell r="J4804">
            <v>0</v>
          </cell>
          <cell r="K4804">
            <v>0</v>
          </cell>
          <cell r="L4804">
            <v>0</v>
          </cell>
          <cell r="M4804">
            <v>0</v>
          </cell>
          <cell r="P4804">
            <v>10710</v>
          </cell>
          <cell r="V4804" t="str">
            <v>Available</v>
          </cell>
        </row>
        <row r="4805">
          <cell r="A4805" t="str">
            <v>105600280002</v>
          </cell>
          <cell r="B4805" t="str">
            <v>Chautham</v>
          </cell>
          <cell r="C4805" t="str">
            <v>Chautham</v>
          </cell>
          <cell r="D4805" t="str">
            <v>Gomukh Uttari Hardia</v>
          </cell>
          <cell r="E4805">
            <v>10560028</v>
          </cell>
          <cell r="F4805" t="str">
            <v>0002</v>
          </cell>
          <cell r="G4805">
            <v>1</v>
          </cell>
          <cell r="H4805">
            <v>371.78</v>
          </cell>
          <cell r="I4805">
            <v>15164.574869664002</v>
          </cell>
          <cell r="J4805">
            <v>0</v>
          </cell>
          <cell r="K4805">
            <v>0</v>
          </cell>
          <cell r="L4805">
            <v>3</v>
          </cell>
          <cell r="M4805">
            <v>0</v>
          </cell>
          <cell r="P4805">
            <v>15162</v>
          </cell>
          <cell r="V4805" t="str">
            <v>Available</v>
          </cell>
        </row>
        <row r="4806">
          <cell r="A4806" t="str">
            <v>105600290002</v>
          </cell>
          <cell r="B4806" t="str">
            <v>Chautham</v>
          </cell>
          <cell r="C4806" t="str">
            <v>Chautham</v>
          </cell>
          <cell r="D4806" t="str">
            <v>Gomukh Murli</v>
          </cell>
          <cell r="E4806">
            <v>10560029</v>
          </cell>
          <cell r="F4806" t="str">
            <v>0002</v>
          </cell>
          <cell r="G4806">
            <v>13</v>
          </cell>
          <cell r="H4806">
            <v>162.29</v>
          </cell>
          <cell r="I4806">
            <v>7631.8982696515377</v>
          </cell>
          <cell r="J4806">
            <v>0</v>
          </cell>
          <cell r="K4806">
            <v>0</v>
          </cell>
          <cell r="L4806">
            <v>1155</v>
          </cell>
          <cell r="M4806">
            <v>0</v>
          </cell>
          <cell r="P4806">
            <v>6477</v>
          </cell>
          <cell r="V4806" t="str">
            <v>Available</v>
          </cell>
        </row>
        <row r="4807">
          <cell r="A4807" t="str">
            <v>105600310002</v>
          </cell>
          <cell r="B4807" t="str">
            <v>Chautham</v>
          </cell>
          <cell r="C4807" t="str">
            <v>Chautham</v>
          </cell>
          <cell r="D4807" t="str">
            <v>Gomukh Nirpur Keshv Nagar</v>
          </cell>
          <cell r="E4807">
            <v>10560031</v>
          </cell>
          <cell r="F4807" t="str">
            <v>0002</v>
          </cell>
          <cell r="G4807">
            <v>14</v>
          </cell>
          <cell r="H4807">
            <v>583.34</v>
          </cell>
          <cell r="I4807">
            <v>20975.931904831203</v>
          </cell>
          <cell r="J4807">
            <v>0</v>
          </cell>
          <cell r="K4807">
            <v>0</v>
          </cell>
          <cell r="L4807">
            <v>0</v>
          </cell>
          <cell r="M4807">
            <v>0</v>
          </cell>
          <cell r="P4807">
            <v>20976</v>
          </cell>
          <cell r="V4807" t="str">
            <v>Available</v>
          </cell>
        </row>
        <row r="4808">
          <cell r="A4808" t="str">
            <v>105600330002</v>
          </cell>
          <cell r="B4808" t="str">
            <v>Chautham</v>
          </cell>
          <cell r="C4808" t="str">
            <v>Chautham</v>
          </cell>
          <cell r="D4808" t="str">
            <v>Gomukh Thuthi Vlc</v>
          </cell>
          <cell r="E4808">
            <v>10560033</v>
          </cell>
          <cell r="F4808" t="str">
            <v>0002</v>
          </cell>
          <cell r="G4808">
            <v>1</v>
          </cell>
          <cell r="H4808">
            <v>184.64</v>
          </cell>
          <cell r="I4808">
            <v>7409.4362115840004</v>
          </cell>
          <cell r="J4808">
            <v>0</v>
          </cell>
          <cell r="K4808">
            <v>0</v>
          </cell>
          <cell r="L4808">
            <v>0</v>
          </cell>
          <cell r="M4808">
            <v>0</v>
          </cell>
          <cell r="P4808">
            <v>7409</v>
          </cell>
          <cell r="V4808" t="str">
            <v>Available</v>
          </cell>
        </row>
        <row r="4809">
          <cell r="A4809" t="str">
            <v>105600350002</v>
          </cell>
          <cell r="B4809" t="str">
            <v>Chautham</v>
          </cell>
          <cell r="C4809" t="str">
            <v>Chautham</v>
          </cell>
          <cell r="D4809" t="str">
            <v>Gomukh Kharra Basa</v>
          </cell>
          <cell r="E4809">
            <v>10560035</v>
          </cell>
          <cell r="F4809" t="str">
            <v>0002</v>
          </cell>
          <cell r="G4809">
            <v>14</v>
          </cell>
          <cell r="H4809">
            <v>232.17999999999995</v>
          </cell>
          <cell r="I4809">
            <v>8912.4979002839991</v>
          </cell>
          <cell r="J4809">
            <v>0</v>
          </cell>
          <cell r="K4809">
            <v>0</v>
          </cell>
          <cell r="L4809">
            <v>174</v>
          </cell>
          <cell r="M4809">
            <v>0</v>
          </cell>
          <cell r="P4809">
            <v>8738</v>
          </cell>
          <cell r="V4809" t="str">
            <v>Available</v>
          </cell>
        </row>
        <row r="4810">
          <cell r="A4810" t="str">
            <v>105600360002</v>
          </cell>
          <cell r="B4810" t="str">
            <v>Chautham</v>
          </cell>
          <cell r="C4810" t="str">
            <v>Chautham</v>
          </cell>
          <cell r="D4810" t="str">
            <v>Gomukh Bangalia</v>
          </cell>
          <cell r="E4810">
            <v>10560036</v>
          </cell>
          <cell r="F4810" t="str">
            <v>0002</v>
          </cell>
          <cell r="G4810">
            <v>14</v>
          </cell>
          <cell r="H4810">
            <v>365.98999999999995</v>
          </cell>
          <cell r="I4810">
            <v>17852.130171540401</v>
          </cell>
          <cell r="J4810">
            <v>0</v>
          </cell>
          <cell r="K4810">
            <v>0</v>
          </cell>
          <cell r="L4810">
            <v>3076</v>
          </cell>
          <cell r="M4810">
            <v>0</v>
          </cell>
          <cell r="P4810">
            <v>14776</v>
          </cell>
          <cell r="V4810" t="str">
            <v>Available</v>
          </cell>
        </row>
        <row r="4811">
          <cell r="A4811" t="str">
            <v>105600370002</v>
          </cell>
          <cell r="B4811" t="str">
            <v>Chautham</v>
          </cell>
          <cell r="C4811" t="str">
            <v>Chautham</v>
          </cell>
          <cell r="D4811" t="str">
            <v>Gomukh Soharba Purvi</v>
          </cell>
          <cell r="E4811">
            <v>10560037</v>
          </cell>
          <cell r="F4811" t="str">
            <v>0002</v>
          </cell>
          <cell r="G4811">
            <v>12</v>
          </cell>
          <cell r="H4811">
            <v>240.82000000000002</v>
          </cell>
          <cell r="I4811">
            <v>9298.8707063472011</v>
          </cell>
          <cell r="J4811">
            <v>0</v>
          </cell>
          <cell r="K4811">
            <v>0</v>
          </cell>
          <cell r="L4811">
            <v>48</v>
          </cell>
          <cell r="M4811">
            <v>0</v>
          </cell>
          <cell r="P4811">
            <v>9251</v>
          </cell>
          <cell r="V4811" t="str">
            <v>Available</v>
          </cell>
        </row>
        <row r="4812">
          <cell r="A4812" t="str">
            <v>105700010002</v>
          </cell>
          <cell r="B4812" t="str">
            <v>Warisnagar</v>
          </cell>
          <cell r="C4812" t="str">
            <v>Warisnagar</v>
          </cell>
          <cell r="D4812" t="str">
            <v>Karian</v>
          </cell>
          <cell r="E4812">
            <v>10570001</v>
          </cell>
          <cell r="F4812" t="str">
            <v>0002</v>
          </cell>
          <cell r="G4812">
            <v>14</v>
          </cell>
          <cell r="H4812">
            <v>72.199999999999989</v>
          </cell>
          <cell r="I4812">
            <v>3095.8765143063001</v>
          </cell>
          <cell r="J4812">
            <v>0</v>
          </cell>
          <cell r="K4812">
            <v>0</v>
          </cell>
          <cell r="L4812">
            <v>13</v>
          </cell>
          <cell r="M4812">
            <v>0</v>
          </cell>
          <cell r="P4812">
            <v>2999</v>
          </cell>
          <cell r="V4812" t="str">
            <v>Available</v>
          </cell>
        </row>
        <row r="4813">
          <cell r="A4813" t="str">
            <v>105700030002</v>
          </cell>
          <cell r="B4813" t="str">
            <v>Warisnagar</v>
          </cell>
          <cell r="C4813" t="str">
            <v>Warisnagar</v>
          </cell>
          <cell r="D4813" t="str">
            <v>Teghara</v>
          </cell>
          <cell r="E4813">
            <v>10570003</v>
          </cell>
          <cell r="F4813" t="str">
            <v>0002</v>
          </cell>
          <cell r="G4813">
            <v>13</v>
          </cell>
          <cell r="H4813">
            <v>192.3</v>
          </cell>
          <cell r="I4813">
            <v>7476.8326491126008</v>
          </cell>
          <cell r="J4813">
            <v>0</v>
          </cell>
          <cell r="K4813">
            <v>0</v>
          </cell>
          <cell r="L4813">
            <v>3</v>
          </cell>
          <cell r="M4813">
            <v>0</v>
          </cell>
          <cell r="P4813">
            <v>7474</v>
          </cell>
          <cell r="V4813" t="str">
            <v>Available</v>
          </cell>
        </row>
        <row r="4814">
          <cell r="A4814" t="str">
            <v>105700030003</v>
          </cell>
          <cell r="B4814" t="str">
            <v>Warisnagar</v>
          </cell>
          <cell r="C4814" t="str">
            <v>Warisnagar</v>
          </cell>
          <cell r="D4814" t="str">
            <v>Teghara</v>
          </cell>
          <cell r="E4814">
            <v>10570003</v>
          </cell>
          <cell r="F4814" t="str">
            <v>0003</v>
          </cell>
          <cell r="G4814">
            <v>7</v>
          </cell>
          <cell r="H4814">
            <v>23.400000000000002</v>
          </cell>
          <cell r="I4814">
            <v>927.69581124000001</v>
          </cell>
          <cell r="J4814">
            <v>0</v>
          </cell>
          <cell r="K4814">
            <v>0</v>
          </cell>
          <cell r="L4814">
            <v>0</v>
          </cell>
          <cell r="M4814">
            <v>0</v>
          </cell>
          <cell r="P4814">
            <v>928</v>
          </cell>
          <cell r="V4814" t="str">
            <v>Not Available</v>
          </cell>
        </row>
        <row r="4815">
          <cell r="A4815" t="str">
            <v>105700030004</v>
          </cell>
          <cell r="B4815" t="str">
            <v>Warisnagar</v>
          </cell>
          <cell r="C4815" t="str">
            <v>Warisnagar</v>
          </cell>
          <cell r="D4815" t="str">
            <v>Teghara</v>
          </cell>
          <cell r="E4815">
            <v>10570003</v>
          </cell>
          <cell r="F4815" t="str">
            <v>0004</v>
          </cell>
          <cell r="G4815">
            <v>2</v>
          </cell>
          <cell r="H4815">
            <v>2.8</v>
          </cell>
          <cell r="I4815">
            <v>117.32474160000001</v>
          </cell>
          <cell r="J4815">
            <v>0</v>
          </cell>
          <cell r="K4815">
            <v>0</v>
          </cell>
          <cell r="L4815">
            <v>0</v>
          </cell>
          <cell r="M4815">
            <v>0</v>
          </cell>
          <cell r="P4815">
            <v>117</v>
          </cell>
          <cell r="V4815" t="str">
            <v>Not Available</v>
          </cell>
        </row>
        <row r="4816">
          <cell r="A4816" t="str">
            <v>105700070002</v>
          </cell>
          <cell r="B4816" t="str">
            <v>Warisnagar</v>
          </cell>
          <cell r="C4816" t="str">
            <v>Warisnagar</v>
          </cell>
          <cell r="D4816" t="str">
            <v>Basantpur</v>
          </cell>
          <cell r="E4816">
            <v>10570007</v>
          </cell>
          <cell r="F4816" t="str">
            <v>0002</v>
          </cell>
          <cell r="G4816">
            <v>14</v>
          </cell>
          <cell r="H4816">
            <v>904.89999999999986</v>
          </cell>
          <cell r="I4816">
            <v>43172.382222824104</v>
          </cell>
          <cell r="J4816">
            <v>0</v>
          </cell>
          <cell r="K4816">
            <v>0</v>
          </cell>
          <cell r="L4816">
            <v>0</v>
          </cell>
          <cell r="M4816">
            <v>0</v>
          </cell>
          <cell r="P4816">
            <v>42792</v>
          </cell>
          <cell r="V4816" t="str">
            <v>Available</v>
          </cell>
        </row>
        <row r="4817">
          <cell r="A4817" t="str">
            <v>105700080001</v>
          </cell>
          <cell r="B4817" t="str">
            <v>Warisnagar</v>
          </cell>
          <cell r="C4817" t="str">
            <v>Warisnagar</v>
          </cell>
          <cell r="D4817" t="str">
            <v>Chakoti</v>
          </cell>
          <cell r="E4817">
            <v>10570008</v>
          </cell>
          <cell r="F4817" t="str">
            <v>0001</v>
          </cell>
          <cell r="G4817">
            <v>13</v>
          </cell>
          <cell r="H4817">
            <v>18.100000000000001</v>
          </cell>
          <cell r="I4817">
            <v>743.94543736722017</v>
          </cell>
          <cell r="J4817">
            <v>0</v>
          </cell>
          <cell r="K4817">
            <v>743.94543736722017</v>
          </cell>
          <cell r="L4817">
            <v>0</v>
          </cell>
          <cell r="M4817">
            <v>0</v>
          </cell>
          <cell r="P4817">
            <v>0</v>
          </cell>
          <cell r="V4817" t="str">
            <v>Not Available</v>
          </cell>
        </row>
        <row r="4818">
          <cell r="A4818" t="str">
            <v>105700080002</v>
          </cell>
          <cell r="B4818" t="str">
            <v>Warisnagar</v>
          </cell>
          <cell r="C4818" t="str">
            <v>Warisnagar</v>
          </cell>
          <cell r="D4818" t="str">
            <v>Chakoti</v>
          </cell>
          <cell r="E4818">
            <v>10570008</v>
          </cell>
          <cell r="F4818" t="str">
            <v>0002</v>
          </cell>
          <cell r="G4818">
            <v>11</v>
          </cell>
          <cell r="H4818">
            <v>92.40000000000002</v>
          </cell>
          <cell r="I4818">
            <v>3450.5463966886009</v>
          </cell>
          <cell r="J4818">
            <v>0</v>
          </cell>
          <cell r="K4818">
            <v>0</v>
          </cell>
          <cell r="L4818">
            <v>0</v>
          </cell>
          <cell r="M4818">
            <v>0</v>
          </cell>
          <cell r="P4818">
            <v>3451</v>
          </cell>
          <cell r="V4818" t="str">
            <v>Available</v>
          </cell>
        </row>
        <row r="4819">
          <cell r="A4819" t="str">
            <v>105700080003</v>
          </cell>
          <cell r="B4819" t="str">
            <v>Warisnagar</v>
          </cell>
          <cell r="C4819" t="str">
            <v>Warisnagar</v>
          </cell>
          <cell r="D4819" t="str">
            <v>Chakoti</v>
          </cell>
          <cell r="E4819">
            <v>10570008</v>
          </cell>
          <cell r="F4819" t="str">
            <v>0003</v>
          </cell>
          <cell r="G4819">
            <v>14</v>
          </cell>
          <cell r="H4819">
            <v>124.00000000000003</v>
          </cell>
          <cell r="I4819">
            <v>4725.9949876719993</v>
          </cell>
          <cell r="J4819">
            <v>0</v>
          </cell>
          <cell r="K4819">
            <v>0</v>
          </cell>
          <cell r="L4819">
            <v>0</v>
          </cell>
          <cell r="M4819">
            <v>0</v>
          </cell>
          <cell r="P4819">
            <v>4726</v>
          </cell>
          <cell r="V4819" t="str">
            <v>Not Available</v>
          </cell>
        </row>
        <row r="4820">
          <cell r="A4820" t="str">
            <v>105700080004</v>
          </cell>
          <cell r="B4820" t="str">
            <v>Warisnagar</v>
          </cell>
          <cell r="C4820" t="str">
            <v>Warisnagar</v>
          </cell>
          <cell r="D4820" t="str">
            <v>Chakoti</v>
          </cell>
          <cell r="E4820">
            <v>10570008</v>
          </cell>
          <cell r="F4820" t="str">
            <v>0004</v>
          </cell>
          <cell r="G4820">
            <v>14</v>
          </cell>
          <cell r="H4820">
            <v>99.5</v>
          </cell>
          <cell r="I4820">
            <v>3703.6472262919997</v>
          </cell>
          <cell r="J4820">
            <v>0</v>
          </cell>
          <cell r="K4820">
            <v>0</v>
          </cell>
          <cell r="L4820">
            <v>0</v>
          </cell>
          <cell r="M4820">
            <v>0</v>
          </cell>
          <cell r="P4820">
            <v>3704</v>
          </cell>
          <cell r="V4820" t="str">
            <v>Not Available</v>
          </cell>
        </row>
        <row r="4821">
          <cell r="A4821" t="str">
            <v>105700080005</v>
          </cell>
          <cell r="B4821" t="str">
            <v>Warisnagar</v>
          </cell>
          <cell r="C4821" t="str">
            <v>Warisnagar</v>
          </cell>
          <cell r="D4821" t="str">
            <v>Chakoti</v>
          </cell>
          <cell r="E4821">
            <v>10570008</v>
          </cell>
          <cell r="F4821" t="str">
            <v>0005</v>
          </cell>
          <cell r="G4821">
            <v>14</v>
          </cell>
          <cell r="H4821">
            <v>94.4</v>
          </cell>
          <cell r="I4821">
            <v>3896.8566231823993</v>
          </cell>
          <cell r="J4821">
            <v>0</v>
          </cell>
          <cell r="K4821">
            <v>0</v>
          </cell>
          <cell r="L4821">
            <v>0</v>
          </cell>
          <cell r="M4821">
            <v>0</v>
          </cell>
          <cell r="P4821">
            <v>3897</v>
          </cell>
          <cell r="V4821" t="str">
            <v>Not Available</v>
          </cell>
        </row>
        <row r="4822">
          <cell r="A4822" t="str">
            <v>105700080006</v>
          </cell>
          <cell r="B4822" t="str">
            <v>Warisnagar</v>
          </cell>
          <cell r="C4822" t="str">
            <v>Warisnagar</v>
          </cell>
          <cell r="D4822" t="str">
            <v>Chakoti</v>
          </cell>
          <cell r="E4822">
            <v>10570008</v>
          </cell>
          <cell r="F4822" t="str">
            <v>0006</v>
          </cell>
          <cell r="G4822">
            <v>14</v>
          </cell>
          <cell r="H4822">
            <v>113.30000000000004</v>
          </cell>
          <cell r="I4822">
            <v>4293.6516781350001</v>
          </cell>
          <cell r="J4822">
            <v>0</v>
          </cell>
          <cell r="K4822">
            <v>0</v>
          </cell>
          <cell r="L4822">
            <v>0</v>
          </cell>
          <cell r="M4822">
            <v>0</v>
          </cell>
          <cell r="P4822">
            <v>4294</v>
          </cell>
          <cell r="V4822" t="str">
            <v>Not Available</v>
          </cell>
        </row>
        <row r="4823">
          <cell r="A4823" t="str">
            <v>105700080008</v>
          </cell>
          <cell r="B4823" t="str">
            <v>Warisnagar</v>
          </cell>
          <cell r="C4823" t="str">
            <v>Warisnagar</v>
          </cell>
          <cell r="D4823" t="str">
            <v>Chakoti</v>
          </cell>
          <cell r="E4823">
            <v>10570008</v>
          </cell>
          <cell r="F4823" t="str">
            <v>0008</v>
          </cell>
          <cell r="G4823">
            <v>14</v>
          </cell>
          <cell r="H4823">
            <v>79.800000000000011</v>
          </cell>
          <cell r="I4823">
            <v>2951.1568630923007</v>
          </cell>
          <cell r="J4823">
            <v>0</v>
          </cell>
          <cell r="K4823">
            <v>0</v>
          </cell>
          <cell r="L4823">
            <v>0</v>
          </cell>
          <cell r="M4823">
            <v>0</v>
          </cell>
          <cell r="P4823">
            <v>2951</v>
          </cell>
          <cell r="V4823" t="str">
            <v>Not Available</v>
          </cell>
        </row>
        <row r="4824">
          <cell r="A4824" t="str">
            <v>105700080009</v>
          </cell>
          <cell r="B4824" t="str">
            <v>Warisnagar</v>
          </cell>
          <cell r="C4824" t="str">
            <v>Warisnagar</v>
          </cell>
          <cell r="D4824" t="str">
            <v>Chakoti</v>
          </cell>
          <cell r="E4824">
            <v>10570008</v>
          </cell>
          <cell r="F4824" t="str">
            <v>0009</v>
          </cell>
          <cell r="G4824">
            <v>14</v>
          </cell>
          <cell r="H4824">
            <v>74.899999999999991</v>
          </cell>
          <cell r="I4824">
            <v>2719.5443779476009</v>
          </cell>
          <cell r="J4824">
            <v>0</v>
          </cell>
          <cell r="K4824">
            <v>0</v>
          </cell>
          <cell r="L4824">
            <v>0</v>
          </cell>
          <cell r="M4824">
            <v>0</v>
          </cell>
          <cell r="P4824">
            <v>2720</v>
          </cell>
          <cell r="V4824" t="str">
            <v>Not Available</v>
          </cell>
        </row>
        <row r="4825">
          <cell r="A4825" t="str">
            <v>105700080010</v>
          </cell>
          <cell r="B4825" t="str">
            <v>Warisnagar</v>
          </cell>
          <cell r="C4825" t="str">
            <v>Warisnagar</v>
          </cell>
          <cell r="D4825" t="str">
            <v>Chakoti</v>
          </cell>
          <cell r="E4825">
            <v>10570008</v>
          </cell>
          <cell r="F4825" t="str">
            <v>0010</v>
          </cell>
          <cell r="G4825">
            <v>13</v>
          </cell>
          <cell r="H4825">
            <v>85.40000000000002</v>
          </cell>
          <cell r="I4825">
            <v>3104.5098815460001</v>
          </cell>
          <cell r="J4825">
            <v>0</v>
          </cell>
          <cell r="K4825">
            <v>0</v>
          </cell>
          <cell r="L4825">
            <v>0</v>
          </cell>
          <cell r="M4825">
            <v>0</v>
          </cell>
          <cell r="P4825">
            <v>3105</v>
          </cell>
          <cell r="V4825" t="str">
            <v>Not Available</v>
          </cell>
        </row>
        <row r="4826">
          <cell r="A4826" t="str">
            <v>105700080011</v>
          </cell>
          <cell r="B4826" t="str">
            <v>Warisnagar</v>
          </cell>
          <cell r="C4826" t="str">
            <v>Warisnagar</v>
          </cell>
          <cell r="D4826" t="str">
            <v>Chakoti</v>
          </cell>
          <cell r="E4826">
            <v>10570008</v>
          </cell>
          <cell r="F4826" t="str">
            <v>0011</v>
          </cell>
          <cell r="G4826">
            <v>14</v>
          </cell>
          <cell r="H4826">
            <v>102.4</v>
          </cell>
          <cell r="I4826">
            <v>3603.3710163423998</v>
          </cell>
          <cell r="J4826">
            <v>0</v>
          </cell>
          <cell r="K4826">
            <v>0</v>
          </cell>
          <cell r="L4826">
            <v>0</v>
          </cell>
          <cell r="M4826">
            <v>0</v>
          </cell>
          <cell r="P4826">
            <v>3603</v>
          </cell>
          <cell r="V4826" t="str">
            <v>Not Available</v>
          </cell>
        </row>
        <row r="4827">
          <cell r="A4827" t="str">
            <v>105700080012</v>
          </cell>
          <cell r="B4827" t="str">
            <v>Warisnagar</v>
          </cell>
          <cell r="C4827" t="str">
            <v>Warisnagar</v>
          </cell>
          <cell r="D4827" t="str">
            <v>Chakoti</v>
          </cell>
          <cell r="E4827">
            <v>10570008</v>
          </cell>
          <cell r="F4827" t="str">
            <v>0012</v>
          </cell>
          <cell r="G4827">
            <v>13</v>
          </cell>
          <cell r="H4827">
            <v>59.2</v>
          </cell>
          <cell r="I4827">
            <v>2165.7438571739999</v>
          </cell>
          <cell r="J4827">
            <v>0</v>
          </cell>
          <cell r="K4827">
            <v>0</v>
          </cell>
          <cell r="L4827">
            <v>0</v>
          </cell>
          <cell r="M4827">
            <v>0</v>
          </cell>
          <cell r="P4827">
            <v>2166</v>
          </cell>
          <cell r="V4827" t="str">
            <v>Not Available</v>
          </cell>
        </row>
        <row r="4828">
          <cell r="A4828" t="str">
            <v>105700080013</v>
          </cell>
          <cell r="B4828" t="str">
            <v>Warisnagar</v>
          </cell>
          <cell r="C4828" t="str">
            <v>Warisnagar</v>
          </cell>
          <cell r="D4828" t="str">
            <v>Chakoti</v>
          </cell>
          <cell r="E4828">
            <v>10570008</v>
          </cell>
          <cell r="F4828" t="str">
            <v>0013</v>
          </cell>
          <cell r="G4828">
            <v>14</v>
          </cell>
          <cell r="H4828">
            <v>91.800000000000011</v>
          </cell>
          <cell r="I4828">
            <v>3532.4772931510001</v>
          </cell>
          <cell r="J4828">
            <v>0</v>
          </cell>
          <cell r="K4828">
            <v>0</v>
          </cell>
          <cell r="L4828">
            <v>0</v>
          </cell>
          <cell r="M4828">
            <v>0</v>
          </cell>
          <cell r="P4828">
            <v>3532</v>
          </cell>
          <cell r="V4828" t="str">
            <v>Not Available</v>
          </cell>
        </row>
        <row r="4829">
          <cell r="A4829" t="str">
            <v>105700080014</v>
          </cell>
          <cell r="B4829" t="str">
            <v>Warisnagar</v>
          </cell>
          <cell r="C4829" t="str">
            <v>Warisnagar</v>
          </cell>
          <cell r="D4829" t="str">
            <v>Chakoti</v>
          </cell>
          <cell r="E4829">
            <v>10570008</v>
          </cell>
          <cell r="F4829" t="str">
            <v>0014</v>
          </cell>
          <cell r="G4829">
            <v>14</v>
          </cell>
          <cell r="H4829">
            <v>88.499999999999986</v>
          </cell>
          <cell r="I4829">
            <v>3567.6463569439002</v>
          </cell>
          <cell r="J4829">
            <v>0</v>
          </cell>
          <cell r="K4829">
            <v>0</v>
          </cell>
          <cell r="L4829">
            <v>0</v>
          </cell>
          <cell r="M4829">
            <v>0</v>
          </cell>
          <cell r="P4829">
            <v>3568</v>
          </cell>
          <cell r="V4829" t="str">
            <v>Not Available</v>
          </cell>
        </row>
        <row r="4830">
          <cell r="A4830" t="str">
            <v>105700080015</v>
          </cell>
          <cell r="B4830" t="str">
            <v>Warisnagar</v>
          </cell>
          <cell r="C4830" t="str">
            <v>Warisnagar</v>
          </cell>
          <cell r="D4830" t="str">
            <v>Chakoti</v>
          </cell>
          <cell r="E4830">
            <v>10570008</v>
          </cell>
          <cell r="F4830" t="str">
            <v>0015</v>
          </cell>
          <cell r="G4830">
            <v>14</v>
          </cell>
          <cell r="H4830">
            <v>87.899999999999991</v>
          </cell>
          <cell r="I4830">
            <v>3291.1707500401803</v>
          </cell>
          <cell r="J4830">
            <v>0</v>
          </cell>
          <cell r="K4830">
            <v>0</v>
          </cell>
          <cell r="L4830">
            <v>0</v>
          </cell>
          <cell r="M4830">
            <v>0</v>
          </cell>
          <cell r="P4830">
            <v>3291</v>
          </cell>
          <cell r="V4830" t="str">
            <v>Not Available</v>
          </cell>
        </row>
        <row r="4831">
          <cell r="A4831" t="str">
            <v>105700080016</v>
          </cell>
          <cell r="B4831" t="str">
            <v>Warisnagar</v>
          </cell>
          <cell r="C4831" t="str">
            <v>Warisnagar</v>
          </cell>
          <cell r="D4831" t="str">
            <v>Chakoti</v>
          </cell>
          <cell r="E4831">
            <v>10570008</v>
          </cell>
          <cell r="F4831" t="str">
            <v>0016</v>
          </cell>
          <cell r="G4831">
            <v>12</v>
          </cell>
          <cell r="H4831">
            <v>110.2</v>
          </cell>
          <cell r="I4831">
            <v>3835.588717818001</v>
          </cell>
          <cell r="J4831">
            <v>0</v>
          </cell>
          <cell r="K4831">
            <v>0</v>
          </cell>
          <cell r="L4831">
            <v>0</v>
          </cell>
          <cell r="M4831">
            <v>0</v>
          </cell>
          <cell r="P4831">
            <v>3836</v>
          </cell>
          <cell r="V4831" t="str">
            <v>Not Available</v>
          </cell>
        </row>
        <row r="4832">
          <cell r="A4832" t="str">
            <v>105700080017</v>
          </cell>
          <cell r="B4832" t="str">
            <v>Warisnagar</v>
          </cell>
          <cell r="C4832" t="str">
            <v>Warisnagar</v>
          </cell>
          <cell r="D4832" t="str">
            <v>Chakoti</v>
          </cell>
          <cell r="E4832">
            <v>10570008</v>
          </cell>
          <cell r="F4832" t="str">
            <v>0017</v>
          </cell>
          <cell r="G4832">
            <v>12</v>
          </cell>
          <cell r="H4832">
            <v>69.900000000000006</v>
          </cell>
          <cell r="I4832">
            <v>2754.8410351800003</v>
          </cell>
          <cell r="J4832">
            <v>0</v>
          </cell>
          <cell r="K4832">
            <v>0</v>
          </cell>
          <cell r="L4832">
            <v>0</v>
          </cell>
          <cell r="M4832">
            <v>0</v>
          </cell>
          <cell r="P4832">
            <v>2755</v>
          </cell>
          <cell r="V4832" t="str">
            <v>Not Available</v>
          </cell>
        </row>
        <row r="4833">
          <cell r="A4833" t="str">
            <v>105700090002</v>
          </cell>
          <cell r="B4833" t="str">
            <v>Warisnagar</v>
          </cell>
          <cell r="C4833" t="str">
            <v>Warisnagar</v>
          </cell>
          <cell r="D4833" t="str">
            <v>Nathudawar</v>
          </cell>
          <cell r="E4833">
            <v>10570009</v>
          </cell>
          <cell r="F4833" t="str">
            <v>0002</v>
          </cell>
          <cell r="G4833">
            <v>12</v>
          </cell>
          <cell r="H4833">
            <v>529.70000000000005</v>
          </cell>
          <cell r="I4833">
            <v>20660.424546888004</v>
          </cell>
          <cell r="J4833">
            <v>0</v>
          </cell>
          <cell r="K4833">
            <v>0</v>
          </cell>
          <cell r="L4833">
            <v>0</v>
          </cell>
          <cell r="M4833">
            <v>0</v>
          </cell>
          <cell r="P4833">
            <v>20660</v>
          </cell>
          <cell r="V4833" t="str">
            <v>Available</v>
          </cell>
        </row>
        <row r="4834">
          <cell r="A4834" t="str">
            <v>105700090003</v>
          </cell>
          <cell r="B4834" t="str">
            <v>Warisnagar</v>
          </cell>
          <cell r="C4834" t="str">
            <v>Warisnagar</v>
          </cell>
          <cell r="D4834" t="str">
            <v>Nathudawar</v>
          </cell>
          <cell r="E4834">
            <v>10570009</v>
          </cell>
          <cell r="F4834" t="str">
            <v>0003</v>
          </cell>
          <cell r="G4834">
            <v>1</v>
          </cell>
          <cell r="H4834">
            <v>84.8</v>
          </cell>
          <cell r="I4834">
            <v>3315.6177500159997</v>
          </cell>
          <cell r="J4834">
            <v>0</v>
          </cell>
          <cell r="K4834">
            <v>0</v>
          </cell>
          <cell r="L4834">
            <v>0</v>
          </cell>
          <cell r="M4834">
            <v>0</v>
          </cell>
          <cell r="P4834">
            <v>3316</v>
          </cell>
          <cell r="V4834" t="str">
            <v>Not Available</v>
          </cell>
        </row>
        <row r="4835">
          <cell r="A4835" t="str">
            <v>105700090007</v>
          </cell>
          <cell r="B4835" t="str">
            <v>Warisnagar</v>
          </cell>
          <cell r="C4835" t="str">
            <v>Warisnagar</v>
          </cell>
          <cell r="D4835" t="str">
            <v>Nathudawar</v>
          </cell>
          <cell r="E4835">
            <v>10570009</v>
          </cell>
          <cell r="F4835" t="str">
            <v>0007</v>
          </cell>
          <cell r="G4835">
            <v>1</v>
          </cell>
          <cell r="H4835">
            <v>3.9</v>
          </cell>
          <cell r="I4835">
            <v>133.43997466800002</v>
          </cell>
          <cell r="J4835">
            <v>0</v>
          </cell>
          <cell r="K4835">
            <v>0</v>
          </cell>
          <cell r="L4835">
            <v>0</v>
          </cell>
          <cell r="M4835">
            <v>0</v>
          </cell>
          <cell r="P4835">
            <v>133</v>
          </cell>
          <cell r="V4835" t="str">
            <v>Not Available</v>
          </cell>
        </row>
        <row r="4836">
          <cell r="A4836" t="str">
            <v>105700170002</v>
          </cell>
          <cell r="B4836" t="str">
            <v>Warisnagar</v>
          </cell>
          <cell r="C4836" t="str">
            <v>Warisnagar</v>
          </cell>
          <cell r="D4836" t="str">
            <v>Dewanpur</v>
          </cell>
          <cell r="E4836">
            <v>10570017</v>
          </cell>
          <cell r="F4836" t="str">
            <v>0002</v>
          </cell>
          <cell r="G4836">
            <v>7</v>
          </cell>
          <cell r="H4836">
            <v>79.800000000000011</v>
          </cell>
          <cell r="I4836">
            <v>3580.3871785440006</v>
          </cell>
          <cell r="J4836">
            <v>0</v>
          </cell>
          <cell r="K4836">
            <v>0</v>
          </cell>
          <cell r="L4836">
            <v>30</v>
          </cell>
          <cell r="M4836">
            <v>0</v>
          </cell>
          <cell r="P4836">
            <v>3491</v>
          </cell>
          <cell r="V4836" t="str">
            <v>Available</v>
          </cell>
        </row>
        <row r="4837">
          <cell r="A4837" t="str">
            <v>105700170003</v>
          </cell>
          <cell r="B4837" t="str">
            <v>Warisnagar</v>
          </cell>
          <cell r="C4837" t="str">
            <v>Warisnagar</v>
          </cell>
          <cell r="D4837" t="str">
            <v>Dewanpur</v>
          </cell>
          <cell r="E4837">
            <v>10570017</v>
          </cell>
          <cell r="F4837" t="str">
            <v>0003</v>
          </cell>
          <cell r="G4837">
            <v>4</v>
          </cell>
          <cell r="H4837">
            <v>4.9000000000000004</v>
          </cell>
          <cell r="I4837">
            <v>211.69504753600003</v>
          </cell>
          <cell r="J4837">
            <v>0</v>
          </cell>
          <cell r="K4837">
            <v>0</v>
          </cell>
          <cell r="L4837">
            <v>0</v>
          </cell>
          <cell r="M4837">
            <v>0</v>
          </cell>
          <cell r="P4837">
            <v>212</v>
          </cell>
          <cell r="V4837" t="str">
            <v>Not Available</v>
          </cell>
        </row>
        <row r="4838">
          <cell r="A4838" t="str">
            <v>105700170005</v>
          </cell>
          <cell r="B4838" t="str">
            <v>Warisnagar</v>
          </cell>
          <cell r="C4838" t="str">
            <v>Warisnagar</v>
          </cell>
          <cell r="D4838" t="str">
            <v>Dewanpur</v>
          </cell>
          <cell r="E4838">
            <v>10570017</v>
          </cell>
          <cell r="F4838" t="str">
            <v>0005</v>
          </cell>
          <cell r="G4838">
            <v>1</v>
          </cell>
          <cell r="H4838">
            <v>1.2</v>
          </cell>
          <cell r="I4838">
            <v>39.458628792000006</v>
          </cell>
          <cell r="J4838">
            <v>0</v>
          </cell>
          <cell r="K4838">
            <v>0</v>
          </cell>
          <cell r="L4838">
            <v>0</v>
          </cell>
          <cell r="M4838">
            <v>0</v>
          </cell>
          <cell r="P4838">
            <v>39</v>
          </cell>
          <cell r="V4838" t="str">
            <v>Not Available</v>
          </cell>
        </row>
        <row r="4839">
          <cell r="A4839" t="str">
            <v>105700170006</v>
          </cell>
          <cell r="B4839" t="str">
            <v>Warisnagar</v>
          </cell>
          <cell r="C4839" t="str">
            <v>Warisnagar</v>
          </cell>
          <cell r="D4839" t="str">
            <v>Dewanpur</v>
          </cell>
          <cell r="E4839">
            <v>10570017</v>
          </cell>
          <cell r="F4839" t="str">
            <v>0006</v>
          </cell>
          <cell r="G4839">
            <v>3</v>
          </cell>
          <cell r="H4839">
            <v>5.5</v>
          </cell>
          <cell r="I4839">
            <v>276.39426790799996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P4839">
            <v>276</v>
          </cell>
          <cell r="V4839" t="str">
            <v>Not Available</v>
          </cell>
        </row>
        <row r="4840">
          <cell r="A4840" t="str">
            <v>105700170007</v>
          </cell>
          <cell r="B4840" t="str">
            <v>Warisnagar</v>
          </cell>
          <cell r="C4840" t="str">
            <v>Warisnagar</v>
          </cell>
          <cell r="D4840" t="str">
            <v>Dewanpur</v>
          </cell>
          <cell r="E4840">
            <v>10570017</v>
          </cell>
          <cell r="F4840" t="str">
            <v>0007</v>
          </cell>
          <cell r="G4840">
            <v>5</v>
          </cell>
          <cell r="H4840">
            <v>8.5</v>
          </cell>
          <cell r="I4840">
            <v>332.41614534600001</v>
          </cell>
          <cell r="J4840">
            <v>0</v>
          </cell>
          <cell r="K4840">
            <v>0</v>
          </cell>
          <cell r="L4840">
            <v>0</v>
          </cell>
          <cell r="M4840">
            <v>0</v>
          </cell>
          <cell r="P4840">
            <v>332</v>
          </cell>
          <cell r="V4840" t="str">
            <v>Not Available</v>
          </cell>
        </row>
        <row r="4841">
          <cell r="A4841" t="str">
            <v>105700170009</v>
          </cell>
          <cell r="B4841" t="str">
            <v>Warisnagar</v>
          </cell>
          <cell r="C4841" t="str">
            <v>Warisnagar</v>
          </cell>
          <cell r="D4841" t="str">
            <v>Dewanpur</v>
          </cell>
          <cell r="E4841">
            <v>10570017</v>
          </cell>
          <cell r="F4841" t="str">
            <v>0009</v>
          </cell>
          <cell r="G4841">
            <v>4</v>
          </cell>
          <cell r="H4841">
            <v>7.3</v>
          </cell>
          <cell r="I4841">
            <v>387.85612932460003</v>
          </cell>
          <cell r="J4841">
            <v>0</v>
          </cell>
          <cell r="K4841">
            <v>0</v>
          </cell>
          <cell r="L4841">
            <v>0</v>
          </cell>
          <cell r="M4841">
            <v>0</v>
          </cell>
          <cell r="P4841">
            <v>388</v>
          </cell>
          <cell r="V4841" t="str">
            <v>Not Available</v>
          </cell>
        </row>
        <row r="4842">
          <cell r="A4842" t="str">
            <v>105700170011</v>
          </cell>
          <cell r="B4842" t="str">
            <v>Warisnagar</v>
          </cell>
          <cell r="C4842" t="str">
            <v>Warisnagar</v>
          </cell>
          <cell r="D4842" t="str">
            <v>Dewanpur</v>
          </cell>
          <cell r="E4842">
            <v>10570017</v>
          </cell>
          <cell r="F4842" t="str">
            <v>0011</v>
          </cell>
          <cell r="G4842">
            <v>3</v>
          </cell>
          <cell r="H4842">
            <v>5.6</v>
          </cell>
          <cell r="I4842">
            <v>229.96888196400005</v>
          </cell>
          <cell r="J4842">
            <v>0</v>
          </cell>
          <cell r="K4842">
            <v>0</v>
          </cell>
          <cell r="L4842">
            <v>0</v>
          </cell>
          <cell r="M4842">
            <v>0</v>
          </cell>
          <cell r="P4842">
            <v>230</v>
          </cell>
          <cell r="V4842" t="str">
            <v>Not Available</v>
          </cell>
        </row>
        <row r="4843">
          <cell r="A4843" t="str">
            <v>105700170014</v>
          </cell>
          <cell r="B4843" t="str">
            <v>Warisnagar</v>
          </cell>
          <cell r="C4843" t="str">
            <v>Warisnagar</v>
          </cell>
          <cell r="D4843" t="str">
            <v>Dewanpur</v>
          </cell>
          <cell r="E4843">
            <v>10570017</v>
          </cell>
          <cell r="F4843" t="str">
            <v>0014</v>
          </cell>
          <cell r="G4843">
            <v>1</v>
          </cell>
          <cell r="H4843">
            <v>1.2</v>
          </cell>
          <cell r="I4843">
            <v>60.563016360000006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P4843">
            <v>61</v>
          </cell>
          <cell r="V4843" t="str">
            <v>Not Available</v>
          </cell>
        </row>
        <row r="4844">
          <cell r="A4844" t="str">
            <v>105700180001</v>
          </cell>
          <cell r="B4844" t="str">
            <v>Warisnagar</v>
          </cell>
          <cell r="C4844" t="str">
            <v>Warisnagar</v>
          </cell>
          <cell r="D4844" t="str">
            <v>Gohi</v>
          </cell>
          <cell r="E4844">
            <v>10570018</v>
          </cell>
          <cell r="F4844" t="str">
            <v>0001</v>
          </cell>
          <cell r="G4844">
            <v>14</v>
          </cell>
          <cell r="H4844">
            <v>7</v>
          </cell>
          <cell r="I4844">
            <v>277.59052728</v>
          </cell>
          <cell r="J4844">
            <v>0</v>
          </cell>
          <cell r="K4844">
            <v>277.59052728</v>
          </cell>
          <cell r="L4844">
            <v>0</v>
          </cell>
          <cell r="M4844">
            <v>0</v>
          </cell>
          <cell r="P4844">
            <v>0</v>
          </cell>
          <cell r="V4844" t="str">
            <v>Not Available</v>
          </cell>
        </row>
        <row r="4845">
          <cell r="A4845" t="str">
            <v>105700180002</v>
          </cell>
          <cell r="B4845" t="str">
            <v>Warisnagar</v>
          </cell>
          <cell r="C4845" t="str">
            <v>Warisnagar</v>
          </cell>
          <cell r="D4845" t="str">
            <v>Gohi</v>
          </cell>
          <cell r="E4845">
            <v>10570018</v>
          </cell>
          <cell r="F4845" t="str">
            <v>0002</v>
          </cell>
          <cell r="G4845">
            <v>14</v>
          </cell>
          <cell r="H4845">
            <v>81.499999999999972</v>
          </cell>
          <cell r="I4845">
            <v>3343.9023177120002</v>
          </cell>
          <cell r="J4845">
            <v>0</v>
          </cell>
          <cell r="K4845">
            <v>0</v>
          </cell>
          <cell r="L4845">
            <v>0</v>
          </cell>
          <cell r="M4845">
            <v>0</v>
          </cell>
          <cell r="P4845">
            <v>3344</v>
          </cell>
          <cell r="V4845" t="str">
            <v>Available</v>
          </cell>
        </row>
        <row r="4846">
          <cell r="A4846" t="str">
            <v>105700180003</v>
          </cell>
          <cell r="B4846" t="str">
            <v>Warisnagar</v>
          </cell>
          <cell r="C4846" t="str">
            <v>Warisnagar</v>
          </cell>
          <cell r="D4846" t="str">
            <v>Gohi</v>
          </cell>
          <cell r="E4846">
            <v>10570018</v>
          </cell>
          <cell r="F4846" t="str">
            <v>0003</v>
          </cell>
          <cell r="G4846">
            <v>14</v>
          </cell>
          <cell r="H4846">
            <v>62.800000000000004</v>
          </cell>
          <cell r="I4846">
            <v>2284.23564072</v>
          </cell>
          <cell r="J4846">
            <v>0</v>
          </cell>
          <cell r="K4846">
            <v>0</v>
          </cell>
          <cell r="L4846">
            <v>0</v>
          </cell>
          <cell r="M4846">
            <v>0</v>
          </cell>
          <cell r="P4846">
            <v>2284</v>
          </cell>
          <cell r="V4846" t="str">
            <v>Not Available</v>
          </cell>
        </row>
        <row r="4847">
          <cell r="A4847" t="str">
            <v>105700180004</v>
          </cell>
          <cell r="B4847" t="str">
            <v>Warisnagar</v>
          </cell>
          <cell r="C4847" t="str">
            <v>Warisnagar</v>
          </cell>
          <cell r="D4847" t="str">
            <v>Gohi</v>
          </cell>
          <cell r="E4847">
            <v>10570018</v>
          </cell>
          <cell r="F4847" t="str">
            <v>0004</v>
          </cell>
          <cell r="G4847">
            <v>14</v>
          </cell>
          <cell r="H4847">
            <v>35.9</v>
          </cell>
          <cell r="I4847">
            <v>1473.5921559480005</v>
          </cell>
          <cell r="J4847">
            <v>0</v>
          </cell>
          <cell r="K4847">
            <v>0</v>
          </cell>
          <cell r="L4847">
            <v>0</v>
          </cell>
          <cell r="M4847">
            <v>0</v>
          </cell>
          <cell r="P4847">
            <v>1474</v>
          </cell>
          <cell r="V4847" t="str">
            <v>Not Available</v>
          </cell>
        </row>
        <row r="4848">
          <cell r="A4848" t="str">
            <v>105700180005</v>
          </cell>
          <cell r="B4848" t="str">
            <v>Warisnagar</v>
          </cell>
          <cell r="C4848" t="str">
            <v>Warisnagar</v>
          </cell>
          <cell r="D4848" t="str">
            <v>Gohi</v>
          </cell>
          <cell r="E4848">
            <v>10570018</v>
          </cell>
          <cell r="F4848" t="str">
            <v>0005</v>
          </cell>
          <cell r="G4848">
            <v>11</v>
          </cell>
          <cell r="H4848">
            <v>19.5</v>
          </cell>
          <cell r="I4848">
            <v>675.81295214399995</v>
          </cell>
          <cell r="J4848">
            <v>0</v>
          </cell>
          <cell r="K4848">
            <v>0</v>
          </cell>
          <cell r="L4848">
            <v>0</v>
          </cell>
          <cell r="M4848">
            <v>0</v>
          </cell>
          <cell r="P4848">
            <v>676</v>
          </cell>
          <cell r="V4848" t="str">
            <v>Not Available</v>
          </cell>
        </row>
        <row r="4849">
          <cell r="A4849" t="str">
            <v>105700180006</v>
          </cell>
          <cell r="B4849" t="str">
            <v>Warisnagar</v>
          </cell>
          <cell r="C4849" t="str">
            <v>Warisnagar</v>
          </cell>
          <cell r="D4849" t="str">
            <v>Gohi</v>
          </cell>
          <cell r="E4849">
            <v>10570018</v>
          </cell>
          <cell r="F4849" t="str">
            <v>0006</v>
          </cell>
          <cell r="G4849">
            <v>12</v>
          </cell>
          <cell r="H4849">
            <v>21.9</v>
          </cell>
          <cell r="I4849">
            <v>786.88101452400008</v>
          </cell>
          <cell r="J4849">
            <v>0</v>
          </cell>
          <cell r="K4849">
            <v>0</v>
          </cell>
          <cell r="L4849">
            <v>0</v>
          </cell>
          <cell r="M4849">
            <v>0</v>
          </cell>
          <cell r="P4849">
            <v>787</v>
          </cell>
          <cell r="V4849" t="str">
            <v>Not Available</v>
          </cell>
        </row>
        <row r="4850">
          <cell r="A4850" t="str">
            <v>105700180007</v>
          </cell>
          <cell r="B4850" t="str">
            <v>Warisnagar</v>
          </cell>
          <cell r="C4850" t="str">
            <v>Warisnagar</v>
          </cell>
          <cell r="D4850" t="str">
            <v>Gohi</v>
          </cell>
          <cell r="E4850">
            <v>10570018</v>
          </cell>
          <cell r="F4850" t="str">
            <v>0007</v>
          </cell>
          <cell r="G4850">
            <v>7</v>
          </cell>
          <cell r="H4850">
            <v>21.5</v>
          </cell>
          <cell r="I4850">
            <v>1429.5709043099998</v>
          </cell>
          <cell r="J4850">
            <v>0</v>
          </cell>
          <cell r="K4850">
            <v>0</v>
          </cell>
          <cell r="L4850">
            <v>0</v>
          </cell>
          <cell r="M4850">
            <v>0</v>
          </cell>
          <cell r="P4850">
            <v>1430</v>
          </cell>
          <cell r="V4850" t="str">
            <v>Not Available</v>
          </cell>
        </row>
        <row r="4851">
          <cell r="A4851" t="str">
            <v>105700180008</v>
          </cell>
          <cell r="B4851" t="str">
            <v>Warisnagar</v>
          </cell>
          <cell r="C4851" t="str">
            <v>Warisnagar</v>
          </cell>
          <cell r="D4851" t="str">
            <v>Gohi</v>
          </cell>
          <cell r="E4851">
            <v>10570018</v>
          </cell>
          <cell r="F4851" t="str">
            <v>0008</v>
          </cell>
          <cell r="G4851">
            <v>14</v>
          </cell>
          <cell r="H4851">
            <v>28.000000000000004</v>
          </cell>
          <cell r="I4851">
            <v>998.43595552800014</v>
          </cell>
          <cell r="J4851">
            <v>0</v>
          </cell>
          <cell r="K4851">
            <v>0</v>
          </cell>
          <cell r="L4851">
            <v>0</v>
          </cell>
          <cell r="M4851">
            <v>0</v>
          </cell>
          <cell r="P4851">
            <v>998</v>
          </cell>
          <cell r="V4851" t="str">
            <v>Not Available</v>
          </cell>
        </row>
        <row r="4852">
          <cell r="A4852" t="str">
            <v>105700180009</v>
          </cell>
          <cell r="B4852" t="str">
            <v>Warisnagar</v>
          </cell>
          <cell r="C4852" t="str">
            <v>Warisnagar</v>
          </cell>
          <cell r="D4852" t="str">
            <v>Gohi</v>
          </cell>
          <cell r="E4852">
            <v>10570018</v>
          </cell>
          <cell r="F4852" t="str">
            <v>0009</v>
          </cell>
          <cell r="G4852">
            <v>14</v>
          </cell>
          <cell r="H4852">
            <v>26</v>
          </cell>
          <cell r="I4852">
            <v>887.26688305200025</v>
          </cell>
          <cell r="J4852">
            <v>0</v>
          </cell>
          <cell r="K4852">
            <v>0</v>
          </cell>
          <cell r="L4852">
            <v>0</v>
          </cell>
          <cell r="M4852">
            <v>0</v>
          </cell>
          <cell r="P4852">
            <v>887</v>
          </cell>
          <cell r="V4852" t="str">
            <v>Not Available</v>
          </cell>
        </row>
        <row r="4853">
          <cell r="A4853" t="str">
            <v>105700180010</v>
          </cell>
          <cell r="B4853" t="str">
            <v>Warisnagar</v>
          </cell>
          <cell r="C4853" t="str">
            <v>Warisnagar</v>
          </cell>
          <cell r="D4853" t="str">
            <v>Gohi</v>
          </cell>
          <cell r="E4853">
            <v>10570018</v>
          </cell>
          <cell r="F4853" t="str">
            <v>0010</v>
          </cell>
          <cell r="G4853">
            <v>8</v>
          </cell>
          <cell r="H4853">
            <v>12.3</v>
          </cell>
          <cell r="I4853">
            <v>743.72362711299991</v>
          </cell>
          <cell r="J4853">
            <v>0</v>
          </cell>
          <cell r="K4853">
            <v>0</v>
          </cell>
          <cell r="L4853">
            <v>0</v>
          </cell>
          <cell r="M4853">
            <v>0</v>
          </cell>
          <cell r="P4853">
            <v>744</v>
          </cell>
          <cell r="V4853" t="str">
            <v>Not Available</v>
          </cell>
        </row>
        <row r="4854">
          <cell r="A4854" t="str">
            <v>105700180011</v>
          </cell>
          <cell r="B4854" t="str">
            <v>Warisnagar</v>
          </cell>
          <cell r="C4854" t="str">
            <v>Warisnagar</v>
          </cell>
          <cell r="D4854" t="str">
            <v>Gohi</v>
          </cell>
          <cell r="E4854">
            <v>10570018</v>
          </cell>
          <cell r="F4854" t="str">
            <v>0011</v>
          </cell>
          <cell r="G4854">
            <v>14</v>
          </cell>
          <cell r="H4854">
            <v>29.300000000000004</v>
          </cell>
          <cell r="I4854">
            <v>1050.2497328400002</v>
          </cell>
          <cell r="J4854">
            <v>0</v>
          </cell>
          <cell r="K4854">
            <v>0</v>
          </cell>
          <cell r="L4854">
            <v>0</v>
          </cell>
          <cell r="M4854">
            <v>0</v>
          </cell>
          <cell r="P4854">
            <v>1050</v>
          </cell>
          <cell r="V4854" t="str">
            <v>Not Available</v>
          </cell>
        </row>
        <row r="4855">
          <cell r="A4855" t="str">
            <v>105700180012</v>
          </cell>
          <cell r="B4855" t="str">
            <v>Warisnagar</v>
          </cell>
          <cell r="C4855" t="str">
            <v>Warisnagar</v>
          </cell>
          <cell r="D4855" t="str">
            <v>Gohi</v>
          </cell>
          <cell r="E4855">
            <v>10570018</v>
          </cell>
          <cell r="F4855" t="str">
            <v>0012</v>
          </cell>
          <cell r="G4855">
            <v>9</v>
          </cell>
          <cell r="H4855">
            <v>20.2</v>
          </cell>
          <cell r="I4855">
            <v>767.54864538000004</v>
          </cell>
          <cell r="J4855">
            <v>0</v>
          </cell>
          <cell r="K4855">
            <v>0</v>
          </cell>
          <cell r="L4855">
            <v>0</v>
          </cell>
          <cell r="M4855">
            <v>0</v>
          </cell>
          <cell r="P4855">
            <v>768</v>
          </cell>
          <cell r="V4855" t="str">
            <v>Not Available</v>
          </cell>
        </row>
        <row r="4856">
          <cell r="A4856" t="str">
            <v>105700180013</v>
          </cell>
          <cell r="B4856" t="str">
            <v>Warisnagar</v>
          </cell>
          <cell r="C4856" t="str">
            <v>Warisnagar</v>
          </cell>
          <cell r="D4856" t="str">
            <v>Gohi</v>
          </cell>
          <cell r="E4856">
            <v>10570018</v>
          </cell>
          <cell r="F4856" t="str">
            <v>0013</v>
          </cell>
          <cell r="G4856">
            <v>10</v>
          </cell>
          <cell r="H4856">
            <v>23.5</v>
          </cell>
          <cell r="I4856">
            <v>826.5928247280001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P4856">
            <v>827</v>
          </cell>
          <cell r="V4856" t="str">
            <v>Not Available</v>
          </cell>
        </row>
        <row r="4857">
          <cell r="A4857" t="str">
            <v>105700190001</v>
          </cell>
          <cell r="B4857" t="str">
            <v>Warisnagar</v>
          </cell>
          <cell r="C4857" t="str">
            <v>Warisnagar</v>
          </cell>
          <cell r="D4857" t="str">
            <v>Matua</v>
          </cell>
          <cell r="E4857">
            <v>10570019</v>
          </cell>
          <cell r="F4857" t="str">
            <v>0001</v>
          </cell>
          <cell r="G4857">
            <v>11</v>
          </cell>
          <cell r="H4857">
            <v>2.4</v>
          </cell>
          <cell r="I4857">
            <v>109.41420616889999</v>
          </cell>
          <cell r="J4857">
            <v>0</v>
          </cell>
          <cell r="K4857">
            <v>109.41420616889999</v>
          </cell>
          <cell r="L4857">
            <v>0</v>
          </cell>
          <cell r="M4857">
            <v>0</v>
          </cell>
          <cell r="P4857">
            <v>0</v>
          </cell>
          <cell r="V4857" t="str">
            <v>Not Available</v>
          </cell>
        </row>
        <row r="4858">
          <cell r="A4858" t="str">
            <v>105700190002</v>
          </cell>
          <cell r="B4858" t="str">
            <v>Warisnagar</v>
          </cell>
          <cell r="C4858" t="str">
            <v>Warisnagar</v>
          </cell>
          <cell r="D4858" t="str">
            <v>Matua</v>
          </cell>
          <cell r="E4858">
            <v>10570019</v>
          </cell>
          <cell r="F4858" t="str">
            <v>0002</v>
          </cell>
          <cell r="G4858">
            <v>12</v>
          </cell>
          <cell r="H4858">
            <v>69.199999999999989</v>
          </cell>
          <cell r="I4858">
            <v>3397.4241088889994</v>
          </cell>
          <cell r="J4858">
            <v>0</v>
          </cell>
          <cell r="K4858">
            <v>0</v>
          </cell>
          <cell r="L4858">
            <v>13</v>
          </cell>
          <cell r="M4858">
            <v>0</v>
          </cell>
          <cell r="P4858">
            <v>3384</v>
          </cell>
          <cell r="V4858" t="str">
            <v>Available</v>
          </cell>
        </row>
        <row r="4859">
          <cell r="A4859" t="str">
            <v>105700190003</v>
          </cell>
          <cell r="B4859" t="str">
            <v>Warisnagar</v>
          </cell>
          <cell r="C4859" t="str">
            <v>Warisnagar</v>
          </cell>
          <cell r="D4859" t="str">
            <v>Matua</v>
          </cell>
          <cell r="E4859">
            <v>10570019</v>
          </cell>
          <cell r="F4859" t="str">
            <v>0003</v>
          </cell>
          <cell r="G4859">
            <v>13</v>
          </cell>
          <cell r="H4859">
            <v>68.3</v>
          </cell>
          <cell r="I4859">
            <v>2810.6119870898001</v>
          </cell>
          <cell r="J4859">
            <v>0</v>
          </cell>
          <cell r="K4859">
            <v>0</v>
          </cell>
          <cell r="L4859">
            <v>0</v>
          </cell>
          <cell r="M4859">
            <v>0</v>
          </cell>
          <cell r="P4859">
            <v>2811</v>
          </cell>
          <cell r="V4859" t="str">
            <v>Available</v>
          </cell>
        </row>
        <row r="4860">
          <cell r="A4860" t="str">
            <v>105700190004</v>
          </cell>
          <cell r="B4860" t="str">
            <v>Warisnagar</v>
          </cell>
          <cell r="C4860" t="str">
            <v>Warisnagar</v>
          </cell>
          <cell r="D4860" t="str">
            <v>Matua</v>
          </cell>
          <cell r="E4860">
            <v>10570019</v>
          </cell>
          <cell r="F4860" t="str">
            <v>0004</v>
          </cell>
          <cell r="G4860">
            <v>12</v>
          </cell>
          <cell r="H4860">
            <v>84.3</v>
          </cell>
          <cell r="I4860">
            <v>3275.9633095200002</v>
          </cell>
          <cell r="J4860">
            <v>0</v>
          </cell>
          <cell r="K4860">
            <v>0</v>
          </cell>
          <cell r="L4860">
            <v>0</v>
          </cell>
          <cell r="M4860">
            <v>0</v>
          </cell>
          <cell r="P4860">
            <v>3276</v>
          </cell>
          <cell r="V4860" t="str">
            <v>Not Available</v>
          </cell>
        </row>
        <row r="4861">
          <cell r="A4861" t="str">
            <v>105700190005</v>
          </cell>
          <cell r="B4861" t="str">
            <v>Warisnagar</v>
          </cell>
          <cell r="C4861" t="str">
            <v>Warisnagar</v>
          </cell>
          <cell r="D4861" t="str">
            <v>Matua</v>
          </cell>
          <cell r="E4861">
            <v>10570019</v>
          </cell>
          <cell r="F4861" t="str">
            <v>0005</v>
          </cell>
          <cell r="G4861">
            <v>6</v>
          </cell>
          <cell r="H4861">
            <v>15.2</v>
          </cell>
          <cell r="I4861">
            <v>597.64685903999998</v>
          </cell>
          <cell r="J4861">
            <v>0</v>
          </cell>
          <cell r="K4861">
            <v>0</v>
          </cell>
          <cell r="L4861">
            <v>0</v>
          </cell>
          <cell r="M4861">
            <v>0</v>
          </cell>
          <cell r="P4861">
            <v>598</v>
          </cell>
          <cell r="V4861" t="str">
            <v>Not Available</v>
          </cell>
        </row>
        <row r="4862">
          <cell r="A4862" t="str">
            <v>105700190006</v>
          </cell>
          <cell r="B4862" t="str">
            <v>Warisnagar</v>
          </cell>
          <cell r="C4862" t="str">
            <v>Warisnagar</v>
          </cell>
          <cell r="D4862" t="str">
            <v>Matua</v>
          </cell>
          <cell r="E4862">
            <v>10570019</v>
          </cell>
          <cell r="F4862" t="str">
            <v>0006</v>
          </cell>
          <cell r="G4862">
            <v>7</v>
          </cell>
          <cell r="H4862">
            <v>379</v>
          </cell>
          <cell r="I4862">
            <v>15143.886046080001</v>
          </cell>
          <cell r="J4862">
            <v>0</v>
          </cell>
          <cell r="K4862">
            <v>0</v>
          </cell>
          <cell r="L4862">
            <v>0</v>
          </cell>
          <cell r="M4862">
            <v>0</v>
          </cell>
          <cell r="P4862">
            <v>15144</v>
          </cell>
          <cell r="V4862" t="str">
            <v>Not Available</v>
          </cell>
        </row>
        <row r="4863">
          <cell r="A4863" t="str">
            <v>105700190007</v>
          </cell>
          <cell r="B4863" t="str">
            <v>Warisnagar</v>
          </cell>
          <cell r="C4863" t="str">
            <v>Warisnagar</v>
          </cell>
          <cell r="D4863" t="str">
            <v>Matua</v>
          </cell>
          <cell r="E4863">
            <v>10570019</v>
          </cell>
          <cell r="F4863" t="str">
            <v>0007</v>
          </cell>
          <cell r="G4863">
            <v>12</v>
          </cell>
          <cell r="H4863">
            <v>29.200000000000003</v>
          </cell>
          <cell r="I4863">
            <v>1870.9597755029999</v>
          </cell>
          <cell r="J4863">
            <v>0</v>
          </cell>
          <cell r="K4863">
            <v>0</v>
          </cell>
          <cell r="L4863">
            <v>0</v>
          </cell>
          <cell r="M4863">
            <v>0</v>
          </cell>
          <cell r="P4863">
            <v>1871</v>
          </cell>
          <cell r="V4863" t="str">
            <v>Available</v>
          </cell>
        </row>
        <row r="4864">
          <cell r="A4864" t="str">
            <v>105700200002</v>
          </cell>
          <cell r="B4864" t="str">
            <v>Warisnagar</v>
          </cell>
          <cell r="C4864" t="str">
            <v>Warisnagar</v>
          </cell>
          <cell r="D4864" t="str">
            <v>Ratni Chouk</v>
          </cell>
          <cell r="E4864">
            <v>10570020</v>
          </cell>
          <cell r="F4864" t="str">
            <v>0002</v>
          </cell>
          <cell r="G4864">
            <v>14</v>
          </cell>
          <cell r="H4864">
            <v>855.40000000000009</v>
          </cell>
          <cell r="I4864">
            <v>37104.762647160009</v>
          </cell>
          <cell r="J4864">
            <v>0</v>
          </cell>
          <cell r="K4864">
            <v>0</v>
          </cell>
          <cell r="L4864">
            <v>3</v>
          </cell>
          <cell r="M4864">
            <v>0</v>
          </cell>
          <cell r="P4864">
            <v>37102</v>
          </cell>
          <cell r="V4864" t="str">
            <v>Available</v>
          </cell>
        </row>
        <row r="4865">
          <cell r="A4865" t="str">
            <v>105700210001</v>
          </cell>
          <cell r="B4865" t="str">
            <v>Warisnagar</v>
          </cell>
          <cell r="C4865" t="str">
            <v>Warisnagar</v>
          </cell>
          <cell r="D4865" t="str">
            <v>Balahi 2</v>
          </cell>
          <cell r="E4865">
            <v>10570021</v>
          </cell>
          <cell r="F4865" t="str">
            <v>0001</v>
          </cell>
          <cell r="G4865">
            <v>6</v>
          </cell>
          <cell r="H4865">
            <v>2</v>
          </cell>
          <cell r="I4865">
            <v>75.936299075999997</v>
          </cell>
          <cell r="J4865">
            <v>0</v>
          </cell>
          <cell r="K4865">
            <v>75.936299075999997</v>
          </cell>
          <cell r="L4865">
            <v>0</v>
          </cell>
          <cell r="M4865">
            <v>0</v>
          </cell>
          <cell r="P4865">
            <v>0</v>
          </cell>
          <cell r="V4865" t="str">
            <v>Not Available</v>
          </cell>
        </row>
        <row r="4866">
          <cell r="A4866" t="str">
            <v>105700210002</v>
          </cell>
          <cell r="B4866" t="str">
            <v>Warisnagar</v>
          </cell>
          <cell r="C4866" t="str">
            <v>Warisnagar</v>
          </cell>
          <cell r="D4866" t="str">
            <v>Balahi 2</v>
          </cell>
          <cell r="E4866">
            <v>10570021</v>
          </cell>
          <cell r="F4866" t="str">
            <v>0002</v>
          </cell>
          <cell r="G4866">
            <v>14</v>
          </cell>
          <cell r="H4866">
            <v>142.5</v>
          </cell>
          <cell r="I4866">
            <v>5149.8932462159701</v>
          </cell>
          <cell r="J4866">
            <v>0</v>
          </cell>
          <cell r="K4866">
            <v>0</v>
          </cell>
          <cell r="L4866">
            <v>1338</v>
          </cell>
          <cell r="M4866">
            <v>0</v>
          </cell>
          <cell r="P4866">
            <v>3812</v>
          </cell>
          <cell r="V4866" t="str">
            <v>Available</v>
          </cell>
        </row>
        <row r="4867">
          <cell r="A4867" t="str">
            <v>105700210003</v>
          </cell>
          <cell r="B4867" t="str">
            <v>Warisnagar</v>
          </cell>
          <cell r="C4867" t="str">
            <v>Warisnagar</v>
          </cell>
          <cell r="D4867" t="str">
            <v>Balahi 2</v>
          </cell>
          <cell r="E4867">
            <v>10570021</v>
          </cell>
          <cell r="F4867" t="str">
            <v>0003</v>
          </cell>
          <cell r="G4867">
            <v>14</v>
          </cell>
          <cell r="H4867">
            <v>128.6</v>
          </cell>
          <cell r="I4867">
            <v>5118.220652487701</v>
          </cell>
          <cell r="J4867">
            <v>0</v>
          </cell>
          <cell r="K4867">
            <v>0</v>
          </cell>
          <cell r="L4867">
            <v>0</v>
          </cell>
          <cell r="M4867">
            <v>0</v>
          </cell>
          <cell r="P4867">
            <v>5118</v>
          </cell>
          <cell r="V4867" t="str">
            <v>Available</v>
          </cell>
        </row>
        <row r="4868">
          <cell r="A4868" t="str">
            <v>105700210004</v>
          </cell>
          <cell r="B4868" t="str">
            <v>Warisnagar</v>
          </cell>
          <cell r="C4868" t="str">
            <v>Warisnagar</v>
          </cell>
          <cell r="D4868" t="str">
            <v>Balahi 2</v>
          </cell>
          <cell r="E4868">
            <v>10570021</v>
          </cell>
          <cell r="F4868" t="str">
            <v>0004</v>
          </cell>
          <cell r="G4868">
            <v>12</v>
          </cell>
          <cell r="H4868">
            <v>76.899999999999991</v>
          </cell>
          <cell r="I4868">
            <v>2717.4459826800003</v>
          </cell>
          <cell r="J4868">
            <v>0</v>
          </cell>
          <cell r="K4868">
            <v>0</v>
          </cell>
          <cell r="L4868">
            <v>0</v>
          </cell>
          <cell r="M4868">
            <v>0</v>
          </cell>
          <cell r="P4868">
            <v>2717</v>
          </cell>
          <cell r="V4868" t="str">
            <v>Available</v>
          </cell>
        </row>
        <row r="4869">
          <cell r="A4869" t="str">
            <v>105700210006</v>
          </cell>
          <cell r="B4869" t="str">
            <v>Warisnagar</v>
          </cell>
          <cell r="C4869" t="str">
            <v>Warisnagar</v>
          </cell>
          <cell r="D4869" t="str">
            <v>Balahi 2</v>
          </cell>
          <cell r="E4869">
            <v>10570021</v>
          </cell>
          <cell r="F4869" t="str">
            <v>0006</v>
          </cell>
          <cell r="G4869">
            <v>13</v>
          </cell>
          <cell r="H4869">
            <v>96.7</v>
          </cell>
          <cell r="I4869">
            <v>3628.1926968280004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P4869">
            <v>3628</v>
          </cell>
          <cell r="V4869" t="str">
            <v>Available</v>
          </cell>
        </row>
        <row r="4870">
          <cell r="A4870" t="str">
            <v>105700210008</v>
          </cell>
          <cell r="B4870" t="str">
            <v>Warisnagar</v>
          </cell>
          <cell r="C4870" t="str">
            <v>Warisnagar</v>
          </cell>
          <cell r="D4870" t="str">
            <v>Balahi 2</v>
          </cell>
          <cell r="E4870">
            <v>10570021</v>
          </cell>
          <cell r="F4870" t="str">
            <v>0008</v>
          </cell>
          <cell r="G4870">
            <v>13</v>
          </cell>
          <cell r="H4870">
            <v>154.30000000000001</v>
          </cell>
          <cell r="I4870">
            <v>5665.0852057139991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P4870">
            <v>5665</v>
          </cell>
          <cell r="V4870" t="str">
            <v>Available</v>
          </cell>
        </row>
        <row r="4871">
          <cell r="A4871" t="str">
            <v>105700210012</v>
          </cell>
          <cell r="B4871" t="str">
            <v>Warisnagar</v>
          </cell>
          <cell r="C4871" t="str">
            <v>Warisnagar</v>
          </cell>
          <cell r="D4871" t="str">
            <v>Balahi 2</v>
          </cell>
          <cell r="E4871">
            <v>10570021</v>
          </cell>
          <cell r="F4871" t="str">
            <v>0012</v>
          </cell>
          <cell r="G4871">
            <v>6</v>
          </cell>
          <cell r="H4871">
            <v>57.9</v>
          </cell>
          <cell r="I4871">
            <v>2025.9833616000001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P4871">
            <v>2026</v>
          </cell>
          <cell r="V4871" t="str">
            <v>Not Available</v>
          </cell>
        </row>
        <row r="4872">
          <cell r="A4872" t="str">
            <v>105700280002</v>
          </cell>
          <cell r="B4872" t="str">
            <v>Warisnagar</v>
          </cell>
          <cell r="C4872" t="str">
            <v>Warisnagar</v>
          </cell>
          <cell r="D4872" t="str">
            <v>Chhatnesar 2</v>
          </cell>
          <cell r="E4872">
            <v>10570028</v>
          </cell>
          <cell r="F4872" t="str">
            <v>0002</v>
          </cell>
          <cell r="G4872">
            <v>12</v>
          </cell>
          <cell r="H4872">
            <v>259.09999999999997</v>
          </cell>
          <cell r="I4872">
            <v>9603.7886289708003</v>
          </cell>
          <cell r="J4872">
            <v>0</v>
          </cell>
          <cell r="K4872">
            <v>0</v>
          </cell>
          <cell r="L4872">
            <v>57</v>
          </cell>
          <cell r="M4872">
            <v>0</v>
          </cell>
          <cell r="P4872">
            <v>9547</v>
          </cell>
          <cell r="V4872" t="str">
            <v>Available</v>
          </cell>
        </row>
        <row r="4873">
          <cell r="A4873" t="str">
            <v>105700280003</v>
          </cell>
          <cell r="B4873" t="str">
            <v>Warisnagar</v>
          </cell>
          <cell r="C4873" t="str">
            <v>Warisnagar</v>
          </cell>
          <cell r="D4873" t="str">
            <v>Chhatnesar 2</v>
          </cell>
          <cell r="E4873">
            <v>10570028</v>
          </cell>
          <cell r="F4873" t="str">
            <v>0003</v>
          </cell>
          <cell r="G4873">
            <v>1</v>
          </cell>
          <cell r="H4873">
            <v>21</v>
          </cell>
          <cell r="I4873">
            <v>856.57128480000017</v>
          </cell>
          <cell r="J4873">
            <v>0</v>
          </cell>
          <cell r="K4873">
            <v>0</v>
          </cell>
          <cell r="L4873">
            <v>0</v>
          </cell>
          <cell r="M4873">
            <v>0</v>
          </cell>
          <cell r="P4873">
            <v>857</v>
          </cell>
          <cell r="V4873" t="str">
            <v>Not Available</v>
          </cell>
        </row>
        <row r="4874">
          <cell r="A4874" t="str">
            <v>105700290002</v>
          </cell>
          <cell r="B4874" t="str">
            <v>Warisnagar</v>
          </cell>
          <cell r="C4874" t="str">
            <v>Warisnagar</v>
          </cell>
          <cell r="D4874" t="str">
            <v>Hajpurwa</v>
          </cell>
          <cell r="E4874">
            <v>10570029</v>
          </cell>
          <cell r="F4874" t="str">
            <v>0002</v>
          </cell>
          <cell r="G4874">
            <v>14</v>
          </cell>
          <cell r="H4874">
            <v>162.09999999999997</v>
          </cell>
          <cell r="I4874">
            <v>6684.9663597419994</v>
          </cell>
          <cell r="J4874">
            <v>0</v>
          </cell>
          <cell r="K4874">
            <v>0</v>
          </cell>
          <cell r="L4874">
            <v>14</v>
          </cell>
          <cell r="M4874">
            <v>0</v>
          </cell>
          <cell r="P4874">
            <v>6574</v>
          </cell>
          <cell r="V4874" t="str">
            <v>Available</v>
          </cell>
        </row>
        <row r="4875">
          <cell r="A4875" t="str">
            <v>105700300002</v>
          </cell>
          <cell r="B4875" t="str">
            <v>Warisnagar</v>
          </cell>
          <cell r="C4875" t="str">
            <v>Warisnagar</v>
          </cell>
          <cell r="D4875" t="str">
            <v>Shekhopur</v>
          </cell>
          <cell r="E4875">
            <v>10570030</v>
          </cell>
          <cell r="F4875" t="str">
            <v>0002</v>
          </cell>
          <cell r="G4875">
            <v>14</v>
          </cell>
          <cell r="H4875">
            <v>291.5</v>
          </cell>
          <cell r="I4875">
            <v>10417.574297988</v>
          </cell>
          <cell r="J4875">
            <v>0</v>
          </cell>
          <cell r="K4875">
            <v>0</v>
          </cell>
          <cell r="L4875">
            <v>0</v>
          </cell>
          <cell r="M4875">
            <v>0</v>
          </cell>
          <cell r="P4875">
            <v>10273</v>
          </cell>
          <cell r="V4875" t="str">
            <v>Available</v>
          </cell>
        </row>
        <row r="4876">
          <cell r="A4876" t="str">
            <v>105700310001</v>
          </cell>
          <cell r="B4876" t="str">
            <v>Warisnagar</v>
          </cell>
          <cell r="C4876" t="str">
            <v>Warisnagar</v>
          </cell>
          <cell r="D4876" t="str">
            <v>Dharampur</v>
          </cell>
          <cell r="E4876">
            <v>10570031</v>
          </cell>
          <cell r="F4876" t="str">
            <v>0001</v>
          </cell>
          <cell r="G4876">
            <v>4</v>
          </cell>
          <cell r="H4876">
            <v>0.5</v>
          </cell>
          <cell r="I4876">
            <v>19.430951759999999</v>
          </cell>
          <cell r="J4876">
            <v>0</v>
          </cell>
          <cell r="K4876">
            <v>19.430951759999999</v>
          </cell>
          <cell r="L4876">
            <v>0</v>
          </cell>
          <cell r="M4876">
            <v>0</v>
          </cell>
          <cell r="P4876">
            <v>0</v>
          </cell>
          <cell r="V4876" t="str">
            <v>Not Available</v>
          </cell>
        </row>
        <row r="4877">
          <cell r="A4877" t="str">
            <v>105700310002</v>
          </cell>
          <cell r="B4877" t="str">
            <v>Warisnagar</v>
          </cell>
          <cell r="C4877" t="str">
            <v>Warisnagar</v>
          </cell>
          <cell r="D4877" t="str">
            <v>Dharampur</v>
          </cell>
          <cell r="E4877">
            <v>10570031</v>
          </cell>
          <cell r="F4877" t="str">
            <v>0002</v>
          </cell>
          <cell r="G4877">
            <v>14</v>
          </cell>
          <cell r="H4877">
            <v>162.59999999999997</v>
          </cell>
          <cell r="I4877">
            <v>6434.6178626550009</v>
          </cell>
          <cell r="J4877">
            <v>0</v>
          </cell>
          <cell r="K4877">
            <v>0</v>
          </cell>
          <cell r="L4877">
            <v>0</v>
          </cell>
          <cell r="M4877">
            <v>0</v>
          </cell>
          <cell r="P4877">
            <v>6435</v>
          </cell>
          <cell r="V4877" t="str">
            <v>Available</v>
          </cell>
        </row>
        <row r="4878">
          <cell r="A4878" t="str">
            <v>105700360002</v>
          </cell>
          <cell r="B4878" t="str">
            <v>Warisnagar</v>
          </cell>
          <cell r="C4878" t="str">
            <v>Warisnagar</v>
          </cell>
          <cell r="D4878" t="str">
            <v>Hajpurwa Pachim</v>
          </cell>
          <cell r="E4878">
            <v>10570036</v>
          </cell>
          <cell r="F4878" t="str">
            <v>0002</v>
          </cell>
          <cell r="G4878">
            <v>14</v>
          </cell>
          <cell r="H4878">
            <v>320.60000000000008</v>
          </cell>
          <cell r="I4878">
            <v>13126.915469206489</v>
          </cell>
          <cell r="J4878">
            <v>0</v>
          </cell>
          <cell r="K4878">
            <v>0</v>
          </cell>
          <cell r="L4878">
            <v>20</v>
          </cell>
          <cell r="M4878">
            <v>0</v>
          </cell>
          <cell r="P4878">
            <v>13107</v>
          </cell>
          <cell r="V4878" t="str">
            <v>Available</v>
          </cell>
        </row>
        <row r="4879">
          <cell r="A4879" t="str">
            <v>105700420002</v>
          </cell>
          <cell r="B4879" t="str">
            <v>Warisnagar</v>
          </cell>
          <cell r="C4879" t="str">
            <v>Warisnagar</v>
          </cell>
          <cell r="D4879" t="str">
            <v>Rahua</v>
          </cell>
          <cell r="E4879">
            <v>10570042</v>
          </cell>
          <cell r="F4879" t="str">
            <v>0002</v>
          </cell>
          <cell r="G4879">
            <v>14</v>
          </cell>
          <cell r="H4879">
            <v>155.50000000000003</v>
          </cell>
          <cell r="I4879">
            <v>6430.3910373914996</v>
          </cell>
          <cell r="J4879">
            <v>0</v>
          </cell>
          <cell r="K4879">
            <v>0</v>
          </cell>
          <cell r="L4879">
            <v>0</v>
          </cell>
          <cell r="M4879">
            <v>0</v>
          </cell>
          <cell r="P4879">
            <v>6430</v>
          </cell>
          <cell r="V4879" t="str">
            <v>Available</v>
          </cell>
        </row>
        <row r="4880">
          <cell r="A4880" t="str">
            <v>105700440002</v>
          </cell>
          <cell r="B4880" t="str">
            <v>Warisnagar</v>
          </cell>
          <cell r="C4880" t="str">
            <v>Warisnagar</v>
          </cell>
          <cell r="D4880" t="str">
            <v>Dagrua</v>
          </cell>
          <cell r="E4880">
            <v>10570044</v>
          </cell>
          <cell r="F4880" t="str">
            <v>0002</v>
          </cell>
          <cell r="G4880">
            <v>11</v>
          </cell>
          <cell r="H4880">
            <v>83.6</v>
          </cell>
          <cell r="I4880">
            <v>3700.3404072000008</v>
          </cell>
          <cell r="J4880">
            <v>0</v>
          </cell>
          <cell r="K4880">
            <v>0</v>
          </cell>
          <cell r="L4880">
            <v>0</v>
          </cell>
          <cell r="M4880">
            <v>0</v>
          </cell>
          <cell r="P4880">
            <v>3700</v>
          </cell>
          <cell r="V4880" t="str">
            <v>Available</v>
          </cell>
        </row>
        <row r="4881">
          <cell r="A4881" t="str">
            <v>105700450002</v>
          </cell>
          <cell r="B4881" t="str">
            <v>Warisnagar</v>
          </cell>
          <cell r="C4881" t="str">
            <v>Warisnagar</v>
          </cell>
          <cell r="D4881" t="str">
            <v>Buzurgdoar</v>
          </cell>
          <cell r="E4881">
            <v>10570045</v>
          </cell>
          <cell r="F4881" t="str">
            <v>0002</v>
          </cell>
          <cell r="G4881">
            <v>14</v>
          </cell>
          <cell r="H4881">
            <v>171.99999999999997</v>
          </cell>
          <cell r="I4881">
            <v>5581.4731020180006</v>
          </cell>
          <cell r="J4881">
            <v>0</v>
          </cell>
          <cell r="K4881">
            <v>0</v>
          </cell>
          <cell r="L4881">
            <v>195</v>
          </cell>
          <cell r="M4881">
            <v>0</v>
          </cell>
          <cell r="P4881">
            <v>5386</v>
          </cell>
          <cell r="V4881" t="str">
            <v>Available</v>
          </cell>
        </row>
        <row r="4882">
          <cell r="A4882" t="str">
            <v>105700450003</v>
          </cell>
          <cell r="B4882" t="str">
            <v>Warisnagar</v>
          </cell>
          <cell r="C4882" t="str">
            <v>Warisnagar</v>
          </cell>
          <cell r="D4882" t="str">
            <v>Buzurgdoar</v>
          </cell>
          <cell r="E4882">
            <v>10570045</v>
          </cell>
          <cell r="F4882" t="str">
            <v>0003</v>
          </cell>
          <cell r="G4882">
            <v>14</v>
          </cell>
          <cell r="H4882">
            <v>599.5</v>
          </cell>
          <cell r="I4882">
            <v>23128.947856378018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P4882">
            <v>23129</v>
          </cell>
          <cell r="V4882" t="str">
            <v>Available</v>
          </cell>
        </row>
        <row r="4883">
          <cell r="A4883" t="str">
            <v>105700450004</v>
          </cell>
          <cell r="B4883" t="str">
            <v>Warisnagar</v>
          </cell>
          <cell r="C4883" t="str">
            <v>Warisnagar</v>
          </cell>
          <cell r="D4883" t="str">
            <v>Buzurgdoar</v>
          </cell>
          <cell r="E4883">
            <v>10570045</v>
          </cell>
          <cell r="F4883" t="str">
            <v>0004</v>
          </cell>
          <cell r="G4883">
            <v>8</v>
          </cell>
          <cell r="H4883">
            <v>26</v>
          </cell>
          <cell r="I4883">
            <v>1003.8548529900002</v>
          </cell>
          <cell r="J4883">
            <v>0</v>
          </cell>
          <cell r="K4883">
            <v>0</v>
          </cell>
          <cell r="L4883">
            <v>0</v>
          </cell>
          <cell r="M4883">
            <v>0</v>
          </cell>
          <cell r="P4883">
            <v>1004</v>
          </cell>
          <cell r="V4883" t="str">
            <v>Available</v>
          </cell>
        </row>
        <row r="4884">
          <cell r="A4884" t="str">
            <v>105700450006</v>
          </cell>
          <cell r="B4884" t="str">
            <v>Warisnagar</v>
          </cell>
          <cell r="C4884" t="str">
            <v>Warisnagar</v>
          </cell>
          <cell r="D4884" t="str">
            <v>Buzurgdoar</v>
          </cell>
          <cell r="E4884">
            <v>10570045</v>
          </cell>
          <cell r="F4884" t="str">
            <v>0006</v>
          </cell>
          <cell r="G4884">
            <v>13</v>
          </cell>
          <cell r="H4884">
            <v>56.5</v>
          </cell>
          <cell r="I4884">
            <v>2306.7622828800004</v>
          </cell>
          <cell r="J4884">
            <v>0</v>
          </cell>
          <cell r="K4884">
            <v>0</v>
          </cell>
          <cell r="L4884">
            <v>0</v>
          </cell>
          <cell r="M4884">
            <v>0</v>
          </cell>
          <cell r="P4884">
            <v>2307</v>
          </cell>
          <cell r="V4884" t="str">
            <v>Available</v>
          </cell>
        </row>
        <row r="4885">
          <cell r="A4885" t="str">
            <v>105700450012</v>
          </cell>
          <cell r="B4885" t="str">
            <v>Warisnagar</v>
          </cell>
          <cell r="C4885" t="str">
            <v>Warisnagar</v>
          </cell>
          <cell r="D4885" t="str">
            <v>Buzurgdoar</v>
          </cell>
          <cell r="E4885">
            <v>10570045</v>
          </cell>
          <cell r="F4885" t="str">
            <v>0012</v>
          </cell>
          <cell r="G4885">
            <v>13</v>
          </cell>
          <cell r="H4885">
            <v>98.8</v>
          </cell>
          <cell r="I4885">
            <v>4276.3834713599999</v>
          </cell>
          <cell r="J4885">
            <v>0</v>
          </cell>
          <cell r="K4885">
            <v>0</v>
          </cell>
          <cell r="L4885">
            <v>0</v>
          </cell>
          <cell r="M4885">
            <v>0</v>
          </cell>
          <cell r="P4885">
            <v>4276</v>
          </cell>
          <cell r="V4885" t="str">
            <v>Available</v>
          </cell>
        </row>
        <row r="4886">
          <cell r="A4886" t="str">
            <v>105700450015</v>
          </cell>
          <cell r="B4886" t="str">
            <v>Warisnagar</v>
          </cell>
          <cell r="C4886" t="str">
            <v>Warisnagar</v>
          </cell>
          <cell r="D4886" t="str">
            <v>Buzurgdoar</v>
          </cell>
          <cell r="E4886">
            <v>10570045</v>
          </cell>
          <cell r="F4886" t="str">
            <v>0015</v>
          </cell>
          <cell r="G4886">
            <v>7</v>
          </cell>
          <cell r="H4886">
            <v>20.300000000000004</v>
          </cell>
          <cell r="I4886">
            <v>826.05229740000004</v>
          </cell>
          <cell r="J4886">
            <v>0</v>
          </cell>
          <cell r="K4886">
            <v>0</v>
          </cell>
          <cell r="L4886">
            <v>0</v>
          </cell>
          <cell r="M4886">
            <v>0</v>
          </cell>
          <cell r="P4886">
            <v>826</v>
          </cell>
          <cell r="V4886" t="str">
            <v>Available</v>
          </cell>
        </row>
        <row r="4887">
          <cell r="A4887" t="str">
            <v>105700450017</v>
          </cell>
          <cell r="B4887" t="str">
            <v>Warisnagar</v>
          </cell>
          <cell r="C4887" t="str">
            <v>Warisnagar</v>
          </cell>
          <cell r="D4887" t="str">
            <v>Buzurgdoar</v>
          </cell>
          <cell r="E4887">
            <v>10570045</v>
          </cell>
          <cell r="F4887" t="str">
            <v>0017</v>
          </cell>
          <cell r="G4887">
            <v>5</v>
          </cell>
          <cell r="H4887">
            <v>6.1999999999999993</v>
          </cell>
          <cell r="I4887">
            <v>477.10824558499996</v>
          </cell>
          <cell r="J4887">
            <v>0</v>
          </cell>
          <cell r="K4887">
            <v>0</v>
          </cell>
          <cell r="L4887">
            <v>0</v>
          </cell>
          <cell r="M4887">
            <v>0</v>
          </cell>
          <cell r="P4887">
            <v>477</v>
          </cell>
          <cell r="V4887" t="str">
            <v>Available</v>
          </cell>
        </row>
        <row r="4888">
          <cell r="A4888" t="str">
            <v>105700450020</v>
          </cell>
          <cell r="B4888" t="str">
            <v>Warisnagar</v>
          </cell>
          <cell r="C4888" t="str">
            <v>Warisnagar</v>
          </cell>
          <cell r="D4888" t="str">
            <v>Buzurgdoar</v>
          </cell>
          <cell r="E4888">
            <v>10570045</v>
          </cell>
          <cell r="F4888" t="str">
            <v>0020</v>
          </cell>
          <cell r="G4888">
            <v>13</v>
          </cell>
          <cell r="H4888">
            <v>46.2</v>
          </cell>
          <cell r="I4888">
            <v>1646.2957294080004</v>
          </cell>
          <cell r="J4888">
            <v>0</v>
          </cell>
          <cell r="K4888">
            <v>0</v>
          </cell>
          <cell r="L4888">
            <v>0</v>
          </cell>
          <cell r="M4888">
            <v>0</v>
          </cell>
          <cell r="P4888">
            <v>1646</v>
          </cell>
          <cell r="V4888" t="str">
            <v>Available</v>
          </cell>
        </row>
        <row r="4889">
          <cell r="A4889" t="str">
            <v>105700450021</v>
          </cell>
          <cell r="B4889" t="str">
            <v>Warisnagar</v>
          </cell>
          <cell r="C4889" t="str">
            <v>Warisnagar</v>
          </cell>
          <cell r="D4889" t="str">
            <v>Buzurgdoar</v>
          </cell>
          <cell r="E4889">
            <v>10570045</v>
          </cell>
          <cell r="F4889" t="str">
            <v>0021</v>
          </cell>
          <cell r="G4889">
            <v>12</v>
          </cell>
          <cell r="H4889">
            <v>30.400000000000002</v>
          </cell>
          <cell r="I4889">
            <v>1189.4253970500004</v>
          </cell>
          <cell r="J4889">
            <v>0</v>
          </cell>
          <cell r="K4889">
            <v>0</v>
          </cell>
          <cell r="L4889">
            <v>0</v>
          </cell>
          <cell r="M4889">
            <v>0</v>
          </cell>
          <cell r="P4889">
            <v>1189</v>
          </cell>
          <cell r="V4889" t="str">
            <v>Available</v>
          </cell>
        </row>
        <row r="4890">
          <cell r="A4890" t="str">
            <v>105700450022</v>
          </cell>
          <cell r="B4890" t="str">
            <v>Warisnagar</v>
          </cell>
          <cell r="C4890" t="str">
            <v>Warisnagar</v>
          </cell>
          <cell r="D4890" t="str">
            <v>Buzurgdoar</v>
          </cell>
          <cell r="E4890">
            <v>10570045</v>
          </cell>
          <cell r="F4890" t="str">
            <v>0022</v>
          </cell>
          <cell r="G4890">
            <v>11</v>
          </cell>
          <cell r="H4890">
            <v>45.199999999999996</v>
          </cell>
          <cell r="I4890">
            <v>1705.5221697360003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P4890">
            <v>1706</v>
          </cell>
          <cell r="V4890" t="str">
            <v>Available</v>
          </cell>
        </row>
        <row r="4891">
          <cell r="A4891" t="str">
            <v>105700450023</v>
          </cell>
          <cell r="B4891" t="str">
            <v>Warisnagar</v>
          </cell>
          <cell r="C4891" t="str">
            <v>Warisnagar</v>
          </cell>
          <cell r="D4891" t="str">
            <v>Buzurgdoar</v>
          </cell>
          <cell r="E4891">
            <v>10570045</v>
          </cell>
          <cell r="F4891" t="str">
            <v>0023</v>
          </cell>
          <cell r="G4891">
            <v>12</v>
          </cell>
          <cell r="H4891">
            <v>50.000000000000007</v>
          </cell>
          <cell r="I4891">
            <v>1837.5724540800002</v>
          </cell>
          <cell r="J4891">
            <v>0</v>
          </cell>
          <cell r="K4891">
            <v>0</v>
          </cell>
          <cell r="L4891">
            <v>0</v>
          </cell>
          <cell r="M4891">
            <v>0</v>
          </cell>
          <cell r="P4891">
            <v>1838</v>
          </cell>
          <cell r="V4891" t="str">
            <v>Available</v>
          </cell>
        </row>
        <row r="4892">
          <cell r="A4892" t="str">
            <v>105700450024</v>
          </cell>
          <cell r="B4892" t="str">
            <v>Warisnagar</v>
          </cell>
          <cell r="C4892" t="str">
            <v>Warisnagar</v>
          </cell>
          <cell r="D4892" t="str">
            <v>Buzurgdoar</v>
          </cell>
          <cell r="E4892">
            <v>10570045</v>
          </cell>
          <cell r="F4892" t="str">
            <v>0024</v>
          </cell>
          <cell r="G4892">
            <v>12</v>
          </cell>
          <cell r="H4892">
            <v>68.100000000000009</v>
          </cell>
          <cell r="I4892">
            <v>2523.8265818040004</v>
          </cell>
          <cell r="J4892">
            <v>0</v>
          </cell>
          <cell r="K4892">
            <v>0</v>
          </cell>
          <cell r="L4892">
            <v>0</v>
          </cell>
          <cell r="M4892">
            <v>0</v>
          </cell>
          <cell r="P4892">
            <v>2524</v>
          </cell>
          <cell r="V4892" t="str">
            <v>Available</v>
          </cell>
        </row>
        <row r="4893">
          <cell r="A4893" t="str">
            <v>105700450025</v>
          </cell>
          <cell r="B4893" t="str">
            <v>Warisnagar</v>
          </cell>
          <cell r="C4893" t="str">
            <v>Warisnagar</v>
          </cell>
          <cell r="D4893" t="str">
            <v>Buzurgdoar</v>
          </cell>
          <cell r="E4893">
            <v>10570045</v>
          </cell>
          <cell r="F4893" t="str">
            <v>0025</v>
          </cell>
          <cell r="G4893">
            <v>11</v>
          </cell>
          <cell r="H4893">
            <v>24.2</v>
          </cell>
          <cell r="I4893">
            <v>879.032251944</v>
          </cell>
          <cell r="J4893">
            <v>0</v>
          </cell>
          <cell r="K4893">
            <v>0</v>
          </cell>
          <cell r="L4893">
            <v>0</v>
          </cell>
          <cell r="M4893">
            <v>0</v>
          </cell>
          <cell r="P4893">
            <v>879</v>
          </cell>
          <cell r="V4893" t="str">
            <v>Available</v>
          </cell>
        </row>
        <row r="4894">
          <cell r="A4894" t="str">
            <v>105700470003</v>
          </cell>
          <cell r="B4894" t="str">
            <v>Warisnagar</v>
          </cell>
          <cell r="C4894" t="str">
            <v>Warisnagar</v>
          </cell>
          <cell r="D4894" t="str">
            <v>Kamopur</v>
          </cell>
          <cell r="E4894">
            <v>10570047</v>
          </cell>
          <cell r="F4894" t="str">
            <v>0003</v>
          </cell>
          <cell r="G4894">
            <v>14</v>
          </cell>
          <cell r="H4894">
            <v>122</v>
          </cell>
          <cell r="I4894">
            <v>4440.4250680812011</v>
          </cell>
          <cell r="J4894">
            <v>0</v>
          </cell>
          <cell r="K4894">
            <v>0</v>
          </cell>
          <cell r="L4894">
            <v>0</v>
          </cell>
          <cell r="M4894">
            <v>0</v>
          </cell>
          <cell r="P4894">
            <v>4440</v>
          </cell>
          <cell r="V4894" t="str">
            <v>Available</v>
          </cell>
        </row>
        <row r="4895">
          <cell r="A4895" t="str">
            <v>105700470005</v>
          </cell>
          <cell r="B4895" t="str">
            <v>Warisnagar</v>
          </cell>
          <cell r="C4895" t="str">
            <v>Warisnagar</v>
          </cell>
          <cell r="D4895" t="str">
            <v>Kamopur</v>
          </cell>
          <cell r="E4895">
            <v>10570047</v>
          </cell>
          <cell r="F4895" t="str">
            <v>0005</v>
          </cell>
          <cell r="G4895">
            <v>14</v>
          </cell>
          <cell r="H4895">
            <v>114.5</v>
          </cell>
          <cell r="I4895">
            <v>3790.7299514699998</v>
          </cell>
          <cell r="J4895">
            <v>0</v>
          </cell>
          <cell r="K4895">
            <v>0</v>
          </cell>
          <cell r="L4895">
            <v>0</v>
          </cell>
          <cell r="M4895">
            <v>0</v>
          </cell>
          <cell r="P4895">
            <v>3791</v>
          </cell>
          <cell r="V4895" t="str">
            <v>Available</v>
          </cell>
        </row>
        <row r="4896">
          <cell r="A4896" t="str">
            <v>105700470006</v>
          </cell>
          <cell r="B4896" t="str">
            <v>Warisnagar</v>
          </cell>
          <cell r="C4896" t="str">
            <v>Warisnagar</v>
          </cell>
          <cell r="D4896" t="str">
            <v>Kamopur</v>
          </cell>
          <cell r="E4896">
            <v>10570047</v>
          </cell>
          <cell r="F4896" t="str">
            <v>0006</v>
          </cell>
          <cell r="G4896">
            <v>2</v>
          </cell>
          <cell r="H4896">
            <v>2</v>
          </cell>
          <cell r="I4896">
            <v>162.01473968299996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P4896">
            <v>162</v>
          </cell>
          <cell r="V4896" t="str">
            <v>Available</v>
          </cell>
        </row>
        <row r="4897">
          <cell r="A4897" t="str">
            <v>105700470010</v>
          </cell>
          <cell r="B4897" t="str">
            <v>Warisnagar</v>
          </cell>
          <cell r="C4897" t="str">
            <v>Warisnagar</v>
          </cell>
          <cell r="D4897" t="str">
            <v>Kamopur</v>
          </cell>
          <cell r="E4897">
            <v>10570047</v>
          </cell>
          <cell r="F4897" t="str">
            <v>0010</v>
          </cell>
          <cell r="G4897">
            <v>14</v>
          </cell>
          <cell r="H4897">
            <v>47.800000000000004</v>
          </cell>
          <cell r="I4897">
            <v>1766.5517277539998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P4897">
            <v>1767</v>
          </cell>
          <cell r="V4897" t="str">
            <v>Available</v>
          </cell>
        </row>
        <row r="4898">
          <cell r="A4898" t="str">
            <v>105700470011</v>
          </cell>
          <cell r="B4898" t="str">
            <v>Warisnagar</v>
          </cell>
          <cell r="C4898" t="str">
            <v>Warisnagar</v>
          </cell>
          <cell r="D4898" t="str">
            <v>Kamopur</v>
          </cell>
          <cell r="E4898">
            <v>10570047</v>
          </cell>
          <cell r="F4898" t="str">
            <v>0011</v>
          </cell>
          <cell r="G4898">
            <v>6</v>
          </cell>
          <cell r="H4898">
            <v>13.8</v>
          </cell>
          <cell r="I4898">
            <v>843.44254222960012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P4898">
            <v>843</v>
          </cell>
          <cell r="V4898" t="str">
            <v>Not Available</v>
          </cell>
        </row>
        <row r="4899">
          <cell r="A4899" t="str">
            <v>105700470012</v>
          </cell>
          <cell r="B4899" t="str">
            <v>Warisnagar</v>
          </cell>
          <cell r="C4899" t="str">
            <v>Warisnagar</v>
          </cell>
          <cell r="D4899" t="str">
            <v>Kamopur</v>
          </cell>
          <cell r="E4899">
            <v>10570047</v>
          </cell>
          <cell r="F4899" t="str">
            <v>0012</v>
          </cell>
          <cell r="G4899">
            <v>13</v>
          </cell>
          <cell r="H4899">
            <v>20.100000000000001</v>
          </cell>
          <cell r="I4899">
            <v>1200.1550540563001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P4899">
            <v>1200</v>
          </cell>
          <cell r="V4899" t="str">
            <v>Not Available</v>
          </cell>
        </row>
        <row r="4900">
          <cell r="A4900" t="str">
            <v>105700470013</v>
          </cell>
          <cell r="B4900" t="str">
            <v>Warisnagar</v>
          </cell>
          <cell r="C4900" t="str">
            <v>Warisnagar</v>
          </cell>
          <cell r="D4900" t="str">
            <v>Kamopur</v>
          </cell>
          <cell r="E4900">
            <v>10570047</v>
          </cell>
          <cell r="F4900" t="str">
            <v>0013</v>
          </cell>
          <cell r="G4900">
            <v>9</v>
          </cell>
          <cell r="H4900">
            <v>13.6</v>
          </cell>
          <cell r="I4900">
            <v>719.82944492935007</v>
          </cell>
          <cell r="J4900">
            <v>0</v>
          </cell>
          <cell r="K4900">
            <v>0</v>
          </cell>
          <cell r="L4900">
            <v>0</v>
          </cell>
          <cell r="M4900">
            <v>0</v>
          </cell>
          <cell r="P4900">
            <v>720</v>
          </cell>
          <cell r="V4900" t="str">
            <v>Not Available</v>
          </cell>
        </row>
        <row r="4901">
          <cell r="A4901" t="str">
            <v>105700470014</v>
          </cell>
          <cell r="B4901" t="str">
            <v>Warisnagar</v>
          </cell>
          <cell r="C4901" t="str">
            <v>Warisnagar</v>
          </cell>
          <cell r="D4901" t="str">
            <v>Kamopur</v>
          </cell>
          <cell r="E4901">
            <v>10570047</v>
          </cell>
          <cell r="F4901" t="str">
            <v>0014</v>
          </cell>
          <cell r="G4901">
            <v>7</v>
          </cell>
          <cell r="H4901">
            <v>10.3</v>
          </cell>
          <cell r="I4901">
            <v>409.74888052762498</v>
          </cell>
          <cell r="J4901">
            <v>0</v>
          </cell>
          <cell r="K4901">
            <v>0</v>
          </cell>
          <cell r="L4901">
            <v>0</v>
          </cell>
          <cell r="M4901">
            <v>0</v>
          </cell>
          <cell r="P4901">
            <v>410</v>
          </cell>
          <cell r="V4901" t="str">
            <v>Not Available</v>
          </cell>
        </row>
        <row r="4902">
          <cell r="A4902" t="str">
            <v>105700470015</v>
          </cell>
          <cell r="B4902" t="str">
            <v>Warisnagar</v>
          </cell>
          <cell r="C4902" t="str">
            <v>Warisnagar</v>
          </cell>
          <cell r="D4902" t="str">
            <v>Kamopur</v>
          </cell>
          <cell r="E4902">
            <v>10570047</v>
          </cell>
          <cell r="F4902" t="str">
            <v>0015</v>
          </cell>
          <cell r="G4902">
            <v>10</v>
          </cell>
          <cell r="H4902">
            <v>19.600000000000005</v>
          </cell>
          <cell r="I4902">
            <v>625.21480513799997</v>
          </cell>
          <cell r="J4902">
            <v>0</v>
          </cell>
          <cell r="K4902">
            <v>0</v>
          </cell>
          <cell r="L4902">
            <v>0</v>
          </cell>
          <cell r="M4902">
            <v>0</v>
          </cell>
          <cell r="P4902">
            <v>625</v>
          </cell>
          <cell r="V4902" t="str">
            <v>Not Available</v>
          </cell>
        </row>
        <row r="4903">
          <cell r="A4903" t="str">
            <v>105700470016</v>
          </cell>
          <cell r="B4903" t="str">
            <v>Warisnagar</v>
          </cell>
          <cell r="C4903" t="str">
            <v>Warisnagar</v>
          </cell>
          <cell r="D4903" t="str">
            <v>Kamopur</v>
          </cell>
          <cell r="E4903">
            <v>10570047</v>
          </cell>
          <cell r="F4903" t="str">
            <v>0016</v>
          </cell>
          <cell r="G4903">
            <v>12</v>
          </cell>
          <cell r="H4903">
            <v>13.3</v>
          </cell>
          <cell r="I4903">
            <v>655.42837359800012</v>
          </cell>
          <cell r="J4903">
            <v>0</v>
          </cell>
          <cell r="K4903">
            <v>0</v>
          </cell>
          <cell r="L4903">
            <v>0</v>
          </cell>
          <cell r="M4903">
            <v>0</v>
          </cell>
          <cell r="P4903">
            <v>655</v>
          </cell>
          <cell r="V4903" t="str">
            <v>Available</v>
          </cell>
        </row>
        <row r="4904">
          <cell r="A4904" t="str">
            <v>105700490002</v>
          </cell>
          <cell r="B4904" t="str">
            <v>Warisnagar</v>
          </cell>
          <cell r="C4904" t="str">
            <v>Warisnagar</v>
          </cell>
          <cell r="D4904" t="str">
            <v>Kussaiya</v>
          </cell>
          <cell r="E4904">
            <v>10570049</v>
          </cell>
          <cell r="F4904" t="str">
            <v>0002</v>
          </cell>
          <cell r="G4904">
            <v>14</v>
          </cell>
          <cell r="H4904">
            <v>243.49999999999994</v>
          </cell>
          <cell r="I4904">
            <v>12755.714549359291</v>
          </cell>
          <cell r="J4904">
            <v>0</v>
          </cell>
          <cell r="K4904">
            <v>0</v>
          </cell>
          <cell r="L4904">
            <v>97</v>
          </cell>
          <cell r="M4904">
            <v>0</v>
          </cell>
          <cell r="P4904">
            <v>12659</v>
          </cell>
          <cell r="V4904" t="str">
            <v>Available</v>
          </cell>
        </row>
        <row r="4905">
          <cell r="A4905" t="str">
            <v>105700550002</v>
          </cell>
          <cell r="B4905" t="str">
            <v>Warisnagar</v>
          </cell>
          <cell r="C4905" t="str">
            <v>Warisnagar</v>
          </cell>
          <cell r="D4905" t="str">
            <v>Raini 2</v>
          </cell>
          <cell r="E4905">
            <v>10570055</v>
          </cell>
          <cell r="F4905" t="str">
            <v>0002</v>
          </cell>
          <cell r="G4905">
            <v>14</v>
          </cell>
          <cell r="H4905">
            <v>167.79999999999998</v>
          </cell>
          <cell r="I4905">
            <v>6858.9193834587195</v>
          </cell>
          <cell r="J4905">
            <v>0</v>
          </cell>
          <cell r="K4905">
            <v>0</v>
          </cell>
          <cell r="L4905">
            <v>62</v>
          </cell>
          <cell r="M4905">
            <v>0</v>
          </cell>
          <cell r="P4905">
            <v>6797</v>
          </cell>
          <cell r="V4905" t="str">
            <v>Available</v>
          </cell>
        </row>
        <row r="4906">
          <cell r="A4906" t="str">
            <v>105800010001</v>
          </cell>
          <cell r="B4906" t="str">
            <v>Hasanpur</v>
          </cell>
          <cell r="C4906" t="str">
            <v>Hasanpur</v>
          </cell>
          <cell r="D4906" t="str">
            <v>Mahuli</v>
          </cell>
          <cell r="E4906">
            <v>10580001</v>
          </cell>
          <cell r="F4906" t="str">
            <v>0001</v>
          </cell>
          <cell r="G4906">
            <v>14</v>
          </cell>
          <cell r="H4906">
            <v>9.1</v>
          </cell>
          <cell r="I4906">
            <v>369.13494420000001</v>
          </cell>
          <cell r="J4906">
            <v>0</v>
          </cell>
          <cell r="K4906">
            <v>369.13494420000001</v>
          </cell>
          <cell r="L4906">
            <v>0</v>
          </cell>
          <cell r="M4906">
            <v>0</v>
          </cell>
          <cell r="P4906">
            <v>0</v>
          </cell>
          <cell r="V4906" t="str">
            <v>Not Available</v>
          </cell>
        </row>
        <row r="4907">
          <cell r="A4907" t="str">
            <v>105800010002</v>
          </cell>
          <cell r="B4907" t="str">
            <v>Hasanpur</v>
          </cell>
          <cell r="C4907" t="str">
            <v>Hasanpur</v>
          </cell>
          <cell r="D4907" t="str">
            <v>Mahuli</v>
          </cell>
          <cell r="E4907">
            <v>10580001</v>
          </cell>
          <cell r="F4907" t="str">
            <v>0002</v>
          </cell>
          <cell r="G4907">
            <v>14</v>
          </cell>
          <cell r="H4907">
            <v>95.199999999999989</v>
          </cell>
          <cell r="I4907">
            <v>3186.5691046860006</v>
          </cell>
          <cell r="J4907">
            <v>0</v>
          </cell>
          <cell r="K4907">
            <v>0</v>
          </cell>
          <cell r="L4907">
            <v>0</v>
          </cell>
          <cell r="M4907">
            <v>0</v>
          </cell>
          <cell r="P4907">
            <v>3187</v>
          </cell>
          <cell r="V4907" t="str">
            <v>Available</v>
          </cell>
        </row>
        <row r="4908">
          <cell r="A4908" t="str">
            <v>105800010003</v>
          </cell>
          <cell r="B4908" t="str">
            <v>Hasanpur</v>
          </cell>
          <cell r="C4908" t="str">
            <v>Hasanpur</v>
          </cell>
          <cell r="D4908" t="str">
            <v>Mahuli</v>
          </cell>
          <cell r="E4908">
            <v>10580001</v>
          </cell>
          <cell r="F4908" t="str">
            <v>0003</v>
          </cell>
          <cell r="G4908">
            <v>14</v>
          </cell>
          <cell r="H4908">
            <v>25</v>
          </cell>
          <cell r="I4908">
            <v>875.05602624000005</v>
          </cell>
          <cell r="J4908">
            <v>0</v>
          </cell>
          <cell r="K4908">
            <v>0</v>
          </cell>
          <cell r="L4908">
            <v>0</v>
          </cell>
          <cell r="M4908">
            <v>0</v>
          </cell>
          <cell r="P4908">
            <v>875</v>
          </cell>
          <cell r="V4908" t="str">
            <v>Available</v>
          </cell>
        </row>
        <row r="4909">
          <cell r="A4909" t="str">
            <v>105800010007</v>
          </cell>
          <cell r="B4909" t="str">
            <v>Hasanpur</v>
          </cell>
          <cell r="C4909" t="str">
            <v>Hasanpur</v>
          </cell>
          <cell r="D4909" t="str">
            <v>Mahuli</v>
          </cell>
          <cell r="E4909">
            <v>10580001</v>
          </cell>
          <cell r="F4909" t="str">
            <v>0007</v>
          </cell>
          <cell r="G4909">
            <v>6</v>
          </cell>
          <cell r="H4909">
            <v>12.7</v>
          </cell>
          <cell r="I4909">
            <v>629.77414531600004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P4909">
            <v>630</v>
          </cell>
          <cell r="V4909" t="str">
            <v>Available</v>
          </cell>
        </row>
        <row r="4910">
          <cell r="A4910" t="str">
            <v>105800010010</v>
          </cell>
          <cell r="B4910" t="str">
            <v>Hasanpur</v>
          </cell>
          <cell r="C4910" t="str">
            <v>Hasanpur</v>
          </cell>
          <cell r="D4910" t="str">
            <v>Mahuli</v>
          </cell>
          <cell r="E4910">
            <v>10580001</v>
          </cell>
          <cell r="F4910" t="str">
            <v>0010</v>
          </cell>
          <cell r="G4910">
            <v>6</v>
          </cell>
          <cell r="H4910">
            <v>12.5</v>
          </cell>
          <cell r="I4910">
            <v>481.16678544000013</v>
          </cell>
          <cell r="J4910">
            <v>0</v>
          </cell>
          <cell r="K4910">
            <v>0</v>
          </cell>
          <cell r="L4910">
            <v>0</v>
          </cell>
          <cell r="M4910">
            <v>0</v>
          </cell>
          <cell r="P4910">
            <v>481</v>
          </cell>
          <cell r="V4910" t="str">
            <v>Available</v>
          </cell>
        </row>
        <row r="4911">
          <cell r="A4911" t="str">
            <v>105800010012</v>
          </cell>
          <cell r="B4911" t="str">
            <v>Hasanpur</v>
          </cell>
          <cell r="C4911" t="str">
            <v>Hasanpur</v>
          </cell>
          <cell r="D4911" t="str">
            <v>Mahuli</v>
          </cell>
          <cell r="E4911">
            <v>10580001</v>
          </cell>
          <cell r="F4911" t="str">
            <v>0012</v>
          </cell>
          <cell r="G4911">
            <v>14</v>
          </cell>
          <cell r="H4911">
            <v>26.900000000000002</v>
          </cell>
          <cell r="I4911">
            <v>1766.2977280562002</v>
          </cell>
          <cell r="J4911">
            <v>0</v>
          </cell>
          <cell r="K4911">
            <v>0</v>
          </cell>
          <cell r="L4911">
            <v>0</v>
          </cell>
          <cell r="M4911">
            <v>0</v>
          </cell>
          <cell r="P4911">
            <v>1766</v>
          </cell>
          <cell r="V4911" t="str">
            <v>Available</v>
          </cell>
        </row>
        <row r="4912">
          <cell r="A4912" t="str">
            <v>105800010016</v>
          </cell>
          <cell r="B4912" t="str">
            <v>Hasanpur</v>
          </cell>
          <cell r="C4912" t="str">
            <v>Hasanpur</v>
          </cell>
          <cell r="D4912" t="str">
            <v>Mahuli</v>
          </cell>
          <cell r="E4912">
            <v>10580001</v>
          </cell>
          <cell r="F4912" t="str">
            <v>0016</v>
          </cell>
          <cell r="G4912">
            <v>11</v>
          </cell>
          <cell r="H4912">
            <v>30.7</v>
          </cell>
          <cell r="I4912">
            <v>1130.1513102000001</v>
          </cell>
          <cell r="J4912">
            <v>0</v>
          </cell>
          <cell r="K4912">
            <v>0</v>
          </cell>
          <cell r="L4912">
            <v>0</v>
          </cell>
          <cell r="M4912">
            <v>0</v>
          </cell>
          <cell r="P4912">
            <v>1130</v>
          </cell>
          <cell r="V4912" t="str">
            <v>Available</v>
          </cell>
        </row>
        <row r="4913">
          <cell r="A4913" t="str">
            <v>105800010019</v>
          </cell>
          <cell r="B4913" t="str">
            <v>Hasanpur</v>
          </cell>
          <cell r="C4913" t="str">
            <v>Hasanpur</v>
          </cell>
          <cell r="D4913" t="str">
            <v>Mahuli</v>
          </cell>
          <cell r="E4913">
            <v>10580001</v>
          </cell>
          <cell r="F4913" t="str">
            <v>0019</v>
          </cell>
          <cell r="G4913">
            <v>4</v>
          </cell>
          <cell r="H4913">
            <v>7.5</v>
          </cell>
          <cell r="I4913">
            <v>279.71608104000006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P4913">
            <v>280</v>
          </cell>
          <cell r="V4913" t="str">
            <v>Available</v>
          </cell>
        </row>
        <row r="4914">
          <cell r="A4914" t="str">
            <v>105800010020</v>
          </cell>
          <cell r="B4914" t="str">
            <v>Hasanpur</v>
          </cell>
          <cell r="C4914" t="str">
            <v>Hasanpur</v>
          </cell>
          <cell r="D4914" t="str">
            <v>Mahuli</v>
          </cell>
          <cell r="E4914">
            <v>10580001</v>
          </cell>
          <cell r="F4914" t="str">
            <v>0020</v>
          </cell>
          <cell r="G4914">
            <v>6</v>
          </cell>
          <cell r="H4914">
            <v>10.899999999999999</v>
          </cell>
          <cell r="I4914">
            <v>606.25979178340003</v>
          </cell>
          <cell r="J4914">
            <v>0</v>
          </cell>
          <cell r="K4914">
            <v>0</v>
          </cell>
          <cell r="L4914">
            <v>0</v>
          </cell>
          <cell r="M4914">
            <v>0</v>
          </cell>
          <cell r="P4914">
            <v>606</v>
          </cell>
          <cell r="V4914" t="str">
            <v>Available</v>
          </cell>
        </row>
        <row r="4915">
          <cell r="A4915" t="str">
            <v>105800010021</v>
          </cell>
          <cell r="B4915" t="str">
            <v>Hasanpur</v>
          </cell>
          <cell r="C4915" t="str">
            <v>Hasanpur</v>
          </cell>
          <cell r="D4915" t="str">
            <v>Mahuli</v>
          </cell>
          <cell r="E4915">
            <v>10580001</v>
          </cell>
          <cell r="F4915" t="str">
            <v>0021</v>
          </cell>
          <cell r="G4915">
            <v>10</v>
          </cell>
          <cell r="H4915">
            <v>17.3</v>
          </cell>
          <cell r="I4915">
            <v>684.83541060000016</v>
          </cell>
          <cell r="J4915">
            <v>0</v>
          </cell>
          <cell r="K4915">
            <v>0</v>
          </cell>
          <cell r="L4915">
            <v>0</v>
          </cell>
          <cell r="M4915">
            <v>0</v>
          </cell>
          <cell r="P4915">
            <v>685</v>
          </cell>
          <cell r="V4915" t="str">
            <v>Available</v>
          </cell>
        </row>
        <row r="4916">
          <cell r="A4916" t="str">
            <v>105800010024</v>
          </cell>
          <cell r="B4916" t="str">
            <v>Hasanpur</v>
          </cell>
          <cell r="C4916" t="str">
            <v>Hasanpur</v>
          </cell>
          <cell r="D4916" t="str">
            <v>Mahuli</v>
          </cell>
          <cell r="E4916">
            <v>10580001</v>
          </cell>
          <cell r="F4916" t="str">
            <v>0024</v>
          </cell>
          <cell r="G4916">
            <v>7</v>
          </cell>
          <cell r="H4916">
            <v>21.4</v>
          </cell>
          <cell r="I4916">
            <v>885.37396464000005</v>
          </cell>
          <cell r="J4916">
            <v>0</v>
          </cell>
          <cell r="K4916">
            <v>0</v>
          </cell>
          <cell r="L4916">
            <v>0</v>
          </cell>
          <cell r="M4916">
            <v>0</v>
          </cell>
          <cell r="P4916">
            <v>885</v>
          </cell>
          <cell r="V4916" t="str">
            <v>Available</v>
          </cell>
        </row>
        <row r="4917">
          <cell r="A4917" t="str">
            <v>105800010025</v>
          </cell>
          <cell r="B4917" t="str">
            <v>Hasanpur</v>
          </cell>
          <cell r="C4917" t="str">
            <v>Hasanpur</v>
          </cell>
          <cell r="D4917" t="str">
            <v>Mahuli</v>
          </cell>
          <cell r="E4917">
            <v>10580001</v>
          </cell>
          <cell r="F4917" t="str">
            <v>0025</v>
          </cell>
          <cell r="G4917">
            <v>10</v>
          </cell>
          <cell r="H4917">
            <v>23.4</v>
          </cell>
          <cell r="I4917">
            <v>1081.2602865461999</v>
          </cell>
          <cell r="J4917">
            <v>0</v>
          </cell>
          <cell r="K4917">
            <v>0</v>
          </cell>
          <cell r="L4917">
            <v>0</v>
          </cell>
          <cell r="M4917">
            <v>0</v>
          </cell>
          <cell r="P4917">
            <v>1081</v>
          </cell>
          <cell r="V4917" t="str">
            <v>Available</v>
          </cell>
        </row>
        <row r="4918">
          <cell r="A4918" t="str">
            <v>105800010026</v>
          </cell>
          <cell r="B4918" t="str">
            <v>Hasanpur</v>
          </cell>
          <cell r="C4918" t="str">
            <v>Hasanpur</v>
          </cell>
          <cell r="D4918" t="str">
            <v>Mahuli</v>
          </cell>
          <cell r="E4918">
            <v>10580001</v>
          </cell>
          <cell r="F4918" t="str">
            <v>0026</v>
          </cell>
          <cell r="G4918">
            <v>2</v>
          </cell>
          <cell r="H4918">
            <v>3.1</v>
          </cell>
          <cell r="I4918">
            <v>103.13497656000001</v>
          </cell>
          <cell r="J4918">
            <v>0</v>
          </cell>
          <cell r="K4918">
            <v>0</v>
          </cell>
          <cell r="L4918">
            <v>0</v>
          </cell>
          <cell r="M4918">
            <v>0</v>
          </cell>
          <cell r="P4918">
            <v>103</v>
          </cell>
          <cell r="V4918" t="str">
            <v>Available</v>
          </cell>
        </row>
        <row r="4919">
          <cell r="A4919" t="str">
            <v>105800010027</v>
          </cell>
          <cell r="B4919" t="str">
            <v>Hasanpur</v>
          </cell>
          <cell r="C4919" t="str">
            <v>Hasanpur</v>
          </cell>
          <cell r="D4919" t="str">
            <v>Mahuli</v>
          </cell>
          <cell r="E4919">
            <v>10580001</v>
          </cell>
          <cell r="F4919" t="str">
            <v>0027</v>
          </cell>
          <cell r="G4919">
            <v>10</v>
          </cell>
          <cell r="H4919">
            <v>10.6</v>
          </cell>
          <cell r="I4919">
            <v>431.16354468000009</v>
          </cell>
          <cell r="J4919">
            <v>0</v>
          </cell>
          <cell r="K4919">
            <v>0</v>
          </cell>
          <cell r="L4919">
            <v>0</v>
          </cell>
          <cell r="M4919">
            <v>0</v>
          </cell>
          <cell r="P4919">
            <v>431</v>
          </cell>
          <cell r="V4919" t="str">
            <v>Available</v>
          </cell>
        </row>
        <row r="4920">
          <cell r="A4920" t="str">
            <v>105800020001</v>
          </cell>
          <cell r="B4920" t="str">
            <v>Hasanpur</v>
          </cell>
          <cell r="C4920" t="str">
            <v>Hasanpur</v>
          </cell>
          <cell r="D4920" t="str">
            <v>Sakhwa Ghat</v>
          </cell>
          <cell r="E4920">
            <v>10580002</v>
          </cell>
          <cell r="F4920" t="str">
            <v>0001</v>
          </cell>
          <cell r="G4920">
            <v>7</v>
          </cell>
          <cell r="H4920">
            <v>8</v>
          </cell>
          <cell r="I4920">
            <v>319.95021168000005</v>
          </cell>
          <cell r="J4920">
            <v>0</v>
          </cell>
          <cell r="K4920">
            <v>319.95021168000005</v>
          </cell>
          <cell r="L4920">
            <v>0</v>
          </cell>
          <cell r="M4920">
            <v>0</v>
          </cell>
          <cell r="P4920">
            <v>0</v>
          </cell>
          <cell r="V4920" t="str">
            <v>Not Available</v>
          </cell>
        </row>
        <row r="4921">
          <cell r="A4921" t="str">
            <v>105800020002</v>
          </cell>
          <cell r="B4921" t="str">
            <v>Hasanpur</v>
          </cell>
          <cell r="C4921" t="str">
            <v>Hasanpur</v>
          </cell>
          <cell r="D4921" t="str">
            <v>Sakhwa Ghat</v>
          </cell>
          <cell r="E4921">
            <v>10580002</v>
          </cell>
          <cell r="F4921" t="str">
            <v>0002</v>
          </cell>
          <cell r="G4921">
            <v>11</v>
          </cell>
          <cell r="H4921">
            <v>48.000000000000007</v>
          </cell>
          <cell r="I4921">
            <v>1992.3233626540004</v>
          </cell>
          <cell r="J4921">
            <v>0</v>
          </cell>
          <cell r="K4921">
            <v>0</v>
          </cell>
          <cell r="L4921">
            <v>759</v>
          </cell>
          <cell r="M4921">
            <v>0</v>
          </cell>
          <cell r="P4921">
            <v>1233</v>
          </cell>
          <cell r="V4921" t="str">
            <v>Available</v>
          </cell>
        </row>
        <row r="4922">
          <cell r="A4922" t="str">
            <v>105800020003</v>
          </cell>
          <cell r="B4922" t="str">
            <v>Hasanpur</v>
          </cell>
          <cell r="C4922" t="str">
            <v>Hasanpur</v>
          </cell>
          <cell r="D4922" t="str">
            <v>Sakhwa Ghat</v>
          </cell>
          <cell r="E4922">
            <v>10580002</v>
          </cell>
          <cell r="F4922" t="str">
            <v>0003</v>
          </cell>
          <cell r="G4922">
            <v>14</v>
          </cell>
          <cell r="H4922">
            <v>215.30000000000004</v>
          </cell>
          <cell r="I4922">
            <v>9100.7285876280002</v>
          </cell>
          <cell r="J4922">
            <v>0</v>
          </cell>
          <cell r="K4922">
            <v>0</v>
          </cell>
          <cell r="L4922">
            <v>0</v>
          </cell>
          <cell r="M4922">
            <v>0</v>
          </cell>
          <cell r="P4922">
            <v>9101</v>
          </cell>
          <cell r="V4922" t="str">
            <v>Available</v>
          </cell>
        </row>
        <row r="4923">
          <cell r="A4923" t="str">
            <v>105800020007</v>
          </cell>
          <cell r="B4923" t="str">
            <v>Hasanpur</v>
          </cell>
          <cell r="C4923" t="str">
            <v>Hasanpur</v>
          </cell>
          <cell r="D4923" t="str">
            <v>Sakhwa Ghat</v>
          </cell>
          <cell r="E4923">
            <v>10580002</v>
          </cell>
          <cell r="F4923" t="str">
            <v>0007</v>
          </cell>
          <cell r="G4923">
            <v>2</v>
          </cell>
          <cell r="H4923">
            <v>2.2999999999999998</v>
          </cell>
          <cell r="I4923">
            <v>87.94723707</v>
          </cell>
          <cell r="J4923">
            <v>0</v>
          </cell>
          <cell r="K4923">
            <v>0</v>
          </cell>
          <cell r="L4923">
            <v>0</v>
          </cell>
          <cell r="M4923">
            <v>0</v>
          </cell>
          <cell r="P4923">
            <v>88</v>
          </cell>
          <cell r="V4923" t="str">
            <v>Available</v>
          </cell>
        </row>
        <row r="4924">
          <cell r="A4924" t="str">
            <v>105800020008</v>
          </cell>
          <cell r="B4924" t="str">
            <v>Hasanpur</v>
          </cell>
          <cell r="C4924" t="str">
            <v>Hasanpur</v>
          </cell>
          <cell r="D4924" t="str">
            <v>Sakhwa Ghat</v>
          </cell>
          <cell r="E4924">
            <v>10580002</v>
          </cell>
          <cell r="F4924" t="str">
            <v>0008</v>
          </cell>
          <cell r="G4924">
            <v>7</v>
          </cell>
          <cell r="H4924">
            <v>12.299999999999999</v>
          </cell>
          <cell r="I4924">
            <v>495.93316171080011</v>
          </cell>
          <cell r="J4924">
            <v>0</v>
          </cell>
          <cell r="K4924">
            <v>0</v>
          </cell>
          <cell r="L4924">
            <v>0</v>
          </cell>
          <cell r="M4924">
            <v>0</v>
          </cell>
          <cell r="P4924">
            <v>496</v>
          </cell>
          <cell r="V4924" t="str">
            <v>Available</v>
          </cell>
        </row>
        <row r="4925">
          <cell r="A4925" t="str">
            <v>105800020012</v>
          </cell>
          <cell r="B4925" t="str">
            <v>Hasanpur</v>
          </cell>
          <cell r="C4925" t="str">
            <v>Hasanpur</v>
          </cell>
          <cell r="D4925" t="str">
            <v>Sakhwa Ghat</v>
          </cell>
          <cell r="E4925">
            <v>10580002</v>
          </cell>
          <cell r="F4925" t="str">
            <v>0012</v>
          </cell>
          <cell r="G4925">
            <v>11</v>
          </cell>
          <cell r="H4925">
            <v>11.5</v>
          </cell>
          <cell r="I4925">
            <v>475.60824630000002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P4925">
            <v>476</v>
          </cell>
          <cell r="V4925" t="str">
            <v>Available</v>
          </cell>
        </row>
        <row r="4926">
          <cell r="A4926" t="str">
            <v>105800020017</v>
          </cell>
          <cell r="B4926" t="str">
            <v>Hasanpur</v>
          </cell>
          <cell r="C4926" t="str">
            <v>Hasanpur</v>
          </cell>
          <cell r="D4926" t="str">
            <v>Sakhwa Ghat</v>
          </cell>
          <cell r="E4926">
            <v>10580002</v>
          </cell>
          <cell r="F4926" t="str">
            <v>0017</v>
          </cell>
          <cell r="G4926">
            <v>14</v>
          </cell>
          <cell r="H4926">
            <v>88.2</v>
          </cell>
          <cell r="I4926">
            <v>3385.79643510504</v>
          </cell>
          <cell r="J4926">
            <v>0</v>
          </cell>
          <cell r="K4926">
            <v>0</v>
          </cell>
          <cell r="L4926">
            <v>0</v>
          </cell>
          <cell r="M4926">
            <v>0</v>
          </cell>
          <cell r="P4926">
            <v>3386</v>
          </cell>
          <cell r="V4926" t="str">
            <v>Available</v>
          </cell>
        </row>
        <row r="4927">
          <cell r="A4927" t="str">
            <v>105800040001</v>
          </cell>
          <cell r="B4927" t="str">
            <v>Hasanpur</v>
          </cell>
          <cell r="C4927" t="str">
            <v>Hasanpur</v>
          </cell>
          <cell r="D4927" t="str">
            <v>Patiya</v>
          </cell>
          <cell r="E4927">
            <v>10580004</v>
          </cell>
          <cell r="F4927" t="str">
            <v>0001</v>
          </cell>
          <cell r="G4927">
            <v>13</v>
          </cell>
          <cell r="H4927">
            <v>3.3</v>
          </cell>
          <cell r="I4927">
            <v>127.27687125720001</v>
          </cell>
          <cell r="J4927">
            <v>0</v>
          </cell>
          <cell r="K4927">
            <v>127.27687125720001</v>
          </cell>
          <cell r="L4927">
            <v>0</v>
          </cell>
          <cell r="M4927">
            <v>0</v>
          </cell>
          <cell r="P4927">
            <v>0</v>
          </cell>
          <cell r="V4927" t="str">
            <v>Not Available</v>
          </cell>
        </row>
        <row r="4928">
          <cell r="A4928" t="str">
            <v>105800040002</v>
          </cell>
          <cell r="B4928" t="str">
            <v>Hasanpur</v>
          </cell>
          <cell r="C4928" t="str">
            <v>Hasanpur</v>
          </cell>
          <cell r="D4928" t="str">
            <v>Patiya</v>
          </cell>
          <cell r="E4928">
            <v>10580004</v>
          </cell>
          <cell r="F4928" t="str">
            <v>0002</v>
          </cell>
          <cell r="G4928">
            <v>14</v>
          </cell>
          <cell r="H4928">
            <v>247.9</v>
          </cell>
          <cell r="I4928">
            <v>9996.9594740985995</v>
          </cell>
          <cell r="J4928">
            <v>0</v>
          </cell>
          <cell r="K4928">
            <v>0</v>
          </cell>
          <cell r="L4928">
            <v>584</v>
          </cell>
          <cell r="M4928">
            <v>0</v>
          </cell>
          <cell r="P4928">
            <v>9413</v>
          </cell>
          <cell r="V4928" t="str">
            <v>Available</v>
          </cell>
        </row>
        <row r="4929">
          <cell r="A4929" t="str">
            <v>105800040013</v>
          </cell>
          <cell r="B4929" t="str">
            <v>Hasanpur</v>
          </cell>
          <cell r="C4929" t="str">
            <v>Hasanpur</v>
          </cell>
          <cell r="D4929" t="str">
            <v>Patiya</v>
          </cell>
          <cell r="E4929">
            <v>10580004</v>
          </cell>
          <cell r="F4929" t="str">
            <v>0013</v>
          </cell>
          <cell r="G4929">
            <v>11</v>
          </cell>
          <cell r="H4929">
            <v>14.9</v>
          </cell>
          <cell r="I4929">
            <v>656.54524188000005</v>
          </cell>
          <cell r="J4929">
            <v>0</v>
          </cell>
          <cell r="K4929">
            <v>0</v>
          </cell>
          <cell r="L4929">
            <v>0</v>
          </cell>
          <cell r="M4929">
            <v>0</v>
          </cell>
          <cell r="P4929">
            <v>657</v>
          </cell>
          <cell r="V4929" t="str">
            <v>Available</v>
          </cell>
        </row>
        <row r="4930">
          <cell r="A4930" t="str">
            <v>105800050001</v>
          </cell>
          <cell r="B4930" t="str">
            <v>Hasanpur</v>
          </cell>
          <cell r="C4930" t="str">
            <v>Hasanpur</v>
          </cell>
          <cell r="D4930" t="str">
            <v>Kasiya</v>
          </cell>
          <cell r="E4930">
            <v>10580005</v>
          </cell>
          <cell r="F4930" t="str">
            <v>0001</v>
          </cell>
          <cell r="G4930">
            <v>10</v>
          </cell>
          <cell r="H4930">
            <v>3.2</v>
          </cell>
          <cell r="I4930">
            <v>124.468889292</v>
          </cell>
          <cell r="J4930">
            <v>0</v>
          </cell>
          <cell r="K4930">
            <v>124.468889292</v>
          </cell>
          <cell r="L4930">
            <v>0</v>
          </cell>
          <cell r="M4930">
            <v>0</v>
          </cell>
          <cell r="P4930">
            <v>0</v>
          </cell>
          <cell r="V4930" t="str">
            <v>Not Available</v>
          </cell>
        </row>
        <row r="4931">
          <cell r="A4931" t="str">
            <v>105800050002</v>
          </cell>
          <cell r="B4931" t="str">
            <v>Hasanpur</v>
          </cell>
          <cell r="C4931" t="str">
            <v>Hasanpur</v>
          </cell>
          <cell r="D4931" t="str">
            <v>Kasiya</v>
          </cell>
          <cell r="E4931">
            <v>10580005</v>
          </cell>
          <cell r="F4931" t="str">
            <v>0002</v>
          </cell>
          <cell r="G4931">
            <v>3</v>
          </cell>
          <cell r="H4931">
            <v>7</v>
          </cell>
          <cell r="I4931">
            <v>419.30183418260003</v>
          </cell>
          <cell r="J4931">
            <v>0</v>
          </cell>
          <cell r="K4931">
            <v>0</v>
          </cell>
          <cell r="L4931">
            <v>419</v>
          </cell>
          <cell r="M4931">
            <v>0</v>
          </cell>
          <cell r="P4931">
            <v>0</v>
          </cell>
          <cell r="V4931" t="str">
            <v>Available</v>
          </cell>
        </row>
        <row r="4932">
          <cell r="A4932" t="str">
            <v>105800050003</v>
          </cell>
          <cell r="B4932" t="str">
            <v>Hasanpur</v>
          </cell>
          <cell r="C4932" t="str">
            <v>Hasanpur</v>
          </cell>
          <cell r="D4932" t="str">
            <v>Kasiya</v>
          </cell>
          <cell r="E4932">
            <v>10580005</v>
          </cell>
          <cell r="F4932" t="str">
            <v>0003</v>
          </cell>
          <cell r="G4932">
            <v>12</v>
          </cell>
          <cell r="H4932">
            <v>88.399999999999991</v>
          </cell>
          <cell r="I4932">
            <v>3390.5971400400003</v>
          </cell>
          <cell r="J4932">
            <v>0</v>
          </cell>
          <cell r="K4932">
            <v>0</v>
          </cell>
          <cell r="L4932">
            <v>1858</v>
          </cell>
          <cell r="M4932">
            <v>0</v>
          </cell>
          <cell r="P4932">
            <v>1533</v>
          </cell>
          <cell r="V4932" t="str">
            <v>Available</v>
          </cell>
        </row>
        <row r="4933">
          <cell r="A4933" t="str">
            <v>105800050009</v>
          </cell>
          <cell r="B4933" t="str">
            <v>Hasanpur</v>
          </cell>
          <cell r="C4933" t="str">
            <v>Hasanpur</v>
          </cell>
          <cell r="D4933" t="str">
            <v>Kasiya</v>
          </cell>
          <cell r="E4933">
            <v>10580005</v>
          </cell>
          <cell r="F4933" t="str">
            <v>0009</v>
          </cell>
          <cell r="G4933">
            <v>13</v>
          </cell>
          <cell r="H4933">
            <v>55.9</v>
          </cell>
          <cell r="I4933">
            <v>2063.4773413964999</v>
          </cell>
          <cell r="J4933">
            <v>0</v>
          </cell>
          <cell r="K4933">
            <v>0</v>
          </cell>
          <cell r="L4933">
            <v>0</v>
          </cell>
          <cell r="M4933">
            <v>0</v>
          </cell>
          <cell r="P4933">
            <v>2063</v>
          </cell>
          <cell r="V4933" t="str">
            <v>Available</v>
          </cell>
        </row>
        <row r="4934">
          <cell r="A4934" t="str">
            <v>105800050011</v>
          </cell>
          <cell r="B4934" t="str">
            <v>Hasanpur</v>
          </cell>
          <cell r="C4934" t="str">
            <v>Hasanpur</v>
          </cell>
          <cell r="D4934" t="str">
            <v>Kasiya</v>
          </cell>
          <cell r="E4934">
            <v>10580005</v>
          </cell>
          <cell r="F4934" t="str">
            <v>0011</v>
          </cell>
          <cell r="G4934">
            <v>12</v>
          </cell>
          <cell r="H4934">
            <v>33.499999999999993</v>
          </cell>
          <cell r="I4934">
            <v>1941.1534231122998</v>
          </cell>
          <cell r="J4934">
            <v>0</v>
          </cell>
          <cell r="K4934">
            <v>0</v>
          </cell>
          <cell r="L4934">
            <v>0</v>
          </cell>
          <cell r="M4934">
            <v>0</v>
          </cell>
          <cell r="P4934">
            <v>1941</v>
          </cell>
          <cell r="V4934" t="str">
            <v>Available</v>
          </cell>
        </row>
        <row r="4935">
          <cell r="A4935" t="str">
            <v>105800050012</v>
          </cell>
          <cell r="B4935" t="str">
            <v>Hasanpur</v>
          </cell>
          <cell r="C4935" t="str">
            <v>Hasanpur</v>
          </cell>
          <cell r="D4935" t="str">
            <v>Kasiya</v>
          </cell>
          <cell r="E4935">
            <v>10580005</v>
          </cell>
          <cell r="F4935" t="str">
            <v>0012</v>
          </cell>
          <cell r="G4935">
            <v>13</v>
          </cell>
          <cell r="H4935">
            <v>34.499999999999993</v>
          </cell>
          <cell r="I4935">
            <v>1379.5216542360001</v>
          </cell>
          <cell r="J4935">
            <v>0</v>
          </cell>
          <cell r="K4935">
            <v>0</v>
          </cell>
          <cell r="L4935">
            <v>0</v>
          </cell>
          <cell r="M4935">
            <v>0</v>
          </cell>
          <cell r="P4935">
            <v>1380</v>
          </cell>
          <cell r="V4935" t="str">
            <v>Available</v>
          </cell>
        </row>
        <row r="4936">
          <cell r="A4936" t="str">
            <v>105800050014</v>
          </cell>
          <cell r="B4936" t="str">
            <v>Hasanpur</v>
          </cell>
          <cell r="C4936" t="str">
            <v>Hasanpur</v>
          </cell>
          <cell r="D4936" t="str">
            <v>Kasiya</v>
          </cell>
          <cell r="E4936">
            <v>10580005</v>
          </cell>
          <cell r="F4936" t="str">
            <v>0014</v>
          </cell>
          <cell r="G4936">
            <v>14</v>
          </cell>
          <cell r="H4936">
            <v>200.49999999999997</v>
          </cell>
          <cell r="I4936">
            <v>7615.6585391700019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P4936">
            <v>7616</v>
          </cell>
          <cell r="V4936" t="str">
            <v>Available</v>
          </cell>
        </row>
        <row r="4937">
          <cell r="A4937" t="str">
            <v>105800050015</v>
          </cell>
          <cell r="B4937" t="str">
            <v>Hasanpur</v>
          </cell>
          <cell r="C4937" t="str">
            <v>Hasanpur</v>
          </cell>
          <cell r="D4937" t="str">
            <v>Kasiya</v>
          </cell>
          <cell r="E4937">
            <v>10580005</v>
          </cell>
          <cell r="F4937" t="str">
            <v>0015</v>
          </cell>
          <cell r="G4937">
            <v>9</v>
          </cell>
          <cell r="H4937">
            <v>12.299999999999999</v>
          </cell>
          <cell r="I4937">
            <v>600.48165585309994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  <cell r="P4937">
            <v>600</v>
          </cell>
          <cell r="V4937" t="str">
            <v>Available</v>
          </cell>
        </row>
        <row r="4938">
          <cell r="A4938" t="str">
            <v>105800050018</v>
          </cell>
          <cell r="B4938" t="str">
            <v>Hasanpur</v>
          </cell>
          <cell r="C4938" t="str">
            <v>Hasanpur</v>
          </cell>
          <cell r="D4938" t="str">
            <v>Kasiya</v>
          </cell>
          <cell r="E4938">
            <v>10580005</v>
          </cell>
          <cell r="F4938" t="str">
            <v>0018</v>
          </cell>
          <cell r="G4938">
            <v>7</v>
          </cell>
          <cell r="H4938">
            <v>33.799999999999997</v>
          </cell>
          <cell r="I4938">
            <v>1221.8679277199999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P4938">
            <v>1222</v>
          </cell>
          <cell r="V4938" t="str">
            <v>Available</v>
          </cell>
        </row>
        <row r="4939">
          <cell r="A4939" t="str">
            <v>105800070001</v>
          </cell>
          <cell r="B4939" t="str">
            <v>Hasanpur</v>
          </cell>
          <cell r="C4939" t="str">
            <v>Hasanpur</v>
          </cell>
          <cell r="D4939" t="str">
            <v>Belshandi</v>
          </cell>
          <cell r="E4939">
            <v>10580007</v>
          </cell>
          <cell r="F4939" t="str">
            <v>0001</v>
          </cell>
          <cell r="G4939">
            <v>5</v>
          </cell>
          <cell r="H4939">
            <v>4.4000000000000004</v>
          </cell>
          <cell r="I4939">
            <v>226.30914424142003</v>
          </cell>
          <cell r="J4939">
            <v>0</v>
          </cell>
          <cell r="K4939">
            <v>226.30914424142003</v>
          </cell>
          <cell r="L4939">
            <v>0</v>
          </cell>
          <cell r="M4939">
            <v>0</v>
          </cell>
          <cell r="P4939">
            <v>0</v>
          </cell>
          <cell r="V4939" t="str">
            <v>Not Available</v>
          </cell>
        </row>
        <row r="4940">
          <cell r="A4940" t="str">
            <v>105800070002</v>
          </cell>
          <cell r="B4940" t="str">
            <v>Hasanpur</v>
          </cell>
          <cell r="C4940" t="str">
            <v>Hasanpur</v>
          </cell>
          <cell r="D4940" t="str">
            <v>Belshandi</v>
          </cell>
          <cell r="E4940">
            <v>10580007</v>
          </cell>
          <cell r="F4940" t="str">
            <v>0002</v>
          </cell>
          <cell r="G4940">
            <v>12</v>
          </cell>
          <cell r="H4940">
            <v>116.69999999999999</v>
          </cell>
          <cell r="I4940">
            <v>4424.7638905687663</v>
          </cell>
          <cell r="J4940">
            <v>0</v>
          </cell>
          <cell r="K4940">
            <v>0</v>
          </cell>
          <cell r="L4940">
            <v>0</v>
          </cell>
          <cell r="M4940">
            <v>0</v>
          </cell>
          <cell r="P4940">
            <v>4425</v>
          </cell>
          <cell r="V4940" t="str">
            <v>Available</v>
          </cell>
        </row>
        <row r="4941">
          <cell r="A4941" t="str">
            <v>105800070017</v>
          </cell>
          <cell r="B4941" t="str">
            <v>Hasanpur</v>
          </cell>
          <cell r="C4941" t="str">
            <v>Hasanpur</v>
          </cell>
          <cell r="D4941" t="str">
            <v>Belshandi</v>
          </cell>
          <cell r="E4941">
            <v>10580007</v>
          </cell>
          <cell r="F4941" t="str">
            <v>0017</v>
          </cell>
          <cell r="G4941">
            <v>8</v>
          </cell>
          <cell r="H4941">
            <v>10.6</v>
          </cell>
          <cell r="I4941">
            <v>414.16034241780005</v>
          </cell>
          <cell r="J4941">
            <v>0</v>
          </cell>
          <cell r="K4941">
            <v>0</v>
          </cell>
          <cell r="L4941">
            <v>0</v>
          </cell>
          <cell r="M4941">
            <v>0</v>
          </cell>
          <cell r="P4941">
            <v>414</v>
          </cell>
          <cell r="V4941" t="str">
            <v>Available</v>
          </cell>
        </row>
        <row r="4942">
          <cell r="A4942" t="str">
            <v>105800070018</v>
          </cell>
          <cell r="B4942" t="str">
            <v>Hasanpur</v>
          </cell>
          <cell r="C4942" t="str">
            <v>Hasanpur</v>
          </cell>
          <cell r="D4942" t="str">
            <v>Belshandi</v>
          </cell>
          <cell r="E4942">
            <v>10580007</v>
          </cell>
          <cell r="F4942" t="str">
            <v>0018</v>
          </cell>
          <cell r="G4942">
            <v>4</v>
          </cell>
          <cell r="H4942">
            <v>6.6</v>
          </cell>
          <cell r="I4942">
            <v>267.90272250280003</v>
          </cell>
          <cell r="J4942">
            <v>0</v>
          </cell>
          <cell r="K4942">
            <v>0</v>
          </cell>
          <cell r="L4942">
            <v>0</v>
          </cell>
          <cell r="M4942">
            <v>0</v>
          </cell>
          <cell r="P4942">
            <v>268</v>
          </cell>
          <cell r="V4942" t="str">
            <v>Available</v>
          </cell>
        </row>
        <row r="4943">
          <cell r="A4943" t="str">
            <v>105800070022</v>
          </cell>
          <cell r="B4943" t="str">
            <v>Hasanpur</v>
          </cell>
          <cell r="C4943" t="str">
            <v>Hasanpur</v>
          </cell>
          <cell r="D4943" t="str">
            <v>Belshandi</v>
          </cell>
          <cell r="E4943">
            <v>10580007</v>
          </cell>
          <cell r="F4943" t="str">
            <v>0022</v>
          </cell>
          <cell r="G4943">
            <v>5</v>
          </cell>
          <cell r="H4943">
            <v>6.7</v>
          </cell>
          <cell r="I4943">
            <v>359.53758460898001</v>
          </cell>
          <cell r="J4943">
            <v>0</v>
          </cell>
          <cell r="K4943">
            <v>0</v>
          </cell>
          <cell r="L4943">
            <v>0</v>
          </cell>
          <cell r="M4943">
            <v>0</v>
          </cell>
          <cell r="P4943">
            <v>360</v>
          </cell>
          <cell r="V4943" t="str">
            <v>Available</v>
          </cell>
        </row>
        <row r="4944">
          <cell r="A4944" t="str">
            <v>105800090002</v>
          </cell>
          <cell r="B4944" t="str">
            <v>Hasanpur</v>
          </cell>
          <cell r="C4944" t="str">
            <v>Hasanpur</v>
          </cell>
          <cell r="D4944" t="str">
            <v>Belshandi-2</v>
          </cell>
          <cell r="E4944">
            <v>10580009</v>
          </cell>
          <cell r="F4944" t="str">
            <v>0002</v>
          </cell>
          <cell r="G4944">
            <v>2</v>
          </cell>
          <cell r="H4944">
            <v>6.1</v>
          </cell>
          <cell r="I4944">
            <v>322.02598477999993</v>
          </cell>
          <cell r="J4944">
            <v>0</v>
          </cell>
          <cell r="K4944">
            <v>0</v>
          </cell>
          <cell r="L4944">
            <v>242</v>
          </cell>
          <cell r="M4944">
            <v>0</v>
          </cell>
          <cell r="P4944">
            <v>0</v>
          </cell>
          <cell r="V4944" t="str">
            <v>Available</v>
          </cell>
        </row>
        <row r="4945">
          <cell r="A4945" t="str">
            <v>105800090007</v>
          </cell>
          <cell r="B4945" t="str">
            <v>Hasanpur</v>
          </cell>
          <cell r="C4945" t="str">
            <v>Hasanpur</v>
          </cell>
          <cell r="D4945" t="str">
            <v>Belshandi-2</v>
          </cell>
          <cell r="E4945">
            <v>10580009</v>
          </cell>
          <cell r="F4945" t="str">
            <v>0007</v>
          </cell>
          <cell r="G4945">
            <v>3</v>
          </cell>
          <cell r="H4945">
            <v>4.3</v>
          </cell>
          <cell r="I4945">
            <v>287.49674268000001</v>
          </cell>
          <cell r="J4945">
            <v>0</v>
          </cell>
          <cell r="K4945">
            <v>0</v>
          </cell>
          <cell r="L4945">
            <v>1</v>
          </cell>
          <cell r="M4945">
            <v>0</v>
          </cell>
          <cell r="P4945">
            <v>286</v>
          </cell>
          <cell r="V4945" t="str">
            <v>Available</v>
          </cell>
        </row>
        <row r="4946">
          <cell r="A4946" t="str">
            <v>105800090008</v>
          </cell>
          <cell r="B4946" t="str">
            <v>Hasanpur</v>
          </cell>
          <cell r="C4946" t="str">
            <v>Hasanpur</v>
          </cell>
          <cell r="D4946" t="str">
            <v>Belshandi-2</v>
          </cell>
          <cell r="E4946">
            <v>10580009</v>
          </cell>
          <cell r="F4946" t="str">
            <v>0008</v>
          </cell>
          <cell r="G4946">
            <v>3</v>
          </cell>
          <cell r="H4946">
            <v>3.1</v>
          </cell>
          <cell r="I4946">
            <v>198.63577652600003</v>
          </cell>
          <cell r="J4946">
            <v>0</v>
          </cell>
          <cell r="K4946">
            <v>0</v>
          </cell>
          <cell r="L4946">
            <v>0</v>
          </cell>
          <cell r="M4946">
            <v>0</v>
          </cell>
          <cell r="P4946">
            <v>199</v>
          </cell>
          <cell r="V4946" t="str">
            <v>Available</v>
          </cell>
        </row>
        <row r="4947">
          <cell r="A4947" t="str">
            <v>105800090010</v>
          </cell>
          <cell r="B4947" t="str">
            <v>Hasanpur</v>
          </cell>
          <cell r="C4947" t="str">
            <v>Hasanpur</v>
          </cell>
          <cell r="D4947" t="str">
            <v>Belshandi-2</v>
          </cell>
          <cell r="E4947">
            <v>10580009</v>
          </cell>
          <cell r="F4947" t="str">
            <v>0010</v>
          </cell>
          <cell r="G4947">
            <v>2</v>
          </cell>
          <cell r="H4947">
            <v>5.5</v>
          </cell>
          <cell r="I4947">
            <v>422.27598055250002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P4947">
            <v>222</v>
          </cell>
          <cell r="V4947" t="str">
            <v>Available</v>
          </cell>
        </row>
        <row r="4948">
          <cell r="A4948" t="str">
            <v>105800090017</v>
          </cell>
          <cell r="B4948" t="str">
            <v>Hasanpur</v>
          </cell>
          <cell r="C4948" t="str">
            <v>Hasanpur</v>
          </cell>
          <cell r="D4948" t="str">
            <v>Belshandi-2</v>
          </cell>
          <cell r="E4948">
            <v>10580009</v>
          </cell>
          <cell r="F4948" t="str">
            <v>0017</v>
          </cell>
          <cell r="G4948">
            <v>6</v>
          </cell>
          <cell r="H4948">
            <v>14</v>
          </cell>
          <cell r="I4948">
            <v>560.23493981400009</v>
          </cell>
          <cell r="J4948">
            <v>0</v>
          </cell>
          <cell r="K4948">
            <v>0</v>
          </cell>
          <cell r="L4948">
            <v>0</v>
          </cell>
          <cell r="M4948">
            <v>0</v>
          </cell>
          <cell r="P4948">
            <v>560</v>
          </cell>
          <cell r="V4948" t="str">
            <v>Available</v>
          </cell>
        </row>
        <row r="4949">
          <cell r="A4949" t="str">
            <v>105800090018</v>
          </cell>
          <cell r="B4949" t="str">
            <v>Hasanpur</v>
          </cell>
          <cell r="C4949" t="str">
            <v>Hasanpur</v>
          </cell>
          <cell r="D4949" t="str">
            <v>Belshandi-2</v>
          </cell>
          <cell r="E4949">
            <v>10580009</v>
          </cell>
          <cell r="F4949" t="str">
            <v>0018</v>
          </cell>
          <cell r="G4949">
            <v>6</v>
          </cell>
          <cell r="H4949">
            <v>15.9</v>
          </cell>
          <cell r="I4949">
            <v>729.34951650000005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  <cell r="P4949">
            <v>729</v>
          </cell>
          <cell r="V4949" t="str">
            <v>Available</v>
          </cell>
        </row>
        <row r="4950">
          <cell r="A4950" t="str">
            <v>105800090019</v>
          </cell>
          <cell r="B4950" t="str">
            <v>Hasanpur</v>
          </cell>
          <cell r="C4950" t="str">
            <v>Hasanpur</v>
          </cell>
          <cell r="D4950" t="str">
            <v>Belshandi-2</v>
          </cell>
          <cell r="E4950">
            <v>10580009</v>
          </cell>
          <cell r="F4950" t="str">
            <v>0019</v>
          </cell>
          <cell r="G4950">
            <v>4</v>
          </cell>
          <cell r="H4950">
            <v>10.199999999999999</v>
          </cell>
          <cell r="I4950">
            <v>493.52618432760005</v>
          </cell>
          <cell r="J4950">
            <v>0</v>
          </cell>
          <cell r="K4950">
            <v>0</v>
          </cell>
          <cell r="L4950">
            <v>0</v>
          </cell>
          <cell r="M4950">
            <v>0</v>
          </cell>
          <cell r="P4950">
            <v>394</v>
          </cell>
          <cell r="V4950" t="str">
            <v>Available</v>
          </cell>
        </row>
        <row r="4951">
          <cell r="A4951" t="str">
            <v>105800090021</v>
          </cell>
          <cell r="B4951" t="str">
            <v>Hasanpur</v>
          </cell>
          <cell r="C4951" t="str">
            <v>Hasanpur</v>
          </cell>
          <cell r="D4951" t="str">
            <v>Belshandi-2</v>
          </cell>
          <cell r="E4951">
            <v>10580009</v>
          </cell>
          <cell r="F4951" t="str">
            <v>0021</v>
          </cell>
          <cell r="G4951">
            <v>5</v>
          </cell>
          <cell r="H4951">
            <v>7.6</v>
          </cell>
          <cell r="I4951">
            <v>447.40389596599994</v>
          </cell>
          <cell r="J4951">
            <v>0</v>
          </cell>
          <cell r="K4951">
            <v>0</v>
          </cell>
          <cell r="L4951">
            <v>0</v>
          </cell>
          <cell r="M4951">
            <v>0</v>
          </cell>
          <cell r="P4951">
            <v>301</v>
          </cell>
          <cell r="V4951" t="str">
            <v>Available</v>
          </cell>
        </row>
        <row r="4952">
          <cell r="A4952" t="str">
            <v>105800090025</v>
          </cell>
          <cell r="B4952" t="str">
            <v>Hasanpur</v>
          </cell>
          <cell r="C4952" t="str">
            <v>Hasanpur</v>
          </cell>
          <cell r="D4952" t="str">
            <v>Belshandi-2</v>
          </cell>
          <cell r="E4952">
            <v>10580009</v>
          </cell>
          <cell r="F4952" t="str">
            <v>0025</v>
          </cell>
          <cell r="G4952">
            <v>3</v>
          </cell>
          <cell r="H4952">
            <v>10.5</v>
          </cell>
          <cell r="I4952">
            <v>356.37175332000004</v>
          </cell>
          <cell r="J4952">
            <v>0</v>
          </cell>
          <cell r="K4952">
            <v>0</v>
          </cell>
          <cell r="L4952">
            <v>0</v>
          </cell>
          <cell r="M4952">
            <v>0</v>
          </cell>
          <cell r="P4952">
            <v>356</v>
          </cell>
          <cell r="V4952" t="str">
            <v>Available</v>
          </cell>
        </row>
        <row r="4953">
          <cell r="A4953" t="str">
            <v>105800090027</v>
          </cell>
          <cell r="B4953" t="str">
            <v>Hasanpur</v>
          </cell>
          <cell r="C4953" t="str">
            <v>Hasanpur</v>
          </cell>
          <cell r="D4953" t="str">
            <v>Belshandi-2</v>
          </cell>
          <cell r="E4953">
            <v>10580009</v>
          </cell>
          <cell r="F4953" t="str">
            <v>0027</v>
          </cell>
          <cell r="G4953">
            <v>3</v>
          </cell>
          <cell r="H4953">
            <v>6.3</v>
          </cell>
          <cell r="I4953">
            <v>221.64151521600002</v>
          </cell>
          <cell r="J4953">
            <v>0</v>
          </cell>
          <cell r="K4953">
            <v>0</v>
          </cell>
          <cell r="L4953">
            <v>0</v>
          </cell>
          <cell r="M4953">
            <v>0</v>
          </cell>
          <cell r="P4953">
            <v>222</v>
          </cell>
          <cell r="V4953" t="str">
            <v>Available</v>
          </cell>
        </row>
        <row r="4954">
          <cell r="A4954" t="str">
            <v>105800090028</v>
          </cell>
          <cell r="B4954" t="str">
            <v>Hasanpur</v>
          </cell>
          <cell r="C4954" t="str">
            <v>Hasanpur</v>
          </cell>
          <cell r="D4954" t="str">
            <v>Belshandi-2</v>
          </cell>
          <cell r="E4954">
            <v>10580009</v>
          </cell>
          <cell r="F4954" t="str">
            <v>0028</v>
          </cell>
          <cell r="G4954">
            <v>6</v>
          </cell>
          <cell r="H4954">
            <v>29</v>
          </cell>
          <cell r="I4954">
            <v>1196.0340824520001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P4954">
            <v>1096</v>
          </cell>
          <cell r="V4954" t="str">
            <v>Available</v>
          </cell>
        </row>
        <row r="4955">
          <cell r="A4955" t="str">
            <v>105800090029</v>
          </cell>
          <cell r="B4955" t="str">
            <v>Hasanpur</v>
          </cell>
          <cell r="C4955" t="str">
            <v>Hasanpur</v>
          </cell>
          <cell r="D4955" t="str">
            <v>Belshandi-2</v>
          </cell>
          <cell r="E4955">
            <v>10580009</v>
          </cell>
          <cell r="F4955" t="str">
            <v>0029</v>
          </cell>
          <cell r="G4955">
            <v>5</v>
          </cell>
          <cell r="H4955">
            <v>9.4</v>
          </cell>
          <cell r="I4955">
            <v>291.40810954200009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P4955">
            <v>291</v>
          </cell>
          <cell r="V4955" t="str">
            <v>Available</v>
          </cell>
        </row>
        <row r="4956">
          <cell r="A4956" t="str">
            <v>105800090031</v>
          </cell>
          <cell r="B4956" t="str">
            <v>Hasanpur</v>
          </cell>
          <cell r="C4956" t="str">
            <v>Hasanpur</v>
          </cell>
          <cell r="D4956" t="str">
            <v>Belshandi-2</v>
          </cell>
          <cell r="E4956">
            <v>10580009</v>
          </cell>
          <cell r="F4956" t="str">
            <v>0031</v>
          </cell>
          <cell r="G4956">
            <v>2</v>
          </cell>
          <cell r="H4956">
            <v>2.2000000000000002</v>
          </cell>
          <cell r="I4956">
            <v>118.665432654</v>
          </cell>
          <cell r="J4956">
            <v>0</v>
          </cell>
          <cell r="K4956">
            <v>0</v>
          </cell>
          <cell r="L4956">
            <v>0</v>
          </cell>
          <cell r="M4956">
            <v>0</v>
          </cell>
          <cell r="P4956">
            <v>119</v>
          </cell>
          <cell r="V4956" t="str">
            <v>Available</v>
          </cell>
        </row>
        <row r="4957">
          <cell r="A4957" t="str">
            <v>105800100002</v>
          </cell>
          <cell r="B4957" t="str">
            <v>Hasanpur</v>
          </cell>
          <cell r="C4957" t="str">
            <v>Hasanpur</v>
          </cell>
          <cell r="D4957" t="str">
            <v>Godah</v>
          </cell>
          <cell r="E4957">
            <v>10580010</v>
          </cell>
          <cell r="F4957" t="str">
            <v>0002</v>
          </cell>
          <cell r="G4957">
            <v>14</v>
          </cell>
          <cell r="H4957">
            <v>294.39999999999998</v>
          </cell>
          <cell r="I4957">
            <v>11531.407898592</v>
          </cell>
          <cell r="J4957">
            <v>0</v>
          </cell>
          <cell r="K4957">
            <v>0</v>
          </cell>
          <cell r="L4957">
            <v>1906</v>
          </cell>
          <cell r="M4957">
            <v>0</v>
          </cell>
          <cell r="P4957">
            <v>9625</v>
          </cell>
          <cell r="V4957" t="str">
            <v>Available</v>
          </cell>
        </row>
        <row r="4958">
          <cell r="A4958" t="str">
            <v>105800100012</v>
          </cell>
          <cell r="B4958" t="str">
            <v>Hasanpur</v>
          </cell>
          <cell r="C4958" t="str">
            <v>Hasanpur</v>
          </cell>
          <cell r="D4958" t="str">
            <v>Godah</v>
          </cell>
          <cell r="E4958">
            <v>10580010</v>
          </cell>
          <cell r="F4958" t="str">
            <v>0012</v>
          </cell>
          <cell r="G4958">
            <v>7</v>
          </cell>
          <cell r="H4958">
            <v>14.5</v>
          </cell>
          <cell r="I4958">
            <v>575.07363540000006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P4958">
            <v>575</v>
          </cell>
          <cell r="V4958" t="str">
            <v>Available</v>
          </cell>
        </row>
        <row r="4959">
          <cell r="A4959" t="str">
            <v>105800100014</v>
          </cell>
          <cell r="B4959" t="str">
            <v>Hasanpur</v>
          </cell>
          <cell r="C4959" t="str">
            <v>Hasanpur</v>
          </cell>
          <cell r="D4959" t="str">
            <v>Godah</v>
          </cell>
          <cell r="E4959">
            <v>10580010</v>
          </cell>
          <cell r="F4959" t="str">
            <v>0014</v>
          </cell>
          <cell r="G4959">
            <v>1</v>
          </cell>
          <cell r="H4959">
            <v>5.0999999999999996</v>
          </cell>
          <cell r="I4959">
            <v>173.75797236599999</v>
          </cell>
          <cell r="J4959">
            <v>0</v>
          </cell>
          <cell r="K4959">
            <v>0</v>
          </cell>
          <cell r="L4959">
            <v>0</v>
          </cell>
          <cell r="M4959">
            <v>0</v>
          </cell>
          <cell r="P4959">
            <v>174</v>
          </cell>
          <cell r="V4959" t="str">
            <v>Available</v>
          </cell>
        </row>
        <row r="4960">
          <cell r="A4960" t="str">
            <v>105800100018</v>
          </cell>
          <cell r="B4960" t="str">
            <v>Hasanpur</v>
          </cell>
          <cell r="C4960" t="str">
            <v>Hasanpur</v>
          </cell>
          <cell r="D4960" t="str">
            <v>Godah</v>
          </cell>
          <cell r="E4960">
            <v>10580010</v>
          </cell>
          <cell r="F4960" t="str">
            <v>0018</v>
          </cell>
          <cell r="G4960">
            <v>7</v>
          </cell>
          <cell r="H4960">
            <v>21.1</v>
          </cell>
          <cell r="I4960">
            <v>762.83666316000017</v>
          </cell>
          <cell r="J4960">
            <v>0</v>
          </cell>
          <cell r="K4960">
            <v>0</v>
          </cell>
          <cell r="L4960">
            <v>0</v>
          </cell>
          <cell r="M4960">
            <v>0</v>
          </cell>
          <cell r="P4960">
            <v>763</v>
          </cell>
          <cell r="V4960" t="str">
            <v>Available</v>
          </cell>
        </row>
        <row r="4961">
          <cell r="A4961" t="str">
            <v>105800120002</v>
          </cell>
          <cell r="B4961" t="str">
            <v>Hasanpur</v>
          </cell>
          <cell r="C4961" t="str">
            <v>Hasanpur</v>
          </cell>
          <cell r="D4961" t="str">
            <v>Ballahpur</v>
          </cell>
          <cell r="E4961">
            <v>10580012</v>
          </cell>
          <cell r="F4961" t="str">
            <v>0002</v>
          </cell>
          <cell r="G4961">
            <v>9</v>
          </cell>
          <cell r="H4961">
            <v>18.170000000000002</v>
          </cell>
          <cell r="I4961">
            <v>789.88862877330007</v>
          </cell>
          <cell r="J4961">
            <v>0</v>
          </cell>
          <cell r="K4961">
            <v>0</v>
          </cell>
          <cell r="L4961">
            <v>0</v>
          </cell>
          <cell r="M4961">
            <v>0</v>
          </cell>
          <cell r="P4961">
            <v>773</v>
          </cell>
          <cell r="V4961" t="str">
            <v>Available</v>
          </cell>
        </row>
        <row r="4962">
          <cell r="A4962" t="str">
            <v>105800120003</v>
          </cell>
          <cell r="B4962" t="str">
            <v>Hasanpur</v>
          </cell>
          <cell r="C4962" t="str">
            <v>Hasanpur</v>
          </cell>
          <cell r="D4962" t="str">
            <v>Ballahpur</v>
          </cell>
          <cell r="E4962">
            <v>10580012</v>
          </cell>
          <cell r="F4962" t="str">
            <v>0003</v>
          </cell>
          <cell r="G4962">
            <v>8</v>
          </cell>
          <cell r="H4962">
            <v>17.89</v>
          </cell>
          <cell r="I4962">
            <v>695.87787258000003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P4962">
            <v>696</v>
          </cell>
          <cell r="V4962" t="str">
            <v>Available</v>
          </cell>
        </row>
        <row r="4963">
          <cell r="A4963" t="str">
            <v>105800120006</v>
          </cell>
          <cell r="B4963" t="str">
            <v>Hasanpur</v>
          </cell>
          <cell r="C4963" t="str">
            <v>Hasanpur</v>
          </cell>
          <cell r="D4963" t="str">
            <v>Ballahpur</v>
          </cell>
          <cell r="E4963">
            <v>10580012</v>
          </cell>
          <cell r="F4963" t="str">
            <v>0006</v>
          </cell>
          <cell r="G4963">
            <v>7</v>
          </cell>
          <cell r="H4963">
            <v>16.690000000000001</v>
          </cell>
          <cell r="I4963">
            <v>598.66502530053913</v>
          </cell>
          <cell r="J4963">
            <v>0</v>
          </cell>
          <cell r="K4963">
            <v>0</v>
          </cell>
          <cell r="L4963">
            <v>0</v>
          </cell>
          <cell r="M4963">
            <v>0</v>
          </cell>
          <cell r="P4963">
            <v>599</v>
          </cell>
          <cell r="V4963" t="str">
            <v>Available</v>
          </cell>
        </row>
        <row r="4964">
          <cell r="A4964" t="str">
            <v>105800120007</v>
          </cell>
          <cell r="B4964" t="str">
            <v>Hasanpur</v>
          </cell>
          <cell r="C4964" t="str">
            <v>Hasanpur</v>
          </cell>
          <cell r="D4964" t="str">
            <v>Ballahpur</v>
          </cell>
          <cell r="E4964">
            <v>10580012</v>
          </cell>
          <cell r="F4964" t="str">
            <v>0007</v>
          </cell>
          <cell r="G4964">
            <v>5</v>
          </cell>
          <cell r="H4964">
            <v>8.59</v>
          </cell>
          <cell r="I4964">
            <v>287.68118888520002</v>
          </cell>
          <cell r="J4964">
            <v>0</v>
          </cell>
          <cell r="K4964">
            <v>0</v>
          </cell>
          <cell r="L4964">
            <v>0</v>
          </cell>
          <cell r="M4964">
            <v>0</v>
          </cell>
          <cell r="P4964">
            <v>288</v>
          </cell>
          <cell r="V4964" t="str">
            <v>Available</v>
          </cell>
        </row>
        <row r="4965">
          <cell r="A4965" t="str">
            <v>105800150002</v>
          </cell>
          <cell r="B4965" t="str">
            <v>Hasanpur</v>
          </cell>
          <cell r="C4965" t="str">
            <v>Hasanpur</v>
          </cell>
          <cell r="D4965" t="str">
            <v>Birpur</v>
          </cell>
          <cell r="E4965">
            <v>10580015</v>
          </cell>
          <cell r="F4965" t="str">
            <v>0002</v>
          </cell>
          <cell r="G4965">
            <v>10</v>
          </cell>
          <cell r="H4965">
            <v>94.85</v>
          </cell>
          <cell r="I4965">
            <v>3360.9399114654002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  <cell r="P4965">
            <v>3361</v>
          </cell>
          <cell r="V4965" t="str">
            <v>Available</v>
          </cell>
        </row>
        <row r="4966">
          <cell r="A4966" t="str">
            <v>105800150003</v>
          </cell>
          <cell r="B4966" t="str">
            <v>Hasanpur</v>
          </cell>
          <cell r="C4966" t="str">
            <v>Hasanpur</v>
          </cell>
          <cell r="D4966" t="str">
            <v>Birpur</v>
          </cell>
          <cell r="E4966">
            <v>10580015</v>
          </cell>
          <cell r="F4966" t="str">
            <v>0003</v>
          </cell>
          <cell r="G4966">
            <v>8</v>
          </cell>
          <cell r="H4966">
            <v>19.989999999999998</v>
          </cell>
          <cell r="I4966">
            <v>780.8245392816001</v>
          </cell>
          <cell r="J4966">
            <v>0</v>
          </cell>
          <cell r="K4966">
            <v>0</v>
          </cell>
          <cell r="L4966">
            <v>0</v>
          </cell>
          <cell r="M4966">
            <v>0</v>
          </cell>
          <cell r="P4966">
            <v>781</v>
          </cell>
          <cell r="V4966" t="str">
            <v>Available</v>
          </cell>
        </row>
        <row r="4967">
          <cell r="A4967" t="str">
            <v>105800150005</v>
          </cell>
          <cell r="B4967" t="str">
            <v>Hasanpur</v>
          </cell>
          <cell r="C4967" t="str">
            <v>Hasanpur</v>
          </cell>
          <cell r="D4967" t="str">
            <v>Birpur</v>
          </cell>
          <cell r="E4967">
            <v>10580015</v>
          </cell>
          <cell r="F4967" t="str">
            <v>0005</v>
          </cell>
          <cell r="G4967">
            <v>4</v>
          </cell>
          <cell r="H4967">
            <v>8.33</v>
          </cell>
          <cell r="I4967">
            <v>291.19660271460009</v>
          </cell>
          <cell r="J4967">
            <v>0</v>
          </cell>
          <cell r="K4967">
            <v>0</v>
          </cell>
          <cell r="L4967">
            <v>0</v>
          </cell>
          <cell r="M4967">
            <v>0</v>
          </cell>
          <cell r="P4967">
            <v>291</v>
          </cell>
          <cell r="V4967" t="str">
            <v>Available</v>
          </cell>
        </row>
        <row r="4968">
          <cell r="A4968" t="str">
            <v>105800150006</v>
          </cell>
          <cell r="B4968" t="str">
            <v>Hasanpur</v>
          </cell>
          <cell r="C4968" t="str">
            <v>Hasanpur</v>
          </cell>
          <cell r="D4968" t="str">
            <v>Birpur</v>
          </cell>
          <cell r="E4968">
            <v>10580015</v>
          </cell>
          <cell r="F4968" t="str">
            <v>0006</v>
          </cell>
          <cell r="G4968">
            <v>10</v>
          </cell>
          <cell r="H4968">
            <v>81.199999999999989</v>
          </cell>
          <cell r="I4968">
            <v>2831.5503230454005</v>
          </cell>
          <cell r="J4968">
            <v>0</v>
          </cell>
          <cell r="K4968">
            <v>0</v>
          </cell>
          <cell r="L4968">
            <v>0</v>
          </cell>
          <cell r="M4968">
            <v>0</v>
          </cell>
          <cell r="P4968">
            <v>2832</v>
          </cell>
          <cell r="V4968" t="str">
            <v>Available</v>
          </cell>
        </row>
        <row r="4969">
          <cell r="A4969" t="str">
            <v>105800150007</v>
          </cell>
          <cell r="B4969" t="str">
            <v>Hasanpur</v>
          </cell>
          <cell r="C4969" t="str">
            <v>Hasanpur</v>
          </cell>
          <cell r="D4969" t="str">
            <v>Birpur</v>
          </cell>
          <cell r="E4969">
            <v>10580015</v>
          </cell>
          <cell r="F4969" t="str">
            <v>0007</v>
          </cell>
          <cell r="G4969">
            <v>11</v>
          </cell>
          <cell r="H4969">
            <v>108.02000000000001</v>
          </cell>
          <cell r="I4969">
            <v>3761.7106620258005</v>
          </cell>
          <cell r="J4969">
            <v>0</v>
          </cell>
          <cell r="K4969">
            <v>0</v>
          </cell>
          <cell r="L4969">
            <v>0</v>
          </cell>
          <cell r="M4969">
            <v>0</v>
          </cell>
          <cell r="P4969">
            <v>3762</v>
          </cell>
          <cell r="V4969" t="str">
            <v>Available</v>
          </cell>
        </row>
        <row r="4970">
          <cell r="A4970" t="str">
            <v>105800150008</v>
          </cell>
          <cell r="B4970" t="str">
            <v>Hasanpur</v>
          </cell>
          <cell r="C4970" t="str">
            <v>Hasanpur</v>
          </cell>
          <cell r="D4970" t="str">
            <v>Birpur</v>
          </cell>
          <cell r="E4970">
            <v>10580015</v>
          </cell>
          <cell r="F4970" t="str">
            <v>0008</v>
          </cell>
          <cell r="G4970">
            <v>9</v>
          </cell>
          <cell r="H4970">
            <v>35.880000000000003</v>
          </cell>
          <cell r="I4970">
            <v>1256.1331052952</v>
          </cell>
          <cell r="J4970">
            <v>0</v>
          </cell>
          <cell r="K4970">
            <v>0</v>
          </cell>
          <cell r="L4970">
            <v>0</v>
          </cell>
          <cell r="M4970">
            <v>0</v>
          </cell>
          <cell r="P4970">
            <v>1256</v>
          </cell>
          <cell r="V4970" t="str">
            <v>Available</v>
          </cell>
        </row>
        <row r="4971">
          <cell r="A4971" t="str">
            <v>105800150009</v>
          </cell>
          <cell r="B4971" t="str">
            <v>Hasanpur</v>
          </cell>
          <cell r="C4971" t="str">
            <v>Hasanpur</v>
          </cell>
          <cell r="D4971" t="str">
            <v>Birpur</v>
          </cell>
          <cell r="E4971">
            <v>10580015</v>
          </cell>
          <cell r="F4971" t="str">
            <v>0009</v>
          </cell>
          <cell r="G4971">
            <v>11</v>
          </cell>
          <cell r="H4971">
            <v>11.370000000000001</v>
          </cell>
          <cell r="I4971">
            <v>410.00354350560008</v>
          </cell>
          <cell r="J4971">
            <v>0</v>
          </cell>
          <cell r="K4971">
            <v>0</v>
          </cell>
          <cell r="L4971">
            <v>0</v>
          </cell>
          <cell r="M4971">
            <v>0</v>
          </cell>
          <cell r="P4971">
            <v>410</v>
          </cell>
          <cell r="V4971" t="str">
            <v>Available</v>
          </cell>
        </row>
        <row r="4972">
          <cell r="A4972" t="str">
            <v>105800170001</v>
          </cell>
          <cell r="B4972" t="str">
            <v>Hasanpur</v>
          </cell>
          <cell r="C4972" t="str">
            <v>Hasanpur</v>
          </cell>
          <cell r="D4972" t="str">
            <v>Ahilwar</v>
          </cell>
          <cell r="E4972">
            <v>10580017</v>
          </cell>
          <cell r="F4972" t="str">
            <v>0001</v>
          </cell>
          <cell r="G4972">
            <v>1</v>
          </cell>
          <cell r="H4972">
            <v>5.3</v>
          </cell>
          <cell r="I4972">
            <v>210.58519680000001</v>
          </cell>
          <cell r="J4972">
            <v>0</v>
          </cell>
          <cell r="K4972">
            <v>210.58519680000001</v>
          </cell>
          <cell r="L4972">
            <v>0</v>
          </cell>
          <cell r="M4972">
            <v>0</v>
          </cell>
          <cell r="P4972">
            <v>0</v>
          </cell>
          <cell r="V4972" t="str">
            <v>Not Available</v>
          </cell>
        </row>
        <row r="4973">
          <cell r="A4973" t="str">
            <v>105800170002</v>
          </cell>
          <cell r="B4973" t="str">
            <v>Hasanpur</v>
          </cell>
          <cell r="C4973" t="str">
            <v>Hasanpur</v>
          </cell>
          <cell r="D4973" t="str">
            <v>Ahilwar</v>
          </cell>
          <cell r="E4973">
            <v>10580017</v>
          </cell>
          <cell r="F4973" t="str">
            <v>0002</v>
          </cell>
          <cell r="G4973">
            <v>13</v>
          </cell>
          <cell r="H4973">
            <v>703.8</v>
          </cell>
          <cell r="I4973">
            <v>32220.7302308744</v>
          </cell>
          <cell r="J4973">
            <v>0</v>
          </cell>
          <cell r="K4973">
            <v>0</v>
          </cell>
          <cell r="L4973">
            <v>747</v>
          </cell>
          <cell r="M4973">
            <v>0</v>
          </cell>
          <cell r="P4973">
            <v>31474</v>
          </cell>
          <cell r="V4973" t="str">
            <v>Available</v>
          </cell>
        </row>
        <row r="4974">
          <cell r="A4974" t="str">
            <v>105800170003</v>
          </cell>
          <cell r="B4974" t="str">
            <v>Hasanpur</v>
          </cell>
          <cell r="C4974" t="str">
            <v>Hasanpur</v>
          </cell>
          <cell r="D4974" t="str">
            <v>Ahilwar</v>
          </cell>
          <cell r="E4974">
            <v>10580017</v>
          </cell>
          <cell r="F4974" t="str">
            <v>0003</v>
          </cell>
          <cell r="G4974">
            <v>12</v>
          </cell>
          <cell r="H4974">
            <v>402.29999999999995</v>
          </cell>
          <cell r="I4974">
            <v>16325.5194732748</v>
          </cell>
          <cell r="J4974">
            <v>0</v>
          </cell>
          <cell r="K4974">
            <v>0</v>
          </cell>
          <cell r="L4974">
            <v>0</v>
          </cell>
          <cell r="M4974">
            <v>0</v>
          </cell>
          <cell r="P4974">
            <v>16326</v>
          </cell>
          <cell r="V4974" t="str">
            <v>Available</v>
          </cell>
        </row>
        <row r="4975">
          <cell r="A4975" t="str">
            <v>105800170004</v>
          </cell>
          <cell r="B4975" t="str">
            <v>Hasanpur</v>
          </cell>
          <cell r="C4975" t="str">
            <v>Hasanpur</v>
          </cell>
          <cell r="D4975" t="str">
            <v>Ahilwar</v>
          </cell>
          <cell r="E4975">
            <v>10580017</v>
          </cell>
          <cell r="F4975" t="str">
            <v>0004</v>
          </cell>
          <cell r="G4975">
            <v>1</v>
          </cell>
          <cell r="H4975">
            <v>1</v>
          </cell>
          <cell r="I4975">
            <v>37.357056</v>
          </cell>
          <cell r="J4975">
            <v>0</v>
          </cell>
          <cell r="K4975">
            <v>0</v>
          </cell>
          <cell r="L4975">
            <v>0</v>
          </cell>
          <cell r="M4975">
            <v>0</v>
          </cell>
          <cell r="P4975">
            <v>37</v>
          </cell>
          <cell r="V4975" t="str">
            <v>Available</v>
          </cell>
        </row>
        <row r="4976">
          <cell r="A4976" t="str">
            <v>105800170005</v>
          </cell>
          <cell r="B4976" t="str">
            <v>Hasanpur</v>
          </cell>
          <cell r="C4976" t="str">
            <v>Hasanpur</v>
          </cell>
          <cell r="D4976" t="str">
            <v>Ahilwar</v>
          </cell>
          <cell r="E4976">
            <v>10580017</v>
          </cell>
          <cell r="F4976" t="str">
            <v>0005</v>
          </cell>
          <cell r="G4976">
            <v>1</v>
          </cell>
          <cell r="H4976">
            <v>0.7</v>
          </cell>
          <cell r="I4976">
            <v>26.149939199999999</v>
          </cell>
          <cell r="J4976">
            <v>0</v>
          </cell>
          <cell r="K4976">
            <v>0</v>
          </cell>
          <cell r="L4976">
            <v>0</v>
          </cell>
          <cell r="M4976">
            <v>0</v>
          </cell>
          <cell r="P4976">
            <v>26</v>
          </cell>
          <cell r="V4976" t="str">
            <v>Available</v>
          </cell>
        </row>
        <row r="4977">
          <cell r="A4977" t="str">
            <v>105800180004</v>
          </cell>
          <cell r="B4977" t="str">
            <v>Hasanpur</v>
          </cell>
          <cell r="C4977" t="str">
            <v>Hasanpur</v>
          </cell>
          <cell r="D4977" t="str">
            <v>Paridah</v>
          </cell>
          <cell r="E4977">
            <v>10580018</v>
          </cell>
          <cell r="F4977" t="str">
            <v>0004</v>
          </cell>
          <cell r="G4977">
            <v>2</v>
          </cell>
          <cell r="H4977">
            <v>2.46</v>
          </cell>
          <cell r="I4977">
            <v>96.395111326799992</v>
          </cell>
          <cell r="J4977">
            <v>0</v>
          </cell>
          <cell r="K4977">
            <v>0</v>
          </cell>
          <cell r="L4977">
            <v>0</v>
          </cell>
          <cell r="M4977">
            <v>0</v>
          </cell>
          <cell r="P4977">
            <v>96</v>
          </cell>
          <cell r="V4977" t="str">
            <v>Available</v>
          </cell>
        </row>
        <row r="4978">
          <cell r="A4978" t="str">
            <v>105800180005</v>
          </cell>
          <cell r="B4978" t="str">
            <v>Hasanpur</v>
          </cell>
          <cell r="C4978" t="str">
            <v>Hasanpur</v>
          </cell>
          <cell r="D4978" t="str">
            <v>Paridah</v>
          </cell>
          <cell r="E4978">
            <v>10580018</v>
          </cell>
          <cell r="F4978" t="str">
            <v>0005</v>
          </cell>
          <cell r="G4978">
            <v>7</v>
          </cell>
          <cell r="H4978">
            <v>19.14</v>
          </cell>
          <cell r="I4978">
            <v>873.24305355468016</v>
          </cell>
          <cell r="J4978">
            <v>0</v>
          </cell>
          <cell r="K4978">
            <v>0</v>
          </cell>
          <cell r="L4978">
            <v>424</v>
          </cell>
          <cell r="M4978">
            <v>0</v>
          </cell>
          <cell r="P4978">
            <v>297</v>
          </cell>
          <cell r="V4978" t="str">
            <v>Available</v>
          </cell>
        </row>
        <row r="4979">
          <cell r="A4979" t="str">
            <v>105800180006</v>
          </cell>
          <cell r="B4979" t="str">
            <v>Hasanpur</v>
          </cell>
          <cell r="C4979" t="str">
            <v>Hasanpur</v>
          </cell>
          <cell r="D4979" t="str">
            <v>Paridah</v>
          </cell>
          <cell r="E4979">
            <v>10580018</v>
          </cell>
          <cell r="F4979" t="str">
            <v>0006</v>
          </cell>
          <cell r="G4979">
            <v>14</v>
          </cell>
          <cell r="H4979">
            <v>28.880000000000003</v>
          </cell>
          <cell r="I4979">
            <v>1112.5556636040003</v>
          </cell>
          <cell r="J4979">
            <v>0</v>
          </cell>
          <cell r="K4979">
            <v>0</v>
          </cell>
          <cell r="L4979">
            <v>0</v>
          </cell>
          <cell r="M4979">
            <v>0</v>
          </cell>
          <cell r="P4979">
            <v>1113</v>
          </cell>
          <cell r="V4979" t="str">
            <v>Available</v>
          </cell>
        </row>
        <row r="4980">
          <cell r="A4980" t="str">
            <v>105800180007</v>
          </cell>
          <cell r="B4980" t="str">
            <v>Hasanpur</v>
          </cell>
          <cell r="C4980" t="str">
            <v>Hasanpur</v>
          </cell>
          <cell r="D4980" t="str">
            <v>Paridah</v>
          </cell>
          <cell r="E4980">
            <v>10580018</v>
          </cell>
          <cell r="F4980" t="str">
            <v>0007</v>
          </cell>
          <cell r="G4980">
            <v>6</v>
          </cell>
          <cell r="H4980">
            <v>8.86</v>
          </cell>
          <cell r="I4980">
            <v>374.99243644979998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P4980">
            <v>375</v>
          </cell>
          <cell r="V4980" t="str">
            <v>Available</v>
          </cell>
        </row>
        <row r="4981">
          <cell r="A4981" t="str">
            <v>105800180009</v>
          </cell>
          <cell r="B4981" t="str">
            <v>Hasanpur</v>
          </cell>
          <cell r="C4981" t="str">
            <v>Hasanpur</v>
          </cell>
          <cell r="D4981" t="str">
            <v>Paridah</v>
          </cell>
          <cell r="E4981">
            <v>10580018</v>
          </cell>
          <cell r="F4981" t="str">
            <v>0009</v>
          </cell>
          <cell r="G4981">
            <v>4</v>
          </cell>
          <cell r="H4981">
            <v>7.99</v>
          </cell>
          <cell r="I4981">
            <v>389.44338188469999</v>
          </cell>
          <cell r="J4981">
            <v>0</v>
          </cell>
          <cell r="K4981">
            <v>0</v>
          </cell>
          <cell r="L4981">
            <v>0</v>
          </cell>
          <cell r="M4981">
            <v>0</v>
          </cell>
          <cell r="P4981">
            <v>389</v>
          </cell>
          <cell r="V4981" t="str">
            <v>Available</v>
          </cell>
        </row>
        <row r="4982">
          <cell r="A4982" t="str">
            <v>105800180010</v>
          </cell>
          <cell r="B4982" t="str">
            <v>Hasanpur</v>
          </cell>
          <cell r="C4982" t="str">
            <v>Hasanpur</v>
          </cell>
          <cell r="D4982" t="str">
            <v>Paridah</v>
          </cell>
          <cell r="E4982">
            <v>10580018</v>
          </cell>
          <cell r="F4982" t="str">
            <v>0010</v>
          </cell>
          <cell r="G4982">
            <v>5</v>
          </cell>
          <cell r="H4982">
            <v>7.51</v>
          </cell>
          <cell r="I4982">
            <v>320.05012248000003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P4982">
            <v>320</v>
          </cell>
          <cell r="V4982" t="str">
            <v>Available</v>
          </cell>
        </row>
        <row r="4983">
          <cell r="A4983" t="str">
            <v>105800180014</v>
          </cell>
          <cell r="B4983" t="str">
            <v>Hasanpur</v>
          </cell>
          <cell r="C4983" t="str">
            <v>Hasanpur</v>
          </cell>
          <cell r="D4983" t="str">
            <v>Paridah</v>
          </cell>
          <cell r="E4983">
            <v>10580018</v>
          </cell>
          <cell r="F4983" t="str">
            <v>0014</v>
          </cell>
          <cell r="G4983">
            <v>12</v>
          </cell>
          <cell r="H4983">
            <v>19.84</v>
          </cell>
          <cell r="I4983">
            <v>1153.5109235522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P4983">
            <v>1154</v>
          </cell>
          <cell r="V4983" t="str">
            <v>Available</v>
          </cell>
        </row>
        <row r="4984">
          <cell r="A4984" t="str">
            <v>105800180018</v>
          </cell>
          <cell r="B4984" t="str">
            <v>Hasanpur</v>
          </cell>
          <cell r="C4984" t="str">
            <v>Hasanpur</v>
          </cell>
          <cell r="D4984" t="str">
            <v>Paridah</v>
          </cell>
          <cell r="E4984">
            <v>10580018</v>
          </cell>
          <cell r="F4984" t="str">
            <v>0018</v>
          </cell>
          <cell r="G4984">
            <v>13</v>
          </cell>
          <cell r="H4984">
            <v>46.43</v>
          </cell>
          <cell r="I4984">
            <v>1818.7167990366002</v>
          </cell>
          <cell r="J4984">
            <v>0</v>
          </cell>
          <cell r="K4984">
            <v>0</v>
          </cell>
          <cell r="L4984">
            <v>0</v>
          </cell>
          <cell r="M4984">
            <v>0</v>
          </cell>
          <cell r="P4984">
            <v>1819</v>
          </cell>
          <cell r="V4984" t="str">
            <v>Available</v>
          </cell>
        </row>
        <row r="4985">
          <cell r="A4985" t="str">
            <v>105800180020</v>
          </cell>
          <cell r="B4985" t="str">
            <v>Hasanpur</v>
          </cell>
          <cell r="C4985" t="str">
            <v>Hasanpur</v>
          </cell>
          <cell r="D4985" t="str">
            <v>Paridah</v>
          </cell>
          <cell r="E4985">
            <v>10580018</v>
          </cell>
          <cell r="F4985" t="str">
            <v>0020</v>
          </cell>
          <cell r="G4985">
            <v>9</v>
          </cell>
          <cell r="H4985">
            <v>11.780000000000001</v>
          </cell>
          <cell r="I4985">
            <v>439.51242174840002</v>
          </cell>
          <cell r="J4985">
            <v>0</v>
          </cell>
          <cell r="K4985">
            <v>0</v>
          </cell>
          <cell r="L4985">
            <v>0</v>
          </cell>
          <cell r="M4985">
            <v>0</v>
          </cell>
          <cell r="P4985">
            <v>440</v>
          </cell>
          <cell r="V4985" t="str">
            <v>Available</v>
          </cell>
        </row>
        <row r="4986">
          <cell r="A4986" t="str">
            <v>105800180023</v>
          </cell>
          <cell r="B4986" t="str">
            <v>Hasanpur</v>
          </cell>
          <cell r="C4986" t="str">
            <v>Hasanpur</v>
          </cell>
          <cell r="D4986" t="str">
            <v>Paridah</v>
          </cell>
          <cell r="E4986">
            <v>10580018</v>
          </cell>
          <cell r="F4986" t="str">
            <v>0023</v>
          </cell>
          <cell r="G4986">
            <v>3</v>
          </cell>
          <cell r="H4986">
            <v>3.7</v>
          </cell>
          <cell r="I4986">
            <v>188.43900330564003</v>
          </cell>
          <cell r="J4986">
            <v>0</v>
          </cell>
          <cell r="K4986">
            <v>0</v>
          </cell>
          <cell r="L4986">
            <v>0</v>
          </cell>
          <cell r="M4986">
            <v>0</v>
          </cell>
          <cell r="P4986">
            <v>188</v>
          </cell>
          <cell r="V4986" t="str">
            <v>Available</v>
          </cell>
        </row>
        <row r="4987">
          <cell r="A4987" t="str">
            <v>105800180024</v>
          </cell>
          <cell r="B4987" t="str">
            <v>Hasanpur</v>
          </cell>
          <cell r="C4987" t="str">
            <v>Hasanpur</v>
          </cell>
          <cell r="D4987" t="str">
            <v>Paridah</v>
          </cell>
          <cell r="E4987">
            <v>10580018</v>
          </cell>
          <cell r="F4987" t="str">
            <v>0024</v>
          </cell>
          <cell r="G4987">
            <v>1</v>
          </cell>
          <cell r="H4987">
            <v>2.2000000000000002</v>
          </cell>
          <cell r="I4987">
            <v>186.59142103799996</v>
          </cell>
          <cell r="J4987">
            <v>0</v>
          </cell>
          <cell r="K4987">
            <v>0</v>
          </cell>
          <cell r="L4987">
            <v>0</v>
          </cell>
          <cell r="M4987">
            <v>0</v>
          </cell>
          <cell r="P4987">
            <v>187</v>
          </cell>
          <cell r="V4987" t="str">
            <v>Available</v>
          </cell>
        </row>
        <row r="4988">
          <cell r="A4988" t="str">
            <v>105800180025</v>
          </cell>
          <cell r="B4988" t="str">
            <v>Hasanpur</v>
          </cell>
          <cell r="C4988" t="str">
            <v>Hasanpur</v>
          </cell>
          <cell r="D4988" t="str">
            <v>Paridah</v>
          </cell>
          <cell r="E4988">
            <v>10580018</v>
          </cell>
          <cell r="F4988" t="str">
            <v>0025</v>
          </cell>
          <cell r="G4988">
            <v>11</v>
          </cell>
          <cell r="H4988">
            <v>28.509999999999998</v>
          </cell>
          <cell r="I4988">
            <v>1421.4259246988199</v>
          </cell>
          <cell r="J4988">
            <v>0</v>
          </cell>
          <cell r="K4988">
            <v>0</v>
          </cell>
          <cell r="L4988">
            <v>0</v>
          </cell>
          <cell r="M4988">
            <v>0</v>
          </cell>
          <cell r="P4988">
            <v>1421</v>
          </cell>
          <cell r="V4988" t="str">
            <v>Available</v>
          </cell>
        </row>
        <row r="4989">
          <cell r="A4989" t="str">
            <v>105800190003</v>
          </cell>
          <cell r="B4989" t="str">
            <v>Hasanpur</v>
          </cell>
          <cell r="C4989" t="str">
            <v>Hasanpur</v>
          </cell>
          <cell r="D4989" t="str">
            <v>Pansalla</v>
          </cell>
          <cell r="E4989">
            <v>10580019</v>
          </cell>
          <cell r="F4989" t="str">
            <v>0003</v>
          </cell>
          <cell r="G4989">
            <v>14</v>
          </cell>
          <cell r="H4989">
            <v>338.99999999999994</v>
          </cell>
          <cell r="I4989">
            <v>12109.510168866</v>
          </cell>
          <cell r="J4989">
            <v>0</v>
          </cell>
          <cell r="K4989">
            <v>0</v>
          </cell>
          <cell r="L4989">
            <v>2352</v>
          </cell>
          <cell r="M4989">
            <v>0</v>
          </cell>
          <cell r="P4989">
            <v>9758</v>
          </cell>
          <cell r="V4989" t="str">
            <v>Available</v>
          </cell>
        </row>
        <row r="4990">
          <cell r="A4990" t="str">
            <v>105800220002</v>
          </cell>
          <cell r="B4990" t="str">
            <v>Hasanpur</v>
          </cell>
          <cell r="C4990" t="str">
            <v>Hasanpur</v>
          </cell>
          <cell r="D4990" t="str">
            <v>KOLAWARI</v>
          </cell>
          <cell r="E4990">
            <v>10580022</v>
          </cell>
          <cell r="F4990" t="str">
            <v>0002</v>
          </cell>
          <cell r="G4990">
            <v>9</v>
          </cell>
          <cell r="H4990">
            <v>58.000000000000007</v>
          </cell>
          <cell r="I4990">
            <v>2819.5131744041</v>
          </cell>
          <cell r="J4990">
            <v>0</v>
          </cell>
          <cell r="K4990">
            <v>0</v>
          </cell>
          <cell r="L4990">
            <v>59</v>
          </cell>
          <cell r="M4990">
            <v>0</v>
          </cell>
          <cell r="P4990">
            <v>2761</v>
          </cell>
          <cell r="V4990" t="str">
            <v>Available</v>
          </cell>
        </row>
        <row r="4991">
          <cell r="A4991" t="str">
            <v>105800220003</v>
          </cell>
          <cell r="B4991" t="str">
            <v>Hasanpur</v>
          </cell>
          <cell r="C4991" t="str">
            <v>Hasanpur</v>
          </cell>
          <cell r="D4991" t="str">
            <v>KOLAWARI</v>
          </cell>
          <cell r="E4991">
            <v>10580022</v>
          </cell>
          <cell r="F4991" t="str">
            <v>0003</v>
          </cell>
          <cell r="G4991">
            <v>11</v>
          </cell>
          <cell r="H4991">
            <v>150.9</v>
          </cell>
          <cell r="I4991">
            <v>7301.9057274340457</v>
          </cell>
          <cell r="J4991">
            <v>0</v>
          </cell>
          <cell r="K4991">
            <v>0</v>
          </cell>
          <cell r="L4991">
            <v>0</v>
          </cell>
          <cell r="M4991">
            <v>0</v>
          </cell>
          <cell r="P4991">
            <v>7302</v>
          </cell>
          <cell r="V4991" t="str">
            <v>Available</v>
          </cell>
        </row>
        <row r="4992">
          <cell r="A4992" t="str">
            <v>105800220009</v>
          </cell>
          <cell r="B4992" t="str">
            <v>Hasanpur</v>
          </cell>
          <cell r="C4992" t="str">
            <v>Hasanpur</v>
          </cell>
          <cell r="D4992" t="str">
            <v>KOLAWARI</v>
          </cell>
          <cell r="E4992">
            <v>10580022</v>
          </cell>
          <cell r="F4992" t="str">
            <v>0009</v>
          </cell>
          <cell r="G4992">
            <v>10</v>
          </cell>
          <cell r="H4992">
            <v>29.599999999999994</v>
          </cell>
          <cell r="I4992">
            <v>1376.2912836288101</v>
          </cell>
          <cell r="J4992">
            <v>0</v>
          </cell>
          <cell r="K4992">
            <v>0</v>
          </cell>
          <cell r="L4992">
            <v>0</v>
          </cell>
          <cell r="M4992">
            <v>0</v>
          </cell>
          <cell r="P4992">
            <v>1376</v>
          </cell>
          <cell r="V4992" t="str">
            <v>Available</v>
          </cell>
        </row>
        <row r="4993">
          <cell r="A4993" t="str">
            <v>105800240002</v>
          </cell>
          <cell r="B4993" t="str">
            <v>Hasanpur</v>
          </cell>
          <cell r="C4993" t="str">
            <v>Hasanpur</v>
          </cell>
          <cell r="D4993" t="str">
            <v>KARANCHI</v>
          </cell>
          <cell r="E4993">
            <v>10580024</v>
          </cell>
          <cell r="F4993" t="str">
            <v>0002</v>
          </cell>
          <cell r="G4993">
            <v>13</v>
          </cell>
          <cell r="H4993">
            <v>82.6</v>
          </cell>
          <cell r="I4993">
            <v>3276.3564445038</v>
          </cell>
          <cell r="J4993">
            <v>0</v>
          </cell>
          <cell r="K4993">
            <v>0</v>
          </cell>
          <cell r="L4993">
            <v>0</v>
          </cell>
          <cell r="M4993">
            <v>0</v>
          </cell>
          <cell r="P4993">
            <v>3276</v>
          </cell>
          <cell r="V4993" t="str">
            <v>Available</v>
          </cell>
        </row>
        <row r="4994">
          <cell r="A4994" t="str">
            <v>105800240003</v>
          </cell>
          <cell r="B4994" t="str">
            <v>Hasanpur</v>
          </cell>
          <cell r="C4994" t="str">
            <v>Hasanpur</v>
          </cell>
          <cell r="D4994" t="str">
            <v>KARANCHI</v>
          </cell>
          <cell r="E4994">
            <v>10580024</v>
          </cell>
          <cell r="F4994" t="str">
            <v>0003</v>
          </cell>
          <cell r="G4994">
            <v>12</v>
          </cell>
          <cell r="H4994">
            <v>60.100000000000009</v>
          </cell>
          <cell r="I4994">
            <v>2344.156480092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P4994">
            <v>2344</v>
          </cell>
          <cell r="V4994" t="str">
            <v>Available</v>
          </cell>
        </row>
        <row r="4995">
          <cell r="A4995" t="str">
            <v>105800250002</v>
          </cell>
          <cell r="B4995" t="str">
            <v>Hasanpur</v>
          </cell>
          <cell r="C4995" t="str">
            <v>Hasanpur</v>
          </cell>
          <cell r="D4995" t="str">
            <v>MARTHUA</v>
          </cell>
          <cell r="E4995">
            <v>10580025</v>
          </cell>
          <cell r="F4995" t="str">
            <v>0002</v>
          </cell>
          <cell r="G4995">
            <v>14</v>
          </cell>
          <cell r="H4995">
            <v>278.91000000000003</v>
          </cell>
          <cell r="I4995">
            <v>11073.780824640484</v>
          </cell>
          <cell r="J4995">
            <v>0</v>
          </cell>
          <cell r="K4995">
            <v>0</v>
          </cell>
          <cell r="L4995">
            <v>1638</v>
          </cell>
          <cell r="M4995">
            <v>0</v>
          </cell>
          <cell r="P4995">
            <v>9436</v>
          </cell>
          <cell r="V4995" t="str">
            <v>Available</v>
          </cell>
        </row>
        <row r="4996">
          <cell r="A4996" t="str">
            <v>105800250003</v>
          </cell>
          <cell r="B4996" t="str">
            <v>Hasanpur</v>
          </cell>
          <cell r="C4996" t="str">
            <v>Hasanpur</v>
          </cell>
          <cell r="D4996" t="str">
            <v>MARTHUA</v>
          </cell>
          <cell r="E4996">
            <v>10580025</v>
          </cell>
          <cell r="F4996" t="str">
            <v>0003</v>
          </cell>
          <cell r="G4996">
            <v>1</v>
          </cell>
          <cell r="H4996">
            <v>3.6399999999999997</v>
          </cell>
          <cell r="I4996">
            <v>133.14973868460001</v>
          </cell>
          <cell r="J4996">
            <v>0</v>
          </cell>
          <cell r="K4996">
            <v>0</v>
          </cell>
          <cell r="L4996">
            <v>0</v>
          </cell>
          <cell r="M4996">
            <v>0</v>
          </cell>
          <cell r="P4996">
            <v>133</v>
          </cell>
          <cell r="V4996" t="str">
            <v>Available</v>
          </cell>
        </row>
        <row r="4997">
          <cell r="A4997" t="str">
            <v>105800250004</v>
          </cell>
          <cell r="B4997" t="str">
            <v>Hasanpur</v>
          </cell>
          <cell r="C4997" t="str">
            <v>Hasanpur</v>
          </cell>
          <cell r="D4997" t="str">
            <v>MARTHUA</v>
          </cell>
          <cell r="E4997">
            <v>10580025</v>
          </cell>
          <cell r="F4997" t="str">
            <v>0004</v>
          </cell>
          <cell r="G4997">
            <v>13</v>
          </cell>
          <cell r="H4997">
            <v>22.05</v>
          </cell>
          <cell r="I4997">
            <v>1259.9619525080004</v>
          </cell>
          <cell r="J4997">
            <v>0</v>
          </cell>
          <cell r="K4997">
            <v>0</v>
          </cell>
          <cell r="L4997">
            <v>0</v>
          </cell>
          <cell r="M4997">
            <v>0</v>
          </cell>
          <cell r="P4997">
            <v>1260</v>
          </cell>
          <cell r="V4997" t="str">
            <v>Available</v>
          </cell>
        </row>
        <row r="4998">
          <cell r="A4998" t="str">
            <v>105800250005</v>
          </cell>
          <cell r="B4998" t="str">
            <v>Hasanpur</v>
          </cell>
          <cell r="C4998" t="str">
            <v>Hasanpur</v>
          </cell>
          <cell r="D4998" t="str">
            <v>MARTHUA</v>
          </cell>
          <cell r="E4998">
            <v>10580025</v>
          </cell>
          <cell r="F4998" t="str">
            <v>0005</v>
          </cell>
          <cell r="G4998">
            <v>5</v>
          </cell>
          <cell r="H4998">
            <v>16.38</v>
          </cell>
          <cell r="I4998">
            <v>1156.04706072152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P4998">
            <v>1156</v>
          </cell>
          <cell r="V4998" t="str">
            <v>Available</v>
          </cell>
        </row>
        <row r="4999">
          <cell r="A4999" t="str">
            <v>105800250008</v>
          </cell>
          <cell r="B4999" t="str">
            <v>Hasanpur</v>
          </cell>
          <cell r="C4999" t="str">
            <v>Hasanpur</v>
          </cell>
          <cell r="D4999" t="str">
            <v>MARTHUA</v>
          </cell>
          <cell r="E4999">
            <v>10580025</v>
          </cell>
          <cell r="F4999" t="str">
            <v>0008</v>
          </cell>
          <cell r="G4999">
            <v>14</v>
          </cell>
          <cell r="H4999">
            <v>38.179999999999993</v>
          </cell>
          <cell r="I4999">
            <v>1638.3788646815822</v>
          </cell>
          <cell r="J4999">
            <v>0</v>
          </cell>
          <cell r="K4999">
            <v>0</v>
          </cell>
          <cell r="L4999">
            <v>0</v>
          </cell>
          <cell r="M4999">
            <v>0</v>
          </cell>
          <cell r="P4999">
            <v>1638</v>
          </cell>
          <cell r="V4999" t="str">
            <v>Available</v>
          </cell>
        </row>
        <row r="5000">
          <cell r="A5000" t="str">
            <v>105800250009</v>
          </cell>
          <cell r="B5000" t="str">
            <v>Hasanpur</v>
          </cell>
          <cell r="C5000" t="str">
            <v>Hasanpur</v>
          </cell>
          <cell r="D5000" t="str">
            <v>MARTHUA</v>
          </cell>
          <cell r="E5000">
            <v>10580025</v>
          </cell>
          <cell r="F5000" t="str">
            <v>0009</v>
          </cell>
          <cell r="G5000">
            <v>6</v>
          </cell>
          <cell r="H5000">
            <v>10.799999999999999</v>
          </cell>
          <cell r="I5000">
            <v>466.59127442400006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P5000">
            <v>467</v>
          </cell>
          <cell r="V5000" t="str">
            <v>Available</v>
          </cell>
        </row>
        <row r="5001">
          <cell r="A5001" t="str">
            <v>105800250010</v>
          </cell>
          <cell r="B5001" t="str">
            <v>Hasanpur</v>
          </cell>
          <cell r="C5001" t="str">
            <v>Hasanpur</v>
          </cell>
          <cell r="D5001" t="str">
            <v>MARTHUA</v>
          </cell>
          <cell r="E5001">
            <v>10580025</v>
          </cell>
          <cell r="F5001" t="str">
            <v>0010</v>
          </cell>
          <cell r="G5001">
            <v>13</v>
          </cell>
          <cell r="H5001">
            <v>18.53</v>
          </cell>
          <cell r="I5001">
            <v>903.9183835843902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P5001">
            <v>904</v>
          </cell>
          <cell r="V5001" t="str">
            <v>Available</v>
          </cell>
        </row>
        <row r="5002">
          <cell r="A5002" t="str">
            <v>105800250012</v>
          </cell>
          <cell r="B5002" t="str">
            <v>Hasanpur</v>
          </cell>
          <cell r="C5002" t="str">
            <v>Hasanpur</v>
          </cell>
          <cell r="D5002" t="str">
            <v>MARTHUA</v>
          </cell>
          <cell r="E5002">
            <v>10580025</v>
          </cell>
          <cell r="F5002" t="str">
            <v>0012</v>
          </cell>
          <cell r="G5002">
            <v>1</v>
          </cell>
          <cell r="H5002">
            <v>0.02</v>
          </cell>
          <cell r="I5002">
            <v>1.0357302546600002</v>
          </cell>
          <cell r="J5002">
            <v>0</v>
          </cell>
          <cell r="K5002">
            <v>0</v>
          </cell>
          <cell r="L5002">
            <v>0</v>
          </cell>
          <cell r="M5002">
            <v>0</v>
          </cell>
          <cell r="P5002">
            <v>1</v>
          </cell>
          <cell r="V5002" t="str">
            <v>Available</v>
          </cell>
        </row>
        <row r="5003">
          <cell r="A5003" t="str">
            <v>105800260002</v>
          </cell>
          <cell r="B5003" t="str">
            <v>Hasanpur</v>
          </cell>
          <cell r="C5003" t="str">
            <v>Hasanpur</v>
          </cell>
          <cell r="D5003" t="str">
            <v xml:space="preserve">GARHPURA </v>
          </cell>
          <cell r="E5003">
            <v>10580026</v>
          </cell>
          <cell r="F5003" t="str">
            <v>0002</v>
          </cell>
          <cell r="G5003">
            <v>14</v>
          </cell>
          <cell r="H5003">
            <v>205.61000000000004</v>
          </cell>
          <cell r="I5003">
            <v>7185.0616723116</v>
          </cell>
          <cell r="J5003">
            <v>0</v>
          </cell>
          <cell r="K5003">
            <v>0</v>
          </cell>
          <cell r="L5003">
            <v>923</v>
          </cell>
          <cell r="M5003">
            <v>0</v>
          </cell>
          <cell r="P5003">
            <v>6262</v>
          </cell>
          <cell r="V5003" t="str">
            <v>Available</v>
          </cell>
        </row>
        <row r="5004">
          <cell r="A5004" t="str">
            <v>105800270002</v>
          </cell>
          <cell r="B5004" t="str">
            <v>Hasanpur</v>
          </cell>
          <cell r="C5004" t="str">
            <v>Hasanpur</v>
          </cell>
          <cell r="D5004" t="str">
            <v>KOKANI</v>
          </cell>
          <cell r="E5004">
            <v>10580027</v>
          </cell>
          <cell r="F5004" t="str">
            <v>0002</v>
          </cell>
          <cell r="G5004">
            <v>4</v>
          </cell>
          <cell r="H5004">
            <v>118.66000000000001</v>
          </cell>
          <cell r="I5004">
            <v>4457.4237370080009</v>
          </cell>
          <cell r="J5004">
            <v>0</v>
          </cell>
          <cell r="K5004">
            <v>0</v>
          </cell>
          <cell r="L5004">
            <v>84</v>
          </cell>
          <cell r="M5004">
            <v>0</v>
          </cell>
          <cell r="P5004">
            <v>4373</v>
          </cell>
          <cell r="V5004" t="str">
            <v>Available</v>
          </cell>
        </row>
        <row r="5005">
          <cell r="A5005" t="str">
            <v>105800270003</v>
          </cell>
          <cell r="B5005" t="str">
            <v>Hasanpur</v>
          </cell>
          <cell r="C5005" t="str">
            <v>Hasanpur</v>
          </cell>
          <cell r="D5005" t="str">
            <v>KOKANI</v>
          </cell>
          <cell r="E5005">
            <v>10580027</v>
          </cell>
          <cell r="F5005" t="str">
            <v>0003</v>
          </cell>
          <cell r="G5005">
            <v>1</v>
          </cell>
          <cell r="H5005">
            <v>7.91</v>
          </cell>
          <cell r="I5005">
            <v>321.59783501999999</v>
          </cell>
          <cell r="J5005">
            <v>0</v>
          </cell>
          <cell r="K5005">
            <v>0</v>
          </cell>
          <cell r="L5005">
            <v>0</v>
          </cell>
          <cell r="M5005">
            <v>0</v>
          </cell>
          <cell r="P5005">
            <v>322</v>
          </cell>
          <cell r="V5005" t="str">
            <v>Available</v>
          </cell>
        </row>
        <row r="5006">
          <cell r="A5006" t="str">
            <v>105800280002</v>
          </cell>
          <cell r="B5006" t="str">
            <v>Hasanpur</v>
          </cell>
          <cell r="C5006" t="str">
            <v>Hasanpur</v>
          </cell>
          <cell r="D5006" t="str">
            <v xml:space="preserve">DURGAPUR </v>
          </cell>
          <cell r="E5006">
            <v>10580028</v>
          </cell>
          <cell r="F5006" t="str">
            <v>0002</v>
          </cell>
          <cell r="G5006">
            <v>12</v>
          </cell>
          <cell r="H5006">
            <v>133.90000000000003</v>
          </cell>
          <cell r="I5006">
            <v>5805.8704081259993</v>
          </cell>
          <cell r="J5006">
            <v>0</v>
          </cell>
          <cell r="K5006">
            <v>0</v>
          </cell>
          <cell r="L5006">
            <v>5</v>
          </cell>
          <cell r="M5006">
            <v>0</v>
          </cell>
          <cell r="P5006">
            <v>5801</v>
          </cell>
          <cell r="V5006" t="str">
            <v>Available</v>
          </cell>
        </row>
        <row r="5007">
          <cell r="A5007" t="str">
            <v>105800280003</v>
          </cell>
          <cell r="B5007" t="str">
            <v>Hasanpur</v>
          </cell>
          <cell r="C5007" t="str">
            <v>Hasanpur</v>
          </cell>
          <cell r="D5007" t="str">
            <v xml:space="preserve">DURGAPUR </v>
          </cell>
          <cell r="E5007">
            <v>10580028</v>
          </cell>
          <cell r="F5007" t="str">
            <v>0003</v>
          </cell>
          <cell r="G5007">
            <v>10</v>
          </cell>
          <cell r="H5007">
            <v>105.3</v>
          </cell>
          <cell r="I5007">
            <v>4430.9240063980014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  <cell r="P5007">
            <v>4431</v>
          </cell>
          <cell r="V5007" t="str">
            <v>Available</v>
          </cell>
        </row>
        <row r="5008">
          <cell r="A5008" t="str">
            <v>105800280004</v>
          </cell>
          <cell r="B5008" t="str">
            <v>Hasanpur</v>
          </cell>
          <cell r="C5008" t="str">
            <v>Hasanpur</v>
          </cell>
          <cell r="D5008" t="str">
            <v xml:space="preserve">DURGAPUR </v>
          </cell>
          <cell r="E5008">
            <v>10580028</v>
          </cell>
          <cell r="F5008" t="str">
            <v>0004</v>
          </cell>
          <cell r="G5008">
            <v>13</v>
          </cell>
          <cell r="H5008">
            <v>34.6</v>
          </cell>
          <cell r="I5008">
            <v>1488.44765885115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P5008">
            <v>1488</v>
          </cell>
          <cell r="V5008" t="str">
            <v>Available</v>
          </cell>
        </row>
        <row r="5009">
          <cell r="A5009" t="str">
            <v>105800280005</v>
          </cell>
          <cell r="B5009" t="str">
            <v>Hasanpur</v>
          </cell>
          <cell r="C5009" t="str">
            <v>Hasanpur</v>
          </cell>
          <cell r="D5009" t="str">
            <v xml:space="preserve">DURGAPUR </v>
          </cell>
          <cell r="E5009">
            <v>10580028</v>
          </cell>
          <cell r="F5009" t="str">
            <v>0005</v>
          </cell>
          <cell r="G5009">
            <v>5</v>
          </cell>
          <cell r="H5009">
            <v>11.8</v>
          </cell>
          <cell r="I5009">
            <v>387.230573268</v>
          </cell>
          <cell r="J5009">
            <v>0</v>
          </cell>
          <cell r="K5009">
            <v>0</v>
          </cell>
          <cell r="L5009">
            <v>0</v>
          </cell>
          <cell r="M5009">
            <v>0</v>
          </cell>
          <cell r="P5009">
            <v>387</v>
          </cell>
          <cell r="V5009" t="str">
            <v>Available</v>
          </cell>
        </row>
        <row r="5010">
          <cell r="A5010" t="str">
            <v>105800280006</v>
          </cell>
          <cell r="B5010" t="str">
            <v>Hasanpur</v>
          </cell>
          <cell r="C5010" t="str">
            <v>Hasanpur</v>
          </cell>
          <cell r="D5010" t="str">
            <v xml:space="preserve">DURGAPUR </v>
          </cell>
          <cell r="E5010">
            <v>10580028</v>
          </cell>
          <cell r="F5010" t="str">
            <v>0006</v>
          </cell>
          <cell r="G5010">
            <v>11</v>
          </cell>
          <cell r="H5010">
            <v>41.699999999999996</v>
          </cell>
          <cell r="I5010">
            <v>2113.0534097457003</v>
          </cell>
          <cell r="J5010">
            <v>0</v>
          </cell>
          <cell r="K5010">
            <v>0</v>
          </cell>
          <cell r="L5010">
            <v>0</v>
          </cell>
          <cell r="M5010">
            <v>0</v>
          </cell>
          <cell r="P5010">
            <v>2113</v>
          </cell>
          <cell r="V5010" t="str">
            <v>Available</v>
          </cell>
        </row>
        <row r="5011">
          <cell r="A5011" t="str">
            <v>105800290002</v>
          </cell>
          <cell r="B5011" t="str">
            <v>Hasanpur</v>
          </cell>
          <cell r="C5011" t="str">
            <v>Hasanpur</v>
          </cell>
          <cell r="D5011" t="str">
            <v>Chandauli</v>
          </cell>
          <cell r="E5011">
            <v>10580029</v>
          </cell>
          <cell r="F5011" t="str">
            <v>0002</v>
          </cell>
          <cell r="G5011">
            <v>1</v>
          </cell>
          <cell r="H5011">
            <v>3.5</v>
          </cell>
          <cell r="I5011">
            <v>295.14398301499989</v>
          </cell>
          <cell r="J5011">
            <v>0</v>
          </cell>
          <cell r="K5011">
            <v>0</v>
          </cell>
          <cell r="L5011">
            <v>295</v>
          </cell>
          <cell r="M5011">
            <v>0</v>
          </cell>
          <cell r="P5011">
            <v>0</v>
          </cell>
          <cell r="V5011" t="str">
            <v>Available</v>
          </cell>
        </row>
        <row r="5012">
          <cell r="A5012" t="str">
            <v>105800290003</v>
          </cell>
          <cell r="B5012" t="str">
            <v>Hasanpur</v>
          </cell>
          <cell r="C5012" t="str">
            <v>Hasanpur</v>
          </cell>
          <cell r="D5012" t="str">
            <v>Chandauli</v>
          </cell>
          <cell r="E5012">
            <v>10580029</v>
          </cell>
          <cell r="F5012" t="str">
            <v>0003</v>
          </cell>
          <cell r="G5012">
            <v>14</v>
          </cell>
          <cell r="H5012">
            <v>112.60000000000002</v>
          </cell>
          <cell r="I5012">
            <v>5840.5948361959008</v>
          </cell>
          <cell r="J5012">
            <v>0</v>
          </cell>
          <cell r="K5012">
            <v>0</v>
          </cell>
          <cell r="L5012">
            <v>384</v>
          </cell>
          <cell r="M5012">
            <v>0</v>
          </cell>
          <cell r="P5012">
            <v>5457</v>
          </cell>
          <cell r="V5012" t="str">
            <v>Available</v>
          </cell>
        </row>
        <row r="5013">
          <cell r="A5013" t="str">
            <v>105800290004</v>
          </cell>
          <cell r="B5013" t="str">
            <v>Hasanpur</v>
          </cell>
          <cell r="C5013" t="str">
            <v>Hasanpur</v>
          </cell>
          <cell r="D5013" t="str">
            <v>Chandauli</v>
          </cell>
          <cell r="E5013">
            <v>10580029</v>
          </cell>
          <cell r="F5013" t="str">
            <v>0004</v>
          </cell>
          <cell r="G5013">
            <v>8</v>
          </cell>
          <cell r="H5013">
            <v>11.4</v>
          </cell>
          <cell r="I5013">
            <v>410.48991581400003</v>
          </cell>
          <cell r="J5013">
            <v>0</v>
          </cell>
          <cell r="K5013">
            <v>0</v>
          </cell>
          <cell r="L5013">
            <v>0</v>
          </cell>
          <cell r="M5013">
            <v>0</v>
          </cell>
          <cell r="P5013">
            <v>410</v>
          </cell>
          <cell r="V5013" t="str">
            <v>Available</v>
          </cell>
        </row>
        <row r="5014">
          <cell r="A5014" t="str">
            <v>105800290005</v>
          </cell>
          <cell r="B5014" t="str">
            <v>Hasanpur</v>
          </cell>
          <cell r="C5014" t="str">
            <v>Hasanpur</v>
          </cell>
          <cell r="D5014" t="str">
            <v>Chandauli</v>
          </cell>
          <cell r="E5014">
            <v>10580029</v>
          </cell>
          <cell r="F5014" t="str">
            <v>0005</v>
          </cell>
          <cell r="G5014">
            <v>14</v>
          </cell>
          <cell r="H5014">
            <v>32.799999999999997</v>
          </cell>
          <cell r="I5014">
            <v>1072.6399880460001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P5014">
            <v>1073</v>
          </cell>
          <cell r="V5014" t="str">
            <v>Available</v>
          </cell>
        </row>
        <row r="5015">
          <cell r="A5015" t="str">
            <v>105800290006</v>
          </cell>
          <cell r="B5015" t="str">
            <v>Hasanpur</v>
          </cell>
          <cell r="C5015" t="str">
            <v>Hasanpur</v>
          </cell>
          <cell r="D5015" t="str">
            <v>Chandauli</v>
          </cell>
          <cell r="E5015">
            <v>10580029</v>
          </cell>
          <cell r="F5015" t="str">
            <v>0006</v>
          </cell>
          <cell r="G5015">
            <v>7</v>
          </cell>
          <cell r="H5015">
            <v>6.8000000000000007</v>
          </cell>
          <cell r="I5015">
            <v>280.99333794150004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P5015">
            <v>281</v>
          </cell>
          <cell r="V5015" t="str">
            <v>Available</v>
          </cell>
        </row>
        <row r="5016">
          <cell r="A5016" t="str">
            <v>105800290007</v>
          </cell>
          <cell r="B5016" t="str">
            <v>Hasanpur</v>
          </cell>
          <cell r="C5016" t="str">
            <v>Hasanpur</v>
          </cell>
          <cell r="D5016" t="str">
            <v>Chandauli</v>
          </cell>
          <cell r="E5016">
            <v>10580029</v>
          </cell>
          <cell r="F5016" t="str">
            <v>0007</v>
          </cell>
          <cell r="G5016">
            <v>13</v>
          </cell>
          <cell r="H5016">
            <v>29.8</v>
          </cell>
          <cell r="I5016">
            <v>1104.2837621640001</v>
          </cell>
          <cell r="J5016">
            <v>0</v>
          </cell>
          <cell r="K5016">
            <v>0</v>
          </cell>
          <cell r="L5016">
            <v>0</v>
          </cell>
          <cell r="M5016">
            <v>0</v>
          </cell>
          <cell r="P5016">
            <v>1104</v>
          </cell>
          <cell r="V5016" t="str">
            <v>Available</v>
          </cell>
        </row>
        <row r="5017">
          <cell r="A5017" t="str">
            <v>105800300002</v>
          </cell>
          <cell r="B5017" t="str">
            <v>Hasanpur</v>
          </cell>
          <cell r="C5017" t="str">
            <v>Hasanpur</v>
          </cell>
          <cell r="D5017" t="str">
            <v>Girdharpur</v>
          </cell>
          <cell r="E5017">
            <v>10580030</v>
          </cell>
          <cell r="F5017" t="str">
            <v>0002</v>
          </cell>
          <cell r="G5017">
            <v>14</v>
          </cell>
          <cell r="H5017">
            <v>501</v>
          </cell>
          <cell r="I5017">
            <v>17689.235935734003</v>
          </cell>
          <cell r="J5017">
            <v>0</v>
          </cell>
          <cell r="K5017">
            <v>0</v>
          </cell>
          <cell r="L5017">
            <v>440</v>
          </cell>
          <cell r="M5017">
            <v>0</v>
          </cell>
          <cell r="P5017">
            <v>17249</v>
          </cell>
          <cell r="V5017" t="str">
            <v>Available</v>
          </cell>
        </row>
        <row r="5018">
          <cell r="A5018" t="str">
            <v>105900010001</v>
          </cell>
          <cell r="B5018" t="str">
            <v>Gopalpur Bmc</v>
          </cell>
          <cell r="C5018" t="str">
            <v>Gopalpur Bmc</v>
          </cell>
          <cell r="D5018" t="str">
            <v>MISHRBIGHA</v>
          </cell>
          <cell r="E5018">
            <v>10590001</v>
          </cell>
          <cell r="F5018" t="str">
            <v>0001</v>
          </cell>
          <cell r="G5018">
            <v>1</v>
          </cell>
          <cell r="H5018">
            <v>0.1</v>
          </cell>
          <cell r="I5018">
            <v>7.070866478000001</v>
          </cell>
          <cell r="J5018">
            <v>0</v>
          </cell>
          <cell r="K5018">
            <v>7.070866478000001</v>
          </cell>
          <cell r="L5018">
            <v>0</v>
          </cell>
          <cell r="M5018">
            <v>0</v>
          </cell>
          <cell r="P5018">
            <v>0</v>
          </cell>
          <cell r="V5018" t="str">
            <v>Not Available</v>
          </cell>
        </row>
        <row r="5019">
          <cell r="A5019" t="str">
            <v>105900010002</v>
          </cell>
          <cell r="B5019" t="str">
            <v>Gopalpur Bmc</v>
          </cell>
          <cell r="C5019" t="str">
            <v>Gopalpur Bmc</v>
          </cell>
          <cell r="D5019" t="str">
            <v>MISHRBIGHA</v>
          </cell>
          <cell r="E5019">
            <v>10590001</v>
          </cell>
          <cell r="F5019" t="str">
            <v>0002</v>
          </cell>
          <cell r="G5019">
            <v>14</v>
          </cell>
          <cell r="H5019">
            <v>778.46000000000015</v>
          </cell>
          <cell r="I5019">
            <v>40938.566888138506</v>
          </cell>
          <cell r="J5019">
            <v>0</v>
          </cell>
          <cell r="K5019">
            <v>0</v>
          </cell>
          <cell r="L5019">
            <v>5962</v>
          </cell>
          <cell r="M5019">
            <v>0</v>
          </cell>
          <cell r="P5019">
            <v>34977</v>
          </cell>
          <cell r="V5019" t="str">
            <v>Available</v>
          </cell>
        </row>
        <row r="5020">
          <cell r="A5020" t="str">
            <v>105900010003</v>
          </cell>
          <cell r="B5020" t="str">
            <v>Gopalpur Bmc</v>
          </cell>
          <cell r="C5020" t="str">
            <v>Gopalpur Bmc</v>
          </cell>
          <cell r="D5020" t="str">
            <v>MISHRBIGHA</v>
          </cell>
          <cell r="E5020">
            <v>10590001</v>
          </cell>
          <cell r="F5020" t="str">
            <v>0003</v>
          </cell>
          <cell r="G5020">
            <v>5</v>
          </cell>
          <cell r="H5020">
            <v>4.42</v>
          </cell>
          <cell r="I5020">
            <v>317.33638715950002</v>
          </cell>
          <cell r="J5020">
            <v>0</v>
          </cell>
          <cell r="K5020">
            <v>0</v>
          </cell>
          <cell r="L5020">
            <v>0</v>
          </cell>
          <cell r="M5020">
            <v>0</v>
          </cell>
          <cell r="P5020">
            <v>317</v>
          </cell>
          <cell r="V5020" t="str">
            <v>Available</v>
          </cell>
        </row>
        <row r="5021">
          <cell r="A5021" t="str">
            <v>105900010008</v>
          </cell>
          <cell r="B5021" t="str">
            <v>Gopalpur Bmc</v>
          </cell>
          <cell r="C5021" t="str">
            <v>Gopalpur Bmc</v>
          </cell>
          <cell r="D5021" t="str">
            <v>MISHRBIGHA</v>
          </cell>
          <cell r="E5021">
            <v>10590001</v>
          </cell>
          <cell r="F5021" t="str">
            <v>0008</v>
          </cell>
          <cell r="G5021">
            <v>12</v>
          </cell>
          <cell r="H5021">
            <v>32.619999999999997</v>
          </cell>
          <cell r="I5021">
            <v>2391.0331494754705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P5021">
            <v>2391</v>
          </cell>
          <cell r="V5021" t="str">
            <v>Available</v>
          </cell>
        </row>
        <row r="5022">
          <cell r="A5022" t="str">
            <v>105900010018</v>
          </cell>
          <cell r="B5022" t="str">
            <v>Gopalpur Bmc</v>
          </cell>
          <cell r="C5022" t="str">
            <v>Gopalpur Bmc</v>
          </cell>
          <cell r="D5022" t="str">
            <v>MISHRBIGHA</v>
          </cell>
          <cell r="E5022">
            <v>10590001</v>
          </cell>
          <cell r="F5022" t="str">
            <v>0018</v>
          </cell>
          <cell r="G5022">
            <v>14</v>
          </cell>
          <cell r="H5022">
            <v>25.110000000000003</v>
          </cell>
          <cell r="I5022">
            <v>1674.7837776696001</v>
          </cell>
          <cell r="J5022">
            <v>0</v>
          </cell>
          <cell r="K5022">
            <v>0</v>
          </cell>
          <cell r="L5022">
            <v>0</v>
          </cell>
          <cell r="M5022">
            <v>0</v>
          </cell>
          <cell r="P5022">
            <v>1675</v>
          </cell>
          <cell r="V5022" t="str">
            <v>Available</v>
          </cell>
        </row>
        <row r="5023">
          <cell r="A5023" t="str">
            <v>105900020002</v>
          </cell>
          <cell r="B5023" t="str">
            <v>Gopalpur Bmc</v>
          </cell>
          <cell r="C5023" t="str">
            <v>Gopalpur Bmc</v>
          </cell>
          <cell r="D5023" t="str">
            <v>DIGHOI</v>
          </cell>
          <cell r="E5023">
            <v>10590002</v>
          </cell>
          <cell r="F5023" t="str">
            <v>0002</v>
          </cell>
          <cell r="G5023">
            <v>7</v>
          </cell>
          <cell r="H5023">
            <v>153.07000000000002</v>
          </cell>
          <cell r="I5023">
            <v>9551.9312270881983</v>
          </cell>
          <cell r="J5023">
            <v>0</v>
          </cell>
          <cell r="K5023">
            <v>0</v>
          </cell>
          <cell r="L5023">
            <v>256</v>
          </cell>
          <cell r="M5023">
            <v>0</v>
          </cell>
          <cell r="P5023">
            <v>9251</v>
          </cell>
          <cell r="V5023" t="str">
            <v>Available</v>
          </cell>
        </row>
        <row r="5024">
          <cell r="A5024" t="str">
            <v>105900040002</v>
          </cell>
          <cell r="B5024" t="str">
            <v>Gopalpur Bmc</v>
          </cell>
          <cell r="C5024" t="str">
            <v>Gopalpur Bmc</v>
          </cell>
          <cell r="D5024" t="str">
            <v>PRATAPUR</v>
          </cell>
          <cell r="E5024">
            <v>10590004</v>
          </cell>
          <cell r="F5024" t="str">
            <v>0002</v>
          </cell>
          <cell r="G5024">
            <v>14</v>
          </cell>
          <cell r="H5024">
            <v>999.2600000000001</v>
          </cell>
          <cell r="I5024">
            <v>35857.044595468804</v>
          </cell>
          <cell r="J5024">
            <v>0</v>
          </cell>
          <cell r="K5024">
            <v>0</v>
          </cell>
          <cell r="L5024">
            <v>0</v>
          </cell>
          <cell r="M5024">
            <v>0</v>
          </cell>
          <cell r="P5024">
            <v>35857</v>
          </cell>
          <cell r="V5024" t="str">
            <v>Available</v>
          </cell>
        </row>
        <row r="5025">
          <cell r="A5025" t="str">
            <v>105900060002</v>
          </cell>
          <cell r="B5025" t="str">
            <v>Gopalpur Bmc</v>
          </cell>
          <cell r="C5025" t="str">
            <v>Gopalpur Bmc</v>
          </cell>
          <cell r="D5025" t="str">
            <v>GOPALPUR</v>
          </cell>
          <cell r="E5025">
            <v>10590006</v>
          </cell>
          <cell r="F5025" t="str">
            <v>0002</v>
          </cell>
          <cell r="G5025">
            <v>14</v>
          </cell>
          <cell r="H5025">
            <v>57.4</v>
          </cell>
          <cell r="I5025">
            <v>2379.1796028000008</v>
          </cell>
          <cell r="J5025">
            <v>0</v>
          </cell>
          <cell r="K5025">
            <v>0</v>
          </cell>
          <cell r="L5025">
            <v>25</v>
          </cell>
          <cell r="M5025">
            <v>0</v>
          </cell>
          <cell r="P5025">
            <v>2271</v>
          </cell>
          <cell r="V5025" t="str">
            <v>Available</v>
          </cell>
        </row>
        <row r="5026">
          <cell r="A5026" t="str">
            <v>105900060004</v>
          </cell>
          <cell r="B5026" t="str">
            <v>Gopalpur Bmc</v>
          </cell>
          <cell r="C5026" t="str">
            <v>Gopalpur Bmc</v>
          </cell>
          <cell r="D5026" t="str">
            <v>GOPALPUR</v>
          </cell>
          <cell r="E5026">
            <v>10590006</v>
          </cell>
          <cell r="F5026" t="str">
            <v>0004</v>
          </cell>
          <cell r="G5026">
            <v>6</v>
          </cell>
          <cell r="H5026">
            <v>17.599999999999998</v>
          </cell>
          <cell r="I5026">
            <v>943.45398883200005</v>
          </cell>
          <cell r="J5026">
            <v>0</v>
          </cell>
          <cell r="K5026">
            <v>0</v>
          </cell>
          <cell r="L5026">
            <v>0</v>
          </cell>
          <cell r="M5026">
            <v>0</v>
          </cell>
          <cell r="P5026">
            <v>943</v>
          </cell>
          <cell r="V5026" t="str">
            <v>Available</v>
          </cell>
        </row>
        <row r="5027">
          <cell r="A5027" t="str">
            <v>105900060005</v>
          </cell>
          <cell r="B5027" t="str">
            <v>Gopalpur Bmc</v>
          </cell>
          <cell r="C5027" t="str">
            <v>Gopalpur Bmc</v>
          </cell>
          <cell r="D5027" t="str">
            <v>GOPALPUR</v>
          </cell>
          <cell r="E5027">
            <v>10590006</v>
          </cell>
          <cell r="F5027" t="str">
            <v>0005</v>
          </cell>
          <cell r="G5027">
            <v>6</v>
          </cell>
          <cell r="H5027">
            <v>17.5</v>
          </cell>
          <cell r="I5027">
            <v>649.4456034000001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P5027">
            <v>649</v>
          </cell>
          <cell r="V5027" t="str">
            <v>Available</v>
          </cell>
        </row>
        <row r="5028">
          <cell r="A5028" t="str">
            <v>105900060006</v>
          </cell>
          <cell r="B5028" t="str">
            <v>Gopalpur Bmc</v>
          </cell>
          <cell r="C5028" t="str">
            <v>Gopalpur Bmc</v>
          </cell>
          <cell r="D5028" t="str">
            <v>GOPALPUR</v>
          </cell>
          <cell r="E5028">
            <v>10590006</v>
          </cell>
          <cell r="F5028" t="str">
            <v>0006</v>
          </cell>
          <cell r="G5028">
            <v>9</v>
          </cell>
          <cell r="H5028">
            <v>42.5</v>
          </cell>
          <cell r="I5028">
            <v>1622.2601815200003</v>
          </cell>
          <cell r="J5028">
            <v>0</v>
          </cell>
          <cell r="K5028">
            <v>0</v>
          </cell>
          <cell r="L5028">
            <v>0</v>
          </cell>
          <cell r="M5028">
            <v>0</v>
          </cell>
          <cell r="P5028">
            <v>1622</v>
          </cell>
          <cell r="V5028" t="str">
            <v>Available</v>
          </cell>
        </row>
        <row r="5029">
          <cell r="A5029" t="str">
            <v>105900060007</v>
          </cell>
          <cell r="B5029" t="str">
            <v>Gopalpur Bmc</v>
          </cell>
          <cell r="C5029" t="str">
            <v>Gopalpur Bmc</v>
          </cell>
          <cell r="D5029" t="str">
            <v>GOPALPUR</v>
          </cell>
          <cell r="E5029">
            <v>10590006</v>
          </cell>
          <cell r="F5029" t="str">
            <v>0007</v>
          </cell>
          <cell r="G5029">
            <v>14</v>
          </cell>
          <cell r="H5029">
            <v>169</v>
          </cell>
          <cell r="I5029">
            <v>6464.9501769600001</v>
          </cell>
          <cell r="J5029">
            <v>0</v>
          </cell>
          <cell r="K5029">
            <v>0</v>
          </cell>
          <cell r="L5029">
            <v>0</v>
          </cell>
          <cell r="M5029">
            <v>0</v>
          </cell>
          <cell r="P5029">
            <v>6465</v>
          </cell>
          <cell r="V5029" t="str">
            <v>Available</v>
          </cell>
        </row>
        <row r="5030">
          <cell r="A5030" t="str">
            <v>105900060008</v>
          </cell>
          <cell r="B5030" t="str">
            <v>Gopalpur Bmc</v>
          </cell>
          <cell r="C5030" t="str">
            <v>Gopalpur Bmc</v>
          </cell>
          <cell r="D5030" t="str">
            <v>GOPALPUR</v>
          </cell>
          <cell r="E5030">
            <v>10590006</v>
          </cell>
          <cell r="F5030" t="str">
            <v>0008</v>
          </cell>
          <cell r="G5030">
            <v>7</v>
          </cell>
          <cell r="H5030">
            <v>19.5</v>
          </cell>
          <cell r="I5030">
            <v>767.53568232000009</v>
          </cell>
          <cell r="J5030">
            <v>0</v>
          </cell>
          <cell r="K5030">
            <v>0</v>
          </cell>
          <cell r="L5030">
            <v>0</v>
          </cell>
          <cell r="M5030">
            <v>0</v>
          </cell>
          <cell r="P5030">
            <v>768</v>
          </cell>
          <cell r="V5030" t="str">
            <v>Available</v>
          </cell>
        </row>
        <row r="5031">
          <cell r="A5031" t="str">
            <v>105900060010</v>
          </cell>
          <cell r="B5031" t="str">
            <v>Gopalpur Bmc</v>
          </cell>
          <cell r="C5031" t="str">
            <v>Gopalpur Bmc</v>
          </cell>
          <cell r="D5031" t="str">
            <v>GOPALPUR</v>
          </cell>
          <cell r="E5031">
            <v>10590006</v>
          </cell>
          <cell r="F5031" t="str">
            <v>0010</v>
          </cell>
          <cell r="G5031">
            <v>5</v>
          </cell>
          <cell r="H5031">
            <v>8.1</v>
          </cell>
          <cell r="I5031">
            <v>685.48465354899986</v>
          </cell>
          <cell r="J5031">
            <v>0</v>
          </cell>
          <cell r="K5031">
            <v>0</v>
          </cell>
          <cell r="L5031">
            <v>0</v>
          </cell>
          <cell r="M5031">
            <v>0</v>
          </cell>
          <cell r="P5031">
            <v>685</v>
          </cell>
          <cell r="V5031" t="str">
            <v>Available</v>
          </cell>
        </row>
        <row r="5032">
          <cell r="A5032" t="str">
            <v>105900060011</v>
          </cell>
          <cell r="B5032" t="str">
            <v>Gopalpur Bmc</v>
          </cell>
          <cell r="C5032" t="str">
            <v>Gopalpur Bmc</v>
          </cell>
          <cell r="D5032" t="str">
            <v>GOPALPUR</v>
          </cell>
          <cell r="E5032">
            <v>10590006</v>
          </cell>
          <cell r="F5032" t="str">
            <v>0011</v>
          </cell>
          <cell r="G5032">
            <v>7</v>
          </cell>
          <cell r="H5032">
            <v>15.999999999999998</v>
          </cell>
          <cell r="I5032">
            <v>1264.7059612539997</v>
          </cell>
          <cell r="J5032">
            <v>0</v>
          </cell>
          <cell r="K5032">
            <v>0</v>
          </cell>
          <cell r="L5032">
            <v>0</v>
          </cell>
          <cell r="M5032">
            <v>0</v>
          </cell>
          <cell r="P5032">
            <v>1265</v>
          </cell>
          <cell r="V5032" t="str">
            <v>Available</v>
          </cell>
        </row>
        <row r="5033">
          <cell r="A5033" t="str">
            <v>105900060012</v>
          </cell>
          <cell r="B5033" t="str">
            <v>Gopalpur Bmc</v>
          </cell>
          <cell r="C5033" t="str">
            <v>Gopalpur Bmc</v>
          </cell>
          <cell r="D5033" t="str">
            <v>GOPALPUR</v>
          </cell>
          <cell r="E5033">
            <v>10590006</v>
          </cell>
          <cell r="F5033" t="str">
            <v>0012</v>
          </cell>
          <cell r="G5033">
            <v>7</v>
          </cell>
          <cell r="H5033">
            <v>11.1</v>
          </cell>
          <cell r="I5033">
            <v>465.70845420000001</v>
          </cell>
          <cell r="J5033">
            <v>0</v>
          </cell>
          <cell r="K5033">
            <v>0</v>
          </cell>
          <cell r="L5033">
            <v>0</v>
          </cell>
          <cell r="M5033">
            <v>0</v>
          </cell>
          <cell r="P5033">
            <v>466</v>
          </cell>
          <cell r="V5033" t="str">
            <v>Available</v>
          </cell>
        </row>
        <row r="5034">
          <cell r="A5034" t="str">
            <v>105900080002</v>
          </cell>
          <cell r="B5034" t="str">
            <v>Gopalpur Bmc</v>
          </cell>
          <cell r="C5034" t="str">
            <v>Gopalpur Bmc</v>
          </cell>
          <cell r="D5034" t="str">
            <v>NARMDA</v>
          </cell>
          <cell r="E5034">
            <v>10590008</v>
          </cell>
          <cell r="F5034" t="str">
            <v>0002</v>
          </cell>
          <cell r="G5034">
            <v>13</v>
          </cell>
          <cell r="H5034">
            <v>307.79999999999995</v>
          </cell>
          <cell r="I5034">
            <v>13475.554200134999</v>
          </cell>
          <cell r="J5034">
            <v>0</v>
          </cell>
          <cell r="K5034">
            <v>0</v>
          </cell>
          <cell r="L5034">
            <v>115</v>
          </cell>
          <cell r="M5034">
            <v>0</v>
          </cell>
          <cell r="P5034">
            <v>13361</v>
          </cell>
          <cell r="V5034" t="str">
            <v>Available</v>
          </cell>
        </row>
        <row r="5035">
          <cell r="A5035" t="str">
            <v>105900100002</v>
          </cell>
          <cell r="B5035" t="str">
            <v>Gopalpur Bmc</v>
          </cell>
          <cell r="C5035" t="str">
            <v>Gopalpur Bmc</v>
          </cell>
          <cell r="D5035" t="str">
            <v>AMRATH</v>
          </cell>
          <cell r="E5035">
            <v>10590010</v>
          </cell>
          <cell r="F5035" t="str">
            <v>0002</v>
          </cell>
          <cell r="G5035">
            <v>14</v>
          </cell>
          <cell r="H5035">
            <v>730.8</v>
          </cell>
          <cell r="I5035">
            <v>38910.024961778196</v>
          </cell>
          <cell r="J5035">
            <v>0</v>
          </cell>
          <cell r="K5035">
            <v>0</v>
          </cell>
          <cell r="L5035">
            <v>0</v>
          </cell>
          <cell r="M5035">
            <v>0</v>
          </cell>
          <cell r="P5035">
            <v>38910</v>
          </cell>
          <cell r="V5035" t="str">
            <v>Available</v>
          </cell>
        </row>
        <row r="5036">
          <cell r="A5036" t="str">
            <v>105900100003</v>
          </cell>
          <cell r="B5036" t="str">
            <v>Gopalpur Bmc</v>
          </cell>
          <cell r="C5036" t="str">
            <v>Gopalpur Bmc</v>
          </cell>
          <cell r="D5036" t="str">
            <v>AMRATH</v>
          </cell>
          <cell r="E5036">
            <v>10590010</v>
          </cell>
          <cell r="F5036" t="str">
            <v>0003</v>
          </cell>
          <cell r="G5036">
            <v>13</v>
          </cell>
          <cell r="H5036">
            <v>492.1</v>
          </cell>
          <cell r="I5036">
            <v>19672.087450248004</v>
          </cell>
          <cell r="J5036">
            <v>0</v>
          </cell>
          <cell r="K5036">
            <v>0</v>
          </cell>
          <cell r="L5036">
            <v>0</v>
          </cell>
          <cell r="M5036">
            <v>0</v>
          </cell>
          <cell r="P5036">
            <v>19672</v>
          </cell>
          <cell r="V5036" t="str">
            <v>Available</v>
          </cell>
        </row>
        <row r="5037">
          <cell r="A5037" t="str">
            <v>105900110002</v>
          </cell>
          <cell r="B5037" t="str">
            <v>Gopalpur Bmc</v>
          </cell>
          <cell r="C5037" t="str">
            <v>Gopalpur Bmc</v>
          </cell>
          <cell r="D5037" t="str">
            <v>PUTERIA</v>
          </cell>
          <cell r="E5037">
            <v>10590011</v>
          </cell>
          <cell r="F5037" t="str">
            <v>0002</v>
          </cell>
          <cell r="G5037">
            <v>14</v>
          </cell>
          <cell r="H5037">
            <v>303.2</v>
          </cell>
          <cell r="I5037">
            <v>13206.47272178359</v>
          </cell>
          <cell r="J5037">
            <v>0</v>
          </cell>
          <cell r="K5037">
            <v>0</v>
          </cell>
          <cell r="L5037">
            <v>120</v>
          </cell>
          <cell r="M5037">
            <v>0</v>
          </cell>
          <cell r="P5037">
            <v>13086</v>
          </cell>
          <cell r="V5037" t="str">
            <v>Available</v>
          </cell>
        </row>
        <row r="5038">
          <cell r="A5038" t="str">
            <v>105900110003</v>
          </cell>
          <cell r="B5038" t="str">
            <v>Gopalpur Bmc</v>
          </cell>
          <cell r="C5038" t="str">
            <v>Gopalpur Bmc</v>
          </cell>
          <cell r="D5038" t="str">
            <v>PUTERIA</v>
          </cell>
          <cell r="E5038">
            <v>10590011</v>
          </cell>
          <cell r="F5038" t="str">
            <v>0003</v>
          </cell>
          <cell r="G5038">
            <v>14</v>
          </cell>
          <cell r="H5038">
            <v>38.619999999999997</v>
          </cell>
          <cell r="I5038">
            <v>1414.503346212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  <cell r="P5038">
            <v>1415</v>
          </cell>
          <cell r="V5038" t="str">
            <v>Available</v>
          </cell>
        </row>
        <row r="5039">
          <cell r="A5039" t="str">
            <v>105900110004</v>
          </cell>
          <cell r="B5039" t="str">
            <v>Gopalpur Bmc</v>
          </cell>
          <cell r="C5039" t="str">
            <v>Gopalpur Bmc</v>
          </cell>
          <cell r="D5039" t="str">
            <v>PUTERIA</v>
          </cell>
          <cell r="E5039">
            <v>10590011</v>
          </cell>
          <cell r="F5039" t="str">
            <v>0004</v>
          </cell>
          <cell r="G5039">
            <v>14</v>
          </cell>
          <cell r="H5039">
            <v>23.43</v>
          </cell>
          <cell r="I5039">
            <v>752.42017489320006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P5039">
            <v>752</v>
          </cell>
          <cell r="V5039" t="str">
            <v>Available</v>
          </cell>
        </row>
        <row r="5040">
          <cell r="A5040" t="str">
            <v>105900110005</v>
          </cell>
          <cell r="B5040" t="str">
            <v>Gopalpur Bmc</v>
          </cell>
          <cell r="C5040" t="str">
            <v>Gopalpur Bmc</v>
          </cell>
          <cell r="D5040" t="str">
            <v>PUTERIA</v>
          </cell>
          <cell r="E5040">
            <v>10590011</v>
          </cell>
          <cell r="F5040" t="str">
            <v>0005</v>
          </cell>
          <cell r="G5040">
            <v>7</v>
          </cell>
          <cell r="H5040">
            <v>88.54</v>
          </cell>
          <cell r="I5040">
            <v>3529.0561117680004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P5040">
            <v>3529</v>
          </cell>
          <cell r="V5040" t="str">
            <v>Available</v>
          </cell>
        </row>
        <row r="5041">
          <cell r="A5041" t="str">
            <v>105900110007</v>
          </cell>
          <cell r="B5041" t="str">
            <v>Gopalpur Bmc</v>
          </cell>
          <cell r="C5041" t="str">
            <v>Gopalpur Bmc</v>
          </cell>
          <cell r="D5041" t="str">
            <v>PUTERIA</v>
          </cell>
          <cell r="E5041">
            <v>10590011</v>
          </cell>
          <cell r="F5041" t="str">
            <v>0007</v>
          </cell>
          <cell r="G5041">
            <v>7</v>
          </cell>
          <cell r="H5041">
            <v>46.58</v>
          </cell>
          <cell r="I5041">
            <v>1633.1619159900001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P5041">
            <v>1633</v>
          </cell>
          <cell r="V5041" t="str">
            <v>Available</v>
          </cell>
        </row>
        <row r="5042">
          <cell r="A5042" t="str">
            <v>105900110008</v>
          </cell>
          <cell r="B5042" t="str">
            <v>Gopalpur Bmc</v>
          </cell>
          <cell r="C5042" t="str">
            <v>Gopalpur Bmc</v>
          </cell>
          <cell r="D5042" t="str">
            <v>PUTERIA</v>
          </cell>
          <cell r="E5042">
            <v>10590011</v>
          </cell>
          <cell r="F5042" t="str">
            <v>0008</v>
          </cell>
          <cell r="G5042">
            <v>14</v>
          </cell>
          <cell r="H5042">
            <v>149.64999999999998</v>
          </cell>
          <cell r="I5042">
            <v>5312.2248463680007</v>
          </cell>
          <cell r="J5042">
            <v>0</v>
          </cell>
          <cell r="K5042">
            <v>0</v>
          </cell>
          <cell r="L5042">
            <v>0</v>
          </cell>
          <cell r="M5042">
            <v>0</v>
          </cell>
          <cell r="P5042">
            <v>5312</v>
          </cell>
          <cell r="V5042" t="str">
            <v>Available</v>
          </cell>
        </row>
        <row r="5043">
          <cell r="A5043" t="str">
            <v>105900120002</v>
          </cell>
          <cell r="B5043" t="str">
            <v>Gopalpur Bmc</v>
          </cell>
          <cell r="C5043" t="str">
            <v>Gopalpur Bmc</v>
          </cell>
          <cell r="D5043" t="str">
            <v>LAKHAPUR</v>
          </cell>
          <cell r="E5043">
            <v>10590012</v>
          </cell>
          <cell r="F5043" t="str">
            <v>0002</v>
          </cell>
          <cell r="G5043">
            <v>14</v>
          </cell>
          <cell r="H5043">
            <v>544</v>
          </cell>
          <cell r="I5043">
            <v>22343.028281338899</v>
          </cell>
          <cell r="J5043">
            <v>0</v>
          </cell>
          <cell r="K5043">
            <v>0</v>
          </cell>
          <cell r="L5043">
            <v>0</v>
          </cell>
          <cell r="M5043">
            <v>0</v>
          </cell>
          <cell r="P5043">
            <v>22343</v>
          </cell>
          <cell r="V5043" t="str">
            <v>Available</v>
          </cell>
        </row>
        <row r="5044">
          <cell r="A5044" t="str">
            <v>105900130002</v>
          </cell>
          <cell r="B5044" t="str">
            <v>Gopalpur Bmc</v>
          </cell>
          <cell r="C5044" t="str">
            <v>Gopalpur Bmc</v>
          </cell>
          <cell r="D5044" t="str">
            <v>BARIYARPUR</v>
          </cell>
          <cell r="E5044">
            <v>10590013</v>
          </cell>
          <cell r="F5044" t="str">
            <v>0002</v>
          </cell>
          <cell r="G5044">
            <v>8</v>
          </cell>
          <cell r="H5044">
            <v>318.3</v>
          </cell>
          <cell r="I5044">
            <v>14077.208095186003</v>
          </cell>
          <cell r="J5044">
            <v>0</v>
          </cell>
          <cell r="K5044">
            <v>0</v>
          </cell>
          <cell r="L5044">
            <v>31</v>
          </cell>
          <cell r="M5044">
            <v>0</v>
          </cell>
          <cell r="P5044">
            <v>14046</v>
          </cell>
          <cell r="V5044" t="str">
            <v>Available</v>
          </cell>
        </row>
        <row r="5045">
          <cell r="A5045" t="str">
            <v>105900140002</v>
          </cell>
          <cell r="B5045" t="str">
            <v>Gopalpur Bmc</v>
          </cell>
          <cell r="C5045" t="str">
            <v>Gopalpur Bmc</v>
          </cell>
          <cell r="D5045" t="str">
            <v>BAGWANA</v>
          </cell>
          <cell r="E5045">
            <v>10590014</v>
          </cell>
          <cell r="F5045" t="str">
            <v>0002</v>
          </cell>
          <cell r="G5045">
            <v>14</v>
          </cell>
          <cell r="H5045">
            <v>394.7</v>
          </cell>
          <cell r="I5045">
            <v>16807.31063502</v>
          </cell>
          <cell r="J5045">
            <v>0</v>
          </cell>
          <cell r="K5045">
            <v>0</v>
          </cell>
          <cell r="L5045">
            <v>0</v>
          </cell>
          <cell r="M5045">
            <v>0</v>
          </cell>
          <cell r="P5045">
            <v>16807</v>
          </cell>
          <cell r="V5045" t="str">
            <v>Available</v>
          </cell>
        </row>
        <row r="5046">
          <cell r="A5046" t="str">
            <v>105900150002</v>
          </cell>
          <cell r="B5046" t="str">
            <v>Gopalpur Bmc</v>
          </cell>
          <cell r="C5046" t="str">
            <v>Gopalpur Bmc</v>
          </cell>
          <cell r="D5046" t="str">
            <v>REWATA</v>
          </cell>
          <cell r="E5046">
            <v>10590015</v>
          </cell>
          <cell r="F5046" t="str">
            <v>0002</v>
          </cell>
          <cell r="G5046">
            <v>7</v>
          </cell>
          <cell r="H5046">
            <v>33.4</v>
          </cell>
          <cell r="I5046">
            <v>1594.9044064176001</v>
          </cell>
          <cell r="J5046">
            <v>0</v>
          </cell>
          <cell r="K5046">
            <v>0</v>
          </cell>
          <cell r="L5046">
            <v>2</v>
          </cell>
          <cell r="M5046">
            <v>0</v>
          </cell>
          <cell r="P5046">
            <v>1593</v>
          </cell>
          <cell r="V5046" t="str">
            <v>Available</v>
          </cell>
        </row>
        <row r="5047">
          <cell r="A5047" t="str">
            <v>106000010002</v>
          </cell>
          <cell r="B5047" t="str">
            <v>Dumraon</v>
          </cell>
          <cell r="C5047" t="str">
            <v>Dumraon</v>
          </cell>
          <cell r="D5047" t="str">
            <v>Gomukh Karisath</v>
          </cell>
          <cell r="E5047">
            <v>10600001</v>
          </cell>
          <cell r="F5047" t="str">
            <v>0002</v>
          </cell>
          <cell r="G5047">
            <v>8</v>
          </cell>
          <cell r="H5047">
            <v>45.690000000000005</v>
          </cell>
          <cell r="I5047">
            <v>1729.2875042520004</v>
          </cell>
          <cell r="J5047">
            <v>0</v>
          </cell>
          <cell r="K5047">
            <v>0</v>
          </cell>
          <cell r="L5047">
            <v>288</v>
          </cell>
          <cell r="M5047">
            <v>0</v>
          </cell>
          <cell r="P5047">
            <v>1441</v>
          </cell>
          <cell r="V5047" t="str">
            <v>Available</v>
          </cell>
        </row>
        <row r="5048">
          <cell r="A5048" t="str">
            <v>106000010003</v>
          </cell>
          <cell r="B5048" t="str">
            <v>Dumraon</v>
          </cell>
          <cell r="C5048" t="str">
            <v>Dumraon</v>
          </cell>
          <cell r="D5048" t="str">
            <v>Gomukh Karisath</v>
          </cell>
          <cell r="E5048">
            <v>10600001</v>
          </cell>
          <cell r="F5048" t="str">
            <v>0003</v>
          </cell>
          <cell r="G5048">
            <v>9</v>
          </cell>
          <cell r="H5048">
            <v>321.14</v>
          </cell>
          <cell r="I5048">
            <v>11973.975458544002</v>
          </cell>
          <cell r="J5048">
            <v>0</v>
          </cell>
          <cell r="K5048">
            <v>0</v>
          </cell>
          <cell r="L5048">
            <v>0</v>
          </cell>
          <cell r="M5048">
            <v>10859</v>
          </cell>
          <cell r="P5048">
            <v>1115</v>
          </cell>
          <cell r="V5048" t="str">
            <v>Available</v>
          </cell>
        </row>
        <row r="5049">
          <cell r="A5049" t="str">
            <v>106000020002</v>
          </cell>
          <cell r="B5049" t="str">
            <v>Dumraon</v>
          </cell>
          <cell r="C5049" t="str">
            <v>Dumraon</v>
          </cell>
          <cell r="D5049" t="str">
            <v>Gomukh Ama</v>
          </cell>
          <cell r="E5049">
            <v>10600002</v>
          </cell>
          <cell r="F5049" t="str">
            <v>0002</v>
          </cell>
          <cell r="G5049">
            <v>1</v>
          </cell>
          <cell r="H5049">
            <v>319</v>
          </cell>
          <cell r="I5049">
            <v>11158.956864000002</v>
          </cell>
          <cell r="J5049">
            <v>0</v>
          </cell>
          <cell r="K5049">
            <v>0</v>
          </cell>
          <cell r="L5049">
            <v>0</v>
          </cell>
          <cell r="M5049">
            <v>0</v>
          </cell>
          <cell r="P5049">
            <v>11159</v>
          </cell>
          <cell r="V5049" t="str">
            <v>Available</v>
          </cell>
        </row>
        <row r="5050">
          <cell r="A5050" t="str">
            <v>106000040002</v>
          </cell>
          <cell r="B5050" t="str">
            <v>Dumraon</v>
          </cell>
          <cell r="C5050" t="str">
            <v>Dumraon</v>
          </cell>
          <cell r="D5050" t="str">
            <v>Gomukh Pawat</v>
          </cell>
          <cell r="E5050">
            <v>10600004</v>
          </cell>
          <cell r="F5050" t="str">
            <v>0002</v>
          </cell>
          <cell r="G5050">
            <v>6</v>
          </cell>
          <cell r="H5050">
            <v>15.08</v>
          </cell>
          <cell r="I5050">
            <v>954.84084150054002</v>
          </cell>
          <cell r="J5050">
            <v>0</v>
          </cell>
          <cell r="K5050">
            <v>0</v>
          </cell>
          <cell r="L5050">
            <v>955</v>
          </cell>
          <cell r="M5050">
            <v>0</v>
          </cell>
          <cell r="P5050">
            <v>0</v>
          </cell>
          <cell r="V5050" t="str">
            <v>Available</v>
          </cell>
        </row>
        <row r="5051">
          <cell r="A5051" t="str">
            <v>106000040003</v>
          </cell>
          <cell r="B5051" t="str">
            <v>Dumraon</v>
          </cell>
          <cell r="C5051" t="str">
            <v>Dumraon</v>
          </cell>
          <cell r="D5051" t="str">
            <v>Gomukh Pawat</v>
          </cell>
          <cell r="E5051">
            <v>10600004</v>
          </cell>
          <cell r="F5051" t="str">
            <v>0003</v>
          </cell>
          <cell r="G5051">
            <v>11</v>
          </cell>
          <cell r="H5051">
            <v>122.93</v>
          </cell>
          <cell r="I5051">
            <v>4954.7697602631606</v>
          </cell>
          <cell r="J5051">
            <v>0</v>
          </cell>
          <cell r="K5051">
            <v>0</v>
          </cell>
          <cell r="L5051">
            <v>319</v>
          </cell>
          <cell r="M5051">
            <v>4636</v>
          </cell>
          <cell r="P5051">
            <v>0</v>
          </cell>
          <cell r="V5051" t="str">
            <v>Available</v>
          </cell>
        </row>
        <row r="5052">
          <cell r="A5052" t="str">
            <v>106000050002</v>
          </cell>
          <cell r="B5052" t="str">
            <v>Dumraon</v>
          </cell>
          <cell r="C5052" t="str">
            <v>Dumraon</v>
          </cell>
          <cell r="D5052" t="str">
            <v>Gomukh Barja</v>
          </cell>
          <cell r="E5052">
            <v>10600005</v>
          </cell>
          <cell r="F5052" t="str">
            <v>0002</v>
          </cell>
          <cell r="G5052">
            <v>1</v>
          </cell>
          <cell r="H5052">
            <v>185</v>
          </cell>
          <cell r="I5052">
            <v>6886.6378020000011</v>
          </cell>
          <cell r="J5052">
            <v>0</v>
          </cell>
          <cell r="K5052">
            <v>0</v>
          </cell>
          <cell r="L5052">
            <v>0</v>
          </cell>
          <cell r="M5052">
            <v>5120</v>
          </cell>
          <cell r="P5052">
            <v>1767</v>
          </cell>
          <cell r="V5052" t="str">
            <v>Available</v>
          </cell>
        </row>
        <row r="5053">
          <cell r="A5053" t="str">
            <v>106000060002</v>
          </cell>
          <cell r="B5053" t="str">
            <v>Dumraon</v>
          </cell>
          <cell r="C5053" t="str">
            <v>Dumraon</v>
          </cell>
          <cell r="D5053" t="str">
            <v>Gomukh Charghat</v>
          </cell>
          <cell r="E5053">
            <v>10600006</v>
          </cell>
          <cell r="F5053" t="str">
            <v>0002</v>
          </cell>
          <cell r="G5053">
            <v>10</v>
          </cell>
          <cell r="H5053">
            <v>115.61</v>
          </cell>
          <cell r="I5053">
            <v>4390.8555695400009</v>
          </cell>
          <cell r="J5053">
            <v>0</v>
          </cell>
          <cell r="K5053">
            <v>0</v>
          </cell>
          <cell r="L5053">
            <v>238</v>
          </cell>
          <cell r="M5053">
            <v>0</v>
          </cell>
          <cell r="P5053">
            <v>4153</v>
          </cell>
          <cell r="V5053" t="str">
            <v>Available</v>
          </cell>
        </row>
        <row r="5054">
          <cell r="A5054" t="str">
            <v>106000080002</v>
          </cell>
          <cell r="B5054" t="str">
            <v>Dumraon</v>
          </cell>
          <cell r="C5054" t="str">
            <v>Dumraon</v>
          </cell>
          <cell r="D5054" t="str">
            <v>Gomukh Ramdihra</v>
          </cell>
          <cell r="E5054">
            <v>10600008</v>
          </cell>
          <cell r="F5054" t="str">
            <v>0002</v>
          </cell>
          <cell r="G5054">
            <v>1</v>
          </cell>
          <cell r="H5054">
            <v>144</v>
          </cell>
          <cell r="I5054">
            <v>4752.1520640000008</v>
          </cell>
          <cell r="J5054">
            <v>0</v>
          </cell>
          <cell r="K5054">
            <v>0</v>
          </cell>
          <cell r="L5054">
            <v>0</v>
          </cell>
          <cell r="M5054">
            <v>4752</v>
          </cell>
          <cell r="P5054">
            <v>0</v>
          </cell>
          <cell r="V5054" t="str">
            <v>Available</v>
          </cell>
        </row>
        <row r="5055">
          <cell r="A5055" t="str">
            <v>106000090002</v>
          </cell>
          <cell r="B5055" t="str">
            <v>Dumraon</v>
          </cell>
          <cell r="C5055" t="str">
            <v>Dumraon</v>
          </cell>
          <cell r="D5055" t="str">
            <v>Gomukh Bara</v>
          </cell>
          <cell r="E5055">
            <v>10600009</v>
          </cell>
          <cell r="F5055" t="str">
            <v>0002</v>
          </cell>
          <cell r="G5055">
            <v>3</v>
          </cell>
          <cell r="H5055">
            <v>163.81</v>
          </cell>
          <cell r="I5055">
            <v>7371.1615685811012</v>
          </cell>
          <cell r="J5055">
            <v>0</v>
          </cell>
          <cell r="K5055">
            <v>0</v>
          </cell>
          <cell r="L5055">
            <v>4297</v>
          </cell>
          <cell r="M5055">
            <v>0</v>
          </cell>
          <cell r="P5055">
            <v>3074</v>
          </cell>
          <cell r="V5055" t="str">
            <v>Available</v>
          </cell>
        </row>
        <row r="5056">
          <cell r="A5056" t="str">
            <v>106000090011</v>
          </cell>
          <cell r="B5056" t="str">
            <v>Dumraon</v>
          </cell>
          <cell r="C5056" t="str">
            <v>Dumraon</v>
          </cell>
          <cell r="D5056" t="str">
            <v>Gomukh Bara</v>
          </cell>
          <cell r="E5056">
            <v>10600009</v>
          </cell>
          <cell r="F5056" t="str">
            <v>0011</v>
          </cell>
          <cell r="G5056">
            <v>9</v>
          </cell>
          <cell r="H5056">
            <v>314.85000000000002</v>
          </cell>
          <cell r="I5056">
            <v>12585.552122676001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P5056">
            <v>12586</v>
          </cell>
          <cell r="V5056" t="str">
            <v>Available</v>
          </cell>
        </row>
        <row r="5057">
          <cell r="A5057" t="str">
            <v>106000120002</v>
          </cell>
          <cell r="B5057" t="str">
            <v>Dumraon</v>
          </cell>
          <cell r="C5057" t="str">
            <v>Dumraon</v>
          </cell>
          <cell r="D5057" t="str">
            <v>Gumukh Khajuriya</v>
          </cell>
          <cell r="E5057">
            <v>10600012</v>
          </cell>
          <cell r="F5057" t="str">
            <v>0002</v>
          </cell>
          <cell r="G5057">
            <v>3</v>
          </cell>
          <cell r="H5057">
            <v>456.82</v>
          </cell>
          <cell r="I5057">
            <v>15960.470072976001</v>
          </cell>
          <cell r="J5057">
            <v>0</v>
          </cell>
          <cell r="K5057">
            <v>0</v>
          </cell>
          <cell r="L5057">
            <v>0</v>
          </cell>
          <cell r="M5057">
            <v>2600</v>
          </cell>
          <cell r="P5057">
            <v>13360</v>
          </cell>
          <cell r="V5057" t="str">
            <v>Available</v>
          </cell>
        </row>
        <row r="5058">
          <cell r="A5058" t="str">
            <v>106000120003</v>
          </cell>
          <cell r="B5058" t="str">
            <v>Dumraon</v>
          </cell>
          <cell r="C5058" t="str">
            <v>Dumraon</v>
          </cell>
          <cell r="D5058" t="str">
            <v>Gumukh Khajuriya</v>
          </cell>
          <cell r="E5058">
            <v>10600012</v>
          </cell>
          <cell r="F5058" t="str">
            <v>0003</v>
          </cell>
          <cell r="G5058">
            <v>2</v>
          </cell>
          <cell r="H5058">
            <v>2.58</v>
          </cell>
          <cell r="I5058">
            <v>113.14014346800001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P5058">
            <v>113</v>
          </cell>
          <cell r="V5058" t="str">
            <v>Available</v>
          </cell>
        </row>
        <row r="5059">
          <cell r="A5059" t="str">
            <v>106000130001</v>
          </cell>
          <cell r="B5059" t="str">
            <v>Dumraon</v>
          </cell>
          <cell r="C5059" t="str">
            <v>Dumraon</v>
          </cell>
          <cell r="D5059" t="str">
            <v>Gomukh Chhotaki Hardiya</v>
          </cell>
          <cell r="E5059">
            <v>10600013</v>
          </cell>
          <cell r="F5059" t="str">
            <v>0001</v>
          </cell>
          <cell r="G5059">
            <v>1</v>
          </cell>
          <cell r="H5059">
            <v>0.61</v>
          </cell>
          <cell r="I5059">
            <v>34.126761990600002</v>
          </cell>
          <cell r="J5059">
            <v>0</v>
          </cell>
          <cell r="K5059">
            <v>34.126761990600002</v>
          </cell>
          <cell r="L5059">
            <v>0</v>
          </cell>
          <cell r="M5059">
            <v>0</v>
          </cell>
          <cell r="P5059">
            <v>0</v>
          </cell>
          <cell r="V5059" t="str">
            <v>Not Available</v>
          </cell>
        </row>
        <row r="5060">
          <cell r="A5060" t="str">
            <v>106000130002</v>
          </cell>
          <cell r="B5060" t="str">
            <v>Dumraon</v>
          </cell>
          <cell r="C5060" t="str">
            <v>Dumraon</v>
          </cell>
          <cell r="D5060" t="str">
            <v>Gomukh Chhotaki Hardiya</v>
          </cell>
          <cell r="E5060">
            <v>10600013</v>
          </cell>
          <cell r="F5060" t="str">
            <v>0002</v>
          </cell>
          <cell r="G5060">
            <v>10</v>
          </cell>
          <cell r="H5060">
            <v>366.44999999999993</v>
          </cell>
          <cell r="I5060">
            <v>17630.596607855317</v>
          </cell>
          <cell r="J5060">
            <v>0</v>
          </cell>
          <cell r="K5060">
            <v>0</v>
          </cell>
          <cell r="L5060">
            <v>6011</v>
          </cell>
          <cell r="M5060">
            <v>2600</v>
          </cell>
          <cell r="P5060">
            <v>9020</v>
          </cell>
          <cell r="V5060" t="str">
            <v>Available</v>
          </cell>
        </row>
        <row r="5061">
          <cell r="A5061" t="str">
            <v>106100010001</v>
          </cell>
          <cell r="B5061" t="str">
            <v>Mahua BMC</v>
          </cell>
          <cell r="C5061" t="str">
            <v>Mahua BMC</v>
          </cell>
          <cell r="D5061" t="str">
            <v>GOMUKH BHATOLIYA</v>
          </cell>
          <cell r="E5061">
            <v>10610001</v>
          </cell>
          <cell r="F5061" t="str">
            <v>0001</v>
          </cell>
          <cell r="G5061">
            <v>11</v>
          </cell>
          <cell r="H5061">
            <v>6.5999999999999988</v>
          </cell>
          <cell r="I5061">
            <v>300.61764013200002</v>
          </cell>
          <cell r="J5061">
            <v>0</v>
          </cell>
          <cell r="K5061">
            <v>300.61764013200002</v>
          </cell>
          <cell r="L5061">
            <v>0</v>
          </cell>
          <cell r="M5061">
            <v>0</v>
          </cell>
          <cell r="P5061">
            <v>0</v>
          </cell>
          <cell r="V5061" t="str">
            <v>Not Available</v>
          </cell>
        </row>
        <row r="5062">
          <cell r="A5062" t="str">
            <v>106100010002</v>
          </cell>
          <cell r="B5062" t="str">
            <v>Mahua BMC</v>
          </cell>
          <cell r="C5062" t="str">
            <v>Mahua BMC</v>
          </cell>
          <cell r="D5062" t="str">
            <v>GOMUKH BHATOLIYA</v>
          </cell>
          <cell r="E5062">
            <v>10610001</v>
          </cell>
          <cell r="F5062" t="str">
            <v>0002</v>
          </cell>
          <cell r="G5062">
            <v>14</v>
          </cell>
          <cell r="H5062">
            <v>392.3</v>
          </cell>
          <cell r="I5062">
            <v>15840.544155480002</v>
          </cell>
          <cell r="J5062">
            <v>0</v>
          </cell>
          <cell r="K5062">
            <v>0</v>
          </cell>
          <cell r="L5062">
            <v>575</v>
          </cell>
          <cell r="M5062">
            <v>0</v>
          </cell>
          <cell r="P5062">
            <v>15266</v>
          </cell>
          <cell r="V5062" t="str">
            <v>Available</v>
          </cell>
        </row>
        <row r="5063">
          <cell r="A5063" t="str">
            <v>106100010005</v>
          </cell>
          <cell r="B5063" t="str">
            <v>Mahua BMC</v>
          </cell>
          <cell r="C5063" t="str">
            <v>Mahua BMC</v>
          </cell>
          <cell r="D5063" t="str">
            <v>GOMUKH BHATOLIYA</v>
          </cell>
          <cell r="E5063">
            <v>10610001</v>
          </cell>
          <cell r="F5063" t="str">
            <v>0005</v>
          </cell>
          <cell r="G5063">
            <v>13</v>
          </cell>
          <cell r="H5063">
            <v>273.10000000000008</v>
          </cell>
          <cell r="I5063">
            <v>14954.449726485003</v>
          </cell>
          <cell r="J5063">
            <v>0</v>
          </cell>
          <cell r="K5063">
            <v>0</v>
          </cell>
          <cell r="L5063">
            <v>0</v>
          </cell>
          <cell r="M5063">
            <v>0</v>
          </cell>
          <cell r="P5063">
            <v>14954</v>
          </cell>
          <cell r="V5063" t="str">
            <v>Available</v>
          </cell>
        </row>
        <row r="5064">
          <cell r="A5064" t="str">
            <v>106100010006</v>
          </cell>
          <cell r="B5064" t="str">
            <v>Mahua BMC</v>
          </cell>
          <cell r="C5064" t="str">
            <v>Mahua BMC</v>
          </cell>
          <cell r="D5064" t="str">
            <v>GOMUKH BHATOLIYA</v>
          </cell>
          <cell r="E5064">
            <v>10610001</v>
          </cell>
          <cell r="F5064" t="str">
            <v>0006</v>
          </cell>
          <cell r="G5064">
            <v>7</v>
          </cell>
          <cell r="H5064">
            <v>15.7</v>
          </cell>
          <cell r="I5064">
            <v>594.08358768000016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P5064">
            <v>594</v>
          </cell>
          <cell r="V5064" t="str">
            <v>Available</v>
          </cell>
        </row>
        <row r="5065">
          <cell r="A5065" t="str">
            <v>106100010008</v>
          </cell>
          <cell r="B5065" t="str">
            <v>Mahua BMC</v>
          </cell>
          <cell r="C5065" t="str">
            <v>Mahua BMC</v>
          </cell>
          <cell r="D5065" t="str">
            <v>GOMUKH BHATOLIYA</v>
          </cell>
          <cell r="E5065">
            <v>10610001</v>
          </cell>
          <cell r="F5065" t="str">
            <v>0008</v>
          </cell>
          <cell r="G5065">
            <v>13</v>
          </cell>
          <cell r="H5065">
            <v>52.9</v>
          </cell>
          <cell r="I5065">
            <v>3367.4326333350004</v>
          </cell>
          <cell r="J5065">
            <v>0</v>
          </cell>
          <cell r="K5065">
            <v>0</v>
          </cell>
          <cell r="L5065">
            <v>0</v>
          </cell>
          <cell r="M5065">
            <v>0</v>
          </cell>
          <cell r="P5065">
            <v>3367</v>
          </cell>
          <cell r="V5065" t="str">
            <v>Available</v>
          </cell>
        </row>
        <row r="5066">
          <cell r="A5066" t="str">
            <v>106100010010</v>
          </cell>
          <cell r="B5066" t="str">
            <v>Mahua BMC</v>
          </cell>
          <cell r="C5066" t="str">
            <v>Mahua BMC</v>
          </cell>
          <cell r="D5066" t="str">
            <v>GOMUKH BHATOLIYA</v>
          </cell>
          <cell r="E5066">
            <v>10610001</v>
          </cell>
          <cell r="F5066" t="str">
            <v>0010</v>
          </cell>
          <cell r="G5066">
            <v>13</v>
          </cell>
          <cell r="H5066">
            <v>117.00000000000001</v>
          </cell>
          <cell r="I5066">
            <v>4241.7526021200001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  <cell r="P5066">
            <v>4242</v>
          </cell>
          <cell r="V5066" t="str">
            <v>Available</v>
          </cell>
        </row>
        <row r="5067">
          <cell r="A5067" t="str">
            <v>106100020002</v>
          </cell>
          <cell r="B5067" t="str">
            <v>Mahua BMC</v>
          </cell>
          <cell r="C5067" t="str">
            <v>Mahua BMC</v>
          </cell>
          <cell r="D5067" t="str">
            <v>GOMUKH CHEHRAKALA</v>
          </cell>
          <cell r="E5067">
            <v>10610002</v>
          </cell>
          <cell r="F5067" t="str">
            <v>0002</v>
          </cell>
          <cell r="G5067">
            <v>14</v>
          </cell>
          <cell r="H5067">
            <v>26.9</v>
          </cell>
          <cell r="I5067">
            <v>1224.9573296563003</v>
          </cell>
          <cell r="J5067">
            <v>0</v>
          </cell>
          <cell r="K5067">
            <v>0</v>
          </cell>
          <cell r="L5067">
            <v>704</v>
          </cell>
          <cell r="M5067">
            <v>0</v>
          </cell>
          <cell r="P5067">
            <v>521</v>
          </cell>
          <cell r="V5067" t="str">
            <v>Available</v>
          </cell>
        </row>
        <row r="5068">
          <cell r="A5068" t="str">
            <v>106100020006</v>
          </cell>
          <cell r="B5068" t="str">
            <v>Mahua BMC</v>
          </cell>
          <cell r="C5068" t="str">
            <v>Mahua BMC</v>
          </cell>
          <cell r="D5068" t="str">
            <v>GOMUKH CHEHRAKALA</v>
          </cell>
          <cell r="E5068">
            <v>10610002</v>
          </cell>
          <cell r="F5068" t="str">
            <v>0006</v>
          </cell>
          <cell r="G5068">
            <v>11</v>
          </cell>
          <cell r="H5068">
            <v>27.799999999999994</v>
          </cell>
          <cell r="I5068">
            <v>1393.3926523188002</v>
          </cell>
          <cell r="J5068">
            <v>0</v>
          </cell>
          <cell r="K5068">
            <v>0</v>
          </cell>
          <cell r="L5068">
            <v>0</v>
          </cell>
          <cell r="M5068">
            <v>0</v>
          </cell>
          <cell r="P5068">
            <v>1393</v>
          </cell>
          <cell r="V5068" t="str">
            <v>Available</v>
          </cell>
        </row>
        <row r="5069">
          <cell r="A5069" t="str">
            <v>106100020007</v>
          </cell>
          <cell r="B5069" t="str">
            <v>Mahua BMC</v>
          </cell>
          <cell r="C5069" t="str">
            <v>Mahua BMC</v>
          </cell>
          <cell r="D5069" t="str">
            <v>GOMUKH CHEHRAKALA</v>
          </cell>
          <cell r="E5069">
            <v>10610002</v>
          </cell>
          <cell r="F5069" t="str">
            <v>0007</v>
          </cell>
          <cell r="G5069">
            <v>14</v>
          </cell>
          <cell r="H5069">
            <v>64.8</v>
          </cell>
          <cell r="I5069">
            <v>3368.6862944290006</v>
          </cell>
          <cell r="J5069">
            <v>0</v>
          </cell>
          <cell r="K5069">
            <v>0</v>
          </cell>
          <cell r="L5069">
            <v>0</v>
          </cell>
          <cell r="M5069">
            <v>0</v>
          </cell>
          <cell r="P5069">
            <v>3369</v>
          </cell>
          <cell r="V5069" t="str">
            <v>Available</v>
          </cell>
        </row>
        <row r="5070">
          <cell r="A5070" t="str">
            <v>106100020009</v>
          </cell>
          <cell r="B5070" t="str">
            <v>Mahua BMC</v>
          </cell>
          <cell r="C5070" t="str">
            <v>Mahua BMC</v>
          </cell>
          <cell r="D5070" t="str">
            <v>GOMUKH CHEHRAKALA</v>
          </cell>
          <cell r="E5070">
            <v>10610002</v>
          </cell>
          <cell r="F5070" t="str">
            <v>0009</v>
          </cell>
          <cell r="G5070">
            <v>6</v>
          </cell>
          <cell r="H5070">
            <v>12.899999999999999</v>
          </cell>
          <cell r="I5070">
            <v>526.5756738</v>
          </cell>
          <cell r="J5070">
            <v>0</v>
          </cell>
          <cell r="K5070">
            <v>0</v>
          </cell>
          <cell r="L5070">
            <v>0</v>
          </cell>
          <cell r="M5070">
            <v>0</v>
          </cell>
          <cell r="P5070">
            <v>527</v>
          </cell>
          <cell r="V5070" t="str">
            <v>Available</v>
          </cell>
        </row>
        <row r="5071">
          <cell r="A5071" t="str">
            <v>106100020010</v>
          </cell>
          <cell r="B5071" t="str">
            <v>Mahua BMC</v>
          </cell>
          <cell r="C5071" t="str">
            <v>Mahua BMC</v>
          </cell>
          <cell r="D5071" t="str">
            <v>GOMUKH CHEHRAKALA</v>
          </cell>
          <cell r="E5071">
            <v>10610002</v>
          </cell>
          <cell r="F5071" t="str">
            <v>0010</v>
          </cell>
          <cell r="G5071">
            <v>12</v>
          </cell>
          <cell r="H5071">
            <v>27.3</v>
          </cell>
          <cell r="I5071">
            <v>1623.3443946896998</v>
          </cell>
          <cell r="J5071">
            <v>0</v>
          </cell>
          <cell r="K5071">
            <v>0</v>
          </cell>
          <cell r="L5071">
            <v>0</v>
          </cell>
          <cell r="M5071">
            <v>0</v>
          </cell>
          <cell r="P5071">
            <v>1623</v>
          </cell>
          <cell r="V5071" t="str">
            <v>Available</v>
          </cell>
        </row>
        <row r="5072">
          <cell r="A5072" t="str">
            <v>106100020011</v>
          </cell>
          <cell r="B5072" t="str">
            <v>Mahua BMC</v>
          </cell>
          <cell r="C5072" t="str">
            <v>Mahua BMC</v>
          </cell>
          <cell r="D5072" t="str">
            <v>GOMUKH CHEHRAKALA</v>
          </cell>
          <cell r="E5072">
            <v>10610002</v>
          </cell>
          <cell r="F5072" t="str">
            <v>0011</v>
          </cell>
          <cell r="G5072">
            <v>6</v>
          </cell>
          <cell r="H5072">
            <v>11.6</v>
          </cell>
          <cell r="I5072">
            <v>395.96560779600003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P5072">
            <v>396</v>
          </cell>
          <cell r="V5072" t="str">
            <v>Available</v>
          </cell>
        </row>
        <row r="5073">
          <cell r="A5073" t="str">
            <v>106100020012</v>
          </cell>
          <cell r="B5073" t="str">
            <v>Mahua BMC</v>
          </cell>
          <cell r="C5073" t="str">
            <v>Mahua BMC</v>
          </cell>
          <cell r="D5073" t="str">
            <v>GOMUKH CHEHRAKALA</v>
          </cell>
          <cell r="E5073">
            <v>10610002</v>
          </cell>
          <cell r="F5073" t="str">
            <v>0012</v>
          </cell>
          <cell r="G5073">
            <v>14</v>
          </cell>
          <cell r="H5073">
            <v>60.199999999999996</v>
          </cell>
          <cell r="I5073">
            <v>2615.6470390628001</v>
          </cell>
          <cell r="J5073">
            <v>0</v>
          </cell>
          <cell r="K5073">
            <v>0</v>
          </cell>
          <cell r="L5073">
            <v>0</v>
          </cell>
          <cell r="M5073">
            <v>0</v>
          </cell>
          <cell r="P5073">
            <v>2616</v>
          </cell>
          <cell r="V5073" t="str">
            <v>Available</v>
          </cell>
        </row>
        <row r="5074">
          <cell r="A5074" t="str">
            <v>106100020013</v>
          </cell>
          <cell r="B5074" t="str">
            <v>Mahua BMC</v>
          </cell>
          <cell r="C5074" t="str">
            <v>Mahua BMC</v>
          </cell>
          <cell r="D5074" t="str">
            <v>GOMUKH CHEHRAKALA</v>
          </cell>
          <cell r="E5074">
            <v>10610002</v>
          </cell>
          <cell r="F5074" t="str">
            <v>0013</v>
          </cell>
          <cell r="G5074">
            <v>13</v>
          </cell>
          <cell r="H5074">
            <v>38.9</v>
          </cell>
          <cell r="I5074">
            <v>1958.9158800480002</v>
          </cell>
          <cell r="J5074">
            <v>0</v>
          </cell>
          <cell r="K5074">
            <v>0</v>
          </cell>
          <cell r="L5074">
            <v>0</v>
          </cell>
          <cell r="M5074">
            <v>0</v>
          </cell>
          <cell r="P5074">
            <v>1959</v>
          </cell>
          <cell r="V5074" t="str">
            <v>Available</v>
          </cell>
        </row>
        <row r="5075">
          <cell r="A5075" t="str">
            <v>106100020014</v>
          </cell>
          <cell r="B5075" t="str">
            <v>Mahua BMC</v>
          </cell>
          <cell r="C5075" t="str">
            <v>Mahua BMC</v>
          </cell>
          <cell r="D5075" t="str">
            <v>GOMUKH CHEHRAKALA</v>
          </cell>
          <cell r="E5075">
            <v>10610002</v>
          </cell>
          <cell r="F5075" t="str">
            <v>0014</v>
          </cell>
          <cell r="G5075">
            <v>13</v>
          </cell>
          <cell r="H5075">
            <v>59.7</v>
          </cell>
          <cell r="I5075">
            <v>2283.8546778300001</v>
          </cell>
          <cell r="J5075">
            <v>0</v>
          </cell>
          <cell r="K5075">
            <v>0</v>
          </cell>
          <cell r="L5075">
            <v>0</v>
          </cell>
          <cell r="M5075">
            <v>0</v>
          </cell>
          <cell r="P5075">
            <v>2284</v>
          </cell>
          <cell r="V5075" t="str">
            <v>Available</v>
          </cell>
        </row>
        <row r="5076">
          <cell r="A5076" t="str">
            <v>106100020015</v>
          </cell>
          <cell r="B5076" t="str">
            <v>Mahua BMC</v>
          </cell>
          <cell r="C5076" t="str">
            <v>Mahua BMC</v>
          </cell>
          <cell r="D5076" t="str">
            <v>GOMUKH CHEHRAKALA</v>
          </cell>
          <cell r="E5076">
            <v>10610002</v>
          </cell>
          <cell r="F5076" t="str">
            <v>0015</v>
          </cell>
          <cell r="G5076">
            <v>5</v>
          </cell>
          <cell r="H5076">
            <v>9</v>
          </cell>
          <cell r="I5076">
            <v>325.13027342400005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P5076">
            <v>325</v>
          </cell>
          <cell r="V5076" t="str">
            <v>Available</v>
          </cell>
        </row>
        <row r="5077">
          <cell r="A5077" t="str">
            <v>106100030002</v>
          </cell>
          <cell r="B5077" t="str">
            <v>Mahua BMC</v>
          </cell>
          <cell r="C5077" t="str">
            <v>Mahua BMC</v>
          </cell>
          <cell r="D5077" t="str">
            <v>GOMUKH KHAJECHAND</v>
          </cell>
          <cell r="E5077">
            <v>10610003</v>
          </cell>
          <cell r="F5077" t="str">
            <v>0002</v>
          </cell>
          <cell r="G5077">
            <v>14</v>
          </cell>
          <cell r="H5077">
            <v>423.9</v>
          </cell>
          <cell r="I5077">
            <v>16583.274781920001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P5077">
            <v>16583</v>
          </cell>
          <cell r="V5077" t="str">
            <v>Available</v>
          </cell>
        </row>
        <row r="5078">
          <cell r="A5078" t="str">
            <v>106100030005</v>
          </cell>
          <cell r="B5078" t="str">
            <v>Mahua BMC</v>
          </cell>
          <cell r="C5078" t="str">
            <v>Mahua BMC</v>
          </cell>
          <cell r="D5078" t="str">
            <v>GOMUKH KHAJECHAND</v>
          </cell>
          <cell r="E5078">
            <v>10610003</v>
          </cell>
          <cell r="F5078" t="str">
            <v>0005</v>
          </cell>
          <cell r="G5078">
            <v>13</v>
          </cell>
          <cell r="H5078">
            <v>59.000000000000007</v>
          </cell>
          <cell r="I5078">
            <v>2605.6568788430004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P5078">
            <v>2606</v>
          </cell>
          <cell r="V5078" t="str">
            <v>Available</v>
          </cell>
        </row>
        <row r="5079">
          <cell r="A5079" t="str">
            <v>106100030016</v>
          </cell>
          <cell r="B5079" t="str">
            <v>Mahua BMC</v>
          </cell>
          <cell r="C5079" t="str">
            <v>Mahua BMC</v>
          </cell>
          <cell r="D5079" t="str">
            <v>GOMUKH KHAJECHAND</v>
          </cell>
          <cell r="E5079">
            <v>10610003</v>
          </cell>
          <cell r="F5079" t="str">
            <v>0016</v>
          </cell>
          <cell r="G5079">
            <v>6</v>
          </cell>
          <cell r="H5079">
            <v>12.2</v>
          </cell>
          <cell r="I5079">
            <v>424.11681714600002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P5079">
            <v>424</v>
          </cell>
          <cell r="V5079" t="str">
            <v>Available</v>
          </cell>
        </row>
        <row r="5080">
          <cell r="A5080" t="str">
            <v>106100040001</v>
          </cell>
          <cell r="B5080" t="str">
            <v>Mahua BMC</v>
          </cell>
          <cell r="C5080" t="str">
            <v>Mahua BMC</v>
          </cell>
          <cell r="D5080" t="str">
            <v>GOMUKH SALEMPUR</v>
          </cell>
          <cell r="E5080">
            <v>10610004</v>
          </cell>
          <cell r="F5080" t="str">
            <v>0001</v>
          </cell>
          <cell r="G5080">
            <v>14</v>
          </cell>
          <cell r="H5080">
            <v>6.5000000000000018</v>
          </cell>
          <cell r="I5080">
            <v>236.46089689200005</v>
          </cell>
          <cell r="J5080">
            <v>0</v>
          </cell>
          <cell r="K5080">
            <v>236.46089689200005</v>
          </cell>
          <cell r="L5080">
            <v>0</v>
          </cell>
          <cell r="M5080">
            <v>0</v>
          </cell>
          <cell r="P5080">
            <v>0</v>
          </cell>
          <cell r="V5080" t="str">
            <v>Not Available</v>
          </cell>
        </row>
        <row r="5081">
          <cell r="A5081" t="str">
            <v>106100040002</v>
          </cell>
          <cell r="B5081" t="str">
            <v>Mahua BMC</v>
          </cell>
          <cell r="C5081" t="str">
            <v>Mahua BMC</v>
          </cell>
          <cell r="D5081" t="str">
            <v>GOMUKH SALEMPUR</v>
          </cell>
          <cell r="E5081">
            <v>10610004</v>
          </cell>
          <cell r="F5081" t="str">
            <v>0002</v>
          </cell>
          <cell r="G5081">
            <v>14</v>
          </cell>
          <cell r="H5081">
            <v>50.800000000000004</v>
          </cell>
          <cell r="I5081">
            <v>1807.3014159419999</v>
          </cell>
          <cell r="J5081">
            <v>0</v>
          </cell>
          <cell r="K5081">
            <v>0</v>
          </cell>
          <cell r="L5081">
            <v>0</v>
          </cell>
          <cell r="M5081">
            <v>0</v>
          </cell>
          <cell r="P5081">
            <v>1807</v>
          </cell>
          <cell r="V5081" t="str">
            <v>Available</v>
          </cell>
        </row>
        <row r="5082">
          <cell r="A5082" t="str">
            <v>106100040003</v>
          </cell>
          <cell r="B5082" t="str">
            <v>Mahua BMC</v>
          </cell>
          <cell r="C5082" t="str">
            <v>Mahua BMC</v>
          </cell>
          <cell r="D5082" t="str">
            <v>GOMUKH SALEMPUR</v>
          </cell>
          <cell r="E5082">
            <v>10610004</v>
          </cell>
          <cell r="F5082" t="str">
            <v>0003</v>
          </cell>
          <cell r="G5082">
            <v>13</v>
          </cell>
          <cell r="H5082">
            <v>41.1</v>
          </cell>
          <cell r="I5082">
            <v>1373.2345352000002</v>
          </cell>
          <cell r="J5082">
            <v>0</v>
          </cell>
          <cell r="K5082">
            <v>0</v>
          </cell>
          <cell r="L5082">
            <v>0</v>
          </cell>
          <cell r="M5082">
            <v>0</v>
          </cell>
          <cell r="P5082">
            <v>1373</v>
          </cell>
          <cell r="V5082" t="str">
            <v>Available</v>
          </cell>
        </row>
        <row r="5083">
          <cell r="A5083" t="str">
            <v>106100040004</v>
          </cell>
          <cell r="B5083" t="str">
            <v>Mahua BMC</v>
          </cell>
          <cell r="C5083" t="str">
            <v>Mahua BMC</v>
          </cell>
          <cell r="D5083" t="str">
            <v>GOMUKH SALEMPUR</v>
          </cell>
          <cell r="E5083">
            <v>10610004</v>
          </cell>
          <cell r="F5083" t="str">
            <v>0004</v>
          </cell>
          <cell r="G5083">
            <v>14</v>
          </cell>
          <cell r="H5083">
            <v>52.900000000000006</v>
          </cell>
          <cell r="I5083">
            <v>2940.9367463661001</v>
          </cell>
          <cell r="J5083">
            <v>0</v>
          </cell>
          <cell r="K5083">
            <v>0</v>
          </cell>
          <cell r="L5083">
            <v>0</v>
          </cell>
          <cell r="M5083">
            <v>0</v>
          </cell>
          <cell r="P5083">
            <v>2941</v>
          </cell>
          <cell r="V5083" t="str">
            <v>Available</v>
          </cell>
        </row>
        <row r="5084">
          <cell r="A5084" t="str">
            <v>106100050002</v>
          </cell>
          <cell r="B5084" t="str">
            <v>Mahua BMC</v>
          </cell>
          <cell r="C5084" t="str">
            <v>Mahua BMC</v>
          </cell>
          <cell r="D5084" t="str">
            <v>Gomukh Paharpur</v>
          </cell>
          <cell r="E5084">
            <v>10610005</v>
          </cell>
          <cell r="F5084" t="str">
            <v>0002</v>
          </cell>
          <cell r="G5084">
            <v>14</v>
          </cell>
          <cell r="H5084">
            <v>287.59999999999991</v>
          </cell>
          <cell r="I5084">
            <v>13265.272005314999</v>
          </cell>
          <cell r="J5084">
            <v>0</v>
          </cell>
          <cell r="K5084">
            <v>0</v>
          </cell>
          <cell r="L5084">
            <v>774</v>
          </cell>
          <cell r="M5084">
            <v>0</v>
          </cell>
          <cell r="P5084">
            <v>12491</v>
          </cell>
          <cell r="V5084" t="str">
            <v>Available</v>
          </cell>
        </row>
        <row r="5085">
          <cell r="A5085" t="str">
            <v>106100050004</v>
          </cell>
          <cell r="B5085" t="str">
            <v>Mahua BMC</v>
          </cell>
          <cell r="C5085" t="str">
            <v>Mahua BMC</v>
          </cell>
          <cell r="D5085" t="str">
            <v>Gomukh Paharpur</v>
          </cell>
          <cell r="E5085">
            <v>10610005</v>
          </cell>
          <cell r="F5085" t="str">
            <v>0004</v>
          </cell>
          <cell r="G5085">
            <v>4</v>
          </cell>
          <cell r="H5085">
            <v>4</v>
          </cell>
          <cell r="I5085">
            <v>226.21675155790001</v>
          </cell>
          <cell r="J5085">
            <v>0</v>
          </cell>
          <cell r="K5085">
            <v>0</v>
          </cell>
          <cell r="L5085">
            <v>0</v>
          </cell>
          <cell r="M5085">
            <v>0</v>
          </cell>
          <cell r="P5085">
            <v>226</v>
          </cell>
          <cell r="V5085" t="str">
            <v>Available</v>
          </cell>
        </row>
        <row r="5086">
          <cell r="A5086" t="str">
            <v>106100050005</v>
          </cell>
          <cell r="B5086" t="str">
            <v>Mahua BMC</v>
          </cell>
          <cell r="C5086" t="str">
            <v>Mahua BMC</v>
          </cell>
          <cell r="D5086" t="str">
            <v>Gomukh Paharpur</v>
          </cell>
          <cell r="E5086">
            <v>10610005</v>
          </cell>
          <cell r="F5086" t="str">
            <v>0005</v>
          </cell>
          <cell r="G5086">
            <v>13</v>
          </cell>
          <cell r="H5086">
            <v>43.7</v>
          </cell>
          <cell r="I5086">
            <v>1552.2484192380005</v>
          </cell>
          <cell r="J5086">
            <v>0</v>
          </cell>
          <cell r="K5086">
            <v>0</v>
          </cell>
          <cell r="L5086">
            <v>0</v>
          </cell>
          <cell r="M5086">
            <v>0</v>
          </cell>
          <cell r="P5086">
            <v>1552</v>
          </cell>
          <cell r="V5086" t="str">
            <v>Available</v>
          </cell>
        </row>
        <row r="5087">
          <cell r="A5087" t="str">
            <v>106100050006</v>
          </cell>
          <cell r="B5087" t="str">
            <v>Mahua BMC</v>
          </cell>
          <cell r="C5087" t="str">
            <v>Mahua BMC</v>
          </cell>
          <cell r="D5087" t="str">
            <v>Gomukh Paharpur</v>
          </cell>
          <cell r="E5087">
            <v>10610005</v>
          </cell>
          <cell r="F5087" t="str">
            <v>0006</v>
          </cell>
          <cell r="G5087">
            <v>14</v>
          </cell>
          <cell r="H5087">
            <v>59.1</v>
          </cell>
          <cell r="I5087">
            <v>2231.6966852400005</v>
          </cell>
          <cell r="J5087">
            <v>0</v>
          </cell>
          <cell r="K5087">
            <v>0</v>
          </cell>
          <cell r="L5087">
            <v>0</v>
          </cell>
          <cell r="M5087">
            <v>0</v>
          </cell>
          <cell r="P5087">
            <v>2232</v>
          </cell>
          <cell r="V5087" t="str">
            <v>Available</v>
          </cell>
        </row>
        <row r="5088">
          <cell r="A5088" t="str">
            <v>106100060001</v>
          </cell>
          <cell r="B5088" t="str">
            <v>Mahua BMC</v>
          </cell>
          <cell r="C5088" t="str">
            <v>Mahua BMC</v>
          </cell>
          <cell r="D5088" t="str">
            <v>GOMUKH PREMRAJ</v>
          </cell>
          <cell r="E5088">
            <v>10610006</v>
          </cell>
          <cell r="F5088" t="str">
            <v>0001</v>
          </cell>
          <cell r="G5088">
            <v>4</v>
          </cell>
          <cell r="H5088">
            <v>2.4</v>
          </cell>
          <cell r="I5088">
            <v>103.99220766000002</v>
          </cell>
          <cell r="J5088">
            <v>0</v>
          </cell>
          <cell r="K5088">
            <v>103.99220766000002</v>
          </cell>
          <cell r="L5088">
            <v>0</v>
          </cell>
          <cell r="M5088">
            <v>0</v>
          </cell>
          <cell r="P5088">
            <v>0</v>
          </cell>
          <cell r="V5088" t="str">
            <v>Not Available</v>
          </cell>
        </row>
        <row r="5089">
          <cell r="A5089" t="str">
            <v>106100060002</v>
          </cell>
          <cell r="B5089" t="str">
            <v>Mahua BMC</v>
          </cell>
          <cell r="C5089" t="str">
            <v>Mahua BMC</v>
          </cell>
          <cell r="D5089" t="str">
            <v>GOMUKH PREMRAJ</v>
          </cell>
          <cell r="E5089">
            <v>10610006</v>
          </cell>
          <cell r="F5089" t="str">
            <v>0002</v>
          </cell>
          <cell r="G5089">
            <v>13</v>
          </cell>
          <cell r="H5089">
            <v>162.9</v>
          </cell>
          <cell r="I5089">
            <v>6651.3582251431999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P5089">
            <v>6651</v>
          </cell>
          <cell r="V5089" t="str">
            <v>Available</v>
          </cell>
        </row>
        <row r="5090">
          <cell r="A5090" t="str">
            <v>106100060003</v>
          </cell>
          <cell r="B5090" t="str">
            <v>Mahua BMC</v>
          </cell>
          <cell r="C5090" t="str">
            <v>Mahua BMC</v>
          </cell>
          <cell r="D5090" t="str">
            <v>GOMUKH PREMRAJ</v>
          </cell>
          <cell r="E5090">
            <v>10610006</v>
          </cell>
          <cell r="F5090" t="str">
            <v>0003</v>
          </cell>
          <cell r="G5090">
            <v>5</v>
          </cell>
          <cell r="H5090">
            <v>7.1999999999999993</v>
          </cell>
          <cell r="I5090">
            <v>553.54742326600001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P5090">
            <v>554</v>
          </cell>
          <cell r="V5090" t="str">
            <v>Available</v>
          </cell>
        </row>
        <row r="5091">
          <cell r="A5091" t="str">
            <v>106100060005</v>
          </cell>
          <cell r="B5091" t="str">
            <v>Mahua BMC</v>
          </cell>
          <cell r="C5091" t="str">
            <v>Mahua BMC</v>
          </cell>
          <cell r="D5091" t="str">
            <v>GOMUKH PREMRAJ</v>
          </cell>
          <cell r="E5091">
            <v>10610006</v>
          </cell>
          <cell r="F5091" t="str">
            <v>0005</v>
          </cell>
          <cell r="G5091">
            <v>5</v>
          </cell>
          <cell r="H5091">
            <v>25.9</v>
          </cell>
          <cell r="I5091">
            <v>911.96079083999996</v>
          </cell>
          <cell r="J5091">
            <v>0</v>
          </cell>
          <cell r="K5091">
            <v>0</v>
          </cell>
          <cell r="L5091">
            <v>0</v>
          </cell>
          <cell r="M5091">
            <v>0</v>
          </cell>
          <cell r="P5091">
            <v>912</v>
          </cell>
          <cell r="V5091" t="str">
            <v>Available</v>
          </cell>
        </row>
        <row r="5092">
          <cell r="A5092" t="str">
            <v>106100060006</v>
          </cell>
          <cell r="B5092" t="str">
            <v>Mahua BMC</v>
          </cell>
          <cell r="C5092" t="str">
            <v>Mahua BMC</v>
          </cell>
          <cell r="D5092" t="str">
            <v>GOMUKH PREMRAJ</v>
          </cell>
          <cell r="E5092">
            <v>10610006</v>
          </cell>
          <cell r="F5092" t="str">
            <v>0006</v>
          </cell>
          <cell r="G5092">
            <v>6</v>
          </cell>
          <cell r="H5092">
            <v>14.6</v>
          </cell>
          <cell r="I5092">
            <v>622.15085580000004</v>
          </cell>
          <cell r="J5092">
            <v>0</v>
          </cell>
          <cell r="K5092">
            <v>0</v>
          </cell>
          <cell r="L5092">
            <v>0</v>
          </cell>
          <cell r="M5092">
            <v>0</v>
          </cell>
          <cell r="P5092">
            <v>622</v>
          </cell>
          <cell r="V5092" t="str">
            <v>Available</v>
          </cell>
        </row>
        <row r="5093">
          <cell r="A5093" t="str">
            <v>106100060008</v>
          </cell>
          <cell r="B5093" t="str">
            <v>Mahua BMC</v>
          </cell>
          <cell r="C5093" t="str">
            <v>Mahua BMC</v>
          </cell>
          <cell r="D5093" t="str">
            <v>GOMUKH PREMRAJ</v>
          </cell>
          <cell r="E5093">
            <v>10610006</v>
          </cell>
          <cell r="F5093" t="str">
            <v>0008</v>
          </cell>
          <cell r="G5093">
            <v>5</v>
          </cell>
          <cell r="H5093">
            <v>12.8</v>
          </cell>
          <cell r="I5093">
            <v>1082.8444623119997</v>
          </cell>
          <cell r="J5093">
            <v>0</v>
          </cell>
          <cell r="K5093">
            <v>0</v>
          </cell>
          <cell r="L5093">
            <v>0</v>
          </cell>
          <cell r="M5093">
            <v>0</v>
          </cell>
          <cell r="P5093">
            <v>1083</v>
          </cell>
          <cell r="V5093" t="str">
            <v>Available</v>
          </cell>
        </row>
        <row r="5094">
          <cell r="A5094" t="str">
            <v>106100060009</v>
          </cell>
          <cell r="B5094" t="str">
            <v>Mahua BMC</v>
          </cell>
          <cell r="C5094" t="str">
            <v>Mahua BMC</v>
          </cell>
          <cell r="D5094" t="str">
            <v>GOMUKH PREMRAJ</v>
          </cell>
          <cell r="E5094">
            <v>10610006</v>
          </cell>
          <cell r="F5094" t="str">
            <v>0009</v>
          </cell>
          <cell r="G5094">
            <v>10</v>
          </cell>
          <cell r="H5094">
            <v>17.399999999999999</v>
          </cell>
          <cell r="I5094">
            <v>594.59812830000021</v>
          </cell>
          <cell r="J5094">
            <v>0</v>
          </cell>
          <cell r="K5094">
            <v>0</v>
          </cell>
          <cell r="L5094">
            <v>0</v>
          </cell>
          <cell r="M5094">
            <v>0</v>
          </cell>
          <cell r="P5094">
            <v>595</v>
          </cell>
          <cell r="V5094" t="str">
            <v>Available</v>
          </cell>
        </row>
        <row r="5095">
          <cell r="A5095" t="str">
            <v>106100060010</v>
          </cell>
          <cell r="B5095" t="str">
            <v>Mahua BMC</v>
          </cell>
          <cell r="C5095" t="str">
            <v>Mahua BMC</v>
          </cell>
          <cell r="D5095" t="str">
            <v>GOMUKH PREMRAJ</v>
          </cell>
          <cell r="E5095">
            <v>10610006</v>
          </cell>
          <cell r="F5095" t="str">
            <v>0010</v>
          </cell>
          <cell r="G5095">
            <v>7</v>
          </cell>
          <cell r="H5095">
            <v>26.9</v>
          </cell>
          <cell r="I5095">
            <v>1406.2494867104001</v>
          </cell>
          <cell r="J5095">
            <v>0</v>
          </cell>
          <cell r="K5095">
            <v>0</v>
          </cell>
          <cell r="L5095">
            <v>0</v>
          </cell>
          <cell r="M5095">
            <v>0</v>
          </cell>
          <cell r="P5095">
            <v>1406</v>
          </cell>
          <cell r="V5095" t="str">
            <v>Available</v>
          </cell>
        </row>
        <row r="5096">
          <cell r="A5096" t="str">
            <v>106100060011</v>
          </cell>
          <cell r="B5096" t="str">
            <v>Mahua BMC</v>
          </cell>
          <cell r="C5096" t="str">
            <v>Mahua BMC</v>
          </cell>
          <cell r="D5096" t="str">
            <v>GOMUKH PREMRAJ</v>
          </cell>
          <cell r="E5096">
            <v>10610006</v>
          </cell>
          <cell r="F5096" t="str">
            <v>0011</v>
          </cell>
          <cell r="G5096">
            <v>7</v>
          </cell>
          <cell r="H5096">
            <v>7.4</v>
          </cell>
          <cell r="I5096">
            <v>339.47426239640004</v>
          </cell>
          <cell r="J5096">
            <v>0</v>
          </cell>
          <cell r="K5096">
            <v>0</v>
          </cell>
          <cell r="L5096">
            <v>0</v>
          </cell>
          <cell r="M5096">
            <v>0</v>
          </cell>
          <cell r="P5096">
            <v>339</v>
          </cell>
          <cell r="V5096" t="str">
            <v>Available</v>
          </cell>
        </row>
        <row r="5097">
          <cell r="A5097" t="str">
            <v>106100060012</v>
          </cell>
          <cell r="B5097" t="str">
            <v>Mahua BMC</v>
          </cell>
          <cell r="C5097" t="str">
            <v>Mahua BMC</v>
          </cell>
          <cell r="D5097" t="str">
            <v>GOMUKH PREMRAJ</v>
          </cell>
          <cell r="E5097">
            <v>10610006</v>
          </cell>
          <cell r="F5097" t="str">
            <v>0012</v>
          </cell>
          <cell r="G5097">
            <v>11</v>
          </cell>
          <cell r="H5097">
            <v>35.400000000000006</v>
          </cell>
          <cell r="I5097">
            <v>1760.8179605927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P5097">
            <v>1761</v>
          </cell>
          <cell r="V5097" t="str">
            <v>Available</v>
          </cell>
        </row>
        <row r="5098">
          <cell r="A5098" t="str">
            <v>106100060014</v>
          </cell>
          <cell r="B5098" t="str">
            <v>Mahua BMC</v>
          </cell>
          <cell r="C5098" t="str">
            <v>Mahua BMC</v>
          </cell>
          <cell r="D5098" t="str">
            <v>GOMUKH PREMRAJ</v>
          </cell>
          <cell r="E5098">
            <v>10610006</v>
          </cell>
          <cell r="F5098" t="str">
            <v>0014</v>
          </cell>
          <cell r="G5098">
            <v>11</v>
          </cell>
          <cell r="H5098">
            <v>72.199999999999989</v>
          </cell>
          <cell r="I5098">
            <v>3707.097266891999</v>
          </cell>
          <cell r="J5098">
            <v>0</v>
          </cell>
          <cell r="K5098">
            <v>0</v>
          </cell>
          <cell r="L5098">
            <v>0</v>
          </cell>
          <cell r="M5098">
            <v>0</v>
          </cell>
          <cell r="P5098">
            <v>3707</v>
          </cell>
          <cell r="V5098" t="str">
            <v>Available</v>
          </cell>
        </row>
        <row r="5099">
          <cell r="A5099" t="str">
            <v>106100060018</v>
          </cell>
          <cell r="B5099" t="str">
            <v>Mahua BMC</v>
          </cell>
          <cell r="C5099" t="str">
            <v>Mahua BMC</v>
          </cell>
          <cell r="D5099" t="str">
            <v>GOMUKH PREMRAJ</v>
          </cell>
          <cell r="E5099">
            <v>10610006</v>
          </cell>
          <cell r="F5099" t="str">
            <v>0018</v>
          </cell>
          <cell r="G5099">
            <v>7</v>
          </cell>
          <cell r="H5099">
            <v>16.600000000000001</v>
          </cell>
          <cell r="I5099">
            <v>1146.4555387675</v>
          </cell>
          <cell r="J5099">
            <v>0</v>
          </cell>
          <cell r="K5099">
            <v>0</v>
          </cell>
          <cell r="L5099">
            <v>0</v>
          </cell>
          <cell r="M5099">
            <v>0</v>
          </cell>
          <cell r="P5099">
            <v>1146</v>
          </cell>
          <cell r="V5099" t="str">
            <v>Available</v>
          </cell>
        </row>
        <row r="5100">
          <cell r="A5100" t="str">
            <v>106100070001</v>
          </cell>
          <cell r="B5100" t="str">
            <v>Mahua BMC</v>
          </cell>
          <cell r="C5100" t="str">
            <v>Mahua BMC</v>
          </cell>
          <cell r="D5100" t="str">
            <v>GOMUKH MAGURAHI</v>
          </cell>
          <cell r="E5100">
            <v>10610007</v>
          </cell>
          <cell r="F5100" t="str">
            <v>0001</v>
          </cell>
          <cell r="G5100">
            <v>13</v>
          </cell>
          <cell r="H5100">
            <v>5.6</v>
          </cell>
          <cell r="I5100">
            <v>290.70650683644004</v>
          </cell>
          <cell r="J5100">
            <v>0</v>
          </cell>
          <cell r="K5100">
            <v>290.70650683644004</v>
          </cell>
          <cell r="L5100">
            <v>0</v>
          </cell>
          <cell r="M5100">
            <v>0</v>
          </cell>
          <cell r="P5100">
            <v>0</v>
          </cell>
          <cell r="V5100" t="str">
            <v>Not Available</v>
          </cell>
        </row>
        <row r="5101">
          <cell r="A5101" t="str">
            <v>106100070002</v>
          </cell>
          <cell r="B5101" t="str">
            <v>Mahua BMC</v>
          </cell>
          <cell r="C5101" t="str">
            <v>Mahua BMC</v>
          </cell>
          <cell r="D5101" t="str">
            <v>GOMUKH MAGURAHI</v>
          </cell>
          <cell r="E5101">
            <v>10610007</v>
          </cell>
          <cell r="F5101" t="str">
            <v>0002</v>
          </cell>
          <cell r="G5101">
            <v>13</v>
          </cell>
          <cell r="H5101">
            <v>26</v>
          </cell>
          <cell r="I5101">
            <v>1324.8754003670999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P5101">
            <v>1325</v>
          </cell>
          <cell r="V5101" t="str">
            <v>Available</v>
          </cell>
        </row>
        <row r="5102">
          <cell r="A5102" t="str">
            <v>106100070005</v>
          </cell>
          <cell r="B5102" t="str">
            <v>Mahua BMC</v>
          </cell>
          <cell r="C5102" t="str">
            <v>Mahua BMC</v>
          </cell>
          <cell r="D5102" t="str">
            <v>GOMUKH MAGURAHI</v>
          </cell>
          <cell r="E5102">
            <v>10610007</v>
          </cell>
          <cell r="F5102" t="str">
            <v>0005</v>
          </cell>
          <cell r="G5102">
            <v>5</v>
          </cell>
          <cell r="H5102">
            <v>8.1999999999999993</v>
          </cell>
          <cell r="I5102">
            <v>519.62408336950011</v>
          </cell>
          <cell r="J5102">
            <v>0</v>
          </cell>
          <cell r="K5102">
            <v>0</v>
          </cell>
          <cell r="L5102">
            <v>0</v>
          </cell>
          <cell r="M5102">
            <v>0</v>
          </cell>
          <cell r="P5102">
            <v>520</v>
          </cell>
          <cell r="V5102" t="str">
            <v>Available</v>
          </cell>
        </row>
        <row r="5103">
          <cell r="A5103" t="str">
            <v>106100070007</v>
          </cell>
          <cell r="B5103" t="str">
            <v>Mahua BMC</v>
          </cell>
          <cell r="C5103" t="str">
            <v>Mahua BMC</v>
          </cell>
          <cell r="D5103" t="str">
            <v>GOMUKH MAGURAHI</v>
          </cell>
          <cell r="E5103">
            <v>10610007</v>
          </cell>
          <cell r="F5103" t="str">
            <v>0007</v>
          </cell>
          <cell r="G5103">
            <v>14</v>
          </cell>
          <cell r="H5103">
            <v>24.699999999999996</v>
          </cell>
          <cell r="I5103">
            <v>858.8390031539999</v>
          </cell>
          <cell r="J5103">
            <v>0</v>
          </cell>
          <cell r="K5103">
            <v>0</v>
          </cell>
          <cell r="L5103">
            <v>0</v>
          </cell>
          <cell r="M5103">
            <v>0</v>
          </cell>
          <cell r="P5103">
            <v>859</v>
          </cell>
          <cell r="V5103" t="str">
            <v>Available</v>
          </cell>
        </row>
        <row r="5104">
          <cell r="A5104" t="str">
            <v>106100070008</v>
          </cell>
          <cell r="B5104" t="str">
            <v>Mahua BMC</v>
          </cell>
          <cell r="C5104" t="str">
            <v>Mahua BMC</v>
          </cell>
          <cell r="D5104" t="str">
            <v>GOMUKH MAGURAHI</v>
          </cell>
          <cell r="E5104">
            <v>10610007</v>
          </cell>
          <cell r="F5104" t="str">
            <v>0008</v>
          </cell>
          <cell r="G5104">
            <v>7</v>
          </cell>
          <cell r="H5104">
            <v>9.6</v>
          </cell>
          <cell r="I5104">
            <v>360.30076750800004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P5104">
            <v>360</v>
          </cell>
          <cell r="V5104" t="str">
            <v>Available</v>
          </cell>
        </row>
        <row r="5105">
          <cell r="A5105" t="str">
            <v>106100070010</v>
          </cell>
          <cell r="B5105" t="str">
            <v>Mahua BMC</v>
          </cell>
          <cell r="C5105" t="str">
            <v>Mahua BMC</v>
          </cell>
          <cell r="D5105" t="str">
            <v>GOMUKH MAGURAHI</v>
          </cell>
          <cell r="E5105">
            <v>10610007</v>
          </cell>
          <cell r="F5105" t="str">
            <v>0010</v>
          </cell>
          <cell r="G5105">
            <v>7</v>
          </cell>
          <cell r="H5105">
            <v>31.400000000000006</v>
          </cell>
          <cell r="I5105">
            <v>2041.1222281929004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P5105">
            <v>2041</v>
          </cell>
          <cell r="V5105" t="str">
            <v>Available</v>
          </cell>
        </row>
        <row r="5106">
          <cell r="A5106" t="str">
            <v>106100070012</v>
          </cell>
          <cell r="B5106" t="str">
            <v>Mahua BMC</v>
          </cell>
          <cell r="C5106" t="str">
            <v>Mahua BMC</v>
          </cell>
          <cell r="D5106" t="str">
            <v>GOMUKH MAGURAHI</v>
          </cell>
          <cell r="E5106">
            <v>10610007</v>
          </cell>
          <cell r="F5106" t="str">
            <v>0012</v>
          </cell>
          <cell r="G5106">
            <v>7</v>
          </cell>
          <cell r="H5106">
            <v>18.999999999999996</v>
          </cell>
          <cell r="I5106">
            <v>713.45396232000007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P5106">
            <v>713</v>
          </cell>
          <cell r="V5106" t="str">
            <v>Available</v>
          </cell>
        </row>
        <row r="5107">
          <cell r="A5107" t="str">
            <v>106100070013</v>
          </cell>
          <cell r="B5107" t="str">
            <v>Mahua BMC</v>
          </cell>
          <cell r="C5107" t="str">
            <v>Mahua BMC</v>
          </cell>
          <cell r="D5107" t="str">
            <v>GOMUKH MAGURAHI</v>
          </cell>
          <cell r="E5107">
            <v>10610007</v>
          </cell>
          <cell r="F5107" t="str">
            <v>0013</v>
          </cell>
          <cell r="G5107">
            <v>12</v>
          </cell>
          <cell r="H5107">
            <v>33.200000000000003</v>
          </cell>
          <cell r="I5107">
            <v>2166.4324226340996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P5107">
            <v>2166</v>
          </cell>
          <cell r="V5107" t="str">
            <v>Available</v>
          </cell>
        </row>
        <row r="5108">
          <cell r="A5108" t="str">
            <v>106100070014</v>
          </cell>
          <cell r="B5108" t="str">
            <v>Mahua BMC</v>
          </cell>
          <cell r="C5108" t="str">
            <v>Mahua BMC</v>
          </cell>
          <cell r="D5108" t="str">
            <v>GOMUKH MAGURAHI</v>
          </cell>
          <cell r="E5108">
            <v>10610007</v>
          </cell>
          <cell r="F5108" t="str">
            <v>0014</v>
          </cell>
          <cell r="G5108">
            <v>10</v>
          </cell>
          <cell r="H5108">
            <v>23.200000000000003</v>
          </cell>
          <cell r="I5108">
            <v>1621.4879016074001</v>
          </cell>
          <cell r="J5108">
            <v>0</v>
          </cell>
          <cell r="K5108">
            <v>0</v>
          </cell>
          <cell r="L5108">
            <v>0</v>
          </cell>
          <cell r="M5108">
            <v>0</v>
          </cell>
          <cell r="P5108">
            <v>1621</v>
          </cell>
          <cell r="V5108" t="str">
            <v>Available</v>
          </cell>
        </row>
        <row r="5109">
          <cell r="A5109" t="str">
            <v>106100070017</v>
          </cell>
          <cell r="B5109" t="str">
            <v>Mahua BMC</v>
          </cell>
          <cell r="C5109" t="str">
            <v>Mahua BMC</v>
          </cell>
          <cell r="D5109" t="str">
            <v>GOMUKH MAGURAHI</v>
          </cell>
          <cell r="E5109">
            <v>10610007</v>
          </cell>
          <cell r="F5109" t="str">
            <v>0017</v>
          </cell>
          <cell r="G5109">
            <v>13</v>
          </cell>
          <cell r="H5109">
            <v>31.1</v>
          </cell>
          <cell r="I5109">
            <v>1322.5561351199999</v>
          </cell>
          <cell r="J5109">
            <v>0</v>
          </cell>
          <cell r="K5109">
            <v>0</v>
          </cell>
          <cell r="L5109">
            <v>0</v>
          </cell>
          <cell r="M5109">
            <v>0</v>
          </cell>
          <cell r="P5109">
            <v>1323</v>
          </cell>
          <cell r="V5109" t="str">
            <v>Available</v>
          </cell>
        </row>
        <row r="5110">
          <cell r="A5110" t="str">
            <v>106100070021</v>
          </cell>
          <cell r="B5110" t="str">
            <v>Mahua BMC</v>
          </cell>
          <cell r="C5110" t="str">
            <v>Mahua BMC</v>
          </cell>
          <cell r="D5110" t="str">
            <v>GOMUKH MAGURAHI</v>
          </cell>
          <cell r="E5110">
            <v>10610007</v>
          </cell>
          <cell r="F5110" t="str">
            <v>0021</v>
          </cell>
          <cell r="G5110">
            <v>11</v>
          </cell>
          <cell r="H5110">
            <v>15.4</v>
          </cell>
          <cell r="I5110">
            <v>890.99923373930017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P5110">
            <v>891</v>
          </cell>
          <cell r="V5110" t="str">
            <v>Available</v>
          </cell>
        </row>
        <row r="5111">
          <cell r="A5111" t="str">
            <v>106100070023</v>
          </cell>
          <cell r="B5111" t="str">
            <v>Mahua BMC</v>
          </cell>
          <cell r="C5111" t="str">
            <v>Mahua BMC</v>
          </cell>
          <cell r="D5111" t="str">
            <v>GOMUKH MAGURAHI</v>
          </cell>
          <cell r="E5111">
            <v>10610007</v>
          </cell>
          <cell r="F5111" t="str">
            <v>0023</v>
          </cell>
          <cell r="G5111">
            <v>7</v>
          </cell>
          <cell r="H5111">
            <v>13.5</v>
          </cell>
          <cell r="I5111">
            <v>839.02230741400001</v>
          </cell>
          <cell r="J5111">
            <v>0</v>
          </cell>
          <cell r="K5111">
            <v>0</v>
          </cell>
          <cell r="L5111">
            <v>0</v>
          </cell>
          <cell r="M5111">
            <v>0</v>
          </cell>
          <cell r="P5111">
            <v>839</v>
          </cell>
          <cell r="V5111" t="str">
            <v>Available</v>
          </cell>
        </row>
        <row r="5112">
          <cell r="A5112" t="str">
            <v>106100070068</v>
          </cell>
          <cell r="B5112" t="str">
            <v>Mahua BMC</v>
          </cell>
          <cell r="C5112" t="str">
            <v>Mahua BMC</v>
          </cell>
          <cell r="D5112" t="str">
            <v>GOMUKH MAGURAHI</v>
          </cell>
          <cell r="E5112">
            <v>10610007</v>
          </cell>
          <cell r="F5112" t="str">
            <v>0068</v>
          </cell>
          <cell r="G5112">
            <v>14</v>
          </cell>
          <cell r="H5112">
            <v>44.7</v>
          </cell>
          <cell r="I5112">
            <v>1630.8890411220002</v>
          </cell>
          <cell r="J5112">
            <v>0</v>
          </cell>
          <cell r="K5112">
            <v>0</v>
          </cell>
          <cell r="L5112">
            <v>0</v>
          </cell>
          <cell r="M5112">
            <v>0</v>
          </cell>
          <cell r="P5112">
            <v>1631</v>
          </cell>
          <cell r="V5112" t="str">
            <v>Available</v>
          </cell>
        </row>
        <row r="5113">
          <cell r="A5113" t="str">
            <v>106100080002</v>
          </cell>
          <cell r="B5113" t="str">
            <v>Mahua BMC</v>
          </cell>
          <cell r="C5113" t="str">
            <v>Mahua BMC</v>
          </cell>
          <cell r="D5113" t="str">
            <v>GOMUKH GANGATI</v>
          </cell>
          <cell r="E5113">
            <v>10610008</v>
          </cell>
          <cell r="F5113" t="str">
            <v>0002</v>
          </cell>
          <cell r="G5113">
            <v>14</v>
          </cell>
          <cell r="H5113">
            <v>504.9</v>
          </cell>
          <cell r="I5113">
            <v>21826.330989210008</v>
          </cell>
          <cell r="J5113">
            <v>0</v>
          </cell>
          <cell r="K5113">
            <v>0</v>
          </cell>
          <cell r="L5113">
            <v>1936</v>
          </cell>
          <cell r="M5113">
            <v>0</v>
          </cell>
          <cell r="P5113">
            <v>19890</v>
          </cell>
          <cell r="V5113" t="str">
            <v>Available</v>
          </cell>
        </row>
        <row r="5114">
          <cell r="A5114" t="str">
            <v>106100080003</v>
          </cell>
          <cell r="B5114" t="str">
            <v>Mahua BMC</v>
          </cell>
          <cell r="C5114" t="str">
            <v>Mahua BMC</v>
          </cell>
          <cell r="D5114" t="str">
            <v>GOMUKH GANGATI</v>
          </cell>
          <cell r="E5114">
            <v>10610008</v>
          </cell>
          <cell r="F5114" t="str">
            <v>0003</v>
          </cell>
          <cell r="G5114">
            <v>8</v>
          </cell>
          <cell r="H5114">
            <v>42.9</v>
          </cell>
          <cell r="I5114">
            <v>1955.3297431700005</v>
          </cell>
          <cell r="J5114">
            <v>0</v>
          </cell>
          <cell r="K5114">
            <v>0</v>
          </cell>
          <cell r="L5114">
            <v>0</v>
          </cell>
          <cell r="M5114">
            <v>0</v>
          </cell>
          <cell r="P5114">
            <v>1955</v>
          </cell>
          <cell r="V5114" t="str">
            <v>Available</v>
          </cell>
        </row>
        <row r="5115">
          <cell r="A5115" t="str">
            <v>106100090001</v>
          </cell>
          <cell r="B5115" t="str">
            <v>Mahua BMC</v>
          </cell>
          <cell r="C5115" t="str">
            <v>Mahua BMC</v>
          </cell>
          <cell r="D5115" t="str">
            <v>GOMUKH Khanpatti</v>
          </cell>
          <cell r="E5115">
            <v>10610009</v>
          </cell>
          <cell r="F5115" t="str">
            <v>0001</v>
          </cell>
          <cell r="G5115">
            <v>3</v>
          </cell>
          <cell r="H5115">
            <v>3.5</v>
          </cell>
          <cell r="I5115">
            <v>136.39139078400004</v>
          </cell>
          <cell r="J5115">
            <v>0</v>
          </cell>
          <cell r="K5115">
            <v>136.39139078400004</v>
          </cell>
          <cell r="L5115">
            <v>0</v>
          </cell>
          <cell r="M5115">
            <v>0</v>
          </cell>
          <cell r="P5115">
            <v>0</v>
          </cell>
          <cell r="V5115" t="str">
            <v>Not Available</v>
          </cell>
        </row>
        <row r="5116">
          <cell r="A5116" t="str">
            <v>106100090002</v>
          </cell>
          <cell r="B5116" t="str">
            <v>Mahua BMC</v>
          </cell>
          <cell r="C5116" t="str">
            <v>Mahua BMC</v>
          </cell>
          <cell r="D5116" t="str">
            <v>GOMUKH Khanpatti</v>
          </cell>
          <cell r="E5116">
            <v>10610009</v>
          </cell>
          <cell r="F5116" t="str">
            <v>0002</v>
          </cell>
          <cell r="G5116">
            <v>13</v>
          </cell>
          <cell r="H5116">
            <v>58.400000000000006</v>
          </cell>
          <cell r="I5116">
            <v>3386.5804774536</v>
          </cell>
          <cell r="J5116">
            <v>0</v>
          </cell>
          <cell r="K5116">
            <v>0</v>
          </cell>
          <cell r="L5116">
            <v>437</v>
          </cell>
          <cell r="M5116">
            <v>2600</v>
          </cell>
          <cell r="P5116">
            <v>350</v>
          </cell>
          <cell r="V5116" t="str">
            <v>Available</v>
          </cell>
        </row>
        <row r="5117">
          <cell r="A5117" t="str">
            <v>106100090003</v>
          </cell>
          <cell r="B5117" t="str">
            <v>Mahua BMC</v>
          </cell>
          <cell r="C5117" t="str">
            <v>Mahua BMC</v>
          </cell>
          <cell r="D5117" t="str">
            <v>GOMUKH Khanpatti</v>
          </cell>
          <cell r="E5117">
            <v>10610009</v>
          </cell>
          <cell r="F5117" t="str">
            <v>0003</v>
          </cell>
          <cell r="G5117">
            <v>9</v>
          </cell>
          <cell r="H5117">
            <v>21.5</v>
          </cell>
          <cell r="I5117">
            <v>1343.2492618742003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  <cell r="P5117">
            <v>1343</v>
          </cell>
          <cell r="V5117" t="str">
            <v>Available</v>
          </cell>
        </row>
        <row r="5118">
          <cell r="A5118" t="str">
            <v>106100090004</v>
          </cell>
          <cell r="B5118" t="str">
            <v>Mahua BMC</v>
          </cell>
          <cell r="C5118" t="str">
            <v>Mahua BMC</v>
          </cell>
          <cell r="D5118" t="str">
            <v>GOMUKH Khanpatti</v>
          </cell>
          <cell r="E5118">
            <v>10610009</v>
          </cell>
          <cell r="F5118" t="str">
            <v>0004</v>
          </cell>
          <cell r="G5118">
            <v>7</v>
          </cell>
          <cell r="H5118">
            <v>31.299999999999997</v>
          </cell>
          <cell r="I5118">
            <v>1823.9173380140003</v>
          </cell>
          <cell r="J5118">
            <v>0</v>
          </cell>
          <cell r="K5118">
            <v>0</v>
          </cell>
          <cell r="L5118">
            <v>0</v>
          </cell>
          <cell r="M5118">
            <v>0</v>
          </cell>
          <cell r="P5118">
            <v>1824</v>
          </cell>
          <cell r="V5118" t="str">
            <v>Available</v>
          </cell>
        </row>
        <row r="5119">
          <cell r="A5119" t="str">
            <v>106100090005</v>
          </cell>
          <cell r="B5119" t="str">
            <v>Mahua BMC</v>
          </cell>
          <cell r="C5119" t="str">
            <v>Mahua BMC</v>
          </cell>
          <cell r="D5119" t="str">
            <v>GOMUKH Khanpatti</v>
          </cell>
          <cell r="E5119">
            <v>10610009</v>
          </cell>
          <cell r="F5119" t="str">
            <v>0005</v>
          </cell>
          <cell r="G5119">
            <v>14</v>
          </cell>
          <cell r="H5119">
            <v>29.299999999999997</v>
          </cell>
          <cell r="I5119">
            <v>1116.9232509600001</v>
          </cell>
          <cell r="J5119">
            <v>0</v>
          </cell>
          <cell r="K5119">
            <v>0</v>
          </cell>
          <cell r="L5119">
            <v>0</v>
          </cell>
          <cell r="M5119">
            <v>0</v>
          </cell>
          <cell r="P5119">
            <v>1117</v>
          </cell>
          <cell r="V5119" t="str">
            <v>Available</v>
          </cell>
        </row>
        <row r="5120">
          <cell r="A5120" t="str">
            <v>106100090006</v>
          </cell>
          <cell r="B5120" t="str">
            <v>Mahua BMC</v>
          </cell>
          <cell r="C5120" t="str">
            <v>Mahua BMC</v>
          </cell>
          <cell r="D5120" t="str">
            <v>GOMUKH Khanpatti</v>
          </cell>
          <cell r="E5120">
            <v>10610009</v>
          </cell>
          <cell r="F5120" t="str">
            <v>0006</v>
          </cell>
          <cell r="G5120">
            <v>7</v>
          </cell>
          <cell r="H5120">
            <v>23.700000000000003</v>
          </cell>
          <cell r="I5120">
            <v>853.738795998</v>
          </cell>
          <cell r="J5120">
            <v>0</v>
          </cell>
          <cell r="K5120">
            <v>0</v>
          </cell>
          <cell r="L5120">
            <v>0</v>
          </cell>
          <cell r="M5120">
            <v>0</v>
          </cell>
          <cell r="P5120">
            <v>854</v>
          </cell>
          <cell r="V5120" t="str">
            <v>Available</v>
          </cell>
        </row>
        <row r="5121">
          <cell r="A5121" t="str">
            <v>106100090007</v>
          </cell>
          <cell r="B5121" t="str">
            <v>Mahua BMC</v>
          </cell>
          <cell r="C5121" t="str">
            <v>Mahua BMC</v>
          </cell>
          <cell r="D5121" t="str">
            <v>GOMUKH Khanpatti</v>
          </cell>
          <cell r="E5121">
            <v>10610009</v>
          </cell>
          <cell r="F5121" t="str">
            <v>0007</v>
          </cell>
          <cell r="G5121">
            <v>3</v>
          </cell>
          <cell r="H5121">
            <v>6.1000000000000005</v>
          </cell>
          <cell r="I5121">
            <v>221.09340924000003</v>
          </cell>
          <cell r="J5121">
            <v>0</v>
          </cell>
          <cell r="K5121">
            <v>0</v>
          </cell>
          <cell r="L5121">
            <v>0</v>
          </cell>
          <cell r="M5121">
            <v>0</v>
          </cell>
          <cell r="P5121">
            <v>221</v>
          </cell>
          <cell r="V5121" t="str">
            <v>Available</v>
          </cell>
        </row>
        <row r="5122">
          <cell r="A5122" t="str">
            <v>106100090008</v>
          </cell>
          <cell r="B5122" t="str">
            <v>Mahua BMC</v>
          </cell>
          <cell r="C5122" t="str">
            <v>Mahua BMC</v>
          </cell>
          <cell r="D5122" t="str">
            <v>GOMUKH Khanpatti</v>
          </cell>
          <cell r="E5122">
            <v>10610009</v>
          </cell>
          <cell r="F5122" t="str">
            <v>0008</v>
          </cell>
          <cell r="G5122">
            <v>7</v>
          </cell>
          <cell r="H5122">
            <v>21.599999999999998</v>
          </cell>
          <cell r="I5122">
            <v>1204.6242290340003</v>
          </cell>
          <cell r="J5122">
            <v>0</v>
          </cell>
          <cell r="K5122">
            <v>0</v>
          </cell>
          <cell r="L5122">
            <v>0</v>
          </cell>
          <cell r="M5122">
            <v>0</v>
          </cell>
          <cell r="P5122">
            <v>1205</v>
          </cell>
          <cell r="V5122" t="str">
            <v>Available</v>
          </cell>
        </row>
        <row r="5123">
          <cell r="A5123" t="str">
            <v>106100090009</v>
          </cell>
          <cell r="B5123" t="str">
            <v>Mahua BMC</v>
          </cell>
          <cell r="C5123" t="str">
            <v>Mahua BMC</v>
          </cell>
          <cell r="D5123" t="str">
            <v>GOMUKH Khanpatti</v>
          </cell>
          <cell r="E5123">
            <v>10610009</v>
          </cell>
          <cell r="F5123" t="str">
            <v>0009</v>
          </cell>
          <cell r="G5123">
            <v>5</v>
          </cell>
          <cell r="H5123">
            <v>9</v>
          </cell>
          <cell r="I5123">
            <v>267.08440116600002</v>
          </cell>
          <cell r="J5123">
            <v>0</v>
          </cell>
          <cell r="K5123">
            <v>0</v>
          </cell>
          <cell r="L5123">
            <v>0</v>
          </cell>
          <cell r="M5123">
            <v>0</v>
          </cell>
          <cell r="P5123">
            <v>267</v>
          </cell>
          <cell r="V5123" t="str">
            <v>Available</v>
          </cell>
        </row>
        <row r="5124">
          <cell r="A5124" t="str">
            <v>106100090012</v>
          </cell>
          <cell r="B5124" t="str">
            <v>Mahua BMC</v>
          </cell>
          <cell r="C5124" t="str">
            <v>Mahua BMC</v>
          </cell>
          <cell r="D5124" t="str">
            <v>GOMUKH Khanpatti</v>
          </cell>
          <cell r="E5124">
            <v>10610009</v>
          </cell>
          <cell r="F5124" t="str">
            <v>0012</v>
          </cell>
          <cell r="G5124">
            <v>7</v>
          </cell>
          <cell r="H5124">
            <v>31</v>
          </cell>
          <cell r="I5124">
            <v>1227.4388703720001</v>
          </cell>
          <cell r="J5124">
            <v>0</v>
          </cell>
          <cell r="K5124">
            <v>0</v>
          </cell>
          <cell r="L5124">
            <v>0</v>
          </cell>
          <cell r="M5124">
            <v>0</v>
          </cell>
          <cell r="P5124">
            <v>1227</v>
          </cell>
          <cell r="V5124" t="str">
            <v>Available</v>
          </cell>
        </row>
        <row r="5125">
          <cell r="A5125" t="str">
            <v>106100090013</v>
          </cell>
          <cell r="B5125" t="str">
            <v>Mahua BMC</v>
          </cell>
          <cell r="C5125" t="str">
            <v>Mahua BMC</v>
          </cell>
          <cell r="D5125" t="str">
            <v>GOMUKH Khanpatti</v>
          </cell>
          <cell r="E5125">
            <v>10610009</v>
          </cell>
          <cell r="F5125" t="str">
            <v>0013</v>
          </cell>
          <cell r="G5125">
            <v>14</v>
          </cell>
          <cell r="H5125">
            <v>22.200000000000003</v>
          </cell>
          <cell r="I5125">
            <v>811.32697304999999</v>
          </cell>
          <cell r="J5125">
            <v>0</v>
          </cell>
          <cell r="K5125">
            <v>0</v>
          </cell>
          <cell r="L5125">
            <v>0</v>
          </cell>
          <cell r="M5125">
            <v>0</v>
          </cell>
          <cell r="P5125">
            <v>811</v>
          </cell>
          <cell r="V5125" t="str">
            <v>Available</v>
          </cell>
        </row>
        <row r="5126">
          <cell r="A5126" t="str">
            <v>106100090014</v>
          </cell>
          <cell r="B5126" t="str">
            <v>Mahua BMC</v>
          </cell>
          <cell r="C5126" t="str">
            <v>Mahua BMC</v>
          </cell>
          <cell r="D5126" t="str">
            <v>GOMUKH Khanpatti</v>
          </cell>
          <cell r="E5126">
            <v>10610009</v>
          </cell>
          <cell r="F5126" t="str">
            <v>0014</v>
          </cell>
          <cell r="G5126">
            <v>14</v>
          </cell>
          <cell r="H5126">
            <v>34.9</v>
          </cell>
          <cell r="I5126">
            <v>1513.8677505599999</v>
          </cell>
          <cell r="J5126">
            <v>0</v>
          </cell>
          <cell r="K5126">
            <v>0</v>
          </cell>
          <cell r="L5126">
            <v>0</v>
          </cell>
          <cell r="M5126">
            <v>0</v>
          </cell>
          <cell r="P5126">
            <v>1514</v>
          </cell>
          <cell r="V5126" t="str">
            <v>Available</v>
          </cell>
        </row>
        <row r="5127">
          <cell r="A5127" t="str">
            <v>106100090018</v>
          </cell>
          <cell r="B5127" t="str">
            <v>Mahua BMC</v>
          </cell>
          <cell r="C5127" t="str">
            <v>Mahua BMC</v>
          </cell>
          <cell r="D5127" t="str">
            <v>GOMUKH Khanpatti</v>
          </cell>
          <cell r="E5127">
            <v>10610009</v>
          </cell>
          <cell r="F5127" t="str">
            <v>0018</v>
          </cell>
          <cell r="G5127">
            <v>7</v>
          </cell>
          <cell r="H5127">
            <v>11.9</v>
          </cell>
          <cell r="I5127">
            <v>622.95938316640002</v>
          </cell>
          <cell r="J5127">
            <v>0</v>
          </cell>
          <cell r="K5127">
            <v>0</v>
          </cell>
          <cell r="L5127">
            <v>0</v>
          </cell>
          <cell r="M5127">
            <v>0</v>
          </cell>
          <cell r="P5127">
            <v>623</v>
          </cell>
          <cell r="V5127" t="str">
            <v>Available</v>
          </cell>
        </row>
        <row r="5128">
          <cell r="A5128" t="str">
            <v>106100090022</v>
          </cell>
          <cell r="B5128" t="str">
            <v>Mahua BMC</v>
          </cell>
          <cell r="C5128" t="str">
            <v>Mahua BMC</v>
          </cell>
          <cell r="D5128" t="str">
            <v>GOMUKH Khanpatti</v>
          </cell>
          <cell r="E5128">
            <v>10610009</v>
          </cell>
          <cell r="F5128" t="str">
            <v>0022</v>
          </cell>
          <cell r="G5128">
            <v>7</v>
          </cell>
          <cell r="H5128">
            <v>11.499999999999998</v>
          </cell>
          <cell r="I5128">
            <v>868.99627734900002</v>
          </cell>
          <cell r="J5128">
            <v>0</v>
          </cell>
          <cell r="K5128">
            <v>0</v>
          </cell>
          <cell r="L5128">
            <v>0</v>
          </cell>
          <cell r="M5128">
            <v>0</v>
          </cell>
          <cell r="P5128">
            <v>869</v>
          </cell>
          <cell r="V5128" t="str">
            <v>Available</v>
          </cell>
        </row>
        <row r="5129">
          <cell r="A5129" t="str">
            <v>106100090024</v>
          </cell>
          <cell r="B5129" t="str">
            <v>Mahua BMC</v>
          </cell>
          <cell r="C5129" t="str">
            <v>Mahua BMC</v>
          </cell>
          <cell r="D5129" t="str">
            <v>GOMUKH Khanpatti</v>
          </cell>
          <cell r="E5129">
            <v>10610009</v>
          </cell>
          <cell r="F5129" t="str">
            <v>0024</v>
          </cell>
          <cell r="G5129">
            <v>4</v>
          </cell>
          <cell r="H5129">
            <v>9</v>
          </cell>
          <cell r="I5129">
            <v>332.95319244000001</v>
          </cell>
          <cell r="J5129">
            <v>0</v>
          </cell>
          <cell r="K5129">
            <v>0</v>
          </cell>
          <cell r="L5129">
            <v>0</v>
          </cell>
          <cell r="M5129">
            <v>0</v>
          </cell>
          <cell r="P5129">
            <v>333</v>
          </cell>
          <cell r="V5129" t="str">
            <v>Available</v>
          </cell>
        </row>
        <row r="5130">
          <cell r="A5130" t="str">
            <v>106100090025</v>
          </cell>
          <cell r="B5130" t="str">
            <v>Mahua BMC</v>
          </cell>
          <cell r="C5130" t="str">
            <v>Mahua BMC</v>
          </cell>
          <cell r="D5130" t="str">
            <v>GOMUKH Khanpatti</v>
          </cell>
          <cell r="E5130">
            <v>10610009</v>
          </cell>
          <cell r="F5130" t="str">
            <v>0025</v>
          </cell>
          <cell r="G5130">
            <v>14</v>
          </cell>
          <cell r="H5130">
            <v>30.5</v>
          </cell>
          <cell r="I5130">
            <v>2199.0411599370004</v>
          </cell>
          <cell r="J5130">
            <v>0</v>
          </cell>
          <cell r="K5130">
            <v>0</v>
          </cell>
          <cell r="L5130">
            <v>0</v>
          </cell>
          <cell r="M5130">
            <v>0</v>
          </cell>
          <cell r="P5130">
            <v>2199</v>
          </cell>
          <cell r="V5130" t="str">
            <v>Available</v>
          </cell>
        </row>
        <row r="5131">
          <cell r="A5131" t="str">
            <v>106100090034</v>
          </cell>
          <cell r="B5131" t="str">
            <v>Mahua BMC</v>
          </cell>
          <cell r="C5131" t="str">
            <v>Mahua BMC</v>
          </cell>
          <cell r="D5131" t="str">
            <v>GOMUKH Khanpatti</v>
          </cell>
          <cell r="E5131">
            <v>10610009</v>
          </cell>
          <cell r="F5131" t="str">
            <v>0034</v>
          </cell>
          <cell r="G5131">
            <v>14</v>
          </cell>
          <cell r="H5131">
            <v>46.2</v>
          </cell>
          <cell r="I5131">
            <v>1602.8948600280005</v>
          </cell>
          <cell r="J5131">
            <v>0</v>
          </cell>
          <cell r="K5131">
            <v>0</v>
          </cell>
          <cell r="L5131">
            <v>0</v>
          </cell>
          <cell r="M5131">
            <v>0</v>
          </cell>
          <cell r="P5131">
            <v>1603</v>
          </cell>
          <cell r="V5131" t="str">
            <v>Available</v>
          </cell>
        </row>
        <row r="5132">
          <cell r="A5132" t="str">
            <v>106100090035</v>
          </cell>
          <cell r="B5132" t="str">
            <v>Mahua BMC</v>
          </cell>
          <cell r="C5132" t="str">
            <v>Mahua BMC</v>
          </cell>
          <cell r="D5132" t="str">
            <v>GOMUKH Khanpatti</v>
          </cell>
          <cell r="E5132">
            <v>10610009</v>
          </cell>
          <cell r="F5132" t="str">
            <v>0035</v>
          </cell>
          <cell r="G5132">
            <v>14</v>
          </cell>
          <cell r="H5132">
            <v>44.500000000000007</v>
          </cell>
          <cell r="I5132">
            <v>1637.6928400800002</v>
          </cell>
          <cell r="J5132">
            <v>0</v>
          </cell>
          <cell r="K5132">
            <v>0</v>
          </cell>
          <cell r="L5132">
            <v>0</v>
          </cell>
          <cell r="M5132">
            <v>0</v>
          </cell>
          <cell r="P5132">
            <v>1638</v>
          </cell>
          <cell r="V5132" t="str">
            <v>Available</v>
          </cell>
        </row>
        <row r="5133">
          <cell r="A5133" t="str">
            <v>106100090037</v>
          </cell>
          <cell r="B5133" t="str">
            <v>Mahua BMC</v>
          </cell>
          <cell r="C5133" t="str">
            <v>Mahua BMC</v>
          </cell>
          <cell r="D5133" t="str">
            <v>GOMUKH Khanpatti</v>
          </cell>
          <cell r="E5133">
            <v>10610009</v>
          </cell>
          <cell r="F5133" t="str">
            <v>0037</v>
          </cell>
          <cell r="G5133">
            <v>7</v>
          </cell>
          <cell r="H5133">
            <v>28.399999999999995</v>
          </cell>
          <cell r="I5133">
            <v>1597.3908361294</v>
          </cell>
          <cell r="J5133">
            <v>0</v>
          </cell>
          <cell r="K5133">
            <v>0</v>
          </cell>
          <cell r="L5133">
            <v>0</v>
          </cell>
          <cell r="M5133">
            <v>0</v>
          </cell>
          <cell r="P5133">
            <v>1597</v>
          </cell>
          <cell r="V5133" t="str">
            <v>Available</v>
          </cell>
        </row>
        <row r="5134">
          <cell r="A5134" t="str">
            <v>106100090038</v>
          </cell>
          <cell r="B5134" t="str">
            <v>Mahua BMC</v>
          </cell>
          <cell r="C5134" t="str">
            <v>Mahua BMC</v>
          </cell>
          <cell r="D5134" t="str">
            <v>GOMUKH Khanpatti</v>
          </cell>
          <cell r="E5134">
            <v>10610009</v>
          </cell>
          <cell r="F5134" t="str">
            <v>0038</v>
          </cell>
          <cell r="G5134">
            <v>3</v>
          </cell>
          <cell r="H5134">
            <v>28.2</v>
          </cell>
          <cell r="I5134">
            <v>1704.2543313238002</v>
          </cell>
          <cell r="J5134">
            <v>0</v>
          </cell>
          <cell r="K5134">
            <v>0</v>
          </cell>
          <cell r="L5134">
            <v>0</v>
          </cell>
          <cell r="M5134">
            <v>0</v>
          </cell>
          <cell r="P5134">
            <v>1704</v>
          </cell>
          <cell r="V5134" t="str">
            <v>Available</v>
          </cell>
        </row>
        <row r="5135">
          <cell r="A5135" t="str">
            <v>106100090042</v>
          </cell>
          <cell r="B5135" t="str">
            <v>Mahua BMC</v>
          </cell>
          <cell r="C5135" t="str">
            <v>Mahua BMC</v>
          </cell>
          <cell r="D5135" t="str">
            <v>GOMUKH Khanpatti</v>
          </cell>
          <cell r="E5135">
            <v>10610009</v>
          </cell>
          <cell r="F5135" t="str">
            <v>0042</v>
          </cell>
          <cell r="G5135">
            <v>6</v>
          </cell>
          <cell r="H5135">
            <v>8</v>
          </cell>
          <cell r="I5135">
            <v>347.10463869778999</v>
          </cell>
          <cell r="J5135">
            <v>0</v>
          </cell>
          <cell r="K5135">
            <v>0</v>
          </cell>
          <cell r="L5135">
            <v>0</v>
          </cell>
          <cell r="M5135">
            <v>0</v>
          </cell>
          <cell r="P5135">
            <v>347</v>
          </cell>
          <cell r="V5135" t="str">
            <v>Available</v>
          </cell>
        </row>
        <row r="5136">
          <cell r="A5136" t="str">
            <v>106100090044</v>
          </cell>
          <cell r="B5136" t="str">
            <v>Mahua BMC</v>
          </cell>
          <cell r="C5136" t="str">
            <v>Mahua BMC</v>
          </cell>
          <cell r="D5136" t="str">
            <v>GOMUKH Khanpatti</v>
          </cell>
          <cell r="E5136">
            <v>10610009</v>
          </cell>
          <cell r="F5136" t="str">
            <v>0044</v>
          </cell>
          <cell r="G5136">
            <v>1</v>
          </cell>
          <cell r="H5136">
            <v>2.6</v>
          </cell>
          <cell r="I5136">
            <v>105.05609571600002</v>
          </cell>
          <cell r="J5136">
            <v>0</v>
          </cell>
          <cell r="K5136">
            <v>0</v>
          </cell>
          <cell r="L5136">
            <v>0</v>
          </cell>
          <cell r="M5136">
            <v>0</v>
          </cell>
          <cell r="P5136">
            <v>105</v>
          </cell>
          <cell r="V5136" t="str">
            <v>Available</v>
          </cell>
        </row>
        <row r="5137">
          <cell r="A5137" t="str">
            <v>106100090045</v>
          </cell>
          <cell r="B5137" t="str">
            <v>Mahua BMC</v>
          </cell>
          <cell r="C5137" t="str">
            <v>Mahua BMC</v>
          </cell>
          <cell r="D5137" t="str">
            <v>GOMUKH Khanpatti</v>
          </cell>
          <cell r="E5137">
            <v>10610009</v>
          </cell>
          <cell r="F5137" t="str">
            <v>0045</v>
          </cell>
          <cell r="G5137">
            <v>14</v>
          </cell>
          <cell r="H5137">
            <v>29.6</v>
          </cell>
          <cell r="I5137">
            <v>1177.6958958600001</v>
          </cell>
          <cell r="J5137">
            <v>0</v>
          </cell>
          <cell r="K5137">
            <v>0</v>
          </cell>
          <cell r="L5137">
            <v>0</v>
          </cell>
          <cell r="M5137">
            <v>0</v>
          </cell>
          <cell r="P5137">
            <v>1178</v>
          </cell>
          <cell r="V5137" t="str">
            <v>Available</v>
          </cell>
        </row>
        <row r="5138">
          <cell r="A5138" t="str">
            <v>106100090052</v>
          </cell>
          <cell r="B5138" t="str">
            <v>Mahua BMC</v>
          </cell>
          <cell r="C5138" t="str">
            <v>Mahua BMC</v>
          </cell>
          <cell r="D5138" t="str">
            <v>GOMUKH Khanpatti</v>
          </cell>
          <cell r="E5138">
            <v>10610009</v>
          </cell>
          <cell r="F5138" t="str">
            <v>0052</v>
          </cell>
          <cell r="G5138">
            <v>2</v>
          </cell>
          <cell r="H5138">
            <v>3.9000000000000004</v>
          </cell>
          <cell r="I5138">
            <v>245.226384126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P5138">
            <v>245</v>
          </cell>
          <cell r="V5138" t="str">
            <v>Available</v>
          </cell>
        </row>
        <row r="5139">
          <cell r="A5139" t="str">
            <v>106100090056</v>
          </cell>
          <cell r="B5139" t="str">
            <v>Mahua BMC</v>
          </cell>
          <cell r="C5139" t="str">
            <v>Mahua BMC</v>
          </cell>
          <cell r="D5139" t="str">
            <v>GOMUKH Khanpatti</v>
          </cell>
          <cell r="E5139">
            <v>10610009</v>
          </cell>
          <cell r="F5139" t="str">
            <v>0056</v>
          </cell>
          <cell r="G5139">
            <v>14</v>
          </cell>
          <cell r="H5139">
            <v>177.1</v>
          </cell>
          <cell r="I5139">
            <v>6354.3547831500018</v>
          </cell>
          <cell r="J5139">
            <v>0</v>
          </cell>
          <cell r="K5139">
            <v>0</v>
          </cell>
          <cell r="L5139">
            <v>0</v>
          </cell>
          <cell r="M5139">
            <v>0</v>
          </cell>
          <cell r="P5139">
            <v>6354</v>
          </cell>
          <cell r="V5139" t="str">
            <v>Available</v>
          </cell>
        </row>
        <row r="5140">
          <cell r="A5140" t="str">
            <v>106100090061</v>
          </cell>
          <cell r="B5140" t="str">
            <v>Mahua BMC</v>
          </cell>
          <cell r="C5140" t="str">
            <v>Mahua BMC</v>
          </cell>
          <cell r="D5140" t="str">
            <v>GOMUKH Khanpatti</v>
          </cell>
          <cell r="E5140">
            <v>10610009</v>
          </cell>
          <cell r="F5140" t="str">
            <v>0061</v>
          </cell>
          <cell r="G5140">
            <v>13</v>
          </cell>
          <cell r="H5140">
            <v>54.300000000000011</v>
          </cell>
          <cell r="I5140">
            <v>1625.59736757</v>
          </cell>
          <cell r="J5140">
            <v>0</v>
          </cell>
          <cell r="K5140">
            <v>0</v>
          </cell>
          <cell r="L5140">
            <v>0</v>
          </cell>
          <cell r="M5140">
            <v>0</v>
          </cell>
          <cell r="P5140">
            <v>1626</v>
          </cell>
          <cell r="V5140" t="str">
            <v>Available</v>
          </cell>
        </row>
        <row r="5141">
          <cell r="A5141" t="str">
            <v>106100090062</v>
          </cell>
          <cell r="B5141" t="str">
            <v>Mahua BMC</v>
          </cell>
          <cell r="C5141" t="str">
            <v>Mahua BMC</v>
          </cell>
          <cell r="D5141" t="str">
            <v>GOMUKH Khanpatti</v>
          </cell>
          <cell r="E5141">
            <v>10610009</v>
          </cell>
          <cell r="F5141" t="str">
            <v>0062</v>
          </cell>
          <cell r="G5141">
            <v>14</v>
          </cell>
          <cell r="H5141">
            <v>24.400000000000002</v>
          </cell>
          <cell r="I5141">
            <v>1232.1109930872003</v>
          </cell>
          <cell r="J5141">
            <v>0</v>
          </cell>
          <cell r="K5141">
            <v>0</v>
          </cell>
          <cell r="L5141">
            <v>0</v>
          </cell>
          <cell r="M5141">
            <v>0</v>
          </cell>
          <cell r="P5141">
            <v>1232</v>
          </cell>
          <cell r="V5141" t="str">
            <v>Available</v>
          </cell>
        </row>
        <row r="5142">
          <cell r="A5142" t="str">
            <v>106100090065</v>
          </cell>
          <cell r="B5142" t="str">
            <v>Mahua BMC</v>
          </cell>
          <cell r="C5142" t="str">
            <v>Mahua BMC</v>
          </cell>
          <cell r="D5142" t="str">
            <v>GOMUKH Khanpatti</v>
          </cell>
          <cell r="E5142">
            <v>10610009</v>
          </cell>
          <cell r="F5142" t="str">
            <v>0065</v>
          </cell>
          <cell r="G5142">
            <v>14</v>
          </cell>
          <cell r="H5142">
            <v>45.1</v>
          </cell>
          <cell r="I5142">
            <v>1994.0297159970003</v>
          </cell>
          <cell r="J5142">
            <v>0</v>
          </cell>
          <cell r="K5142">
            <v>0</v>
          </cell>
          <cell r="L5142">
            <v>0</v>
          </cell>
          <cell r="M5142">
            <v>0</v>
          </cell>
          <cell r="P5142">
            <v>1994</v>
          </cell>
          <cell r="V5142" t="str">
            <v>Available</v>
          </cell>
        </row>
        <row r="5143">
          <cell r="A5143" t="str">
            <v>106100090066</v>
          </cell>
          <cell r="B5143" t="str">
            <v>Mahua BMC</v>
          </cell>
          <cell r="C5143" t="str">
            <v>Mahua BMC</v>
          </cell>
          <cell r="D5143" t="str">
            <v>GOMUKH Khanpatti</v>
          </cell>
          <cell r="E5143">
            <v>10610009</v>
          </cell>
          <cell r="F5143" t="str">
            <v>0066</v>
          </cell>
          <cell r="G5143">
            <v>12</v>
          </cell>
          <cell r="H5143">
            <v>36.799999999999997</v>
          </cell>
          <cell r="I5143">
            <v>1225.8850030020001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  <cell r="P5143">
            <v>1226</v>
          </cell>
          <cell r="V5143" t="str">
            <v>Available</v>
          </cell>
        </row>
        <row r="5144">
          <cell r="A5144" t="str">
            <v>106100090067</v>
          </cell>
          <cell r="B5144" t="str">
            <v>Mahua BMC</v>
          </cell>
          <cell r="C5144" t="str">
            <v>Mahua BMC</v>
          </cell>
          <cell r="D5144" t="str">
            <v>GOMUKH Khanpatti</v>
          </cell>
          <cell r="E5144">
            <v>10610009</v>
          </cell>
          <cell r="F5144" t="str">
            <v>0067</v>
          </cell>
          <cell r="G5144">
            <v>7</v>
          </cell>
          <cell r="H5144">
            <v>36.299999999999997</v>
          </cell>
          <cell r="I5144">
            <v>1788.0866335520002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P5144">
            <v>1788</v>
          </cell>
          <cell r="V5144" t="str">
            <v>Available</v>
          </cell>
        </row>
        <row r="5145">
          <cell r="A5145" t="str">
            <v>106100090071</v>
          </cell>
          <cell r="B5145" t="str">
            <v>Mahua BMC</v>
          </cell>
          <cell r="C5145" t="str">
            <v>Mahua BMC</v>
          </cell>
          <cell r="D5145" t="str">
            <v>GOMUKH Khanpatti</v>
          </cell>
          <cell r="E5145">
            <v>10610009</v>
          </cell>
          <cell r="F5145" t="str">
            <v>0071</v>
          </cell>
          <cell r="G5145">
            <v>4</v>
          </cell>
          <cell r="H5145">
            <v>9.6999999999999993</v>
          </cell>
          <cell r="I5145">
            <v>388.98830916000003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P5145">
            <v>389</v>
          </cell>
          <cell r="V5145" t="str">
            <v>Available</v>
          </cell>
        </row>
        <row r="5146">
          <cell r="A5146" t="str">
            <v>106100090073</v>
          </cell>
          <cell r="B5146" t="str">
            <v>Mahua BMC</v>
          </cell>
          <cell r="C5146" t="str">
            <v>Mahua BMC</v>
          </cell>
          <cell r="D5146" t="str">
            <v>GOMUKH Khanpatti</v>
          </cell>
          <cell r="E5146">
            <v>10610009</v>
          </cell>
          <cell r="F5146" t="str">
            <v>0073</v>
          </cell>
          <cell r="G5146">
            <v>9</v>
          </cell>
          <cell r="H5146">
            <v>43.8</v>
          </cell>
          <cell r="I5146">
            <v>1513.0048071599999</v>
          </cell>
          <cell r="J5146">
            <v>0</v>
          </cell>
          <cell r="K5146">
            <v>0</v>
          </cell>
          <cell r="L5146">
            <v>0</v>
          </cell>
          <cell r="M5146">
            <v>0</v>
          </cell>
          <cell r="P5146">
            <v>1513</v>
          </cell>
          <cell r="V5146" t="str">
            <v>Available</v>
          </cell>
        </row>
        <row r="5147">
          <cell r="A5147" t="str">
            <v>106100090074</v>
          </cell>
          <cell r="B5147" t="str">
            <v>Mahua BMC</v>
          </cell>
          <cell r="C5147" t="str">
            <v>Mahua BMC</v>
          </cell>
          <cell r="D5147" t="str">
            <v>GOMUKH Khanpatti</v>
          </cell>
          <cell r="E5147">
            <v>10610009</v>
          </cell>
          <cell r="F5147" t="str">
            <v>0074</v>
          </cell>
          <cell r="G5147">
            <v>6</v>
          </cell>
          <cell r="H5147">
            <v>13.4</v>
          </cell>
          <cell r="I5147">
            <v>630.40466357970001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P5147">
            <v>630</v>
          </cell>
          <cell r="V5147" t="str">
            <v>Available</v>
          </cell>
        </row>
        <row r="5148">
          <cell r="A5148" t="str">
            <v>106100100002</v>
          </cell>
          <cell r="B5148" t="str">
            <v>Mahua BMC</v>
          </cell>
          <cell r="C5148" t="str">
            <v>Mahua BMC</v>
          </cell>
          <cell r="D5148" t="str">
            <v>GOMUKH Bhagwatpur</v>
          </cell>
          <cell r="E5148">
            <v>10610010</v>
          </cell>
          <cell r="F5148" t="str">
            <v>0002</v>
          </cell>
          <cell r="G5148">
            <v>14</v>
          </cell>
          <cell r="H5148">
            <v>81.900000000000006</v>
          </cell>
          <cell r="I5148">
            <v>3600.2125166927008</v>
          </cell>
          <cell r="J5148">
            <v>0</v>
          </cell>
          <cell r="K5148">
            <v>0</v>
          </cell>
          <cell r="L5148">
            <v>863</v>
          </cell>
          <cell r="M5148">
            <v>0</v>
          </cell>
          <cell r="P5148">
            <v>2686</v>
          </cell>
          <cell r="V5148" t="str">
            <v>Available</v>
          </cell>
        </row>
        <row r="5149">
          <cell r="A5149" t="str">
            <v>106100100003</v>
          </cell>
          <cell r="B5149" t="str">
            <v>Mahua BMC</v>
          </cell>
          <cell r="C5149" t="str">
            <v>Mahua BMC</v>
          </cell>
          <cell r="D5149" t="str">
            <v>GOMUKH Bhagwatpur</v>
          </cell>
          <cell r="E5149">
            <v>10610010</v>
          </cell>
          <cell r="F5149" t="str">
            <v>0003</v>
          </cell>
          <cell r="G5149">
            <v>9</v>
          </cell>
          <cell r="H5149">
            <v>39.999999999999993</v>
          </cell>
          <cell r="I5149">
            <v>1663.82963433953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P5149">
            <v>1664</v>
          </cell>
          <cell r="V5149" t="str">
            <v>Available</v>
          </cell>
        </row>
        <row r="5150">
          <cell r="A5150" t="str">
            <v>106100100004</v>
          </cell>
          <cell r="B5150" t="str">
            <v>Mahua BMC</v>
          </cell>
          <cell r="C5150" t="str">
            <v>Mahua BMC</v>
          </cell>
          <cell r="D5150" t="str">
            <v>GOMUKH Bhagwatpur</v>
          </cell>
          <cell r="E5150">
            <v>10610010</v>
          </cell>
          <cell r="F5150" t="str">
            <v>0004</v>
          </cell>
          <cell r="G5150">
            <v>1</v>
          </cell>
          <cell r="H5150">
            <v>2.2000000000000002</v>
          </cell>
          <cell r="I5150">
            <v>84.50883936000001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P5150">
            <v>85</v>
          </cell>
          <cell r="V5150" t="str">
            <v>Available</v>
          </cell>
        </row>
        <row r="5151">
          <cell r="A5151" t="str">
            <v>106100100005</v>
          </cell>
          <cell r="B5151" t="str">
            <v>Mahua BMC</v>
          </cell>
          <cell r="C5151" t="str">
            <v>Mahua BMC</v>
          </cell>
          <cell r="D5151" t="str">
            <v>GOMUKH Bhagwatpur</v>
          </cell>
          <cell r="E5151">
            <v>10610010</v>
          </cell>
          <cell r="F5151" t="str">
            <v>0005</v>
          </cell>
          <cell r="G5151">
            <v>5</v>
          </cell>
          <cell r="H5151">
            <v>12.8</v>
          </cell>
          <cell r="I5151">
            <v>509.13833256000009</v>
          </cell>
          <cell r="J5151">
            <v>0</v>
          </cell>
          <cell r="K5151">
            <v>0</v>
          </cell>
          <cell r="L5151">
            <v>0</v>
          </cell>
          <cell r="M5151">
            <v>0</v>
          </cell>
          <cell r="P5151">
            <v>509</v>
          </cell>
          <cell r="V5151" t="str">
            <v>Available</v>
          </cell>
        </row>
        <row r="5152">
          <cell r="A5152" t="str">
            <v>106100100007</v>
          </cell>
          <cell r="B5152" t="str">
            <v>Mahua BMC</v>
          </cell>
          <cell r="C5152" t="str">
            <v>Mahua BMC</v>
          </cell>
          <cell r="D5152" t="str">
            <v>GOMUKH Bhagwatpur</v>
          </cell>
          <cell r="E5152">
            <v>10610010</v>
          </cell>
          <cell r="F5152" t="str">
            <v>0007</v>
          </cell>
          <cell r="G5152">
            <v>13</v>
          </cell>
          <cell r="H5152">
            <v>81.600000000000009</v>
          </cell>
          <cell r="I5152">
            <v>4767.6846740566007</v>
          </cell>
          <cell r="J5152">
            <v>0</v>
          </cell>
          <cell r="K5152">
            <v>0</v>
          </cell>
          <cell r="L5152">
            <v>0</v>
          </cell>
          <cell r="M5152">
            <v>0</v>
          </cell>
          <cell r="P5152">
            <v>4768</v>
          </cell>
          <cell r="V5152" t="str">
            <v>Available</v>
          </cell>
        </row>
        <row r="5153">
          <cell r="A5153" t="str">
            <v>106100100014</v>
          </cell>
          <cell r="B5153" t="str">
            <v>Mahua BMC</v>
          </cell>
          <cell r="C5153" t="str">
            <v>Mahua BMC</v>
          </cell>
          <cell r="D5153" t="str">
            <v>GOMUKH Bhagwatpur</v>
          </cell>
          <cell r="E5153">
            <v>10610010</v>
          </cell>
          <cell r="F5153" t="str">
            <v>0014</v>
          </cell>
          <cell r="G5153">
            <v>12</v>
          </cell>
          <cell r="H5153">
            <v>27.6</v>
          </cell>
          <cell r="I5153">
            <v>1139.9558504399999</v>
          </cell>
          <cell r="J5153">
            <v>0</v>
          </cell>
          <cell r="K5153">
            <v>0</v>
          </cell>
          <cell r="L5153">
            <v>0</v>
          </cell>
          <cell r="M5153">
            <v>0</v>
          </cell>
          <cell r="P5153">
            <v>1140</v>
          </cell>
          <cell r="V5153" t="str">
            <v>Available</v>
          </cell>
        </row>
        <row r="5154">
          <cell r="A5154" t="str">
            <v>106100100015</v>
          </cell>
          <cell r="B5154" t="str">
            <v>Mahua BMC</v>
          </cell>
          <cell r="C5154" t="str">
            <v>Mahua BMC</v>
          </cell>
          <cell r="D5154" t="str">
            <v>GOMUKH Bhagwatpur</v>
          </cell>
          <cell r="E5154">
            <v>10610010</v>
          </cell>
          <cell r="F5154" t="str">
            <v>0015</v>
          </cell>
          <cell r="G5154">
            <v>2</v>
          </cell>
          <cell r="H5154">
            <v>3.5</v>
          </cell>
          <cell r="I5154">
            <v>129.89124720000001</v>
          </cell>
          <cell r="J5154">
            <v>0</v>
          </cell>
          <cell r="K5154">
            <v>0</v>
          </cell>
          <cell r="L5154">
            <v>0</v>
          </cell>
          <cell r="M5154">
            <v>0</v>
          </cell>
          <cell r="P5154">
            <v>130</v>
          </cell>
          <cell r="V5154" t="str">
            <v>Available</v>
          </cell>
        </row>
        <row r="5155">
          <cell r="A5155" t="str">
            <v>106100100017</v>
          </cell>
          <cell r="B5155" t="str">
            <v>Mahua BMC</v>
          </cell>
          <cell r="C5155" t="str">
            <v>Mahua BMC</v>
          </cell>
          <cell r="D5155" t="str">
            <v>GOMUKH Bhagwatpur</v>
          </cell>
          <cell r="E5155">
            <v>10610010</v>
          </cell>
          <cell r="F5155" t="str">
            <v>0017</v>
          </cell>
          <cell r="G5155">
            <v>5</v>
          </cell>
          <cell r="H5155">
            <v>14.2</v>
          </cell>
          <cell r="I5155">
            <v>571.78713240000002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P5155">
            <v>572</v>
          </cell>
          <cell r="V5155" t="str">
            <v>Available</v>
          </cell>
        </row>
        <row r="5156">
          <cell r="A5156" t="str">
            <v>106100100022</v>
          </cell>
          <cell r="B5156" t="str">
            <v>Mahua BMC</v>
          </cell>
          <cell r="C5156" t="str">
            <v>Mahua BMC</v>
          </cell>
          <cell r="D5156" t="str">
            <v>GOMUKH Bhagwatpur</v>
          </cell>
          <cell r="E5156">
            <v>10610010</v>
          </cell>
          <cell r="F5156" t="str">
            <v>0022</v>
          </cell>
          <cell r="G5156">
            <v>11</v>
          </cell>
          <cell r="H5156">
            <v>24.5</v>
          </cell>
          <cell r="I5156">
            <v>937.57504994999999</v>
          </cell>
          <cell r="J5156">
            <v>0</v>
          </cell>
          <cell r="K5156">
            <v>0</v>
          </cell>
          <cell r="L5156">
            <v>0</v>
          </cell>
          <cell r="M5156">
            <v>0</v>
          </cell>
          <cell r="P5156">
            <v>938</v>
          </cell>
          <cell r="V5156" t="str">
            <v>Available</v>
          </cell>
        </row>
        <row r="5157">
          <cell r="A5157" t="str">
            <v>106100170006</v>
          </cell>
          <cell r="B5157" t="str">
            <v>Mahua BMC</v>
          </cell>
          <cell r="C5157" t="str">
            <v>Mahua BMC</v>
          </cell>
          <cell r="D5157" t="str">
            <v>GOMUKH Bheraukhara</v>
          </cell>
          <cell r="E5157">
            <v>10610017</v>
          </cell>
          <cell r="F5157" t="str">
            <v>0006</v>
          </cell>
          <cell r="G5157">
            <v>12</v>
          </cell>
          <cell r="H5157">
            <v>37.999999999999993</v>
          </cell>
          <cell r="I5157">
            <v>1811.919338464</v>
          </cell>
          <cell r="J5157">
            <v>0</v>
          </cell>
          <cell r="K5157">
            <v>0</v>
          </cell>
          <cell r="L5157">
            <v>0</v>
          </cell>
          <cell r="M5157">
            <v>0</v>
          </cell>
          <cell r="P5157">
            <v>1812</v>
          </cell>
          <cell r="V5157" t="str">
            <v>Available</v>
          </cell>
        </row>
        <row r="5158">
          <cell r="A5158" t="str">
            <v>106100170008</v>
          </cell>
          <cell r="B5158" t="str">
            <v>Mahua BMC</v>
          </cell>
          <cell r="C5158" t="str">
            <v>Mahua BMC</v>
          </cell>
          <cell r="D5158" t="str">
            <v>GOMUKH Bheraukhara</v>
          </cell>
          <cell r="E5158">
            <v>10610017</v>
          </cell>
          <cell r="F5158" t="str">
            <v>0008</v>
          </cell>
          <cell r="G5158">
            <v>13</v>
          </cell>
          <cell r="H5158">
            <v>44.900000000000006</v>
          </cell>
          <cell r="I5158">
            <v>1613.3748014339999</v>
          </cell>
          <cell r="J5158">
            <v>0</v>
          </cell>
          <cell r="K5158">
            <v>0</v>
          </cell>
          <cell r="L5158">
            <v>269</v>
          </cell>
          <cell r="M5158">
            <v>0</v>
          </cell>
          <cell r="P5158">
            <v>1344</v>
          </cell>
          <cell r="V5158" t="str">
            <v>Available</v>
          </cell>
        </row>
        <row r="5159">
          <cell r="A5159" t="str">
            <v>106100170011</v>
          </cell>
          <cell r="B5159" t="str">
            <v>Mahua BMC</v>
          </cell>
          <cell r="C5159" t="str">
            <v>Mahua BMC</v>
          </cell>
          <cell r="D5159" t="str">
            <v>GOMUKH Bheraukhara</v>
          </cell>
          <cell r="E5159">
            <v>10610017</v>
          </cell>
          <cell r="F5159" t="str">
            <v>0011</v>
          </cell>
          <cell r="G5159">
            <v>10</v>
          </cell>
          <cell r="H5159">
            <v>13</v>
          </cell>
          <cell r="I5159">
            <v>490.07704680000012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P5159">
            <v>490</v>
          </cell>
          <cell r="V5159" t="str">
            <v>Available</v>
          </cell>
        </row>
        <row r="5160">
          <cell r="A5160" t="str">
            <v>106100170012</v>
          </cell>
          <cell r="B5160" t="str">
            <v>Mahua BMC</v>
          </cell>
          <cell r="C5160" t="str">
            <v>Mahua BMC</v>
          </cell>
          <cell r="D5160" t="str">
            <v>GOMUKH Bheraukhara</v>
          </cell>
          <cell r="E5160">
            <v>10610017</v>
          </cell>
          <cell r="F5160" t="str">
            <v>0012</v>
          </cell>
          <cell r="G5160">
            <v>7</v>
          </cell>
          <cell r="H5160">
            <v>30.7</v>
          </cell>
          <cell r="I5160">
            <v>974.49291779400005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P5160">
            <v>974</v>
          </cell>
          <cell r="V5160" t="str">
            <v>Available</v>
          </cell>
        </row>
        <row r="5161">
          <cell r="A5161" t="str">
            <v>106100170015</v>
          </cell>
          <cell r="B5161" t="str">
            <v>Mahua BMC</v>
          </cell>
          <cell r="C5161" t="str">
            <v>Mahua BMC</v>
          </cell>
          <cell r="D5161" t="str">
            <v>GOMUKH Bheraukhara</v>
          </cell>
          <cell r="E5161">
            <v>10610017</v>
          </cell>
          <cell r="F5161" t="str">
            <v>0015</v>
          </cell>
          <cell r="G5161">
            <v>7</v>
          </cell>
          <cell r="H5161">
            <v>14.599999999999998</v>
          </cell>
          <cell r="I5161">
            <v>1123.2699014300001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P5161">
            <v>1123</v>
          </cell>
          <cell r="V5161" t="str">
            <v>Available</v>
          </cell>
        </row>
        <row r="5162">
          <cell r="A5162" t="str">
            <v>106100170016</v>
          </cell>
          <cell r="B5162" t="str">
            <v>Mahua BMC</v>
          </cell>
          <cell r="C5162" t="str">
            <v>Mahua BMC</v>
          </cell>
          <cell r="D5162" t="str">
            <v>GOMUKH Bheraukhara</v>
          </cell>
          <cell r="E5162">
            <v>10610017</v>
          </cell>
          <cell r="F5162" t="str">
            <v>0016</v>
          </cell>
          <cell r="G5162">
            <v>5</v>
          </cell>
          <cell r="H5162">
            <v>17.2</v>
          </cell>
          <cell r="I5162">
            <v>527.25784953600009</v>
          </cell>
          <cell r="J5162">
            <v>0</v>
          </cell>
          <cell r="K5162">
            <v>0</v>
          </cell>
          <cell r="L5162">
            <v>0</v>
          </cell>
          <cell r="M5162">
            <v>0</v>
          </cell>
          <cell r="P5162">
            <v>527</v>
          </cell>
          <cell r="V5162" t="str">
            <v>Available</v>
          </cell>
        </row>
        <row r="5163">
          <cell r="A5163" t="str">
            <v>106100180002</v>
          </cell>
          <cell r="B5163" t="str">
            <v>Mahua BMC</v>
          </cell>
          <cell r="C5163" t="str">
            <v>Mahua BMC</v>
          </cell>
          <cell r="D5163" t="str">
            <v>GOMUKH SUPOLTARIYA</v>
          </cell>
          <cell r="E5163">
            <v>10610018</v>
          </cell>
          <cell r="F5163" t="str">
            <v>0002</v>
          </cell>
          <cell r="G5163">
            <v>14</v>
          </cell>
          <cell r="H5163">
            <v>299.20000000000005</v>
          </cell>
          <cell r="I5163">
            <v>11471.989735374502</v>
          </cell>
          <cell r="J5163">
            <v>0</v>
          </cell>
          <cell r="K5163">
            <v>0</v>
          </cell>
          <cell r="L5163">
            <v>0</v>
          </cell>
          <cell r="M5163">
            <v>0</v>
          </cell>
          <cell r="P5163">
            <v>11472</v>
          </cell>
          <cell r="V5163" t="str">
            <v>Available</v>
          </cell>
        </row>
        <row r="5164">
          <cell r="A5164" t="str">
            <v>106100180003</v>
          </cell>
          <cell r="B5164" t="str">
            <v>Mahua BMC</v>
          </cell>
          <cell r="C5164" t="str">
            <v>Mahua BMC</v>
          </cell>
          <cell r="D5164" t="str">
            <v>GOMUKH SUPOLTARIYA</v>
          </cell>
          <cell r="E5164">
            <v>10610018</v>
          </cell>
          <cell r="F5164" t="str">
            <v>0003</v>
          </cell>
          <cell r="G5164">
            <v>9</v>
          </cell>
          <cell r="H5164">
            <v>18.3</v>
          </cell>
          <cell r="I5164">
            <v>1398.9599786129997</v>
          </cell>
          <cell r="J5164">
            <v>0</v>
          </cell>
          <cell r="K5164">
            <v>0</v>
          </cell>
          <cell r="L5164">
            <v>0</v>
          </cell>
          <cell r="M5164">
            <v>0</v>
          </cell>
          <cell r="P5164">
            <v>1399</v>
          </cell>
          <cell r="V5164" t="str">
            <v>Available</v>
          </cell>
        </row>
        <row r="5165">
          <cell r="A5165" t="str">
            <v>106100180004</v>
          </cell>
          <cell r="B5165" t="str">
            <v>Mahua BMC</v>
          </cell>
          <cell r="C5165" t="str">
            <v>Mahua BMC</v>
          </cell>
          <cell r="D5165" t="str">
            <v>GOMUKH SUPOLTARIYA</v>
          </cell>
          <cell r="E5165">
            <v>10610018</v>
          </cell>
          <cell r="F5165" t="str">
            <v>0004</v>
          </cell>
          <cell r="G5165">
            <v>13</v>
          </cell>
          <cell r="H5165">
            <v>15.2</v>
          </cell>
          <cell r="I5165">
            <v>977.6420570514</v>
          </cell>
          <cell r="J5165">
            <v>0</v>
          </cell>
          <cell r="K5165">
            <v>0</v>
          </cell>
          <cell r="L5165">
            <v>0</v>
          </cell>
          <cell r="M5165">
            <v>0</v>
          </cell>
          <cell r="P5165">
            <v>978</v>
          </cell>
          <cell r="V5165" t="str">
            <v>Available</v>
          </cell>
        </row>
        <row r="5166">
          <cell r="A5166" t="str">
            <v>106100180005</v>
          </cell>
          <cell r="B5166" t="str">
            <v>Mahua BMC</v>
          </cell>
          <cell r="C5166" t="str">
            <v>Mahua BMC</v>
          </cell>
          <cell r="D5166" t="str">
            <v>GOMUKH SUPOLTARIYA</v>
          </cell>
          <cell r="E5166">
            <v>10610018</v>
          </cell>
          <cell r="F5166" t="str">
            <v>0005</v>
          </cell>
          <cell r="G5166">
            <v>7</v>
          </cell>
          <cell r="H5166">
            <v>16.399999999999999</v>
          </cell>
          <cell r="I5166">
            <v>954.2614661880001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P5166">
            <v>954</v>
          </cell>
          <cell r="V5166" t="str">
            <v>Available</v>
          </cell>
        </row>
        <row r="5167">
          <cell r="A5167" t="str">
            <v>106100180007</v>
          </cell>
          <cell r="B5167" t="str">
            <v>Mahua BMC</v>
          </cell>
          <cell r="C5167" t="str">
            <v>Mahua BMC</v>
          </cell>
          <cell r="D5167" t="str">
            <v>GOMUKH SUPOLTARIYA</v>
          </cell>
          <cell r="E5167">
            <v>10610018</v>
          </cell>
          <cell r="F5167" t="str">
            <v>0007</v>
          </cell>
          <cell r="G5167">
            <v>6</v>
          </cell>
          <cell r="H5167">
            <v>12.7</v>
          </cell>
          <cell r="I5167">
            <v>1052.1503275549999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P5167">
            <v>1052</v>
          </cell>
          <cell r="V5167" t="str">
            <v>Available</v>
          </cell>
        </row>
        <row r="5168">
          <cell r="A5168" t="str">
            <v>106100180008</v>
          </cell>
          <cell r="B5168" t="str">
            <v>Mahua BMC</v>
          </cell>
          <cell r="C5168" t="str">
            <v>Mahua BMC</v>
          </cell>
          <cell r="D5168" t="str">
            <v>GOMUKH SUPOLTARIYA</v>
          </cell>
          <cell r="E5168">
            <v>10610018</v>
          </cell>
          <cell r="F5168" t="str">
            <v>0008</v>
          </cell>
          <cell r="G5168">
            <v>14</v>
          </cell>
          <cell r="H5168">
            <v>33.6</v>
          </cell>
          <cell r="I5168">
            <v>1306.6293974580001</v>
          </cell>
          <cell r="J5168">
            <v>0</v>
          </cell>
          <cell r="K5168">
            <v>0</v>
          </cell>
          <cell r="L5168">
            <v>0</v>
          </cell>
          <cell r="M5168">
            <v>0</v>
          </cell>
          <cell r="P5168">
            <v>1307</v>
          </cell>
          <cell r="V5168" t="str">
            <v>Available</v>
          </cell>
        </row>
        <row r="5169">
          <cell r="A5169" t="str">
            <v>106100180009</v>
          </cell>
          <cell r="B5169" t="str">
            <v>Mahua BMC</v>
          </cell>
          <cell r="C5169" t="str">
            <v>Mahua BMC</v>
          </cell>
          <cell r="D5169" t="str">
            <v>GOMUKH SUPOLTARIYA</v>
          </cell>
          <cell r="E5169">
            <v>10610018</v>
          </cell>
          <cell r="F5169" t="str">
            <v>0009</v>
          </cell>
          <cell r="G5169">
            <v>14</v>
          </cell>
          <cell r="H5169">
            <v>36.1</v>
          </cell>
          <cell r="I5169">
            <v>2074.4513742230001</v>
          </cell>
          <cell r="J5169">
            <v>0</v>
          </cell>
          <cell r="K5169">
            <v>0</v>
          </cell>
          <cell r="L5169">
            <v>0</v>
          </cell>
          <cell r="M5169">
            <v>0</v>
          </cell>
          <cell r="P5169">
            <v>2074</v>
          </cell>
          <cell r="V5169" t="str">
            <v>Available</v>
          </cell>
        </row>
        <row r="5170">
          <cell r="A5170" t="str">
            <v>106100190002</v>
          </cell>
          <cell r="B5170" t="str">
            <v>Mahua BMC</v>
          </cell>
          <cell r="C5170" t="str">
            <v>Mahua BMC</v>
          </cell>
          <cell r="D5170" t="str">
            <v>GOMUKH Shravanapatti</v>
          </cell>
          <cell r="E5170">
            <v>10610019</v>
          </cell>
          <cell r="F5170" t="str">
            <v>0002</v>
          </cell>
          <cell r="G5170">
            <v>14</v>
          </cell>
          <cell r="H5170">
            <v>148.89999999999998</v>
          </cell>
          <cell r="I5170">
            <v>6517.7012521132483</v>
          </cell>
          <cell r="J5170">
            <v>0</v>
          </cell>
          <cell r="K5170">
            <v>0</v>
          </cell>
          <cell r="L5170">
            <v>753</v>
          </cell>
          <cell r="M5170">
            <v>0</v>
          </cell>
          <cell r="P5170">
            <v>5765</v>
          </cell>
          <cell r="V5170" t="str">
            <v>Available</v>
          </cell>
        </row>
        <row r="5171">
          <cell r="A5171" t="str">
            <v>106100190006</v>
          </cell>
          <cell r="B5171" t="str">
            <v>Mahua BMC</v>
          </cell>
          <cell r="C5171" t="str">
            <v>Mahua BMC</v>
          </cell>
          <cell r="D5171" t="str">
            <v>GOMUKH Shravanapatti</v>
          </cell>
          <cell r="E5171">
            <v>10610019</v>
          </cell>
          <cell r="F5171" t="str">
            <v>0006</v>
          </cell>
          <cell r="G5171">
            <v>2</v>
          </cell>
          <cell r="H5171">
            <v>7</v>
          </cell>
          <cell r="I5171">
            <v>551.61812129549992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P5171">
            <v>552</v>
          </cell>
          <cell r="V5171" t="str">
            <v>Available</v>
          </cell>
        </row>
        <row r="5172">
          <cell r="A5172" t="str">
            <v>106100190007</v>
          </cell>
          <cell r="B5172" t="str">
            <v>Mahua BMC</v>
          </cell>
          <cell r="C5172" t="str">
            <v>Mahua BMC</v>
          </cell>
          <cell r="D5172" t="str">
            <v>GOMUKH Shravanapatti</v>
          </cell>
          <cell r="E5172">
            <v>10610019</v>
          </cell>
          <cell r="F5172" t="str">
            <v>0007</v>
          </cell>
          <cell r="G5172">
            <v>5</v>
          </cell>
          <cell r="H5172">
            <v>17.600000000000001</v>
          </cell>
          <cell r="I5172">
            <v>1028.8373887545001</v>
          </cell>
          <cell r="J5172">
            <v>0</v>
          </cell>
          <cell r="K5172">
            <v>0</v>
          </cell>
          <cell r="L5172">
            <v>0</v>
          </cell>
          <cell r="M5172">
            <v>0</v>
          </cell>
          <cell r="P5172">
            <v>1029</v>
          </cell>
          <cell r="V5172" t="str">
            <v>Available</v>
          </cell>
        </row>
        <row r="5173">
          <cell r="A5173" t="str">
            <v>106100190008</v>
          </cell>
          <cell r="B5173" t="str">
            <v>Mahua BMC</v>
          </cell>
          <cell r="C5173" t="str">
            <v>Mahua BMC</v>
          </cell>
          <cell r="D5173" t="str">
            <v>GOMUKH Shravanapatti</v>
          </cell>
          <cell r="E5173">
            <v>10610019</v>
          </cell>
          <cell r="F5173" t="str">
            <v>0008</v>
          </cell>
          <cell r="G5173">
            <v>5</v>
          </cell>
          <cell r="H5173">
            <v>12.4</v>
          </cell>
          <cell r="I5173">
            <v>526.41224048799995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P5173">
            <v>526</v>
          </cell>
          <cell r="V5173" t="str">
            <v>Available</v>
          </cell>
        </row>
        <row r="5174">
          <cell r="A5174" t="str">
            <v>106100200002</v>
          </cell>
          <cell r="B5174" t="str">
            <v>Mahua BMC</v>
          </cell>
          <cell r="C5174" t="str">
            <v>Mahua BMC</v>
          </cell>
          <cell r="D5174" t="str">
            <v>GOMUKH Jilwara</v>
          </cell>
          <cell r="E5174">
            <v>10610020</v>
          </cell>
          <cell r="F5174" t="str">
            <v>0002</v>
          </cell>
          <cell r="G5174">
            <v>14</v>
          </cell>
          <cell r="H5174">
            <v>97.000000000000014</v>
          </cell>
          <cell r="I5174">
            <v>3496.696811361001</v>
          </cell>
          <cell r="J5174">
            <v>0</v>
          </cell>
          <cell r="K5174">
            <v>0</v>
          </cell>
          <cell r="L5174">
            <v>1607</v>
          </cell>
          <cell r="M5174">
            <v>0</v>
          </cell>
          <cell r="P5174">
            <v>1890</v>
          </cell>
          <cell r="V5174" t="str">
            <v>Available</v>
          </cell>
        </row>
        <row r="5175">
          <cell r="A5175" t="str">
            <v>106100200005</v>
          </cell>
          <cell r="B5175" t="str">
            <v>Mahua BMC</v>
          </cell>
          <cell r="C5175" t="str">
            <v>Mahua BMC</v>
          </cell>
          <cell r="D5175" t="str">
            <v>GOMUKH Jilwara</v>
          </cell>
          <cell r="E5175">
            <v>10610020</v>
          </cell>
          <cell r="F5175" t="str">
            <v>0005</v>
          </cell>
          <cell r="G5175">
            <v>12</v>
          </cell>
          <cell r="H5175">
            <v>20.7</v>
          </cell>
          <cell r="I5175">
            <v>1355.1257185346003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P5175">
            <v>1355</v>
          </cell>
          <cell r="V5175" t="str">
            <v>Available</v>
          </cell>
        </row>
        <row r="5176">
          <cell r="A5176" t="str">
            <v>106100200006</v>
          </cell>
          <cell r="B5176" t="str">
            <v>Mahua BMC</v>
          </cell>
          <cell r="C5176" t="str">
            <v>Mahua BMC</v>
          </cell>
          <cell r="D5176" t="str">
            <v>GOMUKH Jilwara</v>
          </cell>
          <cell r="E5176">
            <v>10610020</v>
          </cell>
          <cell r="F5176" t="str">
            <v>0006</v>
          </cell>
          <cell r="G5176">
            <v>6</v>
          </cell>
          <cell r="H5176">
            <v>10.9</v>
          </cell>
          <cell r="I5176">
            <v>859.97427366299996</v>
          </cell>
          <cell r="J5176">
            <v>0</v>
          </cell>
          <cell r="K5176">
            <v>0</v>
          </cell>
          <cell r="L5176">
            <v>0</v>
          </cell>
          <cell r="M5176">
            <v>0</v>
          </cell>
          <cell r="P5176">
            <v>860</v>
          </cell>
          <cell r="V5176" t="str">
            <v>Available</v>
          </cell>
        </row>
        <row r="5177">
          <cell r="A5177" t="str">
            <v>106100200007</v>
          </cell>
          <cell r="B5177" t="str">
            <v>Mahua BMC</v>
          </cell>
          <cell r="C5177" t="str">
            <v>Mahua BMC</v>
          </cell>
          <cell r="D5177" t="str">
            <v>GOMUKH Jilwara</v>
          </cell>
          <cell r="E5177">
            <v>10610020</v>
          </cell>
          <cell r="F5177" t="str">
            <v>0007</v>
          </cell>
          <cell r="G5177">
            <v>13</v>
          </cell>
          <cell r="H5177">
            <v>53.5</v>
          </cell>
          <cell r="I5177">
            <v>1719.8713790280001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P5177">
            <v>1720</v>
          </cell>
          <cell r="V5177" t="str">
            <v>Available</v>
          </cell>
        </row>
        <row r="5178">
          <cell r="A5178" t="str">
            <v>106100200009</v>
          </cell>
          <cell r="B5178" t="str">
            <v>Mahua BMC</v>
          </cell>
          <cell r="C5178" t="str">
            <v>Mahua BMC</v>
          </cell>
          <cell r="D5178" t="str">
            <v>GOMUKH Jilwara</v>
          </cell>
          <cell r="E5178">
            <v>10610020</v>
          </cell>
          <cell r="F5178" t="str">
            <v>0009</v>
          </cell>
          <cell r="G5178">
            <v>8</v>
          </cell>
          <cell r="H5178">
            <v>17.099999999999998</v>
          </cell>
          <cell r="I5178">
            <v>624.62940804000016</v>
          </cell>
          <cell r="J5178">
            <v>0</v>
          </cell>
          <cell r="K5178">
            <v>0</v>
          </cell>
          <cell r="L5178">
            <v>0</v>
          </cell>
          <cell r="M5178">
            <v>0</v>
          </cell>
          <cell r="P5178">
            <v>625</v>
          </cell>
          <cell r="V5178" t="str">
            <v>Available</v>
          </cell>
        </row>
        <row r="5179">
          <cell r="A5179" t="str">
            <v>106100200012</v>
          </cell>
          <cell r="B5179" t="str">
            <v>Mahua BMC</v>
          </cell>
          <cell r="C5179" t="str">
            <v>Mahua BMC</v>
          </cell>
          <cell r="D5179" t="str">
            <v>GOMUKH Jilwara</v>
          </cell>
          <cell r="E5179">
            <v>10610020</v>
          </cell>
          <cell r="F5179" t="str">
            <v>0012</v>
          </cell>
          <cell r="G5179">
            <v>1</v>
          </cell>
          <cell r="H5179">
            <v>4.3</v>
          </cell>
          <cell r="I5179">
            <v>136.28501983799998</v>
          </cell>
          <cell r="J5179">
            <v>0</v>
          </cell>
          <cell r="K5179">
            <v>0</v>
          </cell>
          <cell r="L5179">
            <v>0</v>
          </cell>
          <cell r="M5179">
            <v>0</v>
          </cell>
          <cell r="P5179">
            <v>136</v>
          </cell>
          <cell r="V5179" t="str">
            <v>Available</v>
          </cell>
        </row>
        <row r="5180">
          <cell r="A5180" t="str">
            <v>106100200013</v>
          </cell>
          <cell r="B5180" t="str">
            <v>Mahua BMC</v>
          </cell>
          <cell r="C5180" t="str">
            <v>Mahua BMC</v>
          </cell>
          <cell r="D5180" t="str">
            <v>GOMUKH Jilwara</v>
          </cell>
          <cell r="E5180">
            <v>10610020</v>
          </cell>
          <cell r="F5180" t="str">
            <v>0013</v>
          </cell>
          <cell r="G5180">
            <v>7</v>
          </cell>
          <cell r="H5180">
            <v>29.5</v>
          </cell>
          <cell r="I5180">
            <v>975.11996498400003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P5180">
            <v>975</v>
          </cell>
          <cell r="V5180" t="str">
            <v>Available</v>
          </cell>
        </row>
        <row r="5181">
          <cell r="A5181" t="str">
            <v>106100200017</v>
          </cell>
          <cell r="B5181" t="str">
            <v>Mahua BMC</v>
          </cell>
          <cell r="C5181" t="str">
            <v>Mahua BMC</v>
          </cell>
          <cell r="D5181" t="str">
            <v>GOMUKH Jilwara</v>
          </cell>
          <cell r="E5181">
            <v>10610020</v>
          </cell>
          <cell r="F5181" t="str">
            <v>0017</v>
          </cell>
          <cell r="G5181">
            <v>11</v>
          </cell>
          <cell r="H5181">
            <v>41.3</v>
          </cell>
          <cell r="I5181">
            <v>1832.3337483362002</v>
          </cell>
          <cell r="J5181">
            <v>0</v>
          </cell>
          <cell r="K5181">
            <v>0</v>
          </cell>
          <cell r="L5181">
            <v>0</v>
          </cell>
          <cell r="M5181">
            <v>0</v>
          </cell>
          <cell r="P5181">
            <v>1832</v>
          </cell>
          <cell r="V5181" t="str">
            <v>Available</v>
          </cell>
        </row>
        <row r="5182">
          <cell r="A5182" t="str">
            <v>106100200018</v>
          </cell>
          <cell r="B5182" t="str">
            <v>Mahua BMC</v>
          </cell>
          <cell r="C5182" t="str">
            <v>Mahua BMC</v>
          </cell>
          <cell r="D5182" t="str">
            <v>GOMUKH Jilwara</v>
          </cell>
          <cell r="E5182">
            <v>10610020</v>
          </cell>
          <cell r="F5182" t="str">
            <v>0018</v>
          </cell>
          <cell r="G5182">
            <v>1</v>
          </cell>
          <cell r="H5182">
            <v>1.4</v>
          </cell>
          <cell r="I5182">
            <v>58.95273384</v>
          </cell>
          <cell r="J5182">
            <v>0</v>
          </cell>
          <cell r="K5182">
            <v>0</v>
          </cell>
          <cell r="L5182">
            <v>0</v>
          </cell>
          <cell r="M5182">
            <v>0</v>
          </cell>
          <cell r="P5182">
            <v>59</v>
          </cell>
          <cell r="V5182" t="str">
            <v>Available</v>
          </cell>
        </row>
        <row r="5183">
          <cell r="A5183" t="str">
            <v>106100200019</v>
          </cell>
          <cell r="B5183" t="str">
            <v>Mahua BMC</v>
          </cell>
          <cell r="C5183" t="str">
            <v>Mahua BMC</v>
          </cell>
          <cell r="D5183" t="str">
            <v>GOMUKH Jilwara</v>
          </cell>
          <cell r="E5183">
            <v>10610020</v>
          </cell>
          <cell r="F5183" t="str">
            <v>0019</v>
          </cell>
          <cell r="G5183">
            <v>9</v>
          </cell>
          <cell r="H5183">
            <v>68</v>
          </cell>
          <cell r="I5183">
            <v>2670.3586734092005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P5183">
            <v>2670</v>
          </cell>
          <cell r="V5183" t="str">
            <v>Available</v>
          </cell>
        </row>
        <row r="5184">
          <cell r="A5184" t="str">
            <v>106100200020</v>
          </cell>
          <cell r="B5184" t="str">
            <v>Mahua BMC</v>
          </cell>
          <cell r="C5184" t="str">
            <v>Mahua BMC</v>
          </cell>
          <cell r="D5184" t="str">
            <v>GOMUKH Jilwara</v>
          </cell>
          <cell r="E5184">
            <v>10610020</v>
          </cell>
          <cell r="F5184" t="str">
            <v>0020</v>
          </cell>
          <cell r="G5184">
            <v>11</v>
          </cell>
          <cell r="H5184">
            <v>21.900000000000002</v>
          </cell>
          <cell r="I5184">
            <v>1600.5938408186998</v>
          </cell>
          <cell r="J5184">
            <v>0</v>
          </cell>
          <cell r="K5184">
            <v>0</v>
          </cell>
          <cell r="L5184">
            <v>0</v>
          </cell>
          <cell r="M5184">
            <v>0</v>
          </cell>
          <cell r="P5184">
            <v>1601</v>
          </cell>
          <cell r="V5184" t="str">
            <v>Available</v>
          </cell>
        </row>
        <row r="5185">
          <cell r="A5185" t="str">
            <v>106100200022</v>
          </cell>
          <cell r="B5185" t="str">
            <v>Mahua BMC</v>
          </cell>
          <cell r="C5185" t="str">
            <v>Mahua BMC</v>
          </cell>
          <cell r="D5185" t="str">
            <v>GOMUKH Jilwara</v>
          </cell>
          <cell r="E5185">
            <v>10610020</v>
          </cell>
          <cell r="F5185" t="str">
            <v>0022</v>
          </cell>
          <cell r="G5185">
            <v>10</v>
          </cell>
          <cell r="H5185">
            <v>35.400000000000006</v>
          </cell>
          <cell r="I5185">
            <v>1240.7731732904999</v>
          </cell>
          <cell r="J5185">
            <v>0</v>
          </cell>
          <cell r="K5185">
            <v>0</v>
          </cell>
          <cell r="L5185">
            <v>0</v>
          </cell>
          <cell r="M5185">
            <v>0</v>
          </cell>
          <cell r="P5185">
            <v>1241</v>
          </cell>
          <cell r="V5185" t="str">
            <v>Available</v>
          </cell>
        </row>
        <row r="5186">
          <cell r="A5186" t="str">
            <v>106100220002</v>
          </cell>
          <cell r="B5186" t="str">
            <v>Mahua BMC</v>
          </cell>
          <cell r="C5186" t="str">
            <v>Mahua BMC</v>
          </cell>
          <cell r="D5186" t="str">
            <v>GOMUKH ABBUCHAK</v>
          </cell>
          <cell r="E5186">
            <v>10610022</v>
          </cell>
          <cell r="F5186" t="str">
            <v>0002</v>
          </cell>
          <cell r="G5186">
            <v>13</v>
          </cell>
          <cell r="H5186">
            <v>120.29999999999997</v>
          </cell>
          <cell r="I5186">
            <v>5331.0778679768009</v>
          </cell>
          <cell r="J5186">
            <v>0</v>
          </cell>
          <cell r="K5186">
            <v>0</v>
          </cell>
          <cell r="L5186">
            <v>392</v>
          </cell>
          <cell r="M5186">
            <v>0</v>
          </cell>
          <cell r="P5186">
            <v>4939</v>
          </cell>
          <cell r="V5186" t="str">
            <v>Available</v>
          </cell>
        </row>
        <row r="5187">
          <cell r="A5187" t="str">
            <v>106100220003</v>
          </cell>
          <cell r="B5187" t="str">
            <v>Mahua BMC</v>
          </cell>
          <cell r="C5187" t="str">
            <v>Mahua BMC</v>
          </cell>
          <cell r="D5187" t="str">
            <v>GOMUKH ABBUCHAK</v>
          </cell>
          <cell r="E5187">
            <v>10610022</v>
          </cell>
          <cell r="F5187" t="str">
            <v>0003</v>
          </cell>
          <cell r="G5187">
            <v>6</v>
          </cell>
          <cell r="H5187">
            <v>12</v>
          </cell>
          <cell r="I5187">
            <v>470.61986400000006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P5187">
            <v>471</v>
          </cell>
          <cell r="V5187" t="str">
            <v>Available</v>
          </cell>
        </row>
        <row r="5188">
          <cell r="A5188" t="str">
            <v>106100220005</v>
          </cell>
          <cell r="B5188" t="str">
            <v>Mahua BMC</v>
          </cell>
          <cell r="C5188" t="str">
            <v>Mahua BMC</v>
          </cell>
          <cell r="D5188" t="str">
            <v>GOMUKH ABBUCHAK</v>
          </cell>
          <cell r="E5188">
            <v>10610022</v>
          </cell>
          <cell r="F5188" t="str">
            <v>0005</v>
          </cell>
          <cell r="G5188">
            <v>3</v>
          </cell>
          <cell r="H5188">
            <v>8.9</v>
          </cell>
          <cell r="I5188">
            <v>294.517064952</v>
          </cell>
          <cell r="J5188">
            <v>0</v>
          </cell>
          <cell r="K5188">
            <v>0</v>
          </cell>
          <cell r="L5188">
            <v>0</v>
          </cell>
          <cell r="M5188">
            <v>0</v>
          </cell>
          <cell r="P5188">
            <v>295</v>
          </cell>
          <cell r="V5188" t="str">
            <v>Available</v>
          </cell>
        </row>
        <row r="5189">
          <cell r="A5189" t="str">
            <v>106100220006</v>
          </cell>
          <cell r="B5189" t="str">
            <v>Mahua BMC</v>
          </cell>
          <cell r="C5189" t="str">
            <v>Mahua BMC</v>
          </cell>
          <cell r="D5189" t="str">
            <v>GOMUKH ABBUCHAK</v>
          </cell>
          <cell r="E5189">
            <v>10610022</v>
          </cell>
          <cell r="F5189" t="str">
            <v>0006</v>
          </cell>
          <cell r="G5189">
            <v>6</v>
          </cell>
          <cell r="H5189">
            <v>10.700000000000001</v>
          </cell>
          <cell r="I5189">
            <v>398.06232008400002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P5189">
            <v>398</v>
          </cell>
          <cell r="V5189" t="str">
            <v>Available</v>
          </cell>
        </row>
        <row r="5190">
          <cell r="A5190" t="str">
            <v>106100220007</v>
          </cell>
          <cell r="B5190" t="str">
            <v>Mahua BMC</v>
          </cell>
          <cell r="C5190" t="str">
            <v>Mahua BMC</v>
          </cell>
          <cell r="D5190" t="str">
            <v>GOMUKH ABBUCHAK</v>
          </cell>
          <cell r="E5190">
            <v>10610022</v>
          </cell>
          <cell r="F5190" t="str">
            <v>0007</v>
          </cell>
          <cell r="G5190">
            <v>1</v>
          </cell>
          <cell r="H5190">
            <v>2.7</v>
          </cell>
          <cell r="I5190">
            <v>161.542566351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P5190">
            <v>162</v>
          </cell>
          <cell r="V5190" t="str">
            <v>Available</v>
          </cell>
        </row>
        <row r="5191">
          <cell r="A5191" t="str">
            <v>106100220011</v>
          </cell>
          <cell r="B5191" t="str">
            <v>Mahua BMC</v>
          </cell>
          <cell r="C5191" t="str">
            <v>Mahua BMC</v>
          </cell>
          <cell r="D5191" t="str">
            <v>GOMUKH ABBUCHAK</v>
          </cell>
          <cell r="E5191">
            <v>10610022</v>
          </cell>
          <cell r="F5191" t="str">
            <v>0011</v>
          </cell>
          <cell r="G5191">
            <v>1</v>
          </cell>
          <cell r="H5191">
            <v>3</v>
          </cell>
          <cell r="I5191">
            <v>112.86320760000001</v>
          </cell>
          <cell r="J5191">
            <v>0</v>
          </cell>
          <cell r="K5191">
            <v>0</v>
          </cell>
          <cell r="L5191">
            <v>0</v>
          </cell>
          <cell r="M5191">
            <v>0</v>
          </cell>
          <cell r="P5191">
            <v>113</v>
          </cell>
          <cell r="V5191" t="str">
            <v>Available</v>
          </cell>
        </row>
        <row r="5192">
          <cell r="A5192" t="str">
            <v>106100220013</v>
          </cell>
          <cell r="B5192" t="str">
            <v>Mahua BMC</v>
          </cell>
          <cell r="C5192" t="str">
            <v>Mahua BMC</v>
          </cell>
          <cell r="D5192" t="str">
            <v>GOMUKH ABBUCHAK</v>
          </cell>
          <cell r="E5192">
            <v>10610022</v>
          </cell>
          <cell r="F5192" t="str">
            <v>0013</v>
          </cell>
          <cell r="G5192">
            <v>6</v>
          </cell>
          <cell r="H5192">
            <v>13.1</v>
          </cell>
          <cell r="I5192">
            <v>643.58448046630008</v>
          </cell>
          <cell r="J5192">
            <v>0</v>
          </cell>
          <cell r="K5192">
            <v>0</v>
          </cell>
          <cell r="L5192">
            <v>0</v>
          </cell>
          <cell r="M5192">
            <v>0</v>
          </cell>
          <cell r="P5192">
            <v>644</v>
          </cell>
          <cell r="V5192" t="str">
            <v>Available</v>
          </cell>
        </row>
        <row r="5193">
          <cell r="A5193" t="str">
            <v>106100220014</v>
          </cell>
          <cell r="B5193" t="str">
            <v>Mahua BMC</v>
          </cell>
          <cell r="C5193" t="str">
            <v>Mahua BMC</v>
          </cell>
          <cell r="D5193" t="str">
            <v>GOMUKH ABBUCHAK</v>
          </cell>
          <cell r="E5193">
            <v>10610022</v>
          </cell>
          <cell r="F5193" t="str">
            <v>0014</v>
          </cell>
          <cell r="G5193">
            <v>1</v>
          </cell>
          <cell r="H5193">
            <v>3.2</v>
          </cell>
          <cell r="I5193">
            <v>84.313608192000018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P5193">
            <v>84</v>
          </cell>
          <cell r="V5193" t="str">
            <v>Available</v>
          </cell>
        </row>
        <row r="5194">
          <cell r="A5194" t="str">
            <v>106100240001</v>
          </cell>
          <cell r="B5194" t="str">
            <v>Mahua BMC</v>
          </cell>
          <cell r="C5194" t="str">
            <v>Mahua BMC</v>
          </cell>
          <cell r="D5194" t="str">
            <v>GOMUKH KAILA JALALPUR</v>
          </cell>
          <cell r="E5194">
            <v>10610024</v>
          </cell>
          <cell r="F5194" t="str">
            <v>0001</v>
          </cell>
          <cell r="G5194">
            <v>10</v>
          </cell>
          <cell r="H5194">
            <v>2.5</v>
          </cell>
          <cell r="I5194">
            <v>99.543981239999994</v>
          </cell>
          <cell r="J5194">
            <v>0</v>
          </cell>
          <cell r="K5194">
            <v>99.543981239999994</v>
          </cell>
          <cell r="L5194">
            <v>0</v>
          </cell>
          <cell r="M5194">
            <v>0</v>
          </cell>
          <cell r="P5194">
            <v>0</v>
          </cell>
          <cell r="V5194" t="str">
            <v>Not Available</v>
          </cell>
        </row>
        <row r="5195">
          <cell r="A5195" t="str">
            <v>106100240002</v>
          </cell>
          <cell r="B5195" t="str">
            <v>Mahua BMC</v>
          </cell>
          <cell r="C5195" t="str">
            <v>Mahua BMC</v>
          </cell>
          <cell r="D5195" t="str">
            <v>GOMUKH KAILA JALALPUR</v>
          </cell>
          <cell r="E5195">
            <v>10610024</v>
          </cell>
          <cell r="F5195" t="str">
            <v>0002</v>
          </cell>
          <cell r="G5195">
            <v>2</v>
          </cell>
          <cell r="H5195">
            <v>0.6</v>
          </cell>
          <cell r="I5195">
            <v>23.245869239999998</v>
          </cell>
          <cell r="J5195">
            <v>0</v>
          </cell>
          <cell r="K5195">
            <v>0</v>
          </cell>
          <cell r="L5195">
            <v>23</v>
          </cell>
          <cell r="M5195">
            <v>0</v>
          </cell>
          <cell r="P5195">
            <v>0</v>
          </cell>
          <cell r="V5195" t="str">
            <v>Available</v>
          </cell>
        </row>
        <row r="5196">
          <cell r="A5196" t="str">
            <v>106100240003</v>
          </cell>
          <cell r="B5196" t="str">
            <v>Mahua BMC</v>
          </cell>
          <cell r="C5196" t="str">
            <v>Mahua BMC</v>
          </cell>
          <cell r="D5196" t="str">
            <v>GOMUKH KAILA JALALPUR</v>
          </cell>
          <cell r="E5196">
            <v>10610024</v>
          </cell>
          <cell r="F5196" t="str">
            <v>0003</v>
          </cell>
          <cell r="G5196">
            <v>14</v>
          </cell>
          <cell r="H5196">
            <v>22.699999999999996</v>
          </cell>
          <cell r="I5196">
            <v>1206.8928393880001</v>
          </cell>
          <cell r="J5196">
            <v>0</v>
          </cell>
          <cell r="K5196">
            <v>0</v>
          </cell>
          <cell r="L5196">
            <v>23</v>
          </cell>
          <cell r="M5196">
            <v>0</v>
          </cell>
          <cell r="P5196">
            <v>1184</v>
          </cell>
          <cell r="V5196" t="str">
            <v>Available</v>
          </cell>
        </row>
        <row r="5197">
          <cell r="A5197" t="str">
            <v>106100240004</v>
          </cell>
          <cell r="B5197" t="str">
            <v>Mahua BMC</v>
          </cell>
          <cell r="C5197" t="str">
            <v>Mahua BMC</v>
          </cell>
          <cell r="D5197" t="str">
            <v>GOMUKH KAILA JALALPUR</v>
          </cell>
          <cell r="E5197">
            <v>10610024</v>
          </cell>
          <cell r="F5197" t="str">
            <v>0004</v>
          </cell>
          <cell r="G5197">
            <v>10</v>
          </cell>
          <cell r="H5197">
            <v>41.8</v>
          </cell>
          <cell r="I5197">
            <v>1592.470954572</v>
          </cell>
          <cell r="J5197">
            <v>0</v>
          </cell>
          <cell r="K5197">
            <v>0</v>
          </cell>
          <cell r="L5197">
            <v>0</v>
          </cell>
          <cell r="M5197">
            <v>0</v>
          </cell>
          <cell r="P5197">
            <v>1592</v>
          </cell>
          <cell r="V5197" t="str">
            <v>Available</v>
          </cell>
        </row>
        <row r="5198">
          <cell r="A5198" t="str">
            <v>106100240007</v>
          </cell>
          <cell r="B5198" t="str">
            <v>Mahua BMC</v>
          </cell>
          <cell r="C5198" t="str">
            <v>Mahua BMC</v>
          </cell>
          <cell r="D5198" t="str">
            <v>GOMUKH KAILA JALALPUR</v>
          </cell>
          <cell r="E5198">
            <v>10610024</v>
          </cell>
          <cell r="F5198" t="str">
            <v>0007</v>
          </cell>
          <cell r="G5198">
            <v>1</v>
          </cell>
          <cell r="H5198">
            <v>1.4</v>
          </cell>
          <cell r="I5198">
            <v>62.648807759999997</v>
          </cell>
          <cell r="J5198">
            <v>0</v>
          </cell>
          <cell r="K5198">
            <v>0</v>
          </cell>
          <cell r="L5198">
            <v>0</v>
          </cell>
          <cell r="M5198">
            <v>0</v>
          </cell>
          <cell r="P5198">
            <v>63</v>
          </cell>
          <cell r="V5198" t="str">
            <v>Available</v>
          </cell>
        </row>
        <row r="5199">
          <cell r="A5199" t="str">
            <v>106100240008</v>
          </cell>
          <cell r="B5199" t="str">
            <v>Mahua BMC</v>
          </cell>
          <cell r="C5199" t="str">
            <v>Mahua BMC</v>
          </cell>
          <cell r="D5199" t="str">
            <v>GOMUKH KAILA JALALPUR</v>
          </cell>
          <cell r="E5199">
            <v>10610024</v>
          </cell>
          <cell r="F5199" t="str">
            <v>0008</v>
          </cell>
          <cell r="G5199">
            <v>7</v>
          </cell>
          <cell r="H5199">
            <v>21.4</v>
          </cell>
          <cell r="I5199">
            <v>769.8608478000001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P5199">
            <v>770</v>
          </cell>
          <cell r="V5199" t="str">
            <v>Available</v>
          </cell>
        </row>
        <row r="5200">
          <cell r="A5200" t="str">
            <v>106100240009</v>
          </cell>
          <cell r="B5200" t="str">
            <v>Mahua BMC</v>
          </cell>
          <cell r="C5200" t="str">
            <v>Mahua BMC</v>
          </cell>
          <cell r="D5200" t="str">
            <v>GOMUKH KAILA JALALPUR</v>
          </cell>
          <cell r="E5200">
            <v>10610024</v>
          </cell>
          <cell r="F5200" t="str">
            <v>0009</v>
          </cell>
          <cell r="G5200">
            <v>14</v>
          </cell>
          <cell r="H5200">
            <v>111.29999999999998</v>
          </cell>
          <cell r="I5200">
            <v>3984.1717251600003</v>
          </cell>
          <cell r="J5200">
            <v>0</v>
          </cell>
          <cell r="K5200">
            <v>0</v>
          </cell>
          <cell r="L5200">
            <v>0</v>
          </cell>
          <cell r="M5200">
            <v>0</v>
          </cell>
          <cell r="P5200">
            <v>3984</v>
          </cell>
          <cell r="V5200" t="str">
            <v>Available</v>
          </cell>
        </row>
        <row r="5201">
          <cell r="A5201" t="str">
            <v>106100240011</v>
          </cell>
          <cell r="B5201" t="str">
            <v>Mahua BMC</v>
          </cell>
          <cell r="C5201" t="str">
            <v>Mahua BMC</v>
          </cell>
          <cell r="D5201" t="str">
            <v>GOMUKH KAILA JALALPUR</v>
          </cell>
          <cell r="E5201">
            <v>10610024</v>
          </cell>
          <cell r="F5201" t="str">
            <v>0011</v>
          </cell>
          <cell r="G5201">
            <v>7</v>
          </cell>
          <cell r="H5201">
            <v>15.599999999999998</v>
          </cell>
          <cell r="I5201">
            <v>603.31019760000004</v>
          </cell>
          <cell r="J5201">
            <v>0</v>
          </cell>
          <cell r="K5201">
            <v>0</v>
          </cell>
          <cell r="L5201">
            <v>0</v>
          </cell>
          <cell r="M5201">
            <v>0</v>
          </cell>
          <cell r="P5201">
            <v>603</v>
          </cell>
          <cell r="V5201" t="str">
            <v>Available</v>
          </cell>
        </row>
        <row r="5202">
          <cell r="A5202" t="str">
            <v>106100240013</v>
          </cell>
          <cell r="B5202" t="str">
            <v>Mahua BMC</v>
          </cell>
          <cell r="C5202" t="str">
            <v>Mahua BMC</v>
          </cell>
          <cell r="D5202" t="str">
            <v>GOMUKH KAILA JALALPUR</v>
          </cell>
          <cell r="E5202">
            <v>10610024</v>
          </cell>
          <cell r="F5202" t="str">
            <v>0013</v>
          </cell>
          <cell r="G5202">
            <v>1</v>
          </cell>
          <cell r="H5202">
            <v>3.3</v>
          </cell>
          <cell r="I5202">
            <v>138.52445904000004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P5202">
            <v>139</v>
          </cell>
          <cell r="V5202" t="str">
            <v>Available</v>
          </cell>
        </row>
        <row r="5203">
          <cell r="A5203" t="str">
            <v>106100260002</v>
          </cell>
          <cell r="B5203" t="str">
            <v>Mahua BMC</v>
          </cell>
          <cell r="C5203" t="str">
            <v>Mahua BMC</v>
          </cell>
          <cell r="D5203" t="str">
            <v>Gomukh Jhitkahi East</v>
          </cell>
          <cell r="E5203">
            <v>10610026</v>
          </cell>
          <cell r="F5203" t="str">
            <v>0002</v>
          </cell>
          <cell r="G5203">
            <v>7</v>
          </cell>
          <cell r="H5203">
            <v>12.3</v>
          </cell>
          <cell r="I5203">
            <v>795.59265297479999</v>
          </cell>
          <cell r="J5203">
            <v>0</v>
          </cell>
          <cell r="K5203">
            <v>0</v>
          </cell>
          <cell r="L5203">
            <v>298</v>
          </cell>
          <cell r="M5203">
            <v>0</v>
          </cell>
          <cell r="P5203">
            <v>498</v>
          </cell>
          <cell r="V5203" t="str">
            <v>Available</v>
          </cell>
        </row>
        <row r="5204">
          <cell r="A5204" t="str">
            <v>106100260003</v>
          </cell>
          <cell r="B5204" t="str">
            <v>Mahua BMC</v>
          </cell>
          <cell r="C5204" t="str">
            <v>Mahua BMC</v>
          </cell>
          <cell r="D5204" t="str">
            <v>Gomukh Jhitkahi East</v>
          </cell>
          <cell r="E5204">
            <v>10610026</v>
          </cell>
          <cell r="F5204" t="str">
            <v>0003</v>
          </cell>
          <cell r="G5204">
            <v>6</v>
          </cell>
          <cell r="H5204">
            <v>14.4</v>
          </cell>
          <cell r="I5204">
            <v>1022.7708780400001</v>
          </cell>
          <cell r="J5204">
            <v>0</v>
          </cell>
          <cell r="K5204">
            <v>0</v>
          </cell>
          <cell r="L5204">
            <v>0</v>
          </cell>
          <cell r="M5204">
            <v>0</v>
          </cell>
          <cell r="P5204">
            <v>1023</v>
          </cell>
          <cell r="V5204" t="str">
            <v>Available</v>
          </cell>
        </row>
        <row r="5205">
          <cell r="A5205" t="str">
            <v>106100260005</v>
          </cell>
          <cell r="B5205" t="str">
            <v>Mahua BMC</v>
          </cell>
          <cell r="C5205" t="str">
            <v>Mahua BMC</v>
          </cell>
          <cell r="D5205" t="str">
            <v>Gomukh Jhitkahi East</v>
          </cell>
          <cell r="E5205">
            <v>10610026</v>
          </cell>
          <cell r="F5205" t="str">
            <v>0005</v>
          </cell>
          <cell r="G5205">
            <v>6</v>
          </cell>
          <cell r="H5205">
            <v>14</v>
          </cell>
          <cell r="I5205">
            <v>825.88858202599999</v>
          </cell>
          <cell r="J5205">
            <v>0</v>
          </cell>
          <cell r="K5205">
            <v>0</v>
          </cell>
          <cell r="L5205">
            <v>0</v>
          </cell>
          <cell r="M5205">
            <v>0</v>
          </cell>
          <cell r="P5205">
            <v>826</v>
          </cell>
          <cell r="V5205" t="str">
            <v>Available</v>
          </cell>
        </row>
        <row r="5206">
          <cell r="A5206" t="str">
            <v>106100260006</v>
          </cell>
          <cell r="B5206" t="str">
            <v>Mahua BMC</v>
          </cell>
          <cell r="C5206" t="str">
            <v>Mahua BMC</v>
          </cell>
          <cell r="D5206" t="str">
            <v>Gomukh Jhitkahi East</v>
          </cell>
          <cell r="E5206">
            <v>10610026</v>
          </cell>
          <cell r="F5206" t="str">
            <v>0006</v>
          </cell>
          <cell r="G5206">
            <v>6</v>
          </cell>
          <cell r="H5206">
            <v>14.2</v>
          </cell>
          <cell r="I5206">
            <v>960.98103336360009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P5206">
            <v>961</v>
          </cell>
          <cell r="V5206" t="str">
            <v>Available</v>
          </cell>
        </row>
        <row r="5207">
          <cell r="A5207" t="str">
            <v>106100260009</v>
          </cell>
          <cell r="B5207" t="str">
            <v>Mahua BMC</v>
          </cell>
          <cell r="C5207" t="str">
            <v>Mahua BMC</v>
          </cell>
          <cell r="D5207" t="str">
            <v>Gomukh Jhitkahi East</v>
          </cell>
          <cell r="E5207">
            <v>10610026</v>
          </cell>
          <cell r="F5207" t="str">
            <v>0009</v>
          </cell>
          <cell r="G5207">
            <v>5</v>
          </cell>
          <cell r="H5207">
            <v>7.7</v>
          </cell>
          <cell r="I5207">
            <v>511.90415961180008</v>
          </cell>
          <cell r="J5207">
            <v>0</v>
          </cell>
          <cell r="K5207">
            <v>0</v>
          </cell>
          <cell r="L5207">
            <v>0</v>
          </cell>
          <cell r="M5207">
            <v>0</v>
          </cell>
          <cell r="P5207">
            <v>512</v>
          </cell>
          <cell r="V5207" t="str">
            <v>Available</v>
          </cell>
        </row>
        <row r="5208">
          <cell r="A5208" t="str">
            <v>106300020002</v>
          </cell>
          <cell r="B5208" t="str">
            <v>Warisnagar</v>
          </cell>
          <cell r="C5208" t="str">
            <v>Warisnagar</v>
          </cell>
          <cell r="D5208" t="str">
            <v>Karua</v>
          </cell>
          <cell r="E5208">
            <v>10630002</v>
          </cell>
          <cell r="F5208" t="str">
            <v>0002</v>
          </cell>
          <cell r="G5208">
            <v>14</v>
          </cell>
          <cell r="H5208">
            <v>139.1</v>
          </cell>
          <cell r="I5208">
            <v>5814.4117925904002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P5208">
            <v>5814</v>
          </cell>
          <cell r="V5208" t="str">
            <v>Available</v>
          </cell>
        </row>
        <row r="5209">
          <cell r="A5209" t="str">
            <v>106300030001</v>
          </cell>
          <cell r="B5209" t="str">
            <v>Warisnagar</v>
          </cell>
          <cell r="C5209" t="str">
            <v>Warisnagar</v>
          </cell>
          <cell r="D5209" t="str">
            <v>Erout</v>
          </cell>
          <cell r="E5209">
            <v>10630003</v>
          </cell>
          <cell r="F5209" t="str">
            <v>0001</v>
          </cell>
          <cell r="G5209">
            <v>1</v>
          </cell>
          <cell r="H5209">
            <v>0.2</v>
          </cell>
          <cell r="I5209">
            <v>9.9717518263500011</v>
          </cell>
          <cell r="J5209">
            <v>0</v>
          </cell>
          <cell r="K5209">
            <v>9.9717518263500011</v>
          </cell>
          <cell r="L5209">
            <v>0</v>
          </cell>
          <cell r="M5209">
            <v>0</v>
          </cell>
          <cell r="P5209">
            <v>0</v>
          </cell>
          <cell r="V5209" t="str">
            <v>Not Available</v>
          </cell>
        </row>
        <row r="5210">
          <cell r="A5210" t="str">
            <v>106300030002</v>
          </cell>
          <cell r="B5210" t="str">
            <v>Warisnagar</v>
          </cell>
          <cell r="C5210" t="str">
            <v>Warisnagar</v>
          </cell>
          <cell r="D5210" t="str">
            <v>Erout</v>
          </cell>
          <cell r="E5210">
            <v>10630003</v>
          </cell>
          <cell r="F5210" t="str">
            <v>0002</v>
          </cell>
          <cell r="G5210">
            <v>14</v>
          </cell>
          <cell r="H5210">
            <v>138.9</v>
          </cell>
          <cell r="I5210">
            <v>6801.1767750306408</v>
          </cell>
          <cell r="J5210">
            <v>0</v>
          </cell>
          <cell r="K5210">
            <v>0</v>
          </cell>
          <cell r="L5210">
            <v>0</v>
          </cell>
          <cell r="M5210">
            <v>0</v>
          </cell>
          <cell r="P5210">
            <v>6801</v>
          </cell>
          <cell r="V5210" t="str">
            <v>Available</v>
          </cell>
        </row>
        <row r="5211">
          <cell r="A5211" t="str">
            <v>106300040001</v>
          </cell>
          <cell r="B5211" t="str">
            <v>Warisnagar</v>
          </cell>
          <cell r="C5211" t="str">
            <v>Warisnagar</v>
          </cell>
          <cell r="D5211" t="str">
            <v>Murli</v>
          </cell>
          <cell r="E5211">
            <v>10630004</v>
          </cell>
          <cell r="F5211" t="str">
            <v>0001</v>
          </cell>
          <cell r="G5211">
            <v>2</v>
          </cell>
          <cell r="H5211">
            <v>0.8</v>
          </cell>
          <cell r="I5211">
            <v>42.493174166880003</v>
          </cell>
          <cell r="J5211">
            <v>0</v>
          </cell>
          <cell r="K5211">
            <v>42.493174166880003</v>
          </cell>
          <cell r="L5211">
            <v>0</v>
          </cell>
          <cell r="M5211">
            <v>0</v>
          </cell>
          <cell r="P5211">
            <v>0</v>
          </cell>
          <cell r="V5211" t="str">
            <v>Not Available</v>
          </cell>
        </row>
        <row r="5212">
          <cell r="A5212" t="str">
            <v>106300040002</v>
          </cell>
          <cell r="B5212" t="str">
            <v>Warisnagar</v>
          </cell>
          <cell r="C5212" t="str">
            <v>Warisnagar</v>
          </cell>
          <cell r="D5212" t="str">
            <v>Murli</v>
          </cell>
          <cell r="E5212">
            <v>10630004</v>
          </cell>
          <cell r="F5212" t="str">
            <v>0002</v>
          </cell>
          <cell r="G5212">
            <v>14</v>
          </cell>
          <cell r="H5212">
            <v>116.10000000000001</v>
          </cell>
          <cell r="I5212">
            <v>6379.8721724499383</v>
          </cell>
          <cell r="J5212">
            <v>0</v>
          </cell>
          <cell r="K5212">
            <v>0</v>
          </cell>
          <cell r="L5212">
            <v>66</v>
          </cell>
          <cell r="M5212">
            <v>0</v>
          </cell>
          <cell r="P5212">
            <v>6314</v>
          </cell>
          <cell r="V5212" t="str">
            <v>Available</v>
          </cell>
        </row>
        <row r="5213">
          <cell r="A5213" t="str">
            <v>106300070002</v>
          </cell>
          <cell r="B5213" t="str">
            <v>Warisnagar</v>
          </cell>
          <cell r="C5213" t="str">
            <v>Warisnagar</v>
          </cell>
          <cell r="D5213" t="str">
            <v>Mahespur</v>
          </cell>
          <cell r="E5213">
            <v>10630007</v>
          </cell>
          <cell r="F5213" t="str">
            <v>0002</v>
          </cell>
          <cell r="G5213">
            <v>14</v>
          </cell>
          <cell r="H5213">
            <v>75.900000000000006</v>
          </cell>
          <cell r="I5213">
            <v>3493.2187423633995</v>
          </cell>
          <cell r="J5213">
            <v>0</v>
          </cell>
          <cell r="K5213">
            <v>0</v>
          </cell>
          <cell r="L5213">
            <v>0</v>
          </cell>
          <cell r="M5213">
            <v>0</v>
          </cell>
          <cell r="P5213">
            <v>3493</v>
          </cell>
          <cell r="V5213" t="str">
            <v>Available</v>
          </cell>
        </row>
        <row r="5214">
          <cell r="A5214" t="str">
            <v>106300080002</v>
          </cell>
          <cell r="B5214" t="str">
            <v>Warisnagar</v>
          </cell>
          <cell r="C5214" t="str">
            <v>Warisnagar</v>
          </cell>
          <cell r="D5214" t="str">
            <v>Raj Nagar</v>
          </cell>
          <cell r="E5214">
            <v>10630008</v>
          </cell>
          <cell r="F5214" t="str">
            <v>0002</v>
          </cell>
          <cell r="G5214">
            <v>10</v>
          </cell>
          <cell r="H5214">
            <v>685.6</v>
          </cell>
          <cell r="I5214">
            <v>26067.319013538003</v>
          </cell>
          <cell r="J5214">
            <v>0</v>
          </cell>
          <cell r="K5214">
            <v>0</v>
          </cell>
          <cell r="L5214">
            <v>1</v>
          </cell>
          <cell r="M5214">
            <v>0</v>
          </cell>
          <cell r="P5214">
            <v>26066</v>
          </cell>
          <cell r="V5214" t="str">
            <v>Available</v>
          </cell>
        </row>
        <row r="5215">
          <cell r="A5215" t="str">
            <v>106300090001</v>
          </cell>
          <cell r="B5215" t="str">
            <v>Warisnagar</v>
          </cell>
          <cell r="C5215" t="str">
            <v>Warisnagar</v>
          </cell>
          <cell r="D5215" t="str">
            <v>Nauapokhar</v>
          </cell>
          <cell r="E5215">
            <v>10630009</v>
          </cell>
          <cell r="F5215" t="str">
            <v>0001</v>
          </cell>
          <cell r="G5215">
            <v>13</v>
          </cell>
          <cell r="H5215">
            <v>1.3</v>
          </cell>
          <cell r="I5215">
            <v>61.732916446100006</v>
          </cell>
          <cell r="J5215">
            <v>0</v>
          </cell>
          <cell r="K5215">
            <v>61.732916446100006</v>
          </cell>
          <cell r="L5215">
            <v>0</v>
          </cell>
          <cell r="M5215">
            <v>0</v>
          </cell>
          <cell r="P5215">
            <v>0</v>
          </cell>
          <cell r="V5215" t="str">
            <v>Not Available</v>
          </cell>
        </row>
        <row r="5216">
          <cell r="A5216" t="str">
            <v>106300090002</v>
          </cell>
          <cell r="B5216" t="str">
            <v>Warisnagar</v>
          </cell>
          <cell r="C5216" t="str">
            <v>Warisnagar</v>
          </cell>
          <cell r="D5216" t="str">
            <v>Nauapokhar</v>
          </cell>
          <cell r="E5216">
            <v>10630009</v>
          </cell>
          <cell r="F5216" t="str">
            <v>0002</v>
          </cell>
          <cell r="G5216">
            <v>14</v>
          </cell>
          <cell r="H5216">
            <v>230.10000000000002</v>
          </cell>
          <cell r="I5216">
            <v>10555.718663840114</v>
          </cell>
          <cell r="J5216">
            <v>0</v>
          </cell>
          <cell r="K5216">
            <v>0</v>
          </cell>
          <cell r="L5216">
            <v>2</v>
          </cell>
          <cell r="M5216">
            <v>0</v>
          </cell>
          <cell r="P5216">
            <v>10554</v>
          </cell>
          <cell r="V5216" t="str">
            <v>Available</v>
          </cell>
        </row>
        <row r="5217">
          <cell r="A5217" t="str">
            <v>106300130002</v>
          </cell>
          <cell r="B5217" t="str">
            <v>Warisnagar</v>
          </cell>
          <cell r="C5217" t="str">
            <v>Warisnagar</v>
          </cell>
          <cell r="D5217" t="str">
            <v>Siripur Gohar</v>
          </cell>
          <cell r="E5217">
            <v>10630013</v>
          </cell>
          <cell r="F5217" t="str">
            <v>0002</v>
          </cell>
          <cell r="G5217">
            <v>9</v>
          </cell>
          <cell r="H5217">
            <v>332.09999999999997</v>
          </cell>
          <cell r="I5217">
            <v>12073.613205060001</v>
          </cell>
          <cell r="J5217">
            <v>0</v>
          </cell>
          <cell r="K5217">
            <v>0</v>
          </cell>
          <cell r="L5217">
            <v>1</v>
          </cell>
          <cell r="M5217">
            <v>0</v>
          </cell>
          <cell r="P5217">
            <v>12073</v>
          </cell>
          <cell r="V5217" t="str">
            <v>Available</v>
          </cell>
        </row>
        <row r="5218">
          <cell r="A5218" t="str">
            <v>106300140001</v>
          </cell>
          <cell r="B5218" t="str">
            <v>Warisnagar</v>
          </cell>
          <cell r="C5218" t="str">
            <v>Warisnagar</v>
          </cell>
          <cell r="D5218" t="str">
            <v>Sedukha</v>
          </cell>
          <cell r="E5218">
            <v>10630014</v>
          </cell>
          <cell r="F5218" t="str">
            <v>0001</v>
          </cell>
          <cell r="G5218">
            <v>3</v>
          </cell>
          <cell r="H5218">
            <v>0.30000000000000004</v>
          </cell>
          <cell r="I5218">
            <v>10.787359572000003</v>
          </cell>
          <cell r="J5218">
            <v>0</v>
          </cell>
          <cell r="K5218">
            <v>10.787359572000003</v>
          </cell>
          <cell r="L5218">
            <v>0</v>
          </cell>
          <cell r="M5218">
            <v>0</v>
          </cell>
          <cell r="P5218">
            <v>0</v>
          </cell>
          <cell r="V5218" t="str">
            <v>Not Available</v>
          </cell>
        </row>
        <row r="5219">
          <cell r="A5219" t="str">
            <v>106300140002</v>
          </cell>
          <cell r="B5219" t="str">
            <v>Warisnagar</v>
          </cell>
          <cell r="C5219" t="str">
            <v>Warisnagar</v>
          </cell>
          <cell r="D5219" t="str">
            <v>Sedukha</v>
          </cell>
          <cell r="E5219">
            <v>10630014</v>
          </cell>
          <cell r="F5219" t="str">
            <v>0002</v>
          </cell>
          <cell r="G5219">
            <v>12</v>
          </cell>
          <cell r="H5219">
            <v>157</v>
          </cell>
          <cell r="I5219">
            <v>5776.9781335200005</v>
          </cell>
          <cell r="J5219">
            <v>0</v>
          </cell>
          <cell r="K5219">
            <v>0</v>
          </cell>
          <cell r="L5219">
            <v>0</v>
          </cell>
          <cell r="M5219">
            <v>0</v>
          </cell>
          <cell r="P5219">
            <v>5777</v>
          </cell>
          <cell r="V5219" t="str">
            <v>Available</v>
          </cell>
        </row>
        <row r="5220">
          <cell r="A5220" t="str">
            <v>106300150002</v>
          </cell>
          <cell r="B5220" t="str">
            <v>Warisnagar</v>
          </cell>
          <cell r="C5220" t="str">
            <v>Warisnagar</v>
          </cell>
          <cell r="D5220" t="str">
            <v>Maheshwara</v>
          </cell>
          <cell r="E5220">
            <v>10630015</v>
          </cell>
          <cell r="F5220" t="str">
            <v>0002</v>
          </cell>
          <cell r="G5220">
            <v>9</v>
          </cell>
          <cell r="H5220">
            <v>191.10000000000002</v>
          </cell>
          <cell r="I5220">
            <v>7020.6669648720017</v>
          </cell>
          <cell r="J5220">
            <v>0</v>
          </cell>
          <cell r="K5220">
            <v>0</v>
          </cell>
          <cell r="L5220">
            <v>0</v>
          </cell>
          <cell r="M5220">
            <v>0</v>
          </cell>
          <cell r="P5220">
            <v>7021</v>
          </cell>
          <cell r="V5220" t="str">
            <v>Available</v>
          </cell>
        </row>
        <row r="5221">
          <cell r="A5221" t="str">
            <v>106400010001</v>
          </cell>
          <cell r="B5221" t="str">
            <v>Singhia BMC</v>
          </cell>
          <cell r="C5221" t="str">
            <v>Singhia BMC</v>
          </cell>
          <cell r="D5221" t="str">
            <v xml:space="preserve">DUMRA </v>
          </cell>
          <cell r="E5221">
            <v>10640001</v>
          </cell>
          <cell r="F5221" t="str">
            <v>0001</v>
          </cell>
          <cell r="G5221">
            <v>14</v>
          </cell>
          <cell r="H5221">
            <v>8.9</v>
          </cell>
          <cell r="I5221">
            <v>331.13172708000002</v>
          </cell>
          <cell r="J5221">
            <v>0</v>
          </cell>
          <cell r="K5221">
            <v>331.13172708000002</v>
          </cell>
          <cell r="L5221">
            <v>0</v>
          </cell>
          <cell r="M5221">
            <v>0</v>
          </cell>
          <cell r="P5221">
            <v>0</v>
          </cell>
          <cell r="V5221" t="str">
            <v>Not Available</v>
          </cell>
        </row>
        <row r="5222">
          <cell r="A5222" t="str">
            <v>106400010002</v>
          </cell>
          <cell r="B5222" t="str">
            <v>Singhia BMC</v>
          </cell>
          <cell r="C5222" t="str">
            <v>Singhia BMC</v>
          </cell>
          <cell r="D5222" t="str">
            <v xml:space="preserve">DUMRA </v>
          </cell>
          <cell r="E5222">
            <v>10640001</v>
          </cell>
          <cell r="F5222" t="str">
            <v>0002</v>
          </cell>
          <cell r="G5222">
            <v>14</v>
          </cell>
          <cell r="H5222">
            <v>398.80000000000007</v>
          </cell>
          <cell r="I5222">
            <v>14949.011833749402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P5222">
            <v>14949</v>
          </cell>
          <cell r="V5222" t="str">
            <v>Available</v>
          </cell>
        </row>
        <row r="5223">
          <cell r="A5223" t="str">
            <v>106400010003</v>
          </cell>
          <cell r="B5223" t="str">
            <v>Singhia BMC</v>
          </cell>
          <cell r="C5223" t="str">
            <v>Singhia BMC</v>
          </cell>
          <cell r="D5223" t="str">
            <v xml:space="preserve">DUMRA </v>
          </cell>
          <cell r="E5223">
            <v>10640001</v>
          </cell>
          <cell r="F5223" t="str">
            <v>0003</v>
          </cell>
          <cell r="G5223">
            <v>13</v>
          </cell>
          <cell r="H5223">
            <v>286.60000000000002</v>
          </cell>
          <cell r="I5223">
            <v>11216.864580167401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  <cell r="P5223">
            <v>11217</v>
          </cell>
          <cell r="V5223" t="str">
            <v>Available</v>
          </cell>
        </row>
        <row r="5224">
          <cell r="A5224" t="str">
            <v>106400010008</v>
          </cell>
          <cell r="B5224" t="str">
            <v>Singhia BMC</v>
          </cell>
          <cell r="C5224" t="str">
            <v>Singhia BMC</v>
          </cell>
          <cell r="D5224" t="str">
            <v xml:space="preserve">DUMRA </v>
          </cell>
          <cell r="E5224">
            <v>10640001</v>
          </cell>
          <cell r="F5224" t="str">
            <v>0008</v>
          </cell>
          <cell r="G5224">
            <v>9</v>
          </cell>
          <cell r="H5224">
            <v>35.900000000000006</v>
          </cell>
          <cell r="I5224">
            <v>1369.3657645799999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P5224">
            <v>1369</v>
          </cell>
          <cell r="V5224" t="str">
            <v>Available</v>
          </cell>
        </row>
        <row r="5225">
          <cell r="A5225" t="str">
            <v>106400010009</v>
          </cell>
          <cell r="B5225" t="str">
            <v>Singhia BMC</v>
          </cell>
          <cell r="C5225" t="str">
            <v>Singhia BMC</v>
          </cell>
          <cell r="D5225" t="str">
            <v xml:space="preserve">DUMRA </v>
          </cell>
          <cell r="E5225">
            <v>10640001</v>
          </cell>
          <cell r="F5225" t="str">
            <v>0009</v>
          </cell>
          <cell r="G5225">
            <v>6</v>
          </cell>
          <cell r="H5225">
            <v>8.4</v>
          </cell>
          <cell r="I5225">
            <v>335.75116608000002</v>
          </cell>
          <cell r="J5225">
            <v>0</v>
          </cell>
          <cell r="K5225">
            <v>0</v>
          </cell>
          <cell r="L5225">
            <v>0</v>
          </cell>
          <cell r="M5225">
            <v>0</v>
          </cell>
          <cell r="P5225">
            <v>336</v>
          </cell>
          <cell r="V5225" t="str">
            <v>Available</v>
          </cell>
        </row>
        <row r="5226">
          <cell r="A5226" t="str">
            <v>106400010010</v>
          </cell>
          <cell r="B5226" t="str">
            <v>Singhia BMC</v>
          </cell>
          <cell r="C5226" t="str">
            <v>Singhia BMC</v>
          </cell>
          <cell r="D5226" t="str">
            <v xml:space="preserve">DUMRA </v>
          </cell>
          <cell r="E5226">
            <v>10640001</v>
          </cell>
          <cell r="F5226" t="str">
            <v>0010</v>
          </cell>
          <cell r="G5226">
            <v>9</v>
          </cell>
          <cell r="H5226">
            <v>34.900000000000006</v>
          </cell>
          <cell r="I5226">
            <v>1304.13258756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P5226">
            <v>1304</v>
          </cell>
          <cell r="V5226" t="str">
            <v>Available</v>
          </cell>
        </row>
        <row r="5227">
          <cell r="A5227" t="str">
            <v>106400020002</v>
          </cell>
          <cell r="B5227" t="str">
            <v>Singhia BMC</v>
          </cell>
          <cell r="C5227" t="str">
            <v>Singhia BMC</v>
          </cell>
          <cell r="D5227" t="str">
            <v>DIHA</v>
          </cell>
          <cell r="E5227">
            <v>10640002</v>
          </cell>
          <cell r="F5227" t="str">
            <v>0002</v>
          </cell>
          <cell r="G5227">
            <v>5</v>
          </cell>
          <cell r="H5227">
            <v>10.1</v>
          </cell>
          <cell r="I5227">
            <v>339.00053220000001</v>
          </cell>
          <cell r="J5227">
            <v>0</v>
          </cell>
          <cell r="K5227">
            <v>0</v>
          </cell>
          <cell r="L5227">
            <v>59</v>
          </cell>
          <cell r="M5227">
            <v>0</v>
          </cell>
          <cell r="P5227">
            <v>280</v>
          </cell>
          <cell r="V5227" t="str">
            <v>Available</v>
          </cell>
        </row>
        <row r="5228">
          <cell r="A5228" t="str">
            <v>106400030001</v>
          </cell>
          <cell r="B5228" t="str">
            <v>Singhia BMC</v>
          </cell>
          <cell r="C5228" t="str">
            <v>Singhia BMC</v>
          </cell>
          <cell r="D5228" t="str">
            <v>BALHA</v>
          </cell>
          <cell r="E5228">
            <v>10640003</v>
          </cell>
          <cell r="F5228" t="str">
            <v>0001</v>
          </cell>
          <cell r="G5228">
            <v>13</v>
          </cell>
          <cell r="H5228">
            <v>10.9</v>
          </cell>
          <cell r="I5228">
            <v>428.96693109600005</v>
          </cell>
          <cell r="J5228">
            <v>0</v>
          </cell>
          <cell r="K5228">
            <v>428.96693109600005</v>
          </cell>
          <cell r="L5228">
            <v>0</v>
          </cell>
          <cell r="M5228">
            <v>0</v>
          </cell>
          <cell r="P5228">
            <v>0</v>
          </cell>
          <cell r="V5228" t="str">
            <v>Not Available</v>
          </cell>
        </row>
        <row r="5229">
          <cell r="A5229" t="str">
            <v>106400030003</v>
          </cell>
          <cell r="B5229" t="str">
            <v>Singhia BMC</v>
          </cell>
          <cell r="C5229" t="str">
            <v>Singhia BMC</v>
          </cell>
          <cell r="D5229" t="str">
            <v>BALHA</v>
          </cell>
          <cell r="E5229">
            <v>10640003</v>
          </cell>
          <cell r="F5229" t="str">
            <v>0003</v>
          </cell>
          <cell r="G5229">
            <v>14</v>
          </cell>
          <cell r="H5229">
            <v>241.7</v>
          </cell>
          <cell r="I5229">
            <v>10369.222387793201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P5229">
            <v>10369</v>
          </cell>
          <cell r="V5229" t="str">
            <v>Available</v>
          </cell>
        </row>
        <row r="5230">
          <cell r="A5230" t="str">
            <v>106400030004</v>
          </cell>
          <cell r="B5230" t="str">
            <v>Singhia BMC</v>
          </cell>
          <cell r="C5230" t="str">
            <v>Singhia BMC</v>
          </cell>
          <cell r="D5230" t="str">
            <v>BALHA</v>
          </cell>
          <cell r="E5230">
            <v>10640003</v>
          </cell>
          <cell r="F5230" t="str">
            <v>0004</v>
          </cell>
          <cell r="G5230">
            <v>14</v>
          </cell>
          <cell r="H5230">
            <v>99.8</v>
          </cell>
          <cell r="I5230">
            <v>3703.8957739739999</v>
          </cell>
          <cell r="J5230">
            <v>0</v>
          </cell>
          <cell r="K5230">
            <v>0</v>
          </cell>
          <cell r="L5230">
            <v>0</v>
          </cell>
          <cell r="M5230">
            <v>0</v>
          </cell>
          <cell r="P5230">
            <v>3704</v>
          </cell>
          <cell r="V5230" t="str">
            <v>Available</v>
          </cell>
        </row>
        <row r="5231">
          <cell r="A5231" t="str">
            <v>106400030005</v>
          </cell>
          <cell r="B5231" t="str">
            <v>Singhia BMC</v>
          </cell>
          <cell r="C5231" t="str">
            <v>Singhia BMC</v>
          </cell>
          <cell r="D5231" t="str">
            <v>BALHA</v>
          </cell>
          <cell r="E5231">
            <v>10640003</v>
          </cell>
          <cell r="F5231" t="str">
            <v>0005</v>
          </cell>
          <cell r="G5231">
            <v>13</v>
          </cell>
          <cell r="H5231">
            <v>40.800000000000004</v>
          </cell>
          <cell r="I5231">
            <v>1662.0156290086802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P5231">
            <v>1662</v>
          </cell>
          <cell r="V5231" t="str">
            <v>Available</v>
          </cell>
        </row>
        <row r="5232">
          <cell r="A5232" t="str">
            <v>106400030006</v>
          </cell>
          <cell r="B5232" t="str">
            <v>Singhia BMC</v>
          </cell>
          <cell r="C5232" t="str">
            <v>Singhia BMC</v>
          </cell>
          <cell r="D5232" t="str">
            <v>BALHA</v>
          </cell>
          <cell r="E5232">
            <v>10640003</v>
          </cell>
          <cell r="F5232" t="str">
            <v>0006</v>
          </cell>
          <cell r="G5232">
            <v>3</v>
          </cell>
          <cell r="H5232">
            <v>6.6</v>
          </cell>
          <cell r="I5232">
            <v>365.97357543600003</v>
          </cell>
          <cell r="J5232">
            <v>0</v>
          </cell>
          <cell r="K5232">
            <v>0</v>
          </cell>
          <cell r="L5232">
            <v>0</v>
          </cell>
          <cell r="M5232">
            <v>0</v>
          </cell>
          <cell r="P5232">
            <v>366</v>
          </cell>
          <cell r="V5232" t="str">
            <v>Available</v>
          </cell>
        </row>
        <row r="5233">
          <cell r="A5233" t="str">
            <v>106400030007</v>
          </cell>
          <cell r="B5233" t="str">
            <v>Singhia BMC</v>
          </cell>
          <cell r="C5233" t="str">
            <v>Singhia BMC</v>
          </cell>
          <cell r="D5233" t="str">
            <v>BALHA</v>
          </cell>
          <cell r="E5233">
            <v>10640003</v>
          </cell>
          <cell r="F5233" t="str">
            <v>0007</v>
          </cell>
          <cell r="G5233">
            <v>13</v>
          </cell>
          <cell r="H5233">
            <v>31.900000000000002</v>
          </cell>
          <cell r="I5233">
            <v>1301.1066169199999</v>
          </cell>
          <cell r="J5233">
            <v>0</v>
          </cell>
          <cell r="K5233">
            <v>0</v>
          </cell>
          <cell r="L5233">
            <v>0</v>
          </cell>
          <cell r="M5233">
            <v>0</v>
          </cell>
          <cell r="P5233">
            <v>1301</v>
          </cell>
          <cell r="V5233" t="str">
            <v>Available</v>
          </cell>
        </row>
        <row r="5234">
          <cell r="A5234" t="str">
            <v>106400030008</v>
          </cell>
          <cell r="B5234" t="str">
            <v>Singhia BMC</v>
          </cell>
          <cell r="C5234" t="str">
            <v>Singhia BMC</v>
          </cell>
          <cell r="D5234" t="str">
            <v>BALHA</v>
          </cell>
          <cell r="E5234">
            <v>10640003</v>
          </cell>
          <cell r="F5234" t="str">
            <v>0008</v>
          </cell>
          <cell r="G5234">
            <v>11</v>
          </cell>
          <cell r="H5234">
            <v>22.1</v>
          </cell>
          <cell r="I5234">
            <v>724.80304749599998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  <cell r="P5234">
            <v>725</v>
          </cell>
          <cell r="V5234" t="str">
            <v>Available</v>
          </cell>
        </row>
        <row r="5235">
          <cell r="A5235" t="str">
            <v>106400030009</v>
          </cell>
          <cell r="B5235" t="str">
            <v>Singhia BMC</v>
          </cell>
          <cell r="C5235" t="str">
            <v>Singhia BMC</v>
          </cell>
          <cell r="D5235" t="str">
            <v>BALHA</v>
          </cell>
          <cell r="E5235">
            <v>10640003</v>
          </cell>
          <cell r="F5235" t="str">
            <v>0009</v>
          </cell>
          <cell r="G5235">
            <v>14</v>
          </cell>
          <cell r="H5235">
            <v>50.1</v>
          </cell>
          <cell r="I5235">
            <v>2116.7431381922001</v>
          </cell>
          <cell r="J5235">
            <v>0</v>
          </cell>
          <cell r="K5235">
            <v>0</v>
          </cell>
          <cell r="L5235">
            <v>0</v>
          </cell>
          <cell r="M5235">
            <v>0</v>
          </cell>
          <cell r="P5235">
            <v>2117</v>
          </cell>
          <cell r="V5235" t="str">
            <v>Available</v>
          </cell>
        </row>
        <row r="5236">
          <cell r="A5236" t="str">
            <v>106400030010</v>
          </cell>
          <cell r="B5236" t="str">
            <v>Singhia BMC</v>
          </cell>
          <cell r="C5236" t="str">
            <v>Singhia BMC</v>
          </cell>
          <cell r="D5236" t="str">
            <v>BALHA</v>
          </cell>
          <cell r="E5236">
            <v>10640003</v>
          </cell>
          <cell r="F5236" t="str">
            <v>0010</v>
          </cell>
          <cell r="G5236">
            <v>14</v>
          </cell>
          <cell r="H5236">
            <v>51.999999999999993</v>
          </cell>
          <cell r="I5236">
            <v>1850.3986073760004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P5236">
            <v>1850</v>
          </cell>
          <cell r="V5236" t="str">
            <v>Available</v>
          </cell>
        </row>
        <row r="5237">
          <cell r="A5237" t="str">
            <v>106400030011</v>
          </cell>
          <cell r="B5237" t="str">
            <v>Singhia BMC</v>
          </cell>
          <cell r="C5237" t="str">
            <v>Singhia BMC</v>
          </cell>
          <cell r="D5237" t="str">
            <v>BALHA</v>
          </cell>
          <cell r="E5237">
            <v>10640003</v>
          </cell>
          <cell r="F5237" t="str">
            <v>0011</v>
          </cell>
          <cell r="G5237">
            <v>14</v>
          </cell>
          <cell r="H5237">
            <v>15.600000000000001</v>
          </cell>
          <cell r="I5237">
            <v>658.42436355300003</v>
          </cell>
          <cell r="J5237">
            <v>0</v>
          </cell>
          <cell r="K5237">
            <v>0</v>
          </cell>
          <cell r="L5237">
            <v>0</v>
          </cell>
          <cell r="M5237">
            <v>0</v>
          </cell>
          <cell r="P5237">
            <v>658</v>
          </cell>
          <cell r="V5237" t="str">
            <v>Available</v>
          </cell>
        </row>
        <row r="5238">
          <cell r="A5238" t="str">
            <v>106400030012</v>
          </cell>
          <cell r="B5238" t="str">
            <v>Singhia BMC</v>
          </cell>
          <cell r="C5238" t="str">
            <v>Singhia BMC</v>
          </cell>
          <cell r="D5238" t="str">
            <v>BALHA</v>
          </cell>
          <cell r="E5238">
            <v>10640003</v>
          </cell>
          <cell r="F5238" t="str">
            <v>0012</v>
          </cell>
          <cell r="G5238">
            <v>14</v>
          </cell>
          <cell r="H5238">
            <v>238</v>
          </cell>
          <cell r="I5238">
            <v>9914.2661247192009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P5238">
            <v>9914</v>
          </cell>
          <cell r="V5238" t="str">
            <v>Available</v>
          </cell>
        </row>
        <row r="5239">
          <cell r="A5239" t="str">
            <v>106400030013</v>
          </cell>
          <cell r="B5239" t="str">
            <v>Singhia BMC</v>
          </cell>
          <cell r="C5239" t="str">
            <v>Singhia BMC</v>
          </cell>
          <cell r="D5239" t="str">
            <v>BALHA</v>
          </cell>
          <cell r="E5239">
            <v>10640003</v>
          </cell>
          <cell r="F5239" t="str">
            <v>0013</v>
          </cell>
          <cell r="G5239">
            <v>14</v>
          </cell>
          <cell r="H5239">
            <v>70.2</v>
          </cell>
          <cell r="I5239">
            <v>2949.4719540376</v>
          </cell>
          <cell r="J5239">
            <v>0</v>
          </cell>
          <cell r="K5239">
            <v>0</v>
          </cell>
          <cell r="L5239">
            <v>0</v>
          </cell>
          <cell r="M5239">
            <v>0</v>
          </cell>
          <cell r="P5239">
            <v>2949</v>
          </cell>
          <cell r="V5239" t="str">
            <v>Available</v>
          </cell>
        </row>
        <row r="5240">
          <cell r="A5240" t="str">
            <v>106400030014</v>
          </cell>
          <cell r="B5240" t="str">
            <v>Singhia BMC</v>
          </cell>
          <cell r="C5240" t="str">
            <v>Singhia BMC</v>
          </cell>
          <cell r="D5240" t="str">
            <v>BALHA</v>
          </cell>
          <cell r="E5240">
            <v>10640003</v>
          </cell>
          <cell r="F5240" t="str">
            <v>0014</v>
          </cell>
          <cell r="G5240">
            <v>3</v>
          </cell>
          <cell r="H5240">
            <v>5.9</v>
          </cell>
          <cell r="I5240">
            <v>231.74567856000002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P5240">
            <v>232</v>
          </cell>
          <cell r="V5240" t="str">
            <v>Available</v>
          </cell>
        </row>
        <row r="5241">
          <cell r="A5241" t="str">
            <v>106400040001</v>
          </cell>
          <cell r="B5241" t="str">
            <v>Singhia BMC</v>
          </cell>
          <cell r="C5241" t="str">
            <v>Singhia BMC</v>
          </cell>
          <cell r="D5241" t="str">
            <v>BHARIHAR</v>
          </cell>
          <cell r="E5241">
            <v>10640004</v>
          </cell>
          <cell r="F5241" t="str">
            <v>0001</v>
          </cell>
          <cell r="G5241">
            <v>6</v>
          </cell>
          <cell r="H5241">
            <v>0.49999999999999994</v>
          </cell>
          <cell r="I5241">
            <v>19.576161000000003</v>
          </cell>
          <cell r="J5241">
            <v>0</v>
          </cell>
          <cell r="K5241">
            <v>19.576161000000003</v>
          </cell>
          <cell r="L5241">
            <v>0</v>
          </cell>
          <cell r="M5241">
            <v>0</v>
          </cell>
          <cell r="P5241">
            <v>0</v>
          </cell>
          <cell r="V5241" t="str">
            <v>Not Available</v>
          </cell>
        </row>
        <row r="5242">
          <cell r="A5242" t="str">
            <v>106400040002</v>
          </cell>
          <cell r="B5242" t="str">
            <v>Singhia BMC</v>
          </cell>
          <cell r="C5242" t="str">
            <v>Singhia BMC</v>
          </cell>
          <cell r="D5242" t="str">
            <v>BHARIHAR</v>
          </cell>
          <cell r="E5242">
            <v>10640004</v>
          </cell>
          <cell r="F5242" t="str">
            <v>0002</v>
          </cell>
          <cell r="G5242">
            <v>13</v>
          </cell>
          <cell r="H5242">
            <v>131.14999999999998</v>
          </cell>
          <cell r="I5242">
            <v>5196.2477272200013</v>
          </cell>
          <cell r="J5242">
            <v>0</v>
          </cell>
          <cell r="K5242">
            <v>0</v>
          </cell>
          <cell r="L5242">
            <v>32</v>
          </cell>
          <cell r="M5242">
            <v>0</v>
          </cell>
          <cell r="P5242">
            <v>5164</v>
          </cell>
          <cell r="V5242" t="str">
            <v>Available</v>
          </cell>
        </row>
        <row r="5243">
          <cell r="A5243" t="str">
            <v>106400050001</v>
          </cell>
          <cell r="B5243" t="str">
            <v>Singhia BMC</v>
          </cell>
          <cell r="C5243" t="str">
            <v>Singhia BMC</v>
          </cell>
          <cell r="D5243" t="str">
            <v>BARA</v>
          </cell>
          <cell r="E5243">
            <v>10640005</v>
          </cell>
          <cell r="F5243" t="str">
            <v>0001</v>
          </cell>
          <cell r="G5243">
            <v>10</v>
          </cell>
          <cell r="H5243">
            <v>0.89999999999999991</v>
          </cell>
          <cell r="I5243">
            <v>40.524950959000009</v>
          </cell>
          <cell r="J5243">
            <v>0</v>
          </cell>
          <cell r="K5243">
            <v>40.524950959000009</v>
          </cell>
          <cell r="L5243">
            <v>0</v>
          </cell>
          <cell r="M5243">
            <v>0</v>
          </cell>
          <cell r="P5243">
            <v>0</v>
          </cell>
          <cell r="V5243" t="str">
            <v>Not Available</v>
          </cell>
        </row>
        <row r="5244">
          <cell r="A5244" t="str">
            <v>106400050002</v>
          </cell>
          <cell r="B5244" t="str">
            <v>Singhia BMC</v>
          </cell>
          <cell r="C5244" t="str">
            <v>Singhia BMC</v>
          </cell>
          <cell r="D5244" t="str">
            <v>BARA</v>
          </cell>
          <cell r="E5244">
            <v>10640005</v>
          </cell>
          <cell r="F5244" t="str">
            <v>0002</v>
          </cell>
          <cell r="G5244">
            <v>14</v>
          </cell>
          <cell r="H5244">
            <v>200.64999999999995</v>
          </cell>
          <cell r="I5244">
            <v>8777.6663270549998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P5244">
            <v>8778</v>
          </cell>
          <cell r="V5244" t="str">
            <v>Available</v>
          </cell>
        </row>
        <row r="5245">
          <cell r="A5245" t="str">
            <v>106400060001</v>
          </cell>
          <cell r="B5245" t="str">
            <v>Singhia BMC</v>
          </cell>
          <cell r="C5245" t="str">
            <v>Singhia BMC</v>
          </cell>
          <cell r="D5245" t="str">
            <v>KABILASHI</v>
          </cell>
          <cell r="E5245">
            <v>10640006</v>
          </cell>
          <cell r="F5245" t="str">
            <v>0001</v>
          </cell>
          <cell r="G5245">
            <v>12</v>
          </cell>
          <cell r="H5245">
            <v>3.9000000000000004</v>
          </cell>
          <cell r="I5245">
            <v>213.64185906800003</v>
          </cell>
          <cell r="J5245">
            <v>0</v>
          </cell>
          <cell r="K5245">
            <v>213.64185906800003</v>
          </cell>
          <cell r="L5245">
            <v>0</v>
          </cell>
          <cell r="M5245">
            <v>0</v>
          </cell>
          <cell r="P5245">
            <v>0</v>
          </cell>
          <cell r="V5245" t="str">
            <v>Not Available</v>
          </cell>
        </row>
        <row r="5246">
          <cell r="A5246" t="str">
            <v>106400060002</v>
          </cell>
          <cell r="B5246" t="str">
            <v>Singhia BMC</v>
          </cell>
          <cell r="C5246" t="str">
            <v>Singhia BMC</v>
          </cell>
          <cell r="D5246" t="str">
            <v>KABILASHI</v>
          </cell>
          <cell r="E5246">
            <v>10640006</v>
          </cell>
          <cell r="F5246" t="str">
            <v>0002</v>
          </cell>
          <cell r="G5246">
            <v>9</v>
          </cell>
          <cell r="H5246">
            <v>28.7</v>
          </cell>
          <cell r="I5246">
            <v>1740.3383232204003</v>
          </cell>
          <cell r="J5246">
            <v>0</v>
          </cell>
          <cell r="K5246">
            <v>0</v>
          </cell>
          <cell r="L5246">
            <v>161</v>
          </cell>
          <cell r="M5246">
            <v>0</v>
          </cell>
          <cell r="P5246">
            <v>1579</v>
          </cell>
          <cell r="V5246" t="str">
            <v>Available</v>
          </cell>
        </row>
        <row r="5247">
          <cell r="A5247" t="str">
            <v>106400060005</v>
          </cell>
          <cell r="B5247" t="str">
            <v>Singhia BMC</v>
          </cell>
          <cell r="C5247" t="str">
            <v>Singhia BMC</v>
          </cell>
          <cell r="D5247" t="str">
            <v>KABILASHI</v>
          </cell>
          <cell r="E5247">
            <v>10640006</v>
          </cell>
          <cell r="F5247" t="str">
            <v>0005</v>
          </cell>
          <cell r="G5247">
            <v>11</v>
          </cell>
          <cell r="H5247">
            <v>13</v>
          </cell>
          <cell r="I5247">
            <v>722.68363942530016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P5247">
            <v>723</v>
          </cell>
          <cell r="V5247" t="str">
            <v>Available</v>
          </cell>
        </row>
        <row r="5248">
          <cell r="A5248" t="str">
            <v>106400060006</v>
          </cell>
          <cell r="B5248" t="str">
            <v>Singhia BMC</v>
          </cell>
          <cell r="C5248" t="str">
            <v>Singhia BMC</v>
          </cell>
          <cell r="D5248" t="str">
            <v>KABILASHI</v>
          </cell>
          <cell r="E5248">
            <v>10640006</v>
          </cell>
          <cell r="F5248" t="str">
            <v>0006</v>
          </cell>
          <cell r="G5248">
            <v>6</v>
          </cell>
          <cell r="H5248">
            <v>18.299999999999997</v>
          </cell>
          <cell r="I5248">
            <v>1052.571005819</v>
          </cell>
          <cell r="J5248">
            <v>0</v>
          </cell>
          <cell r="K5248">
            <v>0</v>
          </cell>
          <cell r="L5248">
            <v>0</v>
          </cell>
          <cell r="M5248">
            <v>0</v>
          </cell>
          <cell r="P5248">
            <v>1053</v>
          </cell>
          <cell r="V5248" t="str">
            <v>Available</v>
          </cell>
        </row>
        <row r="5249">
          <cell r="A5249" t="str">
            <v>106400060008</v>
          </cell>
          <cell r="B5249" t="str">
            <v>Singhia BMC</v>
          </cell>
          <cell r="C5249" t="str">
            <v>Singhia BMC</v>
          </cell>
          <cell r="D5249" t="str">
            <v>KABILASHI</v>
          </cell>
          <cell r="E5249">
            <v>10640006</v>
          </cell>
          <cell r="F5249" t="str">
            <v>0008</v>
          </cell>
          <cell r="G5249">
            <v>11</v>
          </cell>
          <cell r="H5249">
            <v>16.100000000000001</v>
          </cell>
          <cell r="I5249">
            <v>734.17716763169994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P5249">
            <v>734</v>
          </cell>
          <cell r="V5249" t="str">
            <v>Available</v>
          </cell>
        </row>
        <row r="5250">
          <cell r="A5250" t="str">
            <v>106400060009</v>
          </cell>
          <cell r="B5250" t="str">
            <v>Singhia BMC</v>
          </cell>
          <cell r="C5250" t="str">
            <v>Singhia BMC</v>
          </cell>
          <cell r="D5250" t="str">
            <v>KABILASHI</v>
          </cell>
          <cell r="E5250">
            <v>10640006</v>
          </cell>
          <cell r="F5250" t="str">
            <v>0009</v>
          </cell>
          <cell r="G5250">
            <v>7</v>
          </cell>
          <cell r="H5250">
            <v>12.6</v>
          </cell>
          <cell r="I5250">
            <v>774.60382014499999</v>
          </cell>
          <cell r="J5250">
            <v>0</v>
          </cell>
          <cell r="K5250">
            <v>0</v>
          </cell>
          <cell r="L5250">
            <v>0</v>
          </cell>
          <cell r="M5250">
            <v>0</v>
          </cell>
          <cell r="P5250">
            <v>775</v>
          </cell>
          <cell r="V5250" t="str">
            <v>Available</v>
          </cell>
        </row>
        <row r="5251">
          <cell r="A5251" t="str">
            <v>106400060010</v>
          </cell>
          <cell r="B5251" t="str">
            <v>Singhia BMC</v>
          </cell>
          <cell r="C5251" t="str">
            <v>Singhia BMC</v>
          </cell>
          <cell r="D5251" t="str">
            <v>KABILASHI</v>
          </cell>
          <cell r="E5251">
            <v>10640006</v>
          </cell>
          <cell r="F5251" t="str">
            <v>0010</v>
          </cell>
          <cell r="G5251">
            <v>6</v>
          </cell>
          <cell r="H5251">
            <v>6.4</v>
          </cell>
          <cell r="I5251">
            <v>263.6979040992</v>
          </cell>
          <cell r="J5251">
            <v>0</v>
          </cell>
          <cell r="K5251">
            <v>0</v>
          </cell>
          <cell r="L5251">
            <v>0</v>
          </cell>
          <cell r="M5251">
            <v>0</v>
          </cell>
          <cell r="P5251">
            <v>264</v>
          </cell>
          <cell r="V5251" t="str">
            <v>Available</v>
          </cell>
        </row>
        <row r="5252">
          <cell r="A5252" t="str">
            <v>106400060011</v>
          </cell>
          <cell r="B5252" t="str">
            <v>Singhia BMC</v>
          </cell>
          <cell r="C5252" t="str">
            <v>Singhia BMC</v>
          </cell>
          <cell r="D5252" t="str">
            <v>KABILASHI</v>
          </cell>
          <cell r="E5252">
            <v>10640006</v>
          </cell>
          <cell r="F5252" t="str">
            <v>0011</v>
          </cell>
          <cell r="G5252">
            <v>11</v>
          </cell>
          <cell r="H5252">
            <v>18.700000000000003</v>
          </cell>
          <cell r="I5252">
            <v>992.65717680720002</v>
          </cell>
          <cell r="J5252">
            <v>0</v>
          </cell>
          <cell r="K5252">
            <v>0</v>
          </cell>
          <cell r="L5252">
            <v>0</v>
          </cell>
          <cell r="M5252">
            <v>0</v>
          </cell>
          <cell r="P5252">
            <v>993</v>
          </cell>
          <cell r="V5252" t="str">
            <v>Not Available</v>
          </cell>
        </row>
        <row r="5253">
          <cell r="A5253" t="str">
            <v>106400060012</v>
          </cell>
          <cell r="B5253" t="str">
            <v>Singhia BMC</v>
          </cell>
          <cell r="C5253" t="str">
            <v>Singhia BMC</v>
          </cell>
          <cell r="D5253" t="str">
            <v>KABILASHI</v>
          </cell>
          <cell r="E5253">
            <v>10640006</v>
          </cell>
          <cell r="F5253" t="str">
            <v>0012</v>
          </cell>
          <cell r="G5253">
            <v>6</v>
          </cell>
          <cell r="H5253">
            <v>8</v>
          </cell>
          <cell r="I5253">
            <v>423.47229260560005</v>
          </cell>
          <cell r="J5253">
            <v>0</v>
          </cell>
          <cell r="K5253">
            <v>0</v>
          </cell>
          <cell r="L5253">
            <v>0</v>
          </cell>
          <cell r="M5253">
            <v>0</v>
          </cell>
          <cell r="P5253">
            <v>423</v>
          </cell>
          <cell r="V5253" t="str">
            <v>Not Available</v>
          </cell>
        </row>
        <row r="5254">
          <cell r="A5254" t="str">
            <v>106400080002</v>
          </cell>
          <cell r="B5254" t="str">
            <v>Singhia BMC</v>
          </cell>
          <cell r="C5254" t="str">
            <v>Singhia BMC</v>
          </cell>
          <cell r="D5254" t="str">
            <v>BHUSNA</v>
          </cell>
          <cell r="E5254">
            <v>10640008</v>
          </cell>
          <cell r="F5254" t="str">
            <v>0002</v>
          </cell>
          <cell r="G5254">
            <v>14</v>
          </cell>
          <cell r="H5254">
            <v>100.9</v>
          </cell>
          <cell r="I5254">
            <v>4631.7318946410005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P5254">
            <v>4632</v>
          </cell>
          <cell r="V5254" t="str">
            <v>Available</v>
          </cell>
        </row>
        <row r="5255">
          <cell r="A5255" t="str">
            <v>106400090002</v>
          </cell>
          <cell r="B5255" t="str">
            <v>Singhia BMC</v>
          </cell>
          <cell r="C5255" t="str">
            <v>Singhia BMC</v>
          </cell>
          <cell r="D5255" t="str">
            <v>SUKUMARPUR</v>
          </cell>
          <cell r="E5255">
            <v>10640009</v>
          </cell>
          <cell r="F5255" t="str">
            <v>0002</v>
          </cell>
          <cell r="G5255">
            <v>14</v>
          </cell>
          <cell r="H5255">
            <v>338.5</v>
          </cell>
          <cell r="I5255">
            <v>14963.650185048404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  <cell r="P5255">
            <v>14964</v>
          </cell>
          <cell r="V5255" t="str">
            <v>Available</v>
          </cell>
        </row>
        <row r="5256">
          <cell r="A5256" t="str">
            <v>106500010002</v>
          </cell>
          <cell r="B5256" t="str">
            <v>Bachhwara BMC</v>
          </cell>
          <cell r="C5256" t="str">
            <v>Bachhwara BMC</v>
          </cell>
          <cell r="D5256" t="str">
            <v>Gomukh Vijaiya</v>
          </cell>
          <cell r="E5256">
            <v>10650001</v>
          </cell>
          <cell r="F5256" t="str">
            <v>0002</v>
          </cell>
          <cell r="G5256">
            <v>12</v>
          </cell>
          <cell r="H5256">
            <v>59.5</v>
          </cell>
          <cell r="I5256">
            <v>2533.42410255</v>
          </cell>
          <cell r="J5256">
            <v>0</v>
          </cell>
          <cell r="K5256">
            <v>0</v>
          </cell>
          <cell r="L5256">
            <v>552</v>
          </cell>
          <cell r="M5256">
            <v>0</v>
          </cell>
          <cell r="P5256">
            <v>1981</v>
          </cell>
          <cell r="V5256" t="str">
            <v>Available</v>
          </cell>
        </row>
        <row r="5257">
          <cell r="A5257" t="str">
            <v>106500010003</v>
          </cell>
          <cell r="B5257" t="str">
            <v>Bachhwara BMC</v>
          </cell>
          <cell r="C5257" t="str">
            <v>Bachhwara BMC</v>
          </cell>
          <cell r="D5257" t="str">
            <v>Gomukh Vijaiya</v>
          </cell>
          <cell r="E5257">
            <v>10650001</v>
          </cell>
          <cell r="F5257" t="str">
            <v>0003</v>
          </cell>
          <cell r="G5257">
            <v>6</v>
          </cell>
          <cell r="H5257">
            <v>9.7999999999999989</v>
          </cell>
          <cell r="I5257">
            <v>751.35007020199998</v>
          </cell>
          <cell r="J5257">
            <v>0</v>
          </cell>
          <cell r="K5257">
            <v>0</v>
          </cell>
          <cell r="L5257">
            <v>0</v>
          </cell>
          <cell r="M5257">
            <v>0</v>
          </cell>
          <cell r="P5257">
            <v>751</v>
          </cell>
          <cell r="V5257" t="str">
            <v>Available</v>
          </cell>
        </row>
        <row r="5258">
          <cell r="A5258" t="str">
            <v>106500010005</v>
          </cell>
          <cell r="B5258" t="str">
            <v>Bachhwara BMC</v>
          </cell>
          <cell r="C5258" t="str">
            <v>Bachhwara BMC</v>
          </cell>
          <cell r="D5258" t="str">
            <v>Gomukh Vijaiya</v>
          </cell>
          <cell r="E5258">
            <v>10650001</v>
          </cell>
          <cell r="F5258" t="str">
            <v>0005</v>
          </cell>
          <cell r="G5258">
            <v>9</v>
          </cell>
          <cell r="H5258">
            <v>29.7</v>
          </cell>
          <cell r="I5258">
            <v>1243.5919768800002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P5258">
            <v>1244</v>
          </cell>
          <cell r="V5258" t="str">
            <v>Available</v>
          </cell>
        </row>
        <row r="5259">
          <cell r="A5259" t="str">
            <v>106500030002</v>
          </cell>
          <cell r="B5259" t="str">
            <v>Bachhwara BMC</v>
          </cell>
          <cell r="C5259" t="str">
            <v>Bachhwara BMC</v>
          </cell>
          <cell r="D5259" t="str">
            <v>Gomukh Gangauli</v>
          </cell>
          <cell r="E5259">
            <v>10650003</v>
          </cell>
          <cell r="F5259" t="str">
            <v>0002</v>
          </cell>
          <cell r="G5259">
            <v>14</v>
          </cell>
          <cell r="H5259">
            <v>218.6</v>
          </cell>
          <cell r="I5259">
            <v>8943.1674599550515</v>
          </cell>
          <cell r="J5259">
            <v>0</v>
          </cell>
          <cell r="K5259">
            <v>0</v>
          </cell>
          <cell r="L5259">
            <v>1217</v>
          </cell>
          <cell r="M5259">
            <v>0</v>
          </cell>
          <cell r="P5259">
            <v>7726</v>
          </cell>
          <cell r="V5259" t="str">
            <v>Available</v>
          </cell>
        </row>
        <row r="5260">
          <cell r="A5260" t="str">
            <v>106500030004</v>
          </cell>
          <cell r="B5260" t="str">
            <v>Bachhwara BMC</v>
          </cell>
          <cell r="C5260" t="str">
            <v>Bachhwara BMC</v>
          </cell>
          <cell r="D5260" t="str">
            <v>Gomukh Gangauli</v>
          </cell>
          <cell r="E5260">
            <v>10650003</v>
          </cell>
          <cell r="F5260" t="str">
            <v>0004</v>
          </cell>
          <cell r="G5260">
            <v>14</v>
          </cell>
          <cell r="H5260">
            <v>74.999999999999972</v>
          </cell>
          <cell r="I5260">
            <v>3460.4661111897813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P5260">
            <v>3460</v>
          </cell>
          <cell r="V5260" t="str">
            <v>Available</v>
          </cell>
        </row>
        <row r="5261">
          <cell r="A5261" t="str">
            <v>106500030005</v>
          </cell>
          <cell r="B5261" t="str">
            <v>Bachhwara BMC</v>
          </cell>
          <cell r="C5261" t="str">
            <v>Bachhwara BMC</v>
          </cell>
          <cell r="D5261" t="str">
            <v>Gomukh Gangauli</v>
          </cell>
          <cell r="E5261">
            <v>10650003</v>
          </cell>
          <cell r="F5261" t="str">
            <v>0005</v>
          </cell>
          <cell r="G5261">
            <v>7</v>
          </cell>
          <cell r="H5261">
            <v>17.799999999999997</v>
          </cell>
          <cell r="I5261">
            <v>761.48965609200002</v>
          </cell>
          <cell r="J5261">
            <v>0</v>
          </cell>
          <cell r="K5261">
            <v>0</v>
          </cell>
          <cell r="L5261">
            <v>0</v>
          </cell>
          <cell r="M5261">
            <v>0</v>
          </cell>
          <cell r="P5261">
            <v>761</v>
          </cell>
          <cell r="V5261" t="str">
            <v>Available</v>
          </cell>
        </row>
        <row r="5262">
          <cell r="A5262" t="str">
            <v>106500030006</v>
          </cell>
          <cell r="B5262" t="str">
            <v>Bachhwara BMC</v>
          </cell>
          <cell r="C5262" t="str">
            <v>Bachhwara BMC</v>
          </cell>
          <cell r="D5262" t="str">
            <v>Gomukh Gangauli</v>
          </cell>
          <cell r="E5262">
            <v>10650003</v>
          </cell>
          <cell r="F5262" t="str">
            <v>0006</v>
          </cell>
          <cell r="G5262">
            <v>13</v>
          </cell>
          <cell r="H5262">
            <v>25.999999999999996</v>
          </cell>
          <cell r="I5262">
            <v>940.18465332000017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P5262">
            <v>940</v>
          </cell>
          <cell r="V5262" t="str">
            <v>Available</v>
          </cell>
        </row>
        <row r="5263">
          <cell r="A5263" t="str">
            <v>106500030008</v>
          </cell>
          <cell r="B5263" t="str">
            <v>Bachhwara BMC</v>
          </cell>
          <cell r="C5263" t="str">
            <v>Bachhwara BMC</v>
          </cell>
          <cell r="D5263" t="str">
            <v>Gomukh Gangauli</v>
          </cell>
          <cell r="E5263">
            <v>10650003</v>
          </cell>
          <cell r="F5263" t="str">
            <v>0008</v>
          </cell>
          <cell r="G5263">
            <v>14</v>
          </cell>
          <cell r="H5263">
            <v>59.899999999999991</v>
          </cell>
          <cell r="I5263">
            <v>2261.6344080000003</v>
          </cell>
          <cell r="J5263">
            <v>0</v>
          </cell>
          <cell r="K5263">
            <v>0</v>
          </cell>
          <cell r="L5263">
            <v>0</v>
          </cell>
          <cell r="M5263">
            <v>0</v>
          </cell>
          <cell r="P5263">
            <v>2262</v>
          </cell>
          <cell r="V5263" t="str">
            <v>Available</v>
          </cell>
        </row>
        <row r="5264">
          <cell r="A5264" t="str">
            <v>106500030009</v>
          </cell>
          <cell r="B5264" t="str">
            <v>Bachhwara BMC</v>
          </cell>
          <cell r="C5264" t="str">
            <v>Bachhwara BMC</v>
          </cell>
          <cell r="D5264" t="str">
            <v>Gomukh Gangauli</v>
          </cell>
          <cell r="E5264">
            <v>10650003</v>
          </cell>
          <cell r="F5264" t="str">
            <v>0009</v>
          </cell>
          <cell r="G5264">
            <v>4</v>
          </cell>
          <cell r="H5264">
            <v>9.9999999999999982</v>
          </cell>
          <cell r="I5264">
            <v>430.55142688800004</v>
          </cell>
          <cell r="J5264">
            <v>0</v>
          </cell>
          <cell r="K5264">
            <v>0</v>
          </cell>
          <cell r="L5264">
            <v>0</v>
          </cell>
          <cell r="M5264">
            <v>0</v>
          </cell>
          <cell r="P5264">
            <v>431</v>
          </cell>
          <cell r="V5264" t="str">
            <v>Available</v>
          </cell>
        </row>
        <row r="5265">
          <cell r="A5265" t="str">
            <v>106500030011</v>
          </cell>
          <cell r="B5265" t="str">
            <v>Bachhwara BMC</v>
          </cell>
          <cell r="C5265" t="str">
            <v>Bachhwara BMC</v>
          </cell>
          <cell r="D5265" t="str">
            <v>Gomukh Gangauli</v>
          </cell>
          <cell r="E5265">
            <v>10650003</v>
          </cell>
          <cell r="F5265" t="str">
            <v>0011</v>
          </cell>
          <cell r="G5265">
            <v>14</v>
          </cell>
          <cell r="H5265">
            <v>158.19999999999999</v>
          </cell>
          <cell r="I5265">
            <v>6624.822196080002</v>
          </cell>
          <cell r="J5265">
            <v>0</v>
          </cell>
          <cell r="K5265">
            <v>0</v>
          </cell>
          <cell r="L5265">
            <v>0</v>
          </cell>
          <cell r="M5265">
            <v>0</v>
          </cell>
          <cell r="P5265">
            <v>6625</v>
          </cell>
          <cell r="V5265" t="str">
            <v>Available</v>
          </cell>
        </row>
        <row r="5266">
          <cell r="A5266" t="str">
            <v>106500030013</v>
          </cell>
          <cell r="B5266" t="str">
            <v>Bachhwara BMC</v>
          </cell>
          <cell r="C5266" t="str">
            <v>Bachhwara BMC</v>
          </cell>
          <cell r="D5266" t="str">
            <v>Gomukh Gangauli</v>
          </cell>
          <cell r="E5266">
            <v>10650003</v>
          </cell>
          <cell r="F5266" t="str">
            <v>0013</v>
          </cell>
          <cell r="G5266">
            <v>12</v>
          </cell>
          <cell r="H5266">
            <v>26.300000000000004</v>
          </cell>
          <cell r="I5266">
            <v>1105.4766294000001</v>
          </cell>
          <cell r="J5266">
            <v>0</v>
          </cell>
          <cell r="K5266">
            <v>0</v>
          </cell>
          <cell r="L5266">
            <v>0</v>
          </cell>
          <cell r="M5266">
            <v>0</v>
          </cell>
          <cell r="P5266">
            <v>1105</v>
          </cell>
          <cell r="V5266" t="str">
            <v>Available</v>
          </cell>
        </row>
        <row r="5267">
          <cell r="A5267" t="str">
            <v>106500030014</v>
          </cell>
          <cell r="B5267" t="str">
            <v>Bachhwara BMC</v>
          </cell>
          <cell r="C5267" t="str">
            <v>Bachhwara BMC</v>
          </cell>
          <cell r="D5267" t="str">
            <v>Gomukh Gangauli</v>
          </cell>
          <cell r="E5267">
            <v>10650003</v>
          </cell>
          <cell r="F5267" t="str">
            <v>0014</v>
          </cell>
          <cell r="G5267">
            <v>14</v>
          </cell>
          <cell r="H5267">
            <v>117.5</v>
          </cell>
          <cell r="I5267">
            <v>4758.1642350000011</v>
          </cell>
          <cell r="J5267">
            <v>0</v>
          </cell>
          <cell r="K5267">
            <v>0</v>
          </cell>
          <cell r="L5267">
            <v>0</v>
          </cell>
          <cell r="M5267">
            <v>0</v>
          </cell>
          <cell r="P5267">
            <v>4758</v>
          </cell>
          <cell r="V5267" t="str">
            <v>Available</v>
          </cell>
        </row>
        <row r="5268">
          <cell r="A5268" t="str">
            <v>106500030017</v>
          </cell>
          <cell r="B5268" t="str">
            <v>Bachhwara BMC</v>
          </cell>
          <cell r="C5268" t="str">
            <v>Bachhwara BMC</v>
          </cell>
          <cell r="D5268" t="str">
            <v>Gomukh Gangauli</v>
          </cell>
          <cell r="E5268">
            <v>10650003</v>
          </cell>
          <cell r="F5268" t="str">
            <v>0017</v>
          </cell>
          <cell r="G5268">
            <v>13</v>
          </cell>
          <cell r="H5268">
            <v>27.9</v>
          </cell>
          <cell r="I5268">
            <v>1606.9497483760001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  <cell r="P5268">
            <v>1607</v>
          </cell>
          <cell r="V5268" t="str">
            <v>Available</v>
          </cell>
        </row>
        <row r="5269">
          <cell r="A5269" t="str">
            <v>106500030019</v>
          </cell>
          <cell r="B5269" t="str">
            <v>Bachhwara BMC</v>
          </cell>
          <cell r="C5269" t="str">
            <v>Bachhwara BMC</v>
          </cell>
          <cell r="D5269" t="str">
            <v>Gomukh Gangauli</v>
          </cell>
          <cell r="E5269">
            <v>10650003</v>
          </cell>
          <cell r="F5269" t="str">
            <v>0019</v>
          </cell>
          <cell r="G5269">
            <v>6</v>
          </cell>
          <cell r="H5269">
            <v>17.899999999999999</v>
          </cell>
          <cell r="I5269">
            <v>708.27928380000003</v>
          </cell>
          <cell r="J5269">
            <v>0</v>
          </cell>
          <cell r="K5269">
            <v>0</v>
          </cell>
          <cell r="L5269">
            <v>0</v>
          </cell>
          <cell r="M5269">
            <v>0</v>
          </cell>
          <cell r="P5269">
            <v>708</v>
          </cell>
          <cell r="V5269" t="str">
            <v>Available</v>
          </cell>
        </row>
        <row r="5270">
          <cell r="A5270" t="str">
            <v>106500030020</v>
          </cell>
          <cell r="B5270" t="str">
            <v>Bachhwara BMC</v>
          </cell>
          <cell r="C5270" t="str">
            <v>Bachhwara BMC</v>
          </cell>
          <cell r="D5270" t="str">
            <v>Gomukh Gangauli</v>
          </cell>
          <cell r="E5270">
            <v>10650003</v>
          </cell>
          <cell r="F5270" t="str">
            <v>0020</v>
          </cell>
          <cell r="G5270">
            <v>14</v>
          </cell>
          <cell r="H5270">
            <v>66.7</v>
          </cell>
          <cell r="I5270">
            <v>2486.8095159599998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P5270">
            <v>2487</v>
          </cell>
          <cell r="V5270" t="str">
            <v>Available</v>
          </cell>
        </row>
        <row r="5271">
          <cell r="A5271" t="str">
            <v>106500030021</v>
          </cell>
          <cell r="B5271" t="str">
            <v>Bachhwara BMC</v>
          </cell>
          <cell r="C5271" t="str">
            <v>Bachhwara BMC</v>
          </cell>
          <cell r="D5271" t="str">
            <v>Gomukh Gangauli</v>
          </cell>
          <cell r="E5271">
            <v>10650003</v>
          </cell>
          <cell r="F5271" t="str">
            <v>0021</v>
          </cell>
          <cell r="G5271">
            <v>9</v>
          </cell>
          <cell r="H5271">
            <v>22.400000000000002</v>
          </cell>
          <cell r="I5271">
            <v>765.3609532800001</v>
          </cell>
          <cell r="J5271">
            <v>0</v>
          </cell>
          <cell r="K5271">
            <v>0</v>
          </cell>
          <cell r="L5271">
            <v>0</v>
          </cell>
          <cell r="M5271">
            <v>0</v>
          </cell>
          <cell r="P5271">
            <v>765</v>
          </cell>
          <cell r="V5271" t="str">
            <v>Available</v>
          </cell>
        </row>
        <row r="5272">
          <cell r="A5272" t="str">
            <v>106500030022</v>
          </cell>
          <cell r="B5272" t="str">
            <v>Bachhwara BMC</v>
          </cell>
          <cell r="C5272" t="str">
            <v>Bachhwara BMC</v>
          </cell>
          <cell r="D5272" t="str">
            <v>Gomukh Gangauli</v>
          </cell>
          <cell r="E5272">
            <v>10650003</v>
          </cell>
          <cell r="F5272" t="str">
            <v>0022</v>
          </cell>
          <cell r="G5272">
            <v>1</v>
          </cell>
          <cell r="H5272">
            <v>4.9000000000000004</v>
          </cell>
          <cell r="I5272">
            <v>170.11389780000002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  <cell r="P5272">
            <v>170</v>
          </cell>
          <cell r="V5272" t="str">
            <v>Available</v>
          </cell>
        </row>
        <row r="5273">
          <cell r="A5273" t="str">
            <v>106500030023</v>
          </cell>
          <cell r="B5273" t="str">
            <v>Bachhwara BMC</v>
          </cell>
          <cell r="C5273" t="str">
            <v>Bachhwara BMC</v>
          </cell>
          <cell r="D5273" t="str">
            <v>Gomukh Gangauli</v>
          </cell>
          <cell r="E5273">
            <v>10650003</v>
          </cell>
          <cell r="F5273" t="str">
            <v>0023</v>
          </cell>
          <cell r="G5273">
            <v>13</v>
          </cell>
          <cell r="H5273">
            <v>64.5</v>
          </cell>
          <cell r="I5273">
            <v>2418.4970330400006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P5273">
            <v>2418</v>
          </cell>
          <cell r="V5273" t="str">
            <v>Available</v>
          </cell>
        </row>
        <row r="5274">
          <cell r="A5274" t="str">
            <v>106500030024</v>
          </cell>
          <cell r="B5274" t="str">
            <v>Bachhwara BMC</v>
          </cell>
          <cell r="C5274" t="str">
            <v>Bachhwara BMC</v>
          </cell>
          <cell r="D5274" t="str">
            <v>Gomukh Gangauli</v>
          </cell>
          <cell r="E5274">
            <v>10650003</v>
          </cell>
          <cell r="F5274" t="str">
            <v>0024</v>
          </cell>
          <cell r="G5274">
            <v>6</v>
          </cell>
          <cell r="H5274">
            <v>16.599999999999998</v>
          </cell>
          <cell r="I5274">
            <v>648.59487046200013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  <cell r="P5274">
            <v>649</v>
          </cell>
          <cell r="V5274" t="str">
            <v>Available</v>
          </cell>
        </row>
        <row r="5275">
          <cell r="A5275" t="str">
            <v>106500030025</v>
          </cell>
          <cell r="B5275" t="str">
            <v>Bachhwara BMC</v>
          </cell>
          <cell r="C5275" t="str">
            <v>Bachhwara BMC</v>
          </cell>
          <cell r="D5275" t="str">
            <v>Gomukh Gangauli</v>
          </cell>
          <cell r="E5275">
            <v>10650003</v>
          </cell>
          <cell r="F5275" t="str">
            <v>0025</v>
          </cell>
          <cell r="G5275">
            <v>14</v>
          </cell>
          <cell r="H5275">
            <v>107.60000000000001</v>
          </cell>
          <cell r="I5275">
            <v>3889.7081427600006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P5275">
            <v>3890</v>
          </cell>
          <cell r="V5275" t="str">
            <v>Available</v>
          </cell>
        </row>
        <row r="5276">
          <cell r="A5276" t="str">
            <v>106500030026</v>
          </cell>
          <cell r="B5276" t="str">
            <v>Bachhwara BMC</v>
          </cell>
          <cell r="C5276" t="str">
            <v>Bachhwara BMC</v>
          </cell>
          <cell r="D5276" t="str">
            <v>Gomukh Gangauli</v>
          </cell>
          <cell r="E5276">
            <v>10650003</v>
          </cell>
          <cell r="F5276" t="str">
            <v>0026</v>
          </cell>
          <cell r="G5276">
            <v>13</v>
          </cell>
          <cell r="H5276">
            <v>65.8</v>
          </cell>
          <cell r="I5276">
            <v>2451.8154276000005</v>
          </cell>
          <cell r="J5276">
            <v>0</v>
          </cell>
          <cell r="K5276">
            <v>0</v>
          </cell>
          <cell r="L5276">
            <v>0</v>
          </cell>
          <cell r="M5276">
            <v>0</v>
          </cell>
          <cell r="P5276">
            <v>2452</v>
          </cell>
          <cell r="V5276" t="str">
            <v>Available</v>
          </cell>
        </row>
        <row r="5277">
          <cell r="A5277" t="str">
            <v>106500030027</v>
          </cell>
          <cell r="B5277" t="str">
            <v>Bachhwara BMC</v>
          </cell>
          <cell r="C5277" t="str">
            <v>Bachhwara BMC</v>
          </cell>
          <cell r="D5277" t="str">
            <v>Gomukh Gangauli</v>
          </cell>
          <cell r="E5277">
            <v>10650003</v>
          </cell>
          <cell r="F5277" t="str">
            <v>0027</v>
          </cell>
          <cell r="G5277">
            <v>13</v>
          </cell>
          <cell r="H5277">
            <v>32.700000000000003</v>
          </cell>
          <cell r="I5277">
            <v>1266.1674894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P5277">
            <v>1266</v>
          </cell>
          <cell r="V5277" t="str">
            <v>Available</v>
          </cell>
        </row>
        <row r="5278">
          <cell r="A5278" t="str">
            <v>106500040002</v>
          </cell>
          <cell r="B5278" t="str">
            <v>Bachhwara BMC</v>
          </cell>
          <cell r="C5278" t="str">
            <v>Bachhwara BMC</v>
          </cell>
          <cell r="D5278" t="str">
            <v>Gomukh KARRAKH</v>
          </cell>
          <cell r="E5278">
            <v>10650004</v>
          </cell>
          <cell r="F5278" t="str">
            <v>0002</v>
          </cell>
          <cell r="G5278">
            <v>14</v>
          </cell>
          <cell r="H5278">
            <v>419.60000000000008</v>
          </cell>
          <cell r="I5278">
            <v>16198.454167831116</v>
          </cell>
          <cell r="J5278">
            <v>0</v>
          </cell>
          <cell r="K5278">
            <v>0</v>
          </cell>
          <cell r="L5278">
            <v>639</v>
          </cell>
          <cell r="M5278">
            <v>0</v>
          </cell>
          <cell r="P5278">
            <v>15559</v>
          </cell>
          <cell r="V5278" t="str">
            <v>Available</v>
          </cell>
        </row>
        <row r="5279">
          <cell r="A5279" t="str">
            <v>106500110002</v>
          </cell>
          <cell r="B5279" t="str">
            <v>Bachhwara BMC</v>
          </cell>
          <cell r="C5279" t="str">
            <v>Bachhwara BMC</v>
          </cell>
          <cell r="D5279" t="str">
            <v>Gomukh Manda</v>
          </cell>
          <cell r="E5279">
            <v>10650011</v>
          </cell>
          <cell r="F5279" t="str">
            <v>0002</v>
          </cell>
          <cell r="G5279">
            <v>14</v>
          </cell>
          <cell r="H5279">
            <v>105.10000000000001</v>
          </cell>
          <cell r="I5279">
            <v>3935.7374205600008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  <cell r="P5279">
            <v>3936</v>
          </cell>
          <cell r="V5279" t="str">
            <v>Available</v>
          </cell>
        </row>
        <row r="5280">
          <cell r="A5280" t="str">
            <v>106500110003</v>
          </cell>
          <cell r="B5280" t="str">
            <v>Bachhwara BMC</v>
          </cell>
          <cell r="C5280" t="str">
            <v>Bachhwara BMC</v>
          </cell>
          <cell r="D5280" t="str">
            <v>Gomukh Manda</v>
          </cell>
          <cell r="E5280">
            <v>10650011</v>
          </cell>
          <cell r="F5280" t="str">
            <v>0003</v>
          </cell>
          <cell r="G5280">
            <v>9</v>
          </cell>
          <cell r="H5280">
            <v>22.400000000000002</v>
          </cell>
          <cell r="I5280">
            <v>925.51669848000029</v>
          </cell>
          <cell r="J5280">
            <v>0</v>
          </cell>
          <cell r="K5280">
            <v>0</v>
          </cell>
          <cell r="L5280">
            <v>0</v>
          </cell>
          <cell r="M5280">
            <v>0</v>
          </cell>
          <cell r="P5280">
            <v>926</v>
          </cell>
          <cell r="V5280" t="str">
            <v>Available</v>
          </cell>
        </row>
        <row r="5281">
          <cell r="A5281" t="str">
            <v>106500110004</v>
          </cell>
          <cell r="B5281" t="str">
            <v>Bachhwara BMC</v>
          </cell>
          <cell r="C5281" t="str">
            <v>Bachhwara BMC</v>
          </cell>
          <cell r="D5281" t="str">
            <v>Gomukh Manda</v>
          </cell>
          <cell r="E5281">
            <v>10650011</v>
          </cell>
          <cell r="F5281" t="str">
            <v>0004</v>
          </cell>
          <cell r="G5281">
            <v>7</v>
          </cell>
          <cell r="H5281">
            <v>13.4</v>
          </cell>
          <cell r="I5281">
            <v>534.45660840000005</v>
          </cell>
          <cell r="J5281">
            <v>0</v>
          </cell>
          <cell r="K5281">
            <v>0</v>
          </cell>
          <cell r="L5281">
            <v>0</v>
          </cell>
          <cell r="M5281">
            <v>0</v>
          </cell>
          <cell r="P5281">
            <v>534</v>
          </cell>
          <cell r="V5281" t="str">
            <v>Available</v>
          </cell>
        </row>
        <row r="5282">
          <cell r="A5282" t="str">
            <v>106500110005</v>
          </cell>
          <cell r="B5282" t="str">
            <v>Bachhwara BMC</v>
          </cell>
          <cell r="C5282" t="str">
            <v>Bachhwara BMC</v>
          </cell>
          <cell r="D5282" t="str">
            <v>Gomukh Manda</v>
          </cell>
          <cell r="E5282">
            <v>10650011</v>
          </cell>
          <cell r="F5282" t="str">
            <v>0005</v>
          </cell>
          <cell r="G5282">
            <v>7</v>
          </cell>
          <cell r="H5282">
            <v>33.700000000000003</v>
          </cell>
          <cell r="I5282">
            <v>1313.0013718800001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P5282">
            <v>1313</v>
          </cell>
          <cell r="V5282" t="str">
            <v>Available</v>
          </cell>
        </row>
        <row r="5283">
          <cell r="A5283" t="str">
            <v>106500110006</v>
          </cell>
          <cell r="B5283" t="str">
            <v>Bachhwara BMC</v>
          </cell>
          <cell r="C5283" t="str">
            <v>Bachhwara BMC</v>
          </cell>
          <cell r="D5283" t="str">
            <v>Gomukh Manda</v>
          </cell>
          <cell r="E5283">
            <v>10650011</v>
          </cell>
          <cell r="F5283" t="str">
            <v>0006</v>
          </cell>
          <cell r="G5283">
            <v>14</v>
          </cell>
          <cell r="H5283">
            <v>87.1</v>
          </cell>
          <cell r="I5283">
            <v>3509.0801262</v>
          </cell>
          <cell r="J5283">
            <v>0</v>
          </cell>
          <cell r="K5283">
            <v>0</v>
          </cell>
          <cell r="L5283">
            <v>0</v>
          </cell>
          <cell r="M5283">
            <v>0</v>
          </cell>
          <cell r="P5283">
            <v>3509</v>
          </cell>
          <cell r="V5283" t="str">
            <v>Available</v>
          </cell>
        </row>
        <row r="5284">
          <cell r="A5284" t="str">
            <v>106500110008</v>
          </cell>
          <cell r="B5284" t="str">
            <v>Bachhwara BMC</v>
          </cell>
          <cell r="C5284" t="str">
            <v>Bachhwara BMC</v>
          </cell>
          <cell r="D5284" t="str">
            <v>Gomukh Manda</v>
          </cell>
          <cell r="E5284">
            <v>10650011</v>
          </cell>
          <cell r="F5284" t="str">
            <v>0008</v>
          </cell>
          <cell r="G5284">
            <v>13</v>
          </cell>
          <cell r="H5284">
            <v>48.599999999999994</v>
          </cell>
          <cell r="I5284">
            <v>1966.27305996</v>
          </cell>
          <cell r="J5284">
            <v>0</v>
          </cell>
          <cell r="K5284">
            <v>0</v>
          </cell>
          <cell r="L5284">
            <v>0</v>
          </cell>
          <cell r="M5284">
            <v>0</v>
          </cell>
          <cell r="P5284">
            <v>1966</v>
          </cell>
          <cell r="V5284" t="str">
            <v>Available</v>
          </cell>
        </row>
        <row r="5285">
          <cell r="A5285" t="str">
            <v>106500110009</v>
          </cell>
          <cell r="B5285" t="str">
            <v>Bachhwara BMC</v>
          </cell>
          <cell r="C5285" t="str">
            <v>Bachhwara BMC</v>
          </cell>
          <cell r="D5285" t="str">
            <v>Gomukh Manda</v>
          </cell>
          <cell r="E5285">
            <v>10650011</v>
          </cell>
          <cell r="F5285" t="str">
            <v>0009</v>
          </cell>
          <cell r="G5285">
            <v>14</v>
          </cell>
          <cell r="H5285">
            <v>29.100000000000005</v>
          </cell>
          <cell r="I5285">
            <v>1184.9042502000002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P5285">
            <v>1185</v>
          </cell>
          <cell r="V5285" t="str">
            <v>Available</v>
          </cell>
        </row>
        <row r="5286">
          <cell r="A5286" t="str">
            <v>106500110010</v>
          </cell>
          <cell r="B5286" t="str">
            <v>Bachhwara BMC</v>
          </cell>
          <cell r="C5286" t="str">
            <v>Bachhwara BMC</v>
          </cell>
          <cell r="D5286" t="str">
            <v>Gomukh Manda</v>
          </cell>
          <cell r="E5286">
            <v>10650011</v>
          </cell>
          <cell r="F5286" t="str">
            <v>0010</v>
          </cell>
          <cell r="G5286">
            <v>7</v>
          </cell>
          <cell r="H5286">
            <v>28.900000000000002</v>
          </cell>
          <cell r="I5286">
            <v>1024.6553064</v>
          </cell>
          <cell r="J5286">
            <v>0</v>
          </cell>
          <cell r="K5286">
            <v>0</v>
          </cell>
          <cell r="L5286">
            <v>0</v>
          </cell>
          <cell r="M5286">
            <v>0</v>
          </cell>
          <cell r="P5286">
            <v>1025</v>
          </cell>
          <cell r="V5286" t="str">
            <v>Available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MC Collection"/>
      <sheetName val="Master"/>
      <sheetName val="ITC"/>
    </sheetNames>
    <sheetDataSet>
      <sheetData sheetId="0"/>
      <sheetData sheetId="1">
        <row r="1">
          <cell r="B1" t="str">
            <v>New Code</v>
          </cell>
          <cell r="C1" t="str">
            <v>BMC Code</v>
          </cell>
          <cell r="D1" t="str">
            <v>Old Code</v>
          </cell>
          <cell r="E1" t="str">
            <v>Type</v>
          </cell>
          <cell r="F1" t="str">
            <v>Mode</v>
          </cell>
          <cell r="G1" t="str">
            <v>society_name</v>
          </cell>
          <cell r="H1" t="str">
            <v>contact_person</v>
          </cell>
          <cell r="I1" t="str">
            <v>mobile_no</v>
          </cell>
          <cell r="J1" t="str">
            <v>Route No</v>
          </cell>
          <cell r="K1" t="str">
            <v>DPU</v>
          </cell>
          <cell r="L1" t="str">
            <v>AP Date</v>
          </cell>
          <cell r="N1" t="str">
            <v>BMC Name</v>
          </cell>
        </row>
        <row r="2">
          <cell r="B2">
            <v>10010001</v>
          </cell>
          <cell r="C2" t="str">
            <v>0001</v>
          </cell>
          <cell r="D2" t="str">
            <v>9340</v>
          </cell>
          <cell r="E2" t="str">
            <v>MPG</v>
          </cell>
          <cell r="F2" t="str">
            <v>Direct</v>
          </cell>
          <cell r="G2" t="str">
            <v>Gomukh Bakhadda</v>
          </cell>
          <cell r="H2" t="str">
            <v>Gayatri Devi</v>
          </cell>
          <cell r="I2">
            <v>9102289216</v>
          </cell>
          <cell r="J2" t="str">
            <v>100102</v>
          </cell>
          <cell r="K2" t="str">
            <v>Yes</v>
          </cell>
          <cell r="L2">
            <v>45000</v>
          </cell>
          <cell r="N2" t="str">
            <v>Majhaul</v>
          </cell>
        </row>
        <row r="3">
          <cell r="B3">
            <v>10010002</v>
          </cell>
          <cell r="C3" t="str">
            <v>0002</v>
          </cell>
          <cell r="D3" t="str">
            <v>9341</v>
          </cell>
          <cell r="E3" t="str">
            <v>MPG</v>
          </cell>
          <cell r="F3" t="str">
            <v>Direct</v>
          </cell>
          <cell r="G3" t="str">
            <v>Gomukh Rajopur</v>
          </cell>
          <cell r="H3" t="str">
            <v>Mantosh Kumar Yadav</v>
          </cell>
          <cell r="I3">
            <v>7053775465</v>
          </cell>
          <cell r="J3" t="str">
            <v>100102</v>
          </cell>
          <cell r="K3" t="str">
            <v>Yes</v>
          </cell>
          <cell r="L3">
            <v>45000</v>
          </cell>
          <cell r="N3" t="str">
            <v>Majhaul</v>
          </cell>
        </row>
        <row r="4">
          <cell r="B4">
            <v>10010003</v>
          </cell>
          <cell r="C4" t="str">
            <v>0003</v>
          </cell>
          <cell r="D4" t="str">
            <v>9347</v>
          </cell>
          <cell r="E4" t="str">
            <v>MPG</v>
          </cell>
          <cell r="F4" t="str">
            <v>Direct</v>
          </cell>
          <cell r="G4" t="str">
            <v>Gomukh Koriama</v>
          </cell>
          <cell r="H4" t="str">
            <v>Minu Devi</v>
          </cell>
          <cell r="I4">
            <v>9708404036</v>
          </cell>
          <cell r="J4" t="str">
            <v>100103</v>
          </cell>
          <cell r="K4" t="str">
            <v/>
          </cell>
          <cell r="L4">
            <v>45000</v>
          </cell>
          <cell r="N4" t="str">
            <v>Majhaul</v>
          </cell>
        </row>
        <row r="5">
          <cell r="B5">
            <v>10010004</v>
          </cell>
          <cell r="C5" t="str">
            <v>0004</v>
          </cell>
          <cell r="D5" t="str">
            <v>9349</v>
          </cell>
          <cell r="E5" t="str">
            <v>MPG</v>
          </cell>
          <cell r="F5" t="str">
            <v>Direct</v>
          </cell>
          <cell r="G5" t="str">
            <v>Gomukh Garhpura</v>
          </cell>
          <cell r="H5" t="str">
            <v>Pankaj Kumar Singh</v>
          </cell>
          <cell r="I5">
            <v>6204172145</v>
          </cell>
          <cell r="J5" t="str">
            <v>100103</v>
          </cell>
          <cell r="K5" t="str">
            <v/>
          </cell>
          <cell r="L5">
            <v>45000</v>
          </cell>
          <cell r="N5" t="str">
            <v>Majhaul</v>
          </cell>
        </row>
        <row r="6">
          <cell r="B6">
            <v>10010005</v>
          </cell>
          <cell r="C6" t="str">
            <v>0005</v>
          </cell>
          <cell r="D6" t="str">
            <v>9346</v>
          </cell>
          <cell r="E6" t="str">
            <v>MPG</v>
          </cell>
          <cell r="F6" t="str">
            <v>Direct</v>
          </cell>
          <cell r="G6" t="str">
            <v>Gomukh Sakra</v>
          </cell>
          <cell r="H6" t="str">
            <v>Rambabu Yadav</v>
          </cell>
          <cell r="I6">
            <v>8084122412</v>
          </cell>
          <cell r="J6" t="str">
            <v>100102</v>
          </cell>
          <cell r="K6" t="str">
            <v>Yes</v>
          </cell>
          <cell r="L6">
            <v>45005</v>
          </cell>
          <cell r="N6" t="str">
            <v>Majhaul</v>
          </cell>
        </row>
        <row r="7">
          <cell r="B7">
            <v>10010006</v>
          </cell>
          <cell r="C7" t="str">
            <v>0006</v>
          </cell>
          <cell r="D7" t="str">
            <v>9351</v>
          </cell>
          <cell r="E7" t="str">
            <v>MPG</v>
          </cell>
          <cell r="F7" t="str">
            <v>Direct</v>
          </cell>
          <cell r="G7" t="str">
            <v>Gomukh Ghanharpur</v>
          </cell>
          <cell r="H7" t="str">
            <v>Ajay kumar rai</v>
          </cell>
          <cell r="I7">
            <v>8544398994</v>
          </cell>
          <cell r="J7" t="str">
            <v>100103</v>
          </cell>
          <cell r="K7" t="str">
            <v>Yes</v>
          </cell>
          <cell r="L7">
            <v>45007</v>
          </cell>
          <cell r="N7" t="str">
            <v>Majhaul</v>
          </cell>
        </row>
        <row r="8">
          <cell r="B8">
            <v>10010007</v>
          </cell>
          <cell r="C8" t="str">
            <v>0007</v>
          </cell>
          <cell r="D8" t="str">
            <v>9352</v>
          </cell>
          <cell r="E8" t="str">
            <v>MPG</v>
          </cell>
          <cell r="F8" t="str">
            <v>Direct</v>
          </cell>
          <cell r="G8" t="str">
            <v>Gomukh Birpur</v>
          </cell>
          <cell r="H8" t="str">
            <v>Ajit Kumar</v>
          </cell>
          <cell r="I8">
            <v>9142101466</v>
          </cell>
          <cell r="J8" t="str">
            <v>100103</v>
          </cell>
          <cell r="K8" t="str">
            <v>Yes</v>
          </cell>
          <cell r="L8">
            <v>45007</v>
          </cell>
          <cell r="N8" t="str">
            <v>Majhaul</v>
          </cell>
        </row>
        <row r="9">
          <cell r="B9">
            <v>10010008</v>
          </cell>
          <cell r="C9" t="str">
            <v>0008</v>
          </cell>
          <cell r="D9" t="str">
            <v>9355</v>
          </cell>
          <cell r="E9" t="str">
            <v>MPG</v>
          </cell>
          <cell r="F9" t="str">
            <v>Direct</v>
          </cell>
          <cell r="G9" t="str">
            <v>Gomukh Mubarakpur</v>
          </cell>
          <cell r="H9" t="str">
            <v>Saroj Kumar</v>
          </cell>
          <cell r="I9">
            <v>9939986345</v>
          </cell>
          <cell r="J9" t="str">
            <v>100103</v>
          </cell>
          <cell r="K9" t="str">
            <v>Yes</v>
          </cell>
          <cell r="L9">
            <v>45007</v>
          </cell>
          <cell r="N9" t="str">
            <v>Majhaul</v>
          </cell>
        </row>
        <row r="10">
          <cell r="B10">
            <v>10010009</v>
          </cell>
          <cell r="C10" t="str">
            <v>0009</v>
          </cell>
          <cell r="D10" t="str">
            <v>9356</v>
          </cell>
          <cell r="E10" t="str">
            <v>MPG</v>
          </cell>
          <cell r="F10" t="str">
            <v>Direct</v>
          </cell>
          <cell r="G10" t="str">
            <v>Gomukh Bagwara</v>
          </cell>
          <cell r="H10" t="str">
            <v>Rahul Kumar</v>
          </cell>
          <cell r="I10">
            <v>7549846882</v>
          </cell>
          <cell r="J10" t="str">
            <v>100103</v>
          </cell>
          <cell r="K10" t="str">
            <v>Yes</v>
          </cell>
          <cell r="L10">
            <v>45007</v>
          </cell>
          <cell r="N10" t="str">
            <v>Majhaul</v>
          </cell>
        </row>
        <row r="11">
          <cell r="B11">
            <v>10010010</v>
          </cell>
          <cell r="C11" t="str">
            <v>0010</v>
          </cell>
          <cell r="D11" t="str">
            <v>9354</v>
          </cell>
          <cell r="E11" t="str">
            <v>MPG</v>
          </cell>
          <cell r="F11" t="str">
            <v>Direct</v>
          </cell>
          <cell r="G11" t="str">
            <v>Gomukh Parra</v>
          </cell>
          <cell r="H11" t="str">
            <v>Shavanam Kumari</v>
          </cell>
          <cell r="I11">
            <v>7715001273</v>
          </cell>
          <cell r="J11" t="str">
            <v>100103</v>
          </cell>
          <cell r="K11" t="str">
            <v>Yes</v>
          </cell>
          <cell r="L11">
            <v>45009</v>
          </cell>
          <cell r="N11" t="str">
            <v>Majhaul</v>
          </cell>
        </row>
        <row r="12">
          <cell r="B12">
            <v>10010011</v>
          </cell>
          <cell r="C12" t="str">
            <v>0011</v>
          </cell>
          <cell r="D12" t="str">
            <v>9357</v>
          </cell>
          <cell r="E12" t="str">
            <v>MPG</v>
          </cell>
          <cell r="F12" t="str">
            <v>Direct</v>
          </cell>
          <cell r="G12" t="str">
            <v>Gomukh Binodpur</v>
          </cell>
          <cell r="H12" t="str">
            <v>Sonam Devi</v>
          </cell>
          <cell r="I12">
            <v>9341204019</v>
          </cell>
          <cell r="J12" t="str">
            <v>100103</v>
          </cell>
          <cell r="K12" t="str">
            <v>Yes</v>
          </cell>
          <cell r="L12">
            <v>45009</v>
          </cell>
          <cell r="N12" t="str">
            <v>Majhaul</v>
          </cell>
        </row>
        <row r="13">
          <cell r="B13">
            <v>10010012</v>
          </cell>
          <cell r="C13" t="str">
            <v>0012</v>
          </cell>
          <cell r="D13" t="str">
            <v>9362</v>
          </cell>
          <cell r="E13" t="str">
            <v>MPG</v>
          </cell>
          <cell r="F13" t="str">
            <v>Direct</v>
          </cell>
          <cell r="G13" t="str">
            <v>Gomukh Kaura</v>
          </cell>
          <cell r="H13" t="str">
            <v>Sujeet Kumar</v>
          </cell>
          <cell r="I13">
            <v>9006780489</v>
          </cell>
          <cell r="J13" t="str">
            <v>100101</v>
          </cell>
          <cell r="K13" t="str">
            <v>Yes</v>
          </cell>
          <cell r="L13">
            <v>45012</v>
          </cell>
          <cell r="N13" t="str">
            <v>Majhaul</v>
          </cell>
        </row>
        <row r="14">
          <cell r="B14">
            <v>10010013</v>
          </cell>
          <cell r="C14" t="str">
            <v>0013</v>
          </cell>
          <cell r="D14" t="str">
            <v>9360</v>
          </cell>
          <cell r="E14" t="str">
            <v>MPG</v>
          </cell>
          <cell r="F14" t="str">
            <v>Direct</v>
          </cell>
          <cell r="G14" t="str">
            <v>Gomukh Kumbhi</v>
          </cell>
          <cell r="H14" t="str">
            <v>Archana Kumari</v>
          </cell>
          <cell r="I14">
            <v>9955219968</v>
          </cell>
          <cell r="J14" t="str">
            <v>100101</v>
          </cell>
          <cell r="K14" t="str">
            <v>Yes</v>
          </cell>
          <cell r="L14">
            <v>45013</v>
          </cell>
          <cell r="N14" t="str">
            <v>Majhaul</v>
          </cell>
        </row>
        <row r="15">
          <cell r="B15">
            <v>10010014</v>
          </cell>
          <cell r="C15" t="str">
            <v>0014</v>
          </cell>
          <cell r="D15" t="str">
            <v>9363</v>
          </cell>
          <cell r="E15" t="str">
            <v>MPG</v>
          </cell>
          <cell r="F15" t="str">
            <v>Direct</v>
          </cell>
          <cell r="G15" t="str">
            <v>Gomukh Manikpur 1</v>
          </cell>
          <cell r="H15" t="str">
            <v>Raghvendra Yadav</v>
          </cell>
          <cell r="I15">
            <v>7320963744</v>
          </cell>
          <cell r="J15" t="str">
            <v>100102</v>
          </cell>
          <cell r="K15" t="str">
            <v>Yes</v>
          </cell>
          <cell r="L15">
            <v>45013</v>
          </cell>
          <cell r="N15" t="str">
            <v>Majhaul</v>
          </cell>
        </row>
        <row r="16">
          <cell r="B16">
            <v>10010015</v>
          </cell>
          <cell r="C16" t="str">
            <v>0015</v>
          </cell>
          <cell r="D16" t="str">
            <v>9364</v>
          </cell>
          <cell r="E16" t="str">
            <v>MPG</v>
          </cell>
          <cell r="F16" t="str">
            <v>Direct</v>
          </cell>
          <cell r="G16" t="str">
            <v>Gomukh Dihi New</v>
          </cell>
          <cell r="H16" t="str">
            <v>Ajit Kumar</v>
          </cell>
          <cell r="I16">
            <v>7859000157</v>
          </cell>
          <cell r="J16" t="str">
            <v>100101</v>
          </cell>
          <cell r="K16" t="str">
            <v>Yes</v>
          </cell>
          <cell r="L16">
            <v>45013</v>
          </cell>
          <cell r="N16" t="str">
            <v>Majhaul</v>
          </cell>
        </row>
        <row r="17">
          <cell r="B17">
            <v>10010016</v>
          </cell>
          <cell r="C17" t="str">
            <v>0016</v>
          </cell>
          <cell r="D17" t="str">
            <v>9369</v>
          </cell>
          <cell r="E17" t="str">
            <v>MPG</v>
          </cell>
          <cell r="F17" t="str">
            <v>Direct</v>
          </cell>
          <cell r="G17" t="str">
            <v>Gomukh Bari Jana</v>
          </cell>
          <cell r="H17" t="str">
            <v>Ram Udagar Das</v>
          </cell>
          <cell r="I17">
            <v>9570992238</v>
          </cell>
          <cell r="J17" t="str">
            <v>100101</v>
          </cell>
          <cell r="K17" t="str">
            <v>Yes</v>
          </cell>
          <cell r="L17">
            <v>45015</v>
          </cell>
          <cell r="N17" t="str">
            <v>Majhaul</v>
          </cell>
        </row>
        <row r="18">
          <cell r="B18">
            <v>10010017</v>
          </cell>
          <cell r="C18" t="str">
            <v>0017</v>
          </cell>
          <cell r="D18" t="str">
            <v>9353</v>
          </cell>
          <cell r="E18" t="str">
            <v>MPG</v>
          </cell>
          <cell r="F18" t="str">
            <v>Direct</v>
          </cell>
          <cell r="G18" t="str">
            <v>Gomukh Amba</v>
          </cell>
          <cell r="H18" t="str">
            <v>Ranjit Kumar</v>
          </cell>
          <cell r="I18">
            <v>8809477171</v>
          </cell>
          <cell r="J18" t="str">
            <v>100103</v>
          </cell>
          <cell r="K18" t="str">
            <v>Yes</v>
          </cell>
          <cell r="L18">
            <v>45016</v>
          </cell>
          <cell r="N18" t="str">
            <v>Majhaul</v>
          </cell>
        </row>
        <row r="19">
          <cell r="B19">
            <v>10010018</v>
          </cell>
          <cell r="C19" t="str">
            <v>0018</v>
          </cell>
          <cell r="D19" t="str">
            <v>9366</v>
          </cell>
          <cell r="E19" t="str">
            <v>MPG</v>
          </cell>
          <cell r="F19" t="str">
            <v>Direct</v>
          </cell>
          <cell r="G19" t="str">
            <v>Gomukh Lodhidih</v>
          </cell>
          <cell r="H19" t="str">
            <v>Gulshan Kumar</v>
          </cell>
          <cell r="I19">
            <v>9693926160</v>
          </cell>
          <cell r="J19" t="str">
            <v>100103</v>
          </cell>
          <cell r="K19" t="str">
            <v>Yes</v>
          </cell>
          <cell r="L19">
            <v>45016</v>
          </cell>
          <cell r="N19" t="str">
            <v>Majhaul</v>
          </cell>
        </row>
        <row r="20">
          <cell r="B20">
            <v>10010019</v>
          </cell>
          <cell r="C20" t="str">
            <v>0019</v>
          </cell>
          <cell r="D20" t="str">
            <v>9375</v>
          </cell>
          <cell r="E20" t="str">
            <v>MPG</v>
          </cell>
          <cell r="F20" t="str">
            <v>Direct</v>
          </cell>
          <cell r="G20" t="str">
            <v xml:space="preserve">Gomukh Jagdar                                                                                       </v>
          </cell>
          <cell r="H20" t="str">
            <v>Sujeet kumar</v>
          </cell>
          <cell r="I20">
            <v>8298362045</v>
          </cell>
          <cell r="J20" t="str">
            <v>100103</v>
          </cell>
          <cell r="K20" t="str">
            <v>Yes</v>
          </cell>
          <cell r="L20">
            <v>45040</v>
          </cell>
          <cell r="N20" t="str">
            <v>Majhaul</v>
          </cell>
        </row>
        <row r="21">
          <cell r="B21">
            <v>10010020</v>
          </cell>
          <cell r="C21" t="str">
            <v>0020</v>
          </cell>
          <cell r="D21" t="str">
            <v>9379</v>
          </cell>
          <cell r="E21" t="str">
            <v>MPG</v>
          </cell>
          <cell r="F21" t="str">
            <v>Direct</v>
          </cell>
          <cell r="G21" t="str">
            <v xml:space="preserve">Gomukh Pansalla                                                                                     </v>
          </cell>
          <cell r="H21" t="str">
            <v>Niraj Kumar Sharma</v>
          </cell>
          <cell r="I21">
            <v>7549785452</v>
          </cell>
          <cell r="J21" t="str">
            <v>100101</v>
          </cell>
          <cell r="K21" t="str">
            <v/>
          </cell>
          <cell r="L21">
            <v>45042</v>
          </cell>
          <cell r="N21" t="str">
            <v>Majhaul</v>
          </cell>
        </row>
        <row r="22">
          <cell r="B22">
            <v>10010021</v>
          </cell>
          <cell r="C22" t="str">
            <v>0021</v>
          </cell>
          <cell r="D22" t="str">
            <v>9374</v>
          </cell>
          <cell r="E22" t="str">
            <v>MPG</v>
          </cell>
          <cell r="F22" t="str">
            <v>Direct</v>
          </cell>
          <cell r="G22" t="str">
            <v xml:space="preserve">Gomukh Moradpur                                                                                     </v>
          </cell>
          <cell r="H22" t="str">
            <v>Jayjay Ram Kumar</v>
          </cell>
          <cell r="I22">
            <v>6206656349</v>
          </cell>
          <cell r="J22" t="str">
            <v>100103</v>
          </cell>
          <cell r="K22" t="str">
            <v>Yes</v>
          </cell>
          <cell r="L22">
            <v>45043</v>
          </cell>
          <cell r="N22" t="str">
            <v>Majhaul</v>
          </cell>
        </row>
        <row r="23">
          <cell r="B23">
            <v>10010022</v>
          </cell>
          <cell r="C23" t="str">
            <v>0022</v>
          </cell>
          <cell r="D23" t="str">
            <v>9378</v>
          </cell>
          <cell r="E23" t="str">
            <v>MPG</v>
          </cell>
          <cell r="F23" t="str">
            <v>Direct</v>
          </cell>
          <cell r="G23" t="str">
            <v xml:space="preserve">Gomukh Shitalrampur                                                                                 </v>
          </cell>
          <cell r="H23" t="str">
            <v>Rohit Kumar</v>
          </cell>
          <cell r="I23">
            <v>7903804497</v>
          </cell>
          <cell r="J23" t="str">
            <v>100101</v>
          </cell>
          <cell r="K23" t="str">
            <v>Yes</v>
          </cell>
          <cell r="L23">
            <v>45017</v>
          </cell>
          <cell r="N23" t="str">
            <v>Majhaul</v>
          </cell>
        </row>
        <row r="24">
          <cell r="B24">
            <v>10010023</v>
          </cell>
          <cell r="C24" t="str">
            <v>0023</v>
          </cell>
          <cell r="D24" t="str">
            <v>9173</v>
          </cell>
          <cell r="E24" t="str">
            <v>MPG</v>
          </cell>
          <cell r="F24" t="str">
            <v>Direct</v>
          </cell>
          <cell r="G24" t="str">
            <v xml:space="preserve">Gomukh Dihpar                                                                                       </v>
          </cell>
          <cell r="H24" t="str">
            <v>Ram pravesh singh</v>
          </cell>
          <cell r="I24">
            <v>7488448697</v>
          </cell>
          <cell r="J24" t="str">
            <v>100103</v>
          </cell>
          <cell r="K24" t="str">
            <v>Yes</v>
          </cell>
          <cell r="L24">
            <v>45051</v>
          </cell>
          <cell r="N24" t="str">
            <v>Majhaul</v>
          </cell>
        </row>
        <row r="25">
          <cell r="B25">
            <v>10010024</v>
          </cell>
          <cell r="C25" t="str">
            <v>0024</v>
          </cell>
          <cell r="D25" t="str">
            <v>9384</v>
          </cell>
          <cell r="E25" t="str">
            <v>MPG</v>
          </cell>
          <cell r="F25" t="str">
            <v>Direct</v>
          </cell>
          <cell r="G25" t="str">
            <v xml:space="preserve">Gomukh Badiya                                                                                       </v>
          </cell>
          <cell r="H25" t="str">
            <v>Ravindra Das</v>
          </cell>
          <cell r="I25">
            <v>8051548499</v>
          </cell>
          <cell r="J25" t="str">
            <v>100101</v>
          </cell>
          <cell r="K25" t="str">
            <v>Yes</v>
          </cell>
          <cell r="L25">
            <v>45068</v>
          </cell>
          <cell r="N25" t="str">
            <v>Majhaul</v>
          </cell>
        </row>
        <row r="26">
          <cell r="B26">
            <v>10010025</v>
          </cell>
          <cell r="C26" t="str">
            <v>0025</v>
          </cell>
          <cell r="D26" t="str">
            <v>9385</v>
          </cell>
          <cell r="E26" t="str">
            <v>MPG</v>
          </cell>
          <cell r="F26" t="str">
            <v>Direct</v>
          </cell>
          <cell r="G26" t="str">
            <v xml:space="preserve">Gomukh Bela                                                                                         </v>
          </cell>
          <cell r="H26" t="str">
            <v>Sujeet KumarYadav</v>
          </cell>
          <cell r="I26">
            <v>7367858963</v>
          </cell>
          <cell r="J26" t="str">
            <v>100102</v>
          </cell>
          <cell r="K26" t="str">
            <v>Yes</v>
          </cell>
          <cell r="L26">
            <v>45070</v>
          </cell>
          <cell r="N26" t="str">
            <v>Majhaul</v>
          </cell>
        </row>
        <row r="27">
          <cell r="B27">
            <v>10010026</v>
          </cell>
          <cell r="C27" t="str">
            <v>0026</v>
          </cell>
          <cell r="D27" t="str">
            <v>9386</v>
          </cell>
          <cell r="E27" t="str">
            <v>MPG</v>
          </cell>
          <cell r="F27" t="str">
            <v>Direct</v>
          </cell>
          <cell r="G27" t="str">
            <v xml:space="preserve">Gomukh Sahuri Baraipura                                                                             </v>
          </cell>
          <cell r="H27" t="str">
            <v>Chandra Deo Yadav</v>
          </cell>
          <cell r="I27">
            <v>9507262297</v>
          </cell>
          <cell r="J27" t="str">
            <v>100102</v>
          </cell>
          <cell r="K27" t="str">
            <v/>
          </cell>
          <cell r="L27">
            <v>45070</v>
          </cell>
          <cell r="N27" t="str">
            <v>Majhaul</v>
          </cell>
        </row>
        <row r="28">
          <cell r="B28">
            <v>10010027</v>
          </cell>
          <cell r="C28" t="str">
            <v>0027</v>
          </cell>
          <cell r="D28" t="str">
            <v>9387</v>
          </cell>
          <cell r="E28" t="str">
            <v>MPG</v>
          </cell>
          <cell r="F28" t="str">
            <v>Direct</v>
          </cell>
          <cell r="G28" t="str">
            <v xml:space="preserve">Gomukh Paroriya                                                                                     </v>
          </cell>
          <cell r="H28" t="str">
            <v>Ramakbak Yadav</v>
          </cell>
          <cell r="I28">
            <v>8210373124</v>
          </cell>
          <cell r="J28" t="str">
            <v>100102</v>
          </cell>
          <cell r="K28" t="str">
            <v>Yes</v>
          </cell>
          <cell r="L28">
            <v>45070</v>
          </cell>
          <cell r="N28" t="str">
            <v>Majhaul</v>
          </cell>
        </row>
        <row r="29">
          <cell r="B29">
            <v>10010028</v>
          </cell>
          <cell r="C29" t="str">
            <v>0028</v>
          </cell>
          <cell r="D29" t="str">
            <v>9389</v>
          </cell>
          <cell r="E29" t="str">
            <v>MPG</v>
          </cell>
          <cell r="F29" t="str">
            <v>Direct</v>
          </cell>
          <cell r="G29" t="str">
            <v xml:space="preserve">Gomukh Paroriya Pokhar tola                                                                         </v>
          </cell>
          <cell r="H29" t="str">
            <v>Mira Devi</v>
          </cell>
          <cell r="I29">
            <v>8603600942</v>
          </cell>
          <cell r="J29" t="str">
            <v>100102</v>
          </cell>
          <cell r="K29" t="str">
            <v>Yes</v>
          </cell>
          <cell r="L29">
            <v>45070</v>
          </cell>
          <cell r="N29" t="str">
            <v>Majhaul</v>
          </cell>
        </row>
        <row r="30">
          <cell r="B30">
            <v>10010029</v>
          </cell>
          <cell r="C30" t="str">
            <v>0029</v>
          </cell>
          <cell r="D30" t="str">
            <v>9390</v>
          </cell>
          <cell r="E30" t="str">
            <v>MPG</v>
          </cell>
          <cell r="F30" t="str">
            <v>Direct</v>
          </cell>
          <cell r="G30" t="str">
            <v xml:space="preserve">Gomukh Malpur                                                                                       </v>
          </cell>
          <cell r="H30" t="str">
            <v>Rajesh Kumar Singh</v>
          </cell>
          <cell r="I30">
            <v>9507334173</v>
          </cell>
          <cell r="J30" t="str">
            <v>100102</v>
          </cell>
          <cell r="K30" t="str">
            <v>Yes</v>
          </cell>
          <cell r="L30">
            <v>45070</v>
          </cell>
          <cell r="N30" t="str">
            <v>Majhaul</v>
          </cell>
        </row>
        <row r="31">
          <cell r="B31">
            <v>10010030</v>
          </cell>
          <cell r="C31" t="str">
            <v>0030</v>
          </cell>
          <cell r="D31" t="str">
            <v>9391</v>
          </cell>
          <cell r="E31" t="str">
            <v>MPG</v>
          </cell>
          <cell r="F31" t="str">
            <v>Direct</v>
          </cell>
          <cell r="G31" t="str">
            <v xml:space="preserve">Gomukh Phulhara                                                                                     </v>
          </cell>
          <cell r="H31" t="str">
            <v>Subhash Kumar</v>
          </cell>
          <cell r="I31">
            <v>8809257341</v>
          </cell>
          <cell r="J31" t="str">
            <v>100102</v>
          </cell>
          <cell r="K31" t="str">
            <v>Yes</v>
          </cell>
          <cell r="L31">
            <v>45070</v>
          </cell>
          <cell r="N31" t="str">
            <v>Majhaul</v>
          </cell>
        </row>
        <row r="32">
          <cell r="B32">
            <v>10010031</v>
          </cell>
          <cell r="C32" t="str">
            <v>0031</v>
          </cell>
          <cell r="D32" t="str">
            <v>9394</v>
          </cell>
          <cell r="E32" t="str">
            <v>MPG</v>
          </cell>
          <cell r="F32" t="str">
            <v>Direct</v>
          </cell>
          <cell r="G32" t="str">
            <v>Gomukh Maujitan</v>
          </cell>
          <cell r="H32" t="str">
            <v>Praitima Paswan</v>
          </cell>
          <cell r="I32">
            <v>7646050965</v>
          </cell>
          <cell r="J32" t="str">
            <v>100101</v>
          </cell>
          <cell r="K32" t="str">
            <v/>
          </cell>
          <cell r="L32">
            <v>45116</v>
          </cell>
          <cell r="N32" t="str">
            <v>Majhaul</v>
          </cell>
        </row>
        <row r="33">
          <cell r="B33">
            <v>10010032</v>
          </cell>
          <cell r="C33" t="str">
            <v>0032</v>
          </cell>
          <cell r="D33" t="str">
            <v>9395</v>
          </cell>
          <cell r="E33" t="str">
            <v>MPG</v>
          </cell>
          <cell r="F33" t="str">
            <v>Direct</v>
          </cell>
          <cell r="G33" t="str">
            <v>Gomukh Sonversa</v>
          </cell>
          <cell r="H33" t="str">
            <v>Mahesh Kumar</v>
          </cell>
          <cell r="I33">
            <v>6206311202</v>
          </cell>
          <cell r="J33" t="str">
            <v>100101</v>
          </cell>
          <cell r="K33" t="str">
            <v/>
          </cell>
          <cell r="L33">
            <v>45116</v>
          </cell>
          <cell r="N33" t="str">
            <v>Majhaul</v>
          </cell>
        </row>
        <row r="34">
          <cell r="B34">
            <v>10010033</v>
          </cell>
          <cell r="C34" t="str">
            <v>0033</v>
          </cell>
          <cell r="D34" t="str">
            <v>9393</v>
          </cell>
          <cell r="E34" t="str">
            <v>MPG</v>
          </cell>
          <cell r="F34" t="str">
            <v>Direct</v>
          </cell>
          <cell r="G34" t="str">
            <v>Gomukh pakdi</v>
          </cell>
          <cell r="H34" t="str">
            <v>MUKUND KUMAR</v>
          </cell>
          <cell r="I34">
            <v>9570806465</v>
          </cell>
          <cell r="J34" t="str">
            <v>100103</v>
          </cell>
          <cell r="K34" t="str">
            <v>Yes</v>
          </cell>
          <cell r="L34">
            <v>45122</v>
          </cell>
          <cell r="N34" t="str">
            <v>Majhaul</v>
          </cell>
        </row>
        <row r="35">
          <cell r="B35">
            <v>10010034</v>
          </cell>
          <cell r="C35" t="str">
            <v>0034</v>
          </cell>
          <cell r="D35" t="str">
            <v>9396</v>
          </cell>
          <cell r="E35" t="str">
            <v>MPG</v>
          </cell>
          <cell r="F35" t="str">
            <v>Direct</v>
          </cell>
          <cell r="G35" t="str">
            <v>Gomukh Laxmipur</v>
          </cell>
          <cell r="H35" t="str">
            <v>Govind kumar</v>
          </cell>
          <cell r="I35">
            <v>8877833368</v>
          </cell>
          <cell r="J35" t="str">
            <v>100103</v>
          </cell>
          <cell r="K35" t="str">
            <v>Yes</v>
          </cell>
          <cell r="L35">
            <v>45122</v>
          </cell>
          <cell r="N35" t="str">
            <v>Majhaul</v>
          </cell>
        </row>
        <row r="36">
          <cell r="B36">
            <v>10010035</v>
          </cell>
          <cell r="C36" t="str">
            <v>0035</v>
          </cell>
          <cell r="D36" t="str">
            <v>9399</v>
          </cell>
          <cell r="E36" t="str">
            <v>MPG</v>
          </cell>
          <cell r="F36" t="str">
            <v>Direct</v>
          </cell>
          <cell r="G36" t="str">
            <v>Gomukh Goha</v>
          </cell>
          <cell r="H36" t="str">
            <v>Sikendra Singh</v>
          </cell>
          <cell r="I36">
            <v>9525495086</v>
          </cell>
          <cell r="J36" t="str">
            <v>100101</v>
          </cell>
          <cell r="K36" t="str">
            <v>Yes</v>
          </cell>
          <cell r="L36">
            <v>45122</v>
          </cell>
          <cell r="N36" t="str">
            <v>Majhaul</v>
          </cell>
        </row>
        <row r="37">
          <cell r="B37">
            <v>10010036</v>
          </cell>
          <cell r="C37" t="str">
            <v>0036</v>
          </cell>
          <cell r="D37" t="str">
            <v>6745</v>
          </cell>
          <cell r="E37" t="str">
            <v>MPG</v>
          </cell>
          <cell r="F37" t="str">
            <v>Indirect</v>
          </cell>
          <cell r="G37" t="str">
            <v>Vinod yadav</v>
          </cell>
          <cell r="H37" t="str">
            <v>Vinod yadav</v>
          </cell>
          <cell r="I37">
            <v>7808416737</v>
          </cell>
          <cell r="J37" t="str">
            <v>100103</v>
          </cell>
          <cell r="K37" t="str">
            <v/>
          </cell>
          <cell r="L37">
            <v>45125</v>
          </cell>
          <cell r="N37" t="str">
            <v>Majhaul</v>
          </cell>
        </row>
        <row r="38">
          <cell r="B38">
            <v>10010037</v>
          </cell>
          <cell r="C38" t="str">
            <v>0037</v>
          </cell>
          <cell r="D38" t="str">
            <v>9392</v>
          </cell>
          <cell r="E38" t="str">
            <v>MPG</v>
          </cell>
          <cell r="F38" t="str">
            <v>Direct</v>
          </cell>
          <cell r="G38" t="str">
            <v xml:space="preserve">Gomukh Sushilnagar </v>
          </cell>
          <cell r="H38" t="str">
            <v>Gopal kumar</v>
          </cell>
          <cell r="I38">
            <v>6299515169</v>
          </cell>
          <cell r="J38" t="str">
            <v>100103</v>
          </cell>
          <cell r="K38" t="str">
            <v/>
          </cell>
          <cell r="L38">
            <v>45128</v>
          </cell>
          <cell r="N38" t="str">
            <v>Majhaul</v>
          </cell>
        </row>
        <row r="39">
          <cell r="B39">
            <v>10010038</v>
          </cell>
          <cell r="C39" t="str">
            <v>0038</v>
          </cell>
          <cell r="D39" t="str">
            <v>9400</v>
          </cell>
          <cell r="E39" t="str">
            <v>MPG</v>
          </cell>
          <cell r="F39" t="str">
            <v>Direct</v>
          </cell>
          <cell r="G39" t="str">
            <v>Gomukh Goriyari</v>
          </cell>
          <cell r="H39" t="str">
            <v>Ajay Kumar</v>
          </cell>
          <cell r="I39">
            <v>9973609107</v>
          </cell>
          <cell r="J39" t="str">
            <v>100101</v>
          </cell>
          <cell r="K39" t="str">
            <v>Yes</v>
          </cell>
          <cell r="L39">
            <v>45128</v>
          </cell>
          <cell r="N39" t="str">
            <v>Majhaul</v>
          </cell>
        </row>
        <row r="40">
          <cell r="B40">
            <v>10010039</v>
          </cell>
          <cell r="C40" t="str">
            <v>0039</v>
          </cell>
          <cell r="D40" t="str">
            <v>9405</v>
          </cell>
          <cell r="E40" t="str">
            <v>MPG</v>
          </cell>
          <cell r="F40" t="str">
            <v>Direct</v>
          </cell>
          <cell r="G40" t="str">
            <v>Gomukh Mangalgarh</v>
          </cell>
          <cell r="H40" t="str">
            <v>Shankar Kumar</v>
          </cell>
          <cell r="I40">
            <v>7808696159</v>
          </cell>
          <cell r="J40" t="str">
            <v>100102</v>
          </cell>
          <cell r="K40" t="str">
            <v>Yes</v>
          </cell>
          <cell r="L40">
            <v>45141</v>
          </cell>
          <cell r="N40" t="str">
            <v>Majhaul</v>
          </cell>
        </row>
        <row r="41">
          <cell r="B41">
            <v>10010040</v>
          </cell>
          <cell r="C41" t="str">
            <v>0040</v>
          </cell>
          <cell r="D41" t="str">
            <v>9407</v>
          </cell>
          <cell r="E41" t="str">
            <v>MPG</v>
          </cell>
          <cell r="F41" t="str">
            <v>Direct</v>
          </cell>
          <cell r="G41" t="str">
            <v>Gomukh sahuri-2</v>
          </cell>
          <cell r="H41" t="str">
            <v>sanjeev kumar sah</v>
          </cell>
          <cell r="I41">
            <v>8073435771</v>
          </cell>
          <cell r="J41" t="str">
            <v>100103</v>
          </cell>
          <cell r="K41" t="str">
            <v>Yes</v>
          </cell>
          <cell r="L41">
            <v>45141</v>
          </cell>
          <cell r="N41" t="str">
            <v>Majhaul</v>
          </cell>
        </row>
        <row r="42">
          <cell r="B42">
            <v>10010041</v>
          </cell>
          <cell r="C42" t="str">
            <v>0041</v>
          </cell>
          <cell r="D42" t="str">
            <v>9402</v>
          </cell>
          <cell r="E42" t="str">
            <v>MPG</v>
          </cell>
          <cell r="F42" t="str">
            <v>Direct</v>
          </cell>
          <cell r="G42" t="str">
            <v>GOMUKH SAHURI</v>
          </cell>
          <cell r="H42" t="str">
            <v>MD SHEKH UMAR</v>
          </cell>
          <cell r="I42">
            <v>7979872008</v>
          </cell>
          <cell r="J42" t="str">
            <v>100103</v>
          </cell>
          <cell r="K42" t="str">
            <v>Yes</v>
          </cell>
          <cell r="L42">
            <v>45148</v>
          </cell>
          <cell r="N42" t="str">
            <v>Majhaul</v>
          </cell>
        </row>
        <row r="43">
          <cell r="B43">
            <v>10010042</v>
          </cell>
          <cell r="C43" t="str">
            <v>0042</v>
          </cell>
          <cell r="D43" t="str">
            <v>9404</v>
          </cell>
          <cell r="E43" t="str">
            <v>MPG</v>
          </cell>
          <cell r="F43" t="str">
            <v>Direct</v>
          </cell>
          <cell r="G43" t="str">
            <v>GOMUKH BHEETH</v>
          </cell>
          <cell r="H43" t="str">
            <v>NANDKISHOR SINGH</v>
          </cell>
          <cell r="I43">
            <v>9570910566</v>
          </cell>
          <cell r="J43" t="str">
            <v>100103</v>
          </cell>
          <cell r="K43" t="str">
            <v/>
          </cell>
          <cell r="L43">
            <v>45149</v>
          </cell>
          <cell r="N43" t="str">
            <v>Majhaul</v>
          </cell>
        </row>
        <row r="44">
          <cell r="B44">
            <v>10010043</v>
          </cell>
          <cell r="C44" t="str">
            <v>0043</v>
          </cell>
          <cell r="D44" t="str">
            <v>9403</v>
          </cell>
          <cell r="E44" t="str">
            <v>MPG</v>
          </cell>
          <cell r="F44" t="str">
            <v>Direct</v>
          </cell>
          <cell r="G44" t="str">
            <v>GOMUKH KHAMHAR</v>
          </cell>
          <cell r="H44" t="str">
            <v>GHANSHYAM SINGH</v>
          </cell>
          <cell r="I44">
            <v>7050708057</v>
          </cell>
          <cell r="J44" t="str">
            <v>100103</v>
          </cell>
          <cell r="K44" t="str">
            <v>Yes</v>
          </cell>
          <cell r="L44">
            <v>45157</v>
          </cell>
          <cell r="N44" t="str">
            <v>Majhaul</v>
          </cell>
        </row>
        <row r="45">
          <cell r="B45">
            <v>10010044</v>
          </cell>
          <cell r="C45" t="str">
            <v>0044</v>
          </cell>
          <cell r="D45" t="str">
            <v>9409</v>
          </cell>
          <cell r="E45" t="str">
            <v>MPG</v>
          </cell>
          <cell r="F45" t="str">
            <v>Direct</v>
          </cell>
          <cell r="G45" t="str">
            <v>Gomukh Kanausi</v>
          </cell>
          <cell r="H45" t="str">
            <v>Vamvam Singh</v>
          </cell>
          <cell r="I45">
            <v>7870999520</v>
          </cell>
          <cell r="J45" t="str">
            <v>100102</v>
          </cell>
          <cell r="K45" t="str">
            <v>Yes</v>
          </cell>
          <cell r="L45">
            <v>45161</v>
          </cell>
          <cell r="N45" t="str">
            <v>Majhaul</v>
          </cell>
        </row>
        <row r="46">
          <cell r="B46">
            <v>10010045</v>
          </cell>
          <cell r="C46" t="str">
            <v>0045</v>
          </cell>
          <cell r="D46" t="str">
            <v>9410</v>
          </cell>
          <cell r="E46" t="str">
            <v>MPG</v>
          </cell>
          <cell r="F46" t="str">
            <v>Direct</v>
          </cell>
          <cell r="G46" t="str">
            <v>Gomukh Garhpura-1</v>
          </cell>
          <cell r="H46" t="str">
            <v>Rakesh Kumar</v>
          </cell>
          <cell r="I46">
            <v>7631304246</v>
          </cell>
          <cell r="J46" t="str">
            <v>100101</v>
          </cell>
          <cell r="K46" t="str">
            <v>Yes</v>
          </cell>
          <cell r="L46">
            <v>45161</v>
          </cell>
          <cell r="N46" t="str">
            <v>Majhaul</v>
          </cell>
        </row>
        <row r="47">
          <cell r="B47">
            <v>10010046</v>
          </cell>
          <cell r="C47" t="str">
            <v>0046</v>
          </cell>
          <cell r="D47" t="str">
            <v>9343</v>
          </cell>
          <cell r="E47" t="str">
            <v>MPG</v>
          </cell>
          <cell r="F47" t="str">
            <v>Direct</v>
          </cell>
          <cell r="G47" t="str">
            <v>Gomukh Yogidih</v>
          </cell>
          <cell r="H47" t="str">
            <v>Vina Devi</v>
          </cell>
          <cell r="I47">
            <v>6203222782</v>
          </cell>
          <cell r="J47" t="str">
            <v>100102</v>
          </cell>
          <cell r="K47" t="str">
            <v>Yes</v>
          </cell>
          <cell r="L47">
            <v>45000</v>
          </cell>
          <cell r="N47" t="str">
            <v>Majhaul</v>
          </cell>
        </row>
        <row r="48">
          <cell r="B48">
            <v>10010047</v>
          </cell>
          <cell r="C48" t="str">
            <v>0047</v>
          </cell>
          <cell r="D48" t="str">
            <v>9411</v>
          </cell>
          <cell r="E48" t="str">
            <v>MPG</v>
          </cell>
          <cell r="F48" t="str">
            <v>Indirect</v>
          </cell>
          <cell r="G48" t="str">
            <v>Mohanpur - Chandan</v>
          </cell>
          <cell r="H48" t="str">
            <v>Chandan Kumar</v>
          </cell>
          <cell r="I48">
            <v>8936869275</v>
          </cell>
          <cell r="J48" t="str">
            <v>100103</v>
          </cell>
          <cell r="K48" t="str">
            <v/>
          </cell>
          <cell r="L48">
            <v>45121</v>
          </cell>
          <cell r="N48" t="str">
            <v>Majhaul</v>
          </cell>
        </row>
        <row r="49">
          <cell r="B49">
            <v>10010048</v>
          </cell>
          <cell r="C49" t="str">
            <v>0048</v>
          </cell>
          <cell r="D49" t="str">
            <v>9412</v>
          </cell>
          <cell r="E49" t="str">
            <v>MPG</v>
          </cell>
          <cell r="F49" t="str">
            <v>Indirect</v>
          </cell>
          <cell r="G49" t="str">
            <v>Birpur - Mohan</v>
          </cell>
          <cell r="H49" t="str">
            <v>Mohan Yadav</v>
          </cell>
          <cell r="I49">
            <v>9540052117</v>
          </cell>
          <cell r="J49" t="str">
            <v>100103</v>
          </cell>
          <cell r="K49" t="str">
            <v/>
          </cell>
          <cell r="L49">
            <v>45006</v>
          </cell>
          <cell r="N49" t="str">
            <v>Majhaul</v>
          </cell>
        </row>
        <row r="50">
          <cell r="B50">
            <v>10010049</v>
          </cell>
          <cell r="C50" t="str">
            <v>0049</v>
          </cell>
          <cell r="D50" t="str">
            <v>9413</v>
          </cell>
          <cell r="E50" t="str">
            <v>MPG</v>
          </cell>
          <cell r="F50" t="str">
            <v>Indirect</v>
          </cell>
          <cell r="G50" t="str">
            <v>Birpur-2 - Pankaj</v>
          </cell>
          <cell r="H50" t="str">
            <v>Pankaj Yadav</v>
          </cell>
          <cell r="I50">
            <v>8102491605</v>
          </cell>
          <cell r="J50" t="str">
            <v>100103</v>
          </cell>
          <cell r="K50" t="str">
            <v/>
          </cell>
          <cell r="L50" t="e">
            <v>#N/A</v>
          </cell>
          <cell r="N50" t="str">
            <v>Majhaul</v>
          </cell>
        </row>
        <row r="51">
          <cell r="B51">
            <v>10010050</v>
          </cell>
          <cell r="C51" t="str">
            <v>0050</v>
          </cell>
          <cell r="D51" t="str">
            <v>9414</v>
          </cell>
          <cell r="E51" t="str">
            <v>MPG</v>
          </cell>
          <cell r="F51" t="str">
            <v>Indirect</v>
          </cell>
          <cell r="G51" t="str">
            <v>Ekamba - Ashutosh</v>
          </cell>
          <cell r="H51" t="str">
            <v>Ashutosh Kumar</v>
          </cell>
          <cell r="I51">
            <v>8298084910</v>
          </cell>
          <cell r="J51" t="str">
            <v>100101</v>
          </cell>
          <cell r="K51" t="str">
            <v>Yes</v>
          </cell>
          <cell r="L51">
            <v>45098</v>
          </cell>
          <cell r="N51" t="str">
            <v>Majhaul</v>
          </cell>
        </row>
        <row r="52">
          <cell r="B52">
            <v>10010051</v>
          </cell>
          <cell r="C52" t="str">
            <v>0051</v>
          </cell>
          <cell r="D52" t="str">
            <v>9415</v>
          </cell>
          <cell r="E52" t="str">
            <v>MPG</v>
          </cell>
          <cell r="F52" t="str">
            <v>Direct</v>
          </cell>
          <cell r="G52" t="str">
            <v>Gomukh Dunahi</v>
          </cell>
          <cell r="H52" t="str">
            <v>Kanchan Kumari</v>
          </cell>
          <cell r="I52">
            <v>7631506648</v>
          </cell>
          <cell r="J52" t="str">
            <v>100101</v>
          </cell>
          <cell r="K52" t="str">
            <v>Yes</v>
          </cell>
          <cell r="L52">
            <v>45219</v>
          </cell>
          <cell r="N52" t="str">
            <v>Majhaul</v>
          </cell>
        </row>
        <row r="53">
          <cell r="B53">
            <v>10010052</v>
          </cell>
          <cell r="C53" t="str">
            <v>0052</v>
          </cell>
          <cell r="D53" t="str">
            <v>9416</v>
          </cell>
          <cell r="E53" t="str">
            <v>MPG</v>
          </cell>
          <cell r="F53" t="str">
            <v>Direct</v>
          </cell>
          <cell r="G53" t="str">
            <v>Gomukh Rajaur</v>
          </cell>
          <cell r="H53" t="str">
            <v>Manikant Kumar</v>
          </cell>
          <cell r="I53">
            <v>8227888308</v>
          </cell>
          <cell r="J53" t="str">
            <v>100102</v>
          </cell>
          <cell r="K53" t="str">
            <v>Yes</v>
          </cell>
          <cell r="L53">
            <v>45219</v>
          </cell>
          <cell r="N53" t="str">
            <v>Majhaul</v>
          </cell>
        </row>
        <row r="54">
          <cell r="B54">
            <v>10010053</v>
          </cell>
          <cell r="C54" t="str">
            <v>0053</v>
          </cell>
          <cell r="D54" t="str">
            <v>9418</v>
          </cell>
          <cell r="E54" t="str">
            <v>MPG</v>
          </cell>
          <cell r="F54" t="str">
            <v>Direct</v>
          </cell>
          <cell r="G54" t="str">
            <v>Gomukh Badiya Semri</v>
          </cell>
          <cell r="H54" t="str">
            <v>Runa Devi</v>
          </cell>
          <cell r="I54">
            <v>7033813383</v>
          </cell>
          <cell r="J54" t="str">
            <v>100101</v>
          </cell>
          <cell r="K54" t="str">
            <v/>
          </cell>
          <cell r="L54">
            <v>45232</v>
          </cell>
          <cell r="N54" t="str">
            <v>Majhaul</v>
          </cell>
        </row>
        <row r="55">
          <cell r="B55">
            <v>10010054</v>
          </cell>
          <cell r="C55" t="str">
            <v>0054</v>
          </cell>
          <cell r="D55" t="str">
            <v>9425</v>
          </cell>
          <cell r="E55" t="str">
            <v>MPG</v>
          </cell>
          <cell r="F55" t="str">
            <v>Direct</v>
          </cell>
          <cell r="G55" t="str">
            <v>Gomukh Pachrukhi</v>
          </cell>
          <cell r="H55" t="str">
            <v>Ravish Kumar</v>
          </cell>
          <cell r="I55">
            <v>7091857736</v>
          </cell>
          <cell r="J55" t="str">
            <v>100101</v>
          </cell>
          <cell r="K55" t="str">
            <v>Yes</v>
          </cell>
          <cell r="L55">
            <v>45258</v>
          </cell>
          <cell r="N55" t="str">
            <v>Majhaul</v>
          </cell>
        </row>
        <row r="56">
          <cell r="B56">
            <v>10010055</v>
          </cell>
          <cell r="C56" t="str">
            <v>0055</v>
          </cell>
          <cell r="D56" t="str">
            <v>9408</v>
          </cell>
          <cell r="E56" t="str">
            <v>MPG</v>
          </cell>
          <cell r="F56" t="str">
            <v>Direct</v>
          </cell>
          <cell r="G56" t="str">
            <v xml:space="preserve">GOMUKH BIRPUR PASCHIM                                                                               </v>
          </cell>
          <cell r="H56" t="str">
            <v>MIRA DEVI</v>
          </cell>
          <cell r="I56">
            <v>8809883331</v>
          </cell>
          <cell r="J56" t="str">
            <v>100103</v>
          </cell>
          <cell r="K56" t="str">
            <v>Yes</v>
          </cell>
          <cell r="L56">
            <v>45231</v>
          </cell>
          <cell r="N56" t="str">
            <v>Majhaul</v>
          </cell>
        </row>
        <row r="57">
          <cell r="B57">
            <v>10010056</v>
          </cell>
          <cell r="C57" t="str">
            <v>0056</v>
          </cell>
          <cell r="D57" t="str">
            <v>9436</v>
          </cell>
          <cell r="E57" t="str">
            <v>MPG</v>
          </cell>
          <cell r="F57" t="str">
            <v>Direct</v>
          </cell>
          <cell r="G57" t="str">
            <v xml:space="preserve">Gomukh Harigiridham                                                                                 </v>
          </cell>
          <cell r="H57" t="str">
            <v>Mahavir Yadav</v>
          </cell>
          <cell r="I57">
            <v>9931812461</v>
          </cell>
          <cell r="J57" t="str">
            <v>100101</v>
          </cell>
          <cell r="K57" t="str">
            <v>Yes</v>
          </cell>
          <cell r="L57">
            <v>45292</v>
          </cell>
          <cell r="N57" t="str">
            <v>Majhaul</v>
          </cell>
        </row>
        <row r="58">
          <cell r="B58">
            <v>10010057</v>
          </cell>
          <cell r="C58" t="str">
            <v>0057</v>
          </cell>
          <cell r="D58" t="str">
            <v>6686</v>
          </cell>
          <cell r="E58" t="str">
            <v>MPG</v>
          </cell>
          <cell r="F58" t="str">
            <v>Indirect</v>
          </cell>
          <cell r="G58" t="str">
            <v xml:space="preserve">Manish Dairy                                                                                        </v>
          </cell>
          <cell r="H58" t="str">
            <v>Sunita Devi</v>
          </cell>
          <cell r="I58">
            <v>7717721558</v>
          </cell>
          <cell r="J58" t="str">
            <v>100103</v>
          </cell>
          <cell r="K58" t="str">
            <v/>
          </cell>
          <cell r="L58">
            <v>45000</v>
          </cell>
          <cell r="N58" t="str">
            <v>Majhaul</v>
          </cell>
        </row>
        <row r="59">
          <cell r="B59">
            <v>10010058</v>
          </cell>
          <cell r="C59" t="str">
            <v>0058</v>
          </cell>
          <cell r="D59" t="str">
            <v>9420</v>
          </cell>
          <cell r="E59" t="str">
            <v>MPG</v>
          </cell>
          <cell r="F59" t="str">
            <v>Direct</v>
          </cell>
          <cell r="G59" t="str">
            <v>Gomukh Sugharan</v>
          </cell>
          <cell r="H59" t="str">
            <v>Rajhans Kumar</v>
          </cell>
          <cell r="I59">
            <v>6205855624</v>
          </cell>
          <cell r="J59" t="str">
            <v>100104</v>
          </cell>
          <cell r="K59" t="str">
            <v>Yes</v>
          </cell>
          <cell r="L59">
            <v>45292</v>
          </cell>
          <cell r="N59" t="str">
            <v>Majhaul</v>
          </cell>
        </row>
        <row r="60">
          <cell r="B60">
            <v>10010059</v>
          </cell>
          <cell r="C60" t="str">
            <v>0059</v>
          </cell>
          <cell r="D60" t="str">
            <v>9421</v>
          </cell>
          <cell r="E60" t="str">
            <v>MPG</v>
          </cell>
          <cell r="F60" t="str">
            <v>Direct</v>
          </cell>
          <cell r="G60" t="str">
            <v>Gomukh Menhan</v>
          </cell>
          <cell r="H60" t="str">
            <v>Rupak Kumar</v>
          </cell>
          <cell r="I60">
            <v>6202272324</v>
          </cell>
          <cell r="J60" t="str">
            <v>100104</v>
          </cell>
          <cell r="K60" t="str">
            <v>Yes</v>
          </cell>
          <cell r="L60">
            <v>45292</v>
          </cell>
          <cell r="N60" t="str">
            <v>Majhaul</v>
          </cell>
        </row>
        <row r="61">
          <cell r="B61">
            <v>10010060</v>
          </cell>
          <cell r="C61" t="str">
            <v>0060</v>
          </cell>
          <cell r="D61" t="str">
            <v>9427</v>
          </cell>
          <cell r="E61" t="str">
            <v>MPG</v>
          </cell>
          <cell r="F61" t="str">
            <v>Direct</v>
          </cell>
          <cell r="G61" t="str">
            <v>Gomukh Rajopur</v>
          </cell>
          <cell r="H61" t="str">
            <v>Chunchun Yadav</v>
          </cell>
          <cell r="I61">
            <v>8407052690</v>
          </cell>
          <cell r="J61" t="str">
            <v>100104</v>
          </cell>
          <cell r="K61" t="str">
            <v>Yes</v>
          </cell>
          <cell r="L61">
            <v>45292</v>
          </cell>
          <cell r="N61" t="str">
            <v>Majhaul</v>
          </cell>
        </row>
        <row r="62">
          <cell r="B62">
            <v>10010061</v>
          </cell>
          <cell r="C62" t="str">
            <v>0061</v>
          </cell>
          <cell r="D62" t="str">
            <v>9432</v>
          </cell>
          <cell r="E62" t="str">
            <v>MPG</v>
          </cell>
          <cell r="F62" t="str">
            <v>Direct</v>
          </cell>
          <cell r="G62" t="str">
            <v xml:space="preserve">Gomukh Parna </v>
          </cell>
          <cell r="H62" t="str">
            <v>Ramesh Kumar</v>
          </cell>
          <cell r="I62">
            <v>9471855221</v>
          </cell>
          <cell r="J62" t="str">
            <v>100104</v>
          </cell>
          <cell r="K62" t="str">
            <v>Yes</v>
          </cell>
          <cell r="L62">
            <v>45292</v>
          </cell>
          <cell r="N62" t="str">
            <v>Majhaul</v>
          </cell>
        </row>
        <row r="63">
          <cell r="B63">
            <v>10010062</v>
          </cell>
          <cell r="C63" t="str">
            <v>0062</v>
          </cell>
          <cell r="D63" t="str">
            <v>9433</v>
          </cell>
          <cell r="E63" t="str">
            <v>MPG</v>
          </cell>
          <cell r="F63" t="str">
            <v>Direct</v>
          </cell>
          <cell r="G63" t="str">
            <v>Gomukh Sankh</v>
          </cell>
          <cell r="H63" t="str">
            <v>Govind Kumar</v>
          </cell>
          <cell r="I63">
            <v>9508719390</v>
          </cell>
          <cell r="J63" t="str">
            <v>100104</v>
          </cell>
          <cell r="K63" t="str">
            <v>Yes</v>
          </cell>
          <cell r="L63">
            <v>45292</v>
          </cell>
          <cell r="N63" t="str">
            <v>Majhaul</v>
          </cell>
        </row>
        <row r="64">
          <cell r="B64">
            <v>10010063</v>
          </cell>
          <cell r="C64" t="str">
            <v>0063</v>
          </cell>
          <cell r="D64" t="str">
            <v>9429</v>
          </cell>
          <cell r="E64" t="str">
            <v>MPG</v>
          </cell>
          <cell r="F64" t="str">
            <v>Direct</v>
          </cell>
          <cell r="G64" t="str">
            <v>Gomukh Chadpura</v>
          </cell>
          <cell r="H64" t="str">
            <v>Shanvan Kumar Singh</v>
          </cell>
          <cell r="I64">
            <v>8405950824</v>
          </cell>
          <cell r="J64" t="str">
            <v>100104</v>
          </cell>
          <cell r="K64" t="str">
            <v/>
          </cell>
          <cell r="L64">
            <v>45323</v>
          </cell>
          <cell r="N64" t="str">
            <v>Majhaul</v>
          </cell>
        </row>
        <row r="65">
          <cell r="B65">
            <v>10010064</v>
          </cell>
          <cell r="C65" t="str">
            <v>0064</v>
          </cell>
          <cell r="D65" t="str">
            <v>9426</v>
          </cell>
          <cell r="E65" t="str">
            <v>MPG</v>
          </cell>
          <cell r="F65" t="str">
            <v>Direct</v>
          </cell>
          <cell r="G65" t="str">
            <v>Gomukh Gamharia</v>
          </cell>
          <cell r="H65" t="str">
            <v>Amar Kumar</v>
          </cell>
          <cell r="I65">
            <v>8406070812</v>
          </cell>
          <cell r="J65" t="str">
            <v>100102</v>
          </cell>
          <cell r="K65" t="str">
            <v>Yes</v>
          </cell>
          <cell r="L65">
            <v>45323</v>
          </cell>
          <cell r="N65" t="str">
            <v>Majhaul</v>
          </cell>
        </row>
        <row r="66">
          <cell r="B66">
            <v>10010065</v>
          </cell>
          <cell r="C66" t="str">
            <v>0065</v>
          </cell>
          <cell r="D66" t="str">
            <v>9437</v>
          </cell>
          <cell r="E66" t="str">
            <v>MPG</v>
          </cell>
          <cell r="F66" t="str">
            <v>Direct</v>
          </cell>
          <cell r="G66" t="str">
            <v>Gomukh Kharaj</v>
          </cell>
          <cell r="H66" t="str">
            <v>Abhishek Kumar</v>
          </cell>
          <cell r="I66">
            <v>9534999445</v>
          </cell>
          <cell r="J66" t="str">
            <v>100102</v>
          </cell>
          <cell r="K66" t="str">
            <v>Yes</v>
          </cell>
          <cell r="L66">
            <v>45323</v>
          </cell>
          <cell r="N66" t="str">
            <v>Majhaul</v>
          </cell>
        </row>
        <row r="67">
          <cell r="B67">
            <v>10010066</v>
          </cell>
          <cell r="C67" t="str">
            <v>0066</v>
          </cell>
          <cell r="D67" t="str">
            <v>9438</v>
          </cell>
          <cell r="E67" t="str">
            <v>MPG</v>
          </cell>
          <cell r="F67" t="str">
            <v>Direct</v>
          </cell>
          <cell r="G67" t="str">
            <v>Gomukh Tulsipur</v>
          </cell>
          <cell r="H67" t="str">
            <v>Manoj Kumar</v>
          </cell>
          <cell r="I67">
            <v>8877291357</v>
          </cell>
          <cell r="J67" t="str">
            <v>100102</v>
          </cell>
          <cell r="K67" t="str">
            <v/>
          </cell>
          <cell r="L67" t="e">
            <v>#N/A</v>
          </cell>
          <cell r="N67" t="str">
            <v>Majhaul</v>
          </cell>
        </row>
        <row r="68">
          <cell r="B68">
            <v>10010067</v>
          </cell>
          <cell r="C68" t="str">
            <v>0067</v>
          </cell>
          <cell r="D68" t="str">
            <v>9439</v>
          </cell>
          <cell r="E68" t="str">
            <v>MPG</v>
          </cell>
          <cell r="F68" t="str">
            <v>Indirect</v>
          </cell>
          <cell r="G68" t="str">
            <v>Gomukh Malipur</v>
          </cell>
          <cell r="H68" t="str">
            <v>Meera Kumari</v>
          </cell>
          <cell r="I68">
            <v>7004068694</v>
          </cell>
          <cell r="J68" t="str">
            <v>100102</v>
          </cell>
          <cell r="K68" t="str">
            <v/>
          </cell>
          <cell r="L68">
            <v>45323</v>
          </cell>
          <cell r="N68" t="str">
            <v>Majhaul</v>
          </cell>
        </row>
        <row r="69">
          <cell r="B69">
            <v>10010068</v>
          </cell>
          <cell r="C69" t="str">
            <v>0068</v>
          </cell>
          <cell r="D69" t="str">
            <v>9440</v>
          </cell>
          <cell r="E69" t="str">
            <v>MPG</v>
          </cell>
          <cell r="F69" t="str">
            <v>Direct</v>
          </cell>
          <cell r="G69" t="str">
            <v>Gomukh Simri</v>
          </cell>
          <cell r="H69" t="str">
            <v>Raushan Kumar</v>
          </cell>
          <cell r="I69">
            <v>8210119900</v>
          </cell>
          <cell r="J69" t="str">
            <v>100101</v>
          </cell>
          <cell r="K69" t="str">
            <v>Yes</v>
          </cell>
          <cell r="L69">
            <v>45352</v>
          </cell>
          <cell r="N69" t="str">
            <v>Majhaul</v>
          </cell>
        </row>
        <row r="70">
          <cell r="B70">
            <v>10010069</v>
          </cell>
          <cell r="C70" t="str">
            <v>0069</v>
          </cell>
          <cell r="D70" t="str">
            <v>9441</v>
          </cell>
          <cell r="E70" t="str">
            <v>MPG</v>
          </cell>
          <cell r="F70" t="str">
            <v>Direct</v>
          </cell>
          <cell r="G70" t="str">
            <v>Gomukh Bharwari</v>
          </cell>
          <cell r="H70" t="str">
            <v>Neetish Kumar Jha</v>
          </cell>
          <cell r="I70">
            <v>8292737716</v>
          </cell>
          <cell r="J70" t="str">
            <v>100102</v>
          </cell>
          <cell r="K70" t="str">
            <v>Yes</v>
          </cell>
          <cell r="L70">
            <v>45352</v>
          </cell>
          <cell r="N70" t="str">
            <v>Majhaul</v>
          </cell>
        </row>
        <row r="71">
          <cell r="B71">
            <v>10010070</v>
          </cell>
          <cell r="C71" t="str">
            <v>0070</v>
          </cell>
          <cell r="D71" t="str">
            <v>9423</v>
          </cell>
          <cell r="E71" t="str">
            <v>MPG</v>
          </cell>
          <cell r="F71" t="str">
            <v>Direct</v>
          </cell>
          <cell r="G71" t="str">
            <v>Gomukh Gandhinagar Gamharia</v>
          </cell>
          <cell r="H71" t="str">
            <v>Ravindra Kumar</v>
          </cell>
          <cell r="I71">
            <v>7667275637</v>
          </cell>
          <cell r="J71" t="str">
            <v>100102</v>
          </cell>
          <cell r="K71" t="str">
            <v/>
          </cell>
          <cell r="L71">
            <v>45323</v>
          </cell>
          <cell r="N71" t="str">
            <v>Majhaul</v>
          </cell>
        </row>
        <row r="72">
          <cell r="B72">
            <v>10010071</v>
          </cell>
          <cell r="C72" t="str">
            <v>0071</v>
          </cell>
          <cell r="D72" t="str">
            <v>9442</v>
          </cell>
          <cell r="E72" t="str">
            <v>MPG</v>
          </cell>
          <cell r="F72" t="str">
            <v>Direct</v>
          </cell>
          <cell r="G72" t="str">
            <v>Gomukh Sherpur</v>
          </cell>
          <cell r="H72" t="str">
            <v>Vinay Kumar</v>
          </cell>
          <cell r="I72">
            <v>8340269627</v>
          </cell>
          <cell r="J72" t="str">
            <v>100104</v>
          </cell>
          <cell r="K72" t="str">
            <v>Yes</v>
          </cell>
          <cell r="L72">
            <v>45352</v>
          </cell>
          <cell r="N72" t="str">
            <v>Majhaul</v>
          </cell>
        </row>
        <row r="73">
          <cell r="B73">
            <v>10010072</v>
          </cell>
          <cell r="C73" t="str">
            <v>0072</v>
          </cell>
          <cell r="D73" t="str">
            <v>9443</v>
          </cell>
          <cell r="E73" t="str">
            <v>MPG</v>
          </cell>
          <cell r="F73" t="str">
            <v>Indirect</v>
          </cell>
          <cell r="G73" t="str">
            <v>Gomukh Fazilpur</v>
          </cell>
          <cell r="H73" t="str">
            <v>Jitendra Kumar</v>
          </cell>
          <cell r="I73">
            <v>7992409809</v>
          </cell>
          <cell r="J73" t="str">
            <v>100103</v>
          </cell>
          <cell r="K73" t="str">
            <v/>
          </cell>
          <cell r="L73" t="e">
            <v>#N/A</v>
          </cell>
          <cell r="N73" t="str">
            <v>Majhaul</v>
          </cell>
        </row>
        <row r="74">
          <cell r="B74">
            <v>10010073</v>
          </cell>
          <cell r="C74" t="str">
            <v>0073</v>
          </cell>
          <cell r="D74"/>
          <cell r="E74" t="str">
            <v>MPG</v>
          </cell>
          <cell r="F74" t="str">
            <v>Direct</v>
          </cell>
          <cell r="G74" t="str">
            <v>Gomukh Haiwatpur</v>
          </cell>
          <cell r="H74" t="str">
            <v>Vijay Shankar Singh</v>
          </cell>
          <cell r="I74">
            <v>7549435287</v>
          </cell>
          <cell r="J74" t="str">
            <v>100103</v>
          </cell>
          <cell r="K74"/>
          <cell r="L74">
            <v>45450</v>
          </cell>
          <cell r="N74" t="str">
            <v>Majhaul</v>
          </cell>
        </row>
        <row r="75">
          <cell r="B75">
            <v>10010074</v>
          </cell>
          <cell r="C75" t="str">
            <v>0074</v>
          </cell>
          <cell r="D75"/>
          <cell r="E75" t="str">
            <v>MPG</v>
          </cell>
          <cell r="F75" t="str">
            <v>Direct</v>
          </cell>
          <cell r="G75" t="str">
            <v>Gomukh Meghaul</v>
          </cell>
          <cell r="H75" t="str">
            <v>Shanti Kumari</v>
          </cell>
          <cell r="I75">
            <v>9534887216</v>
          </cell>
          <cell r="J75" t="str">
            <v>100101</v>
          </cell>
          <cell r="K75"/>
          <cell r="L75">
            <v>45450</v>
          </cell>
          <cell r="N75" t="str">
            <v>Majhaul</v>
          </cell>
        </row>
        <row r="76">
          <cell r="B76">
            <v>10010075</v>
          </cell>
          <cell r="C76" t="str">
            <v>0075</v>
          </cell>
          <cell r="D76"/>
          <cell r="E76" t="str">
            <v>MPG</v>
          </cell>
          <cell r="F76" t="str">
            <v>Direct</v>
          </cell>
          <cell r="G76" t="str">
            <v>Gomukh Dudhpura</v>
          </cell>
          <cell r="H76" t="str">
            <v>Ranjit Kumar Yadav</v>
          </cell>
          <cell r="I76">
            <v>6201132827</v>
          </cell>
          <cell r="J76" t="str">
            <v>100102</v>
          </cell>
          <cell r="K76"/>
          <cell r="L76">
            <v>45450</v>
          </cell>
          <cell r="N76" t="str">
            <v>Majhaul</v>
          </cell>
        </row>
        <row r="77">
          <cell r="B77">
            <v>10010076</v>
          </cell>
          <cell r="C77" t="str">
            <v>0076</v>
          </cell>
          <cell r="D77"/>
          <cell r="E77" t="str">
            <v>MPG</v>
          </cell>
          <cell r="F77" t="str">
            <v>Direct</v>
          </cell>
          <cell r="G77" t="str">
            <v>Gomukh Bhith-02</v>
          </cell>
          <cell r="H77" t="str">
            <v>Dharmveer Kumar</v>
          </cell>
          <cell r="I77">
            <v>7808020360</v>
          </cell>
          <cell r="J77" t="str">
            <v>100103</v>
          </cell>
          <cell r="K77"/>
          <cell r="L77">
            <v>45469</v>
          </cell>
          <cell r="N77" t="str">
            <v>Majhaul</v>
          </cell>
        </row>
        <row r="78">
          <cell r="B78">
            <v>10010077</v>
          </cell>
          <cell r="C78" t="str">
            <v>0077</v>
          </cell>
          <cell r="D78"/>
          <cell r="E78" t="str">
            <v>MPG</v>
          </cell>
          <cell r="F78" t="str">
            <v>Indirect</v>
          </cell>
          <cell r="G78" t="str">
            <v>Pansalla-02</v>
          </cell>
          <cell r="H78" t="str">
            <v>Sujeet Kumar Sahni</v>
          </cell>
          <cell r="I78">
            <v>8051102195</v>
          </cell>
          <cell r="J78" t="str">
            <v>100101</v>
          </cell>
          <cell r="K78"/>
          <cell r="L78">
            <v>45469</v>
          </cell>
          <cell r="N78" t="str">
            <v>Majhaul</v>
          </cell>
        </row>
        <row r="79">
          <cell r="B79">
            <v>10010078</v>
          </cell>
          <cell r="C79" t="str">
            <v>0078</v>
          </cell>
          <cell r="D79"/>
          <cell r="E79" t="str">
            <v>MPG</v>
          </cell>
          <cell r="F79" t="str">
            <v>Indirect</v>
          </cell>
          <cell r="G79" t="str">
            <v>Amit Kumar-Manjhaul</v>
          </cell>
          <cell r="H79" t="str">
            <v>Amit Kumar</v>
          </cell>
          <cell r="I79">
            <v>9608617997</v>
          </cell>
          <cell r="J79" t="str">
            <v>100101</v>
          </cell>
          <cell r="K79"/>
          <cell r="L79">
            <v>45469</v>
          </cell>
          <cell r="N79" t="str">
            <v>Majhaul</v>
          </cell>
        </row>
        <row r="80">
          <cell r="B80">
            <v>10010079</v>
          </cell>
          <cell r="C80" t="str">
            <v>0079</v>
          </cell>
          <cell r="D80"/>
          <cell r="E80" t="str">
            <v>MPG</v>
          </cell>
          <cell r="F80" t="str">
            <v>Indirect</v>
          </cell>
          <cell r="G80" t="str">
            <v>Chandan Dairy</v>
          </cell>
          <cell r="H80" t="str">
            <v>Chandan Kumar</v>
          </cell>
          <cell r="I80">
            <v>9031975695</v>
          </cell>
          <cell r="J80" t="str">
            <v>100101</v>
          </cell>
          <cell r="K80"/>
          <cell r="L80">
            <v>45469</v>
          </cell>
          <cell r="N80" t="str">
            <v>Majhaul</v>
          </cell>
        </row>
        <row r="81">
          <cell r="B81">
            <v>10010080</v>
          </cell>
          <cell r="C81" t="str">
            <v>0080</v>
          </cell>
          <cell r="D81"/>
          <cell r="E81" t="str">
            <v>MPG</v>
          </cell>
          <cell r="F81" t="str">
            <v>Direct</v>
          </cell>
          <cell r="G81" t="str">
            <v>Gomukh Paguraha</v>
          </cell>
          <cell r="H81" t="str">
            <v>Sujeet Kumar</v>
          </cell>
          <cell r="I81">
            <v>9113187070</v>
          </cell>
          <cell r="J81" t="str">
            <v>100101</v>
          </cell>
          <cell r="K81"/>
          <cell r="L81">
            <v>45499</v>
          </cell>
          <cell r="N81" t="str">
            <v>Majhaul</v>
          </cell>
        </row>
        <row r="82">
          <cell r="B82">
            <v>10010081</v>
          </cell>
          <cell r="C82" t="str">
            <v>0081</v>
          </cell>
          <cell r="D82"/>
          <cell r="E82" t="str">
            <v>MPG</v>
          </cell>
          <cell r="F82" t="str">
            <v>Direct</v>
          </cell>
          <cell r="G82" t="str">
            <v>Gomukh Dharampur</v>
          </cell>
          <cell r="H82" t="str">
            <v>Ramdev Singh</v>
          </cell>
          <cell r="I82">
            <v>8936846745</v>
          </cell>
          <cell r="J82" t="str">
            <v>100103</v>
          </cell>
          <cell r="K82"/>
          <cell r="L82">
            <v>45499</v>
          </cell>
          <cell r="N82" t="str">
            <v>Majhaul</v>
          </cell>
        </row>
        <row r="83">
          <cell r="B83">
            <v>10010082</v>
          </cell>
          <cell r="C83" t="str">
            <v>0082</v>
          </cell>
          <cell r="D83"/>
          <cell r="E83" t="str">
            <v>MPG</v>
          </cell>
          <cell r="F83" t="str">
            <v>Direct</v>
          </cell>
          <cell r="G83" t="str">
            <v>Gomukh Sharmatola Sahuri</v>
          </cell>
          <cell r="H83" t="str">
            <v>Manju Devi</v>
          </cell>
          <cell r="I83">
            <v>7634894581</v>
          </cell>
          <cell r="J83" t="str">
            <v>100103</v>
          </cell>
          <cell r="K83"/>
          <cell r="L83">
            <v>45566</v>
          </cell>
          <cell r="N83" t="str">
            <v>Majhaul</v>
          </cell>
        </row>
        <row r="84">
          <cell r="B84">
            <v>10010083</v>
          </cell>
          <cell r="C84" t="str">
            <v>0083</v>
          </cell>
          <cell r="D84"/>
          <cell r="E84" t="str">
            <v>MPG</v>
          </cell>
          <cell r="F84" t="str">
            <v>Indirect</v>
          </cell>
          <cell r="G84" t="str">
            <v>Bakhri- Rajaram Mahto</v>
          </cell>
          <cell r="H84" t="str">
            <v>Rajaram Mahto</v>
          </cell>
          <cell r="I84">
            <v>9155339445</v>
          </cell>
          <cell r="J84" t="str">
            <v>100102</v>
          </cell>
          <cell r="K84"/>
          <cell r="L84">
            <v>45566</v>
          </cell>
          <cell r="N84" t="str">
            <v>Majhaul</v>
          </cell>
        </row>
        <row r="85">
          <cell r="B85">
            <v>10010084</v>
          </cell>
          <cell r="C85" t="str">
            <v>0084</v>
          </cell>
          <cell r="D85"/>
          <cell r="E85" t="str">
            <v>MPG</v>
          </cell>
          <cell r="F85" t="str">
            <v>Indirect</v>
          </cell>
          <cell r="G85" t="str">
            <v>Sangat- Sanjeev Kumar</v>
          </cell>
          <cell r="H85" t="str">
            <v>Sanjeev Kumar</v>
          </cell>
          <cell r="I85">
            <v>7549528547</v>
          </cell>
          <cell r="J85" t="str">
            <v>100103</v>
          </cell>
          <cell r="K85"/>
          <cell r="L85">
            <v>45566</v>
          </cell>
          <cell r="N85" t="str">
            <v>Majhaul</v>
          </cell>
        </row>
        <row r="86">
          <cell r="B86">
            <v>10010085</v>
          </cell>
          <cell r="C86" t="str">
            <v>0085</v>
          </cell>
          <cell r="D86"/>
          <cell r="E86" t="str">
            <v>MPG</v>
          </cell>
          <cell r="F86" t="str">
            <v>Indirect</v>
          </cell>
          <cell r="G86" t="str">
            <v>Pustakalay Chowk Manjhaul- Amit Kumar</v>
          </cell>
          <cell r="H86" t="str">
            <v>Amit Kumar</v>
          </cell>
          <cell r="I86">
            <v>9570916452</v>
          </cell>
          <cell r="J86" t="str">
            <v>100103</v>
          </cell>
          <cell r="K86"/>
          <cell r="L86">
            <v>45566</v>
          </cell>
          <cell r="N86" t="str">
            <v>Majhaul</v>
          </cell>
        </row>
        <row r="87">
          <cell r="B87">
            <v>10010086</v>
          </cell>
          <cell r="C87" t="str">
            <v>0086</v>
          </cell>
          <cell r="D87"/>
          <cell r="E87" t="str">
            <v>MPG</v>
          </cell>
          <cell r="F87" t="str">
            <v>Direct</v>
          </cell>
          <cell r="G87" t="str">
            <v>Gomukh Garhi Bisanpur</v>
          </cell>
          <cell r="H87" t="str">
            <v>Ramuday Ranjan</v>
          </cell>
          <cell r="I87">
            <v>9818426802</v>
          </cell>
          <cell r="J87" t="str">
            <v>100101</v>
          </cell>
          <cell r="K87"/>
          <cell r="L87">
            <v>45596</v>
          </cell>
          <cell r="N87" t="str">
            <v>Majhaul</v>
          </cell>
        </row>
        <row r="88">
          <cell r="B88">
            <v>10010087</v>
          </cell>
          <cell r="C88" t="str">
            <v>0087</v>
          </cell>
          <cell r="D88"/>
          <cell r="E88" t="str">
            <v>MPG</v>
          </cell>
          <cell r="F88" t="str">
            <v>Indirect</v>
          </cell>
          <cell r="G88" t="str">
            <v>Bagaraha-Gopal Yadav</v>
          </cell>
          <cell r="H88" t="str">
            <v>Gopal Yadav</v>
          </cell>
          <cell r="I88">
            <v>7857839214</v>
          </cell>
          <cell r="J88" t="str">
            <v>100101</v>
          </cell>
          <cell r="K88"/>
          <cell r="L88">
            <v>45596</v>
          </cell>
          <cell r="N88" t="str">
            <v>Majhaul</v>
          </cell>
        </row>
        <row r="89">
          <cell r="B89">
            <v>10010088</v>
          </cell>
          <cell r="C89" t="str">
            <v>0088</v>
          </cell>
          <cell r="D89"/>
          <cell r="E89" t="str">
            <v>MPG</v>
          </cell>
          <cell r="F89" t="str">
            <v>Direct</v>
          </cell>
          <cell r="G89" t="str">
            <v>Gomukh Gudaar</v>
          </cell>
          <cell r="H89" t="str">
            <v>Savita Kumari</v>
          </cell>
          <cell r="I89">
            <v>7645082681</v>
          </cell>
          <cell r="J89" t="str">
            <v>100101</v>
          </cell>
          <cell r="K89"/>
          <cell r="L89">
            <v>45619</v>
          </cell>
          <cell r="N89" t="str">
            <v>Majhaul</v>
          </cell>
        </row>
        <row r="90">
          <cell r="B90">
            <v>10010089</v>
          </cell>
          <cell r="C90" t="str">
            <v>0089</v>
          </cell>
          <cell r="D90"/>
          <cell r="E90" t="str">
            <v>MPG</v>
          </cell>
          <cell r="F90" t="str">
            <v>Direct</v>
          </cell>
          <cell r="G90" t="str">
            <v>Gomukh Barkurwa</v>
          </cell>
          <cell r="H90" t="str">
            <v>Laxmi Devi</v>
          </cell>
          <cell r="I90">
            <v>9570260022</v>
          </cell>
          <cell r="J90" t="str">
            <v>100101</v>
          </cell>
          <cell r="K90"/>
          <cell r="L90">
            <v>45619</v>
          </cell>
          <cell r="N90" t="str">
            <v>Majhaul</v>
          </cell>
        </row>
        <row r="91">
          <cell r="B91">
            <v>10010090</v>
          </cell>
          <cell r="C91" t="str">
            <v>0090</v>
          </cell>
          <cell r="D91"/>
          <cell r="E91" t="str">
            <v>MPG</v>
          </cell>
          <cell r="F91" t="str">
            <v>Indirect</v>
          </cell>
          <cell r="G91" t="str">
            <v>Sonma- Khushilal Yadav</v>
          </cell>
          <cell r="H91" t="str">
            <v>Khushilal Yadav</v>
          </cell>
          <cell r="I91">
            <v>9878428919</v>
          </cell>
          <cell r="J91" t="str">
            <v>100101</v>
          </cell>
          <cell r="K91"/>
          <cell r="L91">
            <v>45637</v>
          </cell>
          <cell r="N91" t="str">
            <v>Majhaul</v>
          </cell>
        </row>
        <row r="92">
          <cell r="B92">
            <v>10010091</v>
          </cell>
          <cell r="C92" t="str">
            <v>0091</v>
          </cell>
          <cell r="D92"/>
          <cell r="E92" t="str">
            <v>MPG</v>
          </cell>
          <cell r="F92" t="str">
            <v>Indirect</v>
          </cell>
          <cell r="G92" t="str">
            <v>Baraipura Dairy</v>
          </cell>
          <cell r="H92" t="str">
            <v>Abhishek Kumar</v>
          </cell>
          <cell r="I92">
            <v>7368097388</v>
          </cell>
          <cell r="J92" t="str">
            <v>100101</v>
          </cell>
          <cell r="K92"/>
          <cell r="L92">
            <v>45637</v>
          </cell>
          <cell r="N92" t="str">
            <v>Majhaul</v>
          </cell>
        </row>
        <row r="93">
          <cell r="B93">
            <v>10010092</v>
          </cell>
          <cell r="C93" t="str">
            <v>0092</v>
          </cell>
          <cell r="D93"/>
          <cell r="E93" t="str">
            <v>MPG</v>
          </cell>
          <cell r="F93" t="str">
            <v>Indirect</v>
          </cell>
          <cell r="G93" t="str">
            <v>Kamla- Amarjeet</v>
          </cell>
          <cell r="H93" t="str">
            <v>Amarjeet Kumar</v>
          </cell>
          <cell r="I93">
            <v>7361923978</v>
          </cell>
          <cell r="J93" t="str">
            <v>100103</v>
          </cell>
          <cell r="K93"/>
          <cell r="L93">
            <v>45684</v>
          </cell>
          <cell r="N93" t="str">
            <v>Majhaul</v>
          </cell>
        </row>
        <row r="94">
          <cell r="B94">
            <v>10010093</v>
          </cell>
          <cell r="C94" t="str">
            <v>0093</v>
          </cell>
          <cell r="D94"/>
          <cell r="E94" t="str">
            <v>MPG</v>
          </cell>
          <cell r="F94" t="str">
            <v>Indirect</v>
          </cell>
          <cell r="G94" t="str">
            <v>Rakesh Dairy</v>
          </cell>
          <cell r="H94" t="str">
            <v>Ranjit Yadav</v>
          </cell>
          <cell r="I94">
            <v>9608634392</v>
          </cell>
          <cell r="J94" t="str">
            <v>100103</v>
          </cell>
          <cell r="K94"/>
          <cell r="L94">
            <v>45684</v>
          </cell>
          <cell r="N94" t="str">
            <v>Majhaul</v>
          </cell>
        </row>
        <row r="95">
          <cell r="B95">
            <v>10010094</v>
          </cell>
          <cell r="C95" t="str">
            <v>0094</v>
          </cell>
          <cell r="D95"/>
          <cell r="E95" t="str">
            <v>MPG</v>
          </cell>
          <cell r="F95" t="str">
            <v>Direct</v>
          </cell>
          <cell r="G95" t="str">
            <v>Gomukh Surha</v>
          </cell>
          <cell r="H95" t="str">
            <v>Rajesh Kumar</v>
          </cell>
          <cell r="I95">
            <v>8877368331</v>
          </cell>
          <cell r="J95" t="str">
            <v>100101</v>
          </cell>
          <cell r="K95"/>
          <cell r="L95">
            <v>45696</v>
          </cell>
          <cell r="N95" t="str">
            <v>Majhaul</v>
          </cell>
        </row>
        <row r="96">
          <cell r="B96">
            <v>10010095</v>
          </cell>
          <cell r="C96" t="str">
            <v>0095</v>
          </cell>
          <cell r="D96"/>
          <cell r="E96" t="str">
            <v>MPG</v>
          </cell>
          <cell r="F96" t="str">
            <v>Direct</v>
          </cell>
          <cell r="G96" t="str">
            <v>Gomukh Goha-02</v>
          </cell>
          <cell r="H96" t="str">
            <v>Kamal Kumar</v>
          </cell>
          <cell r="I96">
            <v>9931643607</v>
          </cell>
          <cell r="J96" t="str">
            <v>100101</v>
          </cell>
          <cell r="K96"/>
          <cell r="L96">
            <v>45696</v>
          </cell>
          <cell r="N96" t="str">
            <v>Majhaul</v>
          </cell>
        </row>
        <row r="97">
          <cell r="B97">
            <v>10010096</v>
          </cell>
          <cell r="C97" t="str">
            <v>0096</v>
          </cell>
          <cell r="D97"/>
          <cell r="E97" t="str">
            <v>MPG</v>
          </cell>
          <cell r="F97" t="str">
            <v>Direct</v>
          </cell>
          <cell r="G97" t="str">
            <v>Gomukh Chandpura Neema</v>
          </cell>
          <cell r="H97" t="str">
            <v>Ajeet Kumar</v>
          </cell>
          <cell r="I97">
            <v>6205536174</v>
          </cell>
          <cell r="J97" t="str">
            <v>100103</v>
          </cell>
          <cell r="K97"/>
          <cell r="L97">
            <v>45696</v>
          </cell>
          <cell r="N97" t="str">
            <v>Majhaul</v>
          </cell>
        </row>
        <row r="98">
          <cell r="B98">
            <v>10010097</v>
          </cell>
          <cell r="C98" t="str">
            <v>0097</v>
          </cell>
          <cell r="D98"/>
          <cell r="E98" t="str">
            <v>MPG</v>
          </cell>
          <cell r="F98" t="str">
            <v>Direct</v>
          </cell>
          <cell r="G98" t="str">
            <v>Gomukh Cheria Bariarpur</v>
          </cell>
          <cell r="H98" t="str">
            <v>Ajay Kumar Singh</v>
          </cell>
          <cell r="I98">
            <v>8709328153</v>
          </cell>
          <cell r="J98" t="str">
            <v>100103</v>
          </cell>
          <cell r="K98"/>
          <cell r="L98">
            <v>45696</v>
          </cell>
          <cell r="N98" t="str">
            <v>Majhaul</v>
          </cell>
        </row>
        <row r="99">
          <cell r="B99">
            <v>10010098</v>
          </cell>
          <cell r="C99" t="str">
            <v>0098</v>
          </cell>
          <cell r="D99"/>
          <cell r="E99" t="str">
            <v>MPG</v>
          </cell>
          <cell r="F99" t="str">
            <v>Direct</v>
          </cell>
          <cell r="G99" t="str">
            <v>Gomukh Rahul Nagar</v>
          </cell>
          <cell r="H99" t="str">
            <v>Sitaram Mahto</v>
          </cell>
          <cell r="I99">
            <v>9534572575</v>
          </cell>
          <cell r="J99" t="str">
            <v>100101</v>
          </cell>
          <cell r="K99"/>
          <cell r="L99">
            <v>45696</v>
          </cell>
          <cell r="N99" t="str">
            <v>Majhaul</v>
          </cell>
        </row>
        <row r="100">
          <cell r="B100">
            <v>10010099</v>
          </cell>
          <cell r="C100" t="str">
            <v>0099</v>
          </cell>
          <cell r="D100"/>
          <cell r="E100" t="str">
            <v>MPG</v>
          </cell>
          <cell r="F100" t="str">
            <v>Direct</v>
          </cell>
          <cell r="G100" t="str">
            <v>Gomukh Bagraha-01</v>
          </cell>
          <cell r="H100" t="str">
            <v>Shivji Yadav</v>
          </cell>
          <cell r="I100">
            <v>9709661962</v>
          </cell>
          <cell r="J100" t="str">
            <v>100101</v>
          </cell>
          <cell r="K100"/>
          <cell r="L100">
            <v>45719</v>
          </cell>
          <cell r="N100" t="str">
            <v>Majhaul</v>
          </cell>
        </row>
        <row r="101">
          <cell r="B101">
            <v>10010100</v>
          </cell>
          <cell r="C101" t="str">
            <v>0100</v>
          </cell>
          <cell r="D101"/>
          <cell r="E101" t="str">
            <v>MPG</v>
          </cell>
          <cell r="F101" t="str">
            <v>Direct</v>
          </cell>
          <cell r="G101" t="str">
            <v>Gomukh Maida Babhangama</v>
          </cell>
          <cell r="H101" t="str">
            <v>Manju Devi</v>
          </cell>
          <cell r="I101">
            <v>9570807681</v>
          </cell>
          <cell r="J101" t="str">
            <v>100103</v>
          </cell>
          <cell r="K101"/>
          <cell r="L101">
            <v>45719</v>
          </cell>
          <cell r="N101" t="str">
            <v>Majhaul</v>
          </cell>
        </row>
        <row r="102">
          <cell r="B102">
            <v>10010101</v>
          </cell>
          <cell r="C102" t="str">
            <v>0101</v>
          </cell>
          <cell r="D102"/>
          <cell r="E102" t="str">
            <v>MPG</v>
          </cell>
          <cell r="F102" t="str">
            <v>Indirect</v>
          </cell>
          <cell r="G102" t="str">
            <v>Birpur-Amarjeet Yadav</v>
          </cell>
          <cell r="H102" t="str">
            <v>Amarjeet Kumar</v>
          </cell>
          <cell r="I102">
            <v>7631364015</v>
          </cell>
          <cell r="J102" t="str">
            <v>100103</v>
          </cell>
          <cell r="K102"/>
          <cell r="L102">
            <v>45719</v>
          </cell>
          <cell r="N102" t="str">
            <v>Majhaul</v>
          </cell>
        </row>
        <row r="103">
          <cell r="B103">
            <v>10010102</v>
          </cell>
          <cell r="C103" t="str">
            <v>0102</v>
          </cell>
          <cell r="D103"/>
          <cell r="E103" t="str">
            <v>MPG</v>
          </cell>
          <cell r="F103" t="str">
            <v>Direct</v>
          </cell>
          <cell r="G103" t="str">
            <v>Gomukh Khanjapur Bangali Tola</v>
          </cell>
          <cell r="H103" t="str">
            <v>Kumari Asha Varma</v>
          </cell>
          <cell r="I103">
            <v>9931061141</v>
          </cell>
          <cell r="J103" t="str">
            <v>100103</v>
          </cell>
          <cell r="K103"/>
          <cell r="L103">
            <v>45734</v>
          </cell>
          <cell r="N103" t="str">
            <v>Majhaul</v>
          </cell>
        </row>
        <row r="104">
          <cell r="B104">
            <v>10010103</v>
          </cell>
          <cell r="C104" t="str">
            <v>0103</v>
          </cell>
          <cell r="D104"/>
          <cell r="E104" t="str">
            <v>MPG</v>
          </cell>
          <cell r="F104" t="str">
            <v>Direct</v>
          </cell>
          <cell r="G104" t="str">
            <v>Gomukh Shobhaipura</v>
          </cell>
          <cell r="H104" t="str">
            <v>Deepak Kumar</v>
          </cell>
          <cell r="I104">
            <v>7631449122</v>
          </cell>
          <cell r="J104" t="str">
            <v>100101</v>
          </cell>
          <cell r="K104"/>
          <cell r="L104">
            <v>45734</v>
          </cell>
          <cell r="N104" t="str">
            <v>Majhaul</v>
          </cell>
        </row>
        <row r="105">
          <cell r="B105">
            <v>10010104</v>
          </cell>
          <cell r="C105" t="str">
            <v>0104</v>
          </cell>
          <cell r="D105"/>
          <cell r="E105" t="str">
            <v>MPG</v>
          </cell>
          <cell r="F105" t="str">
            <v>Direct</v>
          </cell>
          <cell r="G105" t="str">
            <v>Gomukh Milki</v>
          </cell>
          <cell r="H105" t="str">
            <v>Rajesh Kumar Yadav</v>
          </cell>
          <cell r="I105">
            <v>9709089223</v>
          </cell>
          <cell r="J105" t="str">
            <v>100103</v>
          </cell>
          <cell r="K105"/>
          <cell r="L105">
            <v>45737</v>
          </cell>
          <cell r="N105" t="str">
            <v>Majhaul</v>
          </cell>
        </row>
        <row r="106">
          <cell r="B106">
            <v>10010105</v>
          </cell>
          <cell r="C106" t="str">
            <v>0105</v>
          </cell>
          <cell r="D106"/>
          <cell r="E106" t="str">
            <v>MPG</v>
          </cell>
          <cell r="F106" t="str">
            <v>Direct</v>
          </cell>
          <cell r="G106" t="str">
            <v>Gomukh Kharaiya Sultanpur</v>
          </cell>
          <cell r="H106" t="str">
            <v>Rinku Devi</v>
          </cell>
          <cell r="I106">
            <v>9304943488</v>
          </cell>
          <cell r="J106" t="str">
            <v>100103</v>
          </cell>
          <cell r="K106"/>
          <cell r="L106">
            <v>45737</v>
          </cell>
          <cell r="N106" t="str">
            <v>Majhaul</v>
          </cell>
        </row>
        <row r="107">
          <cell r="B107">
            <v>10010106</v>
          </cell>
          <cell r="C107" t="str">
            <v>0106</v>
          </cell>
          <cell r="D107"/>
          <cell r="E107" t="str">
            <v>MPG</v>
          </cell>
          <cell r="F107" t="str">
            <v>Direct</v>
          </cell>
          <cell r="G107" t="str">
            <v>Gomukh Fajilpur</v>
          </cell>
          <cell r="H107" t="str">
            <v>Indra Kumari</v>
          </cell>
          <cell r="I107">
            <v>8604032999</v>
          </cell>
          <cell r="J107" t="str">
            <v>100103</v>
          </cell>
          <cell r="K107"/>
          <cell r="L107">
            <v>45761</v>
          </cell>
          <cell r="N107" t="str">
            <v>Majhaul</v>
          </cell>
        </row>
        <row r="108">
          <cell r="B108">
            <v>10010107</v>
          </cell>
          <cell r="C108" t="str">
            <v>0107</v>
          </cell>
          <cell r="D108"/>
          <cell r="E108" t="str">
            <v>MPG</v>
          </cell>
          <cell r="F108" t="str">
            <v>Direct</v>
          </cell>
          <cell r="G108" t="str">
            <v>Gomukh Rampur</v>
          </cell>
          <cell r="H108" t="str">
            <v>Soni Kumari</v>
          </cell>
          <cell r="I108">
            <v>7808358698</v>
          </cell>
          <cell r="J108" t="str">
            <v>100101</v>
          </cell>
          <cell r="K108"/>
          <cell r="L108">
            <v>45761</v>
          </cell>
          <cell r="N108" t="str">
            <v>Majhaul</v>
          </cell>
        </row>
        <row r="109">
          <cell r="B109">
            <v>10010108</v>
          </cell>
          <cell r="C109" t="str">
            <v>0108</v>
          </cell>
          <cell r="D109"/>
          <cell r="E109" t="str">
            <v>MPG</v>
          </cell>
          <cell r="F109" t="str">
            <v>Direct</v>
          </cell>
          <cell r="G109" t="str">
            <v>Gomukh Pirauna</v>
          </cell>
          <cell r="H109" t="str">
            <v>Angad Kumar</v>
          </cell>
          <cell r="I109">
            <v>7992409809</v>
          </cell>
          <cell r="J109" t="str">
            <v>100103</v>
          </cell>
          <cell r="K109"/>
          <cell r="L109">
            <v>45771</v>
          </cell>
          <cell r="N109" t="str">
            <v>Majhaul</v>
          </cell>
        </row>
        <row r="110">
          <cell r="B110">
            <v>10010109</v>
          </cell>
          <cell r="C110" t="str">
            <v>0109</v>
          </cell>
          <cell r="D110"/>
          <cell r="E110" t="str">
            <v>MPG</v>
          </cell>
          <cell r="F110" t="str">
            <v>Indirect</v>
          </cell>
          <cell r="G110" t="str">
            <v>Parra- Nagendra Kumar</v>
          </cell>
          <cell r="H110" t="str">
            <v>Nagendra Kumar</v>
          </cell>
          <cell r="I110">
            <v>9934726319</v>
          </cell>
          <cell r="J110" t="str">
            <v>100103</v>
          </cell>
          <cell r="K110"/>
          <cell r="L110">
            <v>45771</v>
          </cell>
          <cell r="N110" t="str">
            <v>Majhaul</v>
          </cell>
        </row>
        <row r="111">
          <cell r="B111">
            <v>10010110</v>
          </cell>
          <cell r="C111" t="str">
            <v>0110</v>
          </cell>
          <cell r="D111"/>
          <cell r="E111" t="str">
            <v>MPG</v>
          </cell>
          <cell r="F111" t="str">
            <v>Direct</v>
          </cell>
          <cell r="G111" t="str">
            <v>Gomukh Sihi</v>
          </cell>
          <cell r="H111" t="str">
            <v>Dharmendra Kumar</v>
          </cell>
          <cell r="I111">
            <v>8295835764</v>
          </cell>
          <cell r="J111" t="str">
            <v>100101</v>
          </cell>
          <cell r="K111"/>
          <cell r="L111">
            <v>45771</v>
          </cell>
          <cell r="N111" t="str">
            <v>Majhaul</v>
          </cell>
        </row>
        <row r="112">
          <cell r="B112">
            <v>10010111</v>
          </cell>
          <cell r="C112" t="str">
            <v>0111</v>
          </cell>
          <cell r="D112"/>
          <cell r="E112" t="str">
            <v>MPG</v>
          </cell>
          <cell r="F112" t="str">
            <v>Direct</v>
          </cell>
          <cell r="G112" t="str">
            <v>Gomukh Munichak</v>
          </cell>
          <cell r="H112" t="str">
            <v>Usha Devi</v>
          </cell>
          <cell r="I112">
            <v>6201794511</v>
          </cell>
          <cell r="J112" t="str">
            <v>100103</v>
          </cell>
          <cell r="K112"/>
          <cell r="L112">
            <v>45794</v>
          </cell>
          <cell r="N112" t="str">
            <v>Majhaul</v>
          </cell>
        </row>
        <row r="113">
          <cell r="B113">
            <v>10010112</v>
          </cell>
          <cell r="C113" t="str">
            <v>0112</v>
          </cell>
          <cell r="D113"/>
          <cell r="E113" t="str">
            <v>MPG</v>
          </cell>
          <cell r="F113" t="str">
            <v>Indirect</v>
          </cell>
          <cell r="G113" t="str">
            <v>Badiya-Bharti Devi</v>
          </cell>
          <cell r="H113" t="str">
            <v>Bharti Devi</v>
          </cell>
          <cell r="I113">
            <v>8102891781</v>
          </cell>
          <cell r="J113" t="str">
            <v>100101</v>
          </cell>
          <cell r="K113"/>
          <cell r="L113">
            <v>45794</v>
          </cell>
          <cell r="N113" t="str">
            <v>Majhaul</v>
          </cell>
        </row>
        <row r="114">
          <cell r="B114">
            <v>10010113</v>
          </cell>
          <cell r="C114" t="str">
            <v>0113</v>
          </cell>
          <cell r="D114"/>
          <cell r="E114" t="str">
            <v>MPG</v>
          </cell>
          <cell r="F114" t="str">
            <v>Direct</v>
          </cell>
          <cell r="G114" t="str">
            <v>Gomukh Basahi</v>
          </cell>
          <cell r="H114" t="str">
            <v>Ram Prakash Mahto</v>
          </cell>
          <cell r="I114">
            <v>9504394895</v>
          </cell>
          <cell r="J114" t="str">
            <v>100103</v>
          </cell>
          <cell r="K114"/>
          <cell r="L114">
            <v>45794</v>
          </cell>
          <cell r="N114" t="str">
            <v>Majhaul</v>
          </cell>
        </row>
        <row r="115">
          <cell r="B115">
            <v>10010114</v>
          </cell>
          <cell r="C115" t="str">
            <v>0114</v>
          </cell>
          <cell r="D115"/>
          <cell r="E115" t="str">
            <v>MPG</v>
          </cell>
          <cell r="F115" t="str">
            <v>Direct</v>
          </cell>
          <cell r="G115" t="str">
            <v xml:space="preserve">Gomukh Karor </v>
          </cell>
          <cell r="H115" t="str">
            <v>Ram Niranjan Kumar</v>
          </cell>
          <cell r="I115">
            <v>8789170338</v>
          </cell>
          <cell r="J115" t="str">
            <v>100103</v>
          </cell>
          <cell r="K115"/>
          <cell r="L115">
            <v>45794</v>
          </cell>
          <cell r="N115" t="str">
            <v>Majhaul</v>
          </cell>
        </row>
        <row r="116">
          <cell r="B116">
            <v>10010115</v>
          </cell>
          <cell r="C116" t="str">
            <v>0115</v>
          </cell>
          <cell r="D116"/>
          <cell r="E116" t="str">
            <v>MPG</v>
          </cell>
          <cell r="F116" t="str">
            <v>Indirect</v>
          </cell>
          <cell r="G116" t="str">
            <v>Ram Bilash Yadav- Chandpura</v>
          </cell>
          <cell r="H116" t="str">
            <v>Ram Bilash Yadav</v>
          </cell>
          <cell r="I116">
            <v>9939462914</v>
          </cell>
          <cell r="J116" t="str">
            <v>100103</v>
          </cell>
          <cell r="K116"/>
          <cell r="L116">
            <v>45794</v>
          </cell>
          <cell r="N116" t="str">
            <v>Majhaul</v>
          </cell>
        </row>
        <row r="117">
          <cell r="B117">
            <v>10010116</v>
          </cell>
          <cell r="C117" t="str">
            <v>0116</v>
          </cell>
          <cell r="D117"/>
          <cell r="E117" t="str">
            <v>MPG</v>
          </cell>
          <cell r="F117" t="str">
            <v>Indirect</v>
          </cell>
          <cell r="G117" t="str">
            <v>Mohanpur- Mukesh Kumar</v>
          </cell>
          <cell r="H117" t="str">
            <v>Mukesh Kumar</v>
          </cell>
          <cell r="I117">
            <v>9955035381</v>
          </cell>
          <cell r="J117" t="str">
            <v>100103</v>
          </cell>
          <cell r="K117"/>
          <cell r="L117">
            <v>45839</v>
          </cell>
          <cell r="N117" t="str">
            <v>Majhaul</v>
          </cell>
        </row>
        <row r="118">
          <cell r="B118">
            <v>10010117</v>
          </cell>
          <cell r="C118" t="str">
            <v>0117</v>
          </cell>
          <cell r="D118"/>
          <cell r="E118" t="str">
            <v>MPG</v>
          </cell>
          <cell r="F118" t="str">
            <v>Indirect</v>
          </cell>
          <cell r="G118" t="str">
            <v>Haiwatpur- Vikas Chandra Rai</v>
          </cell>
          <cell r="H118" t="str">
            <v>Vikas Chandra Rai</v>
          </cell>
          <cell r="I118">
            <v>7808442926</v>
          </cell>
          <cell r="J118" t="str">
            <v>100103</v>
          </cell>
          <cell r="K118"/>
          <cell r="L118">
            <v>45839</v>
          </cell>
          <cell r="N118" t="str">
            <v>Majhaul</v>
          </cell>
        </row>
        <row r="119">
          <cell r="B119">
            <v>10010118</v>
          </cell>
          <cell r="C119" t="str">
            <v>0118</v>
          </cell>
          <cell r="D119"/>
          <cell r="E119" t="str">
            <v>MPG</v>
          </cell>
          <cell r="F119" t="str">
            <v>Indirect</v>
          </cell>
          <cell r="G119" t="str">
            <v>Bambam- Badiya</v>
          </cell>
          <cell r="H119" t="str">
            <v>Bambam Kumar</v>
          </cell>
          <cell r="I119">
            <v>6299526589</v>
          </cell>
          <cell r="J119" t="str">
            <v>100101</v>
          </cell>
          <cell r="K119"/>
          <cell r="L119">
            <v>45839</v>
          </cell>
          <cell r="N119" t="str">
            <v>Majhaul</v>
          </cell>
        </row>
        <row r="120">
          <cell r="B120">
            <v>10010119</v>
          </cell>
          <cell r="C120" t="str">
            <v>0119</v>
          </cell>
          <cell r="D120"/>
          <cell r="E120" t="str">
            <v>MPG</v>
          </cell>
          <cell r="F120" t="str">
            <v>Indirect</v>
          </cell>
          <cell r="G120" t="str">
            <v>Morkahi- Bablu Yadav</v>
          </cell>
          <cell r="H120" t="str">
            <v>Bablu Yadav</v>
          </cell>
          <cell r="I120">
            <v>9135616379</v>
          </cell>
          <cell r="J120" t="str">
            <v>100101</v>
          </cell>
          <cell r="K120"/>
          <cell r="L120">
            <v>45839</v>
          </cell>
          <cell r="N120" t="str">
            <v>Majhaul</v>
          </cell>
        </row>
        <row r="121">
          <cell r="B121">
            <v>10010120</v>
          </cell>
          <cell r="C121" t="str">
            <v>0120</v>
          </cell>
          <cell r="D121"/>
          <cell r="E121" t="str">
            <v>MPG</v>
          </cell>
          <cell r="F121" t="str">
            <v>Indirect</v>
          </cell>
          <cell r="G121" t="str">
            <v>Bari Kewal- Jitendra Kumar</v>
          </cell>
          <cell r="H121" t="str">
            <v>Jitendra Kumar</v>
          </cell>
          <cell r="I121">
            <v>8651113433</v>
          </cell>
          <cell r="J121" t="str">
            <v>100101</v>
          </cell>
          <cell r="K121"/>
          <cell r="L121">
            <v>45839</v>
          </cell>
          <cell r="N121" t="str">
            <v>Majhaul</v>
          </cell>
        </row>
        <row r="122">
          <cell r="B122">
            <v>10010121</v>
          </cell>
          <cell r="C122" t="str">
            <v>0121</v>
          </cell>
          <cell r="D122"/>
          <cell r="E122" t="str">
            <v>MPG</v>
          </cell>
          <cell r="F122" t="str">
            <v>Direct</v>
          </cell>
          <cell r="G122" t="str">
            <v>Gomukh Sawantpur</v>
          </cell>
          <cell r="H122" t="str">
            <v>Abhimanyu Kumar</v>
          </cell>
          <cell r="I122">
            <v>7488453073</v>
          </cell>
          <cell r="J122" t="str">
            <v>100102</v>
          </cell>
          <cell r="K122"/>
          <cell r="L122">
            <v>45839</v>
          </cell>
          <cell r="N122" t="str">
            <v>Majhaul</v>
          </cell>
        </row>
        <row r="123">
          <cell r="B123">
            <v>10010122</v>
          </cell>
          <cell r="C123" t="str">
            <v>0122</v>
          </cell>
          <cell r="D123"/>
          <cell r="E123" t="str">
            <v>MPG</v>
          </cell>
          <cell r="F123" t="str">
            <v>Direct</v>
          </cell>
          <cell r="G123" t="str">
            <v>Gomukh Arjun Tola</v>
          </cell>
          <cell r="H123" t="str">
            <v>Roshan Kumar</v>
          </cell>
          <cell r="I123">
            <v>8877222800</v>
          </cell>
          <cell r="J123" t="str">
            <v>100102</v>
          </cell>
          <cell r="K123"/>
          <cell r="L123">
            <v>45839</v>
          </cell>
          <cell r="N123" t="str">
            <v>Majhaul</v>
          </cell>
        </row>
        <row r="124">
          <cell r="B124">
            <v>10010123</v>
          </cell>
          <cell r="C124" t="str">
            <v>0123</v>
          </cell>
          <cell r="D124"/>
          <cell r="E124" t="str">
            <v>MPG</v>
          </cell>
          <cell r="F124" t="str">
            <v>Indirect</v>
          </cell>
          <cell r="G124" t="str">
            <v>Maisna- Mamta Devi</v>
          </cell>
          <cell r="H124" t="str">
            <v>Mamta Devi</v>
          </cell>
          <cell r="I124">
            <v>9015966109</v>
          </cell>
          <cell r="J124" t="str">
            <v>100102</v>
          </cell>
          <cell r="K124"/>
          <cell r="L124">
            <v>45864</v>
          </cell>
          <cell r="N124" t="str">
            <v>Majhaul</v>
          </cell>
        </row>
        <row r="125">
          <cell r="B125">
            <v>10010124</v>
          </cell>
          <cell r="C125" t="str">
            <v>0124</v>
          </cell>
          <cell r="D125"/>
          <cell r="E125" t="str">
            <v>MPG</v>
          </cell>
          <cell r="F125" t="str">
            <v>Indirect</v>
          </cell>
          <cell r="G125" t="str">
            <v>Pahsara- Abhay Kumar</v>
          </cell>
          <cell r="H125" t="str">
            <v>Abhay Kumar</v>
          </cell>
          <cell r="I125">
            <v>7782046033</v>
          </cell>
          <cell r="J125" t="str">
            <v>100103</v>
          </cell>
          <cell r="K125"/>
          <cell r="L125">
            <v>45864</v>
          </cell>
          <cell r="N125" t="str">
            <v>Majhaul</v>
          </cell>
        </row>
        <row r="126">
          <cell r="B126">
            <v>10010125</v>
          </cell>
          <cell r="C126" t="str">
            <v>0125</v>
          </cell>
          <cell r="D126"/>
          <cell r="E126" t="str">
            <v>MPG</v>
          </cell>
          <cell r="F126" t="str">
            <v>Indirect</v>
          </cell>
          <cell r="G126" t="str">
            <v>Maida- Ram Kumar</v>
          </cell>
          <cell r="H126" t="str">
            <v>Ram Kumar</v>
          </cell>
          <cell r="I126">
            <v>9576730448</v>
          </cell>
          <cell r="J126" t="str">
            <v>100102</v>
          </cell>
          <cell r="K126"/>
          <cell r="L126">
            <v>45864</v>
          </cell>
          <cell r="N126" t="str">
            <v>Majhaul</v>
          </cell>
        </row>
        <row r="127">
          <cell r="B127">
            <v>10010126</v>
          </cell>
          <cell r="C127" t="str">
            <v>0126</v>
          </cell>
          <cell r="D127"/>
          <cell r="E127" t="str">
            <v>MPG</v>
          </cell>
          <cell r="F127" t="str">
            <v>Direct</v>
          </cell>
          <cell r="G127" t="str">
            <v>Gomukh Bhitiyarahi</v>
          </cell>
          <cell r="H127" t="str">
            <v>Aman Raj</v>
          </cell>
          <cell r="I127">
            <v>9451525536</v>
          </cell>
          <cell r="J127" t="str">
            <v>100102</v>
          </cell>
          <cell r="K127"/>
          <cell r="L127">
            <v>45864</v>
          </cell>
          <cell r="N127" t="str">
            <v>Majhaul</v>
          </cell>
        </row>
        <row r="128">
          <cell r="B128">
            <v>10010127</v>
          </cell>
          <cell r="C128" t="str">
            <v>0127</v>
          </cell>
          <cell r="D128"/>
          <cell r="E128" t="str">
            <v>MPG</v>
          </cell>
          <cell r="F128" t="str">
            <v>Direct</v>
          </cell>
          <cell r="G128" t="str">
            <v>Gomukh Gandhinagar</v>
          </cell>
          <cell r="H128" t="str">
            <v>Lalan Kumar</v>
          </cell>
          <cell r="I128">
            <v>6207354762</v>
          </cell>
          <cell r="J128" t="str">
            <v>100102</v>
          </cell>
          <cell r="K128"/>
          <cell r="L128">
            <v>45864</v>
          </cell>
          <cell r="N128" t="str">
            <v>Majhaul</v>
          </cell>
        </row>
        <row r="129">
          <cell r="B129">
            <v>10010128</v>
          </cell>
          <cell r="C129" t="str">
            <v>0128</v>
          </cell>
          <cell r="D129"/>
          <cell r="E129" t="str">
            <v>MPG</v>
          </cell>
          <cell r="F129" t="str">
            <v>Direct</v>
          </cell>
          <cell r="G129" t="str">
            <v>Gomukh Aure Bikrampur</v>
          </cell>
          <cell r="H129" t="str">
            <v>Rajgir Yadav</v>
          </cell>
          <cell r="I129">
            <v>9304493958</v>
          </cell>
          <cell r="J129" t="str">
            <v>100102</v>
          </cell>
          <cell r="K129"/>
          <cell r="L129">
            <v>45868</v>
          </cell>
          <cell r="N129" t="str">
            <v>Majhaul</v>
          </cell>
        </row>
        <row r="130">
          <cell r="B130">
            <v>10010129</v>
          </cell>
          <cell r="C130" t="str">
            <v>0129</v>
          </cell>
          <cell r="D130"/>
          <cell r="E130" t="str">
            <v>MPG</v>
          </cell>
          <cell r="F130" t="str">
            <v>Indirect</v>
          </cell>
          <cell r="G130" t="str">
            <v>Manjhaul- Gulshan Kumar</v>
          </cell>
          <cell r="H130" t="str">
            <v>Gulshan Kumar</v>
          </cell>
          <cell r="I130">
            <v>6203031938</v>
          </cell>
          <cell r="J130" t="str">
            <v>100102</v>
          </cell>
          <cell r="K130"/>
          <cell r="L130">
            <v>45868</v>
          </cell>
          <cell r="N130" t="str">
            <v>Majhaul</v>
          </cell>
        </row>
        <row r="131">
          <cell r="B131">
            <v>10010130</v>
          </cell>
          <cell r="C131" t="str">
            <v>0130</v>
          </cell>
          <cell r="D131"/>
          <cell r="E131" t="str">
            <v>MPG</v>
          </cell>
          <cell r="F131" t="str">
            <v>Indirect</v>
          </cell>
          <cell r="G131" t="str">
            <v>Khaira Manjhaul</v>
          </cell>
          <cell r="H131" t="str">
            <v>Bhagwan Prasad Yadav</v>
          </cell>
          <cell r="I131">
            <v>8434094412</v>
          </cell>
          <cell r="J131" t="str">
            <v>100102</v>
          </cell>
          <cell r="K131"/>
          <cell r="L131">
            <v>45875</v>
          </cell>
          <cell r="N131" t="str">
            <v>Majhaul</v>
          </cell>
        </row>
        <row r="132">
          <cell r="B132">
            <v>10010131</v>
          </cell>
          <cell r="C132" t="str">
            <v>0131</v>
          </cell>
          <cell r="D132"/>
          <cell r="E132" t="str">
            <v>MPG</v>
          </cell>
          <cell r="F132" t="str">
            <v>Indirect</v>
          </cell>
          <cell r="G132" t="str">
            <v>Mehda Shahpur</v>
          </cell>
          <cell r="H132" t="str">
            <v>Abhinav Kumar Singh</v>
          </cell>
          <cell r="I132">
            <v>6207918842</v>
          </cell>
          <cell r="J132" t="str">
            <v>100102</v>
          </cell>
          <cell r="K132"/>
          <cell r="L132">
            <v>45875</v>
          </cell>
          <cell r="N132" t="str">
            <v>Majhaul</v>
          </cell>
        </row>
        <row r="133">
          <cell r="B133">
            <v>10010132</v>
          </cell>
          <cell r="C133" t="str">
            <v>0132</v>
          </cell>
          <cell r="D133"/>
          <cell r="E133" t="str">
            <v>MPG</v>
          </cell>
          <cell r="F133" t="str">
            <v>Indirect</v>
          </cell>
          <cell r="G133" t="str">
            <v>Bagraha Hasanpur</v>
          </cell>
          <cell r="H133" t="str">
            <v>Vijay Yadav</v>
          </cell>
          <cell r="I133">
            <v>9263840489</v>
          </cell>
          <cell r="J133" t="str">
            <v>100101</v>
          </cell>
          <cell r="K133"/>
          <cell r="L133">
            <v>45891</v>
          </cell>
          <cell r="N133" t="str">
            <v>Majhaul</v>
          </cell>
        </row>
        <row r="134">
          <cell r="B134">
            <v>10010133</v>
          </cell>
          <cell r="C134" t="str">
            <v>0133</v>
          </cell>
          <cell r="D134"/>
          <cell r="E134" t="str">
            <v>MPG</v>
          </cell>
          <cell r="F134" t="str">
            <v>Direct</v>
          </cell>
          <cell r="G134" t="str">
            <v>Gomukh Basantpur</v>
          </cell>
          <cell r="H134" t="str">
            <v>Rohit Kumar</v>
          </cell>
          <cell r="I134">
            <v>8298174550</v>
          </cell>
          <cell r="J134" t="str">
            <v>100101</v>
          </cell>
          <cell r="K134"/>
          <cell r="L134">
            <v>45897</v>
          </cell>
          <cell r="N134" t="str">
            <v>Majhaul</v>
          </cell>
        </row>
        <row r="135">
          <cell r="B135">
            <v>10010134</v>
          </cell>
          <cell r="C135" t="str">
            <v>0134</v>
          </cell>
          <cell r="D135"/>
          <cell r="E135" t="str">
            <v>MPG</v>
          </cell>
          <cell r="F135" t="str">
            <v>Direct</v>
          </cell>
          <cell r="G135" t="str">
            <v>Gomukh Sakrauli</v>
          </cell>
          <cell r="H135" t="str">
            <v>Punam Kumari</v>
          </cell>
          <cell r="I135">
            <v>6207204023</v>
          </cell>
          <cell r="J135" t="str">
            <v>100102</v>
          </cell>
          <cell r="K135"/>
          <cell r="L135">
            <v>45897</v>
          </cell>
          <cell r="N135" t="str">
            <v>Majhaul</v>
          </cell>
        </row>
        <row r="136">
          <cell r="B136">
            <v>10010135</v>
          </cell>
          <cell r="C136" t="str">
            <v>0135</v>
          </cell>
          <cell r="D136"/>
          <cell r="E136" t="str">
            <v>MPG</v>
          </cell>
          <cell r="F136" t="str">
            <v>Direct</v>
          </cell>
          <cell r="G136" t="str">
            <v>Gomukh Morkahi</v>
          </cell>
          <cell r="H136" t="str">
            <v>Sanjay Kumar Sangam</v>
          </cell>
          <cell r="I136">
            <v>6205277563</v>
          </cell>
          <cell r="J136" t="str">
            <v>100101</v>
          </cell>
          <cell r="K136"/>
          <cell r="L136">
            <v>45909</v>
          </cell>
          <cell r="N136" t="str">
            <v>Majhaul</v>
          </cell>
        </row>
        <row r="137">
          <cell r="B137">
            <v>10010136</v>
          </cell>
          <cell r="C137" t="str">
            <v>0136</v>
          </cell>
          <cell r="D137"/>
          <cell r="E137" t="str">
            <v>MPG</v>
          </cell>
          <cell r="F137" t="str">
            <v>Indirect</v>
          </cell>
          <cell r="G137" t="str">
            <v>Hasanpur-2</v>
          </cell>
          <cell r="H137" t="str">
            <v>Dilip Kumar Yadav</v>
          </cell>
          <cell r="I137">
            <v>9534811406</v>
          </cell>
          <cell r="J137" t="str">
            <v>100101</v>
          </cell>
          <cell r="K137"/>
          <cell r="L137">
            <v>45909</v>
          </cell>
          <cell r="N137" t="str">
            <v>Majhaul</v>
          </cell>
        </row>
        <row r="138">
          <cell r="B138">
            <v>10010137</v>
          </cell>
          <cell r="C138" t="str">
            <v>0137</v>
          </cell>
          <cell r="D138"/>
          <cell r="E138" t="str">
            <v>MPG</v>
          </cell>
          <cell r="F138" t="str">
            <v>Direct</v>
          </cell>
          <cell r="G138" t="str">
            <v>Gomukh Shobhaipura 02</v>
          </cell>
          <cell r="H138" t="str">
            <v>Kajal Kumari</v>
          </cell>
          <cell r="I138">
            <v>7070949600</v>
          </cell>
          <cell r="J138" t="str">
            <v>100101</v>
          </cell>
          <cell r="K138"/>
          <cell r="L138">
            <v>45936</v>
          </cell>
          <cell r="N138" t="str">
            <v>Majhaul</v>
          </cell>
        </row>
        <row r="139">
          <cell r="B139">
            <v>10010138</v>
          </cell>
          <cell r="C139" t="str">
            <v>0138</v>
          </cell>
          <cell r="D139"/>
          <cell r="E139" t="str">
            <v>MPG</v>
          </cell>
          <cell r="F139" t="str">
            <v>Direct</v>
          </cell>
          <cell r="G139" t="str">
            <v>Gomukh Tinkona</v>
          </cell>
          <cell r="H139" t="str">
            <v>Md. Ahad</v>
          </cell>
          <cell r="I139">
            <v>6206790473</v>
          </cell>
          <cell r="J139" t="str">
            <v>100103</v>
          </cell>
          <cell r="K139"/>
          <cell r="L139">
            <v>45936</v>
          </cell>
          <cell r="N139" t="str">
            <v>Majhaul</v>
          </cell>
        </row>
        <row r="140">
          <cell r="B140">
            <v>10010139</v>
          </cell>
          <cell r="C140" t="str">
            <v>0139</v>
          </cell>
          <cell r="D140"/>
          <cell r="E140" t="str">
            <v>MPG</v>
          </cell>
          <cell r="F140" t="str">
            <v>Indirect</v>
          </cell>
          <cell r="G140" t="str">
            <v>Sakrauli 02</v>
          </cell>
          <cell r="H140" t="str">
            <v>Raushan Kumar</v>
          </cell>
          <cell r="I140">
            <v>9798106744</v>
          </cell>
          <cell r="J140" t="str">
            <v>100102</v>
          </cell>
          <cell r="K140"/>
          <cell r="L140">
            <v>45936</v>
          </cell>
          <cell r="N140" t="str">
            <v>Majhaul</v>
          </cell>
        </row>
        <row r="141">
          <cell r="B141">
            <v>10010140</v>
          </cell>
          <cell r="C141" t="str">
            <v>0140</v>
          </cell>
          <cell r="D141"/>
          <cell r="E141" t="str">
            <v>MPG</v>
          </cell>
          <cell r="F141" t="str">
            <v>Direct</v>
          </cell>
          <cell r="G141" t="str">
            <v>Shri Bhairav Laxmipur</v>
          </cell>
          <cell r="H141" t="str">
            <v>Sharmila Devi</v>
          </cell>
          <cell r="I141">
            <v>8298712528</v>
          </cell>
          <cell r="J141" t="str">
            <v>100101</v>
          </cell>
          <cell r="K141"/>
          <cell r="L141">
            <v>45986</v>
          </cell>
          <cell r="N141" t="str">
            <v>Majhaul</v>
          </cell>
        </row>
        <row r="142">
          <cell r="B142">
            <v>10010141</v>
          </cell>
          <cell r="C142" t="str">
            <v>0141</v>
          </cell>
          <cell r="D142"/>
          <cell r="E142" t="str">
            <v>MPG</v>
          </cell>
          <cell r="F142" t="str">
            <v>Direct</v>
          </cell>
          <cell r="G142" t="str">
            <v>Goapalpur</v>
          </cell>
          <cell r="H142" t="str">
            <v>Ravin Kr Ravi</v>
          </cell>
          <cell r="I142">
            <v>9709841602</v>
          </cell>
          <cell r="J142" t="str">
            <v>100102</v>
          </cell>
          <cell r="K142"/>
          <cell r="L142">
            <v>46030</v>
          </cell>
          <cell r="N142" t="str">
            <v>Majhaul</v>
          </cell>
        </row>
        <row r="143">
          <cell r="B143">
            <v>10010142</v>
          </cell>
          <cell r="C143" t="str">
            <v>0142</v>
          </cell>
          <cell r="D143"/>
          <cell r="E143" t="str">
            <v>MPG</v>
          </cell>
          <cell r="F143" t="str">
            <v>Direct</v>
          </cell>
          <cell r="G143" t="str">
            <v>Gomukh Mehda Shahpur</v>
          </cell>
          <cell r="H143" t="str">
            <v>Aryan</v>
          </cell>
          <cell r="I143">
            <v>8271775736</v>
          </cell>
          <cell r="J143" t="str">
            <v>100102</v>
          </cell>
          <cell r="K143"/>
          <cell r="L143">
            <v>46066</v>
          </cell>
          <cell r="N143" t="str">
            <v>Majhaul</v>
          </cell>
        </row>
        <row r="144">
          <cell r="B144">
            <v>10020001</v>
          </cell>
          <cell r="C144" t="str">
            <v>0001</v>
          </cell>
          <cell r="D144" t="str">
            <v>0085</v>
          </cell>
          <cell r="E144" t="str">
            <v>MPG</v>
          </cell>
          <cell r="F144" t="str">
            <v>Indirect</v>
          </cell>
          <cell r="G144" t="str">
            <v>PIPRIYA DIHH</v>
          </cell>
          <cell r="H144" t="str">
            <v>Rajiv Saw</v>
          </cell>
          <cell r="I144"/>
          <cell r="J144" t="str">
            <v>100203</v>
          </cell>
          <cell r="K144" t="str">
            <v/>
          </cell>
          <cell r="L144">
            <v>42979</v>
          </cell>
          <cell r="N144" t="str">
            <v>Laldiyara</v>
          </cell>
        </row>
        <row r="145">
          <cell r="B145">
            <v>10020002</v>
          </cell>
          <cell r="C145" t="str">
            <v>0002</v>
          </cell>
          <cell r="D145" t="str">
            <v>0092</v>
          </cell>
          <cell r="E145" t="str">
            <v>MPG</v>
          </cell>
          <cell r="F145" t="str">
            <v>Direct</v>
          </cell>
          <cell r="G145" t="str">
            <v>PIPARIYA DIH -2</v>
          </cell>
          <cell r="H145" t="str">
            <v>RAJESH KUMAR</v>
          </cell>
          <cell r="I145">
            <v>8873433328</v>
          </cell>
          <cell r="J145" t="str">
            <v>100203</v>
          </cell>
          <cell r="K145" t="str">
            <v>Yes</v>
          </cell>
          <cell r="L145">
            <v>42979</v>
          </cell>
          <cell r="N145" t="str">
            <v>Laldiyara</v>
          </cell>
        </row>
        <row r="146">
          <cell r="B146">
            <v>10020003</v>
          </cell>
          <cell r="C146" t="str">
            <v>0003</v>
          </cell>
          <cell r="D146" t="str">
            <v>1031</v>
          </cell>
          <cell r="E146" t="str">
            <v>MPG</v>
          </cell>
          <cell r="F146" t="str">
            <v>Indirect</v>
          </cell>
          <cell r="G146" t="str">
            <v>LAKSHMIPUR</v>
          </cell>
          <cell r="H146" t="str">
            <v>KUNDAN SINGH</v>
          </cell>
          <cell r="I146">
            <v>9409231693</v>
          </cell>
          <cell r="J146" t="str">
            <v>100202</v>
          </cell>
          <cell r="K146" t="str">
            <v/>
          </cell>
          <cell r="L146">
            <v>42979</v>
          </cell>
          <cell r="N146" t="str">
            <v>Laldiyara</v>
          </cell>
        </row>
        <row r="147">
          <cell r="B147">
            <v>10020004</v>
          </cell>
          <cell r="C147" t="str">
            <v>0004</v>
          </cell>
          <cell r="D147" t="str">
            <v>1033</v>
          </cell>
          <cell r="E147" t="str">
            <v>MPG</v>
          </cell>
          <cell r="F147" t="str">
            <v>Direct</v>
          </cell>
          <cell r="G147" t="str">
            <v>LAL DIYARA -1</v>
          </cell>
          <cell r="H147" t="str">
            <v>JAYRAM SINGH</v>
          </cell>
          <cell r="I147">
            <v>7631431853</v>
          </cell>
          <cell r="J147" t="str">
            <v>100202</v>
          </cell>
          <cell r="K147" t="str">
            <v>Yes</v>
          </cell>
          <cell r="L147">
            <v>42979</v>
          </cell>
          <cell r="N147" t="str">
            <v>Laldiyara</v>
          </cell>
        </row>
        <row r="148">
          <cell r="B148">
            <v>10020005</v>
          </cell>
          <cell r="C148" t="str">
            <v>0005</v>
          </cell>
          <cell r="D148" t="str">
            <v>1052</v>
          </cell>
          <cell r="E148" t="str">
            <v>MPG</v>
          </cell>
          <cell r="F148" t="str">
            <v>Indirect</v>
          </cell>
          <cell r="G148" t="str">
            <v>SABIKPUR</v>
          </cell>
          <cell r="H148" t="str">
            <v>Vikash Kumar</v>
          </cell>
          <cell r="I148">
            <v>7764922168</v>
          </cell>
          <cell r="J148" t="str">
            <v>100202</v>
          </cell>
          <cell r="K148" t="str">
            <v/>
          </cell>
          <cell r="L148">
            <v>42979</v>
          </cell>
          <cell r="N148" t="str">
            <v>Laldiyara</v>
          </cell>
        </row>
        <row r="149">
          <cell r="B149">
            <v>10020006</v>
          </cell>
          <cell r="C149" t="str">
            <v>0006</v>
          </cell>
          <cell r="D149" t="str">
            <v>1108</v>
          </cell>
          <cell r="E149" t="str">
            <v>MPG</v>
          </cell>
          <cell r="F149" t="str">
            <v>Indirect</v>
          </cell>
          <cell r="G149" t="str">
            <v>GANGA KINARE KHUTHA</v>
          </cell>
          <cell r="H149" t="str">
            <v>Vinod Kumar</v>
          </cell>
          <cell r="I149">
            <v>9122003536</v>
          </cell>
          <cell r="J149" t="str">
            <v>100202</v>
          </cell>
          <cell r="K149" t="str">
            <v/>
          </cell>
          <cell r="L149">
            <v>42979</v>
          </cell>
          <cell r="N149" t="str">
            <v>Laldiyara</v>
          </cell>
        </row>
        <row r="150">
          <cell r="B150">
            <v>10020007</v>
          </cell>
          <cell r="C150" t="str">
            <v>0007</v>
          </cell>
          <cell r="D150" t="str">
            <v>1274</v>
          </cell>
          <cell r="E150" t="str">
            <v>MPG</v>
          </cell>
          <cell r="F150" t="str">
            <v>Indirect</v>
          </cell>
          <cell r="G150" t="str">
            <v>Gomukh ID Khutaha Ganga</v>
          </cell>
          <cell r="H150" t="str">
            <v>Avinash Kumar</v>
          </cell>
          <cell r="I150">
            <v>9334046134</v>
          </cell>
          <cell r="J150" t="str">
            <v>100202</v>
          </cell>
          <cell r="K150" t="str">
            <v/>
          </cell>
          <cell r="L150">
            <v>42979</v>
          </cell>
          <cell r="N150" t="str">
            <v>Laldiyara</v>
          </cell>
        </row>
        <row r="151">
          <cell r="B151">
            <v>10020008</v>
          </cell>
          <cell r="C151" t="str">
            <v>0008</v>
          </cell>
          <cell r="D151" t="str">
            <v>1275</v>
          </cell>
          <cell r="E151" t="str">
            <v>MPG</v>
          </cell>
          <cell r="F151" t="str">
            <v>Indirect</v>
          </cell>
          <cell r="G151" t="str">
            <v>Gomukh ID Khutaha Dhih</v>
          </cell>
          <cell r="H151" t="str">
            <v>Nivas Kumar</v>
          </cell>
          <cell r="I151">
            <v>9006834686</v>
          </cell>
          <cell r="J151" t="str">
            <v>100202</v>
          </cell>
          <cell r="K151" t="str">
            <v/>
          </cell>
          <cell r="L151">
            <v>44161</v>
          </cell>
          <cell r="N151" t="str">
            <v>Laldiyara</v>
          </cell>
        </row>
        <row r="152">
          <cell r="B152">
            <v>10020009</v>
          </cell>
          <cell r="C152" t="str">
            <v>0009</v>
          </cell>
          <cell r="D152" t="str">
            <v>1185</v>
          </cell>
          <cell r="E152" t="str">
            <v>MPG</v>
          </cell>
          <cell r="F152" t="str">
            <v>Indirect</v>
          </cell>
          <cell r="G152" t="str">
            <v>Gomukh Panchyat bhawan Walipur-5</v>
          </cell>
          <cell r="H152" t="str">
            <v>Gomukh Panchyat bhawan Walipur</v>
          </cell>
          <cell r="I152"/>
          <cell r="J152" t="str">
            <v>100201</v>
          </cell>
          <cell r="K152" t="str">
            <v/>
          </cell>
          <cell r="L152">
            <v>44186</v>
          </cell>
          <cell r="N152" t="str">
            <v>Laldiyara</v>
          </cell>
        </row>
        <row r="153">
          <cell r="B153">
            <v>10020010</v>
          </cell>
          <cell r="C153" t="str">
            <v>0010</v>
          </cell>
          <cell r="D153" t="str">
            <v>1186</v>
          </cell>
          <cell r="E153" t="str">
            <v>MPG</v>
          </cell>
          <cell r="F153" t="str">
            <v>Direct</v>
          </cell>
          <cell r="G153" t="str">
            <v>GOMUKH RAHATPUR</v>
          </cell>
          <cell r="H153" t="str">
            <v>DIPESH KUMAR</v>
          </cell>
          <cell r="I153">
            <v>7488284244</v>
          </cell>
          <cell r="J153" t="str">
            <v>100201</v>
          </cell>
          <cell r="K153" t="str">
            <v>Yes</v>
          </cell>
          <cell r="L153">
            <v>44277</v>
          </cell>
          <cell r="N153" t="str">
            <v>Laldiyara</v>
          </cell>
        </row>
        <row r="154">
          <cell r="B154">
            <v>10020011</v>
          </cell>
          <cell r="C154" t="str">
            <v>0011</v>
          </cell>
          <cell r="D154" t="str">
            <v>6542</v>
          </cell>
          <cell r="E154" t="str">
            <v>MPG</v>
          </cell>
          <cell r="F154" t="str">
            <v>Indirect</v>
          </cell>
          <cell r="G154" t="str">
            <v>GUNJAN KUMAR</v>
          </cell>
          <cell r="H154" t="str">
            <v xml:space="preserve">Gunjan Kumar </v>
          </cell>
          <cell r="I154"/>
          <cell r="J154" t="str">
            <v>100202</v>
          </cell>
          <cell r="K154" t="str">
            <v/>
          </cell>
          <cell r="L154">
            <v>44401</v>
          </cell>
          <cell r="N154" t="str">
            <v>Laldiyara</v>
          </cell>
        </row>
        <row r="155">
          <cell r="B155">
            <v>10020012</v>
          </cell>
          <cell r="C155" t="str">
            <v>0012</v>
          </cell>
          <cell r="D155" t="str">
            <v>6566</v>
          </cell>
          <cell r="E155" t="str">
            <v>MPG</v>
          </cell>
          <cell r="F155" t="str">
            <v>Indirect</v>
          </cell>
          <cell r="G155" t="str">
            <v>KANHAIYA YADAV</v>
          </cell>
          <cell r="H155" t="str">
            <v>KANHAIYA Yadav</v>
          </cell>
          <cell r="I155">
            <v>9693105632</v>
          </cell>
          <cell r="J155" t="str">
            <v>100202</v>
          </cell>
          <cell r="K155" t="str">
            <v/>
          </cell>
          <cell r="L155">
            <v>44435</v>
          </cell>
          <cell r="N155" t="str">
            <v>Laldiyara</v>
          </cell>
        </row>
        <row r="156">
          <cell r="B156">
            <v>10020013</v>
          </cell>
          <cell r="C156" t="str">
            <v>0013</v>
          </cell>
          <cell r="D156" t="str">
            <v>6587</v>
          </cell>
          <cell r="E156" t="str">
            <v>MPG</v>
          </cell>
          <cell r="F156" t="str">
            <v>Indirect</v>
          </cell>
          <cell r="G156" t="str">
            <v>Vikash kumar</v>
          </cell>
          <cell r="H156" t="str">
            <v>VIKASH KUMAR</v>
          </cell>
          <cell r="I156">
            <v>9546021421</v>
          </cell>
          <cell r="J156" t="str">
            <v>100201</v>
          </cell>
          <cell r="K156" t="str">
            <v/>
          </cell>
          <cell r="L156">
            <v>44457</v>
          </cell>
          <cell r="N156" t="str">
            <v>Laldiyara</v>
          </cell>
        </row>
        <row r="157">
          <cell r="B157">
            <v>10020014</v>
          </cell>
          <cell r="C157" t="str">
            <v>0014</v>
          </cell>
          <cell r="D157" t="str">
            <v>1022</v>
          </cell>
          <cell r="E157" t="str">
            <v>MPG</v>
          </cell>
          <cell r="F157" t="str">
            <v>Indirect</v>
          </cell>
          <cell r="G157" t="str">
            <v>WALIPUR 2</v>
          </cell>
          <cell r="H157" t="str">
            <v>Gopal Singh</v>
          </cell>
          <cell r="I157">
            <v>7808847612</v>
          </cell>
          <cell r="J157" t="str">
            <v>100201</v>
          </cell>
          <cell r="K157" t="str">
            <v/>
          </cell>
          <cell r="L157">
            <v>44652</v>
          </cell>
          <cell r="N157" t="str">
            <v>Laldiyara</v>
          </cell>
        </row>
        <row r="158">
          <cell r="B158">
            <v>10020015</v>
          </cell>
          <cell r="C158" t="str">
            <v>0015</v>
          </cell>
          <cell r="D158" t="str">
            <v>1176</v>
          </cell>
          <cell r="E158" t="str">
            <v>MPG</v>
          </cell>
          <cell r="F158" t="str">
            <v>Indirect</v>
          </cell>
          <cell r="G158" t="str">
            <v xml:space="preserve">GOMUKH  LALDIYARA TIRASHI                                                                           </v>
          </cell>
          <cell r="H158" t="str">
            <v>Dheeraj Kumar</v>
          </cell>
          <cell r="I158">
            <v>9297539352</v>
          </cell>
          <cell r="J158" t="str">
            <v>100202</v>
          </cell>
          <cell r="K158" t="str">
            <v/>
          </cell>
          <cell r="L158">
            <v>44652</v>
          </cell>
          <cell r="N158" t="str">
            <v>Laldiyara</v>
          </cell>
        </row>
        <row r="159">
          <cell r="B159">
            <v>10020016</v>
          </cell>
          <cell r="C159" t="str">
            <v>0016</v>
          </cell>
          <cell r="D159" t="str">
            <v>1177</v>
          </cell>
          <cell r="E159" t="str">
            <v>MPG</v>
          </cell>
          <cell r="F159" t="str">
            <v>Indirect</v>
          </cell>
          <cell r="G159" t="str">
            <v>GOMUKH  LALDIYARA PURBI</v>
          </cell>
          <cell r="H159" t="str">
            <v>Akash Kumar</v>
          </cell>
          <cell r="I159">
            <v>7766810530</v>
          </cell>
          <cell r="J159" t="str">
            <v>100202</v>
          </cell>
          <cell r="K159" t="str">
            <v/>
          </cell>
          <cell r="L159">
            <v>44652</v>
          </cell>
          <cell r="N159" t="str">
            <v>Laldiyara</v>
          </cell>
        </row>
        <row r="160">
          <cell r="B160">
            <v>10020017</v>
          </cell>
          <cell r="C160" t="str">
            <v>0017</v>
          </cell>
          <cell r="D160" t="str">
            <v>1187</v>
          </cell>
          <cell r="E160" t="str">
            <v>MPG</v>
          </cell>
          <cell r="F160" t="str">
            <v>Direct</v>
          </cell>
          <cell r="G160" t="str">
            <v>GOMUKH RAMCHANDARPUR II</v>
          </cell>
          <cell r="H160" t="str">
            <v>BABLU KUMAR</v>
          </cell>
          <cell r="I160">
            <v>8877275703</v>
          </cell>
          <cell r="J160" t="str">
            <v>100201</v>
          </cell>
          <cell r="K160" t="str">
            <v>Yes</v>
          </cell>
          <cell r="L160">
            <v>44652</v>
          </cell>
          <cell r="N160" t="str">
            <v>Laldiyara</v>
          </cell>
        </row>
        <row r="161">
          <cell r="B161">
            <v>10020018</v>
          </cell>
          <cell r="C161" t="str">
            <v>0018</v>
          </cell>
          <cell r="D161" t="str">
            <v>6204</v>
          </cell>
          <cell r="E161" t="str">
            <v>MPG</v>
          </cell>
          <cell r="F161" t="str">
            <v>Indirect</v>
          </cell>
          <cell r="G161" t="str">
            <v>WAKIL YADAV VLC</v>
          </cell>
          <cell r="H161" t="str">
            <v>WAKIL YADAV</v>
          </cell>
          <cell r="I161"/>
          <cell r="J161" t="str">
            <v>100202</v>
          </cell>
          <cell r="K161" t="str">
            <v/>
          </cell>
          <cell r="L161">
            <v>44652</v>
          </cell>
          <cell r="N161" t="str">
            <v>Laldiyara</v>
          </cell>
        </row>
        <row r="162">
          <cell r="B162">
            <v>10020019</v>
          </cell>
          <cell r="C162" t="str">
            <v>0019</v>
          </cell>
          <cell r="D162" t="str">
            <v>6205</v>
          </cell>
          <cell r="E162" t="str">
            <v>MPG</v>
          </cell>
          <cell r="F162" t="str">
            <v>Indirect</v>
          </cell>
          <cell r="G162" t="str">
            <v>SHANKAR YADAV CHETAN TOLA</v>
          </cell>
          <cell r="H162" t="str">
            <v>SHANKAR YADAV</v>
          </cell>
          <cell r="I162"/>
          <cell r="J162" t="str">
            <v>100202</v>
          </cell>
          <cell r="K162" t="str">
            <v/>
          </cell>
          <cell r="L162">
            <v>42980</v>
          </cell>
          <cell r="N162" t="str">
            <v>Laldiyara</v>
          </cell>
        </row>
        <row r="163">
          <cell r="B163">
            <v>10020020</v>
          </cell>
          <cell r="C163" t="str">
            <v>0020</v>
          </cell>
          <cell r="D163" t="str">
            <v>6514</v>
          </cell>
          <cell r="E163" t="str">
            <v>MPG</v>
          </cell>
          <cell r="F163" t="str">
            <v>Indirect</v>
          </cell>
          <cell r="G163" t="str">
            <v>MUKTAR YADAV</v>
          </cell>
          <cell r="H163" t="str">
            <v>MUKTAR YADAV</v>
          </cell>
          <cell r="I163">
            <v>6204502104</v>
          </cell>
          <cell r="J163" t="str">
            <v>100202</v>
          </cell>
          <cell r="K163" t="str">
            <v/>
          </cell>
          <cell r="L163">
            <v>44279</v>
          </cell>
          <cell r="N163" t="str">
            <v>Laldiyara</v>
          </cell>
        </row>
        <row r="164">
          <cell r="B164">
            <v>10020021</v>
          </cell>
          <cell r="C164" t="str">
            <v>0021</v>
          </cell>
          <cell r="D164" t="str">
            <v>1196</v>
          </cell>
          <cell r="E164" t="str">
            <v>MPG</v>
          </cell>
          <cell r="F164" t="str">
            <v>Direct</v>
          </cell>
          <cell r="G164" t="str">
            <v>MOHANPUR</v>
          </cell>
          <cell r="H164" t="str">
            <v>NITISH KUMAR</v>
          </cell>
          <cell r="I164">
            <v>9546606753</v>
          </cell>
          <cell r="J164" t="str">
            <v>100201</v>
          </cell>
          <cell r="K164" t="str">
            <v>Yes</v>
          </cell>
          <cell r="L164">
            <v>44694</v>
          </cell>
          <cell r="N164" t="str">
            <v>Laldiyara</v>
          </cell>
        </row>
        <row r="165">
          <cell r="B165">
            <v>10020022</v>
          </cell>
          <cell r="C165" t="str">
            <v>0022</v>
          </cell>
          <cell r="D165" t="str">
            <v>1197</v>
          </cell>
          <cell r="E165" t="str">
            <v>MPG</v>
          </cell>
          <cell r="F165" t="str">
            <v>Direct</v>
          </cell>
          <cell r="G165" t="str">
            <v>Gomukh Dariyapur</v>
          </cell>
          <cell r="H165" t="str">
            <v>Pintu Kumar</v>
          </cell>
          <cell r="I165">
            <v>9905292557</v>
          </cell>
          <cell r="J165" t="str">
            <v>100202</v>
          </cell>
          <cell r="K165" t="str">
            <v>Yes</v>
          </cell>
          <cell r="L165">
            <v>44701</v>
          </cell>
          <cell r="N165" t="str">
            <v>Laldiyara</v>
          </cell>
        </row>
        <row r="166">
          <cell r="B166">
            <v>10020023</v>
          </cell>
          <cell r="C166" t="str">
            <v>0023</v>
          </cell>
          <cell r="D166" t="str">
            <v>1201</v>
          </cell>
          <cell r="E166" t="str">
            <v>MPG</v>
          </cell>
          <cell r="F166" t="str">
            <v>Direct</v>
          </cell>
          <cell r="G166" t="str">
            <v>Juwas</v>
          </cell>
          <cell r="H166" t="str">
            <v>Mirtunjay Kumar</v>
          </cell>
          <cell r="I166">
            <v>7979912299</v>
          </cell>
          <cell r="J166" t="str">
            <v>100202</v>
          </cell>
          <cell r="K166" t="str">
            <v>Yes</v>
          </cell>
          <cell r="L166">
            <v>44779</v>
          </cell>
          <cell r="N166" t="str">
            <v>Laldiyara</v>
          </cell>
        </row>
        <row r="167">
          <cell r="B167">
            <v>10020024</v>
          </cell>
          <cell r="C167" t="str">
            <v>0024</v>
          </cell>
          <cell r="D167" t="str">
            <v>1202</v>
          </cell>
          <cell r="E167" t="str">
            <v>MPG</v>
          </cell>
          <cell r="F167" t="str">
            <v>Direct</v>
          </cell>
          <cell r="G167" t="str">
            <v>Morwariya</v>
          </cell>
          <cell r="H167" t="str">
            <v>Krishan Yadav</v>
          </cell>
          <cell r="I167">
            <v>8340683939</v>
          </cell>
          <cell r="J167" t="str">
            <v>100205</v>
          </cell>
          <cell r="K167" t="str">
            <v>Yes</v>
          </cell>
          <cell r="L167">
            <v>44801</v>
          </cell>
          <cell r="N167" t="str">
            <v>Laldiyara</v>
          </cell>
        </row>
        <row r="168">
          <cell r="B168">
            <v>10020025</v>
          </cell>
          <cell r="C168" t="str">
            <v>0025</v>
          </cell>
          <cell r="D168" t="str">
            <v>1207</v>
          </cell>
          <cell r="E168" t="str">
            <v>MPG</v>
          </cell>
          <cell r="F168" t="str">
            <v>Direct</v>
          </cell>
          <cell r="G168" t="str">
            <v>Dumri 2</v>
          </cell>
          <cell r="H168" t="str">
            <v>Shiv Kumar Singh</v>
          </cell>
          <cell r="I168">
            <v>8298525819</v>
          </cell>
          <cell r="J168" t="str">
            <v>100204</v>
          </cell>
          <cell r="K168" t="str">
            <v>Yes</v>
          </cell>
          <cell r="L168">
            <v>44866</v>
          </cell>
          <cell r="N168" t="str">
            <v>Laldiyara</v>
          </cell>
        </row>
        <row r="169">
          <cell r="B169">
            <v>10020026</v>
          </cell>
          <cell r="C169" t="str">
            <v>0026</v>
          </cell>
          <cell r="D169" t="str">
            <v>1208</v>
          </cell>
          <cell r="E169" t="str">
            <v>MPG</v>
          </cell>
          <cell r="F169" t="str">
            <v>Direct</v>
          </cell>
          <cell r="G169" t="str">
            <v>Gomukh Jhakhaur</v>
          </cell>
          <cell r="H169" t="str">
            <v>Niraj Singh</v>
          </cell>
          <cell r="I169">
            <v>6202734219</v>
          </cell>
          <cell r="J169" t="str">
            <v>100204</v>
          </cell>
          <cell r="K169" t="str">
            <v>Yes</v>
          </cell>
          <cell r="L169">
            <v>44866</v>
          </cell>
          <cell r="N169" t="str">
            <v>Laldiyara</v>
          </cell>
        </row>
        <row r="170">
          <cell r="B170">
            <v>10020027</v>
          </cell>
          <cell r="C170" t="str">
            <v>0027</v>
          </cell>
          <cell r="D170" t="str">
            <v>1209</v>
          </cell>
          <cell r="E170" t="str">
            <v>MPG</v>
          </cell>
          <cell r="F170" t="str">
            <v>Direct</v>
          </cell>
          <cell r="G170" t="str">
            <v>Gomukh Repura</v>
          </cell>
          <cell r="H170" t="str">
            <v>Rambhajju Paswan</v>
          </cell>
          <cell r="I170">
            <v>9199424458</v>
          </cell>
          <cell r="J170" t="str">
            <v>100204</v>
          </cell>
          <cell r="K170" t="str">
            <v>Yes</v>
          </cell>
          <cell r="L170">
            <v>44866</v>
          </cell>
          <cell r="N170" t="str">
            <v>Laldiyara</v>
          </cell>
        </row>
        <row r="171">
          <cell r="B171">
            <v>10020028</v>
          </cell>
          <cell r="C171" t="str">
            <v>0028</v>
          </cell>
          <cell r="D171" t="str">
            <v>1214</v>
          </cell>
          <cell r="E171" t="str">
            <v>MPG</v>
          </cell>
          <cell r="F171" t="str">
            <v>Direct</v>
          </cell>
          <cell r="G171" t="str">
            <v>Gomukh Nijampur</v>
          </cell>
          <cell r="H171" t="str">
            <v>Dharmendra mahto</v>
          </cell>
          <cell r="I171">
            <v>9931786700</v>
          </cell>
          <cell r="J171" t="str">
            <v>100204</v>
          </cell>
          <cell r="K171" t="str">
            <v>Yes</v>
          </cell>
          <cell r="L171">
            <v>44866</v>
          </cell>
          <cell r="N171" t="str">
            <v>Laldiyara</v>
          </cell>
        </row>
        <row r="172">
          <cell r="B172">
            <v>10020029</v>
          </cell>
          <cell r="C172" t="str">
            <v>0029</v>
          </cell>
          <cell r="D172" t="str">
            <v>1211</v>
          </cell>
          <cell r="E172" t="str">
            <v>MPG</v>
          </cell>
          <cell r="F172" t="str">
            <v>Direct</v>
          </cell>
          <cell r="G172" t="str">
            <v>Gomukh Virupur</v>
          </cell>
          <cell r="H172" t="str">
            <v>Rinki Devi</v>
          </cell>
          <cell r="I172">
            <v>9430695671</v>
          </cell>
          <cell r="J172" t="str">
            <v>100204</v>
          </cell>
          <cell r="K172" t="str">
            <v>Yes</v>
          </cell>
          <cell r="L172">
            <v>44899</v>
          </cell>
          <cell r="N172" t="str">
            <v>Laldiyara</v>
          </cell>
        </row>
        <row r="173">
          <cell r="B173">
            <v>10020030</v>
          </cell>
          <cell r="C173" t="str">
            <v>0030</v>
          </cell>
          <cell r="D173" t="str">
            <v>1210</v>
          </cell>
          <cell r="E173" t="str">
            <v>MPG</v>
          </cell>
          <cell r="F173" t="str">
            <v>Direct</v>
          </cell>
          <cell r="G173" t="str">
            <v>Gomukh Janpur</v>
          </cell>
          <cell r="H173" t="str">
            <v>Krishna Kumar Paswan</v>
          </cell>
          <cell r="I173">
            <v>7903688221</v>
          </cell>
          <cell r="J173" t="str">
            <v>100204</v>
          </cell>
          <cell r="K173" t="str">
            <v>Yes</v>
          </cell>
          <cell r="L173">
            <v>44903</v>
          </cell>
          <cell r="N173" t="str">
            <v>Laldiyara</v>
          </cell>
        </row>
        <row r="174">
          <cell r="B174">
            <v>10020031</v>
          </cell>
          <cell r="C174" t="str">
            <v>0031</v>
          </cell>
          <cell r="D174" t="str">
            <v>1216</v>
          </cell>
          <cell r="E174" t="str">
            <v>MPG</v>
          </cell>
          <cell r="F174" t="str">
            <v>Direct</v>
          </cell>
          <cell r="G174" t="str">
            <v>Gomukh Turkaijani</v>
          </cell>
          <cell r="H174" t="str">
            <v>Suraj Kumar Saw</v>
          </cell>
          <cell r="I174">
            <v>9771089844</v>
          </cell>
          <cell r="J174" t="str">
            <v>100204</v>
          </cell>
          <cell r="K174" t="str">
            <v>Yes</v>
          </cell>
          <cell r="L174">
            <v>44907</v>
          </cell>
          <cell r="N174" t="str">
            <v>Laldiyara</v>
          </cell>
        </row>
        <row r="175">
          <cell r="B175">
            <v>10020032</v>
          </cell>
          <cell r="C175" t="str">
            <v>0032</v>
          </cell>
          <cell r="D175" t="str">
            <v>1212</v>
          </cell>
          <cell r="E175" t="str">
            <v>MPG</v>
          </cell>
          <cell r="F175" t="str">
            <v>Direct</v>
          </cell>
          <cell r="G175" t="str">
            <v xml:space="preserve">Gomukh Diyarapipariya                                                                               </v>
          </cell>
          <cell r="H175">
            <v>0</v>
          </cell>
          <cell r="I175">
            <v>7808714512</v>
          </cell>
          <cell r="J175" t="str">
            <v>100203</v>
          </cell>
          <cell r="K175" t="str">
            <v>Yes</v>
          </cell>
          <cell r="L175">
            <v>44911</v>
          </cell>
          <cell r="N175" t="str">
            <v>Laldiyara</v>
          </cell>
        </row>
        <row r="176">
          <cell r="B176">
            <v>10020033</v>
          </cell>
          <cell r="C176" t="str">
            <v>0033</v>
          </cell>
          <cell r="D176" t="str">
            <v>1219</v>
          </cell>
          <cell r="E176" t="str">
            <v>MPG</v>
          </cell>
          <cell r="F176" t="str">
            <v>Indirect</v>
          </cell>
          <cell r="G176" t="str">
            <v>MAKHDUMPUR</v>
          </cell>
          <cell r="H176" t="str">
            <v>BHAGIRATH YADAV</v>
          </cell>
          <cell r="I176">
            <v>9546779362</v>
          </cell>
          <cell r="J176" t="str">
            <v>100202</v>
          </cell>
          <cell r="K176" t="str">
            <v>Yes</v>
          </cell>
          <cell r="L176">
            <v>44941</v>
          </cell>
          <cell r="N176" t="str">
            <v>Laldiyara</v>
          </cell>
        </row>
        <row r="177">
          <cell r="B177">
            <v>10020034</v>
          </cell>
          <cell r="C177" t="str">
            <v>0034</v>
          </cell>
          <cell r="D177" t="str">
            <v>1218</v>
          </cell>
          <cell r="E177" t="str">
            <v>MPG</v>
          </cell>
          <cell r="F177" t="str">
            <v>Direct</v>
          </cell>
          <cell r="G177" t="str">
            <v>TAJPUR</v>
          </cell>
          <cell r="H177" t="str">
            <v>VINOD KUMAR</v>
          </cell>
          <cell r="I177">
            <v>6201496851</v>
          </cell>
          <cell r="J177" t="str">
            <v>100204</v>
          </cell>
          <cell r="K177" t="str">
            <v>Yes</v>
          </cell>
          <cell r="L177">
            <v>44944</v>
          </cell>
          <cell r="N177" t="str">
            <v>Laldiyara</v>
          </cell>
        </row>
        <row r="178">
          <cell r="B178">
            <v>10020035</v>
          </cell>
          <cell r="C178" t="str">
            <v>0035</v>
          </cell>
          <cell r="D178" t="str">
            <v>1226</v>
          </cell>
          <cell r="E178" t="str">
            <v>MPG</v>
          </cell>
          <cell r="F178" t="str">
            <v>Direct</v>
          </cell>
          <cell r="G178" t="str">
            <v>PATHUA</v>
          </cell>
          <cell r="H178" t="str">
            <v>NITISH KUMAR</v>
          </cell>
          <cell r="I178">
            <v>7644976216</v>
          </cell>
          <cell r="J178" t="str">
            <v>100203</v>
          </cell>
          <cell r="K178" t="str">
            <v>Yes</v>
          </cell>
          <cell r="L178">
            <v>44950</v>
          </cell>
          <cell r="N178" t="str">
            <v>Laldiyara</v>
          </cell>
        </row>
        <row r="179">
          <cell r="B179">
            <v>10020036</v>
          </cell>
          <cell r="C179" t="str">
            <v>0036</v>
          </cell>
          <cell r="D179" t="str">
            <v>1213</v>
          </cell>
          <cell r="E179" t="str">
            <v>MPG</v>
          </cell>
          <cell r="F179" t="str">
            <v>Direct</v>
          </cell>
          <cell r="G179" t="str">
            <v>Gomukh Manoharpur</v>
          </cell>
          <cell r="H179" t="str">
            <v>Sanjay Mahato</v>
          </cell>
          <cell r="I179">
            <v>9430810380</v>
          </cell>
          <cell r="J179" t="str">
            <v>100204</v>
          </cell>
          <cell r="K179" t="str">
            <v>Yes</v>
          </cell>
          <cell r="L179">
            <v>44962</v>
          </cell>
          <cell r="N179" t="str">
            <v>Laldiyara</v>
          </cell>
        </row>
        <row r="180">
          <cell r="B180">
            <v>10020037</v>
          </cell>
          <cell r="C180" t="str">
            <v>0037</v>
          </cell>
          <cell r="D180" t="str">
            <v>1225</v>
          </cell>
          <cell r="E180" t="str">
            <v>MPG</v>
          </cell>
          <cell r="F180" t="str">
            <v>Direct</v>
          </cell>
          <cell r="G180" t="str">
            <v>JAITPUR</v>
          </cell>
          <cell r="H180" t="str">
            <v>ASWANI KUMAR SINGH</v>
          </cell>
          <cell r="I180">
            <v>8298977080</v>
          </cell>
          <cell r="J180" t="str">
            <v>100205</v>
          </cell>
          <cell r="K180" t="str">
            <v>Yes</v>
          </cell>
          <cell r="L180">
            <v>44967</v>
          </cell>
          <cell r="N180" t="str">
            <v>Laldiyara</v>
          </cell>
        </row>
        <row r="181">
          <cell r="B181">
            <v>10020038</v>
          </cell>
          <cell r="C181" t="str">
            <v>0038</v>
          </cell>
          <cell r="D181" t="str">
            <v>1227</v>
          </cell>
          <cell r="E181" t="str">
            <v>MPG</v>
          </cell>
          <cell r="F181" t="str">
            <v>Direct</v>
          </cell>
          <cell r="G181" t="str">
            <v>LODIYA</v>
          </cell>
          <cell r="H181" t="str">
            <v>NISHIKISHOR SINGH</v>
          </cell>
          <cell r="I181">
            <v>9852670776</v>
          </cell>
          <cell r="J181" t="str">
            <v>100202</v>
          </cell>
          <cell r="K181" t="str">
            <v>Yes</v>
          </cell>
          <cell r="L181">
            <v>44967</v>
          </cell>
          <cell r="N181" t="str">
            <v>Laldiyara</v>
          </cell>
        </row>
        <row r="182">
          <cell r="B182">
            <v>10020039</v>
          </cell>
          <cell r="C182" t="str">
            <v>0039</v>
          </cell>
          <cell r="D182" t="str">
            <v>1233</v>
          </cell>
          <cell r="E182" t="str">
            <v>MPG</v>
          </cell>
          <cell r="F182" t="str">
            <v>Direct</v>
          </cell>
          <cell r="G182" t="str">
            <v>UFFRAUL</v>
          </cell>
          <cell r="H182" t="str">
            <v>AMIT KUMAR</v>
          </cell>
          <cell r="I182">
            <v>8340462358</v>
          </cell>
          <cell r="J182" t="str">
            <v>100205</v>
          </cell>
          <cell r="K182" t="str">
            <v>Yes</v>
          </cell>
          <cell r="L182">
            <v>44981</v>
          </cell>
          <cell r="N182" t="str">
            <v>Laldiyara</v>
          </cell>
        </row>
        <row r="183">
          <cell r="B183">
            <v>10020040</v>
          </cell>
          <cell r="C183" t="str">
            <v>0040</v>
          </cell>
          <cell r="D183" t="str">
            <v>1234</v>
          </cell>
          <cell r="E183" t="str">
            <v>MPG</v>
          </cell>
          <cell r="F183" t="str">
            <v>Direct</v>
          </cell>
          <cell r="G183" t="str">
            <v>SHARMA-TAAL</v>
          </cell>
          <cell r="H183" t="str">
            <v>SRI RAM KUMAR</v>
          </cell>
          <cell r="I183">
            <v>9771961168</v>
          </cell>
          <cell r="J183" t="str">
            <v>100204</v>
          </cell>
          <cell r="K183" t="str">
            <v>Yes</v>
          </cell>
          <cell r="L183">
            <v>44983</v>
          </cell>
          <cell r="N183" t="str">
            <v>Laldiyara</v>
          </cell>
        </row>
        <row r="184">
          <cell r="B184">
            <v>10020041</v>
          </cell>
          <cell r="C184" t="str">
            <v>0041</v>
          </cell>
          <cell r="D184" t="str">
            <v>1236</v>
          </cell>
          <cell r="E184" t="str">
            <v>MPG</v>
          </cell>
          <cell r="F184" t="str">
            <v>Direct</v>
          </cell>
          <cell r="G184" t="str">
            <v>ADARSH LAXMIPUR-3</v>
          </cell>
          <cell r="H184" t="str">
            <v>MUNNA KUMAR</v>
          </cell>
          <cell r="I184">
            <v>6201219671</v>
          </cell>
          <cell r="J184" t="str">
            <v>100204</v>
          </cell>
          <cell r="K184" t="str">
            <v>Yes</v>
          </cell>
          <cell r="L184">
            <v>44986</v>
          </cell>
          <cell r="N184" t="str">
            <v>Laldiyara</v>
          </cell>
        </row>
        <row r="185">
          <cell r="B185">
            <v>10020042</v>
          </cell>
          <cell r="C185" t="str">
            <v>0042</v>
          </cell>
          <cell r="D185" t="str">
            <v>1238</v>
          </cell>
          <cell r="E185" t="str">
            <v>MPG</v>
          </cell>
          <cell r="F185" t="str">
            <v>Direct</v>
          </cell>
          <cell r="G185" t="str">
            <v>BHANPUR</v>
          </cell>
          <cell r="H185" t="str">
            <v>PRITAM KUMARI</v>
          </cell>
          <cell r="I185">
            <v>9661990974</v>
          </cell>
          <cell r="J185" t="str">
            <v>100204</v>
          </cell>
          <cell r="K185" t="str">
            <v>Yes</v>
          </cell>
          <cell r="L185">
            <v>45009</v>
          </cell>
          <cell r="N185" t="str">
            <v>Laldiyara</v>
          </cell>
        </row>
        <row r="186">
          <cell r="B186">
            <v>10020043</v>
          </cell>
          <cell r="C186" t="str">
            <v>0043</v>
          </cell>
          <cell r="D186" t="str">
            <v>1237</v>
          </cell>
          <cell r="E186" t="str">
            <v>MPG</v>
          </cell>
          <cell r="F186" t="str">
            <v>Direct</v>
          </cell>
          <cell r="G186" t="str">
            <v>Karari pipariya 2</v>
          </cell>
          <cell r="H186" t="str">
            <v>RAKESH KUMAR</v>
          </cell>
          <cell r="I186">
            <v>8340283114</v>
          </cell>
          <cell r="J186" t="str">
            <v>100203</v>
          </cell>
          <cell r="K186" t="str">
            <v>Yes</v>
          </cell>
          <cell r="L186">
            <v>45012</v>
          </cell>
          <cell r="N186" t="str">
            <v>Laldiyara</v>
          </cell>
        </row>
        <row r="187">
          <cell r="B187">
            <v>10020044</v>
          </cell>
          <cell r="C187" t="str">
            <v>0044</v>
          </cell>
          <cell r="D187" t="str">
            <v>1243</v>
          </cell>
          <cell r="E187" t="str">
            <v>MPG</v>
          </cell>
          <cell r="F187" t="str">
            <v>Direct</v>
          </cell>
          <cell r="G187" t="str">
            <v xml:space="preserve">DIYARA PIPARIYA-THANA                                                                               </v>
          </cell>
          <cell r="H187" t="str">
            <v>HEMANT KUMAR</v>
          </cell>
          <cell r="I187">
            <v>9234347326</v>
          </cell>
          <cell r="J187" t="str">
            <v>100203</v>
          </cell>
          <cell r="K187" t="str">
            <v>Yes</v>
          </cell>
          <cell r="L187">
            <v>45064</v>
          </cell>
          <cell r="N187" t="str">
            <v>Laldiyara</v>
          </cell>
        </row>
        <row r="188">
          <cell r="B188">
            <v>10020045</v>
          </cell>
          <cell r="C188" t="str">
            <v>0045</v>
          </cell>
          <cell r="D188" t="str">
            <v>1248</v>
          </cell>
          <cell r="E188" t="str">
            <v>MPG</v>
          </cell>
          <cell r="F188" t="str">
            <v>Direct</v>
          </cell>
          <cell r="G188" t="str">
            <v>KHUSHAL-TOLA</v>
          </cell>
          <cell r="H188" t="str">
            <v>RAM PRAVESH SINGH</v>
          </cell>
          <cell r="I188">
            <v>6203249608</v>
          </cell>
          <cell r="J188" t="str">
            <v>100205</v>
          </cell>
          <cell r="K188" t="str">
            <v>Yes</v>
          </cell>
          <cell r="L188">
            <v>45106</v>
          </cell>
          <cell r="N188" t="str">
            <v>Laldiyara</v>
          </cell>
        </row>
        <row r="189">
          <cell r="B189">
            <v>10020046</v>
          </cell>
          <cell r="C189" t="str">
            <v>0046</v>
          </cell>
          <cell r="D189" t="str">
            <v>1247</v>
          </cell>
          <cell r="E189" t="str">
            <v>MPG</v>
          </cell>
          <cell r="F189" t="str">
            <v>Direct</v>
          </cell>
          <cell r="G189" t="str">
            <v>PRAYAG-TOLA</v>
          </cell>
          <cell r="H189" t="str">
            <v>SANJAY KUMAR SINGH</v>
          </cell>
          <cell r="I189">
            <v>9955607140</v>
          </cell>
          <cell r="J189" t="str">
            <v>100205</v>
          </cell>
          <cell r="K189" t="str">
            <v/>
          </cell>
          <cell r="L189">
            <v>45117</v>
          </cell>
          <cell r="N189" t="str">
            <v>Laldiyara</v>
          </cell>
        </row>
        <row r="190">
          <cell r="B190">
            <v>10020047</v>
          </cell>
          <cell r="C190" t="str">
            <v>0047</v>
          </cell>
          <cell r="D190" t="str">
            <v>6758</v>
          </cell>
          <cell r="E190" t="str">
            <v>MPG</v>
          </cell>
          <cell r="F190" t="str">
            <v>Indirect</v>
          </cell>
          <cell r="G190" t="str">
            <v>SRI RAM SINGH(VLC)</v>
          </cell>
          <cell r="H190" t="str">
            <v>SRI RAM SINGH</v>
          </cell>
          <cell r="I190">
            <v>8709458341</v>
          </cell>
          <cell r="J190" t="str">
            <v>100201</v>
          </cell>
          <cell r="K190" t="str">
            <v/>
          </cell>
          <cell r="L190">
            <v>45156</v>
          </cell>
          <cell r="N190" t="str">
            <v>Laldiyara</v>
          </cell>
        </row>
        <row r="191">
          <cell r="B191">
            <v>10020048</v>
          </cell>
          <cell r="C191" t="str">
            <v>0048</v>
          </cell>
          <cell r="D191" t="str">
            <v>6759</v>
          </cell>
          <cell r="E191" t="str">
            <v>MPG</v>
          </cell>
          <cell r="F191" t="str">
            <v>Indirect</v>
          </cell>
          <cell r="G191" t="str">
            <v>RAJESH KUMAR</v>
          </cell>
          <cell r="H191" t="str">
            <v>RAJESH KUMAR</v>
          </cell>
          <cell r="I191">
            <v>9931297793</v>
          </cell>
          <cell r="J191" t="str">
            <v>100202</v>
          </cell>
          <cell r="K191" t="str">
            <v/>
          </cell>
          <cell r="L191">
            <v>45156</v>
          </cell>
          <cell r="N191" t="str">
            <v>Laldiyara</v>
          </cell>
        </row>
        <row r="192">
          <cell r="B192">
            <v>10020049</v>
          </cell>
          <cell r="C192" t="str">
            <v>0049</v>
          </cell>
          <cell r="D192" t="str">
            <v>1280</v>
          </cell>
          <cell r="E192" t="str">
            <v>MPG</v>
          </cell>
          <cell r="F192" t="str">
            <v>Direct</v>
          </cell>
          <cell r="G192" t="str">
            <v>PANCHMAHALA</v>
          </cell>
          <cell r="H192" t="str">
            <v>GOPESH KUMAR</v>
          </cell>
          <cell r="I192">
            <v>8862827150</v>
          </cell>
          <cell r="J192" t="str">
            <v>100205</v>
          </cell>
          <cell r="K192" t="str">
            <v>Yes</v>
          </cell>
          <cell r="L192">
            <v>45168</v>
          </cell>
          <cell r="N192" t="str">
            <v>Laldiyara</v>
          </cell>
        </row>
        <row r="193">
          <cell r="B193">
            <v>10020050</v>
          </cell>
          <cell r="C193" t="str">
            <v>0050</v>
          </cell>
          <cell r="D193" t="str">
            <v>1281</v>
          </cell>
          <cell r="E193" t="str">
            <v>MPG</v>
          </cell>
          <cell r="F193" t="str">
            <v>Direct</v>
          </cell>
          <cell r="G193" t="str">
            <v>GADHTOLA</v>
          </cell>
          <cell r="H193" t="str">
            <v>RAHUL KUMAR</v>
          </cell>
          <cell r="I193">
            <v>8804633787</v>
          </cell>
          <cell r="J193" t="str">
            <v>100205</v>
          </cell>
          <cell r="K193" t="str">
            <v>Yes</v>
          </cell>
          <cell r="L193">
            <v>45168</v>
          </cell>
          <cell r="N193" t="str">
            <v>Laldiyara</v>
          </cell>
        </row>
        <row r="194">
          <cell r="B194">
            <v>10020051</v>
          </cell>
          <cell r="C194" t="str">
            <v>0051</v>
          </cell>
          <cell r="D194" t="str">
            <v>1291</v>
          </cell>
          <cell r="E194" t="str">
            <v>MPG</v>
          </cell>
          <cell r="F194" t="str">
            <v>Indirect</v>
          </cell>
          <cell r="G194" t="str">
            <v>Golapaar - Ramnandan</v>
          </cell>
          <cell r="H194" t="str">
            <v>Ramnandan Yadav</v>
          </cell>
          <cell r="I194">
            <v>9693105632</v>
          </cell>
          <cell r="J194" t="str">
            <v>100201</v>
          </cell>
          <cell r="K194" t="str">
            <v/>
          </cell>
          <cell r="L194">
            <v>44544</v>
          </cell>
          <cell r="N194" t="str">
            <v>Laldiyara</v>
          </cell>
        </row>
        <row r="195">
          <cell r="B195">
            <v>10020052</v>
          </cell>
          <cell r="C195" t="str">
            <v>0052</v>
          </cell>
          <cell r="D195" t="str">
            <v>1292</v>
          </cell>
          <cell r="E195" t="str">
            <v>MPG</v>
          </cell>
          <cell r="F195" t="str">
            <v>Indirect</v>
          </cell>
          <cell r="G195" t="str">
            <v>Chetan Tola - Ravi</v>
          </cell>
          <cell r="H195" t="str">
            <v>Ravi Yadav</v>
          </cell>
          <cell r="I195">
            <v>8210435394</v>
          </cell>
          <cell r="J195" t="str">
            <v>100202</v>
          </cell>
          <cell r="K195" t="str">
            <v/>
          </cell>
          <cell r="L195">
            <v>44652</v>
          </cell>
          <cell r="N195" t="str">
            <v>Laldiyara</v>
          </cell>
        </row>
        <row r="196">
          <cell r="B196">
            <v>10020053</v>
          </cell>
          <cell r="C196" t="str">
            <v>0053</v>
          </cell>
          <cell r="D196" t="str">
            <v>1293</v>
          </cell>
          <cell r="E196" t="str">
            <v>MPG</v>
          </cell>
          <cell r="F196" t="str">
            <v>Indirect</v>
          </cell>
          <cell r="G196" t="str">
            <v>Chetan Tola-Purvi - Katiman</v>
          </cell>
          <cell r="H196" t="str">
            <v>Manish Kumar</v>
          </cell>
          <cell r="I196">
            <v>6026069378</v>
          </cell>
          <cell r="J196" t="str">
            <v>100202</v>
          </cell>
          <cell r="K196" t="str">
            <v/>
          </cell>
          <cell r="L196">
            <v>44652</v>
          </cell>
          <cell r="N196" t="str">
            <v>Laldiyara</v>
          </cell>
        </row>
        <row r="197">
          <cell r="B197">
            <v>10020054</v>
          </cell>
          <cell r="C197" t="str">
            <v>0054</v>
          </cell>
          <cell r="D197" t="str">
            <v>1294</v>
          </cell>
          <cell r="E197" t="str">
            <v>MPG</v>
          </cell>
          <cell r="F197" t="str">
            <v>Indirect</v>
          </cell>
          <cell r="G197" t="str">
            <v>Diyara-Pipariya-Utri - Chandan</v>
          </cell>
          <cell r="H197" t="str">
            <v>Chandan Yadav</v>
          </cell>
          <cell r="I197">
            <v>6299237070</v>
          </cell>
          <cell r="J197" t="str">
            <v>100203</v>
          </cell>
          <cell r="K197" t="str">
            <v/>
          </cell>
          <cell r="L197">
            <v>44710</v>
          </cell>
          <cell r="N197" t="str">
            <v>Laldiyara</v>
          </cell>
        </row>
        <row r="198">
          <cell r="B198">
            <v>10020055</v>
          </cell>
          <cell r="C198" t="str">
            <v>0055</v>
          </cell>
          <cell r="D198" t="str">
            <v>1295</v>
          </cell>
          <cell r="E198" t="str">
            <v>MPG</v>
          </cell>
          <cell r="F198" t="str">
            <v>Indirect</v>
          </cell>
          <cell r="G198" t="str">
            <v>Chetan Tola-Paschim - Krishnandan</v>
          </cell>
          <cell r="H198" t="str">
            <v>Krishnandan Yadav (Chetan Tola)</v>
          </cell>
          <cell r="I198">
            <v>9939694677</v>
          </cell>
          <cell r="J198" t="str">
            <v>100202</v>
          </cell>
          <cell r="K198" t="str">
            <v/>
          </cell>
          <cell r="L198">
            <v>44652</v>
          </cell>
          <cell r="N198" t="str">
            <v>Laldiyara</v>
          </cell>
        </row>
        <row r="199">
          <cell r="B199">
            <v>10020056</v>
          </cell>
          <cell r="C199" t="str">
            <v>0056</v>
          </cell>
          <cell r="D199" t="str">
            <v>1296</v>
          </cell>
          <cell r="E199" t="str">
            <v>MPG</v>
          </cell>
          <cell r="F199" t="str">
            <v>Indirect</v>
          </cell>
          <cell r="G199" t="str">
            <v>Chetan Tola-Dakshin - Hari om</v>
          </cell>
          <cell r="H199" t="str">
            <v>Hari Om Deelip</v>
          </cell>
          <cell r="I199">
            <v>9065974245</v>
          </cell>
          <cell r="J199" t="str">
            <v>100202</v>
          </cell>
          <cell r="K199" t="str">
            <v/>
          </cell>
          <cell r="L199">
            <v>44652</v>
          </cell>
          <cell r="N199" t="str">
            <v>Laldiyara</v>
          </cell>
        </row>
        <row r="200">
          <cell r="B200">
            <v>10020057</v>
          </cell>
          <cell r="C200" t="str">
            <v>0057</v>
          </cell>
          <cell r="D200" t="str">
            <v>1308</v>
          </cell>
          <cell r="E200" t="str">
            <v>MPG</v>
          </cell>
          <cell r="F200" t="str">
            <v>Direct</v>
          </cell>
          <cell r="G200" t="str">
            <v>KANHARPUR-2</v>
          </cell>
          <cell r="H200" t="str">
            <v>RAJEEV KUMAR SAW</v>
          </cell>
          <cell r="I200">
            <v>7903162643</v>
          </cell>
          <cell r="J200" t="str">
            <v>100203</v>
          </cell>
          <cell r="K200" t="str">
            <v>Yes</v>
          </cell>
          <cell r="L200">
            <v>45248</v>
          </cell>
          <cell r="N200" t="str">
            <v>Laldiyara</v>
          </cell>
        </row>
        <row r="201">
          <cell r="B201">
            <v>10020058</v>
          </cell>
          <cell r="C201" t="str">
            <v>0058</v>
          </cell>
          <cell r="D201" t="str">
            <v>1309</v>
          </cell>
          <cell r="E201" t="str">
            <v>MPG</v>
          </cell>
          <cell r="F201" t="str">
            <v>Direct</v>
          </cell>
          <cell r="G201" t="str">
            <v>BASAUNA</v>
          </cell>
          <cell r="H201" t="str">
            <v>AMIT KUMAR</v>
          </cell>
          <cell r="I201">
            <v>7979004384</v>
          </cell>
          <cell r="J201" t="str">
            <v>100203</v>
          </cell>
          <cell r="K201" t="str">
            <v>Yes</v>
          </cell>
          <cell r="L201">
            <v>45283</v>
          </cell>
          <cell r="N201" t="str">
            <v>Laldiyara</v>
          </cell>
        </row>
        <row r="202">
          <cell r="B202">
            <v>10020059</v>
          </cell>
          <cell r="C202" t="str">
            <v>0059</v>
          </cell>
          <cell r="D202" t="str">
            <v>1310</v>
          </cell>
          <cell r="E202" t="str">
            <v>MPG</v>
          </cell>
          <cell r="F202" t="str">
            <v>Direct</v>
          </cell>
          <cell r="G202" t="str">
            <v>GANGA-SARAI</v>
          </cell>
          <cell r="H202" t="str">
            <v>AMARJEET KUMAR</v>
          </cell>
          <cell r="I202">
            <v>9135466492</v>
          </cell>
          <cell r="J202" t="str">
            <v>100205</v>
          </cell>
          <cell r="K202" t="str">
            <v>Yes</v>
          </cell>
          <cell r="L202">
            <v>45268</v>
          </cell>
          <cell r="N202" t="str">
            <v>Laldiyara</v>
          </cell>
        </row>
        <row r="203">
          <cell r="B203">
            <v>10020060</v>
          </cell>
          <cell r="C203" t="str">
            <v>0060</v>
          </cell>
          <cell r="D203" t="str">
            <v>1311</v>
          </cell>
          <cell r="E203" t="str">
            <v>MPG</v>
          </cell>
          <cell r="F203" t="str">
            <v>Direct</v>
          </cell>
          <cell r="G203" t="str">
            <v>DUKH-HARAN TOLA</v>
          </cell>
          <cell r="H203" t="str">
            <v>KANHAIYA KUMAR</v>
          </cell>
          <cell r="I203">
            <v>9142492017</v>
          </cell>
          <cell r="J203" t="str">
            <v>100205</v>
          </cell>
          <cell r="K203" t="str">
            <v>Yes</v>
          </cell>
          <cell r="L203">
            <v>45279</v>
          </cell>
          <cell r="N203" t="str">
            <v>Laldiyara</v>
          </cell>
        </row>
        <row r="204">
          <cell r="B204">
            <v>10020061</v>
          </cell>
          <cell r="C204" t="str">
            <v>0061</v>
          </cell>
          <cell r="D204" t="str">
            <v>6293</v>
          </cell>
          <cell r="E204" t="str">
            <v>MPG</v>
          </cell>
          <cell r="F204" t="str">
            <v>Indirect</v>
          </cell>
          <cell r="G204" t="str">
            <v>LALAN KUMAR YADAV</v>
          </cell>
          <cell r="H204" t="str">
            <v>LALAN KUMAR YADAV</v>
          </cell>
          <cell r="I204">
            <v>9546271927</v>
          </cell>
          <cell r="J204" t="str">
            <v>100202</v>
          </cell>
          <cell r="K204" t="str">
            <v/>
          </cell>
          <cell r="L204">
            <v>45212</v>
          </cell>
          <cell r="N204" t="str">
            <v>Laldiyara</v>
          </cell>
        </row>
        <row r="205">
          <cell r="B205">
            <v>10020062</v>
          </cell>
          <cell r="C205" t="str">
            <v>0062</v>
          </cell>
          <cell r="D205" t="str">
            <v>1285</v>
          </cell>
          <cell r="E205" t="str">
            <v>MPG</v>
          </cell>
          <cell r="F205" t="str">
            <v>Direct</v>
          </cell>
          <cell r="G205" t="str">
            <v xml:space="preserve">GOVIND-BIGHA                                                                                        </v>
          </cell>
          <cell r="H205" t="str">
            <v>NITU DEVI</v>
          </cell>
          <cell r="I205">
            <v>8210313665</v>
          </cell>
          <cell r="J205" t="str">
            <v>100202</v>
          </cell>
          <cell r="K205" t="str">
            <v>Yes</v>
          </cell>
          <cell r="L205">
            <v>45205</v>
          </cell>
          <cell r="N205" t="str">
            <v>Laldiyara</v>
          </cell>
        </row>
        <row r="206">
          <cell r="B206">
            <v>10020063</v>
          </cell>
          <cell r="C206" t="str">
            <v>0063</v>
          </cell>
          <cell r="D206" t="str">
            <v>1286</v>
          </cell>
          <cell r="E206" t="str">
            <v>MPG</v>
          </cell>
          <cell r="F206" t="str">
            <v>Direct</v>
          </cell>
          <cell r="G206" t="str">
            <v>MALPUR                                                                                              </v>
          </cell>
          <cell r="H206" t="str">
            <v>RAJESH KUMAR</v>
          </cell>
          <cell r="I206">
            <v>9117249722</v>
          </cell>
          <cell r="J206" t="str">
            <v>100203</v>
          </cell>
          <cell r="K206" t="str">
            <v>Yes</v>
          </cell>
          <cell r="L206">
            <v>45198</v>
          </cell>
          <cell r="N206" t="str">
            <v>Laldiyara</v>
          </cell>
        </row>
        <row r="207">
          <cell r="B207">
            <v>10020064</v>
          </cell>
          <cell r="C207" t="str">
            <v>0064</v>
          </cell>
          <cell r="D207" t="str">
            <v>1171</v>
          </cell>
          <cell r="E207" t="str">
            <v>MPG</v>
          </cell>
          <cell r="F207" t="str">
            <v>Indirect</v>
          </cell>
          <cell r="G207" t="str">
            <v>Gomukh Hasanpur</v>
          </cell>
          <cell r="H207" t="str">
            <v>Tantan Singh</v>
          </cell>
          <cell r="I207"/>
          <cell r="J207" t="str">
            <v>100205</v>
          </cell>
          <cell r="K207"/>
          <cell r="L207">
            <v>45323</v>
          </cell>
          <cell r="N207" t="str">
            <v>Laldiyara</v>
          </cell>
        </row>
        <row r="208">
          <cell r="B208">
            <v>10020065</v>
          </cell>
          <cell r="C208" t="str">
            <v>0065</v>
          </cell>
          <cell r="D208" t="str">
            <v>6045</v>
          </cell>
          <cell r="E208" t="str">
            <v>MPG</v>
          </cell>
          <cell r="F208" t="str">
            <v>Indirect</v>
          </cell>
          <cell r="G208" t="str">
            <v>Nathun Yadav -Chetan Tola</v>
          </cell>
          <cell r="H208" t="str">
            <v xml:space="preserve">Nathun Yadav </v>
          </cell>
          <cell r="I208"/>
          <cell r="J208" t="str">
            <v>100202</v>
          </cell>
          <cell r="K208"/>
          <cell r="L208">
            <v>45288</v>
          </cell>
          <cell r="N208" t="str">
            <v>Laldiyara</v>
          </cell>
        </row>
        <row r="209">
          <cell r="B209">
            <v>10020066</v>
          </cell>
          <cell r="C209" t="str">
            <v>0066</v>
          </cell>
          <cell r="D209" t="str">
            <v>6120</v>
          </cell>
          <cell r="E209" t="str">
            <v>MPG</v>
          </cell>
          <cell r="F209" t="str">
            <v>Indirect</v>
          </cell>
          <cell r="G209" t="str">
            <v>Shibalak Yadav -Laldiyara</v>
          </cell>
          <cell r="H209" t="str">
            <v xml:space="preserve">Shibalak Yadav </v>
          </cell>
          <cell r="I209"/>
          <cell r="J209" t="str">
            <v>100205</v>
          </cell>
          <cell r="K209"/>
          <cell r="L209">
            <v>45282</v>
          </cell>
          <cell r="N209" t="str">
            <v>Laldiyara</v>
          </cell>
        </row>
        <row r="210">
          <cell r="B210">
            <v>10020067</v>
          </cell>
          <cell r="C210" t="str">
            <v>0067</v>
          </cell>
          <cell r="D210" t="str">
            <v>1163</v>
          </cell>
          <cell r="E210" t="str">
            <v>MPG</v>
          </cell>
          <cell r="F210" t="str">
            <v>Indirect</v>
          </cell>
          <cell r="G210" t="str">
            <v>ADARSH LAXMIPUR-2</v>
          </cell>
          <cell r="H210" t="str">
            <v>Beachan Singh</v>
          </cell>
          <cell r="I210"/>
          <cell r="J210" t="str">
            <v>100205</v>
          </cell>
          <cell r="K210"/>
          <cell r="L210">
            <v>42979</v>
          </cell>
          <cell r="N210" t="str">
            <v>Laldiyara</v>
          </cell>
        </row>
        <row r="211">
          <cell r="B211">
            <v>10020068</v>
          </cell>
          <cell r="C211" t="str">
            <v>0068</v>
          </cell>
          <cell r="D211"/>
          <cell r="E211" t="str">
            <v>MPG</v>
          </cell>
          <cell r="F211" t="str">
            <v>Direct</v>
          </cell>
          <cell r="G211" t="str">
            <v>SABIKPUR</v>
          </cell>
          <cell r="H211" t="str">
            <v>VIKASH KUMAR</v>
          </cell>
          <cell r="I211"/>
          <cell r="J211" t="str">
            <v>100202</v>
          </cell>
          <cell r="K211"/>
          <cell r="L211">
            <v>45477</v>
          </cell>
          <cell r="N211" t="str">
            <v>Laldiyara</v>
          </cell>
        </row>
        <row r="212">
          <cell r="B212">
            <v>10020069</v>
          </cell>
          <cell r="C212" t="str">
            <v>0069</v>
          </cell>
          <cell r="D212"/>
          <cell r="E212" t="str">
            <v>MPG</v>
          </cell>
          <cell r="F212" t="str">
            <v>Direct</v>
          </cell>
          <cell r="G212" t="str">
            <v>CHETAN-TOLA-KHUTHA</v>
          </cell>
          <cell r="H212" t="str">
            <v>RAMADHAR SINGH</v>
          </cell>
          <cell r="I212"/>
          <cell r="J212" t="str">
            <v>100202</v>
          </cell>
          <cell r="K212"/>
          <cell r="L212">
            <v>45477</v>
          </cell>
          <cell r="N212" t="str">
            <v>Laldiyara</v>
          </cell>
        </row>
        <row r="213">
          <cell r="B213">
            <v>10020070</v>
          </cell>
          <cell r="C213" t="str">
            <v>0070</v>
          </cell>
          <cell r="D213"/>
          <cell r="E213" t="str">
            <v>MPG</v>
          </cell>
          <cell r="F213" t="str">
            <v>Direct</v>
          </cell>
          <cell r="G213" t="str">
            <v>LAXMIPUR</v>
          </cell>
          <cell r="H213" t="str">
            <v>DOLI DEVI</v>
          </cell>
          <cell r="I213">
            <v>8409231693</v>
          </cell>
          <cell r="J213" t="str">
            <v>100202</v>
          </cell>
          <cell r="K213"/>
          <cell r="L213">
            <v>45573</v>
          </cell>
          <cell r="N213" t="str">
            <v>Laldiyara</v>
          </cell>
        </row>
        <row r="214">
          <cell r="B214">
            <v>10020071</v>
          </cell>
          <cell r="C214" t="str">
            <v>0071</v>
          </cell>
          <cell r="D214"/>
          <cell r="E214" t="str">
            <v>MPG</v>
          </cell>
          <cell r="F214" t="str">
            <v>Indirect</v>
          </cell>
          <cell r="G214" t="str">
            <v>PAIJUNA</v>
          </cell>
          <cell r="H214" t="str">
            <v>SURAJKUMAR</v>
          </cell>
          <cell r="I214">
            <v>7091926955</v>
          </cell>
          <cell r="J214" t="str">
            <v>100202</v>
          </cell>
          <cell r="K214"/>
          <cell r="L214">
            <v>45638</v>
          </cell>
          <cell r="N214" t="str">
            <v>Laldiyara</v>
          </cell>
        </row>
        <row r="215">
          <cell r="B215">
            <v>10020072</v>
          </cell>
          <cell r="C215" t="str">
            <v>0072</v>
          </cell>
          <cell r="D215"/>
          <cell r="E215" t="str">
            <v>MPG</v>
          </cell>
          <cell r="F215" t="str">
            <v>Indirect</v>
          </cell>
          <cell r="G215" t="str">
            <v>PAHLADPUR</v>
          </cell>
          <cell r="H215" t="str">
            <v>VILASH YADAV</v>
          </cell>
          <cell r="I215">
            <v>9771033438</v>
          </cell>
          <cell r="J215" t="str">
            <v>100202</v>
          </cell>
          <cell r="K215"/>
          <cell r="L215">
            <v>45638</v>
          </cell>
          <cell r="N215" t="str">
            <v>Laldiyara</v>
          </cell>
        </row>
        <row r="216">
          <cell r="B216">
            <v>10020073</v>
          </cell>
          <cell r="C216" t="str">
            <v>0073</v>
          </cell>
          <cell r="D216"/>
          <cell r="E216" t="str">
            <v>MPG</v>
          </cell>
          <cell r="F216" t="str">
            <v>Indirect</v>
          </cell>
          <cell r="G216" t="str">
            <v>REHUA RK</v>
          </cell>
          <cell r="H216" t="str">
            <v>pawan kumar</v>
          </cell>
          <cell r="I216">
            <v>7352417205</v>
          </cell>
          <cell r="J216" t="str">
            <v>100202</v>
          </cell>
          <cell r="K216"/>
          <cell r="L216">
            <v>45638</v>
          </cell>
          <cell r="N216" t="str">
            <v>Laldiyara</v>
          </cell>
        </row>
        <row r="217">
          <cell r="B217">
            <v>10020074</v>
          </cell>
          <cell r="C217" t="str">
            <v>0074</v>
          </cell>
          <cell r="D217"/>
          <cell r="E217" t="str">
            <v>MPG</v>
          </cell>
          <cell r="F217" t="str">
            <v>Direct</v>
          </cell>
          <cell r="G217" t="str">
            <v>NEW KARARI PIPARIYA</v>
          </cell>
          <cell r="H217" t="str">
            <v>SAMIR KUMAR</v>
          </cell>
          <cell r="I217" t="str">
            <v>9113345842</v>
          </cell>
          <cell r="J217" t="str">
            <v>100202</v>
          </cell>
          <cell r="K217"/>
          <cell r="L217">
            <v>45706</v>
          </cell>
          <cell r="N217" t="str">
            <v>Laldiyara</v>
          </cell>
        </row>
        <row r="218">
          <cell r="B218">
            <v>10020075</v>
          </cell>
          <cell r="C218" t="str">
            <v>0075</v>
          </cell>
          <cell r="D218"/>
          <cell r="E218" t="str">
            <v>MPG</v>
          </cell>
          <cell r="F218" t="str">
            <v>Direct</v>
          </cell>
          <cell r="G218" t="str">
            <v>RAMNAGAR</v>
          </cell>
          <cell r="H218" t="str">
            <v>Ravish kumar</v>
          </cell>
          <cell r="I218" t="str">
            <v>7870410195</v>
          </cell>
          <cell r="J218" t="str">
            <v>100206</v>
          </cell>
          <cell r="K218"/>
          <cell r="L218">
            <v>45852</v>
          </cell>
          <cell r="N218" t="str">
            <v>Laldiyara</v>
          </cell>
        </row>
        <row r="219">
          <cell r="B219">
            <v>10020076</v>
          </cell>
          <cell r="C219" t="str">
            <v>0076</v>
          </cell>
          <cell r="D219"/>
          <cell r="E219" t="str">
            <v>MPG</v>
          </cell>
          <cell r="F219" t="str">
            <v>Direct</v>
          </cell>
          <cell r="G219" t="str">
            <v>PACHAM</v>
          </cell>
          <cell r="H219" t="str">
            <v>RAM DYAL YADAV</v>
          </cell>
          <cell r="I219" t="str">
            <v>7870410196</v>
          </cell>
          <cell r="J219" t="str">
            <v>100206</v>
          </cell>
          <cell r="K219"/>
          <cell r="L219">
            <v>45852</v>
          </cell>
          <cell r="N219" t="str">
            <v>Laldiyara</v>
          </cell>
        </row>
        <row r="220">
          <cell r="B220">
            <v>10020077</v>
          </cell>
          <cell r="C220" t="str">
            <v>0077</v>
          </cell>
          <cell r="D220"/>
          <cell r="E220" t="str">
            <v>MPG</v>
          </cell>
          <cell r="F220" t="str">
            <v>Direct</v>
          </cell>
          <cell r="G220" t="str">
            <v>BANSIPUR</v>
          </cell>
          <cell r="H220" t="str">
            <v>MUKESH KUMAR</v>
          </cell>
          <cell r="I220" t="str">
            <v>8104126303</v>
          </cell>
          <cell r="J220" t="str">
            <v>100206</v>
          </cell>
          <cell r="K220"/>
          <cell r="L220">
            <v>45852</v>
          </cell>
          <cell r="N220" t="str">
            <v>Laldiyara</v>
          </cell>
        </row>
        <row r="221">
          <cell r="B221">
            <v>10020078</v>
          </cell>
          <cell r="C221" t="str">
            <v>0078</v>
          </cell>
          <cell r="D221"/>
          <cell r="E221" t="str">
            <v>MPG</v>
          </cell>
          <cell r="F221" t="str">
            <v>Direct</v>
          </cell>
          <cell r="G221" t="str">
            <v>GODIH</v>
          </cell>
          <cell r="H221" t="str">
            <v>Ajit Kumar</v>
          </cell>
          <cell r="I221">
            <v>8804360388</v>
          </cell>
          <cell r="J221" t="str">
            <v>100206</v>
          </cell>
          <cell r="K221"/>
          <cell r="L221">
            <v>45852</v>
          </cell>
          <cell r="N221" t="str">
            <v>Laldiyara</v>
          </cell>
        </row>
        <row r="222">
          <cell r="B222">
            <v>10020079</v>
          </cell>
          <cell r="C222" t="str">
            <v>0079</v>
          </cell>
          <cell r="D222"/>
          <cell r="E222" t="str">
            <v>MPG</v>
          </cell>
          <cell r="F222" t="str">
            <v>Direct</v>
          </cell>
          <cell r="G222" t="str">
            <v>SINGARPUR</v>
          </cell>
          <cell r="H222" t="str">
            <v>Kundan Kumar</v>
          </cell>
          <cell r="I222">
            <v>9113404461</v>
          </cell>
          <cell r="J222" t="str">
            <v>100206</v>
          </cell>
          <cell r="K222"/>
          <cell r="L222">
            <v>45852</v>
          </cell>
          <cell r="N222" t="str">
            <v>Laldiyara</v>
          </cell>
        </row>
        <row r="223">
          <cell r="B223">
            <v>10020080</v>
          </cell>
          <cell r="C223" t="str">
            <v>0080</v>
          </cell>
          <cell r="D223"/>
          <cell r="E223" t="str">
            <v>MPG</v>
          </cell>
          <cell r="F223" t="str">
            <v>Direct</v>
          </cell>
          <cell r="G223" t="str">
            <v>ADARSH PULPAR</v>
          </cell>
          <cell r="H223" t="str">
            <v>UDAY YADAV</v>
          </cell>
          <cell r="I223">
            <v>8102487776</v>
          </cell>
          <cell r="J223" t="str">
            <v>100204</v>
          </cell>
          <cell r="K223"/>
          <cell r="L223">
            <v>45882</v>
          </cell>
          <cell r="N223" t="str">
            <v>Laldiyara</v>
          </cell>
        </row>
        <row r="224">
          <cell r="B224">
            <v>10020081</v>
          </cell>
          <cell r="C224" t="str">
            <v>0081</v>
          </cell>
          <cell r="D224"/>
          <cell r="E224" t="str">
            <v>MPG</v>
          </cell>
          <cell r="F224" t="str">
            <v>Indirect</v>
          </cell>
          <cell r="G224" t="str">
            <v>G WOLIPUR</v>
          </cell>
          <cell r="H224" t="str">
            <v>SAKET BIHARI</v>
          </cell>
          <cell r="I224">
            <v>9765432454</v>
          </cell>
          <cell r="J224" t="str">
            <v>100202</v>
          </cell>
          <cell r="K224"/>
          <cell r="L224">
            <v>45909</v>
          </cell>
          <cell r="N224" t="str">
            <v>Laldiyara</v>
          </cell>
        </row>
        <row r="225">
          <cell r="B225">
            <v>10020082</v>
          </cell>
          <cell r="C225" t="str">
            <v>0082</v>
          </cell>
          <cell r="D225"/>
          <cell r="E225" t="str">
            <v>MPG</v>
          </cell>
          <cell r="F225" t="str">
            <v>Indirect</v>
          </cell>
          <cell r="G225" t="str">
            <v>REHUA 3</v>
          </cell>
          <cell r="H225" t="str">
            <v>SUBODH SINGH</v>
          </cell>
          <cell r="I225">
            <v>7899876767</v>
          </cell>
          <cell r="J225" t="str">
            <v>100202</v>
          </cell>
          <cell r="K225"/>
          <cell r="L225">
            <v>45909</v>
          </cell>
          <cell r="N225" t="str">
            <v>Laldiyara</v>
          </cell>
        </row>
        <row r="226">
          <cell r="B226">
            <v>10020083</v>
          </cell>
          <cell r="C226" t="str">
            <v>0083</v>
          </cell>
          <cell r="D226"/>
          <cell r="E226" t="str">
            <v>MPG</v>
          </cell>
          <cell r="F226" t="str">
            <v>Direct</v>
          </cell>
          <cell r="G226" t="str">
            <v>BICHWAY</v>
          </cell>
          <cell r="H226" t="str">
            <v>VIVEK KUMAR</v>
          </cell>
          <cell r="I226">
            <v>9798832127</v>
          </cell>
          <cell r="J226" t="str">
            <v>100206</v>
          </cell>
          <cell r="K226"/>
          <cell r="L226">
            <v>45926</v>
          </cell>
          <cell r="N226" t="str">
            <v>Laldiyara</v>
          </cell>
        </row>
        <row r="227">
          <cell r="B227">
            <v>10020084</v>
          </cell>
          <cell r="C227" t="str">
            <v>0084</v>
          </cell>
          <cell r="D227"/>
          <cell r="E227" t="str">
            <v>MPG</v>
          </cell>
          <cell r="F227" t="str">
            <v>Direct</v>
          </cell>
          <cell r="G227" t="str">
            <v>MANOHARPUR</v>
          </cell>
          <cell r="H227" t="str">
            <v>SHIVAM KUMAR</v>
          </cell>
          <cell r="I227" t="str">
            <v>9065268837</v>
          </cell>
          <cell r="J227" t="str">
            <v>100206</v>
          </cell>
          <cell r="K227"/>
          <cell r="L227">
            <v>45961</v>
          </cell>
          <cell r="N227" t="str">
            <v>Laldiyara</v>
          </cell>
        </row>
        <row r="228">
          <cell r="B228">
            <v>10020085</v>
          </cell>
          <cell r="C228" t="str">
            <v>0085</v>
          </cell>
          <cell r="D228"/>
          <cell r="E228" t="str">
            <v>MPG</v>
          </cell>
          <cell r="F228" t="str">
            <v>Direct</v>
          </cell>
          <cell r="G228" t="str">
            <v>SURJICHAK</v>
          </cell>
          <cell r="H228" t="str">
            <v>DAYANAND KUMAR</v>
          </cell>
          <cell r="I228">
            <v>9113753945</v>
          </cell>
          <cell r="J228" t="str">
            <v>100202</v>
          </cell>
          <cell r="K228"/>
          <cell r="L228">
            <v>46000</v>
          </cell>
          <cell r="N228" t="str">
            <v>Laldiyara</v>
          </cell>
        </row>
        <row r="229">
          <cell r="B229">
            <v>10020086</v>
          </cell>
          <cell r="C229" t="str">
            <v>0086</v>
          </cell>
          <cell r="D229"/>
          <cell r="E229" t="str">
            <v>MPG</v>
          </cell>
          <cell r="F229" t="str">
            <v>Direct</v>
          </cell>
          <cell r="G229" t="str">
            <v>GADIBISANPUR</v>
          </cell>
          <cell r="H229" t="str">
            <v>SUSHANSHU KUMAR</v>
          </cell>
          <cell r="I229">
            <v>7017635172</v>
          </cell>
          <cell r="J229" t="str">
            <v>100206</v>
          </cell>
          <cell r="K229"/>
          <cell r="L229">
            <v>46043</v>
          </cell>
          <cell r="N229" t="str">
            <v>Laldiyara</v>
          </cell>
        </row>
        <row r="230">
          <cell r="B230">
            <v>10030002</v>
          </cell>
          <cell r="C230" t="str">
            <v>0002</v>
          </cell>
          <cell r="D230" t="str">
            <v>4008</v>
          </cell>
          <cell r="E230" t="str">
            <v>MPG</v>
          </cell>
          <cell r="F230" t="str">
            <v>Indirect</v>
          </cell>
          <cell r="G230" t="str">
            <v>MOHANPUR</v>
          </cell>
          <cell r="H230" t="str">
            <v>Santosh singh</v>
          </cell>
          <cell r="I230">
            <v>8578890352</v>
          </cell>
          <cell r="J230" t="str">
            <v>100303</v>
          </cell>
          <cell r="K230" t="str">
            <v/>
          </cell>
          <cell r="L230">
            <v>42979</v>
          </cell>
          <cell r="N230" t="str">
            <v>Asarganj</v>
          </cell>
        </row>
        <row r="231">
          <cell r="B231">
            <v>10030003</v>
          </cell>
          <cell r="C231" t="str">
            <v>0003</v>
          </cell>
          <cell r="D231" t="str">
            <v>4029</v>
          </cell>
          <cell r="E231" t="str">
            <v>MPG</v>
          </cell>
          <cell r="F231" t="str">
            <v>Direct</v>
          </cell>
          <cell r="G231" t="str">
            <v>CHATMADIH</v>
          </cell>
          <cell r="H231" t="str">
            <v>Vidya Singh</v>
          </cell>
          <cell r="I231">
            <v>7079832407</v>
          </cell>
          <cell r="J231" t="str">
            <v>100303</v>
          </cell>
          <cell r="K231" t="str">
            <v>Yes</v>
          </cell>
          <cell r="L231">
            <v>42979</v>
          </cell>
          <cell r="N231" t="str">
            <v>Asarganj</v>
          </cell>
        </row>
        <row r="232">
          <cell r="B232">
            <v>10030004</v>
          </cell>
          <cell r="C232" t="str">
            <v>0004</v>
          </cell>
          <cell r="D232" t="str">
            <v>4087</v>
          </cell>
          <cell r="E232" t="str">
            <v>MPG</v>
          </cell>
          <cell r="F232" t="str">
            <v>Indirect</v>
          </cell>
          <cell r="G232" t="str">
            <v>KUNNATH</v>
          </cell>
          <cell r="H232" t="str">
            <v>Gautam Kumar</v>
          </cell>
          <cell r="I232">
            <v>8084718200</v>
          </cell>
          <cell r="J232" t="str">
            <v>100303</v>
          </cell>
          <cell r="K232" t="str">
            <v/>
          </cell>
          <cell r="L232">
            <v>42979</v>
          </cell>
          <cell r="N232" t="str">
            <v>Asarganj</v>
          </cell>
        </row>
        <row r="233">
          <cell r="B233">
            <v>10030005</v>
          </cell>
          <cell r="C233" t="str">
            <v>0005</v>
          </cell>
          <cell r="D233" t="str">
            <v>4088</v>
          </cell>
          <cell r="E233" t="str">
            <v>MPG</v>
          </cell>
          <cell r="F233" t="str">
            <v>Indirect</v>
          </cell>
          <cell r="G233" t="str">
            <v>PARARIA</v>
          </cell>
          <cell r="H233" t="str">
            <v>Manoj Mandal</v>
          </cell>
          <cell r="I233">
            <v>8797658715</v>
          </cell>
          <cell r="J233" t="str">
            <v>100303</v>
          </cell>
          <cell r="K233" t="str">
            <v/>
          </cell>
          <cell r="L233">
            <v>42979</v>
          </cell>
          <cell r="N233" t="str">
            <v>Asarganj</v>
          </cell>
        </row>
        <row r="234">
          <cell r="B234">
            <v>10030006</v>
          </cell>
          <cell r="C234" t="str">
            <v>0006</v>
          </cell>
          <cell r="D234" t="str">
            <v>5002</v>
          </cell>
          <cell r="E234" t="str">
            <v>MPG</v>
          </cell>
          <cell r="F234" t="str">
            <v>Indirect</v>
          </cell>
          <cell r="G234" t="str">
            <v>FULKIA</v>
          </cell>
          <cell r="H234" t="str">
            <v>Brajesh Kumar</v>
          </cell>
          <cell r="I234">
            <v>9304287853</v>
          </cell>
          <cell r="J234" t="str">
            <v>100306</v>
          </cell>
          <cell r="K234" t="str">
            <v/>
          </cell>
          <cell r="L234">
            <v>42979</v>
          </cell>
          <cell r="N234" t="str">
            <v>Asarganj</v>
          </cell>
        </row>
        <row r="235">
          <cell r="B235">
            <v>10030007</v>
          </cell>
          <cell r="C235" t="str">
            <v>0007</v>
          </cell>
          <cell r="D235" t="str">
            <v>5076</v>
          </cell>
          <cell r="E235" t="str">
            <v>MPG</v>
          </cell>
          <cell r="F235" t="str">
            <v>Indirect</v>
          </cell>
          <cell r="G235" t="str">
            <v>SIYADIH</v>
          </cell>
          <cell r="H235" t="str">
            <v>Suman Chaudhary</v>
          </cell>
          <cell r="I235">
            <v>9931666387</v>
          </cell>
          <cell r="J235" t="str">
            <v>100301</v>
          </cell>
          <cell r="K235" t="str">
            <v/>
          </cell>
          <cell r="L235">
            <v>42979</v>
          </cell>
          <cell r="N235" t="str">
            <v>Asarganj</v>
          </cell>
        </row>
        <row r="236">
          <cell r="B236">
            <v>10030008</v>
          </cell>
          <cell r="C236" t="str">
            <v>0008</v>
          </cell>
          <cell r="D236" t="str">
            <v>M006</v>
          </cell>
          <cell r="E236" t="str">
            <v>RMC</v>
          </cell>
          <cell r="F236" t="str">
            <v>Direct</v>
          </cell>
          <cell r="G236" t="str">
            <v>HARPUR M</v>
          </cell>
          <cell r="H236" t="str">
            <v>Sunita Devi</v>
          </cell>
          <cell r="I236">
            <v>9973753063</v>
          </cell>
          <cell r="J236" t="str">
            <v>100306</v>
          </cell>
          <cell r="K236" t="str">
            <v/>
          </cell>
          <cell r="L236">
            <v>42979</v>
          </cell>
          <cell r="N236" t="str">
            <v>Asarganj</v>
          </cell>
        </row>
        <row r="237">
          <cell r="B237">
            <v>10030009</v>
          </cell>
          <cell r="C237" t="str">
            <v>0009</v>
          </cell>
          <cell r="D237" t="str">
            <v>5140</v>
          </cell>
          <cell r="E237" t="str">
            <v>MPG</v>
          </cell>
          <cell r="F237" t="str">
            <v>Indirect</v>
          </cell>
          <cell r="G237" t="str">
            <v>Gomukh ID Laldiyara</v>
          </cell>
          <cell r="H237" t="str">
            <v>Dheeraj Kumar</v>
          </cell>
          <cell r="I237">
            <v>7766810530</v>
          </cell>
          <cell r="J237" t="str">
            <v>100305</v>
          </cell>
          <cell r="K237" t="str">
            <v/>
          </cell>
          <cell r="L237">
            <v>43315</v>
          </cell>
          <cell r="N237" t="str">
            <v>Asarganj</v>
          </cell>
        </row>
        <row r="238">
          <cell r="B238">
            <v>10030010</v>
          </cell>
          <cell r="C238" t="str">
            <v>0010</v>
          </cell>
          <cell r="D238" t="str">
            <v>5141</v>
          </cell>
          <cell r="E238" t="str">
            <v>MPG</v>
          </cell>
          <cell r="F238" t="str">
            <v>Direct</v>
          </cell>
          <cell r="G238" t="str">
            <v>KATHNI</v>
          </cell>
          <cell r="H238" t="str">
            <v>AMAN KUMAR</v>
          </cell>
          <cell r="I238">
            <v>7631526980</v>
          </cell>
          <cell r="J238" t="str">
            <v>100304</v>
          </cell>
          <cell r="K238" t="str">
            <v>Yes</v>
          </cell>
          <cell r="L238">
            <v>43315</v>
          </cell>
          <cell r="N238" t="str">
            <v>Asarganj</v>
          </cell>
        </row>
        <row r="239">
          <cell r="B239">
            <v>10030011</v>
          </cell>
          <cell r="C239" t="str">
            <v>0011</v>
          </cell>
          <cell r="D239" t="str">
            <v>5104</v>
          </cell>
          <cell r="E239" t="str">
            <v>MPG</v>
          </cell>
          <cell r="F239" t="str">
            <v>Direct</v>
          </cell>
          <cell r="G239" t="str">
            <v>DEVDHA GOMUKH MPG</v>
          </cell>
          <cell r="H239" t="str">
            <v>Brajgopal Chaubey</v>
          </cell>
          <cell r="I239">
            <v>7091760491</v>
          </cell>
          <cell r="J239" t="str">
            <v>100302</v>
          </cell>
          <cell r="K239" t="str">
            <v/>
          </cell>
          <cell r="L239">
            <v>43343</v>
          </cell>
          <cell r="N239" t="str">
            <v>Asarganj</v>
          </cell>
        </row>
        <row r="240">
          <cell r="B240">
            <v>10030012</v>
          </cell>
          <cell r="C240" t="str">
            <v>0012</v>
          </cell>
          <cell r="D240" t="str">
            <v>4006</v>
          </cell>
          <cell r="E240" t="str">
            <v>MPG</v>
          </cell>
          <cell r="F240" t="str">
            <v>Indirect</v>
          </cell>
          <cell r="G240" t="str">
            <v>KASBA(MANGOAN)</v>
          </cell>
          <cell r="H240" t="str">
            <v>MSK MAA KALI MPG MAJGAIN</v>
          </cell>
          <cell r="I240"/>
          <cell r="J240" t="str">
            <v>100303</v>
          </cell>
          <cell r="K240" t="str">
            <v/>
          </cell>
          <cell r="L240">
            <v>44652</v>
          </cell>
          <cell r="N240" t="str">
            <v>Asarganj</v>
          </cell>
        </row>
        <row r="241">
          <cell r="B241">
            <v>10030013</v>
          </cell>
          <cell r="C241" t="str">
            <v>0013</v>
          </cell>
          <cell r="D241" t="str">
            <v>5117</v>
          </cell>
          <cell r="E241" t="str">
            <v>MPG</v>
          </cell>
          <cell r="F241" t="str">
            <v>Direct</v>
          </cell>
          <cell r="G241" t="str">
            <v>LOHRA</v>
          </cell>
          <cell r="H241" t="str">
            <v>SANJITA YADAV</v>
          </cell>
          <cell r="I241">
            <v>9771714893</v>
          </cell>
          <cell r="J241" t="str">
            <v>100304</v>
          </cell>
          <cell r="K241" t="str">
            <v>Yes</v>
          </cell>
          <cell r="L241">
            <v>44927</v>
          </cell>
          <cell r="N241" t="str">
            <v>Asarganj</v>
          </cell>
        </row>
        <row r="242">
          <cell r="B242">
            <v>10030014</v>
          </cell>
          <cell r="C242" t="str">
            <v>0014</v>
          </cell>
          <cell r="D242" t="str">
            <v>5109</v>
          </cell>
          <cell r="E242" t="str">
            <v>MPG</v>
          </cell>
          <cell r="F242" t="str">
            <v>Direct</v>
          </cell>
          <cell r="G242" t="str">
            <v>SARIFA</v>
          </cell>
          <cell r="H242" t="str">
            <v>RAMPARVESH SINGH</v>
          </cell>
          <cell r="I242">
            <v>9572507044</v>
          </cell>
          <cell r="J242" t="str">
            <v>100303</v>
          </cell>
          <cell r="K242" t="str">
            <v>Yes</v>
          </cell>
          <cell r="L242">
            <v>44981</v>
          </cell>
          <cell r="N242" t="str">
            <v>Asarganj</v>
          </cell>
        </row>
        <row r="243">
          <cell r="B243">
            <v>10030015</v>
          </cell>
          <cell r="C243" t="str">
            <v>0015</v>
          </cell>
          <cell r="D243" t="str">
            <v>5110</v>
          </cell>
          <cell r="E243" t="str">
            <v>MPG</v>
          </cell>
          <cell r="F243" t="str">
            <v>Direct</v>
          </cell>
          <cell r="G243" t="str">
            <v>KAMATPUR</v>
          </cell>
          <cell r="H243" t="str">
            <v>BRAJESH KUMAR</v>
          </cell>
          <cell r="I243">
            <v>9771243315</v>
          </cell>
          <cell r="J243" t="str">
            <v>100303</v>
          </cell>
          <cell r="K243" t="str">
            <v>Yes</v>
          </cell>
          <cell r="L243">
            <v>44981</v>
          </cell>
          <cell r="N243" t="str">
            <v>Asarganj</v>
          </cell>
        </row>
        <row r="244">
          <cell r="B244">
            <v>10030016</v>
          </cell>
          <cell r="C244" t="str">
            <v>0016</v>
          </cell>
          <cell r="D244" t="str">
            <v>5111</v>
          </cell>
          <cell r="E244" t="str">
            <v>MPG</v>
          </cell>
          <cell r="F244" t="str">
            <v>Direct</v>
          </cell>
          <cell r="G244" t="str">
            <v>GIRDHARA</v>
          </cell>
          <cell r="H244" t="str">
            <v>GAURAV KUMAR</v>
          </cell>
          <cell r="I244">
            <v>8210300972</v>
          </cell>
          <cell r="J244" t="str">
            <v>100303</v>
          </cell>
          <cell r="K244" t="str">
            <v>Yes</v>
          </cell>
          <cell r="L244">
            <v>44982</v>
          </cell>
          <cell r="N244" t="str">
            <v>Asarganj</v>
          </cell>
        </row>
        <row r="245">
          <cell r="B245">
            <v>10030017</v>
          </cell>
          <cell r="C245" t="str">
            <v>0017</v>
          </cell>
          <cell r="D245" t="str">
            <v>5115</v>
          </cell>
          <cell r="E245" t="str">
            <v>MPG</v>
          </cell>
          <cell r="F245" t="str">
            <v>Direct</v>
          </cell>
          <cell r="G245" t="str">
            <v>RATNI</v>
          </cell>
          <cell r="H245" t="str">
            <v>PRAVASH KUMAR</v>
          </cell>
          <cell r="I245">
            <v>7250397974</v>
          </cell>
          <cell r="J245" t="str">
            <v>100304</v>
          </cell>
          <cell r="K245" t="str">
            <v>Yes</v>
          </cell>
          <cell r="L245">
            <v>44995</v>
          </cell>
          <cell r="N245" t="str">
            <v>Asarganj</v>
          </cell>
        </row>
        <row r="246">
          <cell r="B246">
            <v>10030018</v>
          </cell>
          <cell r="C246" t="str">
            <v>0018</v>
          </cell>
          <cell r="D246" t="str">
            <v>5116</v>
          </cell>
          <cell r="E246" t="str">
            <v>MPG</v>
          </cell>
          <cell r="F246" t="str">
            <v>Direct</v>
          </cell>
          <cell r="G246" t="str">
            <v>DHAPARI</v>
          </cell>
          <cell r="H246" t="str">
            <v>NIRANJAN KUMAR</v>
          </cell>
          <cell r="I246">
            <v>9572714705</v>
          </cell>
          <cell r="J246" t="str">
            <v>100304</v>
          </cell>
          <cell r="K246" t="str">
            <v>Yes</v>
          </cell>
          <cell r="L246">
            <v>44995</v>
          </cell>
          <cell r="N246" t="str">
            <v>Asarganj</v>
          </cell>
        </row>
        <row r="247">
          <cell r="B247">
            <v>10030019</v>
          </cell>
          <cell r="C247" t="str">
            <v>0019</v>
          </cell>
          <cell r="D247" t="str">
            <v>5118</v>
          </cell>
          <cell r="E247" t="str">
            <v>MPG</v>
          </cell>
          <cell r="F247" t="str">
            <v>Direct</v>
          </cell>
          <cell r="G247" t="str">
            <v>KHARUI</v>
          </cell>
          <cell r="H247" t="str">
            <v>RISHIDEV YADAV</v>
          </cell>
          <cell r="I247">
            <v>9304821747</v>
          </cell>
          <cell r="J247" t="str">
            <v>100304</v>
          </cell>
          <cell r="K247" t="str">
            <v>Yes</v>
          </cell>
          <cell r="L247">
            <v>44995</v>
          </cell>
          <cell r="N247" t="str">
            <v>Asarganj</v>
          </cell>
        </row>
        <row r="248">
          <cell r="B248">
            <v>10030020</v>
          </cell>
          <cell r="C248" t="str">
            <v>0020</v>
          </cell>
          <cell r="D248" t="str">
            <v>5119</v>
          </cell>
          <cell r="E248" t="str">
            <v>MPG</v>
          </cell>
          <cell r="F248" t="str">
            <v>Direct</v>
          </cell>
          <cell r="G248" t="str">
            <v>BARUI</v>
          </cell>
          <cell r="H248" t="str">
            <v>RAJESH YADAV</v>
          </cell>
          <cell r="I248">
            <v>8210920524</v>
          </cell>
          <cell r="J248" t="str">
            <v>100304</v>
          </cell>
          <cell r="K248" t="str">
            <v>Yes</v>
          </cell>
          <cell r="L248">
            <v>44995</v>
          </cell>
          <cell r="N248" t="str">
            <v>Asarganj</v>
          </cell>
        </row>
        <row r="249">
          <cell r="B249">
            <v>10030021</v>
          </cell>
          <cell r="C249" t="str">
            <v>0021</v>
          </cell>
          <cell r="D249" t="str">
            <v>5120</v>
          </cell>
          <cell r="E249" t="str">
            <v>MPG</v>
          </cell>
          <cell r="F249" t="str">
            <v>Direct</v>
          </cell>
          <cell r="G249" t="str">
            <v>KHAIRA</v>
          </cell>
          <cell r="H249" t="str">
            <v>BIPIN KUMAR</v>
          </cell>
          <cell r="I249">
            <v>7631283573</v>
          </cell>
          <cell r="J249" t="str">
            <v>100304</v>
          </cell>
          <cell r="K249" t="str">
            <v>Yes</v>
          </cell>
          <cell r="L249">
            <v>44995</v>
          </cell>
          <cell r="N249" t="str">
            <v>Asarganj</v>
          </cell>
        </row>
        <row r="250">
          <cell r="B250">
            <v>10030022</v>
          </cell>
          <cell r="C250" t="str">
            <v>0022</v>
          </cell>
          <cell r="D250" t="str">
            <v>5121</v>
          </cell>
          <cell r="E250" t="str">
            <v>MPG</v>
          </cell>
          <cell r="F250" t="str">
            <v>Direct</v>
          </cell>
          <cell r="G250" t="str">
            <v>SISUA</v>
          </cell>
          <cell r="H250" t="str">
            <v>JAWHAR KUMAR</v>
          </cell>
          <cell r="I250">
            <v>6204950945</v>
          </cell>
          <cell r="J250" t="str">
            <v>100304</v>
          </cell>
          <cell r="K250" t="str">
            <v>Yes</v>
          </cell>
          <cell r="L250">
            <v>44995</v>
          </cell>
          <cell r="N250" t="str">
            <v>Asarganj</v>
          </cell>
        </row>
        <row r="251">
          <cell r="B251">
            <v>10030023</v>
          </cell>
          <cell r="C251" t="str">
            <v>0023</v>
          </cell>
          <cell r="D251" t="str">
            <v>5123</v>
          </cell>
          <cell r="E251" t="str">
            <v>MPG</v>
          </cell>
          <cell r="F251" t="str">
            <v>Direct</v>
          </cell>
          <cell r="G251" t="str">
            <v>BISAI</v>
          </cell>
          <cell r="H251" t="str">
            <v>ARVIND KUMAR</v>
          </cell>
          <cell r="I251">
            <v>7462996389</v>
          </cell>
          <cell r="J251" t="str">
            <v>100304</v>
          </cell>
          <cell r="K251" t="str">
            <v>Yes</v>
          </cell>
          <cell r="L251">
            <v>44995</v>
          </cell>
          <cell r="N251" t="str">
            <v>Asarganj</v>
          </cell>
        </row>
        <row r="252">
          <cell r="B252">
            <v>10030024</v>
          </cell>
          <cell r="C252" t="str">
            <v>0024</v>
          </cell>
          <cell r="D252" t="str">
            <v>5124</v>
          </cell>
          <cell r="E252" t="str">
            <v>MPG</v>
          </cell>
          <cell r="F252" t="str">
            <v>Direct</v>
          </cell>
          <cell r="G252" t="str">
            <v>BARHARA</v>
          </cell>
          <cell r="H252" t="str">
            <v>SANGEETA KUMARI</v>
          </cell>
          <cell r="I252">
            <v>9006956842</v>
          </cell>
          <cell r="J252" t="str">
            <v>100303</v>
          </cell>
          <cell r="K252" t="str">
            <v>Yes</v>
          </cell>
          <cell r="L252">
            <v>44995</v>
          </cell>
          <cell r="N252" t="str">
            <v>Asarganj</v>
          </cell>
        </row>
        <row r="253">
          <cell r="B253">
            <v>10030025</v>
          </cell>
          <cell r="C253" t="str">
            <v>0025</v>
          </cell>
          <cell r="D253" t="str">
            <v>5125</v>
          </cell>
          <cell r="E253" t="str">
            <v>MPG</v>
          </cell>
          <cell r="F253" t="str">
            <v>Direct</v>
          </cell>
          <cell r="G253" t="str">
            <v>SAJUA-1</v>
          </cell>
          <cell r="H253" t="str">
            <v>RAVIKANT</v>
          </cell>
          <cell r="I253">
            <v>6203649027</v>
          </cell>
          <cell r="J253" t="str">
            <v>100301</v>
          </cell>
          <cell r="K253" t="str">
            <v>Yes</v>
          </cell>
          <cell r="L253">
            <v>45015</v>
          </cell>
          <cell r="N253" t="str">
            <v>Asarganj</v>
          </cell>
        </row>
        <row r="254">
          <cell r="B254">
            <v>10030026</v>
          </cell>
          <cell r="C254" t="str">
            <v>0026</v>
          </cell>
          <cell r="D254" t="str">
            <v>5126</v>
          </cell>
          <cell r="E254" t="str">
            <v>MPG</v>
          </cell>
          <cell r="F254" t="str">
            <v>Direct</v>
          </cell>
          <cell r="G254" t="str">
            <v>SAJUA-2</v>
          </cell>
          <cell r="H254" t="str">
            <v>SATYAM VISWAS</v>
          </cell>
          <cell r="I254">
            <v>8651499090</v>
          </cell>
          <cell r="J254" t="str">
            <v>100301</v>
          </cell>
          <cell r="K254" t="str">
            <v>Yes</v>
          </cell>
          <cell r="L254">
            <v>45015</v>
          </cell>
          <cell r="N254" t="str">
            <v>Asarganj</v>
          </cell>
        </row>
        <row r="255">
          <cell r="B255">
            <v>10030027</v>
          </cell>
          <cell r="C255" t="str">
            <v>0027</v>
          </cell>
          <cell r="D255" t="str">
            <v>5127</v>
          </cell>
          <cell r="E255" t="str">
            <v>MPG</v>
          </cell>
          <cell r="F255" t="str">
            <v>Direct</v>
          </cell>
          <cell r="G255" t="str">
            <v>CHORGAUN</v>
          </cell>
          <cell r="H255" t="str">
            <v>ASHOK KUMAR</v>
          </cell>
          <cell r="I255">
            <v>7250141023</v>
          </cell>
          <cell r="J255" t="str">
            <v>100301</v>
          </cell>
          <cell r="K255" t="str">
            <v>Yes</v>
          </cell>
          <cell r="L255">
            <v>45015</v>
          </cell>
          <cell r="N255" t="str">
            <v>Asarganj</v>
          </cell>
        </row>
        <row r="256">
          <cell r="B256">
            <v>10030028</v>
          </cell>
          <cell r="C256" t="str">
            <v>0028</v>
          </cell>
          <cell r="D256" t="str">
            <v>5128</v>
          </cell>
          <cell r="E256" t="str">
            <v>MPG</v>
          </cell>
          <cell r="F256" t="str">
            <v>Direct</v>
          </cell>
          <cell r="G256" t="str">
            <v>PADARATHPUR</v>
          </cell>
          <cell r="H256" t="str">
            <v>AJAY KUMAR</v>
          </cell>
          <cell r="I256">
            <v>9341996709</v>
          </cell>
          <cell r="J256" t="str">
            <v>100301</v>
          </cell>
          <cell r="K256" t="str">
            <v>Yes</v>
          </cell>
          <cell r="L256">
            <v>45015</v>
          </cell>
          <cell r="N256" t="str">
            <v>Asarganj</v>
          </cell>
        </row>
        <row r="257">
          <cell r="B257">
            <v>10030029</v>
          </cell>
          <cell r="C257" t="str">
            <v>0029</v>
          </cell>
          <cell r="D257" t="str">
            <v>5130</v>
          </cell>
          <cell r="E257" t="str">
            <v>MPG</v>
          </cell>
          <cell r="F257" t="str">
            <v>Direct</v>
          </cell>
          <cell r="G257" t="str">
            <v>AMAIYA</v>
          </cell>
          <cell r="H257" t="str">
            <v>PANKAJ KUMAR</v>
          </cell>
          <cell r="I257">
            <v>8809829436</v>
          </cell>
          <cell r="J257" t="str">
            <v>100301</v>
          </cell>
          <cell r="K257" t="str">
            <v>Yes</v>
          </cell>
          <cell r="L257">
            <v>45015</v>
          </cell>
          <cell r="N257" t="str">
            <v>Asarganj</v>
          </cell>
        </row>
        <row r="258">
          <cell r="B258">
            <v>10030030</v>
          </cell>
          <cell r="C258" t="str">
            <v>0030</v>
          </cell>
          <cell r="D258" t="str">
            <v>5132</v>
          </cell>
          <cell r="E258" t="str">
            <v>MPG</v>
          </cell>
          <cell r="F258" t="str">
            <v>Direct</v>
          </cell>
          <cell r="G258" t="str">
            <v>MACHIDIH</v>
          </cell>
          <cell r="H258" t="str">
            <v>BABLU YADAV</v>
          </cell>
          <cell r="I258">
            <v>7662979872</v>
          </cell>
          <cell r="J258" t="str">
            <v>100301</v>
          </cell>
          <cell r="K258" t="str">
            <v>Yes</v>
          </cell>
          <cell r="L258">
            <v>45015</v>
          </cell>
          <cell r="N258" t="str">
            <v>Asarganj</v>
          </cell>
        </row>
        <row r="259">
          <cell r="B259">
            <v>10030031</v>
          </cell>
          <cell r="C259" t="str">
            <v>0031</v>
          </cell>
          <cell r="D259" t="str">
            <v>5133</v>
          </cell>
          <cell r="E259" t="str">
            <v>MPG</v>
          </cell>
          <cell r="F259" t="str">
            <v>Direct</v>
          </cell>
          <cell r="G259" t="str">
            <v>BADARKHA</v>
          </cell>
          <cell r="H259" t="str">
            <v>AJEET KUMAR CHAUDHARY</v>
          </cell>
          <cell r="I259">
            <v>9955511137</v>
          </cell>
          <cell r="J259" t="str">
            <v>100301</v>
          </cell>
          <cell r="K259" t="str">
            <v>Yes</v>
          </cell>
          <cell r="L259">
            <v>45016</v>
          </cell>
          <cell r="N259" t="str">
            <v>Asarganj</v>
          </cell>
        </row>
        <row r="260">
          <cell r="B260">
            <v>10030032</v>
          </cell>
          <cell r="C260" t="str">
            <v>0032</v>
          </cell>
          <cell r="D260" t="str">
            <v>5131</v>
          </cell>
          <cell r="E260" t="str">
            <v>MPG</v>
          </cell>
          <cell r="F260" t="str">
            <v>Direct</v>
          </cell>
          <cell r="G260" t="str">
            <v xml:space="preserve">MAHDMADPUR                                                                                          </v>
          </cell>
          <cell r="H260" t="str">
            <v>RAJEEV KUMAR</v>
          </cell>
          <cell r="I260">
            <v>8102484666</v>
          </cell>
          <cell r="J260" t="str">
            <v>100304</v>
          </cell>
          <cell r="K260" t="str">
            <v>Yes</v>
          </cell>
          <cell r="L260">
            <v>45017</v>
          </cell>
          <cell r="N260" t="str">
            <v>Asarganj</v>
          </cell>
        </row>
        <row r="261">
          <cell r="B261">
            <v>10030033</v>
          </cell>
          <cell r="C261" t="str">
            <v>0033</v>
          </cell>
          <cell r="D261" t="str">
            <v>5129</v>
          </cell>
          <cell r="E261" t="str">
            <v>MPG</v>
          </cell>
          <cell r="F261" t="str">
            <v>Direct</v>
          </cell>
          <cell r="G261" t="str">
            <v xml:space="preserve">Gomukh KIRANPUR                                                                                     </v>
          </cell>
          <cell r="H261" t="str">
            <v>RITESH RANJAN</v>
          </cell>
          <cell r="I261">
            <v>9631623378</v>
          </cell>
          <cell r="J261" t="str">
            <v>100303</v>
          </cell>
          <cell r="K261" t="str">
            <v>Yes</v>
          </cell>
          <cell r="L261">
            <v>45022</v>
          </cell>
          <cell r="N261" t="str">
            <v>Asarganj</v>
          </cell>
        </row>
        <row r="262">
          <cell r="B262">
            <v>10030034</v>
          </cell>
          <cell r="C262" t="str">
            <v>0034</v>
          </cell>
          <cell r="D262" t="str">
            <v>5136</v>
          </cell>
          <cell r="E262" t="str">
            <v>MPG</v>
          </cell>
          <cell r="F262" t="str">
            <v>Direct</v>
          </cell>
          <cell r="G262" t="str">
            <v xml:space="preserve">MUSKIPUR                                                                                            </v>
          </cell>
          <cell r="H262" t="str">
            <v>BABLU YADAV</v>
          </cell>
          <cell r="I262">
            <v>7050069650</v>
          </cell>
          <cell r="J262" t="str">
            <v>100301</v>
          </cell>
          <cell r="K262" t="str">
            <v>Yes</v>
          </cell>
          <cell r="L262">
            <v>45082</v>
          </cell>
          <cell r="N262" t="str">
            <v>Asarganj</v>
          </cell>
        </row>
        <row r="263">
          <cell r="B263">
            <v>10030035</v>
          </cell>
          <cell r="C263" t="str">
            <v>0035</v>
          </cell>
          <cell r="D263" t="str">
            <v>5137</v>
          </cell>
          <cell r="E263" t="str">
            <v>MPG</v>
          </cell>
          <cell r="F263" t="str">
            <v>Direct</v>
          </cell>
          <cell r="G263" t="str">
            <v xml:space="preserve">NAYAGAUN                                                                                            </v>
          </cell>
          <cell r="H263" t="str">
            <v>SIMRAN DEVI</v>
          </cell>
          <cell r="I263">
            <v>7766095799</v>
          </cell>
          <cell r="J263" t="str">
            <v>100301</v>
          </cell>
          <cell r="K263" t="str">
            <v>Yes</v>
          </cell>
          <cell r="L263">
            <v>45084</v>
          </cell>
          <cell r="N263" t="str">
            <v>Asarganj</v>
          </cell>
        </row>
        <row r="264">
          <cell r="B264">
            <v>10030036</v>
          </cell>
          <cell r="C264" t="str">
            <v>0036</v>
          </cell>
          <cell r="D264" t="str">
            <v>5134</v>
          </cell>
          <cell r="E264" t="str">
            <v>MPG</v>
          </cell>
          <cell r="F264" t="str">
            <v>Direct</v>
          </cell>
          <cell r="G264" t="str">
            <v xml:space="preserve">UDHADIH                                                                                             </v>
          </cell>
          <cell r="H264" t="str">
            <v>NITYANAND KUMAR</v>
          </cell>
          <cell r="I264">
            <v>6206471367</v>
          </cell>
          <cell r="J264" t="str">
            <v>100301</v>
          </cell>
          <cell r="K264" t="str">
            <v>Yes</v>
          </cell>
          <cell r="L264">
            <v>45088</v>
          </cell>
          <cell r="N264" t="str">
            <v>Asarganj</v>
          </cell>
        </row>
        <row r="265">
          <cell r="B265">
            <v>10030037</v>
          </cell>
          <cell r="C265" t="str">
            <v>0037</v>
          </cell>
          <cell r="D265" t="str">
            <v>5135</v>
          </cell>
          <cell r="E265" t="str">
            <v>MPG</v>
          </cell>
          <cell r="F265" t="str">
            <v>Direct</v>
          </cell>
          <cell r="G265" t="str">
            <v xml:space="preserve">LAUNA                                                                                               </v>
          </cell>
          <cell r="H265" t="str">
            <v>NIRAJ KUMAR NIRALA</v>
          </cell>
          <cell r="I265">
            <v>993107405</v>
          </cell>
          <cell r="J265" t="str">
            <v>100304</v>
          </cell>
          <cell r="K265" t="str">
            <v>Yes</v>
          </cell>
          <cell r="L265">
            <v>45091</v>
          </cell>
          <cell r="N265" t="str">
            <v>Asarganj</v>
          </cell>
        </row>
        <row r="266">
          <cell r="B266">
            <v>10030038</v>
          </cell>
          <cell r="C266" t="str">
            <v>0038</v>
          </cell>
          <cell r="D266" t="str">
            <v>5138</v>
          </cell>
          <cell r="E266" t="str">
            <v>MPG</v>
          </cell>
          <cell r="F266" t="str">
            <v>Direct</v>
          </cell>
          <cell r="G266" t="str">
            <v>DULHAR</v>
          </cell>
          <cell r="H266" t="str">
            <v>KRISHNANDAN RAY</v>
          </cell>
          <cell r="I266">
            <v>6200792161</v>
          </cell>
          <cell r="J266" t="str">
            <v>100301</v>
          </cell>
          <cell r="K266" t="str">
            <v>Yes</v>
          </cell>
          <cell r="L266">
            <v>45121</v>
          </cell>
          <cell r="N266" t="str">
            <v>Asarganj</v>
          </cell>
        </row>
        <row r="267">
          <cell r="B267">
            <v>10030039</v>
          </cell>
          <cell r="C267" t="str">
            <v>0039</v>
          </cell>
          <cell r="D267" t="str">
            <v>5139</v>
          </cell>
          <cell r="E267" t="str">
            <v>MPG</v>
          </cell>
          <cell r="F267" t="str">
            <v>Direct</v>
          </cell>
          <cell r="G267" t="str">
            <v>PARVARA</v>
          </cell>
          <cell r="H267" t="str">
            <v>PUNAM DEVI</v>
          </cell>
          <cell r="I267">
            <v>8292805300</v>
          </cell>
          <cell r="J267" t="str">
            <v>100304</v>
          </cell>
          <cell r="K267" t="str">
            <v>Yes</v>
          </cell>
          <cell r="L267">
            <v>45121</v>
          </cell>
          <cell r="N267" t="str">
            <v>Asarganj</v>
          </cell>
        </row>
        <row r="268">
          <cell r="B268">
            <v>10030040</v>
          </cell>
          <cell r="C268" t="str">
            <v>0040</v>
          </cell>
          <cell r="D268" t="str">
            <v>5142</v>
          </cell>
          <cell r="E268" t="str">
            <v>MPG</v>
          </cell>
          <cell r="F268" t="str">
            <v>Indirect</v>
          </cell>
          <cell r="G268" t="str">
            <v>Ghorpithiya - Vikas</v>
          </cell>
          <cell r="H268" t="str">
            <v>Vikas Kumar</v>
          </cell>
          <cell r="I268">
            <v>8102121748</v>
          </cell>
          <cell r="J268" t="str">
            <v>100305</v>
          </cell>
          <cell r="K268" t="str">
            <v/>
          </cell>
          <cell r="L268">
            <v>45212</v>
          </cell>
          <cell r="N268" t="str">
            <v>Asarganj</v>
          </cell>
        </row>
        <row r="269">
          <cell r="B269">
            <v>10030041</v>
          </cell>
          <cell r="C269" t="str">
            <v>0041</v>
          </cell>
          <cell r="D269" t="str">
            <v>5143</v>
          </cell>
          <cell r="E269" t="str">
            <v>MPG</v>
          </cell>
          <cell r="F269" t="str">
            <v>Indirect</v>
          </cell>
          <cell r="G269" t="str">
            <v>Akbarnagar - Rakhi</v>
          </cell>
          <cell r="H269" t="str">
            <v>Rakhi Kumari</v>
          </cell>
          <cell r="I269">
            <v>9234640776</v>
          </cell>
          <cell r="J269" t="str">
            <v>100305</v>
          </cell>
          <cell r="K269" t="str">
            <v/>
          </cell>
          <cell r="L269">
            <v>45212</v>
          </cell>
          <cell r="N269" t="str">
            <v>Asarganj</v>
          </cell>
        </row>
        <row r="270">
          <cell r="B270">
            <v>10030042</v>
          </cell>
          <cell r="C270" t="str">
            <v>0042</v>
          </cell>
          <cell r="D270" t="str">
            <v>5144</v>
          </cell>
          <cell r="E270" t="str">
            <v>MPG</v>
          </cell>
          <cell r="F270" t="str">
            <v>Indirect</v>
          </cell>
          <cell r="G270" t="str">
            <v>Maheshi - Chamcham</v>
          </cell>
          <cell r="H270" t="str">
            <v>Chamcham Kumari</v>
          </cell>
          <cell r="I270">
            <v>7903086209</v>
          </cell>
          <cell r="J270" t="str">
            <v>100305</v>
          </cell>
          <cell r="K270" t="str">
            <v/>
          </cell>
          <cell r="L270">
            <v>45212</v>
          </cell>
          <cell r="N270" t="str">
            <v>Asarganj</v>
          </cell>
        </row>
        <row r="271">
          <cell r="B271">
            <v>10030043</v>
          </cell>
          <cell r="C271" t="str">
            <v>0043</v>
          </cell>
          <cell r="D271" t="str">
            <v>5145</v>
          </cell>
          <cell r="E271" t="str">
            <v>MPG</v>
          </cell>
          <cell r="F271" t="str">
            <v>Indirect</v>
          </cell>
          <cell r="G271" t="str">
            <v>Ghorpithiya - Dheeraj</v>
          </cell>
          <cell r="H271" t="str">
            <v>Dheeraj Kumar</v>
          </cell>
          <cell r="I271">
            <v>7776810530</v>
          </cell>
          <cell r="J271" t="str">
            <v>100305</v>
          </cell>
          <cell r="K271" t="str">
            <v/>
          </cell>
          <cell r="L271">
            <v>45212</v>
          </cell>
          <cell r="N271" t="str">
            <v>Asarganj</v>
          </cell>
        </row>
        <row r="272">
          <cell r="B272">
            <v>10030044</v>
          </cell>
          <cell r="C272" t="str">
            <v>0044</v>
          </cell>
          <cell r="D272" t="str">
            <v>5146</v>
          </cell>
          <cell r="E272" t="str">
            <v>MPG</v>
          </cell>
          <cell r="F272" t="str">
            <v>Indirect</v>
          </cell>
          <cell r="G272" t="str">
            <v>Asarganj Chhotki Tola - Akash</v>
          </cell>
          <cell r="H272" t="str">
            <v>Akash Kumar</v>
          </cell>
          <cell r="I272">
            <v>7061995502</v>
          </cell>
          <cell r="J272" t="str">
            <v>100305</v>
          </cell>
          <cell r="K272" t="str">
            <v/>
          </cell>
          <cell r="L272">
            <v>45212</v>
          </cell>
          <cell r="N272" t="str">
            <v>Asarganj</v>
          </cell>
        </row>
        <row r="273">
          <cell r="B273">
            <v>10030045</v>
          </cell>
          <cell r="C273" t="str">
            <v>0045</v>
          </cell>
          <cell r="D273" t="str">
            <v>5147</v>
          </cell>
          <cell r="E273" t="str">
            <v>MPG</v>
          </cell>
          <cell r="F273" t="str">
            <v>Indirect</v>
          </cell>
          <cell r="G273" t="str">
            <v>Manikpur - Golu</v>
          </cell>
          <cell r="H273" t="str">
            <v>Golu Kumar</v>
          </cell>
          <cell r="I273">
            <v>6207782507</v>
          </cell>
          <cell r="J273" t="str">
            <v>100305</v>
          </cell>
          <cell r="K273" t="str">
            <v/>
          </cell>
          <cell r="L273">
            <v>45212</v>
          </cell>
          <cell r="N273" t="str">
            <v>Asarganj</v>
          </cell>
        </row>
        <row r="274">
          <cell r="B274">
            <v>10030046</v>
          </cell>
          <cell r="C274" t="str">
            <v>0046</v>
          </cell>
          <cell r="D274" t="str">
            <v>5148</v>
          </cell>
          <cell r="E274" t="str">
            <v>MPG</v>
          </cell>
          <cell r="F274" t="str">
            <v>Indirect</v>
          </cell>
          <cell r="G274" t="str">
            <v>Rangaon - Jayram</v>
          </cell>
          <cell r="H274" t="str">
            <v>Jayram Singh</v>
          </cell>
          <cell r="I274">
            <v>7631431853</v>
          </cell>
          <cell r="J274" t="str">
            <v>100305</v>
          </cell>
          <cell r="K274" t="str">
            <v/>
          </cell>
          <cell r="L274">
            <v>45212</v>
          </cell>
          <cell r="N274" t="str">
            <v>Asarganj</v>
          </cell>
        </row>
        <row r="275">
          <cell r="B275">
            <v>10030047</v>
          </cell>
          <cell r="C275" t="str">
            <v>0047</v>
          </cell>
          <cell r="D275" t="str">
            <v>5149</v>
          </cell>
          <cell r="E275" t="str">
            <v>MPG</v>
          </cell>
          <cell r="F275" t="str">
            <v>Indirect</v>
          </cell>
          <cell r="G275" t="str">
            <v>Karso - Aparajita</v>
          </cell>
          <cell r="H275" t="str">
            <v>Aparajita</v>
          </cell>
          <cell r="I275">
            <v>8709039632</v>
          </cell>
          <cell r="J275" t="str">
            <v>100305</v>
          </cell>
          <cell r="K275" t="str">
            <v/>
          </cell>
          <cell r="L275">
            <v>45212</v>
          </cell>
          <cell r="N275" t="str">
            <v>Asarganj</v>
          </cell>
        </row>
        <row r="276">
          <cell r="B276">
            <v>10030048</v>
          </cell>
          <cell r="C276" t="str">
            <v>0048</v>
          </cell>
          <cell r="D276" t="str">
            <v>5150</v>
          </cell>
          <cell r="E276" t="str">
            <v>MPG</v>
          </cell>
          <cell r="F276" t="str">
            <v>Indirect</v>
          </cell>
          <cell r="G276" t="str">
            <v>Unchagaon - Niraj</v>
          </cell>
          <cell r="H276" t="str">
            <v>Niraj Kumar</v>
          </cell>
          <cell r="I276">
            <v>9304740972</v>
          </cell>
          <cell r="J276" t="str">
            <v>100305</v>
          </cell>
          <cell r="K276" t="str">
            <v/>
          </cell>
          <cell r="L276">
            <v>45212</v>
          </cell>
          <cell r="N276" t="str">
            <v>Asarganj</v>
          </cell>
        </row>
        <row r="277">
          <cell r="B277">
            <v>10030049</v>
          </cell>
          <cell r="C277" t="str">
            <v>0049</v>
          </cell>
          <cell r="D277" t="str">
            <v>5151</v>
          </cell>
          <cell r="E277" t="str">
            <v>MPG</v>
          </cell>
          <cell r="F277" t="str">
            <v>Direct</v>
          </cell>
          <cell r="G277" t="str">
            <v>SRIRAMPUR</v>
          </cell>
          <cell r="H277" t="str">
            <v>VIKRAM KUMAR</v>
          </cell>
          <cell r="I277">
            <v>7667277225</v>
          </cell>
          <cell r="J277" t="str">
            <v>100302</v>
          </cell>
          <cell r="K277" t="str">
            <v>Yes</v>
          </cell>
          <cell r="L277">
            <v>45236</v>
          </cell>
          <cell r="N277" t="str">
            <v>Asarganj</v>
          </cell>
        </row>
        <row r="278">
          <cell r="B278">
            <v>10030050</v>
          </cell>
          <cell r="C278" t="str">
            <v>0050</v>
          </cell>
          <cell r="D278" t="str">
            <v>5152</v>
          </cell>
          <cell r="E278" t="str">
            <v>MPG</v>
          </cell>
          <cell r="F278" t="str">
            <v>Direct</v>
          </cell>
          <cell r="G278" t="str">
            <v>PAIN</v>
          </cell>
          <cell r="H278" t="str">
            <v>AMAR RAJ</v>
          </cell>
          <cell r="I278">
            <v>9798155729</v>
          </cell>
          <cell r="J278" t="str">
            <v>100302</v>
          </cell>
          <cell r="K278" t="str">
            <v>Yes</v>
          </cell>
          <cell r="L278">
            <v>45236</v>
          </cell>
          <cell r="N278" t="str">
            <v>Asarganj</v>
          </cell>
        </row>
        <row r="279">
          <cell r="B279">
            <v>10030051</v>
          </cell>
          <cell r="C279" t="str">
            <v>0051</v>
          </cell>
          <cell r="D279" t="str">
            <v>5153</v>
          </cell>
          <cell r="E279" t="str">
            <v>MPG</v>
          </cell>
          <cell r="F279" t="str">
            <v>Direct</v>
          </cell>
          <cell r="G279" t="str">
            <v>MOTICHAK</v>
          </cell>
          <cell r="H279" t="str">
            <v>JITENDRA KUMAR</v>
          </cell>
          <cell r="I279">
            <v>7301951783</v>
          </cell>
          <cell r="J279" t="str">
            <v>100302</v>
          </cell>
          <cell r="K279" t="str">
            <v>Yes</v>
          </cell>
          <cell r="L279">
            <v>45236</v>
          </cell>
          <cell r="N279" t="str">
            <v>Asarganj</v>
          </cell>
        </row>
        <row r="280">
          <cell r="B280">
            <v>10030052</v>
          </cell>
          <cell r="C280" t="str">
            <v>0052</v>
          </cell>
          <cell r="D280" t="str">
            <v>5154</v>
          </cell>
          <cell r="E280" t="str">
            <v>MPG</v>
          </cell>
          <cell r="F280" t="str">
            <v>Direct</v>
          </cell>
          <cell r="G280" t="str">
            <v>NASOPUR</v>
          </cell>
          <cell r="H280" t="str">
            <v>SUKAAL RAY</v>
          </cell>
          <cell r="I280">
            <v>9122513597</v>
          </cell>
          <cell r="J280" t="str">
            <v>100302</v>
          </cell>
          <cell r="K280" t="str">
            <v>Yes</v>
          </cell>
          <cell r="L280">
            <v>45236</v>
          </cell>
          <cell r="N280" t="str">
            <v>Asarganj</v>
          </cell>
        </row>
        <row r="281">
          <cell r="B281">
            <v>10030053</v>
          </cell>
          <cell r="C281" t="str">
            <v>0053</v>
          </cell>
          <cell r="D281" t="str">
            <v>5155</v>
          </cell>
          <cell r="E281" t="str">
            <v>MPG</v>
          </cell>
          <cell r="F281" t="str">
            <v>Direct</v>
          </cell>
          <cell r="G281" t="str">
            <v>MIRATTHI</v>
          </cell>
          <cell r="H281" t="str">
            <v>SASHI KUMAR</v>
          </cell>
          <cell r="I281">
            <v>9204358523</v>
          </cell>
          <cell r="J281" t="str">
            <v>100302</v>
          </cell>
          <cell r="K281" t="str">
            <v>Yes</v>
          </cell>
          <cell r="L281">
            <v>45236</v>
          </cell>
          <cell r="N281" t="str">
            <v>Asarganj</v>
          </cell>
        </row>
        <row r="282">
          <cell r="B282">
            <v>10030054</v>
          </cell>
          <cell r="C282" t="str">
            <v>0054</v>
          </cell>
          <cell r="D282" t="str">
            <v>5156</v>
          </cell>
          <cell r="E282" t="str">
            <v>MPG</v>
          </cell>
          <cell r="F282" t="str">
            <v>Direct</v>
          </cell>
          <cell r="G282" t="str">
            <v>GANGAPUR</v>
          </cell>
          <cell r="H282" t="str">
            <v>SAMBHU SARAN</v>
          </cell>
          <cell r="I282">
            <v>7250833435</v>
          </cell>
          <cell r="J282" t="str">
            <v>100302</v>
          </cell>
          <cell r="K282" t="str">
            <v>Yes</v>
          </cell>
          <cell r="L282">
            <v>45236</v>
          </cell>
          <cell r="N282" t="str">
            <v>Asarganj</v>
          </cell>
        </row>
        <row r="283">
          <cell r="B283">
            <v>10030055</v>
          </cell>
          <cell r="C283" t="str">
            <v>0055</v>
          </cell>
          <cell r="D283" t="str">
            <v>5157</v>
          </cell>
          <cell r="E283" t="str">
            <v>MPG</v>
          </cell>
          <cell r="F283" t="str">
            <v>Direct</v>
          </cell>
          <cell r="G283" t="str">
            <v>DAULATPUR</v>
          </cell>
          <cell r="H283" t="str">
            <v>RAUNAK RAJ</v>
          </cell>
          <cell r="I283">
            <v>9162830707</v>
          </cell>
          <cell r="J283" t="str">
            <v>100302</v>
          </cell>
          <cell r="K283" t="str">
            <v>Yes</v>
          </cell>
          <cell r="L283">
            <v>45236</v>
          </cell>
          <cell r="N283" t="str">
            <v>Asarganj</v>
          </cell>
        </row>
        <row r="284">
          <cell r="B284">
            <v>10030056</v>
          </cell>
          <cell r="C284" t="str">
            <v>0056</v>
          </cell>
          <cell r="D284" t="str">
            <v>5158</v>
          </cell>
          <cell r="E284" t="str">
            <v>MPG</v>
          </cell>
          <cell r="F284" t="str">
            <v>Direct</v>
          </cell>
          <cell r="G284" t="str">
            <v>MOHADDIPUR</v>
          </cell>
          <cell r="H284" t="str">
            <v>ANAND RAJ</v>
          </cell>
          <cell r="I284">
            <v>7250611969</v>
          </cell>
          <cell r="J284" t="str">
            <v>100303</v>
          </cell>
          <cell r="K284" t="str">
            <v>Yes</v>
          </cell>
          <cell r="L284">
            <v>45219</v>
          </cell>
          <cell r="N284" t="str">
            <v>Asarganj</v>
          </cell>
        </row>
        <row r="285">
          <cell r="B285">
            <v>10030057</v>
          </cell>
          <cell r="C285" t="str">
            <v>0057</v>
          </cell>
          <cell r="D285" t="str">
            <v>5159</v>
          </cell>
          <cell r="E285" t="str">
            <v>MPG</v>
          </cell>
          <cell r="F285" t="str">
            <v>Direct</v>
          </cell>
          <cell r="G285" t="str">
            <v>BHITTHI</v>
          </cell>
          <cell r="H285" t="str">
            <v>RAVI KUMAR</v>
          </cell>
          <cell r="I285">
            <v>8709295493</v>
          </cell>
          <cell r="J285" t="str">
            <v>100303</v>
          </cell>
          <cell r="K285" t="str">
            <v>Yes</v>
          </cell>
          <cell r="L285">
            <v>45323</v>
          </cell>
          <cell r="N285" t="str">
            <v>Asarganj</v>
          </cell>
        </row>
        <row r="286">
          <cell r="B286">
            <v>10030058</v>
          </cell>
          <cell r="C286" t="str">
            <v>0058</v>
          </cell>
          <cell r="D286" t="str">
            <v>5160</v>
          </cell>
          <cell r="E286" t="str">
            <v>MPG</v>
          </cell>
          <cell r="F286" t="str">
            <v>Direct</v>
          </cell>
          <cell r="G286" t="str">
            <v>DOMO-DHI</v>
          </cell>
          <cell r="H286" t="str">
            <v>POONAM DEVI</v>
          </cell>
          <cell r="I286">
            <v>9128754517</v>
          </cell>
          <cell r="J286" t="str">
            <v>100303</v>
          </cell>
          <cell r="K286" t="str">
            <v>Yes</v>
          </cell>
          <cell r="L286">
            <v>45323</v>
          </cell>
          <cell r="N286" t="str">
            <v>Asarganj</v>
          </cell>
        </row>
        <row r="287">
          <cell r="B287">
            <v>10030059</v>
          </cell>
          <cell r="C287" t="str">
            <v>0059</v>
          </cell>
          <cell r="D287" t="str">
            <v>5161</v>
          </cell>
          <cell r="E287" t="str">
            <v>MPG</v>
          </cell>
          <cell r="F287" t="str">
            <v>Direct</v>
          </cell>
          <cell r="G287" t="str">
            <v>JHAJHA</v>
          </cell>
          <cell r="H287" t="str">
            <v>BISHEKSA KUMARI</v>
          </cell>
          <cell r="I287">
            <v>9934836887</v>
          </cell>
          <cell r="J287" t="str">
            <v>100303</v>
          </cell>
          <cell r="K287" t="str">
            <v>Yes</v>
          </cell>
          <cell r="L287">
            <v>45323</v>
          </cell>
          <cell r="N287" t="str">
            <v>Asarganj</v>
          </cell>
        </row>
        <row r="288">
          <cell r="B288">
            <v>10030060</v>
          </cell>
          <cell r="C288" t="str">
            <v>0060</v>
          </cell>
          <cell r="D288" t="str">
            <v>5162</v>
          </cell>
          <cell r="E288" t="str">
            <v>MPG</v>
          </cell>
          <cell r="F288" t="str">
            <v>Direct</v>
          </cell>
          <cell r="G288" t="str">
            <v>KAMARDUH</v>
          </cell>
          <cell r="H288" t="str">
            <v>ASHISH RANJAN</v>
          </cell>
          <cell r="I288">
            <v>9709876245</v>
          </cell>
          <cell r="J288" t="str">
            <v>100303</v>
          </cell>
          <cell r="K288" t="str">
            <v>Yes</v>
          </cell>
          <cell r="L288">
            <v>45323</v>
          </cell>
          <cell r="N288" t="str">
            <v>Asarganj</v>
          </cell>
        </row>
        <row r="289">
          <cell r="B289">
            <v>10030061</v>
          </cell>
          <cell r="C289" t="str">
            <v>0061</v>
          </cell>
          <cell r="D289" t="str">
            <v>5163</v>
          </cell>
          <cell r="E289" t="str">
            <v>MPG</v>
          </cell>
          <cell r="F289" t="str">
            <v>Direct</v>
          </cell>
          <cell r="G289" t="str">
            <v>BARSABAD</v>
          </cell>
          <cell r="H289" t="str">
            <v>NILAM DEVI</v>
          </cell>
          <cell r="I289">
            <v>9973821336</v>
          </cell>
          <cell r="J289" t="str">
            <v>100303</v>
          </cell>
          <cell r="K289" t="str">
            <v>Yes</v>
          </cell>
          <cell r="L289">
            <v>45323</v>
          </cell>
          <cell r="N289" t="str">
            <v>Asarganj</v>
          </cell>
        </row>
        <row r="290">
          <cell r="B290">
            <v>10030062</v>
          </cell>
          <cell r="C290" t="str">
            <v>0062</v>
          </cell>
          <cell r="D290"/>
          <cell r="E290" t="str">
            <v>MPG</v>
          </cell>
          <cell r="F290" t="str">
            <v>Direct</v>
          </cell>
          <cell r="G290" t="str">
            <v>RANGAUN</v>
          </cell>
          <cell r="H290" t="str">
            <v>KUMAR AVINASH</v>
          </cell>
          <cell r="I290" t="str">
            <v>6200446459</v>
          </cell>
          <cell r="J290" t="str">
            <v>100304</v>
          </cell>
          <cell r="K290"/>
          <cell r="L290">
            <v>45477</v>
          </cell>
          <cell r="N290" t="str">
            <v>Asarganj</v>
          </cell>
        </row>
        <row r="291">
          <cell r="B291">
            <v>10030063</v>
          </cell>
          <cell r="C291" t="str">
            <v>0063</v>
          </cell>
          <cell r="D291"/>
          <cell r="E291" t="str">
            <v>MPG</v>
          </cell>
          <cell r="F291" t="str">
            <v>Direct</v>
          </cell>
          <cell r="G291" t="str">
            <v>GONAI</v>
          </cell>
          <cell r="H291" t="str">
            <v>SANJAY KUMAR</v>
          </cell>
          <cell r="I291" t="str">
            <v>7091691919</v>
          </cell>
          <cell r="J291" t="str">
            <v>100301</v>
          </cell>
          <cell r="K291"/>
          <cell r="L291">
            <v>45477</v>
          </cell>
          <cell r="N291" t="str">
            <v>Asarganj</v>
          </cell>
        </row>
        <row r="292">
          <cell r="B292">
            <v>10030064</v>
          </cell>
          <cell r="C292" t="str">
            <v>0064</v>
          </cell>
          <cell r="D292"/>
          <cell r="E292" t="str">
            <v>MPG</v>
          </cell>
          <cell r="F292" t="str">
            <v>Direct</v>
          </cell>
          <cell r="G292" t="str">
            <v>SHIKARITOLA</v>
          </cell>
          <cell r="H292" t="str">
            <v>PRAMOD KUMAR</v>
          </cell>
          <cell r="I292" t="str">
            <v>6201732147</v>
          </cell>
          <cell r="J292" t="str">
            <v>100302</v>
          </cell>
          <cell r="K292"/>
          <cell r="L292">
            <v>45477</v>
          </cell>
          <cell r="N292" t="str">
            <v>Asarganj</v>
          </cell>
        </row>
        <row r="293">
          <cell r="B293">
            <v>10030065</v>
          </cell>
          <cell r="C293" t="str">
            <v>0065</v>
          </cell>
          <cell r="D293"/>
          <cell r="E293" t="str">
            <v>MPG</v>
          </cell>
          <cell r="F293" t="str">
            <v>Direct</v>
          </cell>
          <cell r="G293" t="str">
            <v>BAIKUNTHPUR</v>
          </cell>
          <cell r="H293" t="str">
            <v>SANJEEV KUMAR</v>
          </cell>
          <cell r="I293" t="str">
            <v>7549362660</v>
          </cell>
          <cell r="J293" t="str">
            <v>100301</v>
          </cell>
          <cell r="K293"/>
          <cell r="L293">
            <v>45622</v>
          </cell>
          <cell r="N293" t="str">
            <v>Asarganj</v>
          </cell>
        </row>
        <row r="294">
          <cell r="B294">
            <v>10030066</v>
          </cell>
          <cell r="C294" t="str">
            <v>0066</v>
          </cell>
          <cell r="D294"/>
          <cell r="E294" t="str">
            <v>MPG</v>
          </cell>
          <cell r="F294" t="str">
            <v>Direct</v>
          </cell>
          <cell r="G294" t="str">
            <v>KAITHA</v>
          </cell>
          <cell r="H294" t="str">
            <v>GAUTAM KUMAR</v>
          </cell>
          <cell r="I294">
            <v>7091136803</v>
          </cell>
          <cell r="J294" t="str">
            <v>100301</v>
          </cell>
          <cell r="K294"/>
          <cell r="L294">
            <v>45622</v>
          </cell>
          <cell r="N294" t="str">
            <v>Asarganj</v>
          </cell>
        </row>
        <row r="295">
          <cell r="B295">
            <v>10030067</v>
          </cell>
          <cell r="C295" t="str">
            <v>0067</v>
          </cell>
          <cell r="D295"/>
          <cell r="E295" t="str">
            <v>MPG</v>
          </cell>
          <cell r="F295" t="str">
            <v>Direct</v>
          </cell>
          <cell r="G295" t="str">
            <v>MIRATHI 2</v>
          </cell>
          <cell r="H295" t="str">
            <v>RAMPUJAN KUMAR</v>
          </cell>
          <cell r="I295">
            <v>7645080263</v>
          </cell>
          <cell r="J295" t="str">
            <v>100301</v>
          </cell>
          <cell r="K295"/>
          <cell r="L295">
            <v>45622</v>
          </cell>
          <cell r="N295" t="str">
            <v>Asarganj</v>
          </cell>
        </row>
        <row r="296">
          <cell r="B296">
            <v>10030068</v>
          </cell>
          <cell r="C296" t="str">
            <v>0068</v>
          </cell>
          <cell r="D296"/>
          <cell r="E296" t="str">
            <v>MPG</v>
          </cell>
          <cell r="F296" t="str">
            <v>Direct</v>
          </cell>
          <cell r="G296" t="str">
            <v>DORAI</v>
          </cell>
          <cell r="H296" t="str">
            <v>Sangita Kumari</v>
          </cell>
          <cell r="I296" t="str">
            <v>7631283573</v>
          </cell>
          <cell r="J296" t="str">
            <v>100304</v>
          </cell>
          <cell r="K296"/>
          <cell r="L296">
            <v>45622</v>
          </cell>
          <cell r="N296" t="str">
            <v>Asarganj</v>
          </cell>
        </row>
        <row r="297">
          <cell r="B297">
            <v>10030069</v>
          </cell>
          <cell r="C297" t="str">
            <v>0069</v>
          </cell>
          <cell r="D297"/>
          <cell r="E297" t="str">
            <v>MPG</v>
          </cell>
          <cell r="F297" t="str">
            <v>Indirect</v>
          </cell>
          <cell r="G297" t="str">
            <v>RAGHUNATHPUR</v>
          </cell>
          <cell r="H297" t="str">
            <v>DHANANJAY KUMAR YADAV</v>
          </cell>
          <cell r="I297" t="str">
            <v>9650006571</v>
          </cell>
          <cell r="J297" t="str">
            <v>100301</v>
          </cell>
          <cell r="K297"/>
          <cell r="L297">
            <v>45654</v>
          </cell>
          <cell r="N297" t="str">
            <v>Asarganj</v>
          </cell>
        </row>
        <row r="298">
          <cell r="B298">
            <v>10030070</v>
          </cell>
          <cell r="C298" t="str">
            <v>0070</v>
          </cell>
          <cell r="D298"/>
          <cell r="E298" t="str">
            <v>MPG</v>
          </cell>
          <cell r="F298" t="str">
            <v>Direct</v>
          </cell>
          <cell r="G298" t="str">
            <v>BANGAMA</v>
          </cell>
          <cell r="H298" t="str">
            <v>MANJU DEVI</v>
          </cell>
          <cell r="I298" t="str">
            <v>9341977117</v>
          </cell>
          <cell r="J298" t="str">
            <v>100304</v>
          </cell>
          <cell r="K298"/>
          <cell r="L298">
            <v>45706</v>
          </cell>
          <cell r="N298" t="str">
            <v>Asarganj</v>
          </cell>
        </row>
        <row r="299">
          <cell r="B299">
            <v>10030071</v>
          </cell>
          <cell r="C299" t="str">
            <v>0071</v>
          </cell>
          <cell r="D299"/>
          <cell r="E299" t="str">
            <v>MPG</v>
          </cell>
          <cell r="F299" t="str">
            <v>Direct</v>
          </cell>
          <cell r="G299" t="str">
            <v>KORIYA</v>
          </cell>
          <cell r="H299" t="str">
            <v>SINTU KUMAR</v>
          </cell>
          <cell r="I299">
            <v>7480981389</v>
          </cell>
          <cell r="J299" t="str">
            <v>100302</v>
          </cell>
          <cell r="K299"/>
          <cell r="L299">
            <v>45706</v>
          </cell>
          <cell r="N299" t="str">
            <v>Asarganj</v>
          </cell>
        </row>
        <row r="300">
          <cell r="B300">
            <v>10030072</v>
          </cell>
          <cell r="C300" t="str">
            <v>0072</v>
          </cell>
          <cell r="D300"/>
          <cell r="E300" t="str">
            <v>MPG</v>
          </cell>
          <cell r="F300" t="str">
            <v>Direct</v>
          </cell>
          <cell r="G300" t="str">
            <v>HARLACHAK</v>
          </cell>
          <cell r="H300" t="str">
            <v>MUKESH KUMAR ROY</v>
          </cell>
          <cell r="I300" t="str">
            <v>9431881901</v>
          </cell>
          <cell r="J300" t="str">
            <v>100301</v>
          </cell>
          <cell r="K300"/>
          <cell r="L300">
            <v>45827</v>
          </cell>
          <cell r="N300" t="str">
            <v>Asarganj</v>
          </cell>
        </row>
        <row r="301">
          <cell r="B301">
            <v>10030073</v>
          </cell>
          <cell r="C301" t="str">
            <v>0073</v>
          </cell>
          <cell r="D301"/>
          <cell r="E301" t="str">
            <v>MPG</v>
          </cell>
          <cell r="F301" t="str">
            <v>Direct</v>
          </cell>
          <cell r="G301" t="str">
            <v>KHIRDIH</v>
          </cell>
          <cell r="H301" t="str">
            <v>AJIT KUMAR</v>
          </cell>
          <cell r="I301" t="str">
            <v>7079734964</v>
          </cell>
          <cell r="J301" t="str">
            <v>100301</v>
          </cell>
          <cell r="K301"/>
          <cell r="L301">
            <v>45827</v>
          </cell>
          <cell r="N301" t="str">
            <v>Asarganj</v>
          </cell>
        </row>
        <row r="302">
          <cell r="B302">
            <v>10030074</v>
          </cell>
          <cell r="C302" t="str">
            <v>0074</v>
          </cell>
          <cell r="D302"/>
          <cell r="E302" t="str">
            <v>MPG</v>
          </cell>
          <cell r="F302" t="str">
            <v>Direct</v>
          </cell>
          <cell r="G302" t="str">
            <v>Jangle jhakra</v>
          </cell>
          <cell r="H302" t="str">
            <v>MUKESH KUMAR CHAUDHARI</v>
          </cell>
          <cell r="I302">
            <v>7631222407</v>
          </cell>
          <cell r="J302" t="str">
            <v>100301</v>
          </cell>
          <cell r="K302"/>
          <cell r="L302">
            <v>45852</v>
          </cell>
          <cell r="N302" t="str">
            <v>Asarganj</v>
          </cell>
        </row>
        <row r="303">
          <cell r="B303">
            <v>10030075</v>
          </cell>
          <cell r="C303" t="str">
            <v>0075</v>
          </cell>
          <cell r="D303"/>
          <cell r="E303" t="str">
            <v>MPG</v>
          </cell>
          <cell r="F303" t="str">
            <v>Direct</v>
          </cell>
          <cell r="G303" t="str">
            <v>KATAHRA</v>
          </cell>
          <cell r="H303" t="str">
            <v>SANJIV KUMAR YADAV</v>
          </cell>
          <cell r="I303" t="str">
            <v>620363647</v>
          </cell>
          <cell r="J303" t="str">
            <v>100301</v>
          </cell>
          <cell r="K303"/>
          <cell r="L303">
            <v>45868</v>
          </cell>
          <cell r="N303" t="str">
            <v>Asarganj</v>
          </cell>
        </row>
        <row r="304">
          <cell r="B304">
            <v>10030076</v>
          </cell>
          <cell r="C304" t="str">
            <v>0076</v>
          </cell>
          <cell r="D304"/>
          <cell r="E304" t="str">
            <v>MPG</v>
          </cell>
          <cell r="F304" t="str">
            <v>Direct</v>
          </cell>
          <cell r="G304" t="str">
            <v>PRATAPUR</v>
          </cell>
          <cell r="H304" t="str">
            <v>RISHAV KUMAR</v>
          </cell>
          <cell r="I304">
            <v>6299628998</v>
          </cell>
          <cell r="J304" t="str">
            <v>100302</v>
          </cell>
          <cell r="K304"/>
          <cell r="L304">
            <v>45882</v>
          </cell>
          <cell r="N304" t="str">
            <v>Asarganj</v>
          </cell>
        </row>
        <row r="305">
          <cell r="B305">
            <v>10030077</v>
          </cell>
          <cell r="C305" t="str">
            <v>0077</v>
          </cell>
          <cell r="D305"/>
          <cell r="E305" t="str">
            <v>MPG</v>
          </cell>
          <cell r="F305" t="str">
            <v>Indirect</v>
          </cell>
          <cell r="G305" t="str">
            <v>KARHARIA V</v>
          </cell>
          <cell r="H305" t="str">
            <v>YUVRAJ</v>
          </cell>
          <cell r="I305" t="str">
            <v>7634840677</v>
          </cell>
          <cell r="J305" t="str">
            <v>100302</v>
          </cell>
          <cell r="K305"/>
          <cell r="L305">
            <v>45904</v>
          </cell>
          <cell r="N305" t="str">
            <v>Asarganj</v>
          </cell>
        </row>
        <row r="306">
          <cell r="B306">
            <v>10030078</v>
          </cell>
          <cell r="C306" t="str">
            <v>0078</v>
          </cell>
          <cell r="D306"/>
          <cell r="E306" t="str">
            <v>MPG</v>
          </cell>
          <cell r="F306" t="str">
            <v>Direct</v>
          </cell>
          <cell r="G306" t="str">
            <v>BALADEV ITAHARI</v>
          </cell>
          <cell r="H306" t="str">
            <v>GUDLESH KUMAR</v>
          </cell>
          <cell r="I306" t="str">
            <v>7631337377</v>
          </cell>
          <cell r="J306" t="str">
            <v>100301</v>
          </cell>
          <cell r="K306"/>
          <cell r="L306">
            <v>45961</v>
          </cell>
          <cell r="N306" t="str">
            <v>Asarganj</v>
          </cell>
        </row>
        <row r="307">
          <cell r="B307">
            <v>10030079</v>
          </cell>
          <cell r="C307" t="str">
            <v>0079</v>
          </cell>
          <cell r="D307"/>
          <cell r="E307" t="str">
            <v>MPG</v>
          </cell>
          <cell r="F307" t="str">
            <v>Indirect</v>
          </cell>
          <cell r="G307" t="str">
            <v>GOMUKH KODAND</v>
          </cell>
          <cell r="H307" t="str">
            <v>Akash kumar singh</v>
          </cell>
          <cell r="I307" t="str">
            <v>7295050068</v>
          </cell>
          <cell r="J307" t="str">
            <v>100302</v>
          </cell>
          <cell r="K307"/>
          <cell r="L307">
            <v>45976</v>
          </cell>
          <cell r="N307" t="str">
            <v>Asarganj</v>
          </cell>
        </row>
        <row r="308">
          <cell r="B308">
            <v>10030080</v>
          </cell>
          <cell r="C308" t="str">
            <v>0080</v>
          </cell>
          <cell r="D308"/>
          <cell r="E308" t="str">
            <v>MPG</v>
          </cell>
          <cell r="F308" t="str">
            <v>Direct</v>
          </cell>
          <cell r="G308" t="str">
            <v>PAHALANPUR</v>
          </cell>
          <cell r="H308" t="str">
            <v>BHAWESH KUMAR SINGH</v>
          </cell>
          <cell r="I308">
            <v>9546351286</v>
          </cell>
          <cell r="J308" t="str">
            <v>100301</v>
          </cell>
          <cell r="K308"/>
          <cell r="L308">
            <v>45980</v>
          </cell>
          <cell r="N308" t="str">
            <v>Asarganj</v>
          </cell>
        </row>
        <row r="309">
          <cell r="B309">
            <v>10030081</v>
          </cell>
          <cell r="C309" t="str">
            <v>0081</v>
          </cell>
          <cell r="D309"/>
          <cell r="E309" t="str">
            <v>MPG</v>
          </cell>
          <cell r="F309" t="str">
            <v>Indirect</v>
          </cell>
          <cell r="G309" t="str">
            <v>TETARIYA</v>
          </cell>
          <cell r="H309" t="str">
            <v>GUNJAN KUMAR</v>
          </cell>
          <cell r="I309">
            <v>9024613197</v>
          </cell>
          <cell r="J309" t="str">
            <v>100304</v>
          </cell>
          <cell r="K309"/>
          <cell r="L309">
            <v>45980</v>
          </cell>
          <cell r="N309" t="str">
            <v>Asarganj</v>
          </cell>
        </row>
        <row r="310">
          <cell r="B310">
            <v>10030082</v>
          </cell>
          <cell r="C310" t="str">
            <v>0082</v>
          </cell>
          <cell r="D310"/>
          <cell r="E310" t="str">
            <v>MPG</v>
          </cell>
          <cell r="F310" t="str">
            <v>Direct</v>
          </cell>
          <cell r="G310" t="str">
            <v>SAIDPUR</v>
          </cell>
          <cell r="H310" t="str">
            <v>RAMBRAN YADAV</v>
          </cell>
          <cell r="I310">
            <v>6202078377</v>
          </cell>
          <cell r="J310" t="str">
            <v>100301</v>
          </cell>
          <cell r="K310"/>
          <cell r="L310">
            <v>46000</v>
          </cell>
          <cell r="N310" t="str">
            <v>Asarganj</v>
          </cell>
        </row>
        <row r="311">
          <cell r="B311">
            <v>10030083</v>
          </cell>
          <cell r="C311" t="str">
            <v>0083</v>
          </cell>
          <cell r="D311"/>
          <cell r="E311" t="str">
            <v>MPG</v>
          </cell>
          <cell r="F311" t="str">
            <v>Indirect</v>
          </cell>
          <cell r="G311" t="str">
            <v>Gomukh Bhavnathpur</v>
          </cell>
          <cell r="H311" t="str">
            <v>ANJANI DEVI</v>
          </cell>
          <cell r="I311">
            <v>7061979933</v>
          </cell>
          <cell r="J311" t="str">
            <v>100301</v>
          </cell>
          <cell r="K311"/>
          <cell r="L311">
            <v>46006</v>
          </cell>
          <cell r="N311" t="str">
            <v>Asarganj</v>
          </cell>
        </row>
        <row r="312">
          <cell r="B312">
            <v>10030084</v>
          </cell>
          <cell r="C312" t="str">
            <v>0084</v>
          </cell>
          <cell r="D312"/>
          <cell r="E312" t="str">
            <v>MPG</v>
          </cell>
          <cell r="F312" t="str">
            <v>Indirect</v>
          </cell>
          <cell r="G312" t="str">
            <v>Gomukh Beldra</v>
          </cell>
          <cell r="H312" t="str">
            <v>RAMBALAK KUMAR</v>
          </cell>
          <cell r="I312">
            <v>8298863422</v>
          </cell>
          <cell r="J312" t="str">
            <v>100304</v>
          </cell>
          <cell r="K312"/>
          <cell r="L312">
            <v>46025</v>
          </cell>
          <cell r="N312" t="str">
            <v>Asarganj</v>
          </cell>
        </row>
        <row r="313">
          <cell r="B313">
            <v>10030085</v>
          </cell>
          <cell r="C313" t="str">
            <v>0085</v>
          </cell>
          <cell r="D313"/>
          <cell r="E313" t="str">
            <v>MPG</v>
          </cell>
          <cell r="F313" t="str">
            <v>Indirect</v>
          </cell>
          <cell r="G313" t="str">
            <v>Gomukh Chandanpura</v>
          </cell>
          <cell r="H313" t="str">
            <v>RAJIV KUMAR</v>
          </cell>
          <cell r="I313">
            <v>9065268837</v>
          </cell>
          <cell r="J313" t="str">
            <v>100304</v>
          </cell>
          <cell r="K313"/>
          <cell r="L313">
            <v>46025</v>
          </cell>
          <cell r="N313" t="str">
            <v>Asarganj</v>
          </cell>
        </row>
        <row r="314">
          <cell r="B314">
            <v>10040001</v>
          </cell>
          <cell r="C314" t="str">
            <v>0001</v>
          </cell>
          <cell r="D314" t="str">
            <v>5003</v>
          </cell>
          <cell r="E314" t="str">
            <v>MPG</v>
          </cell>
          <cell r="F314" t="str">
            <v>Indirect</v>
          </cell>
          <cell r="G314" t="str">
            <v>GOMUKH GANGA SAHYOG</v>
          </cell>
          <cell r="H314" t="str">
            <v>GOMUKH GANGA SAHYOG</v>
          </cell>
          <cell r="I314"/>
          <cell r="J314" t="str">
            <v>100401</v>
          </cell>
          <cell r="K314" t="str">
            <v/>
          </cell>
          <cell r="L314">
            <v>43376</v>
          </cell>
          <cell r="N314" t="str">
            <v>Tofir</v>
          </cell>
        </row>
        <row r="315">
          <cell r="B315">
            <v>10060001</v>
          </cell>
          <cell r="C315" t="str">
            <v>0001</v>
          </cell>
          <cell r="D315" t="str">
            <v>0023</v>
          </cell>
          <cell r="E315" t="str">
            <v>MPG</v>
          </cell>
          <cell r="F315" t="str">
            <v>Indirect</v>
          </cell>
          <cell r="G315" t="str">
            <v>HUSSAINA ABGIL ARJUN</v>
          </cell>
          <cell r="H315" t="str">
            <v>Suresh Mahto</v>
          </cell>
          <cell r="I315">
            <v>7520122215</v>
          </cell>
          <cell r="J315" t="str">
            <v>100601</v>
          </cell>
          <cell r="K315" t="str">
            <v/>
          </cell>
          <cell r="L315">
            <v>42979</v>
          </cell>
          <cell r="N315" t="str">
            <v>Sonvarsha</v>
          </cell>
        </row>
        <row r="316">
          <cell r="B316">
            <v>10060002</v>
          </cell>
          <cell r="C316" t="str">
            <v>0002</v>
          </cell>
          <cell r="D316" t="str">
            <v>0035</v>
          </cell>
          <cell r="E316" t="str">
            <v>MPG</v>
          </cell>
          <cell r="F316" t="str">
            <v>Indirect</v>
          </cell>
          <cell r="G316" t="str">
            <v>MANO</v>
          </cell>
          <cell r="H316" t="str">
            <v>Sonu Kumar Singh</v>
          </cell>
          <cell r="I316">
            <v>7979939974</v>
          </cell>
          <cell r="J316" t="str">
            <v>100602</v>
          </cell>
          <cell r="K316" t="str">
            <v/>
          </cell>
          <cell r="L316">
            <v>42979</v>
          </cell>
          <cell r="N316" t="str">
            <v>Sonvarsha</v>
          </cell>
        </row>
        <row r="317">
          <cell r="B317">
            <v>10060003</v>
          </cell>
          <cell r="C317" t="str">
            <v>0003</v>
          </cell>
          <cell r="D317" t="str">
            <v>0055</v>
          </cell>
          <cell r="E317" t="str">
            <v>MPG</v>
          </cell>
          <cell r="F317" t="str">
            <v>Indirect</v>
          </cell>
          <cell r="G317" t="str">
            <v>PURANI SALEMPUR</v>
          </cell>
          <cell r="H317" t="str">
            <v>Manish Kumar</v>
          </cell>
          <cell r="I317">
            <v>9097317666</v>
          </cell>
          <cell r="J317" t="str">
            <v>100601</v>
          </cell>
          <cell r="K317" t="str">
            <v/>
          </cell>
          <cell r="L317">
            <v>42979</v>
          </cell>
          <cell r="N317" t="str">
            <v>Sonvarsha</v>
          </cell>
        </row>
        <row r="318">
          <cell r="B318">
            <v>10060004</v>
          </cell>
          <cell r="C318" t="str">
            <v>0004</v>
          </cell>
          <cell r="D318" t="str">
            <v>0073</v>
          </cell>
          <cell r="E318" t="str">
            <v>MPG</v>
          </cell>
          <cell r="F318" t="str">
            <v>Indirect</v>
          </cell>
          <cell r="G318" t="str">
            <v>DHANDHHA</v>
          </cell>
          <cell r="H318" t="str">
            <v>Arvind Choudhary</v>
          </cell>
          <cell r="I318">
            <v>9934893047</v>
          </cell>
          <cell r="J318" t="str">
            <v>100603</v>
          </cell>
          <cell r="K318" t="str">
            <v/>
          </cell>
          <cell r="L318">
            <v>42979</v>
          </cell>
          <cell r="N318" t="str">
            <v>Sonvarsha</v>
          </cell>
        </row>
        <row r="319">
          <cell r="B319">
            <v>10060005</v>
          </cell>
          <cell r="C319" t="str">
            <v>0005</v>
          </cell>
          <cell r="D319" t="str">
            <v>0088</v>
          </cell>
          <cell r="E319" t="str">
            <v>MPG</v>
          </cell>
          <cell r="F319" t="str">
            <v>Indirect</v>
          </cell>
          <cell r="G319" t="str">
            <v>CHALISH</v>
          </cell>
          <cell r="H319" t="str">
            <v>Pintu Kumar</v>
          </cell>
          <cell r="I319">
            <v>8226924647</v>
          </cell>
          <cell r="J319" t="str">
            <v>100603</v>
          </cell>
          <cell r="K319" t="str">
            <v/>
          </cell>
          <cell r="L319">
            <v>42979</v>
          </cell>
          <cell r="N319" t="str">
            <v>Sonvarsha</v>
          </cell>
        </row>
        <row r="320">
          <cell r="B320">
            <v>10060006</v>
          </cell>
          <cell r="C320" t="str">
            <v>0006</v>
          </cell>
          <cell r="D320" t="str">
            <v>0093</v>
          </cell>
          <cell r="E320" t="str">
            <v>MPG</v>
          </cell>
          <cell r="F320" t="str">
            <v>Indirect</v>
          </cell>
          <cell r="G320" t="str">
            <v>HEMARPUR BIJULYA-II</v>
          </cell>
          <cell r="H320" t="str">
            <v>Lalan Singh</v>
          </cell>
          <cell r="I320">
            <v>9852636233</v>
          </cell>
          <cell r="J320" t="str">
            <v>100603</v>
          </cell>
          <cell r="K320" t="str">
            <v/>
          </cell>
          <cell r="L320">
            <v>42979</v>
          </cell>
          <cell r="N320" t="str">
            <v>Sonvarsha</v>
          </cell>
        </row>
        <row r="321">
          <cell r="B321">
            <v>10060007</v>
          </cell>
          <cell r="C321" t="str">
            <v>0007</v>
          </cell>
          <cell r="D321" t="str">
            <v>0103</v>
          </cell>
          <cell r="E321" t="str">
            <v>MPG</v>
          </cell>
          <cell r="F321" t="str">
            <v>Indirect</v>
          </cell>
          <cell r="G321" t="str">
            <v>MAA BHAGWATI</v>
          </cell>
          <cell r="H321" t="str">
            <v>Rajesh Kumar</v>
          </cell>
          <cell r="I321">
            <v>8862845135</v>
          </cell>
          <cell r="J321" t="str">
            <v>100601</v>
          </cell>
          <cell r="K321" t="str">
            <v/>
          </cell>
          <cell r="L321">
            <v>42979</v>
          </cell>
          <cell r="N321" t="str">
            <v>Sonvarsha</v>
          </cell>
        </row>
        <row r="322">
          <cell r="B322">
            <v>10060008</v>
          </cell>
          <cell r="C322" t="str">
            <v>0008</v>
          </cell>
          <cell r="D322" t="str">
            <v>0117</v>
          </cell>
          <cell r="E322" t="str">
            <v>MPG</v>
          </cell>
          <cell r="F322" t="str">
            <v>Indirect</v>
          </cell>
          <cell r="G322" t="str">
            <v>MAIDINICHOKI</v>
          </cell>
          <cell r="H322" t="str">
            <v>Pappu Yadav</v>
          </cell>
          <cell r="I322">
            <v>7631553284</v>
          </cell>
          <cell r="J322" t="str">
            <v>100601</v>
          </cell>
          <cell r="K322" t="str">
            <v/>
          </cell>
          <cell r="L322">
            <v>42979</v>
          </cell>
          <cell r="N322" t="str">
            <v>Sonvarsha</v>
          </cell>
        </row>
        <row r="323">
          <cell r="B323">
            <v>10060009</v>
          </cell>
          <cell r="C323" t="str">
            <v>0009</v>
          </cell>
          <cell r="D323" t="str">
            <v>0136</v>
          </cell>
          <cell r="E323" t="str">
            <v>MPG</v>
          </cell>
          <cell r="F323" t="str">
            <v>Indirect</v>
          </cell>
          <cell r="G323" t="str">
            <v>GOMUKH JAJWARA</v>
          </cell>
          <cell r="H323" t="str">
            <v>Neeraj Kumar</v>
          </cell>
          <cell r="I323">
            <v>8084662876</v>
          </cell>
          <cell r="J323" t="str">
            <v>100602</v>
          </cell>
          <cell r="K323" t="str">
            <v/>
          </cell>
          <cell r="L323">
            <v>43799</v>
          </cell>
          <cell r="N323" t="str">
            <v>Sonvarsha</v>
          </cell>
        </row>
        <row r="324">
          <cell r="B324">
            <v>10060010</v>
          </cell>
          <cell r="C324" t="str">
            <v>0010</v>
          </cell>
          <cell r="D324" t="str">
            <v>1258</v>
          </cell>
          <cell r="E324" t="str">
            <v>MPG</v>
          </cell>
          <cell r="F324" t="str">
            <v>Indirect</v>
          </cell>
          <cell r="G324" t="str">
            <v>Gomukh ID Sonvarsha</v>
          </cell>
          <cell r="H324" t="str">
            <v>Sanjeev Kumar</v>
          </cell>
          <cell r="I324">
            <v>8051560453</v>
          </cell>
          <cell r="J324" t="str">
            <v>100603</v>
          </cell>
          <cell r="K324" t="str">
            <v/>
          </cell>
          <cell r="L324">
            <v>43975</v>
          </cell>
          <cell r="N324" t="str">
            <v>Sonvarsha</v>
          </cell>
        </row>
        <row r="325">
          <cell r="B325">
            <v>10060011</v>
          </cell>
          <cell r="C325" t="str">
            <v>0011</v>
          </cell>
          <cell r="D325" t="str">
            <v>1276</v>
          </cell>
          <cell r="E325" t="str">
            <v>MPG</v>
          </cell>
          <cell r="F325" t="str">
            <v>Direct</v>
          </cell>
          <cell r="G325" t="str">
            <v>BALHAPUR</v>
          </cell>
          <cell r="H325" t="str">
            <v>RAMVILASH YADAV</v>
          </cell>
          <cell r="I325">
            <v>8210634651</v>
          </cell>
          <cell r="J325" t="str">
            <v>100604</v>
          </cell>
          <cell r="K325" t="str">
            <v>Yes</v>
          </cell>
          <cell r="L325">
            <v>44161</v>
          </cell>
          <cell r="N325" t="str">
            <v>Sonvarsha</v>
          </cell>
        </row>
        <row r="326">
          <cell r="B326">
            <v>10060012</v>
          </cell>
          <cell r="C326" t="str">
            <v>0012</v>
          </cell>
          <cell r="D326" t="str">
            <v>1262</v>
          </cell>
          <cell r="E326" t="str">
            <v>MPG</v>
          </cell>
          <cell r="F326" t="str">
            <v>Indirect</v>
          </cell>
          <cell r="G326" t="str">
            <v>Gomukh ID Banshipur</v>
          </cell>
          <cell r="H326" t="str">
            <v>Sunil Kumar</v>
          </cell>
          <cell r="I326">
            <v>7488761049</v>
          </cell>
          <cell r="J326" t="str">
            <v>100602</v>
          </cell>
          <cell r="K326" t="str">
            <v/>
          </cell>
          <cell r="L326">
            <v>44197</v>
          </cell>
          <cell r="N326" t="str">
            <v>Sonvarsha</v>
          </cell>
        </row>
        <row r="327">
          <cell r="B327">
            <v>10060013</v>
          </cell>
          <cell r="C327" t="str">
            <v>0013</v>
          </cell>
          <cell r="D327" t="str">
            <v>1261</v>
          </cell>
          <cell r="E327" t="str">
            <v>MPG</v>
          </cell>
          <cell r="F327" t="str">
            <v>Indirect</v>
          </cell>
          <cell r="G327" t="str">
            <v>Gomukh ID Khawa</v>
          </cell>
          <cell r="H327" t="str">
            <v>Vina Devi</v>
          </cell>
          <cell r="I327">
            <v>8757237489</v>
          </cell>
          <cell r="J327" t="str">
            <v>100601</v>
          </cell>
          <cell r="K327" t="str">
            <v/>
          </cell>
          <cell r="L327">
            <v>44200</v>
          </cell>
          <cell r="N327" t="str">
            <v>Sonvarsha</v>
          </cell>
        </row>
        <row r="328">
          <cell r="B328">
            <v>10060014</v>
          </cell>
          <cell r="C328" t="str">
            <v>0014</v>
          </cell>
          <cell r="D328" t="str">
            <v>1263</v>
          </cell>
          <cell r="E328" t="str">
            <v>MPG</v>
          </cell>
          <cell r="F328" t="str">
            <v>Indirect</v>
          </cell>
          <cell r="G328" t="str">
            <v>Gomukh ID Husaina</v>
          </cell>
          <cell r="H328" t="str">
            <v>Kanhaiya Kumar</v>
          </cell>
          <cell r="I328">
            <v>8102943565</v>
          </cell>
          <cell r="J328" t="str">
            <v>100601</v>
          </cell>
          <cell r="K328" t="str">
            <v/>
          </cell>
          <cell r="L328">
            <v>44256</v>
          </cell>
          <cell r="N328" t="str">
            <v>Sonvarsha</v>
          </cell>
        </row>
        <row r="329">
          <cell r="B329">
            <v>10060015</v>
          </cell>
          <cell r="C329" t="str">
            <v>0015</v>
          </cell>
          <cell r="D329" t="str">
            <v>1260</v>
          </cell>
          <cell r="E329" t="str">
            <v>MPG</v>
          </cell>
          <cell r="F329" t="str">
            <v>Indirect</v>
          </cell>
          <cell r="G329" t="str">
            <v>Gomukh ID Prarotol</v>
          </cell>
          <cell r="H329" t="str">
            <v>Narad Kumar</v>
          </cell>
          <cell r="I329">
            <v>8863077282</v>
          </cell>
          <cell r="J329" t="str">
            <v>100601</v>
          </cell>
          <cell r="K329" t="str">
            <v/>
          </cell>
          <cell r="L329">
            <v>44260</v>
          </cell>
          <cell r="N329" t="str">
            <v>Sonvarsha</v>
          </cell>
        </row>
        <row r="330">
          <cell r="B330">
            <v>10060016</v>
          </cell>
          <cell r="C330" t="str">
            <v>0016</v>
          </cell>
          <cell r="D330" t="str">
            <v>1265</v>
          </cell>
          <cell r="E330" t="str">
            <v>MPG</v>
          </cell>
          <cell r="F330" t="str">
            <v>Indirect</v>
          </cell>
          <cell r="G330" t="str">
            <v>Gomukh ID Ananpur</v>
          </cell>
          <cell r="H330" t="str">
            <v>Niraj Kumar</v>
          </cell>
          <cell r="I330">
            <v>6204715765</v>
          </cell>
          <cell r="J330" t="str">
            <v>100602</v>
          </cell>
          <cell r="K330" t="str">
            <v/>
          </cell>
          <cell r="L330">
            <v>44281</v>
          </cell>
          <cell r="N330" t="str">
            <v>Sonvarsha</v>
          </cell>
        </row>
        <row r="331">
          <cell r="B331">
            <v>10060017</v>
          </cell>
          <cell r="C331" t="str">
            <v>0017</v>
          </cell>
          <cell r="D331" t="str">
            <v>0137</v>
          </cell>
          <cell r="E331" t="str">
            <v>MPG</v>
          </cell>
          <cell r="F331" t="str">
            <v>Indirect</v>
          </cell>
          <cell r="G331" t="str">
            <v>Gomukh Borna 2</v>
          </cell>
          <cell r="H331" t="str">
            <v>KUNAL RANJAN</v>
          </cell>
          <cell r="I331">
            <v>7070158949</v>
          </cell>
          <cell r="J331" t="str">
            <v>100602</v>
          </cell>
          <cell r="K331" t="str">
            <v/>
          </cell>
          <cell r="L331">
            <v>44424</v>
          </cell>
          <cell r="N331" t="str">
            <v>Sonvarsha</v>
          </cell>
        </row>
        <row r="332">
          <cell r="B332">
            <v>10060018</v>
          </cell>
          <cell r="C332" t="str">
            <v>0018</v>
          </cell>
          <cell r="D332" t="str">
            <v>6603</v>
          </cell>
          <cell r="E332" t="str">
            <v>MPG</v>
          </cell>
          <cell r="F332" t="str">
            <v>Indirect</v>
          </cell>
          <cell r="G332" t="str">
            <v>Sushil Kumar</v>
          </cell>
          <cell r="H332" t="str">
            <v xml:space="preserve">Sushil Kumar                  </v>
          </cell>
          <cell r="I332"/>
          <cell r="J332" t="str">
            <v>100601</v>
          </cell>
          <cell r="K332" t="str">
            <v/>
          </cell>
          <cell r="L332">
            <v>44620</v>
          </cell>
          <cell r="N332" t="str">
            <v>Sonvarsha</v>
          </cell>
        </row>
        <row r="333">
          <cell r="B333">
            <v>10060019</v>
          </cell>
          <cell r="C333" t="str">
            <v>0019</v>
          </cell>
          <cell r="D333" t="str">
            <v>0030</v>
          </cell>
          <cell r="E333" t="str">
            <v>MPG</v>
          </cell>
          <cell r="F333" t="str">
            <v>Indirect</v>
          </cell>
          <cell r="G333" t="str">
            <v>MUSTAFAPUR</v>
          </cell>
          <cell r="H333" t="str">
            <v>Sonu Kumar</v>
          </cell>
          <cell r="I333">
            <v>9939884553</v>
          </cell>
          <cell r="J333" t="str">
            <v>100602</v>
          </cell>
          <cell r="K333" t="str">
            <v/>
          </cell>
          <cell r="L333">
            <v>43715</v>
          </cell>
          <cell r="N333" t="str">
            <v>Sonvarsha</v>
          </cell>
        </row>
        <row r="334">
          <cell r="B334">
            <v>10060020</v>
          </cell>
          <cell r="C334" t="str">
            <v>0020</v>
          </cell>
          <cell r="D334" t="str">
            <v>0102</v>
          </cell>
          <cell r="E334" t="str">
            <v>MPG</v>
          </cell>
          <cell r="F334" t="str">
            <v>Indirect</v>
          </cell>
          <cell r="G334" t="str">
            <v>MAA SARDE</v>
          </cell>
          <cell r="H334" t="str">
            <v>Dina yadav</v>
          </cell>
          <cell r="I334">
            <v>7004920674</v>
          </cell>
          <cell r="J334" t="str">
            <v>100601</v>
          </cell>
          <cell r="K334" t="str">
            <v/>
          </cell>
          <cell r="L334">
            <v>44652</v>
          </cell>
          <cell r="N334" t="str">
            <v>Sonvarsha</v>
          </cell>
        </row>
        <row r="335">
          <cell r="B335">
            <v>10060021</v>
          </cell>
          <cell r="C335" t="str">
            <v>0021</v>
          </cell>
          <cell r="D335" t="str">
            <v>0124</v>
          </cell>
          <cell r="E335" t="str">
            <v>MPG</v>
          </cell>
          <cell r="F335" t="str">
            <v>Indirect</v>
          </cell>
          <cell r="G335" t="str">
            <v>PURANI DIH</v>
          </cell>
          <cell r="H335" t="str">
            <v>Bikki Kumar</v>
          </cell>
          <cell r="I335">
            <v>6202141901</v>
          </cell>
          <cell r="J335" t="str">
            <v>100603</v>
          </cell>
          <cell r="K335" t="str">
            <v/>
          </cell>
          <cell r="L335">
            <v>44652</v>
          </cell>
          <cell r="N335" t="str">
            <v>Sonvarsha</v>
          </cell>
        </row>
        <row r="336">
          <cell r="B336">
            <v>10060022</v>
          </cell>
          <cell r="C336" t="str">
            <v>0022</v>
          </cell>
          <cell r="D336" t="str">
            <v>1194</v>
          </cell>
          <cell r="E336" t="str">
            <v>MPG</v>
          </cell>
          <cell r="F336" t="str">
            <v>Direct</v>
          </cell>
          <cell r="G336" t="str">
            <v>Farda Ravi tola</v>
          </cell>
          <cell r="H336" t="str">
            <v>Ramashishray</v>
          </cell>
          <cell r="I336">
            <v>8540013067</v>
          </cell>
          <cell r="J336" t="str">
            <v>100601</v>
          </cell>
          <cell r="K336" t="str">
            <v>Yes</v>
          </cell>
          <cell r="L336">
            <v>44697</v>
          </cell>
          <cell r="N336" t="str">
            <v>Sonvarsha</v>
          </cell>
        </row>
        <row r="337">
          <cell r="B337">
            <v>10060023</v>
          </cell>
          <cell r="C337" t="str">
            <v>0023</v>
          </cell>
          <cell r="D337" t="str">
            <v>1195</v>
          </cell>
          <cell r="E337" t="str">
            <v>MPG</v>
          </cell>
          <cell r="F337" t="str">
            <v>Indirect</v>
          </cell>
          <cell r="G337" t="str">
            <v>Gomukh Puranidih 2</v>
          </cell>
          <cell r="H337" t="str">
            <v>MONU KUMAR</v>
          </cell>
          <cell r="I337">
            <v>7277818365</v>
          </cell>
          <cell r="J337" t="str">
            <v>100603</v>
          </cell>
          <cell r="K337" t="str">
            <v/>
          </cell>
          <cell r="L337">
            <v>44717</v>
          </cell>
          <cell r="N337" t="str">
            <v>Sonvarsha</v>
          </cell>
        </row>
        <row r="338">
          <cell r="B338">
            <v>10060024</v>
          </cell>
          <cell r="C338" t="str">
            <v>0024</v>
          </cell>
          <cell r="D338" t="str">
            <v>1259</v>
          </cell>
          <cell r="E338" t="str">
            <v>MPG</v>
          </cell>
          <cell r="F338" t="str">
            <v>Indirect</v>
          </cell>
          <cell r="G338" t="str">
            <v>Gomukh ID Kiranpur</v>
          </cell>
          <cell r="H338" t="str">
            <v>Dhirendra Kumar</v>
          </cell>
          <cell r="I338">
            <v>9779799096</v>
          </cell>
          <cell r="J338" t="str">
            <v>100601</v>
          </cell>
          <cell r="K338" t="str">
            <v>Yes</v>
          </cell>
          <cell r="L338">
            <v>44737</v>
          </cell>
          <cell r="N338" t="str">
            <v>Sonvarsha</v>
          </cell>
        </row>
        <row r="339">
          <cell r="B339">
            <v>10060025</v>
          </cell>
          <cell r="C339" t="str">
            <v>0025</v>
          </cell>
          <cell r="D339" t="str">
            <v>1204</v>
          </cell>
          <cell r="E339" t="str">
            <v>MPG</v>
          </cell>
          <cell r="F339" t="str">
            <v>Direct</v>
          </cell>
          <cell r="G339" t="str">
            <v>Gomukh Pokhrama</v>
          </cell>
          <cell r="H339" t="str">
            <v>Chandan Kumar</v>
          </cell>
          <cell r="I339">
            <v>7050850240</v>
          </cell>
          <cell r="J339" t="str">
            <v>100602</v>
          </cell>
          <cell r="K339" t="str">
            <v>Yes</v>
          </cell>
          <cell r="L339">
            <v>44866</v>
          </cell>
          <cell r="N339" t="str">
            <v>Sonvarsha</v>
          </cell>
        </row>
        <row r="340">
          <cell r="B340">
            <v>10060026</v>
          </cell>
          <cell r="C340" t="str">
            <v>0026</v>
          </cell>
          <cell r="D340" t="str">
            <v>1205</v>
          </cell>
          <cell r="E340" t="str">
            <v>MPG</v>
          </cell>
          <cell r="F340" t="str">
            <v>Direct</v>
          </cell>
          <cell r="G340" t="str">
            <v>Gomukh Arma</v>
          </cell>
          <cell r="H340" t="str">
            <v>Govind Kumar</v>
          </cell>
          <cell r="I340">
            <v>9931294433</v>
          </cell>
          <cell r="J340" t="str">
            <v>100602</v>
          </cell>
          <cell r="K340" t="str">
            <v>Yes</v>
          </cell>
          <cell r="L340">
            <v>44866</v>
          </cell>
          <cell r="N340" t="str">
            <v>Sonvarsha</v>
          </cell>
        </row>
        <row r="341">
          <cell r="B341">
            <v>10060027</v>
          </cell>
          <cell r="C341" t="str">
            <v>0027</v>
          </cell>
          <cell r="D341" t="str">
            <v>1206</v>
          </cell>
          <cell r="E341" t="str">
            <v>MPG</v>
          </cell>
          <cell r="F341" t="str">
            <v>Direct</v>
          </cell>
          <cell r="G341" t="str">
            <v>Singhchak</v>
          </cell>
          <cell r="H341" t="str">
            <v>Nitish Kumar</v>
          </cell>
          <cell r="I341">
            <v>7903543096</v>
          </cell>
          <cell r="J341" t="str">
            <v>100604</v>
          </cell>
          <cell r="K341" t="str">
            <v>Yes</v>
          </cell>
          <cell r="L341">
            <v>44866</v>
          </cell>
          <cell r="N341" t="str">
            <v>Sonvarsha</v>
          </cell>
        </row>
        <row r="342">
          <cell r="B342">
            <v>10060028</v>
          </cell>
          <cell r="C342" t="str">
            <v>0028</v>
          </cell>
          <cell r="D342" t="str">
            <v>1229</v>
          </cell>
          <cell r="E342" t="str">
            <v>MPG</v>
          </cell>
          <cell r="F342" t="str">
            <v>Indirect</v>
          </cell>
          <cell r="G342" t="str">
            <v>MAHA-LAXMI</v>
          </cell>
          <cell r="H342" t="str">
            <v>PINTU KUMAR</v>
          </cell>
          <cell r="I342">
            <v>6200876282</v>
          </cell>
          <cell r="J342" t="str">
            <v>100601</v>
          </cell>
          <cell r="K342" t="str">
            <v/>
          </cell>
          <cell r="L342">
            <v>44950</v>
          </cell>
          <cell r="N342" t="str">
            <v>Sonvarsha</v>
          </cell>
        </row>
        <row r="343">
          <cell r="B343">
            <v>10060029</v>
          </cell>
          <cell r="C343" t="str">
            <v>0029</v>
          </cell>
          <cell r="D343" t="str">
            <v>1228</v>
          </cell>
          <cell r="E343" t="str">
            <v>MPG</v>
          </cell>
          <cell r="F343" t="str">
            <v>Direct</v>
          </cell>
          <cell r="G343" t="str">
            <v>PAWAI</v>
          </cell>
          <cell r="H343" t="str">
            <v>RITESH KUMAR</v>
          </cell>
          <cell r="I343">
            <v>9771640116</v>
          </cell>
          <cell r="J343" t="str">
            <v>100602</v>
          </cell>
          <cell r="K343" t="str">
            <v>Yes</v>
          </cell>
          <cell r="L343">
            <v>44958</v>
          </cell>
          <cell r="N343" t="str">
            <v>Sonvarsha</v>
          </cell>
        </row>
        <row r="344">
          <cell r="B344">
            <v>10060030</v>
          </cell>
          <cell r="C344" t="str">
            <v>0030</v>
          </cell>
          <cell r="D344" t="str">
            <v>1235</v>
          </cell>
          <cell r="E344" t="str">
            <v>MPG</v>
          </cell>
          <cell r="F344" t="str">
            <v>Direct</v>
          </cell>
          <cell r="G344" t="str">
            <v>RAMSIR</v>
          </cell>
          <cell r="H344" t="str">
            <v>MANOJ YADAV</v>
          </cell>
          <cell r="I344">
            <v>7739945561</v>
          </cell>
          <cell r="J344" t="str">
            <v>100604</v>
          </cell>
          <cell r="K344" t="str">
            <v>Yes</v>
          </cell>
          <cell r="L344">
            <v>44985</v>
          </cell>
          <cell r="N344" t="str">
            <v>Sonvarsha</v>
          </cell>
        </row>
        <row r="345">
          <cell r="B345">
            <v>10060031</v>
          </cell>
          <cell r="C345" t="str">
            <v>0031</v>
          </cell>
          <cell r="D345" t="str">
            <v>1245</v>
          </cell>
          <cell r="E345" t="str">
            <v>MPG</v>
          </cell>
          <cell r="F345" t="str">
            <v>Direct</v>
          </cell>
          <cell r="G345" t="str">
            <v xml:space="preserve">LAKHOCHAK                                                                                           </v>
          </cell>
          <cell r="H345" t="str">
            <v>RAVIT KUMAR</v>
          </cell>
          <cell r="I345">
            <v>8292842498</v>
          </cell>
          <cell r="J345" t="str">
            <v>100604</v>
          </cell>
          <cell r="K345" t="str">
            <v>Yes</v>
          </cell>
          <cell r="L345">
            <v>45049</v>
          </cell>
          <cell r="N345" t="str">
            <v>Sonvarsha</v>
          </cell>
        </row>
        <row r="346">
          <cell r="B346">
            <v>10060032</v>
          </cell>
          <cell r="C346" t="str">
            <v>0032</v>
          </cell>
          <cell r="D346" t="str">
            <v>1246</v>
          </cell>
          <cell r="E346" t="str">
            <v>MPG</v>
          </cell>
          <cell r="F346" t="str">
            <v>Direct</v>
          </cell>
          <cell r="G346" t="str">
            <v xml:space="preserve">BATTA RAMPUR                                                                                        </v>
          </cell>
          <cell r="H346" t="str">
            <v>KANHAIYA SINGH</v>
          </cell>
          <cell r="I346">
            <v>8051647327</v>
          </cell>
          <cell r="J346" t="str">
            <v>100604</v>
          </cell>
          <cell r="K346" t="str">
            <v>Yes</v>
          </cell>
          <cell r="L346">
            <v>45049</v>
          </cell>
          <cell r="N346" t="str">
            <v>Sonvarsha</v>
          </cell>
        </row>
        <row r="347">
          <cell r="B347">
            <v>10060033</v>
          </cell>
          <cell r="C347" t="str">
            <v>0033</v>
          </cell>
          <cell r="D347" t="str">
            <v>1254</v>
          </cell>
          <cell r="E347" t="str">
            <v>MPG</v>
          </cell>
          <cell r="F347" t="str">
            <v>Direct</v>
          </cell>
          <cell r="G347" t="str">
            <v>DARISHIR</v>
          </cell>
          <cell r="H347" t="str">
            <v>CHANDAN KUMAR</v>
          </cell>
          <cell r="I347">
            <v>6205678289</v>
          </cell>
          <cell r="J347" t="str">
            <v>100604</v>
          </cell>
          <cell r="K347" t="str">
            <v>Yes</v>
          </cell>
          <cell r="L347">
            <v>45120</v>
          </cell>
          <cell r="N347" t="str">
            <v>Sonvarsha</v>
          </cell>
        </row>
        <row r="348">
          <cell r="B348">
            <v>10060034</v>
          </cell>
          <cell r="C348" t="str">
            <v>0034</v>
          </cell>
          <cell r="D348" t="str">
            <v>1257</v>
          </cell>
          <cell r="E348" t="str">
            <v>MPG</v>
          </cell>
          <cell r="F348" t="str">
            <v>Direct</v>
          </cell>
          <cell r="G348" t="str">
            <v>DEVNAGAR GOHRI</v>
          </cell>
          <cell r="H348" t="str">
            <v>JAYANANDAN YADAV</v>
          </cell>
          <cell r="I348">
            <v>7543904926</v>
          </cell>
          <cell r="J348" t="str">
            <v>100604</v>
          </cell>
          <cell r="K348" t="str">
            <v>Yes</v>
          </cell>
          <cell r="L348">
            <v>45120</v>
          </cell>
          <cell r="N348" t="str">
            <v>Sonvarsha</v>
          </cell>
        </row>
        <row r="349">
          <cell r="B349">
            <v>10060035</v>
          </cell>
          <cell r="C349" t="str">
            <v>0035</v>
          </cell>
          <cell r="D349" t="str">
            <v>1264</v>
          </cell>
          <cell r="E349" t="str">
            <v>MPG</v>
          </cell>
          <cell r="F349" t="str">
            <v>Indirect</v>
          </cell>
          <cell r="G349" t="str">
            <v>Gomukh ID Nandpur</v>
          </cell>
          <cell r="H349" t="str">
            <v>Sanny Kumar</v>
          </cell>
          <cell r="I349">
            <v>8521283674</v>
          </cell>
          <cell r="J349" t="str">
            <v>100601</v>
          </cell>
          <cell r="K349" t="str">
            <v/>
          </cell>
          <cell r="L349">
            <v>45120</v>
          </cell>
          <cell r="N349" t="str">
            <v>Sonvarsha</v>
          </cell>
        </row>
        <row r="350">
          <cell r="B350">
            <v>10060036</v>
          </cell>
          <cell r="C350" t="str">
            <v>0036</v>
          </cell>
          <cell r="D350" t="str">
            <v>1256</v>
          </cell>
          <cell r="E350" t="str">
            <v>MPG</v>
          </cell>
          <cell r="F350" t="str">
            <v>Direct</v>
          </cell>
          <cell r="G350" t="str">
            <v>URAIN</v>
          </cell>
          <cell r="H350" t="str">
            <v>SONU KUMAR</v>
          </cell>
          <cell r="I350">
            <v>8877360750</v>
          </cell>
          <cell r="J350" t="str">
            <v>100602</v>
          </cell>
          <cell r="K350" t="str">
            <v>Yes</v>
          </cell>
          <cell r="L350">
            <v>45121</v>
          </cell>
          <cell r="N350" t="str">
            <v>Sonvarsha</v>
          </cell>
        </row>
        <row r="351">
          <cell r="B351">
            <v>10060037</v>
          </cell>
          <cell r="C351" t="str">
            <v>0037</v>
          </cell>
          <cell r="D351" t="str">
            <v>1277</v>
          </cell>
          <cell r="E351" t="str">
            <v>MPG</v>
          </cell>
          <cell r="F351" t="str">
            <v>Indirect</v>
          </cell>
          <cell r="G351" t="str">
            <v>NIRAJ KUMAR</v>
          </cell>
          <cell r="H351" t="str">
            <v>NIRAJ KUMAR</v>
          </cell>
          <cell r="I351">
            <v>9504366949</v>
          </cell>
          <cell r="J351" t="str">
            <v>100602</v>
          </cell>
          <cell r="K351" t="str">
            <v/>
          </cell>
          <cell r="L351">
            <v>45155</v>
          </cell>
          <cell r="N351" t="str">
            <v>Sonvarsha</v>
          </cell>
        </row>
        <row r="352">
          <cell r="B352">
            <v>10060038</v>
          </cell>
          <cell r="C352" t="str">
            <v>0038</v>
          </cell>
          <cell r="D352" t="str">
            <v>1278</v>
          </cell>
          <cell r="E352" t="str">
            <v>MPG</v>
          </cell>
          <cell r="F352" t="str">
            <v>Direct</v>
          </cell>
          <cell r="G352" t="str">
            <v>DHARAMPUR</v>
          </cell>
          <cell r="H352" t="str">
            <v>NUNULAL YADAV</v>
          </cell>
          <cell r="I352">
            <v>8537837750</v>
          </cell>
          <cell r="J352" t="str">
            <v>100604</v>
          </cell>
          <cell r="K352" t="str">
            <v>Yes</v>
          </cell>
          <cell r="L352">
            <v>45155</v>
          </cell>
          <cell r="N352" t="str">
            <v>Sonvarsha</v>
          </cell>
        </row>
        <row r="353">
          <cell r="B353">
            <v>10060039</v>
          </cell>
          <cell r="C353" t="str">
            <v>0039</v>
          </cell>
          <cell r="D353" t="str">
            <v>1279</v>
          </cell>
          <cell r="E353" t="str">
            <v>MPG</v>
          </cell>
          <cell r="F353" t="str">
            <v>Indirect</v>
          </cell>
          <cell r="G353" t="str">
            <v>RAJAN KUMAR(VLC)</v>
          </cell>
          <cell r="H353" t="str">
            <v>RAJAN KUMAR</v>
          </cell>
          <cell r="I353">
            <v>6204330947</v>
          </cell>
          <cell r="J353" t="str">
            <v>100603</v>
          </cell>
          <cell r="K353" t="str">
            <v/>
          </cell>
          <cell r="L353">
            <v>45155</v>
          </cell>
          <cell r="N353" t="str">
            <v>Sonvarsha</v>
          </cell>
        </row>
        <row r="354">
          <cell r="B354">
            <v>10060040</v>
          </cell>
          <cell r="C354" t="str">
            <v>0040</v>
          </cell>
          <cell r="D354" t="str">
            <v>6760</v>
          </cell>
          <cell r="E354" t="str">
            <v>MPG</v>
          </cell>
          <cell r="F354" t="str">
            <v>Indirect</v>
          </cell>
          <cell r="G354" t="str">
            <v>RUPESH SINGH(VLC)</v>
          </cell>
          <cell r="H354" t="str">
            <v>RUPESH SINGH</v>
          </cell>
          <cell r="I354">
            <v>8873139454</v>
          </cell>
          <cell r="J354" t="str">
            <v>100601</v>
          </cell>
          <cell r="K354" t="str">
            <v/>
          </cell>
          <cell r="L354">
            <v>45156</v>
          </cell>
          <cell r="N354" t="str">
            <v>Sonvarsha</v>
          </cell>
        </row>
        <row r="355">
          <cell r="B355">
            <v>10060041</v>
          </cell>
          <cell r="C355" t="str">
            <v>0041</v>
          </cell>
          <cell r="D355" t="str">
            <v>6761</v>
          </cell>
          <cell r="E355" t="str">
            <v>MPG</v>
          </cell>
          <cell r="F355" t="str">
            <v>Indirect</v>
          </cell>
          <cell r="G355" t="str">
            <v>RANDHIR KUMAR(VLC)</v>
          </cell>
          <cell r="H355" t="str">
            <v>RANDHIR KUMAR</v>
          </cell>
          <cell r="I355">
            <v>7903246947</v>
          </cell>
          <cell r="J355" t="str">
            <v>100601</v>
          </cell>
          <cell r="K355" t="str">
            <v/>
          </cell>
          <cell r="L355">
            <v>45156</v>
          </cell>
          <cell r="N355" t="str">
            <v>Sonvarsha</v>
          </cell>
        </row>
        <row r="356">
          <cell r="B356">
            <v>10060042</v>
          </cell>
          <cell r="C356" t="str">
            <v>0042</v>
          </cell>
          <cell r="D356" t="str">
            <v>1231</v>
          </cell>
          <cell r="E356" t="str">
            <v>MPG</v>
          </cell>
          <cell r="F356" t="str">
            <v>Direct</v>
          </cell>
          <cell r="G356" t="str">
            <v>RAMPUR</v>
          </cell>
          <cell r="H356" t="str">
            <v>AMRITESH KUMAR</v>
          </cell>
          <cell r="I356">
            <v>9308764894</v>
          </cell>
          <cell r="J356" t="str">
            <v>100602</v>
          </cell>
          <cell r="K356" t="str">
            <v/>
          </cell>
          <cell r="L356">
            <v>44981</v>
          </cell>
          <cell r="N356" t="str">
            <v>Sonvarsha</v>
          </cell>
        </row>
        <row r="357">
          <cell r="B357">
            <v>10060043</v>
          </cell>
          <cell r="C357" t="str">
            <v>0043</v>
          </cell>
          <cell r="D357" t="str">
            <v>1297</v>
          </cell>
          <cell r="E357" t="str">
            <v>MPG</v>
          </cell>
          <cell r="F357" t="str">
            <v>Indirect</v>
          </cell>
          <cell r="G357" t="str">
            <v>Medni-Chowki-2 - Ram</v>
          </cell>
          <cell r="H357" t="str">
            <v>Ram Kumar</v>
          </cell>
          <cell r="I357">
            <v>9122001528</v>
          </cell>
          <cell r="J357" t="str">
            <v>100601</v>
          </cell>
          <cell r="K357" t="str">
            <v/>
          </cell>
          <cell r="L357">
            <v>44958</v>
          </cell>
          <cell r="N357" t="str">
            <v>Sonvarsha</v>
          </cell>
        </row>
        <row r="358">
          <cell r="B358">
            <v>10060044</v>
          </cell>
          <cell r="C358" t="str">
            <v>0044</v>
          </cell>
          <cell r="D358" t="str">
            <v>1298</v>
          </cell>
          <cell r="E358" t="str">
            <v>MPG</v>
          </cell>
          <cell r="F358" t="str">
            <v>Indirect</v>
          </cell>
          <cell r="G358" t="str">
            <v>Abgil Rampur - Rohit</v>
          </cell>
          <cell r="H358" t="str">
            <v>Rohit Kumar</v>
          </cell>
          <cell r="I358">
            <v>9798249719</v>
          </cell>
          <cell r="J358" t="str">
            <v>100601</v>
          </cell>
          <cell r="K358" t="str">
            <v/>
          </cell>
          <cell r="L358">
            <v>44958</v>
          </cell>
          <cell r="N358" t="str">
            <v>Sonvarsha</v>
          </cell>
        </row>
        <row r="359">
          <cell r="B359">
            <v>10060045</v>
          </cell>
          <cell r="C359" t="str">
            <v>0045</v>
          </cell>
          <cell r="D359" t="str">
            <v>1299</v>
          </cell>
          <cell r="E359" t="str">
            <v>MPG</v>
          </cell>
          <cell r="F359" t="str">
            <v>Indirect</v>
          </cell>
          <cell r="G359" t="str">
            <v>Abgil-2 - Sheshnath</v>
          </cell>
          <cell r="H359" t="str">
            <v>Sheshnath Yadav</v>
          </cell>
          <cell r="I359">
            <v>8809799679</v>
          </cell>
          <cell r="J359" t="str">
            <v>100601</v>
          </cell>
          <cell r="K359" t="str">
            <v/>
          </cell>
          <cell r="L359">
            <v>45150</v>
          </cell>
          <cell r="N359" t="str">
            <v>Sonvarsha</v>
          </cell>
        </row>
        <row r="360">
          <cell r="B360">
            <v>10060046</v>
          </cell>
          <cell r="C360" t="str">
            <v>0046</v>
          </cell>
          <cell r="D360" t="str">
            <v>1300</v>
          </cell>
          <cell r="E360" t="str">
            <v>MPG</v>
          </cell>
          <cell r="F360" t="str">
            <v>Indirect</v>
          </cell>
          <cell r="G360" t="str">
            <v>Abgil - Mundan</v>
          </cell>
          <cell r="H360" t="str">
            <v>Mundan Kumar</v>
          </cell>
          <cell r="I360">
            <v>6200739017</v>
          </cell>
          <cell r="J360" t="str">
            <v>100601</v>
          </cell>
          <cell r="K360" t="str">
            <v/>
          </cell>
          <cell r="L360">
            <v>44652</v>
          </cell>
          <cell r="N360" t="str">
            <v>Sonvarsha</v>
          </cell>
        </row>
        <row r="361">
          <cell r="B361">
            <v>10060047</v>
          </cell>
          <cell r="C361" t="str">
            <v>0047</v>
          </cell>
          <cell r="D361" t="str">
            <v>1301</v>
          </cell>
          <cell r="E361" t="str">
            <v>MPG</v>
          </cell>
          <cell r="F361" t="str">
            <v>Indirect</v>
          </cell>
          <cell r="G361" t="str">
            <v>Sonvarsha-2 - Pankaj</v>
          </cell>
          <cell r="H361" t="str">
            <v>Pankaj Paswan</v>
          </cell>
          <cell r="I361">
            <v>9508656217</v>
          </cell>
          <cell r="J361" t="str">
            <v>100603</v>
          </cell>
          <cell r="K361" t="str">
            <v/>
          </cell>
          <cell r="L361">
            <v>44921</v>
          </cell>
          <cell r="N361" t="str">
            <v>Sonvarsha</v>
          </cell>
        </row>
        <row r="362">
          <cell r="B362">
            <v>10060048</v>
          </cell>
          <cell r="C362" t="str">
            <v>0048</v>
          </cell>
          <cell r="D362" t="str">
            <v>1302</v>
          </cell>
          <cell r="E362" t="str">
            <v>MPG</v>
          </cell>
          <cell r="F362" t="str">
            <v>Indirect</v>
          </cell>
          <cell r="G362" t="str">
            <v>Tilathi - Roushan</v>
          </cell>
          <cell r="H362" t="str">
            <v>Roushan Kumar</v>
          </cell>
          <cell r="I362">
            <v>8877607906</v>
          </cell>
          <cell r="J362" t="str">
            <v>100603</v>
          </cell>
          <cell r="K362" t="str">
            <v/>
          </cell>
          <cell r="L362">
            <v>44958</v>
          </cell>
          <cell r="N362" t="str">
            <v>Sonvarsha</v>
          </cell>
        </row>
        <row r="363">
          <cell r="B363">
            <v>10060049</v>
          </cell>
          <cell r="C363" t="str">
            <v>0049</v>
          </cell>
          <cell r="D363" t="str">
            <v>1312</v>
          </cell>
          <cell r="E363" t="str">
            <v>MPG</v>
          </cell>
          <cell r="F363" t="str">
            <v>Direct</v>
          </cell>
          <cell r="G363" t="str">
            <v>MALIYA</v>
          </cell>
          <cell r="H363" t="str">
            <v>RAMBACHHAN YADAV</v>
          </cell>
          <cell r="I363">
            <v>9693036091</v>
          </cell>
          <cell r="J363" t="str">
            <v>100604</v>
          </cell>
          <cell r="K363" t="str">
            <v>Yes</v>
          </cell>
          <cell r="L363">
            <v>45267</v>
          </cell>
          <cell r="N363" t="str">
            <v>Sonvarsha</v>
          </cell>
        </row>
        <row r="364">
          <cell r="B364">
            <v>10060050</v>
          </cell>
          <cell r="C364" t="str">
            <v>0050</v>
          </cell>
          <cell r="D364" t="str">
            <v>1313</v>
          </cell>
          <cell r="E364" t="str">
            <v>MPG</v>
          </cell>
          <cell r="F364" t="str">
            <v>Direct</v>
          </cell>
          <cell r="G364" t="str">
            <v>MAHULIYA</v>
          </cell>
          <cell r="H364" t="str">
            <v>SAKINDRA KUMAR</v>
          </cell>
          <cell r="I364">
            <v>7667458334</v>
          </cell>
          <cell r="J364" t="str">
            <v>100604</v>
          </cell>
          <cell r="K364" t="str">
            <v>Yes</v>
          </cell>
          <cell r="L364">
            <v>45267</v>
          </cell>
          <cell r="N364" t="str">
            <v>Sonvarsha</v>
          </cell>
        </row>
        <row r="365">
          <cell r="B365">
            <v>10060051</v>
          </cell>
          <cell r="C365" t="str">
            <v>0051</v>
          </cell>
          <cell r="D365" t="str">
            <v>1314</v>
          </cell>
          <cell r="E365" t="str">
            <v>MPG</v>
          </cell>
          <cell r="F365" t="str">
            <v>Indirect</v>
          </cell>
          <cell r="G365" t="str">
            <v>ABGIL RAMPUR</v>
          </cell>
          <cell r="H365" t="str">
            <v>VIKASH KUMAR</v>
          </cell>
          <cell r="I365">
            <v>6203966231</v>
          </cell>
          <cell r="J365" t="str">
            <v>100601</v>
          </cell>
          <cell r="K365" t="str">
            <v/>
          </cell>
          <cell r="L365">
            <v>45254</v>
          </cell>
          <cell r="N365" t="str">
            <v>Sonvarsha</v>
          </cell>
        </row>
        <row r="366">
          <cell r="B366">
            <v>10060052</v>
          </cell>
          <cell r="C366" t="str">
            <v>0052</v>
          </cell>
          <cell r="D366" t="str">
            <v>1315</v>
          </cell>
          <cell r="E366" t="str">
            <v>MPG</v>
          </cell>
          <cell r="F366" t="str">
            <v>Indirect</v>
          </cell>
          <cell r="G366" t="str">
            <v>ABGIL</v>
          </cell>
          <cell r="H366" t="str">
            <v>RUBY DEVI</v>
          </cell>
          <cell r="I366">
            <v>9199615070</v>
          </cell>
          <cell r="J366" t="str">
            <v>100601</v>
          </cell>
          <cell r="K366" t="str">
            <v/>
          </cell>
          <cell r="L366">
            <v>45254</v>
          </cell>
          <cell r="N366" t="str">
            <v>Sonvarsha</v>
          </cell>
        </row>
        <row r="367">
          <cell r="B367">
            <v>10060053</v>
          </cell>
          <cell r="C367" t="str">
            <v>0053</v>
          </cell>
          <cell r="D367" t="str">
            <v>1316</v>
          </cell>
          <cell r="E367" t="str">
            <v>MPG</v>
          </cell>
          <cell r="F367" t="str">
            <v>Direct</v>
          </cell>
          <cell r="G367" t="str">
            <v>BASUACHAK</v>
          </cell>
          <cell r="H367" t="str">
            <v>RINA KUMARI</v>
          </cell>
          <cell r="I367">
            <v>9430066818</v>
          </cell>
          <cell r="J367" t="str">
            <v>100604</v>
          </cell>
          <cell r="K367" t="str">
            <v>Yes</v>
          </cell>
          <cell r="L367">
            <v>45267</v>
          </cell>
          <cell r="N367" t="str">
            <v>Sonvarsha</v>
          </cell>
        </row>
        <row r="368">
          <cell r="B368">
            <v>10060054</v>
          </cell>
          <cell r="C368" t="str">
            <v>0054</v>
          </cell>
          <cell r="D368" t="str">
            <v>6208</v>
          </cell>
          <cell r="E368" t="str">
            <v>MPG</v>
          </cell>
          <cell r="F368" t="str">
            <v>Indirect</v>
          </cell>
          <cell r="G368" t="str">
            <v>PRAMOD YADAV</v>
          </cell>
          <cell r="H368" t="str">
            <v>PRAMOD YADAV</v>
          </cell>
          <cell r="I368"/>
          <cell r="J368" t="str">
            <v>100603</v>
          </cell>
          <cell r="K368" t="str">
            <v/>
          </cell>
          <cell r="L368">
            <v>45205</v>
          </cell>
          <cell r="N368" t="str">
            <v>Sonvarsha</v>
          </cell>
        </row>
        <row r="369">
          <cell r="B369">
            <v>10060055</v>
          </cell>
          <cell r="C369" t="str">
            <v>0055</v>
          </cell>
          <cell r="D369" t="str">
            <v>6540</v>
          </cell>
          <cell r="E369" t="str">
            <v>MPG</v>
          </cell>
          <cell r="F369" t="str">
            <v>Indirect</v>
          </cell>
          <cell r="G369" t="str">
            <v>RUPESH KUMAR</v>
          </cell>
          <cell r="H369" t="str">
            <v>RUPESH KUMAR</v>
          </cell>
          <cell r="I369"/>
          <cell r="J369" t="str">
            <v>100603</v>
          </cell>
          <cell r="K369" t="str">
            <v/>
          </cell>
          <cell r="L369">
            <v>44361</v>
          </cell>
          <cell r="N369" t="str">
            <v>Sonvarsha</v>
          </cell>
        </row>
        <row r="370">
          <cell r="B370">
            <v>10060056</v>
          </cell>
          <cell r="C370" t="str">
            <v>0056</v>
          </cell>
          <cell r="D370" t="str">
            <v>6458</v>
          </cell>
          <cell r="E370" t="str">
            <v>MPG</v>
          </cell>
          <cell r="F370" t="str">
            <v>Indirect</v>
          </cell>
          <cell r="G370" t="str">
            <v>BABLU KUMAR</v>
          </cell>
          <cell r="H370" t="str">
            <v>BABLU KUMAR</v>
          </cell>
          <cell r="I370"/>
          <cell r="J370" t="str">
            <v>100601</v>
          </cell>
          <cell r="K370" t="str">
            <v/>
          </cell>
          <cell r="L370">
            <v>45235</v>
          </cell>
          <cell r="N370" t="str">
            <v>Sonvarsha</v>
          </cell>
        </row>
        <row r="371">
          <cell r="B371">
            <v>10060057</v>
          </cell>
          <cell r="C371" t="str">
            <v>0057</v>
          </cell>
          <cell r="D371" t="str">
            <v>1283</v>
          </cell>
          <cell r="E371" t="str">
            <v>MPG</v>
          </cell>
          <cell r="F371" t="str">
            <v>Direct</v>
          </cell>
          <cell r="G371" t="str">
            <v xml:space="preserve">SAMBHO                                                                                              </v>
          </cell>
          <cell r="H371" t="str">
            <v>KRISHAN MOHAN CHAUDHARY</v>
          </cell>
          <cell r="I371">
            <v>9801737908</v>
          </cell>
          <cell r="J371" t="str">
            <v>100601</v>
          </cell>
          <cell r="K371" t="str">
            <v>Yes</v>
          </cell>
          <cell r="L371">
            <v>45205</v>
          </cell>
          <cell r="N371" t="str">
            <v>Sonvarsha</v>
          </cell>
        </row>
        <row r="372">
          <cell r="B372">
            <v>10060058</v>
          </cell>
          <cell r="C372" t="str">
            <v>0058</v>
          </cell>
          <cell r="D372" t="str">
            <v>1284</v>
          </cell>
          <cell r="E372" t="str">
            <v>MPG</v>
          </cell>
          <cell r="F372" t="str">
            <v>Direct</v>
          </cell>
          <cell r="G372" t="str">
            <v xml:space="preserve">ABGIL HUSSAINA-2                                                                                    </v>
          </cell>
          <cell r="H372" t="str">
            <v>AVADH KISHOR</v>
          </cell>
          <cell r="I372">
            <v>7631210094</v>
          </cell>
          <cell r="J372" t="str">
            <v>100601</v>
          </cell>
          <cell r="K372" t="str">
            <v>Yes</v>
          </cell>
          <cell r="L372">
            <v>45198</v>
          </cell>
          <cell r="N372" t="str">
            <v>Sonvarsha</v>
          </cell>
        </row>
        <row r="373">
          <cell r="B373">
            <v>10060059</v>
          </cell>
          <cell r="C373" t="str">
            <v>0059</v>
          </cell>
          <cell r="D373" t="str">
            <v>6400</v>
          </cell>
          <cell r="E373" t="str">
            <v>MPG</v>
          </cell>
          <cell r="F373" t="str">
            <v>Indirect</v>
          </cell>
          <cell r="G373" t="str">
            <v xml:space="preserve">AMIT KUMAR                                                                                          </v>
          </cell>
          <cell r="H373" t="str">
            <v>AMIT KUMAR</v>
          </cell>
          <cell r="I373">
            <v>9122822773</v>
          </cell>
          <cell r="J373" t="str">
            <v>100601</v>
          </cell>
          <cell r="K373" t="str">
            <v/>
          </cell>
          <cell r="L373">
            <v>45232</v>
          </cell>
          <cell r="N373" t="str">
            <v>Sonvarsha</v>
          </cell>
        </row>
        <row r="374">
          <cell r="B374">
            <v>10060060</v>
          </cell>
          <cell r="C374" t="str">
            <v>0060</v>
          </cell>
          <cell r="D374" t="str">
            <v>6459</v>
          </cell>
          <cell r="E374" t="str">
            <v>MPG</v>
          </cell>
          <cell r="F374" t="str">
            <v>Indirect</v>
          </cell>
          <cell r="G374" t="str">
            <v xml:space="preserve">Chandan Kumar                                                                                       </v>
          </cell>
          <cell r="H374" t="str">
            <v>CHANDAN KUMAR-2</v>
          </cell>
          <cell r="I374">
            <v>7903744448</v>
          </cell>
          <cell r="J374" t="str">
            <v>100603</v>
          </cell>
          <cell r="K374" t="str">
            <v/>
          </cell>
          <cell r="L374">
            <v>45292</v>
          </cell>
          <cell r="N374" t="str">
            <v>Sonvarsha</v>
          </cell>
        </row>
        <row r="375">
          <cell r="B375">
            <v>10060061</v>
          </cell>
          <cell r="C375" t="str">
            <v>0061</v>
          </cell>
          <cell r="D375" t="str">
            <v>6651</v>
          </cell>
          <cell r="E375" t="str">
            <v>MPG</v>
          </cell>
          <cell r="F375" t="str">
            <v>Indirect</v>
          </cell>
          <cell r="G375" t="str">
            <v xml:space="preserve">Manish kumar                                                                                        </v>
          </cell>
          <cell r="H375" t="str">
            <v>Manish Kumar</v>
          </cell>
          <cell r="I375"/>
          <cell r="J375" t="str">
            <v>100601</v>
          </cell>
          <cell r="K375" t="str">
            <v/>
          </cell>
          <cell r="L375">
            <v>45205</v>
          </cell>
          <cell r="N375" t="str">
            <v>Sonvarsha</v>
          </cell>
        </row>
        <row r="376">
          <cell r="B376">
            <v>10060062</v>
          </cell>
          <cell r="C376" t="str">
            <v>0062</v>
          </cell>
          <cell r="D376" t="str">
            <v>1317</v>
          </cell>
          <cell r="E376" t="str">
            <v>MPG</v>
          </cell>
          <cell r="F376" t="str">
            <v>Indirect</v>
          </cell>
          <cell r="G376" t="str">
            <v>AKHA-KURHA</v>
          </cell>
          <cell r="H376" t="str">
            <v>KRISHN BHUSHAN SINGH</v>
          </cell>
          <cell r="I376" t="str">
            <v/>
          </cell>
          <cell r="J376" t="str">
            <v>100603</v>
          </cell>
          <cell r="K376" t="str">
            <v/>
          </cell>
          <cell r="L376">
            <v>45323</v>
          </cell>
          <cell r="N376" t="str">
            <v>Sonvarsha</v>
          </cell>
        </row>
        <row r="377">
          <cell r="B377">
            <v>10060063</v>
          </cell>
          <cell r="C377" t="str">
            <v>0063</v>
          </cell>
          <cell r="D377" t="str">
            <v>1318</v>
          </cell>
          <cell r="E377" t="str">
            <v>MPG</v>
          </cell>
          <cell r="F377" t="str">
            <v>Indirect</v>
          </cell>
          <cell r="G377" t="str">
            <v>PARMANANDPUR</v>
          </cell>
          <cell r="H377" t="str">
            <v>RAJKUMAR YADAV</v>
          </cell>
          <cell r="I377">
            <v>6204128042</v>
          </cell>
          <cell r="J377" t="str">
            <v>100603</v>
          </cell>
          <cell r="K377" t="str">
            <v/>
          </cell>
          <cell r="L377">
            <v>45292</v>
          </cell>
          <cell r="N377" t="str">
            <v>Sonvarsha</v>
          </cell>
        </row>
        <row r="378">
          <cell r="B378">
            <v>10060064</v>
          </cell>
          <cell r="C378" t="str">
            <v>0064</v>
          </cell>
          <cell r="D378" t="str">
            <v>1319</v>
          </cell>
          <cell r="E378" t="str">
            <v>MPG</v>
          </cell>
          <cell r="F378" t="str">
            <v>Direct</v>
          </cell>
          <cell r="G378" t="str">
            <v>BELDARIYA</v>
          </cell>
          <cell r="H378" t="str">
            <v>ROHIT KUMAR</v>
          </cell>
          <cell r="I378">
            <v>7970919662</v>
          </cell>
          <cell r="J378" t="str">
            <v>100604</v>
          </cell>
          <cell r="K378" t="str">
            <v>Yes</v>
          </cell>
          <cell r="L378">
            <v>45292</v>
          </cell>
          <cell r="N378" t="str">
            <v>Sonvarsha</v>
          </cell>
        </row>
        <row r="379">
          <cell r="B379">
            <v>10060065</v>
          </cell>
          <cell r="C379" t="str">
            <v>0065</v>
          </cell>
          <cell r="D379"/>
          <cell r="E379" t="str">
            <v>MPG</v>
          </cell>
          <cell r="F379" t="str">
            <v>Direct</v>
          </cell>
          <cell r="G379" t="str">
            <v>PURANIDIH-3</v>
          </cell>
          <cell r="H379" t="str">
            <v>KESHAV KUMAR</v>
          </cell>
          <cell r="I379" t="str">
            <v>6299704648</v>
          </cell>
          <cell r="J379" t="str">
            <v>100603</v>
          </cell>
          <cell r="K379"/>
          <cell r="L379">
            <v>45428</v>
          </cell>
          <cell r="N379" t="str">
            <v>Sonvarsha</v>
          </cell>
        </row>
        <row r="380">
          <cell r="B380">
            <v>10060066</v>
          </cell>
          <cell r="C380" t="str">
            <v>0066</v>
          </cell>
          <cell r="D380"/>
          <cell r="E380" t="str">
            <v>MPG</v>
          </cell>
          <cell r="F380" t="str">
            <v>Direct</v>
          </cell>
          <cell r="G380" t="str">
            <v>NISTA</v>
          </cell>
          <cell r="H380" t="str">
            <v>KAJU KUMARI</v>
          </cell>
          <cell r="I380" t="str">
            <v>6204715765</v>
          </cell>
          <cell r="J380" t="str">
            <v>100604</v>
          </cell>
          <cell r="K380"/>
          <cell r="L380">
            <v>45428</v>
          </cell>
          <cell r="N380" t="str">
            <v>Sonvarsha</v>
          </cell>
        </row>
        <row r="381">
          <cell r="B381">
            <v>10060067</v>
          </cell>
          <cell r="C381" t="str">
            <v>0067</v>
          </cell>
          <cell r="D381"/>
          <cell r="E381" t="str">
            <v>MPG</v>
          </cell>
          <cell r="F381" t="str">
            <v>Direct</v>
          </cell>
          <cell r="G381" t="str">
            <v>SHINGARPUR</v>
          </cell>
          <cell r="H381" t="str">
            <v>PRITAM KUMAR</v>
          </cell>
          <cell r="I381">
            <v>9905537583</v>
          </cell>
          <cell r="J381" t="str">
            <v>100604</v>
          </cell>
          <cell r="K381"/>
          <cell r="L381">
            <v>45477</v>
          </cell>
          <cell r="N381" t="str">
            <v>Sonvarsha</v>
          </cell>
        </row>
        <row r="382">
          <cell r="B382">
            <v>10060068</v>
          </cell>
          <cell r="C382" t="str">
            <v>0068</v>
          </cell>
          <cell r="D382"/>
          <cell r="E382" t="str">
            <v>MPG</v>
          </cell>
          <cell r="F382" t="str">
            <v>Direct</v>
          </cell>
          <cell r="G382" t="str">
            <v>BASUHAR</v>
          </cell>
          <cell r="H382" t="str">
            <v>ANKIT KUMAR</v>
          </cell>
          <cell r="I382" t="str">
            <v>7903000912</v>
          </cell>
          <cell r="J382" t="str">
            <v>100603</v>
          </cell>
          <cell r="K382"/>
          <cell r="L382">
            <v>45481</v>
          </cell>
          <cell r="N382" t="str">
            <v>Sonvarsha</v>
          </cell>
        </row>
        <row r="383">
          <cell r="B383">
            <v>10060069</v>
          </cell>
          <cell r="C383" t="str">
            <v>0069</v>
          </cell>
          <cell r="D383"/>
          <cell r="E383" t="str">
            <v>MPG</v>
          </cell>
          <cell r="F383" t="str">
            <v>Direct</v>
          </cell>
          <cell r="G383" t="str">
            <v>BHANDAR</v>
          </cell>
          <cell r="H383" t="str">
            <v>MANISH KUMAR</v>
          </cell>
          <cell r="I383" t="str">
            <v>7759021498</v>
          </cell>
          <cell r="J383" t="str">
            <v>100604</v>
          </cell>
          <cell r="K383"/>
          <cell r="L383">
            <v>45544</v>
          </cell>
          <cell r="N383" t="str">
            <v>Sonvarsha</v>
          </cell>
        </row>
        <row r="384">
          <cell r="B384">
            <v>10060070</v>
          </cell>
          <cell r="C384" t="str">
            <v>0070</v>
          </cell>
          <cell r="D384"/>
          <cell r="E384" t="str">
            <v>MPG</v>
          </cell>
          <cell r="F384" t="str">
            <v>Indirect</v>
          </cell>
          <cell r="G384" t="str">
            <v>JAGAN SAIDPUR</v>
          </cell>
          <cell r="H384" t="str">
            <v>LALAN KUMAR</v>
          </cell>
          <cell r="I384">
            <v>8083517523</v>
          </cell>
          <cell r="J384" t="str">
            <v>100604</v>
          </cell>
          <cell r="K384"/>
          <cell r="L384">
            <v>45573</v>
          </cell>
          <cell r="N384" t="str">
            <v>Sonvarsha</v>
          </cell>
        </row>
        <row r="385">
          <cell r="B385">
            <v>10060071</v>
          </cell>
          <cell r="C385" t="str">
            <v>0071</v>
          </cell>
          <cell r="D385"/>
          <cell r="E385" t="str">
            <v>MPG</v>
          </cell>
          <cell r="F385" t="str">
            <v>Direct</v>
          </cell>
          <cell r="G385" t="str">
            <v>MAHESPUR</v>
          </cell>
          <cell r="H385" t="str">
            <v>MUKESH KUMAR</v>
          </cell>
          <cell r="I385" t="str">
            <v>7488561001</v>
          </cell>
          <cell r="J385" t="str">
            <v>100604</v>
          </cell>
          <cell r="K385"/>
          <cell r="L385">
            <v>45573</v>
          </cell>
          <cell r="N385" t="str">
            <v>Sonvarsha</v>
          </cell>
        </row>
        <row r="386">
          <cell r="B386">
            <v>10060072</v>
          </cell>
          <cell r="C386" t="str">
            <v>0072</v>
          </cell>
          <cell r="D386"/>
          <cell r="E386" t="str">
            <v>MPG</v>
          </cell>
          <cell r="F386" t="str">
            <v>Indirect</v>
          </cell>
          <cell r="G386" t="str">
            <v>JHAGRAHA</v>
          </cell>
          <cell r="H386" t="str">
            <v>MUKESH KUMAR</v>
          </cell>
          <cell r="I386">
            <v>8271923568</v>
          </cell>
          <cell r="J386" t="str">
            <v>100604</v>
          </cell>
          <cell r="K386"/>
          <cell r="L386">
            <v>45594</v>
          </cell>
          <cell r="N386" t="str">
            <v>Sonvarsha</v>
          </cell>
        </row>
        <row r="387">
          <cell r="B387">
            <v>10060073</v>
          </cell>
          <cell r="C387" t="str">
            <v>0073</v>
          </cell>
          <cell r="D387"/>
          <cell r="E387" t="str">
            <v>MPG</v>
          </cell>
          <cell r="F387" t="str">
            <v>Direct</v>
          </cell>
          <cell r="G387" t="str">
            <v>JANKIDIH</v>
          </cell>
          <cell r="H387" t="str">
            <v>LORIK YADAV</v>
          </cell>
          <cell r="I387" t="str">
            <v>8252156288</v>
          </cell>
          <cell r="J387" t="str">
            <v>100604</v>
          </cell>
          <cell r="K387"/>
          <cell r="L387">
            <v>45617</v>
          </cell>
          <cell r="N387" t="str">
            <v>Sonvarsha</v>
          </cell>
        </row>
        <row r="388">
          <cell r="B388">
            <v>10060074</v>
          </cell>
          <cell r="C388" t="str">
            <v>0074</v>
          </cell>
          <cell r="D388"/>
          <cell r="E388" t="str">
            <v>MPG</v>
          </cell>
          <cell r="F388" t="str">
            <v>Direct</v>
          </cell>
          <cell r="G388" t="str">
            <v>BASMATIYA</v>
          </cell>
          <cell r="H388" t="str">
            <v>SUMIT RAJ</v>
          </cell>
          <cell r="I388" t="str">
            <v>8210449652</v>
          </cell>
          <cell r="J388" t="str">
            <v>100604</v>
          </cell>
          <cell r="K388"/>
          <cell r="L388">
            <v>45617</v>
          </cell>
          <cell r="N388" t="str">
            <v>Sonvarsha</v>
          </cell>
        </row>
        <row r="389">
          <cell r="B389">
            <v>10060075</v>
          </cell>
          <cell r="C389" t="str">
            <v>0075</v>
          </cell>
          <cell r="D389"/>
          <cell r="E389" t="str">
            <v>MPG</v>
          </cell>
          <cell r="F389" t="str">
            <v>Direct</v>
          </cell>
          <cell r="G389" t="str">
            <v>PUNADIH</v>
          </cell>
          <cell r="H389" t="str">
            <v>PRIYANKA KUMARI</v>
          </cell>
          <cell r="I389">
            <v>9693760807</v>
          </cell>
          <cell r="J389" t="str">
            <v>100603</v>
          </cell>
          <cell r="K389"/>
          <cell r="L389">
            <v>45622</v>
          </cell>
          <cell r="N389" t="str">
            <v>Sonvarsha</v>
          </cell>
        </row>
        <row r="390">
          <cell r="B390">
            <v>10060076</v>
          </cell>
          <cell r="C390" t="str">
            <v>0076</v>
          </cell>
          <cell r="D390"/>
          <cell r="E390" t="str">
            <v>MPG</v>
          </cell>
          <cell r="F390" t="str">
            <v>Direct</v>
          </cell>
          <cell r="G390" t="str">
            <v>AKHA KURHA</v>
          </cell>
          <cell r="H390" t="str">
            <v>GOLU KUMAR</v>
          </cell>
          <cell r="I390">
            <v>7631951655</v>
          </cell>
          <cell r="J390" t="str">
            <v>100603</v>
          </cell>
          <cell r="K390"/>
          <cell r="L390">
            <v>45646</v>
          </cell>
          <cell r="N390" t="str">
            <v>Sonvarsha</v>
          </cell>
        </row>
        <row r="391">
          <cell r="B391">
            <v>10060077</v>
          </cell>
          <cell r="C391" t="str">
            <v>0077</v>
          </cell>
          <cell r="D391"/>
          <cell r="E391" t="str">
            <v>MPG</v>
          </cell>
          <cell r="F391" t="str">
            <v>Direct</v>
          </cell>
          <cell r="G391" t="str">
            <v>TILATHI</v>
          </cell>
          <cell r="H391" t="str">
            <v>JITENDRA KUMAR</v>
          </cell>
          <cell r="I391">
            <v>6206967505</v>
          </cell>
          <cell r="J391" t="str">
            <v>100602</v>
          </cell>
          <cell r="K391"/>
          <cell r="L391">
            <v>45646</v>
          </cell>
          <cell r="N391" t="str">
            <v>Sonvarsha</v>
          </cell>
        </row>
        <row r="392">
          <cell r="B392">
            <v>10060078</v>
          </cell>
          <cell r="C392" t="str">
            <v>0078</v>
          </cell>
          <cell r="D392"/>
          <cell r="E392" t="str">
            <v>MPG</v>
          </cell>
          <cell r="F392" t="str">
            <v>Direct</v>
          </cell>
          <cell r="G392" t="str">
            <v>BANNUBAGICHA</v>
          </cell>
          <cell r="H392" t="str">
            <v>KAMLESH KUMAR</v>
          </cell>
          <cell r="I392">
            <v>7484964549</v>
          </cell>
          <cell r="J392" t="str">
            <v>100604</v>
          </cell>
          <cell r="K392"/>
          <cell r="L392">
            <v>45646</v>
          </cell>
          <cell r="N392" t="str">
            <v>Sonvarsha</v>
          </cell>
        </row>
        <row r="393">
          <cell r="B393">
            <v>10060079</v>
          </cell>
          <cell r="C393" t="str">
            <v>0079</v>
          </cell>
          <cell r="D393"/>
          <cell r="E393" t="str">
            <v>MPG</v>
          </cell>
          <cell r="F393" t="str">
            <v>Indirect</v>
          </cell>
          <cell r="G393" t="str">
            <v>WHACHAUKI</v>
          </cell>
          <cell r="H393" t="str">
            <v>VIRAT KUMAR</v>
          </cell>
          <cell r="I393">
            <v>8340367100</v>
          </cell>
          <cell r="J393" t="str">
            <v>100601</v>
          </cell>
          <cell r="K393"/>
          <cell r="L393">
            <v>45646</v>
          </cell>
          <cell r="N393" t="str">
            <v>Sonvarsha</v>
          </cell>
        </row>
        <row r="394">
          <cell r="B394">
            <v>10060080</v>
          </cell>
          <cell r="C394" t="str">
            <v>0080</v>
          </cell>
          <cell r="D394"/>
          <cell r="E394" t="str">
            <v>MPG</v>
          </cell>
          <cell r="F394" t="str">
            <v>Indirect</v>
          </cell>
          <cell r="G394" t="str">
            <v>GAHILSTHAN</v>
          </cell>
          <cell r="H394" t="str">
            <v>JAGDISH YADAV</v>
          </cell>
          <cell r="I394">
            <v>8051096451</v>
          </cell>
          <cell r="J394" t="str">
            <v>100601</v>
          </cell>
          <cell r="K394"/>
          <cell r="L394">
            <v>45646</v>
          </cell>
          <cell r="N394" t="str">
            <v>Sonvarsha</v>
          </cell>
        </row>
        <row r="395">
          <cell r="B395">
            <v>10060081</v>
          </cell>
          <cell r="C395" t="str">
            <v>0081</v>
          </cell>
          <cell r="D395"/>
          <cell r="E395" t="str">
            <v>MPG</v>
          </cell>
          <cell r="F395" t="str">
            <v>Indirect</v>
          </cell>
          <cell r="G395" t="str">
            <v xml:space="preserve">RAVIRAJ </v>
          </cell>
          <cell r="H395" t="str">
            <v>RAVIRAJ YADAV</v>
          </cell>
          <cell r="I395">
            <v>9709912543</v>
          </cell>
          <cell r="J395" t="str">
            <v>100601</v>
          </cell>
          <cell r="K395"/>
          <cell r="L395">
            <v>45646</v>
          </cell>
          <cell r="N395" t="str">
            <v>Sonvarsha</v>
          </cell>
        </row>
        <row r="396">
          <cell r="B396">
            <v>10060082</v>
          </cell>
          <cell r="C396" t="str">
            <v>0082</v>
          </cell>
          <cell r="D396"/>
          <cell r="E396" t="str">
            <v>MPG</v>
          </cell>
          <cell r="F396" t="str">
            <v>Indirect</v>
          </cell>
          <cell r="G396" t="str">
            <v>GOMUKH BIJULIYA</v>
          </cell>
          <cell r="H396" t="str">
            <v>CHANDAN KUMAR</v>
          </cell>
          <cell r="I396">
            <v>7903744448</v>
          </cell>
          <cell r="J396" t="str">
            <v>100601</v>
          </cell>
          <cell r="K396"/>
          <cell r="L396">
            <v>45650</v>
          </cell>
          <cell r="N396" t="str">
            <v>Sonvarsha</v>
          </cell>
        </row>
        <row r="397">
          <cell r="B397">
            <v>10060083</v>
          </cell>
          <cell r="C397" t="str">
            <v>0083</v>
          </cell>
          <cell r="D397"/>
          <cell r="E397" t="str">
            <v>MPG</v>
          </cell>
          <cell r="F397" t="str">
            <v>Indirect</v>
          </cell>
          <cell r="G397" t="str">
            <v>GOMUKH WESTOL</v>
          </cell>
          <cell r="H397" t="str">
            <v>DILIP YADAV</v>
          </cell>
          <cell r="I397">
            <v>9504010006</v>
          </cell>
          <cell r="J397" t="str">
            <v>100601</v>
          </cell>
          <cell r="K397"/>
          <cell r="L397">
            <v>45650</v>
          </cell>
          <cell r="N397" t="str">
            <v>Sonvarsha</v>
          </cell>
        </row>
        <row r="398">
          <cell r="B398">
            <v>10060084</v>
          </cell>
          <cell r="C398" t="str">
            <v>0084</v>
          </cell>
          <cell r="D398"/>
          <cell r="E398" t="str">
            <v>MPG</v>
          </cell>
          <cell r="F398" t="str">
            <v>Indirect</v>
          </cell>
          <cell r="G398" t="str">
            <v>GOMUKH AKHA 2</v>
          </cell>
          <cell r="H398" t="str">
            <v>ANIL KUMAR YADAV</v>
          </cell>
          <cell r="I398">
            <v>9631885598</v>
          </cell>
          <cell r="J398" t="str">
            <v>100601</v>
          </cell>
          <cell r="K398"/>
          <cell r="L398">
            <v>45650</v>
          </cell>
          <cell r="N398" t="str">
            <v>Sonvarsha</v>
          </cell>
        </row>
        <row r="399">
          <cell r="B399">
            <v>10060085</v>
          </cell>
          <cell r="C399" t="str">
            <v>0085</v>
          </cell>
          <cell r="D399"/>
          <cell r="E399" t="str">
            <v>MPG</v>
          </cell>
          <cell r="F399" t="str">
            <v>Indirect</v>
          </cell>
          <cell r="G399" t="str">
            <v>GOMUKH  SALHA</v>
          </cell>
          <cell r="H399" t="str">
            <v>BIPIN YADAV</v>
          </cell>
          <cell r="I399">
            <v>9334422593</v>
          </cell>
          <cell r="J399" t="str">
            <v>100601</v>
          </cell>
          <cell r="K399"/>
          <cell r="L399">
            <v>45650</v>
          </cell>
          <cell r="N399" t="str">
            <v>Sonvarsha</v>
          </cell>
        </row>
        <row r="400">
          <cell r="B400">
            <v>10060086</v>
          </cell>
          <cell r="C400" t="str">
            <v>0086</v>
          </cell>
          <cell r="D400"/>
          <cell r="E400" t="str">
            <v>MPG</v>
          </cell>
          <cell r="F400" t="str">
            <v>Indirect</v>
          </cell>
          <cell r="G400" t="str">
            <v>GOMUKH NAWDURGA</v>
          </cell>
          <cell r="H400" t="str">
            <v>HARERAM YADAV</v>
          </cell>
          <cell r="I400">
            <v>7631169248</v>
          </cell>
          <cell r="J400" t="str">
            <v>100604</v>
          </cell>
          <cell r="K400"/>
          <cell r="L400">
            <v>45659</v>
          </cell>
          <cell r="N400" t="str">
            <v>Sonvarsha</v>
          </cell>
        </row>
        <row r="401">
          <cell r="B401">
            <v>10060087</v>
          </cell>
          <cell r="C401" t="str">
            <v>0087</v>
          </cell>
          <cell r="D401"/>
          <cell r="E401" t="str">
            <v>MPG</v>
          </cell>
          <cell r="F401" t="str">
            <v>Indirect</v>
          </cell>
          <cell r="G401" t="str">
            <v>GOMUKH BABABARHAM</v>
          </cell>
          <cell r="H401" t="str">
            <v>SUJIT RAJ</v>
          </cell>
          <cell r="I401" t="str">
            <v>9113446116</v>
          </cell>
          <cell r="J401" t="str">
            <v>100604</v>
          </cell>
          <cell r="K401"/>
          <cell r="L401">
            <v>45659</v>
          </cell>
          <cell r="N401" t="str">
            <v>Sonvarsha</v>
          </cell>
        </row>
        <row r="402">
          <cell r="B402">
            <v>10060088</v>
          </cell>
          <cell r="C402" t="str">
            <v>0088</v>
          </cell>
          <cell r="D402"/>
          <cell r="E402" t="str">
            <v>MPG</v>
          </cell>
          <cell r="F402" t="str">
            <v>Indirect</v>
          </cell>
          <cell r="G402" t="str">
            <v>GOMUKH BHAGWATI STHAN</v>
          </cell>
          <cell r="H402" t="str">
            <v>CHANDAN KUMAR</v>
          </cell>
          <cell r="I402" t="str">
            <v>8051512770</v>
          </cell>
          <cell r="J402" t="str">
            <v>100604</v>
          </cell>
          <cell r="K402"/>
          <cell r="L402">
            <v>45659</v>
          </cell>
          <cell r="N402" t="str">
            <v>Sonvarsha</v>
          </cell>
        </row>
        <row r="403">
          <cell r="B403">
            <v>10060089</v>
          </cell>
          <cell r="C403" t="str">
            <v>0089</v>
          </cell>
          <cell r="D403"/>
          <cell r="E403" t="str">
            <v>MPG</v>
          </cell>
          <cell r="F403" t="str">
            <v>Indirect</v>
          </cell>
          <cell r="G403" t="str">
            <v>GOMUKH NAWTOLIYA(OM PRAKASH)</v>
          </cell>
          <cell r="H403" t="str">
            <v>OM PRAKASH</v>
          </cell>
          <cell r="I403" t="str">
            <v>6200272856</v>
          </cell>
          <cell r="J403" t="str">
            <v>100604</v>
          </cell>
          <cell r="K403"/>
          <cell r="L403">
            <v>45659</v>
          </cell>
          <cell r="N403" t="str">
            <v>Sonvarsha</v>
          </cell>
        </row>
        <row r="404">
          <cell r="B404">
            <v>10060090</v>
          </cell>
          <cell r="C404" t="str">
            <v>0090</v>
          </cell>
          <cell r="D404"/>
          <cell r="E404" t="str">
            <v>MPG</v>
          </cell>
          <cell r="F404" t="str">
            <v>Direct</v>
          </cell>
          <cell r="G404" t="str">
            <v>SANGRAMPUR</v>
          </cell>
          <cell r="H404" t="str">
            <v>PUSPA KUMARI</v>
          </cell>
          <cell r="I404" t="str">
            <v>9572527532</v>
          </cell>
          <cell r="J404" t="str">
            <v>100604</v>
          </cell>
          <cell r="K404"/>
          <cell r="L404">
            <v>45684</v>
          </cell>
          <cell r="N404" t="str">
            <v>Sonvarsha</v>
          </cell>
        </row>
        <row r="405">
          <cell r="B405">
            <v>10060091</v>
          </cell>
          <cell r="C405" t="str">
            <v>0091</v>
          </cell>
          <cell r="D405"/>
          <cell r="E405" t="str">
            <v>MPG</v>
          </cell>
          <cell r="F405" t="str">
            <v>Indirect</v>
          </cell>
          <cell r="G405" t="str">
            <v>GOMUKH SAIDPURA</v>
          </cell>
          <cell r="H405" t="str">
            <v>AVINASH KUMAR</v>
          </cell>
          <cell r="I405" t="str">
            <v>8409037200</v>
          </cell>
          <cell r="J405" t="str">
            <v>100604</v>
          </cell>
          <cell r="K405"/>
          <cell r="L405">
            <v>45684</v>
          </cell>
          <cell r="N405" t="str">
            <v>Sonvarsha</v>
          </cell>
        </row>
        <row r="406">
          <cell r="B406">
            <v>10060092</v>
          </cell>
          <cell r="C406" t="str">
            <v>0092</v>
          </cell>
          <cell r="D406"/>
          <cell r="E406" t="str">
            <v>MPG</v>
          </cell>
          <cell r="F406" t="str">
            <v>Indirect</v>
          </cell>
          <cell r="G406" t="str">
            <v>GOMUKH JHAGRAHA</v>
          </cell>
          <cell r="H406" t="str">
            <v>CHAILA KUMAR</v>
          </cell>
          <cell r="I406" t="str">
            <v>8968886334</v>
          </cell>
          <cell r="J406" t="str">
            <v>100604</v>
          </cell>
          <cell r="K406"/>
          <cell r="L406">
            <v>45684</v>
          </cell>
          <cell r="N406" t="str">
            <v>Sonvarsha</v>
          </cell>
        </row>
        <row r="407">
          <cell r="B407">
            <v>10060093</v>
          </cell>
          <cell r="C407" t="str">
            <v>0093</v>
          </cell>
          <cell r="D407"/>
          <cell r="E407" t="str">
            <v>MPG</v>
          </cell>
          <cell r="F407" t="str">
            <v>Direct</v>
          </cell>
          <cell r="G407" t="str">
            <v>CHANNAYA</v>
          </cell>
          <cell r="H407" t="str">
            <v>RAMTA KUMARI</v>
          </cell>
          <cell r="I407">
            <v>8409037202</v>
          </cell>
          <cell r="J407" t="str">
            <v>100603</v>
          </cell>
          <cell r="K407"/>
          <cell r="L407">
            <v>45706</v>
          </cell>
          <cell r="N407" t="str">
            <v>Sonvarsha</v>
          </cell>
        </row>
        <row r="408">
          <cell r="B408">
            <v>10060094</v>
          </cell>
          <cell r="C408" t="str">
            <v>0094</v>
          </cell>
          <cell r="D408"/>
          <cell r="E408" t="str">
            <v>MPG</v>
          </cell>
          <cell r="F408" t="str">
            <v>Indirect</v>
          </cell>
          <cell r="G408" t="str">
            <v>GOMUKH BHAWANIPUR</v>
          </cell>
          <cell r="H408" t="str">
            <v>Sentu kumar</v>
          </cell>
          <cell r="I408" t="str">
            <v>7549523839</v>
          </cell>
          <cell r="J408" t="str">
            <v>100603</v>
          </cell>
          <cell r="K408"/>
          <cell r="L408">
            <v>45706</v>
          </cell>
          <cell r="N408" t="str">
            <v>Sonvarsha</v>
          </cell>
        </row>
        <row r="409">
          <cell r="B409">
            <v>10060095</v>
          </cell>
          <cell r="C409" t="str">
            <v>0095</v>
          </cell>
          <cell r="D409"/>
          <cell r="E409" t="str">
            <v>MPG</v>
          </cell>
          <cell r="F409" t="str">
            <v>Indirect</v>
          </cell>
          <cell r="G409" t="str">
            <v xml:space="preserve">GOMUKH RAVI RAY TOLA </v>
          </cell>
          <cell r="H409" t="str">
            <v>DHARAMBIR KUMAR</v>
          </cell>
          <cell r="I409">
            <v>7549523840</v>
          </cell>
          <cell r="J409" t="str">
            <v>100603</v>
          </cell>
          <cell r="K409"/>
          <cell r="L409">
            <v>45706</v>
          </cell>
          <cell r="N409" t="str">
            <v>Sonvarsha</v>
          </cell>
        </row>
        <row r="410">
          <cell r="B410">
            <v>10060096</v>
          </cell>
          <cell r="C410" t="str">
            <v>0096</v>
          </cell>
          <cell r="D410"/>
          <cell r="E410" t="str">
            <v>MPG</v>
          </cell>
          <cell r="F410" t="str">
            <v>Indirect</v>
          </cell>
          <cell r="G410" t="str">
            <v>GOMUKH CHASMASKAN</v>
          </cell>
          <cell r="H410" t="str">
            <v>SUSHIL KUMAR</v>
          </cell>
          <cell r="I410" t="str">
            <v>8521026181</v>
          </cell>
          <cell r="J410" t="str">
            <v>100603</v>
          </cell>
          <cell r="K410"/>
          <cell r="L410">
            <v>45706</v>
          </cell>
          <cell r="N410" t="str">
            <v>Sonvarsha</v>
          </cell>
        </row>
        <row r="411">
          <cell r="B411">
            <v>10060097</v>
          </cell>
          <cell r="C411" t="str">
            <v>0097</v>
          </cell>
          <cell r="D411"/>
          <cell r="E411" t="str">
            <v>MPG</v>
          </cell>
          <cell r="F411" t="str">
            <v>Indirect</v>
          </cell>
          <cell r="G411" t="str">
            <v>GOMUKH KAJITOLA</v>
          </cell>
          <cell r="H411" t="str">
            <v>RAJKUMAR YADAV</v>
          </cell>
          <cell r="I411" t="str">
            <v>9113852873</v>
          </cell>
          <cell r="J411" t="str">
            <v>100604</v>
          </cell>
          <cell r="K411"/>
          <cell r="L411">
            <v>45734</v>
          </cell>
          <cell r="N411" t="str">
            <v>Sonvarsha</v>
          </cell>
        </row>
        <row r="412">
          <cell r="B412">
            <v>10060098</v>
          </cell>
          <cell r="C412" t="str">
            <v>0098</v>
          </cell>
          <cell r="D412"/>
          <cell r="E412" t="str">
            <v>MPG</v>
          </cell>
          <cell r="F412" t="str">
            <v>Direct</v>
          </cell>
          <cell r="G412" t="str">
            <v>RAMDEV TOLA</v>
          </cell>
          <cell r="H412" t="str">
            <v>NITISH KUMAR</v>
          </cell>
          <cell r="I412" t="str">
            <v>9123411760</v>
          </cell>
          <cell r="J412" t="str">
            <v>100604</v>
          </cell>
          <cell r="K412"/>
          <cell r="L412">
            <v>45734</v>
          </cell>
          <cell r="N412" t="str">
            <v>Sonvarsha</v>
          </cell>
        </row>
        <row r="413">
          <cell r="B413">
            <v>10060099</v>
          </cell>
          <cell r="C413" t="str">
            <v>0099</v>
          </cell>
          <cell r="D413"/>
          <cell r="E413" t="str">
            <v>MPG</v>
          </cell>
          <cell r="F413" t="str">
            <v>Indirect</v>
          </cell>
          <cell r="G413" t="str">
            <v>GOMUKH SALEMPUR</v>
          </cell>
          <cell r="H413" t="str">
            <v>SAJAN KUMAR</v>
          </cell>
          <cell r="I413" t="str">
            <v>8207632472</v>
          </cell>
          <cell r="J413" t="str">
            <v>100603</v>
          </cell>
          <cell r="K413"/>
          <cell r="L413">
            <v>45734</v>
          </cell>
          <cell r="N413" t="str">
            <v>Sonvarsha</v>
          </cell>
        </row>
        <row r="414">
          <cell r="B414">
            <v>10060100</v>
          </cell>
          <cell r="C414" t="str">
            <v>0100</v>
          </cell>
          <cell r="D414"/>
          <cell r="E414" t="str">
            <v>MPG</v>
          </cell>
          <cell r="F414" t="str">
            <v>Direct</v>
          </cell>
          <cell r="G414" t="str">
            <v>KHAIRA</v>
          </cell>
          <cell r="H414" t="str">
            <v>SUDHIR YADAV</v>
          </cell>
          <cell r="I414">
            <v>7295063497</v>
          </cell>
          <cell r="J414" t="str">
            <v>100603</v>
          </cell>
          <cell r="K414"/>
          <cell r="L414">
            <v>45734</v>
          </cell>
          <cell r="N414" t="str">
            <v>Sonvarsha</v>
          </cell>
        </row>
        <row r="415">
          <cell r="B415">
            <v>10060101</v>
          </cell>
          <cell r="C415" t="str">
            <v>0101</v>
          </cell>
          <cell r="D415"/>
          <cell r="E415" t="str">
            <v>MPG</v>
          </cell>
          <cell r="F415" t="str">
            <v>Indirect</v>
          </cell>
          <cell r="G415" t="str">
            <v>GOMUKH SHAMHO 2</v>
          </cell>
          <cell r="H415" t="str">
            <v>PRAMOD KUMAR</v>
          </cell>
          <cell r="I415" t="str">
            <v>8651205807</v>
          </cell>
          <cell r="J415" t="str">
            <v>100603</v>
          </cell>
          <cell r="K415"/>
          <cell r="L415">
            <v>45748</v>
          </cell>
          <cell r="N415" t="str">
            <v>Sonvarsha</v>
          </cell>
        </row>
        <row r="416">
          <cell r="B416">
            <v>10060102</v>
          </cell>
          <cell r="C416" t="str">
            <v>0102</v>
          </cell>
          <cell r="D416"/>
          <cell r="E416" t="str">
            <v>MPG</v>
          </cell>
          <cell r="F416" t="str">
            <v>Indirect</v>
          </cell>
          <cell r="G416" t="str">
            <v>GOMUKH Gopalpur</v>
          </cell>
          <cell r="H416" t="str">
            <v>RAJESH KUMAR</v>
          </cell>
          <cell r="I416" t="str">
            <v>9939426367</v>
          </cell>
          <cell r="J416" t="str">
            <v>100603</v>
          </cell>
          <cell r="K416"/>
          <cell r="L416">
            <v>45748</v>
          </cell>
          <cell r="N416" t="str">
            <v>Sonvarsha</v>
          </cell>
        </row>
        <row r="417">
          <cell r="B417">
            <v>10060103</v>
          </cell>
          <cell r="C417" t="str">
            <v>0103</v>
          </cell>
          <cell r="D417"/>
          <cell r="E417" t="str">
            <v>MPG</v>
          </cell>
          <cell r="F417" t="str">
            <v>Direct</v>
          </cell>
          <cell r="G417" t="str">
            <v>LADHAUNA</v>
          </cell>
          <cell r="H417" t="str">
            <v>BHAVESH PATHAK</v>
          </cell>
          <cell r="I417">
            <v>8877035526</v>
          </cell>
          <cell r="J417" t="str">
            <v>100604</v>
          </cell>
          <cell r="K417"/>
          <cell r="L417">
            <v>45748</v>
          </cell>
          <cell r="N417" t="str">
            <v>Sonvarsha</v>
          </cell>
        </row>
        <row r="418">
          <cell r="B418">
            <v>10060104</v>
          </cell>
          <cell r="C418" t="str">
            <v>0104</v>
          </cell>
          <cell r="D418"/>
          <cell r="E418" t="str">
            <v>MPG</v>
          </cell>
          <cell r="F418" t="str">
            <v>Indirect</v>
          </cell>
          <cell r="G418" t="str">
            <v>GOMUKH KATEHAR</v>
          </cell>
          <cell r="H418" t="str">
            <v>Deepak Kumar</v>
          </cell>
          <cell r="I418">
            <v>9060342178</v>
          </cell>
          <cell r="J418" t="str">
            <v>100604</v>
          </cell>
          <cell r="K418"/>
          <cell r="L418">
            <v>45768</v>
          </cell>
          <cell r="N418" t="str">
            <v>Sonvarsha</v>
          </cell>
        </row>
        <row r="419">
          <cell r="B419">
            <v>10060105</v>
          </cell>
          <cell r="C419" t="str">
            <v>0105</v>
          </cell>
          <cell r="D419"/>
          <cell r="E419" t="str">
            <v>MPG</v>
          </cell>
          <cell r="F419" t="str">
            <v>Indirect</v>
          </cell>
          <cell r="G419" t="str">
            <v>Gomukh Totha</v>
          </cell>
          <cell r="H419" t="str">
            <v>GAUTAM KUMAR</v>
          </cell>
          <cell r="I419">
            <v>8674924515</v>
          </cell>
          <cell r="J419" t="str">
            <v>100604</v>
          </cell>
          <cell r="K419"/>
          <cell r="L419">
            <v>45771</v>
          </cell>
          <cell r="N419" t="str">
            <v>Sonvarsha</v>
          </cell>
        </row>
        <row r="420">
          <cell r="B420">
            <v>10060106</v>
          </cell>
          <cell r="C420" t="str">
            <v>0106</v>
          </cell>
          <cell r="D420"/>
          <cell r="E420" t="str">
            <v>MPG</v>
          </cell>
          <cell r="F420" t="str">
            <v>Direct</v>
          </cell>
          <cell r="G420" t="str">
            <v>PIPARPATI</v>
          </cell>
          <cell r="H420" t="str">
            <v>KOMAL KUMARI</v>
          </cell>
          <cell r="I420" t="str">
            <v>9504366949</v>
          </cell>
          <cell r="J420" t="str">
            <v>100601</v>
          </cell>
          <cell r="K420"/>
          <cell r="L420">
            <v>45784</v>
          </cell>
          <cell r="N420" t="str">
            <v>Sonvarsha</v>
          </cell>
        </row>
        <row r="421">
          <cell r="B421">
            <v>10060107</v>
          </cell>
          <cell r="C421" t="str">
            <v>0107</v>
          </cell>
          <cell r="D421"/>
          <cell r="E421" t="str">
            <v>MPG</v>
          </cell>
          <cell r="F421" t="str">
            <v>Indirect</v>
          </cell>
          <cell r="G421" t="str">
            <v>GOMUKH JAGMAGLA</v>
          </cell>
          <cell r="H421" t="str">
            <v>RAM PRAVESH YADAV</v>
          </cell>
          <cell r="I421">
            <v>6205524762</v>
          </cell>
          <cell r="J421" t="str">
            <v>100604</v>
          </cell>
          <cell r="K421"/>
          <cell r="L421">
            <v>45790</v>
          </cell>
          <cell r="N421" t="str">
            <v>Sonvarsha</v>
          </cell>
        </row>
        <row r="422">
          <cell r="B422">
            <v>10060108</v>
          </cell>
          <cell r="C422" t="str">
            <v>0108</v>
          </cell>
          <cell r="D422"/>
          <cell r="E422" t="str">
            <v>MPG</v>
          </cell>
          <cell r="F422" t="str">
            <v>Indirect</v>
          </cell>
          <cell r="G422" t="str">
            <v>GOMUKH RASALPUR</v>
          </cell>
          <cell r="H422" t="str">
            <v>Vivekanand Yadav</v>
          </cell>
          <cell r="I422">
            <v>8083201055</v>
          </cell>
          <cell r="J422" t="str">
            <v>100601</v>
          </cell>
          <cell r="K422"/>
          <cell r="L422">
            <v>45790</v>
          </cell>
          <cell r="N422" t="str">
            <v>Sonvarsha</v>
          </cell>
        </row>
        <row r="423">
          <cell r="B423">
            <v>10060109</v>
          </cell>
          <cell r="C423" t="str">
            <v>0109</v>
          </cell>
          <cell r="D423"/>
          <cell r="E423" t="str">
            <v>MPG</v>
          </cell>
          <cell r="F423" t="str">
            <v>Direct</v>
          </cell>
          <cell r="G423" t="str">
            <v>PACHRUKHI</v>
          </cell>
          <cell r="H423" t="str">
            <v>ARVIND JHA</v>
          </cell>
          <cell r="I423" t="str">
            <v>7667068219</v>
          </cell>
          <cell r="J423" t="str">
            <v>100605</v>
          </cell>
          <cell r="K423"/>
          <cell r="L423">
            <v>45827</v>
          </cell>
          <cell r="N423" t="str">
            <v>Sonvarsha</v>
          </cell>
        </row>
        <row r="424">
          <cell r="B424">
            <v>10060110</v>
          </cell>
          <cell r="C424" t="str">
            <v>0110</v>
          </cell>
          <cell r="D424"/>
          <cell r="E424" t="str">
            <v>MPG</v>
          </cell>
          <cell r="F424" t="str">
            <v>Direct</v>
          </cell>
          <cell r="G424" t="str">
            <v>ORABAGICHA</v>
          </cell>
          <cell r="H424" t="str">
            <v>GOURI DEVI</v>
          </cell>
          <cell r="I424" t="str">
            <v>9234721308</v>
          </cell>
          <cell r="J424" t="str">
            <v>100605</v>
          </cell>
          <cell r="K424"/>
          <cell r="L424">
            <v>45827</v>
          </cell>
          <cell r="N424" t="str">
            <v>Sonvarsha</v>
          </cell>
        </row>
        <row r="425">
          <cell r="B425">
            <v>10060111</v>
          </cell>
          <cell r="C425" t="str">
            <v>0111</v>
          </cell>
          <cell r="D425"/>
          <cell r="E425" t="str">
            <v>MPG</v>
          </cell>
          <cell r="F425" t="str">
            <v>Direct</v>
          </cell>
          <cell r="G425" t="str">
            <v>KHAJURIYA</v>
          </cell>
          <cell r="H425" t="str">
            <v>NIRANJAN KUMAR</v>
          </cell>
          <cell r="I425" t="str">
            <v>7250601641</v>
          </cell>
          <cell r="J425" t="str">
            <v>100605</v>
          </cell>
          <cell r="K425"/>
          <cell r="L425">
            <v>45827</v>
          </cell>
          <cell r="N425" t="str">
            <v>Sonvarsha</v>
          </cell>
        </row>
        <row r="426">
          <cell r="B426">
            <v>10060112</v>
          </cell>
          <cell r="C426" t="str">
            <v>0112</v>
          </cell>
          <cell r="D426"/>
          <cell r="E426" t="str">
            <v>MPG</v>
          </cell>
          <cell r="F426" t="str">
            <v>Indirect</v>
          </cell>
          <cell r="G426" t="str">
            <v>ADALPUR</v>
          </cell>
          <cell r="H426" t="str">
            <v>JULI DEVI</v>
          </cell>
          <cell r="I426" t="str">
            <v>9279335213</v>
          </cell>
          <cell r="J426" t="str">
            <v>100605</v>
          </cell>
          <cell r="K426"/>
          <cell r="L426">
            <v>45827</v>
          </cell>
          <cell r="N426" t="str">
            <v>Sonvarsha</v>
          </cell>
        </row>
        <row r="427">
          <cell r="B427">
            <v>10060113</v>
          </cell>
          <cell r="C427" t="str">
            <v>0113</v>
          </cell>
          <cell r="D427"/>
          <cell r="E427" t="str">
            <v>MPG</v>
          </cell>
          <cell r="F427" t="str">
            <v>Indirect</v>
          </cell>
          <cell r="G427" t="str">
            <v>NAYA SALEMPUR</v>
          </cell>
          <cell r="H427" t="str">
            <v>RAJIV KUMAR</v>
          </cell>
          <cell r="I427" t="str">
            <v>9852309030</v>
          </cell>
          <cell r="J427" t="str">
            <v>100605</v>
          </cell>
          <cell r="K427"/>
          <cell r="L427">
            <v>45827</v>
          </cell>
          <cell r="N427" t="str">
            <v>Sonvarsha</v>
          </cell>
        </row>
        <row r="428">
          <cell r="B428">
            <v>10060114</v>
          </cell>
          <cell r="C428" t="str">
            <v>0114</v>
          </cell>
          <cell r="D428"/>
          <cell r="E428" t="str">
            <v>MPG</v>
          </cell>
          <cell r="F428" t="str">
            <v>Direct</v>
          </cell>
          <cell r="G428" t="str">
            <v>MANO 2</v>
          </cell>
          <cell r="H428" t="str">
            <v>RAKESH KUMAR</v>
          </cell>
          <cell r="I428">
            <v>9798784103</v>
          </cell>
          <cell r="J428" t="str">
            <v>100603</v>
          </cell>
          <cell r="K428"/>
          <cell r="L428">
            <v>45842</v>
          </cell>
          <cell r="N428" t="str">
            <v>Sonvarsha</v>
          </cell>
        </row>
        <row r="429">
          <cell r="B429">
            <v>10060115</v>
          </cell>
          <cell r="C429" t="str">
            <v>0115</v>
          </cell>
          <cell r="D429"/>
          <cell r="E429" t="str">
            <v>MPG</v>
          </cell>
          <cell r="F429" t="str">
            <v>Direct</v>
          </cell>
          <cell r="G429" t="str">
            <v>Champanagar</v>
          </cell>
          <cell r="H429" t="str">
            <v>CHOTTU KUMAR</v>
          </cell>
          <cell r="I429" t="str">
            <v>9905708539</v>
          </cell>
          <cell r="J429" t="str">
            <v>100603</v>
          </cell>
          <cell r="K429"/>
          <cell r="L429">
            <v>45852</v>
          </cell>
          <cell r="N429" t="str">
            <v>Sonvarsha</v>
          </cell>
        </row>
        <row r="430">
          <cell r="B430">
            <v>10060116</v>
          </cell>
          <cell r="C430" t="str">
            <v>0116</v>
          </cell>
          <cell r="D430"/>
          <cell r="E430" t="str">
            <v>MPG</v>
          </cell>
          <cell r="F430" t="str">
            <v>Direct</v>
          </cell>
          <cell r="G430" t="str">
            <v>LOSDHANI</v>
          </cell>
          <cell r="H430" t="str">
            <v>RINKU DEVI</v>
          </cell>
          <cell r="I430" t="str">
            <v>8210634651</v>
          </cell>
          <cell r="J430" t="str">
            <v>100605</v>
          </cell>
          <cell r="K430"/>
          <cell r="L430">
            <v>45890</v>
          </cell>
          <cell r="N430" t="str">
            <v>Sonvarsha</v>
          </cell>
        </row>
        <row r="431">
          <cell r="B431">
            <v>10060117</v>
          </cell>
          <cell r="C431" t="str">
            <v>0117</v>
          </cell>
          <cell r="D431"/>
          <cell r="E431" t="str">
            <v>MPG</v>
          </cell>
          <cell r="F431" t="str">
            <v>Indirect</v>
          </cell>
          <cell r="G431" t="str">
            <v>GOMUKH MAHGAMA</v>
          </cell>
          <cell r="H431" t="str">
            <v>MITHLESH KUMAR</v>
          </cell>
          <cell r="I431">
            <v>9199223563</v>
          </cell>
          <cell r="J431" t="str">
            <v>100605</v>
          </cell>
          <cell r="K431"/>
          <cell r="L431">
            <v>45909</v>
          </cell>
          <cell r="N431" t="str">
            <v>Sonvarsha</v>
          </cell>
        </row>
        <row r="432">
          <cell r="B432">
            <v>10060118</v>
          </cell>
          <cell r="C432" t="str">
            <v>0118</v>
          </cell>
          <cell r="D432"/>
          <cell r="E432" t="str">
            <v>MPG</v>
          </cell>
          <cell r="F432" t="str">
            <v>Indirect</v>
          </cell>
          <cell r="G432" t="str">
            <v>GOMUKH BAGALWA</v>
          </cell>
          <cell r="H432" t="str">
            <v>AMRESH KUMAR</v>
          </cell>
          <cell r="I432">
            <v>9576888602</v>
          </cell>
          <cell r="J432" t="str">
            <v>100605</v>
          </cell>
          <cell r="K432"/>
          <cell r="L432">
            <v>45909</v>
          </cell>
          <cell r="N432" t="str">
            <v>Sonvarsha</v>
          </cell>
        </row>
        <row r="433">
          <cell r="B433">
            <v>10060119</v>
          </cell>
          <cell r="C433" t="str">
            <v>0119</v>
          </cell>
          <cell r="D433"/>
          <cell r="E433" t="str">
            <v>MPG</v>
          </cell>
          <cell r="F433" t="str">
            <v>Indirect</v>
          </cell>
          <cell r="G433" t="str">
            <v>PURBI CHASMASKAN</v>
          </cell>
          <cell r="H433" t="str">
            <v>Ajit Yadav</v>
          </cell>
          <cell r="I433">
            <v>9813060956</v>
          </cell>
          <cell r="J433" t="str">
            <v>100605</v>
          </cell>
          <cell r="K433"/>
          <cell r="L433">
            <v>45923</v>
          </cell>
          <cell r="N433" t="str">
            <v>Sonvarsha</v>
          </cell>
        </row>
        <row r="434">
          <cell r="B434">
            <v>10060120</v>
          </cell>
          <cell r="C434" t="str">
            <v>0120</v>
          </cell>
          <cell r="D434"/>
          <cell r="E434" t="str">
            <v>MPG</v>
          </cell>
          <cell r="F434" t="str">
            <v>Indirect</v>
          </cell>
          <cell r="G434" t="str">
            <v>GOMUKH LARYATAL</v>
          </cell>
          <cell r="H434" t="str">
            <v>VIRENDRA KUMAR</v>
          </cell>
          <cell r="I434">
            <v>9905811733</v>
          </cell>
          <cell r="J434" t="str">
            <v>100605</v>
          </cell>
          <cell r="K434"/>
          <cell r="L434">
            <v>45926</v>
          </cell>
          <cell r="N434" t="str">
            <v>Sonvarsha</v>
          </cell>
        </row>
        <row r="435">
          <cell r="B435">
            <v>10060121</v>
          </cell>
          <cell r="C435" t="str">
            <v>0121</v>
          </cell>
          <cell r="D435"/>
          <cell r="E435" t="str">
            <v>MPG</v>
          </cell>
          <cell r="F435" t="str">
            <v>Direct</v>
          </cell>
          <cell r="G435" t="str">
            <v>CHANDANPURA</v>
          </cell>
          <cell r="H435" t="str">
            <v>JITENDRA KUMAR</v>
          </cell>
          <cell r="I435">
            <v>7004934761</v>
          </cell>
          <cell r="J435" t="str">
            <v>100605</v>
          </cell>
          <cell r="K435"/>
          <cell r="L435">
            <v>45926</v>
          </cell>
          <cell r="N435" t="str">
            <v>Sonvarsha</v>
          </cell>
        </row>
        <row r="436">
          <cell r="B436">
            <v>10060122</v>
          </cell>
          <cell r="C436" t="str">
            <v>0122</v>
          </cell>
          <cell r="D436"/>
          <cell r="E436" t="str">
            <v>MPG</v>
          </cell>
          <cell r="F436" t="str">
            <v>Indirect</v>
          </cell>
          <cell r="G436" t="str">
            <v>GOMUKH BHITAKITA</v>
          </cell>
          <cell r="H436" t="str">
            <v>SAROJ KUMAR</v>
          </cell>
          <cell r="I436">
            <v>6202001947</v>
          </cell>
          <cell r="J436" t="str">
            <v>100605</v>
          </cell>
          <cell r="K436"/>
          <cell r="L436">
            <v>45939</v>
          </cell>
          <cell r="N436" t="str">
            <v>Sonvarsha</v>
          </cell>
        </row>
        <row r="437">
          <cell r="B437">
            <v>10060123</v>
          </cell>
          <cell r="C437" t="str">
            <v>0123</v>
          </cell>
          <cell r="D437"/>
          <cell r="E437" t="str">
            <v>MPG</v>
          </cell>
          <cell r="F437" t="str">
            <v>Indirect</v>
          </cell>
          <cell r="G437" t="str">
            <v>GOMUKH KOYLO</v>
          </cell>
          <cell r="H437" t="str">
            <v>vikash kumar</v>
          </cell>
          <cell r="I437">
            <v>9341936308</v>
          </cell>
          <cell r="J437" t="str">
            <v>100605</v>
          </cell>
          <cell r="K437"/>
          <cell r="L437">
            <v>45976</v>
          </cell>
          <cell r="N437" t="str">
            <v>Sonvarsha</v>
          </cell>
        </row>
        <row r="438">
          <cell r="B438">
            <v>10060124</v>
          </cell>
          <cell r="C438" t="str">
            <v>0124</v>
          </cell>
          <cell r="D438"/>
          <cell r="E438" t="str">
            <v>MPG</v>
          </cell>
          <cell r="F438" t="str">
            <v>Direct</v>
          </cell>
          <cell r="G438" t="str">
            <v>SINGHOL</v>
          </cell>
          <cell r="H438" t="str">
            <v>RINKU DEVI</v>
          </cell>
          <cell r="I438">
            <v>9801434771</v>
          </cell>
          <cell r="J438" t="str">
            <v>100604</v>
          </cell>
          <cell r="K438"/>
          <cell r="L438">
            <v>45980</v>
          </cell>
          <cell r="N438" t="str">
            <v>Sonvarsha</v>
          </cell>
        </row>
        <row r="439">
          <cell r="B439">
            <v>10060125</v>
          </cell>
          <cell r="C439" t="str">
            <v>0125</v>
          </cell>
          <cell r="D439"/>
          <cell r="E439" t="str">
            <v>MPG</v>
          </cell>
          <cell r="F439" t="str">
            <v>Indirect</v>
          </cell>
          <cell r="G439" t="str">
            <v>GOMUKH OJONTOLA</v>
          </cell>
          <cell r="H439" t="str">
            <v>NIRAJ KUMAR</v>
          </cell>
          <cell r="I439">
            <v>6204715765</v>
          </cell>
          <cell r="J439" t="str">
            <v>100604</v>
          </cell>
          <cell r="K439"/>
          <cell r="L439">
            <v>46000</v>
          </cell>
          <cell r="N439" t="str">
            <v>Sonvarsha</v>
          </cell>
        </row>
        <row r="440">
          <cell r="B440">
            <v>10060126</v>
          </cell>
          <cell r="C440" t="str">
            <v>0126</v>
          </cell>
          <cell r="D440"/>
          <cell r="E440" t="str">
            <v>MPG</v>
          </cell>
          <cell r="F440" t="str">
            <v>Direct</v>
          </cell>
          <cell r="G440" t="str">
            <v>KHUDDIBAN SHIVNAGAR</v>
          </cell>
          <cell r="H440" t="str">
            <v>AMAN KUMAR</v>
          </cell>
          <cell r="I440">
            <v>6204241223</v>
          </cell>
          <cell r="J440" t="str">
            <v>100605</v>
          </cell>
          <cell r="K440"/>
          <cell r="L440">
            <v>46015</v>
          </cell>
          <cell r="N440" t="str">
            <v>Sonvarsha</v>
          </cell>
        </row>
        <row r="441">
          <cell r="B441">
            <v>10060127</v>
          </cell>
          <cell r="C441" t="str">
            <v>0127</v>
          </cell>
          <cell r="D441"/>
          <cell r="E441" t="str">
            <v>MPG</v>
          </cell>
          <cell r="F441" t="str">
            <v>Indirect</v>
          </cell>
          <cell r="G441" t="str">
            <v>GOMUKH JHAPANI</v>
          </cell>
          <cell r="H441" t="str">
            <v>nileh kumar</v>
          </cell>
          <cell r="I441">
            <v>9113314373</v>
          </cell>
          <cell r="J441" t="str">
            <v>100605</v>
          </cell>
          <cell r="K441"/>
          <cell r="L441">
            <v>46015</v>
          </cell>
          <cell r="N441" t="str">
            <v>Sonvarsha</v>
          </cell>
        </row>
        <row r="442">
          <cell r="B442">
            <v>10060128</v>
          </cell>
          <cell r="C442" t="str">
            <v>0128</v>
          </cell>
          <cell r="D442"/>
          <cell r="E442" t="str">
            <v>MPG</v>
          </cell>
          <cell r="F442" t="str">
            <v>Indirect</v>
          </cell>
          <cell r="G442" t="str">
            <v>GOMUKH GANGAKINARE</v>
          </cell>
          <cell r="H442" t="str">
            <v>MIKEL KUMAR</v>
          </cell>
          <cell r="I442">
            <v>9279549902</v>
          </cell>
          <cell r="J442" t="str">
            <v>100605</v>
          </cell>
          <cell r="K442"/>
          <cell r="L442">
            <v>46038</v>
          </cell>
          <cell r="N442" t="str">
            <v>Sonvarsha</v>
          </cell>
        </row>
        <row r="443">
          <cell r="B443">
            <v>10060129</v>
          </cell>
          <cell r="C443" t="str">
            <v>0129</v>
          </cell>
          <cell r="D443"/>
          <cell r="E443" t="str">
            <v>MPG</v>
          </cell>
          <cell r="F443" t="str">
            <v>Direct</v>
          </cell>
          <cell r="G443" t="str">
            <v>BARIYARPUR</v>
          </cell>
          <cell r="H443" t="str">
            <v>PRINCE K SINHA</v>
          </cell>
          <cell r="I443">
            <v>7546086110</v>
          </cell>
          <cell r="J443" t="str">
            <v>100605</v>
          </cell>
          <cell r="K443"/>
          <cell r="L443">
            <v>46043</v>
          </cell>
          <cell r="N443" t="str">
            <v>Sonvarsha</v>
          </cell>
        </row>
        <row r="444">
          <cell r="B444">
            <v>10060130</v>
          </cell>
          <cell r="C444" t="str">
            <v>0130</v>
          </cell>
          <cell r="D444"/>
          <cell r="E444" t="str">
            <v>MPG</v>
          </cell>
          <cell r="F444" t="str">
            <v>Direct</v>
          </cell>
          <cell r="G444" t="str">
            <v>MASUDAN</v>
          </cell>
          <cell r="H444" t="str">
            <v>RAUNAK KUMAR</v>
          </cell>
          <cell r="I444">
            <v>8210698078</v>
          </cell>
          <cell r="J444" t="str">
            <v>100605</v>
          </cell>
          <cell r="K444"/>
          <cell r="L444">
            <v>46043</v>
          </cell>
          <cell r="N444" t="str">
            <v>Sonvarsha</v>
          </cell>
        </row>
        <row r="445">
          <cell r="B445">
            <v>10070001</v>
          </cell>
          <cell r="C445" t="str">
            <v>0001</v>
          </cell>
          <cell r="D445" t="str">
            <v>9903</v>
          </cell>
          <cell r="E445" t="str">
            <v>MPG</v>
          </cell>
          <cell r="F445" t="str">
            <v>Indirect</v>
          </cell>
          <cell r="G445" t="str">
            <v>MSKMPG LAKXMIPUR</v>
          </cell>
          <cell r="H445" t="str">
            <v>Manikant Kumar</v>
          </cell>
          <cell r="I445">
            <v>9801313077</v>
          </cell>
          <cell r="J445" t="str">
            <v>100701</v>
          </cell>
          <cell r="K445" t="str">
            <v/>
          </cell>
          <cell r="L445">
            <v>42979</v>
          </cell>
          <cell r="N445" t="str">
            <v>Araria</v>
          </cell>
        </row>
        <row r="446">
          <cell r="B446">
            <v>10070002</v>
          </cell>
          <cell r="C446" t="str">
            <v>0002</v>
          </cell>
          <cell r="D446" t="str">
            <v>8607</v>
          </cell>
          <cell r="E446" t="str">
            <v>MPG</v>
          </cell>
          <cell r="F446" t="str">
            <v>Indirect</v>
          </cell>
          <cell r="G446" t="str">
            <v>Gomukh ID Araria</v>
          </cell>
          <cell r="H446" t="str">
            <v>Viveka Yadav</v>
          </cell>
          <cell r="I446">
            <v>9631676073</v>
          </cell>
          <cell r="J446" t="str">
            <v>100702</v>
          </cell>
          <cell r="K446" t="str">
            <v/>
          </cell>
          <cell r="L446">
            <v>43753</v>
          </cell>
          <cell r="N446" t="str">
            <v>Araria</v>
          </cell>
        </row>
        <row r="447">
          <cell r="B447">
            <v>10070003</v>
          </cell>
          <cell r="C447" t="str">
            <v>0003</v>
          </cell>
          <cell r="D447" t="str">
            <v>8609</v>
          </cell>
          <cell r="E447" t="str">
            <v>MPG</v>
          </cell>
          <cell r="F447" t="str">
            <v>Indirect</v>
          </cell>
          <cell r="G447" t="str">
            <v>Gomukh ID Chaidha</v>
          </cell>
          <cell r="H447" t="str">
            <v>Chhoti Kumari</v>
          </cell>
          <cell r="I447">
            <v>6204817762</v>
          </cell>
          <cell r="J447" t="str">
            <v>100701</v>
          </cell>
          <cell r="K447" t="str">
            <v/>
          </cell>
          <cell r="L447">
            <v>44162</v>
          </cell>
          <cell r="N447" t="str">
            <v>Araria</v>
          </cell>
        </row>
        <row r="448">
          <cell r="B448">
            <v>10070004</v>
          </cell>
          <cell r="C448" t="str">
            <v>0004</v>
          </cell>
          <cell r="D448" t="str">
            <v>8610</v>
          </cell>
          <cell r="E448" t="str">
            <v>MPG</v>
          </cell>
          <cell r="F448" t="str">
            <v>Indirect</v>
          </cell>
          <cell r="G448" t="str">
            <v>Gomukh ID Pakrail</v>
          </cell>
          <cell r="H448" t="str">
            <v>Mithun Kumar</v>
          </cell>
          <cell r="I448">
            <v>7061960807</v>
          </cell>
          <cell r="J448" t="str">
            <v>100701</v>
          </cell>
          <cell r="K448" t="str">
            <v/>
          </cell>
          <cell r="L448">
            <v>44257</v>
          </cell>
          <cell r="N448" t="str">
            <v>Araria</v>
          </cell>
        </row>
        <row r="449">
          <cell r="B449">
            <v>10070005</v>
          </cell>
          <cell r="C449" t="str">
            <v>0005</v>
          </cell>
          <cell r="D449" t="str">
            <v>6557</v>
          </cell>
          <cell r="E449" t="str">
            <v>MPG</v>
          </cell>
          <cell r="F449" t="str">
            <v>Indirect</v>
          </cell>
          <cell r="G449" t="str">
            <v>Prince Kumar</v>
          </cell>
          <cell r="H449" t="str">
            <v>Prince Kumar</v>
          </cell>
          <cell r="I449"/>
          <cell r="J449" t="str">
            <v>100702</v>
          </cell>
          <cell r="K449" t="str">
            <v/>
          </cell>
          <cell r="L449">
            <v>44387</v>
          </cell>
          <cell r="N449" t="str">
            <v>Araria</v>
          </cell>
        </row>
        <row r="450">
          <cell r="B450">
            <v>10070006</v>
          </cell>
          <cell r="C450" t="str">
            <v>0006</v>
          </cell>
          <cell r="D450" t="str">
            <v>6556</v>
          </cell>
          <cell r="E450" t="str">
            <v>MPG</v>
          </cell>
          <cell r="F450" t="str">
            <v>Indirect</v>
          </cell>
          <cell r="G450" t="str">
            <v>Tinku Sah</v>
          </cell>
          <cell r="H450" t="str">
            <v>Tinku Sah</v>
          </cell>
          <cell r="I450"/>
          <cell r="J450" t="str">
            <v>100702</v>
          </cell>
          <cell r="K450" t="str">
            <v/>
          </cell>
          <cell r="L450">
            <v>44385</v>
          </cell>
          <cell r="N450" t="str">
            <v>Araria</v>
          </cell>
        </row>
        <row r="451">
          <cell r="B451">
            <v>10070007</v>
          </cell>
          <cell r="C451" t="str">
            <v>0007</v>
          </cell>
          <cell r="D451" t="str">
            <v>6590</v>
          </cell>
          <cell r="E451" t="str">
            <v>MPG</v>
          </cell>
          <cell r="F451" t="str">
            <v>Indirect</v>
          </cell>
          <cell r="G451" t="str">
            <v>Sanjivan Kumar</v>
          </cell>
          <cell r="H451" t="str">
            <v>Sanjivan Kumar</v>
          </cell>
          <cell r="I451"/>
          <cell r="J451" t="str">
            <v>100702</v>
          </cell>
          <cell r="K451" t="str">
            <v/>
          </cell>
          <cell r="L451">
            <v>44457</v>
          </cell>
          <cell r="N451" t="str">
            <v>Araria</v>
          </cell>
        </row>
        <row r="452">
          <cell r="B452">
            <v>10070008</v>
          </cell>
          <cell r="C452" t="str">
            <v>0008</v>
          </cell>
          <cell r="D452" t="str">
            <v>8606</v>
          </cell>
          <cell r="E452" t="str">
            <v>MPG</v>
          </cell>
          <cell r="F452" t="str">
            <v>Indirect</v>
          </cell>
          <cell r="G452" t="str">
            <v>Gomukh ID Pipra</v>
          </cell>
          <cell r="H452" t="str">
            <v>Hare Ram Sah</v>
          </cell>
          <cell r="I452">
            <v>9570771888</v>
          </cell>
          <cell r="J452" t="str">
            <v>100701</v>
          </cell>
          <cell r="K452" t="str">
            <v/>
          </cell>
          <cell r="L452">
            <v>44816</v>
          </cell>
          <cell r="N452" t="str">
            <v>Araria</v>
          </cell>
        </row>
        <row r="453">
          <cell r="B453">
            <v>10070009</v>
          </cell>
          <cell r="C453" t="str">
            <v>0009</v>
          </cell>
          <cell r="D453" t="str">
            <v>6678</v>
          </cell>
          <cell r="E453" t="str">
            <v>MPG</v>
          </cell>
          <cell r="F453" t="str">
            <v>Indirect</v>
          </cell>
          <cell r="G453" t="str">
            <v>Sanjay Kumar Singh</v>
          </cell>
          <cell r="H453" t="str">
            <v>Sanjay Kumar Singh</v>
          </cell>
          <cell r="I453">
            <v>7667870568</v>
          </cell>
          <cell r="J453" t="str">
            <v>100702</v>
          </cell>
          <cell r="K453" t="str">
            <v/>
          </cell>
          <cell r="L453">
            <v>44962</v>
          </cell>
          <cell r="N453" t="str">
            <v>Araria</v>
          </cell>
        </row>
        <row r="454">
          <cell r="B454">
            <v>10070010</v>
          </cell>
          <cell r="C454" t="str">
            <v>0010</v>
          </cell>
          <cell r="D454" t="str">
            <v>6697</v>
          </cell>
          <cell r="E454" t="str">
            <v>MPG</v>
          </cell>
          <cell r="F454" t="str">
            <v>Indirect</v>
          </cell>
          <cell r="G454" t="str">
            <v>Gomukh Araria-1</v>
          </cell>
          <cell r="H454" t="str">
            <v>Ankesh Kumar</v>
          </cell>
          <cell r="I454">
            <v>9631676073</v>
          </cell>
          <cell r="J454" t="str">
            <v>100702</v>
          </cell>
          <cell r="K454" t="str">
            <v/>
          </cell>
          <cell r="L454">
            <v>45015</v>
          </cell>
          <cell r="N454" t="str">
            <v>Araria</v>
          </cell>
        </row>
        <row r="455">
          <cell r="B455">
            <v>10070011</v>
          </cell>
          <cell r="C455" t="str">
            <v>0011</v>
          </cell>
          <cell r="D455" t="str">
            <v>6698</v>
          </cell>
          <cell r="E455" t="str">
            <v>MPG</v>
          </cell>
          <cell r="F455" t="str">
            <v>Indirect</v>
          </cell>
          <cell r="G455" t="str">
            <v>Gomukh Araria-2</v>
          </cell>
          <cell r="H455" t="str">
            <v>Gudiya devi</v>
          </cell>
          <cell r="I455">
            <v>7488728806</v>
          </cell>
          <cell r="J455" t="str">
            <v>100702</v>
          </cell>
          <cell r="K455" t="str">
            <v/>
          </cell>
          <cell r="L455">
            <v>45015</v>
          </cell>
          <cell r="N455" t="str">
            <v>Araria</v>
          </cell>
        </row>
        <row r="456">
          <cell r="B456">
            <v>10070012</v>
          </cell>
          <cell r="C456" t="str">
            <v>0012</v>
          </cell>
          <cell r="D456" t="str">
            <v>8599</v>
          </cell>
          <cell r="E456" t="str">
            <v>MPG</v>
          </cell>
          <cell r="F456" t="str">
            <v>Direct</v>
          </cell>
          <cell r="G456" t="str">
            <v xml:space="preserve">Gomukh Purvi Araria                                                                                 </v>
          </cell>
          <cell r="H456" t="str">
            <v>Yogesh yadav</v>
          </cell>
          <cell r="I456">
            <v>6205426153</v>
          </cell>
          <cell r="J456" t="str">
            <v>100701</v>
          </cell>
          <cell r="K456" t="str">
            <v/>
          </cell>
          <cell r="L456">
            <v>45017</v>
          </cell>
          <cell r="N456" t="str">
            <v>Araria</v>
          </cell>
        </row>
        <row r="457">
          <cell r="B457">
            <v>10070013</v>
          </cell>
          <cell r="C457" t="str">
            <v>0013</v>
          </cell>
          <cell r="D457" t="str">
            <v>8602</v>
          </cell>
          <cell r="E457" t="str">
            <v>MPG</v>
          </cell>
          <cell r="F457" t="str">
            <v>Direct</v>
          </cell>
          <cell r="G457" t="str">
            <v xml:space="preserve">Gomukh Fatepur                                                                                      </v>
          </cell>
          <cell r="H457" t="str">
            <v>Gautam kumar</v>
          </cell>
          <cell r="I457">
            <v>8789901453</v>
          </cell>
          <cell r="J457" t="str">
            <v>101003</v>
          </cell>
          <cell r="K457" t="str">
            <v>Yes</v>
          </cell>
          <cell r="L457">
            <v>45083</v>
          </cell>
          <cell r="N457" t="str">
            <v>Araria</v>
          </cell>
        </row>
        <row r="458">
          <cell r="B458">
            <v>10070014</v>
          </cell>
          <cell r="C458" t="str">
            <v>0014</v>
          </cell>
          <cell r="D458" t="str">
            <v>8603</v>
          </cell>
          <cell r="E458" t="str">
            <v>MPG</v>
          </cell>
          <cell r="F458" t="str">
            <v>Direct</v>
          </cell>
          <cell r="G458" t="str">
            <v xml:space="preserve">Gomukh Nauranga                                                                                     </v>
          </cell>
          <cell r="H458" t="str">
            <v>Subash kumar gupta</v>
          </cell>
          <cell r="I458">
            <v>9570772817</v>
          </cell>
          <cell r="J458" t="str">
            <v>100701</v>
          </cell>
          <cell r="K458" t="str">
            <v>Yes</v>
          </cell>
          <cell r="L458">
            <v>45089</v>
          </cell>
          <cell r="N458" t="str">
            <v>Araria</v>
          </cell>
        </row>
        <row r="459">
          <cell r="B459">
            <v>10070015</v>
          </cell>
          <cell r="C459" t="str">
            <v>0015</v>
          </cell>
          <cell r="D459" t="str">
            <v>8605</v>
          </cell>
          <cell r="E459" t="str">
            <v>MPG</v>
          </cell>
          <cell r="F459" t="str">
            <v>Direct</v>
          </cell>
          <cell r="G459" t="str">
            <v>Gomukh Gamghatta</v>
          </cell>
          <cell r="H459" t="str">
            <v>Anjan Chaurasiya</v>
          </cell>
          <cell r="I459">
            <v>6299483098</v>
          </cell>
          <cell r="J459" t="str">
            <v>101003</v>
          </cell>
          <cell r="K459" t="str">
            <v>Yes</v>
          </cell>
          <cell r="L459">
            <v>45102</v>
          </cell>
          <cell r="N459" t="str">
            <v>Araria</v>
          </cell>
        </row>
        <row r="460">
          <cell r="B460">
            <v>10070016</v>
          </cell>
          <cell r="C460" t="str">
            <v>0016</v>
          </cell>
          <cell r="D460" t="str">
            <v>8604</v>
          </cell>
          <cell r="E460" t="str">
            <v>MPG</v>
          </cell>
          <cell r="F460" t="str">
            <v>Direct</v>
          </cell>
          <cell r="G460" t="str">
            <v>Gomukh Gauchhari</v>
          </cell>
          <cell r="H460" t="str">
            <v>Sanjay Kumar</v>
          </cell>
          <cell r="I460">
            <v>9631480854</v>
          </cell>
          <cell r="J460" t="str">
            <v>100701</v>
          </cell>
          <cell r="K460" t="str">
            <v>Yes</v>
          </cell>
          <cell r="L460">
            <v>45103</v>
          </cell>
          <cell r="N460" t="str">
            <v>Araria</v>
          </cell>
        </row>
        <row r="461">
          <cell r="B461">
            <v>10070017</v>
          </cell>
          <cell r="C461" t="str">
            <v>0017</v>
          </cell>
          <cell r="D461" t="str">
            <v>8621</v>
          </cell>
          <cell r="E461" t="str">
            <v>MPG</v>
          </cell>
          <cell r="F461" t="str">
            <v>Indirect</v>
          </cell>
          <cell r="G461" t="str">
            <v>Gomukh Arariya Uttari</v>
          </cell>
          <cell r="H461" t="str">
            <v xml:space="preserve">Gudiya Devi </v>
          </cell>
          <cell r="I461">
            <v>6205426153</v>
          </cell>
          <cell r="J461" t="str">
            <v>100702</v>
          </cell>
          <cell r="K461" t="str">
            <v/>
          </cell>
          <cell r="L461">
            <v>45212</v>
          </cell>
          <cell r="N461" t="str">
            <v>Araria</v>
          </cell>
        </row>
        <row r="462">
          <cell r="B462">
            <v>10070018</v>
          </cell>
          <cell r="C462" t="str">
            <v>0018</v>
          </cell>
          <cell r="D462" t="str">
            <v>8622</v>
          </cell>
          <cell r="E462" t="str">
            <v>MPG</v>
          </cell>
          <cell r="F462" t="str">
            <v>Indirect</v>
          </cell>
          <cell r="G462" t="str">
            <v>Gomukh Arariya Karjaniya</v>
          </cell>
          <cell r="H462" t="str">
            <v xml:space="preserve">Yogesh Yadav </v>
          </cell>
          <cell r="I462">
            <v>9631676073</v>
          </cell>
          <cell r="J462" t="str">
            <v>100702</v>
          </cell>
          <cell r="K462" t="str">
            <v/>
          </cell>
          <cell r="L462">
            <v>45212</v>
          </cell>
          <cell r="N462" t="str">
            <v>Araria</v>
          </cell>
        </row>
        <row r="463">
          <cell r="B463">
            <v>10070019</v>
          </cell>
          <cell r="C463" t="str">
            <v>0019</v>
          </cell>
          <cell r="D463" t="str">
            <v>8623</v>
          </cell>
          <cell r="E463" t="str">
            <v>MPG</v>
          </cell>
          <cell r="F463" t="str">
            <v>Indirect</v>
          </cell>
          <cell r="G463" t="str">
            <v>Gomukh Aariya Dummer Kothi</v>
          </cell>
          <cell r="H463" t="str">
            <v xml:space="preserve">Ankesh Kumar </v>
          </cell>
          <cell r="I463">
            <v>9631676073</v>
          </cell>
          <cell r="J463" t="str">
            <v>100702</v>
          </cell>
          <cell r="K463" t="str">
            <v/>
          </cell>
          <cell r="L463">
            <v>45212</v>
          </cell>
          <cell r="N463" t="str">
            <v>Araria</v>
          </cell>
        </row>
        <row r="464">
          <cell r="B464">
            <v>10070020</v>
          </cell>
          <cell r="C464" t="str">
            <v>0020</v>
          </cell>
          <cell r="D464" t="str">
            <v>8625</v>
          </cell>
          <cell r="E464" t="str">
            <v>MPG</v>
          </cell>
          <cell r="F464" t="str">
            <v>Indirect</v>
          </cell>
          <cell r="G464" t="str">
            <v>Gomukh Balha</v>
          </cell>
          <cell r="H464" t="str">
            <v>Murari Roy</v>
          </cell>
          <cell r="I464">
            <v>8298676663</v>
          </cell>
          <cell r="J464" t="str">
            <v>100702</v>
          </cell>
          <cell r="K464" t="str">
            <v/>
          </cell>
          <cell r="L464">
            <v>45212</v>
          </cell>
          <cell r="N464" t="str">
            <v>Araria</v>
          </cell>
        </row>
        <row r="465">
          <cell r="B465">
            <v>10070021</v>
          </cell>
          <cell r="C465" t="str">
            <v>0021</v>
          </cell>
          <cell r="D465" t="str">
            <v>8628</v>
          </cell>
          <cell r="E465" t="str">
            <v>MPG</v>
          </cell>
          <cell r="F465" t="str">
            <v>Indirect</v>
          </cell>
          <cell r="G465" t="str">
            <v>Muradpur - Deepak</v>
          </cell>
          <cell r="H465" t="str">
            <v>Deepak Kumar</v>
          </cell>
          <cell r="I465">
            <v>9693051973</v>
          </cell>
          <cell r="J465" t="str">
            <v>101002</v>
          </cell>
          <cell r="K465" t="str">
            <v/>
          </cell>
          <cell r="L465">
            <v>45212</v>
          </cell>
          <cell r="N465" t="str">
            <v>Araria</v>
          </cell>
        </row>
        <row r="466">
          <cell r="B466">
            <v>10070022</v>
          </cell>
          <cell r="C466" t="str">
            <v>0022</v>
          </cell>
          <cell r="D466" t="str">
            <v>8630</v>
          </cell>
          <cell r="E466" t="str">
            <v>MPG</v>
          </cell>
          <cell r="F466" t="str">
            <v>Indirect</v>
          </cell>
          <cell r="G466" t="str">
            <v>Jamalpur - Tinku</v>
          </cell>
          <cell r="H466" t="str">
            <v>Tinku shah</v>
          </cell>
          <cell r="I466">
            <v>8210565945</v>
          </cell>
          <cell r="J466" t="str">
            <v>100701</v>
          </cell>
          <cell r="K466" t="str">
            <v/>
          </cell>
          <cell r="L466">
            <v>45212</v>
          </cell>
          <cell r="N466" t="str">
            <v>Araria</v>
          </cell>
        </row>
        <row r="467">
          <cell r="B467">
            <v>10070023</v>
          </cell>
          <cell r="C467" t="str">
            <v>0023</v>
          </cell>
          <cell r="D467" t="str">
            <v>8631</v>
          </cell>
          <cell r="E467" t="str">
            <v>MPG</v>
          </cell>
          <cell r="F467" t="str">
            <v>Indirect</v>
          </cell>
          <cell r="G467" t="str">
            <v>Jamalpur - Prince</v>
          </cell>
          <cell r="H467" t="str">
            <v>Prince Kumar</v>
          </cell>
          <cell r="I467">
            <v>6203635014</v>
          </cell>
          <cell r="J467" t="str">
            <v>100701</v>
          </cell>
          <cell r="K467" t="str">
            <v/>
          </cell>
          <cell r="L467">
            <v>45212</v>
          </cell>
          <cell r="N467" t="str">
            <v>Araria</v>
          </cell>
        </row>
        <row r="468">
          <cell r="B468">
            <v>10070024</v>
          </cell>
          <cell r="C468" t="str">
            <v>0024</v>
          </cell>
          <cell r="D468" t="str">
            <v>8632</v>
          </cell>
          <cell r="E468" t="str">
            <v>MPG</v>
          </cell>
          <cell r="F468" t="str">
            <v>Indirect</v>
          </cell>
          <cell r="G468" t="str">
            <v>Haripur - Sanjay</v>
          </cell>
          <cell r="H468" t="str">
            <v>Sanjay Singh</v>
          </cell>
          <cell r="I468">
            <v>7667870568</v>
          </cell>
          <cell r="J468" t="str">
            <v>100701</v>
          </cell>
          <cell r="K468" t="str">
            <v/>
          </cell>
          <cell r="L468">
            <v>45212</v>
          </cell>
          <cell r="N468" t="str">
            <v>Araria</v>
          </cell>
        </row>
        <row r="469">
          <cell r="B469">
            <v>10070025</v>
          </cell>
          <cell r="C469" t="str">
            <v>0025</v>
          </cell>
          <cell r="D469" t="str">
            <v>8633</v>
          </cell>
          <cell r="E469" t="str">
            <v>MPG</v>
          </cell>
          <cell r="F469" t="str">
            <v>Indirect</v>
          </cell>
          <cell r="G469" t="str">
            <v>Tilaunjh - Sanjeevan</v>
          </cell>
          <cell r="H469" t="str">
            <v>Sanjeevan Kumar</v>
          </cell>
          <cell r="I469">
            <v>8434862985</v>
          </cell>
          <cell r="J469" t="str">
            <v>100701</v>
          </cell>
          <cell r="K469" t="str">
            <v/>
          </cell>
          <cell r="L469">
            <v>45212</v>
          </cell>
          <cell r="N469" t="str">
            <v>Araria</v>
          </cell>
        </row>
        <row r="470">
          <cell r="B470">
            <v>10070026</v>
          </cell>
          <cell r="C470" t="str">
            <v>0026</v>
          </cell>
          <cell r="D470" t="str">
            <v>8634</v>
          </cell>
          <cell r="E470" t="str">
            <v>MPG</v>
          </cell>
          <cell r="F470" t="str">
            <v>Indirect</v>
          </cell>
          <cell r="G470" t="str">
            <v>Araria - Ankesh</v>
          </cell>
          <cell r="H470" t="str">
            <v>Ankesh Kumar</v>
          </cell>
          <cell r="I470">
            <v>9631676073</v>
          </cell>
          <cell r="J470" t="str">
            <v>100702</v>
          </cell>
          <cell r="K470" t="str">
            <v/>
          </cell>
          <cell r="L470">
            <v>45212</v>
          </cell>
          <cell r="N470" t="str">
            <v>Araria</v>
          </cell>
        </row>
        <row r="471">
          <cell r="B471">
            <v>10070027</v>
          </cell>
          <cell r="C471" t="str">
            <v>0027</v>
          </cell>
          <cell r="D471" t="str">
            <v>8635</v>
          </cell>
          <cell r="E471" t="str">
            <v>MPG</v>
          </cell>
          <cell r="F471" t="str">
            <v>Indirect</v>
          </cell>
          <cell r="G471" t="str">
            <v>Araria - Gudiya</v>
          </cell>
          <cell r="H471" t="str">
            <v>Gudiya Devi</v>
          </cell>
          <cell r="I471">
            <v>6205426153</v>
          </cell>
          <cell r="J471" t="str">
            <v>100702</v>
          </cell>
          <cell r="K471" t="str">
            <v/>
          </cell>
          <cell r="L471">
            <v>45212</v>
          </cell>
          <cell r="N471" t="str">
            <v>Araria</v>
          </cell>
        </row>
        <row r="472">
          <cell r="B472">
            <v>10070028</v>
          </cell>
          <cell r="C472" t="str">
            <v>0028</v>
          </cell>
          <cell r="D472" t="str">
            <v>8636</v>
          </cell>
          <cell r="E472" t="str">
            <v>MPG</v>
          </cell>
          <cell r="F472" t="str">
            <v>Indirect</v>
          </cell>
          <cell r="G472" t="str">
            <v>Pakra - Sheela</v>
          </cell>
          <cell r="H472" t="str">
            <v>Sheela Devi</v>
          </cell>
          <cell r="I472">
            <v>7903355467</v>
          </cell>
          <cell r="J472" t="str">
            <v>104801</v>
          </cell>
          <cell r="K472" t="str">
            <v/>
          </cell>
          <cell r="L472">
            <v>45212</v>
          </cell>
          <cell r="N472" t="str">
            <v>Araria</v>
          </cell>
        </row>
        <row r="473">
          <cell r="B473">
            <v>10070029</v>
          </cell>
          <cell r="C473" t="str">
            <v>0029</v>
          </cell>
          <cell r="D473" t="str">
            <v>8647</v>
          </cell>
          <cell r="E473" t="str">
            <v>MPG</v>
          </cell>
          <cell r="F473" t="str">
            <v>Direct</v>
          </cell>
          <cell r="G473" t="str">
            <v>Gomukh Devari</v>
          </cell>
          <cell r="H473" t="str">
            <v>Kiran Devi</v>
          </cell>
          <cell r="I473">
            <v>6200051498</v>
          </cell>
          <cell r="J473" t="str">
            <v>101003</v>
          </cell>
          <cell r="K473" t="str">
            <v>Yes</v>
          </cell>
          <cell r="L473">
            <v>45269</v>
          </cell>
          <cell r="N473" t="str">
            <v>Araria</v>
          </cell>
        </row>
        <row r="474">
          <cell r="B474">
            <v>10070030</v>
          </cell>
          <cell r="C474" t="str">
            <v>0030</v>
          </cell>
          <cell r="D474" t="str">
            <v>8652</v>
          </cell>
          <cell r="E474" t="str">
            <v>MPG</v>
          </cell>
          <cell r="F474" t="str">
            <v>Direct</v>
          </cell>
          <cell r="G474" t="str">
            <v>Gomukh Basdevpur Purbo(Indirect)</v>
          </cell>
          <cell r="H474" t="str">
            <v>Gautam Kumar Yadav</v>
          </cell>
          <cell r="I474">
            <v>8676974616</v>
          </cell>
          <cell r="J474" t="str">
            <v>100701</v>
          </cell>
          <cell r="K474" t="str">
            <v/>
          </cell>
          <cell r="L474">
            <v>45261</v>
          </cell>
          <cell r="N474" t="str">
            <v>Araria</v>
          </cell>
        </row>
        <row r="475">
          <cell r="B475">
            <v>10070031</v>
          </cell>
          <cell r="C475" t="str">
            <v>0031</v>
          </cell>
          <cell r="D475" t="str">
            <v>8655</v>
          </cell>
          <cell r="E475" t="str">
            <v>MPG</v>
          </cell>
          <cell r="F475" t="str">
            <v>Indirect</v>
          </cell>
          <cell r="G475" t="str">
            <v>Gomukh Bari Maliya(Indirect)</v>
          </cell>
          <cell r="H475" t="str">
            <v>Nandkishor Kumar</v>
          </cell>
          <cell r="I475">
            <v>7762972005</v>
          </cell>
          <cell r="J475" t="str">
            <v>100701</v>
          </cell>
          <cell r="K475" t="str">
            <v/>
          </cell>
          <cell r="L475">
            <v>45261</v>
          </cell>
          <cell r="N475" t="str">
            <v>Araria</v>
          </cell>
        </row>
        <row r="476">
          <cell r="B476">
            <v>10070032</v>
          </cell>
          <cell r="C476" t="str">
            <v>0032</v>
          </cell>
          <cell r="D476" t="str">
            <v>8612</v>
          </cell>
          <cell r="E476" t="str">
            <v>MPG</v>
          </cell>
          <cell r="F476" t="str">
            <v>Direct</v>
          </cell>
          <cell r="G476" t="str">
            <v xml:space="preserve">Gomukh Dumariya Khurd                                                                               </v>
          </cell>
          <cell r="H476" t="str">
            <v>Jay krishana Kumar</v>
          </cell>
          <cell r="I476">
            <v>8709485448</v>
          </cell>
          <cell r="J476" t="str">
            <v>101002</v>
          </cell>
          <cell r="K476" t="str">
            <v>Yes</v>
          </cell>
          <cell r="L476">
            <v>45198</v>
          </cell>
          <cell r="N476" t="str">
            <v>Araria</v>
          </cell>
        </row>
        <row r="477">
          <cell r="B477">
            <v>10070033</v>
          </cell>
          <cell r="C477" t="str">
            <v>0033</v>
          </cell>
          <cell r="D477" t="str">
            <v>8613</v>
          </cell>
          <cell r="E477" t="str">
            <v>MPG</v>
          </cell>
          <cell r="F477" t="str">
            <v>Direct</v>
          </cell>
          <cell r="G477" t="str">
            <v>Gomukh Kabela                                                                                       </v>
          </cell>
          <cell r="H477" t="str">
            <v>arvind kumar</v>
          </cell>
          <cell r="I477">
            <v>8292085548</v>
          </cell>
          <cell r="J477" t="str">
            <v>101002</v>
          </cell>
          <cell r="K477" t="str">
            <v>Yes</v>
          </cell>
          <cell r="L477">
            <v>45198</v>
          </cell>
          <cell r="N477" t="str">
            <v>Araria</v>
          </cell>
        </row>
        <row r="478">
          <cell r="B478">
            <v>10070034</v>
          </cell>
          <cell r="C478" t="str">
            <v>0034</v>
          </cell>
          <cell r="D478" t="str">
            <v>8614</v>
          </cell>
          <cell r="E478" t="str">
            <v>MPG</v>
          </cell>
          <cell r="F478" t="str">
            <v>Direct</v>
          </cell>
          <cell r="G478" t="str">
            <v xml:space="preserve">Gomukh karna                                                                                        </v>
          </cell>
          <cell r="H478" t="str">
            <v>Ranveer Kumar</v>
          </cell>
          <cell r="I478">
            <v>7070780070</v>
          </cell>
          <cell r="J478" t="str">
            <v>101003</v>
          </cell>
          <cell r="K478" t="str">
            <v>Yes</v>
          </cell>
          <cell r="L478">
            <v>45205</v>
          </cell>
          <cell r="N478" t="str">
            <v>Araria</v>
          </cell>
        </row>
        <row r="479">
          <cell r="B479">
            <v>10070035</v>
          </cell>
          <cell r="C479" t="str">
            <v>0035</v>
          </cell>
          <cell r="D479" t="str">
            <v>8615</v>
          </cell>
          <cell r="E479" t="str">
            <v>MPG</v>
          </cell>
          <cell r="F479" t="str">
            <v>Direct</v>
          </cell>
          <cell r="G479" t="str">
            <v xml:space="preserve">Gomukh choti Lagar                                                                                  </v>
          </cell>
          <cell r="H479" t="str">
            <v>Sudhir Kumar</v>
          </cell>
          <cell r="I479">
            <v>8278825926</v>
          </cell>
          <cell r="J479" t="str">
            <v>101002</v>
          </cell>
          <cell r="K479" t="str">
            <v>Yes</v>
          </cell>
          <cell r="L479">
            <v>45205</v>
          </cell>
          <cell r="N479" t="str">
            <v>Araria</v>
          </cell>
        </row>
        <row r="480">
          <cell r="B480">
            <v>10070036</v>
          </cell>
          <cell r="C480" t="str">
            <v>0036</v>
          </cell>
          <cell r="D480" t="str">
            <v>8617</v>
          </cell>
          <cell r="E480" t="str">
            <v>MPG</v>
          </cell>
          <cell r="F480" t="str">
            <v>Indirect</v>
          </cell>
          <cell r="G480" t="str">
            <v xml:space="preserve">Gomukh navlolya                                                                                     </v>
          </cell>
          <cell r="H480" t="str">
            <v>angad kumar</v>
          </cell>
          <cell r="I480">
            <v>7631644898</v>
          </cell>
          <cell r="J480" t="str">
            <v>100701</v>
          </cell>
          <cell r="K480" t="str">
            <v>Yes</v>
          </cell>
          <cell r="L480">
            <v>45205</v>
          </cell>
          <cell r="N480" t="str">
            <v>Araria</v>
          </cell>
        </row>
        <row r="481">
          <cell r="B481">
            <v>10070037</v>
          </cell>
          <cell r="C481" t="str">
            <v>0037</v>
          </cell>
          <cell r="D481" t="str">
            <v>8618</v>
          </cell>
          <cell r="E481" t="str">
            <v>MPG</v>
          </cell>
          <cell r="F481" t="str">
            <v>Direct</v>
          </cell>
          <cell r="G481" t="str">
            <v xml:space="preserve">Gomukh malpa dakshin                                                                                </v>
          </cell>
          <cell r="H481" t="str">
            <v>dhurub kumar raj</v>
          </cell>
          <cell r="I481">
            <v>7004486583</v>
          </cell>
          <cell r="J481" t="str">
            <v>100701</v>
          </cell>
          <cell r="K481" t="str">
            <v/>
          </cell>
          <cell r="L481">
            <v>45205</v>
          </cell>
          <cell r="N481" t="str">
            <v>Araria</v>
          </cell>
        </row>
        <row r="482">
          <cell r="B482">
            <v>10070038</v>
          </cell>
          <cell r="C482" t="str">
            <v>0038</v>
          </cell>
          <cell r="D482" t="str">
            <v>8619</v>
          </cell>
          <cell r="E482" t="str">
            <v>MPG</v>
          </cell>
          <cell r="F482" t="str">
            <v>Direct</v>
          </cell>
          <cell r="G482" t="str">
            <v xml:space="preserve">Gomukh pakrail                                                                                      </v>
          </cell>
          <cell r="H482" t="str">
            <v>soni kumari</v>
          </cell>
          <cell r="I482">
            <v>7061744306</v>
          </cell>
          <cell r="J482" t="str">
            <v>100701</v>
          </cell>
          <cell r="K482" t="str">
            <v>Yes</v>
          </cell>
          <cell r="L482">
            <v>45205</v>
          </cell>
          <cell r="N482" t="str">
            <v>Araria</v>
          </cell>
        </row>
        <row r="483">
          <cell r="B483">
            <v>10070039</v>
          </cell>
          <cell r="C483" t="str">
            <v>0039</v>
          </cell>
          <cell r="D483" t="str">
            <v>8620</v>
          </cell>
          <cell r="E483" t="str">
            <v>MPG</v>
          </cell>
          <cell r="F483" t="str">
            <v>Indirect</v>
          </cell>
          <cell r="G483" t="str">
            <v xml:space="preserve">Gomukh malpa uttari                                                                                 </v>
          </cell>
          <cell r="H483" t="str">
            <v>anupam kumari</v>
          </cell>
          <cell r="I483">
            <v>9570525037</v>
          </cell>
          <cell r="J483" t="str">
            <v>100701</v>
          </cell>
          <cell r="K483" t="str">
            <v/>
          </cell>
          <cell r="L483">
            <v>45205</v>
          </cell>
          <cell r="N483" t="str">
            <v>Araria</v>
          </cell>
        </row>
        <row r="484">
          <cell r="B484">
            <v>10070040</v>
          </cell>
          <cell r="C484" t="str">
            <v>0040</v>
          </cell>
          <cell r="D484" t="str">
            <v>8658</v>
          </cell>
          <cell r="E484" t="str">
            <v>MPG</v>
          </cell>
          <cell r="F484" t="str">
            <v>Direct</v>
          </cell>
          <cell r="G484" t="str">
            <v>Gomukh Devri Utari</v>
          </cell>
          <cell r="H484" t="str">
            <v>Rita Devi</v>
          </cell>
          <cell r="I484">
            <v>7549634390</v>
          </cell>
          <cell r="J484" t="str">
            <v>100702</v>
          </cell>
          <cell r="K484" t="str">
            <v/>
          </cell>
          <cell r="L484" t="e">
            <v>#N/A</v>
          </cell>
          <cell r="N484" t="str">
            <v>Araria</v>
          </cell>
        </row>
        <row r="485">
          <cell r="B485">
            <v>10070041</v>
          </cell>
          <cell r="C485" t="str">
            <v>0041</v>
          </cell>
          <cell r="D485" t="str">
            <v>8659</v>
          </cell>
          <cell r="E485" t="str">
            <v>MPG</v>
          </cell>
          <cell r="F485" t="str">
            <v>Direct</v>
          </cell>
          <cell r="G485" t="str">
            <v>Gomukh fudkichak Uttari</v>
          </cell>
          <cell r="H485" t="str">
            <v>Baby devi</v>
          </cell>
          <cell r="I485">
            <v>7870680538</v>
          </cell>
          <cell r="J485" t="str">
            <v>100702</v>
          </cell>
          <cell r="K485" t="str">
            <v/>
          </cell>
          <cell r="L485" t="e">
            <v>#N/A</v>
          </cell>
          <cell r="N485" t="str">
            <v>Araria</v>
          </cell>
        </row>
        <row r="486">
          <cell r="B486">
            <v>10070042</v>
          </cell>
          <cell r="C486" t="str">
            <v>0042</v>
          </cell>
          <cell r="D486" t="str">
            <v>8654</v>
          </cell>
          <cell r="E486" t="str">
            <v>MPG</v>
          </cell>
          <cell r="F486" t="str">
            <v>Direct</v>
          </cell>
          <cell r="G486" t="str">
            <v>Gomukh Sapha</v>
          </cell>
          <cell r="H486" t="str">
            <v>Subodh Kumar Yadav</v>
          </cell>
          <cell r="I486">
            <v>9570943136</v>
          </cell>
          <cell r="J486" t="str">
            <v>100702</v>
          </cell>
          <cell r="K486" t="str">
            <v>Yes</v>
          </cell>
          <cell r="L486">
            <v>45323</v>
          </cell>
          <cell r="N486" t="str">
            <v>Araria</v>
          </cell>
        </row>
        <row r="487">
          <cell r="B487">
            <v>10070043</v>
          </cell>
          <cell r="C487" t="str">
            <v>0043</v>
          </cell>
          <cell r="D487"/>
          <cell r="E487" t="str">
            <v>MPG</v>
          </cell>
          <cell r="F487" t="str">
            <v>Indirect</v>
          </cell>
          <cell r="G487" t="str">
            <v>Araria</v>
          </cell>
          <cell r="H487" t="str">
            <v>Soni Kumari</v>
          </cell>
          <cell r="I487">
            <v>9798784133</v>
          </cell>
          <cell r="J487" t="str">
            <v>100701</v>
          </cell>
          <cell r="K487"/>
          <cell r="L487">
            <v>45635</v>
          </cell>
          <cell r="N487" t="str">
            <v>Araria</v>
          </cell>
        </row>
        <row r="488">
          <cell r="B488">
            <v>10070044</v>
          </cell>
          <cell r="C488" t="str">
            <v>0044</v>
          </cell>
          <cell r="D488"/>
          <cell r="E488" t="str">
            <v>MPG</v>
          </cell>
          <cell r="F488" t="str">
            <v>Indirect</v>
          </cell>
          <cell r="G488" t="str">
            <v>Araria Purbi</v>
          </cell>
          <cell r="H488" t="str">
            <v>Rupesh kumar</v>
          </cell>
          <cell r="I488">
            <v>9949787710</v>
          </cell>
          <cell r="J488" t="str">
            <v>100701</v>
          </cell>
          <cell r="K488"/>
          <cell r="L488">
            <v>45635</v>
          </cell>
          <cell r="N488" t="str">
            <v>Araria</v>
          </cell>
        </row>
        <row r="489">
          <cell r="B489">
            <v>10070045</v>
          </cell>
          <cell r="C489" t="str">
            <v>0045</v>
          </cell>
          <cell r="D489"/>
          <cell r="E489" t="str">
            <v>MPG</v>
          </cell>
          <cell r="F489" t="str">
            <v>Direct</v>
          </cell>
          <cell r="G489" t="str">
            <v>Gomukh Gauchhari</v>
          </cell>
          <cell r="H489" t="str">
            <v>Khagesh Kumar</v>
          </cell>
          <cell r="I489">
            <v>8084852614</v>
          </cell>
          <cell r="J489" t="str">
            <v>100701</v>
          </cell>
          <cell r="K489"/>
          <cell r="L489">
            <v>45643</v>
          </cell>
          <cell r="N489" t="str">
            <v>Araria</v>
          </cell>
        </row>
        <row r="490">
          <cell r="B490">
            <v>10070046</v>
          </cell>
          <cell r="C490" t="str">
            <v>0046</v>
          </cell>
          <cell r="D490"/>
          <cell r="E490" t="str">
            <v>MPG</v>
          </cell>
          <cell r="F490" t="str">
            <v>Direct</v>
          </cell>
          <cell r="G490" t="str">
            <v>Telouch</v>
          </cell>
          <cell r="H490" t="str">
            <v>sanjeevan kumar</v>
          </cell>
          <cell r="I490">
            <v>8434862985</v>
          </cell>
          <cell r="J490" t="str">
            <v>100701</v>
          </cell>
          <cell r="K490"/>
          <cell r="L490">
            <v>45643</v>
          </cell>
          <cell r="N490" t="str">
            <v>Araria</v>
          </cell>
        </row>
        <row r="491">
          <cell r="B491">
            <v>10070047</v>
          </cell>
          <cell r="C491" t="str">
            <v>0047</v>
          </cell>
          <cell r="D491"/>
          <cell r="E491" t="str">
            <v>MPG</v>
          </cell>
          <cell r="F491" t="str">
            <v>Direct</v>
          </cell>
          <cell r="G491" t="str">
            <v>Gomukh Salarpur East</v>
          </cell>
          <cell r="H491" t="str">
            <v>Yasoda Kumari</v>
          </cell>
          <cell r="I491">
            <v>8877410496</v>
          </cell>
          <cell r="J491" t="str">
            <v>101003</v>
          </cell>
          <cell r="K491"/>
          <cell r="L491">
            <v>45678</v>
          </cell>
          <cell r="N491" t="str">
            <v>Araria</v>
          </cell>
        </row>
        <row r="492">
          <cell r="B492">
            <v>10070048</v>
          </cell>
          <cell r="C492" t="str">
            <v>0048</v>
          </cell>
          <cell r="D492"/>
          <cell r="E492" t="str">
            <v>MPG</v>
          </cell>
          <cell r="F492" t="str">
            <v>Direct</v>
          </cell>
          <cell r="G492" t="str">
            <v>Gomukh Jhangara B</v>
          </cell>
          <cell r="H492" t="str">
            <v>Soni Kumari</v>
          </cell>
          <cell r="I492">
            <v>7320958587</v>
          </cell>
          <cell r="J492" t="str">
            <v>100701</v>
          </cell>
          <cell r="K492"/>
          <cell r="L492">
            <v>45678</v>
          </cell>
          <cell r="N492" t="str">
            <v>Araria</v>
          </cell>
        </row>
        <row r="493">
          <cell r="B493">
            <v>10070049</v>
          </cell>
          <cell r="C493" t="str">
            <v>0049</v>
          </cell>
          <cell r="D493"/>
          <cell r="E493" t="str">
            <v>MPG</v>
          </cell>
          <cell r="F493" t="str">
            <v>Direct</v>
          </cell>
          <cell r="G493" t="str">
            <v>Gomukh Sondiha Uttri</v>
          </cell>
          <cell r="H493" t="str">
            <v>Kanchan Kumari</v>
          </cell>
          <cell r="I493">
            <v>8405018934</v>
          </cell>
          <cell r="J493" t="str">
            <v>100701</v>
          </cell>
          <cell r="K493"/>
          <cell r="L493">
            <v>45678</v>
          </cell>
          <cell r="N493" t="str">
            <v>Araria</v>
          </cell>
        </row>
        <row r="494">
          <cell r="B494">
            <v>10070050</v>
          </cell>
          <cell r="C494" t="str">
            <v>0050</v>
          </cell>
          <cell r="D494"/>
          <cell r="E494" t="str">
            <v>MPG</v>
          </cell>
          <cell r="F494" t="str">
            <v>Direct</v>
          </cell>
          <cell r="G494" t="str">
            <v>Gomukh Adawari</v>
          </cell>
          <cell r="H494" t="str">
            <v>Ritu Rajani</v>
          </cell>
          <cell r="I494">
            <v>8404910759</v>
          </cell>
          <cell r="J494" t="str">
            <v>100701</v>
          </cell>
          <cell r="K494"/>
          <cell r="L494">
            <v>45678</v>
          </cell>
          <cell r="N494" t="str">
            <v>Araria</v>
          </cell>
        </row>
        <row r="495">
          <cell r="B495">
            <v>10070051</v>
          </cell>
          <cell r="C495" t="str">
            <v>0051</v>
          </cell>
          <cell r="D495"/>
          <cell r="E495" t="str">
            <v>MPG</v>
          </cell>
          <cell r="F495" t="str">
            <v>Indirect</v>
          </cell>
          <cell r="G495" t="str">
            <v>Gomukh Bharso</v>
          </cell>
          <cell r="H495" t="str">
            <v>Kishor Kumar Choudhary</v>
          </cell>
          <cell r="I495">
            <v>8294054421</v>
          </cell>
          <cell r="J495" t="str">
            <v>100701</v>
          </cell>
          <cell r="K495"/>
          <cell r="L495">
            <v>45678</v>
          </cell>
          <cell r="N495" t="str">
            <v>Araria</v>
          </cell>
        </row>
        <row r="496">
          <cell r="B496">
            <v>10070052</v>
          </cell>
          <cell r="C496" t="str">
            <v>0052</v>
          </cell>
          <cell r="D496"/>
          <cell r="E496" t="str">
            <v>MPG</v>
          </cell>
          <cell r="F496" t="str">
            <v>Direct</v>
          </cell>
          <cell r="G496" t="str">
            <v>Gomukh Pachkhutti Jorabarpur</v>
          </cell>
          <cell r="H496" t="str">
            <v>Rajiv kumar</v>
          </cell>
          <cell r="I496">
            <v>7549838477</v>
          </cell>
          <cell r="J496" t="str">
            <v>101003</v>
          </cell>
          <cell r="K496"/>
          <cell r="L496">
            <v>45694</v>
          </cell>
          <cell r="N496" t="str">
            <v>Araria</v>
          </cell>
        </row>
        <row r="497">
          <cell r="B497">
            <v>10070053</v>
          </cell>
          <cell r="C497" t="str">
            <v>0053</v>
          </cell>
          <cell r="D497"/>
          <cell r="E497" t="str">
            <v>MPG</v>
          </cell>
          <cell r="F497" t="str">
            <v>Indirect</v>
          </cell>
          <cell r="G497" t="str">
            <v>Gomukh Saraiya</v>
          </cell>
          <cell r="H497" t="str">
            <v>Madhu kumari</v>
          </cell>
          <cell r="I497">
            <v>6204674632</v>
          </cell>
          <cell r="J497" t="str">
            <v>101003</v>
          </cell>
          <cell r="K497"/>
          <cell r="L497">
            <v>45694</v>
          </cell>
          <cell r="N497" t="str">
            <v>Araria</v>
          </cell>
        </row>
        <row r="498">
          <cell r="B498">
            <v>10070054</v>
          </cell>
          <cell r="C498" t="str">
            <v>0054</v>
          </cell>
          <cell r="D498"/>
          <cell r="E498" t="str">
            <v>MPG</v>
          </cell>
          <cell r="F498" t="str">
            <v>Indirect</v>
          </cell>
          <cell r="G498" t="str">
            <v>Gomukh Aguwani Farakia</v>
          </cell>
          <cell r="H498" t="str">
            <v>Rohit kumar singh</v>
          </cell>
          <cell r="I498">
            <v>9931416039</v>
          </cell>
          <cell r="J498" t="str">
            <v>101003</v>
          </cell>
          <cell r="K498"/>
          <cell r="L498">
            <v>45694</v>
          </cell>
          <cell r="N498" t="str">
            <v>Araria</v>
          </cell>
        </row>
        <row r="499">
          <cell r="B499">
            <v>10070055</v>
          </cell>
          <cell r="C499" t="str">
            <v>0055</v>
          </cell>
          <cell r="D499"/>
          <cell r="E499" t="str">
            <v>MPG</v>
          </cell>
          <cell r="F499" t="str">
            <v>Indirect</v>
          </cell>
          <cell r="G499" t="str">
            <v>Gomukh Bhorkat</v>
          </cell>
          <cell r="H499" t="str">
            <v>Sulo Mandal</v>
          </cell>
          <cell r="I499">
            <v>9931416010</v>
          </cell>
          <cell r="J499" t="str">
            <v>101003</v>
          </cell>
          <cell r="K499"/>
          <cell r="L499">
            <v>45694</v>
          </cell>
          <cell r="N499" t="str">
            <v>Araria</v>
          </cell>
        </row>
        <row r="500">
          <cell r="B500">
            <v>10070056</v>
          </cell>
          <cell r="C500" t="str">
            <v>0056</v>
          </cell>
          <cell r="D500"/>
          <cell r="E500" t="str">
            <v>MPG</v>
          </cell>
          <cell r="F500" t="str">
            <v>Indirect</v>
          </cell>
          <cell r="G500" t="str">
            <v xml:space="preserve"> Gomukh Nauranga</v>
          </cell>
          <cell r="H500" t="str">
            <v>Anju Devi</v>
          </cell>
          <cell r="I500">
            <v>9262634283</v>
          </cell>
          <cell r="J500" t="str">
            <v>100701</v>
          </cell>
          <cell r="K500"/>
          <cell r="L500">
            <v>45705</v>
          </cell>
          <cell r="N500" t="str">
            <v>Araria</v>
          </cell>
        </row>
        <row r="501">
          <cell r="B501">
            <v>10070057</v>
          </cell>
          <cell r="C501" t="str">
            <v>0057</v>
          </cell>
          <cell r="D501"/>
          <cell r="E501" t="str">
            <v>MPG</v>
          </cell>
          <cell r="F501" t="str">
            <v>Direct</v>
          </cell>
          <cell r="G501" t="str">
            <v>Gomukh Bharatkhand Purbi</v>
          </cell>
          <cell r="H501" t="str">
            <v>Yugeshwar Kumar</v>
          </cell>
          <cell r="I501">
            <v>9199985413</v>
          </cell>
          <cell r="J501" t="str">
            <v>100701</v>
          </cell>
          <cell r="K501"/>
          <cell r="L501">
            <v>45708</v>
          </cell>
          <cell r="N501" t="str">
            <v>Araria</v>
          </cell>
        </row>
        <row r="502">
          <cell r="B502">
            <v>10070058</v>
          </cell>
          <cell r="C502" t="str">
            <v>0058</v>
          </cell>
          <cell r="D502"/>
          <cell r="E502" t="str">
            <v>MPG</v>
          </cell>
          <cell r="F502" t="str">
            <v>Indirect</v>
          </cell>
          <cell r="G502" t="str">
            <v>Gomukh Malpa Dhutauli VLC</v>
          </cell>
          <cell r="H502" t="str">
            <v>Pushpa Devi</v>
          </cell>
          <cell r="I502">
            <v>7352398205</v>
          </cell>
          <cell r="J502" t="str">
            <v>100701</v>
          </cell>
          <cell r="K502"/>
          <cell r="L502">
            <v>45708</v>
          </cell>
          <cell r="N502" t="str">
            <v>Araria</v>
          </cell>
        </row>
        <row r="503">
          <cell r="B503">
            <v>10070059</v>
          </cell>
          <cell r="C503" t="str">
            <v>0059</v>
          </cell>
          <cell r="D503"/>
          <cell r="E503" t="str">
            <v>MPG</v>
          </cell>
          <cell r="F503" t="str">
            <v>Indirect</v>
          </cell>
          <cell r="G503" t="str">
            <v>Gomukh Pakrail Vijay Nagar VLC</v>
          </cell>
          <cell r="H503" t="str">
            <v>Nitish kumar Nirala</v>
          </cell>
          <cell r="I503">
            <v>8877205150</v>
          </cell>
          <cell r="J503" t="str">
            <v>100701</v>
          </cell>
          <cell r="K503"/>
          <cell r="L503">
            <v>45708</v>
          </cell>
          <cell r="N503" t="str">
            <v>Araria</v>
          </cell>
        </row>
        <row r="504">
          <cell r="B504">
            <v>10070060</v>
          </cell>
          <cell r="C504" t="str">
            <v>0060</v>
          </cell>
          <cell r="D504"/>
          <cell r="E504" t="str">
            <v>MPG</v>
          </cell>
          <cell r="F504" t="str">
            <v>Indirect</v>
          </cell>
          <cell r="G504" t="str">
            <v>Gomukh Pakrail Shirnia VLC</v>
          </cell>
          <cell r="H504" t="str">
            <v>Sujit Kumar</v>
          </cell>
          <cell r="I504"/>
          <cell r="J504" t="str">
            <v>100701</v>
          </cell>
          <cell r="K504"/>
          <cell r="L504">
            <v>45734</v>
          </cell>
          <cell r="N504" t="str">
            <v>Araria</v>
          </cell>
        </row>
        <row r="505">
          <cell r="B505">
            <v>10070061</v>
          </cell>
          <cell r="C505" t="str">
            <v>0061</v>
          </cell>
          <cell r="D505"/>
          <cell r="E505" t="str">
            <v>MPG</v>
          </cell>
          <cell r="F505" t="str">
            <v>Indirect</v>
          </cell>
          <cell r="G505" t="str">
            <v>Gomukh Godhiyasi Nayagow VLC</v>
          </cell>
          <cell r="H505" t="str">
            <v>Manish Kumar</v>
          </cell>
          <cell r="I505">
            <v>9835267778</v>
          </cell>
          <cell r="J505" t="str">
            <v>100701</v>
          </cell>
          <cell r="K505"/>
          <cell r="L505">
            <v>45741</v>
          </cell>
          <cell r="N505" t="str">
            <v>Araria</v>
          </cell>
        </row>
        <row r="506">
          <cell r="B506">
            <v>10070062</v>
          </cell>
          <cell r="C506" t="str">
            <v>0062</v>
          </cell>
          <cell r="D506"/>
          <cell r="E506" t="str">
            <v>MPG</v>
          </cell>
          <cell r="F506" t="str">
            <v>Direct</v>
          </cell>
          <cell r="G506" t="str">
            <v>Gomukh Gogri</v>
          </cell>
          <cell r="H506" t="str">
            <v>Rajkumar Paswan</v>
          </cell>
          <cell r="I506">
            <v>8409951506</v>
          </cell>
          <cell r="J506" t="str">
            <v>100701</v>
          </cell>
          <cell r="K506"/>
          <cell r="L506">
            <v>45741</v>
          </cell>
          <cell r="N506" t="str">
            <v>Araria</v>
          </cell>
        </row>
        <row r="507">
          <cell r="B507">
            <v>10070063</v>
          </cell>
          <cell r="C507" t="str">
            <v>0063</v>
          </cell>
          <cell r="D507"/>
          <cell r="E507" t="str">
            <v>MPG</v>
          </cell>
          <cell r="F507" t="str">
            <v>Direct</v>
          </cell>
          <cell r="G507" t="str">
            <v>Gomukh Bandehra Purbi</v>
          </cell>
          <cell r="H507" t="str">
            <v>Manish kumar Bharti</v>
          </cell>
          <cell r="I507">
            <v>8051888251</v>
          </cell>
          <cell r="J507" t="str">
            <v>100701</v>
          </cell>
          <cell r="K507"/>
          <cell r="L507">
            <v>45765</v>
          </cell>
          <cell r="N507" t="str">
            <v>Araria</v>
          </cell>
        </row>
        <row r="508">
          <cell r="B508">
            <v>10070064</v>
          </cell>
          <cell r="C508" t="str">
            <v>0064</v>
          </cell>
          <cell r="D508"/>
          <cell r="E508" t="str">
            <v>MPG</v>
          </cell>
          <cell r="F508" t="str">
            <v>Direct</v>
          </cell>
          <cell r="G508" t="str">
            <v>Gomukh Tila tol</v>
          </cell>
          <cell r="H508" t="str">
            <v>Ravindra kumar Singh</v>
          </cell>
          <cell r="I508">
            <v>8877292357</v>
          </cell>
          <cell r="J508" t="str">
            <v>100701</v>
          </cell>
          <cell r="K508"/>
          <cell r="L508">
            <v>45765</v>
          </cell>
          <cell r="N508" t="str">
            <v>Araria</v>
          </cell>
        </row>
        <row r="509">
          <cell r="B509">
            <v>10070065</v>
          </cell>
          <cell r="C509" t="str">
            <v>0065</v>
          </cell>
          <cell r="D509"/>
          <cell r="E509" t="str">
            <v>MPG</v>
          </cell>
          <cell r="F509" t="str">
            <v>Indirect</v>
          </cell>
          <cell r="G509" t="str">
            <v>Gomukh Dina Chakla vlc</v>
          </cell>
          <cell r="H509" t="str">
            <v>Sarita Devi</v>
          </cell>
          <cell r="I509">
            <v>8051794971</v>
          </cell>
          <cell r="J509" t="str">
            <v>100701</v>
          </cell>
          <cell r="K509"/>
          <cell r="L509">
            <v>45768</v>
          </cell>
          <cell r="N509" t="str">
            <v>Araria</v>
          </cell>
        </row>
        <row r="510">
          <cell r="B510">
            <v>10070066</v>
          </cell>
          <cell r="C510" t="str">
            <v>0066</v>
          </cell>
          <cell r="D510"/>
          <cell r="E510" t="str">
            <v>MPG</v>
          </cell>
          <cell r="F510" t="str">
            <v>Indirect</v>
          </cell>
          <cell r="G510" t="str">
            <v>Gomukh Ranjit Yadav VLC</v>
          </cell>
          <cell r="H510" t="str">
            <v>Ranjeet Yadav</v>
          </cell>
          <cell r="I510">
            <v>7870893394</v>
          </cell>
          <cell r="J510" t="str">
            <v>100701</v>
          </cell>
          <cell r="K510"/>
          <cell r="L510">
            <v>45814</v>
          </cell>
          <cell r="N510" t="str">
            <v>Araria</v>
          </cell>
        </row>
        <row r="511">
          <cell r="B511">
            <v>10070067</v>
          </cell>
          <cell r="C511" t="str">
            <v>0067</v>
          </cell>
          <cell r="D511"/>
          <cell r="E511" t="str">
            <v>MPG</v>
          </cell>
          <cell r="F511" t="str">
            <v>Indirect</v>
          </cell>
          <cell r="G511" t="str">
            <v>Gomukh Gulshan kumar VLC</v>
          </cell>
          <cell r="H511" t="str">
            <v>Gulshan kumar</v>
          </cell>
          <cell r="I511">
            <v>7766961725</v>
          </cell>
          <cell r="J511" t="str">
            <v>100701</v>
          </cell>
          <cell r="K511"/>
          <cell r="L511">
            <v>45814</v>
          </cell>
          <cell r="N511" t="str">
            <v>Araria</v>
          </cell>
        </row>
        <row r="512">
          <cell r="B512">
            <v>10070068</v>
          </cell>
          <cell r="C512" t="str">
            <v>0068</v>
          </cell>
          <cell r="D512"/>
          <cell r="E512" t="str">
            <v>MPG</v>
          </cell>
          <cell r="F512" t="str">
            <v>Indirect</v>
          </cell>
          <cell r="G512" t="str">
            <v>Gomukh Sunni kumar VLC</v>
          </cell>
          <cell r="H512" t="str">
            <v>Sunni Kumar</v>
          </cell>
          <cell r="I512">
            <v>7282828380</v>
          </cell>
          <cell r="J512" t="str">
            <v>100701</v>
          </cell>
          <cell r="K512"/>
          <cell r="L512">
            <v>45814</v>
          </cell>
          <cell r="N512" t="str">
            <v>Araria</v>
          </cell>
        </row>
        <row r="513">
          <cell r="B513">
            <v>10070069</v>
          </cell>
          <cell r="C513" t="str">
            <v>0069</v>
          </cell>
          <cell r="D513"/>
          <cell r="E513" t="str">
            <v>MPG</v>
          </cell>
          <cell r="F513" t="str">
            <v>Indirect</v>
          </cell>
          <cell r="G513" t="str">
            <v>Gomukh Vishal kumar VLC</v>
          </cell>
          <cell r="H513" t="str">
            <v>Vishal kumar</v>
          </cell>
          <cell r="I513">
            <v>6204119514</v>
          </cell>
          <cell r="J513" t="str">
            <v>100701</v>
          </cell>
          <cell r="K513"/>
          <cell r="L513">
            <v>45814</v>
          </cell>
          <cell r="N513" t="str">
            <v>Araria</v>
          </cell>
        </row>
        <row r="514">
          <cell r="B514">
            <v>10070070</v>
          </cell>
          <cell r="C514" t="str">
            <v>0070</v>
          </cell>
          <cell r="D514"/>
          <cell r="E514" t="str">
            <v>MPG</v>
          </cell>
          <cell r="F514" t="str">
            <v>Direct</v>
          </cell>
          <cell r="G514" t="str">
            <v>Gomukh English Lagar</v>
          </cell>
          <cell r="H514" t="str">
            <v>Niranjan kumar</v>
          </cell>
          <cell r="I514">
            <v>7766961725</v>
          </cell>
          <cell r="J514" t="str">
            <v>101003</v>
          </cell>
          <cell r="K514"/>
          <cell r="L514">
            <v>45814</v>
          </cell>
          <cell r="N514" t="str">
            <v>Araria</v>
          </cell>
        </row>
        <row r="515">
          <cell r="B515">
            <v>10070071</v>
          </cell>
          <cell r="C515" t="str">
            <v>0071</v>
          </cell>
          <cell r="D515"/>
          <cell r="E515" t="str">
            <v>MPG</v>
          </cell>
          <cell r="F515" t="str">
            <v>Direct</v>
          </cell>
          <cell r="G515" t="str">
            <v>Gomukh Prem Nagar</v>
          </cell>
          <cell r="H515" t="str">
            <v>Sikandar Mandal</v>
          </cell>
          <cell r="I515">
            <v>8102772608</v>
          </cell>
          <cell r="J515" t="str">
            <v>100701</v>
          </cell>
          <cell r="K515"/>
          <cell r="L515">
            <v>45814</v>
          </cell>
          <cell r="N515" t="str">
            <v>Araria</v>
          </cell>
        </row>
        <row r="516">
          <cell r="B516">
            <v>10070072</v>
          </cell>
          <cell r="C516" t="str">
            <v>0072</v>
          </cell>
          <cell r="D516"/>
          <cell r="E516" t="str">
            <v>MPG</v>
          </cell>
          <cell r="F516" t="str">
            <v>Indirect</v>
          </cell>
          <cell r="G516" t="str">
            <v>Gomukh purani tola</v>
          </cell>
          <cell r="H516" t="str">
            <v>Bhikhari Mandal</v>
          </cell>
          <cell r="I516">
            <v>9006906005</v>
          </cell>
          <cell r="J516" t="str">
            <v>100701</v>
          </cell>
          <cell r="K516"/>
          <cell r="L516">
            <v>45814</v>
          </cell>
          <cell r="N516" t="str">
            <v>Araria</v>
          </cell>
        </row>
        <row r="517">
          <cell r="B517">
            <v>10070073</v>
          </cell>
          <cell r="C517" t="str">
            <v>0073</v>
          </cell>
          <cell r="D517"/>
          <cell r="E517" t="str">
            <v>MPG</v>
          </cell>
          <cell r="F517" t="str">
            <v>Indirect</v>
          </cell>
          <cell r="G517" t="str">
            <v>Gomukh Chautham(Mithun kumar VLC)</v>
          </cell>
          <cell r="H517" t="str">
            <v>Mithun kumar</v>
          </cell>
          <cell r="I517">
            <v>6204674632</v>
          </cell>
          <cell r="J517" t="str">
            <v>100701</v>
          </cell>
          <cell r="K517"/>
          <cell r="L517">
            <v>45827</v>
          </cell>
          <cell r="N517" t="str">
            <v>Araria</v>
          </cell>
        </row>
        <row r="518">
          <cell r="B518">
            <v>10070074</v>
          </cell>
          <cell r="C518" t="str">
            <v>0074</v>
          </cell>
          <cell r="D518"/>
          <cell r="E518" t="str">
            <v>MPG</v>
          </cell>
          <cell r="F518" t="str">
            <v>Indirect</v>
          </cell>
          <cell r="G518" t="str">
            <v>Gomukh Gogri VLC</v>
          </cell>
          <cell r="H518" t="str">
            <v>Raj kumar paswan</v>
          </cell>
          <cell r="I518">
            <v>7091874731</v>
          </cell>
          <cell r="J518" t="str">
            <v>100701</v>
          </cell>
          <cell r="K518"/>
          <cell r="L518">
            <v>45869</v>
          </cell>
          <cell r="N518" t="str">
            <v>Araria</v>
          </cell>
        </row>
        <row r="519">
          <cell r="B519">
            <v>10070075</v>
          </cell>
          <cell r="C519" t="str">
            <v>0075</v>
          </cell>
          <cell r="D519"/>
          <cell r="E519" t="str">
            <v>MPG</v>
          </cell>
          <cell r="F519" t="str">
            <v>Indirect</v>
          </cell>
          <cell r="G519" t="str">
            <v>Gomukh Rajan Madhabpur Vlc</v>
          </cell>
          <cell r="H519" t="str">
            <v>Rajan Kumar</v>
          </cell>
          <cell r="I519">
            <v>7033730419</v>
          </cell>
          <cell r="J519" t="str">
            <v>100701</v>
          </cell>
          <cell r="K519"/>
          <cell r="L519">
            <v>45877</v>
          </cell>
          <cell r="N519" t="str">
            <v>Araria</v>
          </cell>
        </row>
        <row r="520">
          <cell r="B520">
            <v>10070076</v>
          </cell>
          <cell r="C520" t="str">
            <v>0076</v>
          </cell>
          <cell r="D520"/>
          <cell r="E520" t="str">
            <v>MPG</v>
          </cell>
          <cell r="F520" t="str">
            <v>Indirect</v>
          </cell>
          <cell r="G520" t="str">
            <v>Gomukh Sondiha jay prakash VLC</v>
          </cell>
          <cell r="H520" t="str">
            <v>jay prakash singh</v>
          </cell>
          <cell r="I520">
            <v>7631924201</v>
          </cell>
          <cell r="J520" t="str">
            <v>100701</v>
          </cell>
          <cell r="K520"/>
          <cell r="L520">
            <v>45881</v>
          </cell>
          <cell r="N520" t="str">
            <v>Araria</v>
          </cell>
        </row>
        <row r="521">
          <cell r="B521">
            <v>10070077</v>
          </cell>
          <cell r="C521" t="str">
            <v>0077</v>
          </cell>
          <cell r="D521"/>
          <cell r="E521" t="str">
            <v>MPG</v>
          </cell>
          <cell r="F521" t="str">
            <v>Direct</v>
          </cell>
          <cell r="G521" t="str">
            <v>Gomukh Bari chak Gogri</v>
          </cell>
          <cell r="H521" t="str">
            <v>Mithun kumar</v>
          </cell>
          <cell r="I521">
            <v>9262632235</v>
          </cell>
          <cell r="J521" t="str">
            <v>101003</v>
          </cell>
          <cell r="K521"/>
          <cell r="L521">
            <v>46018</v>
          </cell>
          <cell r="N521" t="str">
            <v>Araria</v>
          </cell>
        </row>
        <row r="522">
          <cell r="B522">
            <v>10070078</v>
          </cell>
          <cell r="C522" t="str">
            <v>0078</v>
          </cell>
          <cell r="D522"/>
          <cell r="E522" t="str">
            <v>MPG</v>
          </cell>
          <cell r="F522" t="str">
            <v>Direct</v>
          </cell>
          <cell r="G522" t="str">
            <v>Gomukh Khatha</v>
          </cell>
          <cell r="H522" t="str">
            <v>Dhiraj  Kumar</v>
          </cell>
          <cell r="I522">
            <v>9708092413</v>
          </cell>
          <cell r="J522" t="str">
            <v>100701</v>
          </cell>
          <cell r="K522"/>
          <cell r="L522">
            <v>46025</v>
          </cell>
          <cell r="N522" t="str">
            <v>Araria</v>
          </cell>
        </row>
        <row r="523">
          <cell r="B523">
            <v>10080001</v>
          </cell>
          <cell r="C523" t="str">
            <v>0001</v>
          </cell>
          <cell r="D523" t="str">
            <v>9543</v>
          </cell>
          <cell r="E523" t="str">
            <v>MPG</v>
          </cell>
          <cell r="F523" t="str">
            <v>Indirect</v>
          </cell>
          <cell r="G523" t="str">
            <v>Chak punervas</v>
          </cell>
          <cell r="H523" t="str">
            <v>Pankaj Choudhary</v>
          </cell>
          <cell r="I523">
            <v>7258005762</v>
          </cell>
          <cell r="J523" t="str">
            <v>100801</v>
          </cell>
          <cell r="K523" t="str">
            <v/>
          </cell>
          <cell r="L523">
            <v>42996</v>
          </cell>
          <cell r="N523" t="str">
            <v>Teghra</v>
          </cell>
        </row>
        <row r="524">
          <cell r="B524">
            <v>10080002</v>
          </cell>
          <cell r="C524" t="str">
            <v>0002</v>
          </cell>
          <cell r="D524" t="str">
            <v>9541</v>
          </cell>
          <cell r="E524" t="str">
            <v>MPG</v>
          </cell>
          <cell r="F524" t="str">
            <v>Indirect</v>
          </cell>
          <cell r="G524" t="str">
            <v>Labherchak</v>
          </cell>
          <cell r="H524" t="str">
            <v>Prabhat Kumar</v>
          </cell>
          <cell r="I524">
            <v>9113726981</v>
          </cell>
          <cell r="J524" t="str">
            <v>100801</v>
          </cell>
          <cell r="K524" t="str">
            <v/>
          </cell>
          <cell r="L524">
            <v>42997</v>
          </cell>
          <cell r="N524" t="str">
            <v>Teghra</v>
          </cell>
        </row>
        <row r="525">
          <cell r="B525">
            <v>10080003</v>
          </cell>
          <cell r="C525" t="str">
            <v>0003</v>
          </cell>
          <cell r="D525" t="str">
            <v>9540</v>
          </cell>
          <cell r="E525" t="str">
            <v>MPG</v>
          </cell>
          <cell r="F525" t="str">
            <v>Indirect</v>
          </cell>
          <cell r="G525" t="str">
            <v>Paspura</v>
          </cell>
          <cell r="H525" t="str">
            <v>Vinod Singh</v>
          </cell>
          <cell r="I525">
            <v>9534392130</v>
          </cell>
          <cell r="J525" t="str">
            <v>100801</v>
          </cell>
          <cell r="K525" t="str">
            <v/>
          </cell>
          <cell r="L525">
            <v>42999</v>
          </cell>
          <cell r="N525" t="str">
            <v>Teghra</v>
          </cell>
        </row>
        <row r="526">
          <cell r="B526">
            <v>10080004</v>
          </cell>
          <cell r="C526" t="str">
            <v>0004</v>
          </cell>
          <cell r="D526" t="str">
            <v>9103</v>
          </cell>
          <cell r="E526" t="str">
            <v>MPG</v>
          </cell>
          <cell r="F526" t="str">
            <v>Indirect</v>
          </cell>
          <cell r="G526" t="str">
            <v>Gomukh Godhna</v>
          </cell>
          <cell r="H526" t="str">
            <v>Avaidhi Devi</v>
          </cell>
          <cell r="I526">
            <v>9525765521</v>
          </cell>
          <cell r="J526" t="str">
            <v>100803</v>
          </cell>
          <cell r="K526" t="str">
            <v/>
          </cell>
          <cell r="L526">
            <v>43077</v>
          </cell>
          <cell r="N526" t="str">
            <v>Teghra</v>
          </cell>
        </row>
        <row r="527">
          <cell r="B527">
            <v>10080005</v>
          </cell>
          <cell r="C527" t="str">
            <v>0005</v>
          </cell>
          <cell r="D527" t="str">
            <v>9121</v>
          </cell>
          <cell r="E527" t="str">
            <v>MPG</v>
          </cell>
          <cell r="F527" t="str">
            <v>Indirect</v>
          </cell>
          <cell r="G527" t="str">
            <v>Briyarpur</v>
          </cell>
          <cell r="H527" t="str">
            <v>Bittu Kumar Yadav</v>
          </cell>
          <cell r="I527">
            <v>8709480363</v>
          </cell>
          <cell r="J527" t="str">
            <v>100803</v>
          </cell>
          <cell r="K527" t="str">
            <v/>
          </cell>
          <cell r="L527">
            <v>43150</v>
          </cell>
          <cell r="N527" t="str">
            <v>Teghra</v>
          </cell>
        </row>
        <row r="528">
          <cell r="B528">
            <v>10080006</v>
          </cell>
          <cell r="C528" t="str">
            <v>0006</v>
          </cell>
          <cell r="D528" t="str">
            <v>9550</v>
          </cell>
          <cell r="E528" t="str">
            <v>MPG</v>
          </cell>
          <cell r="F528" t="str">
            <v>Indirect</v>
          </cell>
          <cell r="G528" t="str">
            <v>Gomukh Sihma 2</v>
          </cell>
          <cell r="H528" t="str">
            <v>Bipin Singh</v>
          </cell>
          <cell r="I528">
            <v>8298661290</v>
          </cell>
          <cell r="J528" t="str">
            <v>100801</v>
          </cell>
          <cell r="K528" t="str">
            <v/>
          </cell>
          <cell r="L528">
            <v>43407</v>
          </cell>
          <cell r="N528" t="str">
            <v>Teghra</v>
          </cell>
        </row>
        <row r="529">
          <cell r="B529">
            <v>10080007</v>
          </cell>
          <cell r="C529" t="str">
            <v>0007</v>
          </cell>
          <cell r="D529" t="str">
            <v>9175</v>
          </cell>
          <cell r="E529" t="str">
            <v>MPG</v>
          </cell>
          <cell r="F529" t="str">
            <v>Indirect</v>
          </cell>
          <cell r="G529" t="str">
            <v>Gomukh ID Marsaito</v>
          </cell>
          <cell r="H529" t="str">
            <v>Sahindra Yadav</v>
          </cell>
          <cell r="I529">
            <v>9546814208</v>
          </cell>
          <cell r="J529" t="str">
            <v>100803</v>
          </cell>
          <cell r="K529" t="str">
            <v/>
          </cell>
          <cell r="L529">
            <v>43785</v>
          </cell>
          <cell r="N529" t="str">
            <v>Teghra</v>
          </cell>
        </row>
        <row r="530">
          <cell r="B530">
            <v>10080008</v>
          </cell>
          <cell r="C530" t="str">
            <v>0008</v>
          </cell>
          <cell r="D530" t="str">
            <v>6340</v>
          </cell>
          <cell r="E530" t="str">
            <v>MPG</v>
          </cell>
          <cell r="F530" t="str">
            <v>Indirect</v>
          </cell>
          <cell r="G530" t="str">
            <v>PUJAN SINGH</v>
          </cell>
          <cell r="H530" t="str">
            <v>PUJAN SINGH</v>
          </cell>
          <cell r="I530">
            <v>9173108485</v>
          </cell>
          <cell r="J530" t="str">
            <v>100803</v>
          </cell>
          <cell r="K530" t="str">
            <v/>
          </cell>
          <cell r="L530">
            <v>43789</v>
          </cell>
          <cell r="N530" t="str">
            <v>Teghra</v>
          </cell>
        </row>
        <row r="531">
          <cell r="B531">
            <v>10080009</v>
          </cell>
          <cell r="C531" t="str">
            <v>0009</v>
          </cell>
          <cell r="D531" t="str">
            <v>9176</v>
          </cell>
          <cell r="E531" t="str">
            <v>MPG</v>
          </cell>
          <cell r="F531" t="str">
            <v>Indirect</v>
          </cell>
          <cell r="G531" t="str">
            <v>Gomukh ID Pidhauli</v>
          </cell>
          <cell r="H531" t="str">
            <v>Chandra Kumar</v>
          </cell>
          <cell r="I531">
            <v>9801428015</v>
          </cell>
          <cell r="J531" t="str">
            <v>100803</v>
          </cell>
          <cell r="K531" t="str">
            <v/>
          </cell>
          <cell r="L531">
            <v>43791</v>
          </cell>
          <cell r="N531" t="str">
            <v>Teghra</v>
          </cell>
        </row>
        <row r="532">
          <cell r="B532">
            <v>10080010</v>
          </cell>
          <cell r="C532" t="str">
            <v>0010</v>
          </cell>
          <cell r="D532" t="str">
            <v>9177</v>
          </cell>
          <cell r="E532" t="str">
            <v>MPG</v>
          </cell>
          <cell r="F532" t="str">
            <v>Indirect</v>
          </cell>
          <cell r="G532" t="str">
            <v>Gomukh ID Bharaul</v>
          </cell>
          <cell r="H532" t="str">
            <v>Shambhu Iswar</v>
          </cell>
          <cell r="I532">
            <v>9955226494</v>
          </cell>
          <cell r="J532" t="str">
            <v>100803</v>
          </cell>
          <cell r="K532" t="str">
            <v/>
          </cell>
          <cell r="L532">
            <v>43917</v>
          </cell>
          <cell r="N532" t="str">
            <v>Teghra</v>
          </cell>
        </row>
        <row r="533">
          <cell r="B533">
            <v>10080011</v>
          </cell>
          <cell r="C533" t="str">
            <v>0011</v>
          </cell>
          <cell r="D533" t="str">
            <v>9178</v>
          </cell>
          <cell r="E533" t="str">
            <v>MPG</v>
          </cell>
          <cell r="F533" t="str">
            <v>Indirect</v>
          </cell>
          <cell r="G533" t="str">
            <v>Gomukh ID Islampur</v>
          </cell>
          <cell r="H533" t="str">
            <v>Pramod Singh</v>
          </cell>
          <cell r="I533">
            <v>6202528156</v>
          </cell>
          <cell r="J533" t="str">
            <v>100802</v>
          </cell>
          <cell r="K533" t="str">
            <v/>
          </cell>
          <cell r="L533">
            <v>43923</v>
          </cell>
          <cell r="N533" t="str">
            <v>Teghra</v>
          </cell>
        </row>
        <row r="534">
          <cell r="B534">
            <v>10080012</v>
          </cell>
          <cell r="C534" t="str">
            <v>0012</v>
          </cell>
          <cell r="D534" t="str">
            <v>9179</v>
          </cell>
          <cell r="E534" t="str">
            <v>MPG</v>
          </cell>
          <cell r="F534" t="str">
            <v>Indirect</v>
          </cell>
          <cell r="G534" t="str">
            <v>Gomukh ID Akashpur-2</v>
          </cell>
          <cell r="H534" t="str">
            <v>Nitu Kumari</v>
          </cell>
          <cell r="I534">
            <v>9934943717</v>
          </cell>
          <cell r="J534" t="str">
            <v>100801</v>
          </cell>
          <cell r="K534" t="str">
            <v/>
          </cell>
          <cell r="L534">
            <v>44257</v>
          </cell>
          <cell r="N534" t="str">
            <v>Teghra</v>
          </cell>
        </row>
        <row r="535">
          <cell r="B535">
            <v>10080013</v>
          </cell>
          <cell r="C535" t="str">
            <v>0013</v>
          </cell>
          <cell r="D535" t="str">
            <v>9787</v>
          </cell>
          <cell r="E535" t="str">
            <v>MPG</v>
          </cell>
          <cell r="F535" t="str">
            <v>Indirect</v>
          </cell>
          <cell r="G535" t="str">
            <v>Gomukh ID Akashpur</v>
          </cell>
          <cell r="H535" t="str">
            <v>Parmanand Mahto</v>
          </cell>
          <cell r="I535">
            <v>6207624291</v>
          </cell>
          <cell r="J535" t="str">
            <v>100801</v>
          </cell>
          <cell r="K535" t="str">
            <v/>
          </cell>
          <cell r="L535">
            <v>44373</v>
          </cell>
          <cell r="N535" t="str">
            <v>Teghra</v>
          </cell>
        </row>
        <row r="536">
          <cell r="B536">
            <v>10080014</v>
          </cell>
          <cell r="C536" t="str">
            <v>0014</v>
          </cell>
          <cell r="D536" t="str">
            <v>9786</v>
          </cell>
          <cell r="E536" t="str">
            <v>MPG</v>
          </cell>
          <cell r="F536" t="str">
            <v>Indirect</v>
          </cell>
          <cell r="G536" t="str">
            <v>Gomukh ID Rachiyahi</v>
          </cell>
          <cell r="H536" t="str">
            <v>Om Prakash Singh</v>
          </cell>
          <cell r="I536">
            <v>7525046288</v>
          </cell>
          <cell r="J536" t="str">
            <v>100801</v>
          </cell>
          <cell r="K536" t="str">
            <v/>
          </cell>
          <cell r="L536">
            <v>44375</v>
          </cell>
          <cell r="N536" t="str">
            <v>Teghra</v>
          </cell>
        </row>
        <row r="537">
          <cell r="B537">
            <v>10080015</v>
          </cell>
          <cell r="C537" t="str">
            <v>0015</v>
          </cell>
          <cell r="D537" t="str">
            <v>9147</v>
          </cell>
          <cell r="E537" t="str">
            <v>MPG</v>
          </cell>
          <cell r="F537" t="str">
            <v>Direct</v>
          </cell>
          <cell r="G537" t="str">
            <v>GomukhBariyahi Chanan</v>
          </cell>
          <cell r="H537" t="str">
            <v>Rajeev Kumar</v>
          </cell>
          <cell r="I537">
            <v>9570636048</v>
          </cell>
          <cell r="J537" t="str">
            <v>100801</v>
          </cell>
          <cell r="K537" t="str">
            <v/>
          </cell>
          <cell r="L537">
            <v>44693</v>
          </cell>
          <cell r="N537" t="str">
            <v>Teghra</v>
          </cell>
        </row>
        <row r="538">
          <cell r="B538">
            <v>10080016</v>
          </cell>
          <cell r="C538" t="str">
            <v>0016</v>
          </cell>
          <cell r="D538" t="str">
            <v>9148</v>
          </cell>
          <cell r="E538" t="str">
            <v>MPG</v>
          </cell>
          <cell r="F538" t="str">
            <v>Direct</v>
          </cell>
          <cell r="G538" t="str">
            <v>GomukhGehuni</v>
          </cell>
          <cell r="H538" t="str">
            <v>Rajeev Kumar Singh</v>
          </cell>
          <cell r="I538">
            <v>9162656663</v>
          </cell>
          <cell r="J538" t="str">
            <v>100802</v>
          </cell>
          <cell r="K538" t="str">
            <v/>
          </cell>
          <cell r="L538">
            <v>44694</v>
          </cell>
          <cell r="N538" t="str">
            <v>Teghra</v>
          </cell>
        </row>
        <row r="539">
          <cell r="B539">
            <v>10080017</v>
          </cell>
          <cell r="C539" t="str">
            <v>0017</v>
          </cell>
          <cell r="D539" t="str">
            <v>9149</v>
          </cell>
          <cell r="E539" t="str">
            <v>MPG</v>
          </cell>
          <cell r="F539" t="str">
            <v>Direct</v>
          </cell>
          <cell r="G539" t="str">
            <v>Gomukh Bachhwara</v>
          </cell>
          <cell r="H539" t="str">
            <v>Vijay kr chaudhary</v>
          </cell>
          <cell r="I539">
            <v>7488364934</v>
          </cell>
          <cell r="J539" t="str">
            <v>100801</v>
          </cell>
          <cell r="K539" t="str">
            <v/>
          </cell>
          <cell r="L539">
            <v>44752</v>
          </cell>
          <cell r="N539" t="str">
            <v>Teghra</v>
          </cell>
        </row>
        <row r="540">
          <cell r="B540">
            <v>10080018</v>
          </cell>
          <cell r="C540" t="str">
            <v>0018</v>
          </cell>
          <cell r="D540" t="str">
            <v>9151</v>
          </cell>
          <cell r="E540" t="str">
            <v>MPG</v>
          </cell>
          <cell r="F540" t="str">
            <v>Indirect</v>
          </cell>
          <cell r="G540" t="str">
            <v>Gomukh Jagatpura</v>
          </cell>
          <cell r="H540" t="str">
            <v>Himmat Kumar</v>
          </cell>
          <cell r="I540">
            <v>8862915815</v>
          </cell>
          <cell r="J540" t="str">
            <v>100801</v>
          </cell>
          <cell r="K540" t="str">
            <v/>
          </cell>
          <cell r="L540">
            <v>44754</v>
          </cell>
          <cell r="N540" t="str">
            <v>Teghra</v>
          </cell>
        </row>
        <row r="541">
          <cell r="B541">
            <v>10080019</v>
          </cell>
          <cell r="C541" t="str">
            <v>0019</v>
          </cell>
          <cell r="D541" t="str">
            <v>9159</v>
          </cell>
          <cell r="E541" t="str">
            <v>MPG</v>
          </cell>
          <cell r="F541" t="str">
            <v>Direct</v>
          </cell>
          <cell r="G541" t="str">
            <v>Gomukh Chandaur</v>
          </cell>
          <cell r="H541" t="str">
            <v>Nisha Devi</v>
          </cell>
          <cell r="I541">
            <v>8092134690</v>
          </cell>
          <cell r="J541" t="str">
            <v>100803</v>
          </cell>
          <cell r="K541" t="str">
            <v>Yes</v>
          </cell>
          <cell r="L541">
            <v>44967</v>
          </cell>
          <cell r="N541" t="str">
            <v>Teghra</v>
          </cell>
        </row>
        <row r="542">
          <cell r="B542">
            <v>10080020</v>
          </cell>
          <cell r="C542" t="str">
            <v>0020</v>
          </cell>
          <cell r="D542" t="str">
            <v>9160</v>
          </cell>
          <cell r="E542" t="str">
            <v>MPG</v>
          </cell>
          <cell r="F542" t="str">
            <v>Direct</v>
          </cell>
          <cell r="G542" t="str">
            <v>Gomukh Handalpur</v>
          </cell>
          <cell r="H542" t="str">
            <v>Omprakash Yadav</v>
          </cell>
          <cell r="I542">
            <v>9709851032</v>
          </cell>
          <cell r="J542" t="str">
            <v>100802</v>
          </cell>
          <cell r="K542" t="str">
            <v>Yes</v>
          </cell>
          <cell r="L542">
            <v>44967</v>
          </cell>
          <cell r="N542" t="str">
            <v>Teghra</v>
          </cell>
        </row>
        <row r="543">
          <cell r="B543">
            <v>10080021</v>
          </cell>
          <cell r="C543" t="str">
            <v>0021</v>
          </cell>
          <cell r="D543" t="str">
            <v>9157</v>
          </cell>
          <cell r="E543" t="str">
            <v>MPG</v>
          </cell>
          <cell r="F543" t="str">
            <v>Direct</v>
          </cell>
          <cell r="G543" t="str">
            <v>Gomukh Bariyarpur</v>
          </cell>
          <cell r="H543" t="str">
            <v>Abhisekh Kumar</v>
          </cell>
          <cell r="I543">
            <v>9123196980</v>
          </cell>
          <cell r="J543" t="str">
            <v>100802</v>
          </cell>
          <cell r="K543" t="str">
            <v>Yes</v>
          </cell>
          <cell r="L543">
            <v>44974</v>
          </cell>
          <cell r="N543" t="str">
            <v>Teghra</v>
          </cell>
        </row>
        <row r="544">
          <cell r="B544">
            <v>10080022</v>
          </cell>
          <cell r="C544" t="str">
            <v>0022</v>
          </cell>
          <cell r="D544" t="str">
            <v>9155</v>
          </cell>
          <cell r="E544" t="str">
            <v>MPG</v>
          </cell>
          <cell r="F544" t="str">
            <v>Direct</v>
          </cell>
          <cell r="G544" t="str">
            <v>Gomukh Bakhatpur</v>
          </cell>
          <cell r="H544" t="str">
            <v>Gunjan Kumari</v>
          </cell>
          <cell r="I544">
            <v>9709428214</v>
          </cell>
          <cell r="J544" t="str">
            <v>100802</v>
          </cell>
          <cell r="K544" t="str">
            <v>Yes</v>
          </cell>
          <cell r="L544">
            <v>44979</v>
          </cell>
          <cell r="N544" t="str">
            <v>Teghra</v>
          </cell>
        </row>
        <row r="545">
          <cell r="B545">
            <v>10080023</v>
          </cell>
          <cell r="C545" t="str">
            <v>0023</v>
          </cell>
          <cell r="D545" t="str">
            <v>9161</v>
          </cell>
          <cell r="E545" t="str">
            <v>MPG</v>
          </cell>
          <cell r="F545" t="str">
            <v>Direct</v>
          </cell>
          <cell r="G545" t="str">
            <v>Gomukh Ramdiri</v>
          </cell>
          <cell r="H545" t="str">
            <v>Pinkey Sharma</v>
          </cell>
          <cell r="I545">
            <v>6352502784</v>
          </cell>
          <cell r="J545" t="str">
            <v>100801</v>
          </cell>
          <cell r="K545" t="str">
            <v>Yes</v>
          </cell>
          <cell r="L545">
            <v>44987</v>
          </cell>
          <cell r="N545" t="str">
            <v>Teghra</v>
          </cell>
        </row>
        <row r="546">
          <cell r="B546">
            <v>10080024</v>
          </cell>
          <cell r="C546" t="str">
            <v>0024</v>
          </cell>
          <cell r="D546" t="str">
            <v>6688</v>
          </cell>
          <cell r="E546" t="str">
            <v>MPG</v>
          </cell>
          <cell r="F546" t="str">
            <v>Indirect</v>
          </cell>
          <cell r="G546" t="str">
            <v>Ananaya Dairy</v>
          </cell>
          <cell r="H546" t="str">
            <v>Ananya dairy</v>
          </cell>
          <cell r="I546">
            <v>9939453353</v>
          </cell>
          <cell r="J546" t="str">
            <v>100803</v>
          </cell>
          <cell r="K546" t="str">
            <v/>
          </cell>
          <cell r="L546">
            <v>45001</v>
          </cell>
          <cell r="N546" t="str">
            <v>Teghra</v>
          </cell>
        </row>
        <row r="547">
          <cell r="B547">
            <v>10080025</v>
          </cell>
          <cell r="C547" t="str">
            <v>0025</v>
          </cell>
          <cell r="D547" t="str">
            <v>9162</v>
          </cell>
          <cell r="E547" t="str">
            <v>MPG</v>
          </cell>
          <cell r="F547" t="str">
            <v>Direct</v>
          </cell>
          <cell r="G547" t="str">
            <v>Gomukh Bishanpur</v>
          </cell>
          <cell r="H547" t="str">
            <v>Sushil Kumar</v>
          </cell>
          <cell r="I547">
            <v>8877015844</v>
          </cell>
          <cell r="J547" t="str">
            <v>100802</v>
          </cell>
          <cell r="K547" t="str">
            <v>Yes</v>
          </cell>
          <cell r="L547">
            <v>45003</v>
          </cell>
          <cell r="N547" t="str">
            <v>Teghra</v>
          </cell>
        </row>
        <row r="548">
          <cell r="B548">
            <v>10080026</v>
          </cell>
          <cell r="C548" t="str">
            <v>0026</v>
          </cell>
          <cell r="D548" t="str">
            <v>9163</v>
          </cell>
          <cell r="E548" t="str">
            <v>MPG</v>
          </cell>
          <cell r="F548" t="str">
            <v>Direct</v>
          </cell>
          <cell r="G548" t="str">
            <v>Gomukh Sultanpur</v>
          </cell>
          <cell r="H548" t="str">
            <v>Niraj Kumar</v>
          </cell>
          <cell r="I548">
            <v>9570666071</v>
          </cell>
          <cell r="J548" t="str">
            <v>100802</v>
          </cell>
          <cell r="K548" t="str">
            <v>Yes</v>
          </cell>
          <cell r="L548">
            <v>45004</v>
          </cell>
          <cell r="N548" t="str">
            <v>Teghra</v>
          </cell>
        </row>
        <row r="549">
          <cell r="B549">
            <v>10080027</v>
          </cell>
          <cell r="C549" t="str">
            <v>0027</v>
          </cell>
          <cell r="D549" t="str">
            <v>9164</v>
          </cell>
          <cell r="E549" t="str">
            <v>MPG</v>
          </cell>
          <cell r="F549" t="str">
            <v>Direct</v>
          </cell>
          <cell r="G549" t="str">
            <v>Gomukh Jamalpur</v>
          </cell>
          <cell r="H549" t="str">
            <v>Chandani devi</v>
          </cell>
          <cell r="I549">
            <v>7870670039</v>
          </cell>
          <cell r="J549" t="str">
            <v>100803</v>
          </cell>
          <cell r="K549" t="str">
            <v>Yes</v>
          </cell>
          <cell r="L549">
            <v>45016</v>
          </cell>
          <cell r="N549" t="str">
            <v>Teghra</v>
          </cell>
        </row>
        <row r="550">
          <cell r="B550">
            <v>10080028</v>
          </cell>
          <cell r="C550" t="str">
            <v>0028</v>
          </cell>
          <cell r="D550" t="str">
            <v>9167</v>
          </cell>
          <cell r="E550" t="str">
            <v>MPG</v>
          </cell>
          <cell r="F550" t="str">
            <v>Direct</v>
          </cell>
          <cell r="G550" t="str">
            <v xml:space="preserve">Gomukh Navtol                                                                                       </v>
          </cell>
          <cell r="H550" t="str">
            <v>Nitish Kumar</v>
          </cell>
          <cell r="I550">
            <v>8368952385</v>
          </cell>
          <cell r="J550" t="str">
            <v>100803</v>
          </cell>
          <cell r="K550" t="str">
            <v/>
          </cell>
          <cell r="L550">
            <v>45043</v>
          </cell>
          <cell r="N550" t="str">
            <v>Teghra</v>
          </cell>
        </row>
        <row r="551">
          <cell r="B551">
            <v>10080029</v>
          </cell>
          <cell r="C551" t="str">
            <v>0029</v>
          </cell>
          <cell r="D551" t="str">
            <v>9166</v>
          </cell>
          <cell r="E551" t="str">
            <v>MPG</v>
          </cell>
          <cell r="F551" t="str">
            <v>Direct</v>
          </cell>
          <cell r="G551" t="str">
            <v xml:space="preserve">Gomukh Kederabad                                                                                    </v>
          </cell>
          <cell r="H551" t="str">
            <v>Randhir Kumar Singh</v>
          </cell>
          <cell r="I551">
            <v>8210852445</v>
          </cell>
          <cell r="J551" t="str">
            <v>100803</v>
          </cell>
          <cell r="K551" t="str">
            <v>Yes</v>
          </cell>
          <cell r="L551">
            <v>45017</v>
          </cell>
          <cell r="N551" t="str">
            <v>Teghra</v>
          </cell>
        </row>
        <row r="552">
          <cell r="B552">
            <v>10080030</v>
          </cell>
          <cell r="C552" t="str">
            <v>0030</v>
          </cell>
          <cell r="D552" t="str">
            <v>9170</v>
          </cell>
          <cell r="E552" t="str">
            <v>MPG</v>
          </cell>
          <cell r="F552" t="str">
            <v>Direct</v>
          </cell>
          <cell r="G552" t="str">
            <v xml:space="preserve">Gomukh Gaura                                                                                        </v>
          </cell>
          <cell r="H552" t="str">
            <v>Amrendra kumar Pathak</v>
          </cell>
          <cell r="I552">
            <v>7319746702</v>
          </cell>
          <cell r="J552" t="str">
            <v>100802</v>
          </cell>
          <cell r="K552" t="str">
            <v/>
          </cell>
          <cell r="L552">
            <v>45017</v>
          </cell>
          <cell r="N552" t="str">
            <v>Teghra</v>
          </cell>
        </row>
        <row r="553">
          <cell r="B553">
            <v>10080031</v>
          </cell>
          <cell r="C553" t="str">
            <v>0031</v>
          </cell>
          <cell r="D553" t="str">
            <v>6740</v>
          </cell>
          <cell r="E553" t="str">
            <v>MPG</v>
          </cell>
          <cell r="F553" t="str">
            <v>Indirect</v>
          </cell>
          <cell r="G553" t="str">
            <v>vivek kumar</v>
          </cell>
          <cell r="H553" t="str">
            <v>vivek kumar</v>
          </cell>
          <cell r="I553">
            <v>9534955193</v>
          </cell>
          <cell r="J553" t="str">
            <v>100803</v>
          </cell>
          <cell r="K553" t="str">
            <v/>
          </cell>
          <cell r="L553">
            <v>45108</v>
          </cell>
          <cell r="N553" t="str">
            <v>Teghra</v>
          </cell>
        </row>
        <row r="554">
          <cell r="B554">
            <v>10080032</v>
          </cell>
          <cell r="C554" t="str">
            <v>0032</v>
          </cell>
          <cell r="D554" t="str">
            <v>9180</v>
          </cell>
          <cell r="E554" t="str">
            <v>MPG</v>
          </cell>
          <cell r="F554" t="str">
            <v>Direct</v>
          </cell>
          <cell r="G554" t="str">
            <v>GOMUKH BEGAMSARAI</v>
          </cell>
          <cell r="H554" t="str">
            <v>RAMSUNDER KUMAR</v>
          </cell>
          <cell r="I554">
            <v>7549658266</v>
          </cell>
          <cell r="J554" t="str">
            <v>100803</v>
          </cell>
          <cell r="K554" t="str">
            <v>Yes</v>
          </cell>
          <cell r="L554">
            <v>45148</v>
          </cell>
          <cell r="N554" t="str">
            <v>Teghra</v>
          </cell>
        </row>
        <row r="555">
          <cell r="B555">
            <v>10080033</v>
          </cell>
          <cell r="C555" t="str">
            <v>0033</v>
          </cell>
          <cell r="D555" t="str">
            <v>9182</v>
          </cell>
          <cell r="E555" t="str">
            <v>MPG</v>
          </cell>
          <cell r="F555" t="str">
            <v>Direct</v>
          </cell>
          <cell r="G555" t="str">
            <v>GOMUKH PAKHTAUL</v>
          </cell>
          <cell r="H555" t="str">
            <v>CHANDAN KUMAR</v>
          </cell>
          <cell r="I555">
            <v>9570792486</v>
          </cell>
          <cell r="J555" t="str">
            <v>100803</v>
          </cell>
          <cell r="K555" t="str">
            <v>Yes</v>
          </cell>
          <cell r="L555">
            <v>45159</v>
          </cell>
          <cell r="N555" t="str">
            <v>Teghra</v>
          </cell>
        </row>
        <row r="556">
          <cell r="B556">
            <v>10080034</v>
          </cell>
          <cell r="C556" t="str">
            <v>0034</v>
          </cell>
          <cell r="D556" t="str">
            <v>9183</v>
          </cell>
          <cell r="E556" t="str">
            <v>MPG</v>
          </cell>
          <cell r="F556" t="str">
            <v>Direct</v>
          </cell>
          <cell r="G556" t="str">
            <v>GOMUKH PIDHAULI</v>
          </cell>
          <cell r="H556" t="str">
            <v>BALKRISHNA KUMAR</v>
          </cell>
          <cell r="I556">
            <v>9661355554</v>
          </cell>
          <cell r="J556" t="str">
            <v>100803</v>
          </cell>
          <cell r="K556" t="str">
            <v>Yes</v>
          </cell>
          <cell r="L556">
            <v>45159</v>
          </cell>
          <cell r="N556" t="str">
            <v>Teghra</v>
          </cell>
        </row>
        <row r="557">
          <cell r="B557">
            <v>10080035</v>
          </cell>
          <cell r="C557" t="str">
            <v>0035</v>
          </cell>
          <cell r="D557" t="str">
            <v>9187</v>
          </cell>
          <cell r="E557" t="str">
            <v>MPG</v>
          </cell>
          <cell r="F557" t="str">
            <v>Indirect</v>
          </cell>
          <cell r="G557" t="str">
            <v>Chamuban - Vipin</v>
          </cell>
          <cell r="H557" t="str">
            <v>Vipin Kumar Ray</v>
          </cell>
          <cell r="I557">
            <v>9608746624</v>
          </cell>
          <cell r="J557" t="str">
            <v>100802</v>
          </cell>
          <cell r="K557" t="str">
            <v/>
          </cell>
          <cell r="L557" t="e">
            <v>#N/A</v>
          </cell>
          <cell r="N557" t="str">
            <v>Teghra</v>
          </cell>
        </row>
        <row r="558">
          <cell r="B558">
            <v>10080036</v>
          </cell>
          <cell r="C558" t="str">
            <v>0036</v>
          </cell>
          <cell r="D558" t="str">
            <v>9188</v>
          </cell>
          <cell r="E558" t="str">
            <v>MPG</v>
          </cell>
          <cell r="F558" t="str">
            <v>Indirect</v>
          </cell>
          <cell r="G558" t="str">
            <v>Kelabari - Smit</v>
          </cell>
          <cell r="H558" t="str">
            <v>Smit Chaudhary</v>
          </cell>
          <cell r="I558">
            <v>6201892433</v>
          </cell>
          <cell r="J558" t="str">
            <v>100803</v>
          </cell>
          <cell r="K558" t="str">
            <v/>
          </cell>
          <cell r="L558" t="e">
            <v>#N/A</v>
          </cell>
          <cell r="N558" t="str">
            <v>Teghra</v>
          </cell>
        </row>
        <row r="559">
          <cell r="B559">
            <v>10080037</v>
          </cell>
          <cell r="C559" t="str">
            <v>0037</v>
          </cell>
          <cell r="D559" t="str">
            <v>9189</v>
          </cell>
          <cell r="E559" t="str">
            <v>MPG</v>
          </cell>
          <cell r="F559" t="str">
            <v>Indirect</v>
          </cell>
          <cell r="G559" t="str">
            <v>Bariyahi - Ramvaran</v>
          </cell>
          <cell r="H559" t="str">
            <v>Ramvaran Yadav</v>
          </cell>
          <cell r="I559">
            <v>9570636048</v>
          </cell>
          <cell r="J559" t="str">
            <v>100801</v>
          </cell>
          <cell r="K559" t="str">
            <v/>
          </cell>
          <cell r="L559">
            <v>45044</v>
          </cell>
          <cell r="N559" t="str">
            <v>Teghra</v>
          </cell>
        </row>
        <row r="560">
          <cell r="B560">
            <v>10080038</v>
          </cell>
          <cell r="C560" t="str">
            <v>0038</v>
          </cell>
          <cell r="D560" t="str">
            <v>9190</v>
          </cell>
          <cell r="E560" t="str">
            <v>MPG</v>
          </cell>
          <cell r="F560" t="str">
            <v>Indirect</v>
          </cell>
          <cell r="G560" t="str">
            <v>Gaura - Raj Bhardwaj</v>
          </cell>
          <cell r="H560" t="str">
            <v>Raj Bhardwaj</v>
          </cell>
          <cell r="I560">
            <v>8405062802</v>
          </cell>
          <cell r="J560" t="str">
            <v>100803</v>
          </cell>
          <cell r="K560" t="str">
            <v/>
          </cell>
          <cell r="L560">
            <v>44866</v>
          </cell>
          <cell r="N560" t="str">
            <v>Teghra</v>
          </cell>
        </row>
        <row r="561">
          <cell r="B561">
            <v>10080039</v>
          </cell>
          <cell r="C561" t="str">
            <v>0039</v>
          </cell>
          <cell r="D561" t="str">
            <v>9191</v>
          </cell>
          <cell r="E561" t="str">
            <v>MPG</v>
          </cell>
          <cell r="F561" t="str">
            <v>Indirect</v>
          </cell>
          <cell r="G561" t="str">
            <v>Hasanpur - Abhijeet</v>
          </cell>
          <cell r="H561" t="str">
            <v>Abhijeet Kumar</v>
          </cell>
          <cell r="I561">
            <v>9534570244</v>
          </cell>
          <cell r="J561" t="str">
            <v>100803</v>
          </cell>
          <cell r="K561" t="str">
            <v/>
          </cell>
          <cell r="L561">
            <v>45115</v>
          </cell>
          <cell r="N561" t="str">
            <v>Teghra</v>
          </cell>
        </row>
        <row r="562">
          <cell r="B562">
            <v>10080040</v>
          </cell>
          <cell r="C562" t="str">
            <v>0040</v>
          </cell>
          <cell r="D562" t="str">
            <v>9192</v>
          </cell>
          <cell r="E562" t="str">
            <v>MPG</v>
          </cell>
          <cell r="F562" t="str">
            <v>Indirect</v>
          </cell>
          <cell r="G562" t="str">
            <v>Adharpur - Manish</v>
          </cell>
          <cell r="H562" t="str">
            <v>Manish Kumar</v>
          </cell>
          <cell r="I562">
            <v>6206502706</v>
          </cell>
          <cell r="J562" t="str">
            <v>100803</v>
          </cell>
          <cell r="K562" t="str">
            <v/>
          </cell>
          <cell r="L562">
            <v>44379</v>
          </cell>
          <cell r="N562" t="str">
            <v>Teghra</v>
          </cell>
        </row>
        <row r="563">
          <cell r="B563">
            <v>10080041</v>
          </cell>
          <cell r="C563" t="str">
            <v>0041</v>
          </cell>
          <cell r="D563" t="str">
            <v>9193</v>
          </cell>
          <cell r="E563" t="str">
            <v>MPG</v>
          </cell>
          <cell r="F563" t="str">
            <v>Indirect</v>
          </cell>
          <cell r="G563" t="str">
            <v>Rani - Surender</v>
          </cell>
          <cell r="H563" t="str">
            <v>Surendra Kumar</v>
          </cell>
          <cell r="I563">
            <v>7779868817</v>
          </cell>
          <cell r="J563" t="str">
            <v>100803</v>
          </cell>
          <cell r="K563" t="str">
            <v/>
          </cell>
          <cell r="L563">
            <v>45126</v>
          </cell>
          <cell r="N563" t="str">
            <v>Teghra</v>
          </cell>
        </row>
        <row r="564">
          <cell r="B564">
            <v>10080042</v>
          </cell>
          <cell r="C564" t="str">
            <v>0042</v>
          </cell>
          <cell r="D564" t="str">
            <v>9194</v>
          </cell>
          <cell r="E564" t="str">
            <v>MPG</v>
          </cell>
          <cell r="F564" t="str">
            <v>Indirect</v>
          </cell>
          <cell r="G564" t="str">
            <v>Barauni - Ramnandan</v>
          </cell>
          <cell r="H564" t="str">
            <v>Ramnandan Yadav</v>
          </cell>
          <cell r="I564">
            <v>6205477591</v>
          </cell>
          <cell r="J564" t="str">
            <v>100803</v>
          </cell>
          <cell r="K564" t="str">
            <v/>
          </cell>
          <cell r="L564">
            <v>45156</v>
          </cell>
          <cell r="N564" t="str">
            <v>Teghra</v>
          </cell>
        </row>
        <row r="565">
          <cell r="B565">
            <v>10080043</v>
          </cell>
          <cell r="C565" t="str">
            <v>0043</v>
          </cell>
          <cell r="D565" t="str">
            <v>9195</v>
          </cell>
          <cell r="E565" t="str">
            <v>MPG</v>
          </cell>
          <cell r="F565" t="str">
            <v>Indirect</v>
          </cell>
          <cell r="G565" t="str">
            <v>Gangaprasad - Prashant</v>
          </cell>
          <cell r="H565" t="str">
            <v>Prashant Chaudhary</v>
          </cell>
          <cell r="I565">
            <v>7492096990</v>
          </cell>
          <cell r="J565" t="str">
            <v>100803</v>
          </cell>
          <cell r="K565" t="str">
            <v/>
          </cell>
          <cell r="L565">
            <v>45111</v>
          </cell>
          <cell r="N565" t="str">
            <v>Teghra</v>
          </cell>
        </row>
        <row r="566">
          <cell r="B566">
            <v>10080044</v>
          </cell>
          <cell r="C566" t="str">
            <v>0044</v>
          </cell>
          <cell r="D566" t="str">
            <v>9196</v>
          </cell>
          <cell r="E566" t="str">
            <v>MPG</v>
          </cell>
          <cell r="F566" t="str">
            <v>Indirect</v>
          </cell>
          <cell r="G566" t="str">
            <v>Nipania - Chandra</v>
          </cell>
          <cell r="H566" t="str">
            <v>Chandra Yadav</v>
          </cell>
          <cell r="I566">
            <v>9801428015</v>
          </cell>
          <cell r="J566" t="str">
            <v>100803</v>
          </cell>
          <cell r="K566" t="str">
            <v/>
          </cell>
          <cell r="L566">
            <v>44652</v>
          </cell>
          <cell r="N566" t="str">
            <v>Teghra</v>
          </cell>
        </row>
        <row r="567">
          <cell r="B567">
            <v>10080045</v>
          </cell>
          <cell r="C567" t="str">
            <v>0045</v>
          </cell>
          <cell r="D567" t="str">
            <v>9197</v>
          </cell>
          <cell r="E567" t="str">
            <v>MPG</v>
          </cell>
          <cell r="F567" t="str">
            <v>Indirect</v>
          </cell>
          <cell r="G567" t="str">
            <v>Purani Bazar - Sanjay</v>
          </cell>
          <cell r="H567" t="str">
            <v>Sanjay Kumar Yadav</v>
          </cell>
          <cell r="I567">
            <v>7808444323</v>
          </cell>
          <cell r="J567" t="str">
            <v>100803</v>
          </cell>
          <cell r="K567" t="str">
            <v/>
          </cell>
          <cell r="L567">
            <v>44652</v>
          </cell>
          <cell r="N567" t="str">
            <v>Teghra</v>
          </cell>
        </row>
        <row r="568">
          <cell r="B568">
            <v>10080046</v>
          </cell>
          <cell r="C568" t="str">
            <v>0046</v>
          </cell>
          <cell r="D568" t="str">
            <v>9198</v>
          </cell>
          <cell r="E568" t="str">
            <v>MPG</v>
          </cell>
          <cell r="F568" t="str">
            <v>Indirect</v>
          </cell>
          <cell r="G568" t="str">
            <v>Manopur - Sanjeev</v>
          </cell>
          <cell r="H568" t="str">
            <v>Sanjeev Teghra</v>
          </cell>
          <cell r="I568">
            <v>8002454710</v>
          </cell>
          <cell r="J568" t="str">
            <v>100802</v>
          </cell>
          <cell r="K568" t="str">
            <v/>
          </cell>
          <cell r="L568">
            <v>45144</v>
          </cell>
          <cell r="N568" t="str">
            <v>Teghra</v>
          </cell>
        </row>
        <row r="569">
          <cell r="B569">
            <v>10080047</v>
          </cell>
          <cell r="C569" t="str">
            <v>0047</v>
          </cell>
          <cell r="D569" t="str">
            <v>9200</v>
          </cell>
          <cell r="E569" t="str">
            <v>MPG</v>
          </cell>
          <cell r="F569" t="str">
            <v>Direct</v>
          </cell>
          <cell r="G569" t="str">
            <v>GOMUKH BHIKHAM CHAK</v>
          </cell>
          <cell r="H569" t="str">
            <v>BABLU KUMAR</v>
          </cell>
          <cell r="I569">
            <v>9996634842</v>
          </cell>
          <cell r="J569" t="str">
            <v>100802</v>
          </cell>
          <cell r="K569" t="str">
            <v>Yes</v>
          </cell>
          <cell r="L569">
            <v>45283</v>
          </cell>
          <cell r="N569" t="str">
            <v>Teghra</v>
          </cell>
        </row>
        <row r="570">
          <cell r="B570">
            <v>10080048</v>
          </cell>
          <cell r="C570" t="str">
            <v>0048</v>
          </cell>
          <cell r="D570" t="str">
            <v>9201</v>
          </cell>
          <cell r="E570" t="str">
            <v>MPG</v>
          </cell>
          <cell r="F570" t="str">
            <v>Direct</v>
          </cell>
          <cell r="G570" t="str">
            <v>GOMUKH RANI 3</v>
          </cell>
          <cell r="H570" t="str">
            <v>SAURAV KUMAR</v>
          </cell>
          <cell r="I570">
            <v>9590157880</v>
          </cell>
          <cell r="J570" t="str">
            <v>100803</v>
          </cell>
          <cell r="K570" t="str">
            <v>Yes</v>
          </cell>
          <cell r="L570">
            <v>45264</v>
          </cell>
          <cell r="N570" t="str">
            <v>Teghra</v>
          </cell>
        </row>
        <row r="571">
          <cell r="B571">
            <v>10080049</v>
          </cell>
          <cell r="C571" t="str">
            <v>0049</v>
          </cell>
          <cell r="D571" t="str">
            <v>9202</v>
          </cell>
          <cell r="E571" t="str">
            <v>MPG</v>
          </cell>
          <cell r="F571" t="str">
            <v>Direct</v>
          </cell>
          <cell r="G571" t="str">
            <v>GOMUKH DOHTA MUKHTIYARPUR</v>
          </cell>
          <cell r="H571" t="str">
            <v>KUMARI SONALI</v>
          </cell>
          <cell r="I571">
            <v>6202270846</v>
          </cell>
          <cell r="J571" t="str">
            <v>100802</v>
          </cell>
          <cell r="K571" t="str">
            <v/>
          </cell>
          <cell r="L571">
            <v>45282</v>
          </cell>
          <cell r="N571" t="str">
            <v>Teghra</v>
          </cell>
        </row>
        <row r="572">
          <cell r="B572">
            <v>10080050</v>
          </cell>
          <cell r="C572" t="str">
            <v>0050</v>
          </cell>
          <cell r="D572" t="str">
            <v>9204</v>
          </cell>
          <cell r="E572" t="str">
            <v>MPG</v>
          </cell>
          <cell r="F572" t="str">
            <v>Direct</v>
          </cell>
          <cell r="G572" t="str">
            <v>Gomukh Mehdauli</v>
          </cell>
          <cell r="H572" t="str">
            <v>Rahul Verma</v>
          </cell>
          <cell r="I572">
            <v>9953672377</v>
          </cell>
          <cell r="J572" t="str">
            <v>100802</v>
          </cell>
          <cell r="K572" t="str">
            <v/>
          </cell>
          <cell r="L572">
            <v>45264</v>
          </cell>
          <cell r="N572" t="str">
            <v>Teghra</v>
          </cell>
        </row>
        <row r="573">
          <cell r="B573">
            <v>10080051</v>
          </cell>
          <cell r="C573" t="str">
            <v>0051</v>
          </cell>
          <cell r="D573" t="str">
            <v>9205</v>
          </cell>
          <cell r="E573" t="str">
            <v>MPG</v>
          </cell>
          <cell r="F573" t="str">
            <v>Direct</v>
          </cell>
          <cell r="G573" t="str">
            <v>Gomukh Ramchandarpur</v>
          </cell>
          <cell r="H573" t="str">
            <v>Kamal Rai</v>
          </cell>
          <cell r="I573">
            <v>7739146698</v>
          </cell>
          <cell r="J573" t="str">
            <v>100802</v>
          </cell>
          <cell r="K573" t="str">
            <v>Yes</v>
          </cell>
          <cell r="L573">
            <v>45235</v>
          </cell>
          <cell r="N573" t="str">
            <v>Teghra</v>
          </cell>
        </row>
        <row r="574">
          <cell r="B574">
            <v>10080052</v>
          </cell>
          <cell r="C574" t="str">
            <v>0052</v>
          </cell>
          <cell r="D574" t="str">
            <v>9207</v>
          </cell>
          <cell r="E574" t="str">
            <v>MPG</v>
          </cell>
          <cell r="F574" t="str">
            <v>Direct</v>
          </cell>
          <cell r="G574" t="str">
            <v>GOMUKH NONPUR</v>
          </cell>
          <cell r="H574" t="str">
            <v xml:space="preserve">Parmanand mahto </v>
          </cell>
          <cell r="I574">
            <v>7549281099</v>
          </cell>
          <cell r="J574" t="str">
            <v>100802</v>
          </cell>
          <cell r="K574" t="str">
            <v>Yes</v>
          </cell>
          <cell r="L574">
            <v>45268</v>
          </cell>
          <cell r="N574" t="str">
            <v>Teghra</v>
          </cell>
        </row>
        <row r="575">
          <cell r="B575">
            <v>10080053</v>
          </cell>
          <cell r="C575" t="str">
            <v>0053</v>
          </cell>
          <cell r="D575" t="str">
            <v>9208</v>
          </cell>
          <cell r="E575" t="str">
            <v>MPG</v>
          </cell>
          <cell r="F575" t="str">
            <v>Direct</v>
          </cell>
          <cell r="G575" t="str">
            <v>GOMUKH FATEHA</v>
          </cell>
          <cell r="H575" t="str">
            <v>Rahul Kumar</v>
          </cell>
          <cell r="I575">
            <v>7281888311</v>
          </cell>
          <cell r="J575" t="str">
            <v>100803</v>
          </cell>
          <cell r="K575" t="str">
            <v>Yes</v>
          </cell>
          <cell r="L575">
            <v>45287</v>
          </cell>
          <cell r="N575" t="str">
            <v>Teghra</v>
          </cell>
        </row>
        <row r="576">
          <cell r="B576">
            <v>10080054</v>
          </cell>
          <cell r="C576" t="str">
            <v>0054</v>
          </cell>
          <cell r="D576" t="str">
            <v>6545</v>
          </cell>
          <cell r="E576" t="str">
            <v>MPG</v>
          </cell>
          <cell r="F576" t="str">
            <v>Indirect</v>
          </cell>
          <cell r="G576" t="str">
            <v>Bablu Singh</v>
          </cell>
          <cell r="H576" t="str">
            <v>Bablu Singh</v>
          </cell>
          <cell r="I576">
            <v>9343178052</v>
          </cell>
          <cell r="J576" t="str">
            <v>100801</v>
          </cell>
          <cell r="K576" t="str">
            <v/>
          </cell>
          <cell r="L576">
            <v>45257</v>
          </cell>
          <cell r="N576" t="str">
            <v>Teghra</v>
          </cell>
        </row>
        <row r="577">
          <cell r="B577">
            <v>10080055</v>
          </cell>
          <cell r="C577" t="str">
            <v>0055</v>
          </cell>
          <cell r="D577" t="str">
            <v>9184</v>
          </cell>
          <cell r="E577" t="str">
            <v>MPG</v>
          </cell>
          <cell r="F577" t="str">
            <v>Direct</v>
          </cell>
          <cell r="G577" t="str">
            <v>Gomukh Rani                                                                                         </v>
          </cell>
          <cell r="H577" t="str">
            <v>Vikas kumar</v>
          </cell>
          <cell r="I577">
            <v>7547060193</v>
          </cell>
          <cell r="J577" t="str">
            <v>100803</v>
          </cell>
          <cell r="K577" t="str">
            <v>Yes</v>
          </cell>
          <cell r="L577">
            <v>45205</v>
          </cell>
          <cell r="N577" t="str">
            <v>Teghra</v>
          </cell>
        </row>
        <row r="578">
          <cell r="B578">
            <v>10080056</v>
          </cell>
          <cell r="C578" t="str">
            <v>0056</v>
          </cell>
          <cell r="D578" t="str">
            <v>9209</v>
          </cell>
          <cell r="E578" t="str">
            <v>MPG</v>
          </cell>
          <cell r="F578" t="str">
            <v>Direct</v>
          </cell>
          <cell r="G578" t="str">
            <v xml:space="preserve">GOMUKH RAMDIRI LABHARCHAK                                                                           </v>
          </cell>
          <cell r="H578" t="str">
            <v>bikram kumar</v>
          </cell>
          <cell r="I578">
            <v>9810247766</v>
          </cell>
          <cell r="J578" t="str">
            <v>100801</v>
          </cell>
          <cell r="K578" t="str">
            <v>Yes</v>
          </cell>
          <cell r="L578">
            <v>45292</v>
          </cell>
          <cell r="N578" t="str">
            <v>Teghra</v>
          </cell>
        </row>
        <row r="579">
          <cell r="B579">
            <v>10080057</v>
          </cell>
          <cell r="C579" t="str">
            <v>0057</v>
          </cell>
          <cell r="D579" t="str">
            <v>9212</v>
          </cell>
          <cell r="E579" t="str">
            <v>MPG</v>
          </cell>
          <cell r="F579" t="str">
            <v>Direct</v>
          </cell>
          <cell r="G579" t="str">
            <v xml:space="preserve">GOMUKH ADHARPUR                                                                                     </v>
          </cell>
          <cell r="H579" t="str">
            <v>Anil kumar singh</v>
          </cell>
          <cell r="I579">
            <v>8521015838</v>
          </cell>
          <cell r="J579" t="str">
            <v>100803</v>
          </cell>
          <cell r="K579" t="str">
            <v>Yes</v>
          </cell>
          <cell r="L579">
            <v>45292</v>
          </cell>
          <cell r="N579" t="str">
            <v>Teghra</v>
          </cell>
        </row>
        <row r="580">
          <cell r="B580">
            <v>10080058</v>
          </cell>
          <cell r="C580" t="str">
            <v>0058</v>
          </cell>
          <cell r="D580" t="str">
            <v>9367</v>
          </cell>
          <cell r="E580" t="str">
            <v>MPG</v>
          </cell>
          <cell r="F580" t="str">
            <v>Direct</v>
          </cell>
          <cell r="G580" t="str">
            <v xml:space="preserve">Gomukh Parbanda                                                                                     </v>
          </cell>
          <cell r="H580" t="str">
            <v>Satyendra Kumar</v>
          </cell>
          <cell r="I580">
            <v>9973124017</v>
          </cell>
          <cell r="J580" t="str">
            <v>100802</v>
          </cell>
          <cell r="K580" t="str">
            <v>Yes</v>
          </cell>
          <cell r="L580">
            <v>45013</v>
          </cell>
          <cell r="N580" t="str">
            <v>Teghra</v>
          </cell>
        </row>
        <row r="581">
          <cell r="B581">
            <v>10080059</v>
          </cell>
          <cell r="C581" t="str">
            <v>0059</v>
          </cell>
          <cell r="D581" t="str">
            <v>9158</v>
          </cell>
          <cell r="E581" t="str">
            <v>MPG</v>
          </cell>
          <cell r="F581" t="str">
            <v>Direct</v>
          </cell>
          <cell r="G581" t="str">
            <v xml:space="preserve">Gomukh Ganga prasad                                                                                 </v>
          </cell>
          <cell r="H581" t="str">
            <v>Mithilesh singh</v>
          </cell>
          <cell r="I581">
            <v>8521666703</v>
          </cell>
          <cell r="J581" t="str">
            <v>100801</v>
          </cell>
          <cell r="K581" t="str">
            <v>Yes</v>
          </cell>
          <cell r="L581">
            <v>44979</v>
          </cell>
          <cell r="N581" t="str">
            <v>Teghra</v>
          </cell>
        </row>
        <row r="582">
          <cell r="B582">
            <v>10080060</v>
          </cell>
          <cell r="C582" t="str">
            <v>0060</v>
          </cell>
          <cell r="D582" t="str">
            <v>9206</v>
          </cell>
          <cell r="E582" t="str">
            <v>MPG</v>
          </cell>
          <cell r="F582" t="str">
            <v>Direct</v>
          </cell>
          <cell r="G582" t="str">
            <v>GOMUKH TARA</v>
          </cell>
          <cell r="H582" t="str">
            <v>Pato Yadav</v>
          </cell>
          <cell r="I582">
            <v>9771525754</v>
          </cell>
          <cell r="J582" t="str">
            <v>100802</v>
          </cell>
          <cell r="K582" t="str">
            <v>Yes</v>
          </cell>
          <cell r="L582">
            <v>45292</v>
          </cell>
          <cell r="N582" t="str">
            <v>Teghra</v>
          </cell>
        </row>
        <row r="583">
          <cell r="B583">
            <v>10080061</v>
          </cell>
          <cell r="C583" t="str">
            <v>0061</v>
          </cell>
          <cell r="D583" t="str">
            <v>9213</v>
          </cell>
          <cell r="E583" t="str">
            <v>MPG</v>
          </cell>
          <cell r="F583" t="str">
            <v>Direct</v>
          </cell>
          <cell r="G583" t="str">
            <v>GOMUKH ROOPNAGAR</v>
          </cell>
          <cell r="H583" t="str">
            <v>Ravi kumar</v>
          </cell>
          <cell r="I583">
            <v>6207203933</v>
          </cell>
          <cell r="J583" t="str">
            <v>100801</v>
          </cell>
          <cell r="K583" t="str">
            <v/>
          </cell>
          <cell r="L583">
            <v>45323</v>
          </cell>
          <cell r="N583" t="str">
            <v>Teghra</v>
          </cell>
        </row>
        <row r="584">
          <cell r="B584">
            <v>10080062</v>
          </cell>
          <cell r="C584" t="str">
            <v>0062</v>
          </cell>
          <cell r="D584" t="str">
            <v>9214</v>
          </cell>
          <cell r="E584" t="str">
            <v>MPG</v>
          </cell>
          <cell r="F584" t="str">
            <v>Direct</v>
          </cell>
          <cell r="G584" t="str">
            <v>GOMUKH SIBUTOL 2</v>
          </cell>
          <cell r="H584" t="str">
            <v>Pinki kumari</v>
          </cell>
          <cell r="I584">
            <v>8102995469</v>
          </cell>
          <cell r="J584" t="str">
            <v>100803</v>
          </cell>
          <cell r="K584" t="str">
            <v/>
          </cell>
          <cell r="L584">
            <v>45323</v>
          </cell>
          <cell r="N584" t="str">
            <v>Teghra</v>
          </cell>
        </row>
        <row r="585">
          <cell r="B585">
            <v>10080063</v>
          </cell>
          <cell r="C585" t="str">
            <v>0063</v>
          </cell>
          <cell r="D585" t="str">
            <v>9215</v>
          </cell>
          <cell r="E585" t="str">
            <v>MPG</v>
          </cell>
          <cell r="F585" t="str">
            <v>Direct</v>
          </cell>
          <cell r="G585" t="str">
            <v>Gomukh Bacchwara</v>
          </cell>
          <cell r="H585" t="str">
            <v>Kanchan kumari</v>
          </cell>
          <cell r="I585">
            <v>6207203933</v>
          </cell>
          <cell r="J585" t="str">
            <v>100802</v>
          </cell>
          <cell r="K585" t="str">
            <v>Yes</v>
          </cell>
          <cell r="L585">
            <v>45323</v>
          </cell>
          <cell r="N585" t="str">
            <v>Teghra</v>
          </cell>
        </row>
        <row r="586">
          <cell r="B586">
            <v>10080064</v>
          </cell>
          <cell r="C586" t="str">
            <v>0064</v>
          </cell>
          <cell r="D586" t="str">
            <v>9210</v>
          </cell>
          <cell r="E586" t="str">
            <v>MPG</v>
          </cell>
          <cell r="F586" t="str">
            <v>Direct</v>
          </cell>
          <cell r="G586" t="str">
            <v>GOMUKH KHARMOLI</v>
          </cell>
          <cell r="H586" t="str">
            <v>Jitender kumar</v>
          </cell>
          <cell r="I586">
            <v>7549192844</v>
          </cell>
          <cell r="J586" t="str">
            <v>100802</v>
          </cell>
          <cell r="K586" t="str">
            <v>Yes</v>
          </cell>
          <cell r="L586">
            <v>45323</v>
          </cell>
          <cell r="N586" t="str">
            <v>Teghra</v>
          </cell>
        </row>
        <row r="587">
          <cell r="B587">
            <v>10080065</v>
          </cell>
          <cell r="C587" t="str">
            <v>0065</v>
          </cell>
          <cell r="D587" t="str">
            <v>9211</v>
          </cell>
          <cell r="E587" t="str">
            <v>MPG</v>
          </cell>
          <cell r="F587" t="str">
            <v>Direct</v>
          </cell>
          <cell r="G587" t="str">
            <v>GOMUKH HADIPUR</v>
          </cell>
          <cell r="H587" t="str">
            <v>Gautam kumar</v>
          </cell>
          <cell r="I587">
            <v>8406815710</v>
          </cell>
          <cell r="J587" t="str">
            <v>100803</v>
          </cell>
          <cell r="K587" t="str">
            <v>Yes</v>
          </cell>
          <cell r="L587">
            <v>45292</v>
          </cell>
          <cell r="N587" t="str">
            <v>Teghra</v>
          </cell>
        </row>
        <row r="588">
          <cell r="B588">
            <v>10080066</v>
          </cell>
          <cell r="C588" t="str">
            <v>0066</v>
          </cell>
          <cell r="D588" t="str">
            <v>9216</v>
          </cell>
          <cell r="E588" t="str">
            <v>MPG</v>
          </cell>
          <cell r="F588" t="str">
            <v>Direct</v>
          </cell>
          <cell r="G588" t="str">
            <v>Gomukh Salempur</v>
          </cell>
          <cell r="H588" t="str">
            <v>Nilam Devi</v>
          </cell>
          <cell r="I588">
            <v>7631630849</v>
          </cell>
          <cell r="J588" t="str">
            <v>100803</v>
          </cell>
          <cell r="K588" t="str">
            <v>Yes</v>
          </cell>
          <cell r="L588">
            <v>45352</v>
          </cell>
          <cell r="N588" t="str">
            <v>Teghra</v>
          </cell>
        </row>
        <row r="589">
          <cell r="B589">
            <v>10080067</v>
          </cell>
          <cell r="C589" t="str">
            <v>0067</v>
          </cell>
          <cell r="D589" t="str">
            <v>9217</v>
          </cell>
          <cell r="E589" t="str">
            <v>MPG</v>
          </cell>
          <cell r="F589" t="str">
            <v>Direct</v>
          </cell>
          <cell r="G589" t="str">
            <v>Gomukh Harichak</v>
          </cell>
          <cell r="H589" t="str">
            <v>Rupam Bharti</v>
          </cell>
          <cell r="I589">
            <v>6299925407</v>
          </cell>
          <cell r="J589" t="str">
            <v>100802</v>
          </cell>
          <cell r="K589" t="str">
            <v>Yes</v>
          </cell>
          <cell r="L589">
            <v>45352</v>
          </cell>
          <cell r="N589" t="str">
            <v>Teghra</v>
          </cell>
        </row>
        <row r="590">
          <cell r="B590">
            <v>10080068</v>
          </cell>
          <cell r="C590" t="str">
            <v>0068</v>
          </cell>
          <cell r="D590" t="str">
            <v>9218</v>
          </cell>
          <cell r="E590" t="str">
            <v>MPG</v>
          </cell>
          <cell r="F590" t="str">
            <v>Direct</v>
          </cell>
          <cell r="G590" t="str">
            <v>Gomukh Basih</v>
          </cell>
          <cell r="H590" t="str">
            <v xml:space="preserve">Asha Kumari </v>
          </cell>
          <cell r="I590">
            <v>8407893945</v>
          </cell>
          <cell r="J590" t="str">
            <v>100802</v>
          </cell>
          <cell r="K590" t="str">
            <v/>
          </cell>
          <cell r="L590" t="e">
            <v>#N/A</v>
          </cell>
          <cell r="N590" t="str">
            <v>Teghra</v>
          </cell>
        </row>
        <row r="591">
          <cell r="B591">
            <v>10080069</v>
          </cell>
          <cell r="C591" t="str">
            <v>0069</v>
          </cell>
          <cell r="D591" t="str">
            <v>6742</v>
          </cell>
          <cell r="E591" t="str">
            <v>MPG</v>
          </cell>
          <cell r="F591" t="str">
            <v>Indirect</v>
          </cell>
          <cell r="G591" t="str">
            <v>ABHIJEET KUMAR</v>
          </cell>
          <cell r="H591" t="str">
            <v>abhijeet kumar</v>
          </cell>
          <cell r="I591">
            <v>9534570244</v>
          </cell>
          <cell r="J591" t="str">
            <v>100801</v>
          </cell>
          <cell r="K591"/>
          <cell r="L591">
            <v>45115</v>
          </cell>
          <cell r="N591" t="str">
            <v>Teghra</v>
          </cell>
        </row>
        <row r="592">
          <cell r="B592">
            <v>10080070</v>
          </cell>
          <cell r="C592" t="str">
            <v>0070</v>
          </cell>
          <cell r="D592"/>
          <cell r="E592" t="str">
            <v>MPG</v>
          </cell>
          <cell r="F592" t="str">
            <v>Direct</v>
          </cell>
          <cell r="G592" t="str">
            <v>GOMUKH MARANCHI</v>
          </cell>
          <cell r="H592" t="str">
            <v>MRITUNJAY KUMAR</v>
          </cell>
          <cell r="I592">
            <v>6203585917</v>
          </cell>
          <cell r="J592" t="str">
            <v>100802</v>
          </cell>
          <cell r="K592"/>
          <cell r="L592">
            <v>45409</v>
          </cell>
          <cell r="N592" t="str">
            <v>Teghra</v>
          </cell>
        </row>
        <row r="593">
          <cell r="B593">
            <v>10080071</v>
          </cell>
          <cell r="C593" t="str">
            <v>0071</v>
          </cell>
          <cell r="D593"/>
          <cell r="E593" t="str">
            <v>MPG</v>
          </cell>
          <cell r="F593" t="str">
            <v>Direct</v>
          </cell>
          <cell r="G593" t="str">
            <v>GOMUKH RACHIHAI PURANA TOLA</v>
          </cell>
          <cell r="H593" t="str">
            <v>SANJU DEVI</v>
          </cell>
          <cell r="I593">
            <v>6200884919</v>
          </cell>
          <cell r="J593" t="str">
            <v>100801</v>
          </cell>
          <cell r="K593" t="str">
            <v>Teghra</v>
          </cell>
          <cell r="L593">
            <v>45470</v>
          </cell>
          <cell r="N593" t="str">
            <v>Teghra</v>
          </cell>
        </row>
        <row r="594">
          <cell r="B594">
            <v>10080072</v>
          </cell>
          <cell r="C594" t="str">
            <v>0072</v>
          </cell>
          <cell r="D594"/>
          <cell r="E594" t="str">
            <v>MPG</v>
          </cell>
          <cell r="F594" t="str">
            <v>Direct</v>
          </cell>
          <cell r="G594" t="str">
            <v>GOMUKH CHIRANJIVIPUR</v>
          </cell>
          <cell r="H594" t="str">
            <v>GHANSHYAM YADAV</v>
          </cell>
          <cell r="I594">
            <v>8051253113</v>
          </cell>
          <cell r="J594" t="str">
            <v>100802</v>
          </cell>
          <cell r="K594" t="str">
            <v>Teghra</v>
          </cell>
          <cell r="L594">
            <v>45470</v>
          </cell>
          <cell r="N594" t="str">
            <v>Teghra</v>
          </cell>
        </row>
        <row r="595">
          <cell r="B595">
            <v>10080073</v>
          </cell>
          <cell r="C595" t="str">
            <v>0073</v>
          </cell>
          <cell r="D595"/>
          <cell r="E595" t="str">
            <v>MPG</v>
          </cell>
          <cell r="F595" t="str">
            <v>Indirect</v>
          </cell>
          <cell r="G595" t="str">
            <v>PAWAN RAY</v>
          </cell>
          <cell r="H595" t="str">
            <v>PAWAN RAY</v>
          </cell>
          <cell r="I595">
            <v>9939268169</v>
          </cell>
          <cell r="J595" t="str">
            <v>100801</v>
          </cell>
          <cell r="K595"/>
          <cell r="L595">
            <v>45516</v>
          </cell>
          <cell r="N595" t="str">
            <v>Teghra</v>
          </cell>
        </row>
        <row r="596">
          <cell r="B596">
            <v>10080074</v>
          </cell>
          <cell r="C596" t="str">
            <v>0074</v>
          </cell>
          <cell r="D596"/>
          <cell r="E596" t="str">
            <v>MPG</v>
          </cell>
          <cell r="F596" t="str">
            <v>Direct</v>
          </cell>
          <cell r="G596" t="str">
            <v>Gomukh Ahiyarpur</v>
          </cell>
          <cell r="H596" t="str">
            <v>MIKKI DEVI</v>
          </cell>
          <cell r="I596">
            <v>9304034669</v>
          </cell>
          <cell r="J596" t="str">
            <v>100802</v>
          </cell>
          <cell r="K596"/>
          <cell r="L596">
            <v>45516</v>
          </cell>
          <cell r="N596" t="str">
            <v>Teghra</v>
          </cell>
        </row>
        <row r="597">
          <cell r="B597">
            <v>10080075</v>
          </cell>
          <cell r="C597" t="str">
            <v>0075</v>
          </cell>
          <cell r="D597"/>
          <cell r="E597" t="str">
            <v>MPG</v>
          </cell>
          <cell r="F597" t="str">
            <v>Indirect</v>
          </cell>
          <cell r="G597" t="str">
            <v>RAM NANDAN YADAV</v>
          </cell>
          <cell r="H597" t="str">
            <v>RAM NANDAN YADAV</v>
          </cell>
          <cell r="I597">
            <v>8405062802</v>
          </cell>
          <cell r="J597" t="str">
            <v>100803</v>
          </cell>
          <cell r="K597"/>
          <cell r="L597">
            <v>45593</v>
          </cell>
          <cell r="N597" t="str">
            <v>Teghra</v>
          </cell>
        </row>
        <row r="598">
          <cell r="B598">
            <v>10080076</v>
          </cell>
          <cell r="C598" t="str">
            <v>0076</v>
          </cell>
          <cell r="D598"/>
          <cell r="E598" t="str">
            <v>MPG</v>
          </cell>
          <cell r="F598" t="str">
            <v>Indirect</v>
          </cell>
          <cell r="G598" t="str">
            <v>RAJ BHARDWAJ</v>
          </cell>
          <cell r="H598" t="str">
            <v>RAJ BHARDWAJ</v>
          </cell>
          <cell r="I598">
            <v>9939268169</v>
          </cell>
          <cell r="J598" t="str">
            <v>100803</v>
          </cell>
          <cell r="K598"/>
          <cell r="L598">
            <v>45593</v>
          </cell>
          <cell r="N598" t="str">
            <v>Teghra</v>
          </cell>
        </row>
        <row r="599">
          <cell r="B599">
            <v>10080077</v>
          </cell>
          <cell r="C599" t="str">
            <v>0077</v>
          </cell>
          <cell r="D599"/>
          <cell r="E599" t="str">
            <v>MPG</v>
          </cell>
          <cell r="F599" t="str">
            <v>Direct</v>
          </cell>
          <cell r="G599" t="str">
            <v>Gomukh Amarpur</v>
          </cell>
          <cell r="H599" t="str">
            <v>Ajay Rai</v>
          </cell>
          <cell r="I599">
            <v>9006408520</v>
          </cell>
          <cell r="J599" t="str">
            <v>100801</v>
          </cell>
          <cell r="K599"/>
          <cell r="L599">
            <v>45605</v>
          </cell>
          <cell r="N599" t="str">
            <v>Teghra</v>
          </cell>
        </row>
        <row r="600">
          <cell r="B600">
            <v>10080078</v>
          </cell>
          <cell r="C600" t="str">
            <v>0078</v>
          </cell>
          <cell r="D600"/>
          <cell r="E600" t="str">
            <v>MPG</v>
          </cell>
          <cell r="F600" t="str">
            <v>Indirect</v>
          </cell>
          <cell r="G600" t="str">
            <v>Prashant kumar</v>
          </cell>
          <cell r="H600" t="str">
            <v>Prashant kumar</v>
          </cell>
          <cell r="I600">
            <v>6204555807</v>
          </cell>
          <cell r="J600" t="str">
            <v>100801</v>
          </cell>
          <cell r="K600"/>
          <cell r="L600">
            <v>45605</v>
          </cell>
          <cell r="N600" t="str">
            <v>Teghra</v>
          </cell>
        </row>
        <row r="601">
          <cell r="B601">
            <v>10080079</v>
          </cell>
          <cell r="C601" t="str">
            <v>0079</v>
          </cell>
          <cell r="D601"/>
          <cell r="E601" t="str">
            <v>MPG</v>
          </cell>
          <cell r="F601" t="str">
            <v>Direct</v>
          </cell>
          <cell r="G601" t="str">
            <v>Gomukh Barauni 3</v>
          </cell>
          <cell r="H601" t="str">
            <v>REETA KUMARI</v>
          </cell>
          <cell r="I601">
            <v>9534572737</v>
          </cell>
          <cell r="J601" t="str">
            <v>100803</v>
          </cell>
          <cell r="K601"/>
          <cell r="L601">
            <v>45629</v>
          </cell>
          <cell r="N601" t="str">
            <v>Teghra</v>
          </cell>
        </row>
        <row r="602">
          <cell r="B602">
            <v>10080080</v>
          </cell>
          <cell r="C602" t="str">
            <v>0080</v>
          </cell>
          <cell r="D602"/>
          <cell r="E602" t="str">
            <v>MPG</v>
          </cell>
          <cell r="F602" t="str">
            <v>Indirect</v>
          </cell>
          <cell r="G602" t="str">
            <v>CHANDAN YADAV</v>
          </cell>
          <cell r="H602" t="str">
            <v>CHANDAN YADAV</v>
          </cell>
          <cell r="I602">
            <v>8409774724</v>
          </cell>
          <cell r="J602" t="str">
            <v>100802</v>
          </cell>
          <cell r="K602"/>
          <cell r="L602">
            <v>45643</v>
          </cell>
          <cell r="N602" t="str">
            <v>Teghra</v>
          </cell>
        </row>
        <row r="603">
          <cell r="B603">
            <v>10080081</v>
          </cell>
          <cell r="C603" t="str">
            <v>0081</v>
          </cell>
          <cell r="D603"/>
          <cell r="E603" t="str">
            <v>MPG</v>
          </cell>
          <cell r="F603" t="str">
            <v>Indirect</v>
          </cell>
          <cell r="G603" t="str">
            <v>SURESH YADAV</v>
          </cell>
          <cell r="H603" t="str">
            <v>SURESH YADAV</v>
          </cell>
          <cell r="I603">
            <v>9771077821</v>
          </cell>
          <cell r="J603" t="str">
            <v>100802</v>
          </cell>
          <cell r="K603"/>
          <cell r="L603">
            <v>45643</v>
          </cell>
          <cell r="N603" t="str">
            <v>Teghra</v>
          </cell>
        </row>
        <row r="604">
          <cell r="B604">
            <v>10080082</v>
          </cell>
          <cell r="C604" t="str">
            <v>0082</v>
          </cell>
          <cell r="D604"/>
          <cell r="E604" t="str">
            <v>MPG</v>
          </cell>
          <cell r="F604" t="str">
            <v>Indirect</v>
          </cell>
          <cell r="G604" t="str">
            <v>DINESH YADAV</v>
          </cell>
          <cell r="H604" t="str">
            <v>DINESH YADAV</v>
          </cell>
          <cell r="I604">
            <v>9973588217</v>
          </cell>
          <cell r="J604" t="str">
            <v>100802</v>
          </cell>
          <cell r="K604"/>
          <cell r="L604">
            <v>45643</v>
          </cell>
          <cell r="N604" t="str">
            <v>Teghra</v>
          </cell>
        </row>
        <row r="605">
          <cell r="B605">
            <v>10080083</v>
          </cell>
          <cell r="C605" t="str">
            <v>0083</v>
          </cell>
          <cell r="D605"/>
          <cell r="E605" t="str">
            <v>MPG</v>
          </cell>
          <cell r="F605" t="str">
            <v>Indirect</v>
          </cell>
          <cell r="G605" t="str">
            <v>ANITA DEVI</v>
          </cell>
          <cell r="H605" t="str">
            <v>ANITA DEVI</v>
          </cell>
          <cell r="I605">
            <v>9110074695</v>
          </cell>
          <cell r="J605" t="str">
            <v>100802</v>
          </cell>
          <cell r="K605"/>
          <cell r="L605">
            <v>45643</v>
          </cell>
          <cell r="N605" t="str">
            <v>Teghra</v>
          </cell>
        </row>
        <row r="606">
          <cell r="B606">
            <v>10080084</v>
          </cell>
          <cell r="C606" t="str">
            <v>0084</v>
          </cell>
          <cell r="D606"/>
          <cell r="E606" t="str">
            <v>MPG</v>
          </cell>
          <cell r="F606" t="str">
            <v>Direct</v>
          </cell>
          <cell r="G606" t="str">
            <v>Gomukh Amarpur paschim</v>
          </cell>
          <cell r="H606" t="str">
            <v>BABLU RAI</v>
          </cell>
          <cell r="I606">
            <v>8002363100</v>
          </cell>
          <cell r="J606" t="str">
            <v>100801</v>
          </cell>
          <cell r="K606"/>
          <cell r="L606">
            <v>45685</v>
          </cell>
          <cell r="N606" t="str">
            <v>Teghra</v>
          </cell>
        </row>
        <row r="607">
          <cell r="B607">
            <v>10080085</v>
          </cell>
          <cell r="C607" t="str">
            <v>0085</v>
          </cell>
          <cell r="D607"/>
          <cell r="E607" t="str">
            <v>MPG</v>
          </cell>
          <cell r="F607" t="str">
            <v>Direct</v>
          </cell>
          <cell r="G607" t="str">
            <v>GOMUKH SIHMA 2</v>
          </cell>
          <cell r="H607" t="str">
            <v>AJIT KUMAR MISHRA</v>
          </cell>
          <cell r="I607">
            <v>6206107865</v>
          </cell>
          <cell r="J607" t="str">
            <v>100801</v>
          </cell>
          <cell r="K607"/>
          <cell r="L607">
            <v>45708</v>
          </cell>
          <cell r="N607" t="str">
            <v>Teghra</v>
          </cell>
        </row>
        <row r="608">
          <cell r="B608">
            <v>10080086</v>
          </cell>
          <cell r="C608" t="str">
            <v>0086</v>
          </cell>
          <cell r="D608"/>
          <cell r="E608" t="str">
            <v>MPG</v>
          </cell>
          <cell r="F608" t="str">
            <v>Direct</v>
          </cell>
          <cell r="G608" t="str">
            <v>GOMUKH FATEHA SALEMPUR</v>
          </cell>
          <cell r="H608" t="str">
            <v>BITTU KUMAR RAY</v>
          </cell>
          <cell r="I608">
            <v>7631461027</v>
          </cell>
          <cell r="J608" t="str">
            <v>100802</v>
          </cell>
          <cell r="K608"/>
          <cell r="L608">
            <v>45708</v>
          </cell>
          <cell r="N608" t="str">
            <v>Teghra</v>
          </cell>
        </row>
        <row r="609">
          <cell r="B609">
            <v>10080087</v>
          </cell>
          <cell r="C609" t="str">
            <v>0087</v>
          </cell>
          <cell r="D609"/>
          <cell r="E609" t="str">
            <v>MPG</v>
          </cell>
          <cell r="F609" t="str">
            <v>Direct</v>
          </cell>
          <cell r="G609" t="str">
            <v>GOMUKH GEHUNI 2</v>
          </cell>
          <cell r="H609" t="str">
            <v>RANJAY SINGH</v>
          </cell>
          <cell r="I609">
            <v>9473190261</v>
          </cell>
          <cell r="J609" t="str">
            <v>100802</v>
          </cell>
          <cell r="K609"/>
          <cell r="L609">
            <v>45734</v>
          </cell>
          <cell r="N609" t="str">
            <v>Teghra</v>
          </cell>
        </row>
        <row r="610">
          <cell r="B610">
            <v>10080088</v>
          </cell>
          <cell r="C610" t="str">
            <v>0088</v>
          </cell>
          <cell r="D610"/>
          <cell r="E610" t="str">
            <v>MPG</v>
          </cell>
          <cell r="F610" t="str">
            <v>Direct</v>
          </cell>
          <cell r="G610" t="str">
            <v>GOMUKH MALHIPUR</v>
          </cell>
          <cell r="H610" t="str">
            <v>PAPPU KUMAR</v>
          </cell>
          <cell r="I610">
            <v>7295979378</v>
          </cell>
          <cell r="J610" t="str">
            <v>100801</v>
          </cell>
          <cell r="K610"/>
          <cell r="L610">
            <v>45735</v>
          </cell>
          <cell r="N610" t="str">
            <v>Teghra</v>
          </cell>
        </row>
        <row r="611">
          <cell r="B611">
            <v>10080089</v>
          </cell>
          <cell r="C611" t="str">
            <v>0089</v>
          </cell>
          <cell r="D611"/>
          <cell r="E611" t="str">
            <v>MPG</v>
          </cell>
          <cell r="F611" t="str">
            <v>Indirect</v>
          </cell>
          <cell r="G611" t="str">
            <v>Bihat - Sonu Kumar</v>
          </cell>
          <cell r="H611" t="str">
            <v>Sonu Kumar</v>
          </cell>
          <cell r="I611">
            <v>6287766691</v>
          </cell>
          <cell r="J611" t="str">
            <v>100801</v>
          </cell>
          <cell r="K611"/>
          <cell r="L611">
            <v>45765</v>
          </cell>
          <cell r="N611" t="str">
            <v>Teghra</v>
          </cell>
        </row>
        <row r="612">
          <cell r="B612">
            <v>10080090</v>
          </cell>
          <cell r="C612" t="str">
            <v>0090</v>
          </cell>
          <cell r="D612"/>
          <cell r="E612" t="str">
            <v>MPG</v>
          </cell>
          <cell r="F612" t="str">
            <v>Indirect</v>
          </cell>
          <cell r="G612" t="str">
            <v>Rasalpur - Durgesh Kumar</v>
          </cell>
          <cell r="H612" t="str">
            <v>Durgesh Kumar</v>
          </cell>
          <cell r="I612">
            <v>6206520676</v>
          </cell>
          <cell r="J612" t="str">
            <v>100803</v>
          </cell>
          <cell r="K612"/>
          <cell r="L612">
            <v>45765</v>
          </cell>
          <cell r="N612" t="str">
            <v>Teghra</v>
          </cell>
        </row>
        <row r="613">
          <cell r="B613">
            <v>10080091</v>
          </cell>
          <cell r="C613" t="str">
            <v>0091</v>
          </cell>
          <cell r="D613"/>
          <cell r="E613" t="str">
            <v>MPG</v>
          </cell>
          <cell r="F613" t="str">
            <v>Indirect</v>
          </cell>
          <cell r="G613" t="str">
            <v>Rani Dovhiya - Rajendra Yadav</v>
          </cell>
          <cell r="H613" t="str">
            <v>Rajendra Yadav</v>
          </cell>
          <cell r="I613">
            <v>7549734911</v>
          </cell>
          <cell r="J613" t="str">
            <v>100802</v>
          </cell>
          <cell r="K613"/>
          <cell r="L613">
            <v>45765</v>
          </cell>
          <cell r="N613" t="str">
            <v>Teghra</v>
          </cell>
        </row>
        <row r="614">
          <cell r="B614">
            <v>10080092</v>
          </cell>
          <cell r="C614" t="str">
            <v>0092</v>
          </cell>
          <cell r="D614"/>
          <cell r="E614" t="str">
            <v>MPG</v>
          </cell>
          <cell r="F614" t="str">
            <v>Indirect</v>
          </cell>
          <cell r="G614" t="str">
            <v>Panchwati Chowk - Ghanshyan Kumar Ray</v>
          </cell>
          <cell r="H614" t="str">
            <v>Ghanshyan Kumar Ray</v>
          </cell>
          <cell r="I614">
            <v>7631414672</v>
          </cell>
          <cell r="J614" t="str">
            <v>100802</v>
          </cell>
          <cell r="K614"/>
          <cell r="L614">
            <v>45765</v>
          </cell>
          <cell r="N614" t="str">
            <v>Teghra</v>
          </cell>
        </row>
        <row r="615">
          <cell r="B615">
            <v>10080093</v>
          </cell>
          <cell r="C615" t="str">
            <v>0093</v>
          </cell>
          <cell r="D615"/>
          <cell r="E615" t="str">
            <v>MPG</v>
          </cell>
          <cell r="F615" t="str">
            <v>Direct</v>
          </cell>
          <cell r="G615" t="str">
            <v>Barauni Bariyarpur</v>
          </cell>
          <cell r="H615" t="str">
            <v>Bittu Kumar</v>
          </cell>
          <cell r="I615">
            <v>8709480363</v>
          </cell>
          <cell r="J615" t="str">
            <v>100802</v>
          </cell>
          <cell r="K615"/>
          <cell r="L615">
            <v>45783</v>
          </cell>
          <cell r="N615" t="str">
            <v>Teghra</v>
          </cell>
        </row>
        <row r="616">
          <cell r="B616">
            <v>10080094</v>
          </cell>
          <cell r="C616" t="str">
            <v>0094</v>
          </cell>
          <cell r="D616"/>
          <cell r="E616" t="str">
            <v>MPG</v>
          </cell>
          <cell r="F616" t="str">
            <v>Direct</v>
          </cell>
          <cell r="G616" t="str">
            <v>Kaji Rasalpur</v>
          </cell>
          <cell r="H616" t="str">
            <v>Ajay Kumar Chaudhary</v>
          </cell>
          <cell r="I616">
            <v>7903855840</v>
          </cell>
          <cell r="J616" t="str">
            <v>100802</v>
          </cell>
          <cell r="K616"/>
          <cell r="L616">
            <v>45783</v>
          </cell>
          <cell r="N616" t="str">
            <v>Teghra</v>
          </cell>
        </row>
        <row r="617">
          <cell r="B617">
            <v>10080095</v>
          </cell>
          <cell r="C617" t="str">
            <v>0095</v>
          </cell>
          <cell r="D617"/>
          <cell r="E617" t="str">
            <v>MPG</v>
          </cell>
          <cell r="F617" t="str">
            <v>Direct</v>
          </cell>
          <cell r="G617" t="str">
            <v>Jaynagar</v>
          </cell>
          <cell r="H617" t="str">
            <v>Vikram Kumar Rai</v>
          </cell>
          <cell r="I617">
            <v>8709939089</v>
          </cell>
          <cell r="J617" t="str">
            <v>100801</v>
          </cell>
          <cell r="K617"/>
          <cell r="L617">
            <v>45783</v>
          </cell>
          <cell r="N617" t="str">
            <v>Teghra</v>
          </cell>
        </row>
        <row r="618">
          <cell r="B618">
            <v>10080096</v>
          </cell>
          <cell r="C618" t="str">
            <v>0096</v>
          </cell>
          <cell r="D618"/>
          <cell r="E618" t="str">
            <v>MPG</v>
          </cell>
          <cell r="F618" t="str">
            <v>Direct</v>
          </cell>
          <cell r="G618" t="str">
            <v>Amba-2</v>
          </cell>
          <cell r="H618" t="str">
            <v>Vindu Devi</v>
          </cell>
          <cell r="I618">
            <v>9693860146</v>
          </cell>
          <cell r="J618" t="str">
            <v>100803</v>
          </cell>
          <cell r="K618"/>
          <cell r="L618">
            <v>45783</v>
          </cell>
          <cell r="N618" t="str">
            <v>Teghra</v>
          </cell>
        </row>
        <row r="619">
          <cell r="B619">
            <v>10080097</v>
          </cell>
          <cell r="C619" t="str">
            <v>0097</v>
          </cell>
          <cell r="D619"/>
          <cell r="E619" t="str">
            <v>MPG</v>
          </cell>
          <cell r="F619" t="str">
            <v>Indirect</v>
          </cell>
          <cell r="G619" t="str">
            <v>Fateha - Anil Yadav</v>
          </cell>
          <cell r="H619" t="str">
            <v>Anil Yadav</v>
          </cell>
          <cell r="I619">
            <v>9155525194</v>
          </cell>
          <cell r="J619" t="str">
            <v>100802</v>
          </cell>
          <cell r="K619"/>
          <cell r="L619">
            <v>45783</v>
          </cell>
          <cell r="N619" t="str">
            <v>Teghra</v>
          </cell>
        </row>
        <row r="620">
          <cell r="B620">
            <v>10080098</v>
          </cell>
          <cell r="C620" t="str">
            <v>0098</v>
          </cell>
          <cell r="D620"/>
          <cell r="E620" t="str">
            <v>MPG</v>
          </cell>
          <cell r="F620" t="str">
            <v>Direct</v>
          </cell>
          <cell r="G620" t="str">
            <v>Rani Panchwati</v>
          </cell>
          <cell r="H620" t="str">
            <v>Ghanshyam Kumar Ray</v>
          </cell>
          <cell r="I620">
            <v>7004333477</v>
          </cell>
          <cell r="J620" t="str">
            <v>100802</v>
          </cell>
          <cell r="K620"/>
          <cell r="L620">
            <v>45800</v>
          </cell>
          <cell r="N620" t="str">
            <v>Teghra</v>
          </cell>
        </row>
        <row r="621">
          <cell r="B621">
            <v>10080099</v>
          </cell>
          <cell r="C621" t="str">
            <v>0099</v>
          </cell>
          <cell r="D621"/>
          <cell r="E621" t="str">
            <v>MPG</v>
          </cell>
          <cell r="F621" t="str">
            <v>Direct</v>
          </cell>
          <cell r="G621" t="str">
            <v>Bihat - Chakballi</v>
          </cell>
          <cell r="H621" t="str">
            <v>Nitesh Kumar</v>
          </cell>
          <cell r="I621">
            <v>9934436171</v>
          </cell>
          <cell r="J621" t="str">
            <v>100801</v>
          </cell>
          <cell r="K621"/>
          <cell r="L621">
            <v>45800</v>
          </cell>
          <cell r="N621" t="str">
            <v>Teghra</v>
          </cell>
        </row>
        <row r="622">
          <cell r="B622">
            <v>10080100</v>
          </cell>
          <cell r="C622" t="str">
            <v>0100</v>
          </cell>
          <cell r="D622"/>
          <cell r="E622" t="str">
            <v>MPG</v>
          </cell>
          <cell r="F622" t="str">
            <v>Direct</v>
          </cell>
          <cell r="G622" t="str">
            <v>Sibutol- Naya Tola</v>
          </cell>
          <cell r="H622" t="str">
            <v>Rajniti Yadav</v>
          </cell>
          <cell r="I622">
            <v>8271562260</v>
          </cell>
          <cell r="J622" t="str">
            <v>100802</v>
          </cell>
          <cell r="K622"/>
          <cell r="L622">
            <v>45842</v>
          </cell>
          <cell r="N622" t="str">
            <v>Teghra</v>
          </cell>
        </row>
        <row r="623">
          <cell r="B623">
            <v>10080101</v>
          </cell>
          <cell r="C623" t="str">
            <v>0101</v>
          </cell>
          <cell r="D623"/>
          <cell r="E623" t="str">
            <v>MPG</v>
          </cell>
          <cell r="F623" t="str">
            <v>Indirect</v>
          </cell>
          <cell r="G623" t="str">
            <v>Rupnagar-Umesh</v>
          </cell>
          <cell r="H623" t="str">
            <v>Bhutan Yadav</v>
          </cell>
          <cell r="I623">
            <v>9263497157</v>
          </cell>
          <cell r="J623" t="str">
            <v>100801</v>
          </cell>
          <cell r="K623"/>
          <cell r="L623">
            <v>45842</v>
          </cell>
          <cell r="N623" t="str">
            <v>Teghra</v>
          </cell>
        </row>
        <row r="624">
          <cell r="B624">
            <v>10080102</v>
          </cell>
          <cell r="C624" t="str">
            <v>0102</v>
          </cell>
          <cell r="D624"/>
          <cell r="E624" t="str">
            <v>MPG</v>
          </cell>
          <cell r="F624" t="str">
            <v>Direct</v>
          </cell>
          <cell r="G624" t="str">
            <v>Dadpur</v>
          </cell>
          <cell r="H624" t="str">
            <v>Hareram Chaudhary</v>
          </cell>
          <cell r="I624">
            <v>9570991588</v>
          </cell>
          <cell r="J624" t="str">
            <v>100802</v>
          </cell>
          <cell r="K624"/>
          <cell r="L624">
            <v>45850</v>
          </cell>
          <cell r="N624" t="str">
            <v>Teghra</v>
          </cell>
        </row>
        <row r="625">
          <cell r="B625">
            <v>10080103</v>
          </cell>
          <cell r="C625" t="str">
            <v>0103</v>
          </cell>
          <cell r="D625"/>
          <cell r="E625" t="str">
            <v>MPG</v>
          </cell>
          <cell r="F625" t="str">
            <v>Indirect</v>
          </cell>
          <cell r="G625" t="str">
            <v>Vaishnawi Dairy</v>
          </cell>
          <cell r="H625" t="str">
            <v>Sukhdev Kaiv</v>
          </cell>
          <cell r="I625">
            <v>8198898970</v>
          </cell>
          <cell r="J625" t="str">
            <v>100801</v>
          </cell>
          <cell r="K625"/>
          <cell r="L625">
            <v>45850</v>
          </cell>
          <cell r="N625" t="str">
            <v>Teghra</v>
          </cell>
        </row>
        <row r="626">
          <cell r="B626">
            <v>10080104</v>
          </cell>
          <cell r="C626" t="str">
            <v>0104</v>
          </cell>
          <cell r="D626"/>
          <cell r="E626" t="str">
            <v>MPG</v>
          </cell>
          <cell r="F626" t="str">
            <v>Indirect</v>
          </cell>
          <cell r="G626" t="str">
            <v>Barauni-Shubhash</v>
          </cell>
          <cell r="H626" t="str">
            <v>Aamol Yadav</v>
          </cell>
          <cell r="I626">
            <v>6202385295</v>
          </cell>
          <cell r="J626" t="str">
            <v>100801</v>
          </cell>
          <cell r="K626"/>
          <cell r="L626">
            <v>45850</v>
          </cell>
          <cell r="N626" t="str">
            <v>Teghra</v>
          </cell>
        </row>
        <row r="627">
          <cell r="B627">
            <v>10080105</v>
          </cell>
          <cell r="C627" t="str">
            <v>0105</v>
          </cell>
          <cell r="D627"/>
          <cell r="E627" t="str">
            <v>MPG</v>
          </cell>
          <cell r="F627" t="str">
            <v>Direct</v>
          </cell>
          <cell r="G627" t="str">
            <v>Sitarampur</v>
          </cell>
          <cell r="H627" t="str">
            <v>Lalit Kumar</v>
          </cell>
          <cell r="I627">
            <v>6299659192</v>
          </cell>
          <cell r="J627" t="str">
            <v>100801</v>
          </cell>
          <cell r="K627"/>
          <cell r="L627">
            <v>45864</v>
          </cell>
          <cell r="N627" t="str">
            <v>Teghra</v>
          </cell>
        </row>
        <row r="628">
          <cell r="B628">
            <v>10080106</v>
          </cell>
          <cell r="C628" t="str">
            <v>0106</v>
          </cell>
          <cell r="D628"/>
          <cell r="E628" t="str">
            <v>MPG</v>
          </cell>
          <cell r="F628" t="str">
            <v>Direct</v>
          </cell>
          <cell r="G628" t="str">
            <v>Hajipur</v>
          </cell>
          <cell r="H628" t="str">
            <v>Vijay Kumar Choudhary</v>
          </cell>
          <cell r="I628">
            <v>7563821238</v>
          </cell>
          <cell r="J628" t="str">
            <v>100801</v>
          </cell>
          <cell r="K628"/>
          <cell r="L628">
            <v>45875</v>
          </cell>
          <cell r="N628" t="str">
            <v>Teghra</v>
          </cell>
        </row>
        <row r="629">
          <cell r="B629">
            <v>10080107</v>
          </cell>
          <cell r="C629" t="str">
            <v>0107</v>
          </cell>
          <cell r="D629"/>
          <cell r="E629" t="str">
            <v>MPG</v>
          </cell>
          <cell r="F629" t="str">
            <v>Indirect</v>
          </cell>
          <cell r="G629" t="str">
            <v>Rasalpur</v>
          </cell>
          <cell r="H629" t="str">
            <v>Jay Shankar Chaudhri</v>
          </cell>
          <cell r="I629">
            <v>9771667861</v>
          </cell>
          <cell r="J629" t="str">
            <v>100801</v>
          </cell>
          <cell r="K629"/>
          <cell r="L629">
            <v>45875</v>
          </cell>
          <cell r="N629" t="str">
            <v>Teghra</v>
          </cell>
        </row>
        <row r="630">
          <cell r="B630">
            <v>10080108</v>
          </cell>
          <cell r="C630" t="str">
            <v>0108</v>
          </cell>
          <cell r="D630"/>
          <cell r="E630" t="str">
            <v>MPG</v>
          </cell>
          <cell r="F630" t="str">
            <v>Direct</v>
          </cell>
          <cell r="G630" t="str">
            <v>Malhipur Bisanpur</v>
          </cell>
          <cell r="H630" t="str">
            <v>Nirmal Kumar</v>
          </cell>
          <cell r="I630">
            <v>7050821325</v>
          </cell>
          <cell r="J630" t="str">
            <v>100801</v>
          </cell>
          <cell r="K630"/>
          <cell r="L630">
            <v>45890</v>
          </cell>
          <cell r="N630" t="str">
            <v>Teghra</v>
          </cell>
        </row>
        <row r="631">
          <cell r="B631">
            <v>10080109</v>
          </cell>
          <cell r="C631" t="str">
            <v>0109</v>
          </cell>
          <cell r="D631"/>
          <cell r="E631" t="str">
            <v>MPG</v>
          </cell>
          <cell r="F631" t="str">
            <v>Indirect</v>
          </cell>
          <cell r="G631" t="str">
            <v>Mokhtiyarpur</v>
          </cell>
          <cell r="H631" t="str">
            <v>Amrendra Kumar</v>
          </cell>
          <cell r="I631">
            <v>9431053638</v>
          </cell>
          <cell r="J631" t="str">
            <v>100803</v>
          </cell>
          <cell r="K631"/>
          <cell r="L631">
            <v>45897</v>
          </cell>
          <cell r="N631" t="str">
            <v>Teghra</v>
          </cell>
        </row>
        <row r="632">
          <cell r="B632">
            <v>10080110</v>
          </cell>
          <cell r="C632" t="str">
            <v>0110</v>
          </cell>
          <cell r="D632"/>
          <cell r="E632" t="str">
            <v>MPG</v>
          </cell>
          <cell r="F632" t="str">
            <v>Indirect</v>
          </cell>
          <cell r="G632" t="str">
            <v>Rudauli</v>
          </cell>
          <cell r="H632" t="str">
            <v>Rajivranjan Kumar</v>
          </cell>
          <cell r="I632">
            <v>8210146801</v>
          </cell>
          <cell r="J632" t="str">
            <v>100802</v>
          </cell>
          <cell r="K632"/>
          <cell r="L632">
            <v>45901</v>
          </cell>
          <cell r="N632" t="str">
            <v>Teghra</v>
          </cell>
        </row>
        <row r="633">
          <cell r="B633">
            <v>10080111</v>
          </cell>
          <cell r="C633" t="str">
            <v>0111</v>
          </cell>
          <cell r="D633"/>
          <cell r="E633" t="str">
            <v>MPG</v>
          </cell>
          <cell r="F633" t="str">
            <v>Indirect</v>
          </cell>
          <cell r="G633" t="str">
            <v>Nayatol</v>
          </cell>
          <cell r="H633" t="str">
            <v>Gopal Choudhary</v>
          </cell>
          <cell r="I633">
            <v>9771378836</v>
          </cell>
          <cell r="J633" t="str">
            <v>100802</v>
          </cell>
          <cell r="K633"/>
          <cell r="L633">
            <v>45940</v>
          </cell>
          <cell r="N633" t="str">
            <v>Teghra</v>
          </cell>
        </row>
        <row r="634">
          <cell r="B634">
            <v>10080112</v>
          </cell>
          <cell r="C634" t="str">
            <v>0112</v>
          </cell>
          <cell r="D634"/>
          <cell r="E634" t="str">
            <v>MPG</v>
          </cell>
          <cell r="F634" t="str">
            <v>Indirect</v>
          </cell>
          <cell r="G634" t="str">
            <v>Samsa</v>
          </cell>
          <cell r="H634" t="str">
            <v>Sumit Kumar</v>
          </cell>
          <cell r="I634">
            <v>9709575475</v>
          </cell>
          <cell r="J634" t="str">
            <v>100802</v>
          </cell>
          <cell r="K634"/>
          <cell r="L634">
            <v>45940</v>
          </cell>
          <cell r="N634" t="str">
            <v>Teghra</v>
          </cell>
        </row>
        <row r="635">
          <cell r="B635">
            <v>10080113</v>
          </cell>
          <cell r="C635" t="str">
            <v>0113</v>
          </cell>
          <cell r="D635"/>
          <cell r="E635" t="str">
            <v>MPG</v>
          </cell>
          <cell r="F635" t="str">
            <v>Indirect</v>
          </cell>
          <cell r="G635" t="str">
            <v>Dahiya</v>
          </cell>
          <cell r="H635" t="str">
            <v xml:space="preserve">Sanjay Kumar </v>
          </cell>
          <cell r="I635">
            <v>8051732829</v>
          </cell>
          <cell r="J635" t="str">
            <v>100802</v>
          </cell>
          <cell r="K635"/>
          <cell r="L635">
            <v>45940</v>
          </cell>
          <cell r="N635" t="str">
            <v>Teghra</v>
          </cell>
        </row>
        <row r="636">
          <cell r="B636">
            <v>10080114</v>
          </cell>
          <cell r="C636" t="str">
            <v>0114</v>
          </cell>
          <cell r="D636"/>
          <cell r="E636" t="str">
            <v>MPG</v>
          </cell>
          <cell r="F636" t="str">
            <v>Direct</v>
          </cell>
          <cell r="G636" t="str">
            <v>Phulwarya</v>
          </cell>
          <cell r="H636" t="str">
            <v>MD. Irshad Hannan</v>
          </cell>
          <cell r="I636">
            <v>6201869234</v>
          </cell>
          <cell r="J636" t="str">
            <v>100801</v>
          </cell>
          <cell r="K636"/>
          <cell r="L636">
            <v>45961</v>
          </cell>
          <cell r="N636" t="str">
            <v>Teghra</v>
          </cell>
        </row>
        <row r="637">
          <cell r="B637">
            <v>10080115</v>
          </cell>
          <cell r="C637" t="str">
            <v>0115</v>
          </cell>
          <cell r="D637"/>
          <cell r="E637" t="str">
            <v>MPG</v>
          </cell>
          <cell r="F637" t="str">
            <v>Direct</v>
          </cell>
          <cell r="G637" t="str">
            <v>Gaura</v>
          </cell>
          <cell r="H637" t="str">
            <v>Naveen Kumar Ray</v>
          </cell>
          <cell r="I637">
            <v>9709395711</v>
          </cell>
          <cell r="J637" t="str">
            <v>100801</v>
          </cell>
          <cell r="K637"/>
          <cell r="L637">
            <v>45986</v>
          </cell>
          <cell r="N637" t="str">
            <v>Teghra</v>
          </cell>
        </row>
        <row r="638">
          <cell r="B638">
            <v>10080116</v>
          </cell>
          <cell r="C638" t="str">
            <v>0116</v>
          </cell>
          <cell r="D638"/>
          <cell r="E638" t="str">
            <v>MPG</v>
          </cell>
          <cell r="F638" t="str">
            <v>Indirect</v>
          </cell>
          <cell r="G638" t="str">
            <v>Zeromile-VLC</v>
          </cell>
          <cell r="H638" t="str">
            <v>Rupesh Singh</v>
          </cell>
          <cell r="I638">
            <v>9534520941</v>
          </cell>
          <cell r="J638" t="str">
            <v>100801</v>
          </cell>
          <cell r="K638"/>
          <cell r="L638">
            <v>46003</v>
          </cell>
          <cell r="N638" t="str">
            <v>Teghra</v>
          </cell>
        </row>
        <row r="639">
          <cell r="B639">
            <v>10080117</v>
          </cell>
          <cell r="C639" t="str">
            <v>0117</v>
          </cell>
          <cell r="D639"/>
          <cell r="E639" t="str">
            <v>MPG</v>
          </cell>
          <cell r="F639" t="str">
            <v>Indirect</v>
          </cell>
          <cell r="G639" t="str">
            <v>Nipania-VLC</v>
          </cell>
          <cell r="H639" t="str">
            <v>Pallavi Kumari</v>
          </cell>
          <cell r="I639">
            <v>6203244004</v>
          </cell>
          <cell r="J639" t="str">
            <v>100802</v>
          </cell>
          <cell r="K639"/>
          <cell r="L639">
            <v>46003</v>
          </cell>
          <cell r="N639" t="str">
            <v>Teghra</v>
          </cell>
        </row>
        <row r="640">
          <cell r="B640">
            <v>10080118</v>
          </cell>
          <cell r="C640" t="str">
            <v>0118</v>
          </cell>
          <cell r="D640"/>
          <cell r="E640" t="str">
            <v>MPG</v>
          </cell>
          <cell r="F640" t="str">
            <v>Direct</v>
          </cell>
          <cell r="G640" t="str">
            <v>Gorai</v>
          </cell>
          <cell r="H640" t="str">
            <v>Kiran Devi</v>
          </cell>
          <cell r="I640">
            <v>9572315976</v>
          </cell>
          <cell r="J640" t="str">
            <v>100802</v>
          </cell>
          <cell r="K640"/>
          <cell r="L640">
            <v>46003</v>
          </cell>
          <cell r="N640" t="str">
            <v>Teghra</v>
          </cell>
        </row>
        <row r="641">
          <cell r="B641">
            <v>10080119</v>
          </cell>
          <cell r="C641" t="str">
            <v>0119</v>
          </cell>
          <cell r="D641"/>
          <cell r="E641" t="str">
            <v>MPG</v>
          </cell>
          <cell r="F641" t="str">
            <v>Direct</v>
          </cell>
          <cell r="G641" t="str">
            <v>Mukhtiyarpur</v>
          </cell>
          <cell r="H641" t="str">
            <v>Niva Kumari</v>
          </cell>
          <cell r="I641">
            <v>6205758443</v>
          </cell>
          <cell r="J641" t="str">
            <v>100803</v>
          </cell>
          <cell r="K641"/>
          <cell r="L641">
            <v>46014</v>
          </cell>
          <cell r="N641" t="str">
            <v>Teghra</v>
          </cell>
        </row>
        <row r="642">
          <cell r="B642">
            <v>10080120</v>
          </cell>
          <cell r="C642" t="str">
            <v>0120</v>
          </cell>
          <cell r="D642"/>
          <cell r="E642" t="str">
            <v>MPG</v>
          </cell>
          <cell r="F642" t="str">
            <v>Direct</v>
          </cell>
          <cell r="G642" t="str">
            <v>Gomukh Rudauli-02</v>
          </cell>
          <cell r="H642" t="str">
            <v>Rajeev Kumar</v>
          </cell>
          <cell r="I642">
            <v>9810733240</v>
          </cell>
          <cell r="J642" t="str">
            <v>100803</v>
          </cell>
          <cell r="K642"/>
          <cell r="L642">
            <v>46060</v>
          </cell>
          <cell r="N642" t="str">
            <v>Teghra</v>
          </cell>
        </row>
        <row r="643">
          <cell r="B643">
            <v>10080121</v>
          </cell>
          <cell r="C643" t="str">
            <v>0121</v>
          </cell>
          <cell r="D643"/>
          <cell r="E643" t="str">
            <v>MPG</v>
          </cell>
          <cell r="F643" t="str">
            <v>Direct</v>
          </cell>
          <cell r="G643" t="str">
            <v>Gomukh Jhamatia</v>
          </cell>
          <cell r="H643" t="str">
            <v>Gopal Kumwar</v>
          </cell>
          <cell r="I643">
            <v>7870674972</v>
          </cell>
          <cell r="J643" t="str">
            <v>100803</v>
          </cell>
          <cell r="K643"/>
          <cell r="L643">
            <v>46060</v>
          </cell>
          <cell r="N643" t="str">
            <v>Teghra</v>
          </cell>
        </row>
        <row r="644">
          <cell r="B644">
            <v>10080122</v>
          </cell>
          <cell r="C644" t="str">
            <v>0122</v>
          </cell>
          <cell r="D644"/>
          <cell r="E644" t="str">
            <v>MPG</v>
          </cell>
          <cell r="F644" t="str">
            <v>Direct</v>
          </cell>
          <cell r="G644" t="str">
            <v>Gomukh Puranatol Raichiahi</v>
          </cell>
          <cell r="H644" t="str">
            <v>Ajit Rai</v>
          </cell>
          <cell r="I644">
            <v>9570120961</v>
          </cell>
          <cell r="J644" t="str">
            <v>100801</v>
          </cell>
          <cell r="K644"/>
          <cell r="L644">
            <v>46060</v>
          </cell>
          <cell r="N644" t="str">
            <v>Teghra</v>
          </cell>
        </row>
        <row r="645">
          <cell r="B645">
            <v>10080123</v>
          </cell>
          <cell r="C645" t="str">
            <v>0123</v>
          </cell>
          <cell r="D645"/>
          <cell r="E645" t="str">
            <v>MPG</v>
          </cell>
          <cell r="F645" t="str">
            <v>Direct</v>
          </cell>
          <cell r="G645" t="str">
            <v>Gomukh Bihat Jagirtola</v>
          </cell>
          <cell r="H645" t="str">
            <v>Vina Devi</v>
          </cell>
          <cell r="I645">
            <v>9570323707</v>
          </cell>
          <cell r="J645" t="str">
            <v>100801</v>
          </cell>
          <cell r="K645"/>
          <cell r="L645">
            <v>46060</v>
          </cell>
          <cell r="N645" t="str">
            <v>Teghra</v>
          </cell>
        </row>
        <row r="646">
          <cell r="B646">
            <v>10080124</v>
          </cell>
          <cell r="C646" t="str">
            <v>0124</v>
          </cell>
          <cell r="D646"/>
          <cell r="E646" t="str">
            <v>MPG</v>
          </cell>
          <cell r="F646" t="str">
            <v>Direct</v>
          </cell>
          <cell r="G646" t="str">
            <v>Bihat-Gududaspur</v>
          </cell>
          <cell r="H646" t="str">
            <v>Nirala Kumar</v>
          </cell>
          <cell r="I646">
            <v>8877372549</v>
          </cell>
          <cell r="J646" t="str">
            <v>100801</v>
          </cell>
          <cell r="K646"/>
          <cell r="L646">
            <v>46080</v>
          </cell>
          <cell r="N646" t="str">
            <v>Teghra</v>
          </cell>
        </row>
        <row r="647">
          <cell r="B647">
            <v>10080125</v>
          </cell>
          <cell r="C647" t="str">
            <v>0125</v>
          </cell>
          <cell r="D647"/>
          <cell r="E647" t="str">
            <v>MPG</v>
          </cell>
          <cell r="F647" t="str">
            <v>Direct</v>
          </cell>
          <cell r="G647" t="str">
            <v>Bihat</v>
          </cell>
          <cell r="H647" t="str">
            <v>Vinay Kumar</v>
          </cell>
          <cell r="I647">
            <v>9973646765</v>
          </cell>
          <cell r="J647" t="str">
            <v>100801</v>
          </cell>
          <cell r="K647"/>
          <cell r="L647">
            <v>46080</v>
          </cell>
          <cell r="N647" t="str">
            <v>Teghra</v>
          </cell>
        </row>
        <row r="648">
          <cell r="B648">
            <v>10090001</v>
          </cell>
          <cell r="C648" t="str">
            <v>0001</v>
          </cell>
          <cell r="D648" t="str">
            <v>0112</v>
          </cell>
          <cell r="E648" t="str">
            <v>MPG</v>
          </cell>
          <cell r="F648" t="str">
            <v>Indirect</v>
          </cell>
          <cell r="G648" t="str">
            <v>POHE</v>
          </cell>
          <cell r="H648" t="str">
            <v>Gulshan Kumar</v>
          </cell>
          <cell r="I648">
            <v>9199838510</v>
          </cell>
          <cell r="J648" t="str">
            <v>100904</v>
          </cell>
          <cell r="K648" t="str">
            <v/>
          </cell>
          <cell r="L648">
            <v>42979</v>
          </cell>
          <cell r="N648" t="str">
            <v>Halsi</v>
          </cell>
        </row>
        <row r="649">
          <cell r="B649">
            <v>10090002</v>
          </cell>
          <cell r="C649" t="str">
            <v>0002</v>
          </cell>
          <cell r="D649" t="str">
            <v>1050</v>
          </cell>
          <cell r="E649" t="str">
            <v>MPG</v>
          </cell>
          <cell r="F649" t="str">
            <v>Direct</v>
          </cell>
          <cell r="G649" t="str">
            <v>AURO</v>
          </cell>
          <cell r="H649" t="str">
            <v>Roushan Kumar</v>
          </cell>
          <cell r="I649">
            <v>8877986410</v>
          </cell>
          <cell r="J649" t="str">
            <v>100901</v>
          </cell>
          <cell r="K649" t="str">
            <v>Yes</v>
          </cell>
          <cell r="L649">
            <v>42979</v>
          </cell>
          <cell r="N649" t="str">
            <v>Halsi</v>
          </cell>
        </row>
        <row r="650">
          <cell r="B650">
            <v>10090003</v>
          </cell>
          <cell r="C650" t="str">
            <v>0003</v>
          </cell>
          <cell r="D650" t="str">
            <v>1077</v>
          </cell>
          <cell r="E650" t="str">
            <v>MPG</v>
          </cell>
          <cell r="F650" t="str">
            <v>Direct</v>
          </cell>
          <cell r="G650" t="str">
            <v>PARSHAMA</v>
          </cell>
          <cell r="H650" t="str">
            <v>Sanjiv Kumar</v>
          </cell>
          <cell r="I650">
            <v>9097351591</v>
          </cell>
          <cell r="J650" t="str">
            <v>100901</v>
          </cell>
          <cell r="K650" t="str">
            <v>Yes</v>
          </cell>
          <cell r="L650">
            <v>42979</v>
          </cell>
          <cell r="N650" t="str">
            <v>Halsi</v>
          </cell>
        </row>
        <row r="651">
          <cell r="B651">
            <v>10090004</v>
          </cell>
          <cell r="C651" t="str">
            <v>0004</v>
          </cell>
          <cell r="D651" t="str">
            <v>1089</v>
          </cell>
          <cell r="E651" t="str">
            <v>MPG</v>
          </cell>
          <cell r="F651" t="str">
            <v>Direct</v>
          </cell>
          <cell r="G651" t="str">
            <v>BAHCHA</v>
          </cell>
          <cell r="H651" t="str">
            <v>Mukul Kumar</v>
          </cell>
          <cell r="I651">
            <v>9162595346</v>
          </cell>
          <cell r="J651" t="str">
            <v>100901</v>
          </cell>
          <cell r="K651" t="str">
            <v>Yes</v>
          </cell>
          <cell r="L651">
            <v>42979</v>
          </cell>
          <cell r="N651" t="str">
            <v>Halsi</v>
          </cell>
        </row>
        <row r="652">
          <cell r="B652">
            <v>10090005</v>
          </cell>
          <cell r="C652" t="str">
            <v>0005</v>
          </cell>
          <cell r="D652" t="str">
            <v>1109</v>
          </cell>
          <cell r="E652" t="str">
            <v>MPG</v>
          </cell>
          <cell r="F652" t="str">
            <v>Indirect</v>
          </cell>
          <cell r="G652" t="str">
            <v>PRATAPUR 2</v>
          </cell>
          <cell r="H652" t="str">
            <v>Rajesh Kumar</v>
          </cell>
          <cell r="I652">
            <v>9661900796</v>
          </cell>
          <cell r="J652" t="str">
            <v>100901</v>
          </cell>
          <cell r="K652" t="str">
            <v/>
          </cell>
          <cell r="L652">
            <v>42979</v>
          </cell>
          <cell r="N652" t="str">
            <v>Halsi</v>
          </cell>
        </row>
        <row r="653">
          <cell r="B653">
            <v>10090006</v>
          </cell>
          <cell r="C653" t="str">
            <v>0006</v>
          </cell>
          <cell r="D653" t="str">
            <v>1117</v>
          </cell>
          <cell r="E653" t="str">
            <v>MPG</v>
          </cell>
          <cell r="F653" t="str">
            <v>Direct</v>
          </cell>
          <cell r="G653" t="str">
            <v>BALLOPUR</v>
          </cell>
          <cell r="H653" t="str">
            <v>Jitendra Kumar</v>
          </cell>
          <cell r="I653">
            <v>9304189034</v>
          </cell>
          <cell r="J653" t="str">
            <v>100904</v>
          </cell>
          <cell r="K653" t="str">
            <v>Yes</v>
          </cell>
          <cell r="L653">
            <v>42979</v>
          </cell>
          <cell r="N653" t="str">
            <v>Halsi</v>
          </cell>
        </row>
        <row r="654">
          <cell r="B654">
            <v>10090007</v>
          </cell>
          <cell r="C654" t="str">
            <v>0007</v>
          </cell>
          <cell r="D654" t="str">
            <v>1139</v>
          </cell>
          <cell r="E654" t="str">
            <v>MPG</v>
          </cell>
          <cell r="F654" t="str">
            <v>Direct</v>
          </cell>
          <cell r="G654" t="str">
            <v>KHAIRMA</v>
          </cell>
          <cell r="H654" t="str">
            <v>Omkar Singh</v>
          </cell>
          <cell r="I654">
            <v>7739127357</v>
          </cell>
          <cell r="J654" t="str">
            <v>100903</v>
          </cell>
          <cell r="K654" t="str">
            <v>Yes</v>
          </cell>
          <cell r="L654">
            <v>42979</v>
          </cell>
          <cell r="N654" t="str">
            <v>Halsi</v>
          </cell>
        </row>
        <row r="655">
          <cell r="B655">
            <v>10090008</v>
          </cell>
          <cell r="C655" t="str">
            <v>0008</v>
          </cell>
          <cell r="D655" t="str">
            <v>1147</v>
          </cell>
          <cell r="E655" t="str">
            <v>MPG</v>
          </cell>
          <cell r="F655" t="str">
            <v>Direct</v>
          </cell>
          <cell r="G655" t="str">
            <v>MAHASONI</v>
          </cell>
          <cell r="H655" t="str">
            <v>Niranjan Kumar</v>
          </cell>
          <cell r="I655">
            <v>7250679190</v>
          </cell>
          <cell r="J655" t="str">
            <v>100903</v>
          </cell>
          <cell r="K655" t="str">
            <v>Yes</v>
          </cell>
          <cell r="L655">
            <v>42979</v>
          </cell>
          <cell r="N655" t="str">
            <v>Halsi</v>
          </cell>
        </row>
        <row r="656">
          <cell r="B656">
            <v>10090009</v>
          </cell>
          <cell r="C656" t="str">
            <v>0009</v>
          </cell>
          <cell r="D656" t="str">
            <v>1149</v>
          </cell>
          <cell r="E656" t="str">
            <v>MPG</v>
          </cell>
          <cell r="F656" t="str">
            <v>Direct</v>
          </cell>
          <cell r="G656" t="str">
            <v>SONDHI</v>
          </cell>
          <cell r="H656" t="str">
            <v>RANJIB PRASAD SINGH</v>
          </cell>
          <cell r="I656">
            <v>9934773781</v>
          </cell>
          <cell r="J656" t="str">
            <v>100903</v>
          </cell>
          <cell r="K656" t="str">
            <v>Yes</v>
          </cell>
          <cell r="L656">
            <v>42979</v>
          </cell>
          <cell r="N656" t="str">
            <v>Halsi</v>
          </cell>
        </row>
        <row r="657">
          <cell r="B657">
            <v>10090010</v>
          </cell>
          <cell r="C657" t="str">
            <v>0010</v>
          </cell>
          <cell r="D657" t="str">
            <v>1150</v>
          </cell>
          <cell r="E657" t="str">
            <v>MPG</v>
          </cell>
          <cell r="F657" t="str">
            <v>Indirect</v>
          </cell>
          <cell r="G657" t="str">
            <v>NANDNAMA</v>
          </cell>
          <cell r="H657" t="str">
            <v>Rahul Kumar</v>
          </cell>
          <cell r="I657">
            <v>6207091683</v>
          </cell>
          <cell r="J657" t="str">
            <v>100903</v>
          </cell>
          <cell r="K657" t="str">
            <v/>
          </cell>
          <cell r="L657">
            <v>42979</v>
          </cell>
          <cell r="N657" t="str">
            <v>Halsi</v>
          </cell>
        </row>
        <row r="658">
          <cell r="B658">
            <v>10090011</v>
          </cell>
          <cell r="C658" t="str">
            <v>0011</v>
          </cell>
          <cell r="D658" t="str">
            <v>1155</v>
          </cell>
          <cell r="E658" t="str">
            <v>MPG</v>
          </cell>
          <cell r="F658" t="str">
            <v>Indirect</v>
          </cell>
          <cell r="G658" t="str">
            <v>BELDARAYA</v>
          </cell>
          <cell r="H658" t="str">
            <v>Santosh Singh</v>
          </cell>
          <cell r="I658">
            <v>8298673130</v>
          </cell>
          <cell r="J658" t="str">
            <v>100901</v>
          </cell>
          <cell r="K658" t="str">
            <v/>
          </cell>
          <cell r="L658">
            <v>42979</v>
          </cell>
          <cell r="N658" t="str">
            <v>Halsi</v>
          </cell>
        </row>
        <row r="659">
          <cell r="B659">
            <v>10090012</v>
          </cell>
          <cell r="C659" t="str">
            <v>0012</v>
          </cell>
          <cell r="D659" t="str">
            <v>1267</v>
          </cell>
          <cell r="E659" t="str">
            <v>MPG</v>
          </cell>
          <cell r="F659" t="str">
            <v>Indirect</v>
          </cell>
          <cell r="G659" t="str">
            <v>Gomukh ID Aure-2</v>
          </cell>
          <cell r="H659" t="str">
            <v>Sikesh Kumar</v>
          </cell>
          <cell r="I659">
            <v>7004368405</v>
          </cell>
          <cell r="J659" t="str">
            <v>100904</v>
          </cell>
          <cell r="K659" t="str">
            <v/>
          </cell>
          <cell r="L659">
            <v>43071</v>
          </cell>
          <cell r="N659" t="str">
            <v>Halsi</v>
          </cell>
        </row>
        <row r="660">
          <cell r="B660">
            <v>10090013</v>
          </cell>
          <cell r="C660" t="str">
            <v>0013</v>
          </cell>
          <cell r="D660" t="str">
            <v>1266</v>
          </cell>
          <cell r="E660" t="str">
            <v>MPG</v>
          </cell>
          <cell r="F660" t="str">
            <v>Indirect</v>
          </cell>
          <cell r="G660" t="str">
            <v>Gomukh ID Aure</v>
          </cell>
          <cell r="H660" t="str">
            <v>Santosh Kumar</v>
          </cell>
          <cell r="I660">
            <v>9931854080</v>
          </cell>
          <cell r="J660" t="str">
            <v>100904</v>
          </cell>
          <cell r="K660" t="str">
            <v/>
          </cell>
          <cell r="L660">
            <v>43080</v>
          </cell>
          <cell r="N660" t="str">
            <v>Halsi</v>
          </cell>
        </row>
        <row r="661">
          <cell r="B661">
            <v>10090014</v>
          </cell>
          <cell r="C661" t="str">
            <v>0014</v>
          </cell>
          <cell r="D661" t="str">
            <v>1179</v>
          </cell>
          <cell r="E661" t="str">
            <v>MPG</v>
          </cell>
          <cell r="F661" t="str">
            <v>Indirect</v>
          </cell>
          <cell r="G661" t="str">
            <v>Gomukh Karma</v>
          </cell>
          <cell r="H661" t="str">
            <v>Rajeev Kumar</v>
          </cell>
          <cell r="I661">
            <v>6204328054</v>
          </cell>
          <cell r="J661" t="str">
            <v>100902</v>
          </cell>
          <cell r="K661" t="str">
            <v/>
          </cell>
          <cell r="L661">
            <v>43786</v>
          </cell>
          <cell r="N661" t="str">
            <v>Halsi</v>
          </cell>
        </row>
        <row r="662">
          <cell r="B662">
            <v>10090015</v>
          </cell>
          <cell r="C662" t="str">
            <v>0015</v>
          </cell>
          <cell r="D662" t="str">
            <v>1180</v>
          </cell>
          <cell r="E662" t="str">
            <v>MPG</v>
          </cell>
          <cell r="F662" t="str">
            <v>Indirect</v>
          </cell>
          <cell r="G662" t="str">
            <v>GOMUKH UKSI</v>
          </cell>
          <cell r="H662" t="str">
            <v>Rajendra yadav</v>
          </cell>
          <cell r="I662">
            <v>8287582594</v>
          </cell>
          <cell r="J662" t="str">
            <v>100904</v>
          </cell>
          <cell r="K662" t="str">
            <v/>
          </cell>
          <cell r="L662">
            <v>43789</v>
          </cell>
          <cell r="N662" t="str">
            <v>Halsi</v>
          </cell>
        </row>
        <row r="663">
          <cell r="B663">
            <v>10090016</v>
          </cell>
          <cell r="C663" t="str">
            <v>0016</v>
          </cell>
          <cell r="D663" t="str">
            <v>1183</v>
          </cell>
          <cell r="E663" t="str">
            <v>MPG</v>
          </cell>
          <cell r="F663" t="str">
            <v>Direct</v>
          </cell>
          <cell r="G663" t="str">
            <v>Gomukh Jahana</v>
          </cell>
          <cell r="H663" t="str">
            <v>Ranjeet Kumar</v>
          </cell>
          <cell r="I663">
            <v>9973419305</v>
          </cell>
          <cell r="J663" t="str">
            <v>100901</v>
          </cell>
          <cell r="K663" t="str">
            <v>Yes</v>
          </cell>
          <cell r="L663">
            <v>43862</v>
          </cell>
          <cell r="N663" t="str">
            <v>Halsi</v>
          </cell>
        </row>
        <row r="664">
          <cell r="B664">
            <v>10090017</v>
          </cell>
          <cell r="C664" t="str">
            <v>0017</v>
          </cell>
          <cell r="D664" t="str">
            <v>1268</v>
          </cell>
          <cell r="E664" t="str">
            <v>MPG</v>
          </cell>
          <cell r="F664" t="str">
            <v>Indirect</v>
          </cell>
          <cell r="G664" t="str">
            <v>Gomukh ID Halsi</v>
          </cell>
          <cell r="H664" t="str">
            <v>Govind Kumar</v>
          </cell>
          <cell r="I664">
            <v>9608112430</v>
          </cell>
          <cell r="J664" t="str">
            <v>100902</v>
          </cell>
          <cell r="K664" t="str">
            <v/>
          </cell>
          <cell r="L664">
            <v>44321</v>
          </cell>
          <cell r="N664" t="str">
            <v>Halsi</v>
          </cell>
        </row>
        <row r="665">
          <cell r="B665">
            <v>10090018</v>
          </cell>
          <cell r="C665" t="str">
            <v>0018</v>
          </cell>
          <cell r="D665" t="str">
            <v>1269</v>
          </cell>
          <cell r="E665" t="str">
            <v>MPG</v>
          </cell>
          <cell r="F665" t="str">
            <v>Indirect</v>
          </cell>
          <cell r="G665" t="str">
            <v>Gomukh ID Lalpur</v>
          </cell>
          <cell r="H665" t="str">
            <v>Pawan Kumar</v>
          </cell>
          <cell r="I665">
            <v>9608920028</v>
          </cell>
          <cell r="J665" t="str">
            <v>100901</v>
          </cell>
          <cell r="K665" t="str">
            <v/>
          </cell>
          <cell r="L665">
            <v>44361</v>
          </cell>
          <cell r="N665" t="str">
            <v>Halsi</v>
          </cell>
        </row>
        <row r="666">
          <cell r="B666">
            <v>10090019</v>
          </cell>
          <cell r="C666" t="str">
            <v>0019</v>
          </cell>
          <cell r="D666" t="str">
            <v>1270</v>
          </cell>
          <cell r="E666" t="str">
            <v>MPG</v>
          </cell>
          <cell r="F666" t="str">
            <v>Indirect</v>
          </cell>
          <cell r="G666" t="str">
            <v>Gomukh ID Madhu Dih</v>
          </cell>
          <cell r="H666" t="str">
            <v>Rakesh Kumar</v>
          </cell>
          <cell r="I666">
            <v>6200831328</v>
          </cell>
          <cell r="J666" t="str">
            <v>100904</v>
          </cell>
          <cell r="K666" t="str">
            <v/>
          </cell>
          <cell r="L666">
            <v>44436</v>
          </cell>
          <cell r="N666" t="str">
            <v>Halsi</v>
          </cell>
        </row>
        <row r="667">
          <cell r="B667">
            <v>10090020</v>
          </cell>
          <cell r="C667" t="str">
            <v>0020</v>
          </cell>
          <cell r="D667" t="str">
            <v>1189</v>
          </cell>
          <cell r="E667" t="str">
            <v>MPG</v>
          </cell>
          <cell r="F667" t="str">
            <v>Direct</v>
          </cell>
          <cell r="G667" t="str">
            <v>KHARAGWARA</v>
          </cell>
          <cell r="H667" t="str">
            <v>ASHA RANJAN</v>
          </cell>
          <cell r="I667">
            <v>9709348505</v>
          </cell>
          <cell r="J667" t="str">
            <v>100903</v>
          </cell>
          <cell r="K667" t="str">
            <v>Yes</v>
          </cell>
          <cell r="L667">
            <v>44671</v>
          </cell>
          <cell r="N667" t="str">
            <v>Halsi</v>
          </cell>
        </row>
        <row r="668">
          <cell r="B668">
            <v>10090021</v>
          </cell>
          <cell r="C668" t="str">
            <v>0021</v>
          </cell>
          <cell r="D668" t="str">
            <v>1191</v>
          </cell>
          <cell r="E668" t="str">
            <v>MPG</v>
          </cell>
          <cell r="F668" t="str">
            <v>Direct</v>
          </cell>
          <cell r="G668" t="str">
            <v>KHURIYARI</v>
          </cell>
          <cell r="H668" t="str">
            <v>MANTU KUMAR</v>
          </cell>
          <cell r="I668">
            <v>9142781103</v>
          </cell>
          <cell r="J668" t="str">
            <v>100901</v>
          </cell>
          <cell r="K668" t="str">
            <v>Yes</v>
          </cell>
          <cell r="L668">
            <v>44676</v>
          </cell>
          <cell r="N668" t="str">
            <v>Halsi</v>
          </cell>
        </row>
        <row r="669">
          <cell r="B669">
            <v>10090022</v>
          </cell>
          <cell r="C669" t="str">
            <v>0022</v>
          </cell>
          <cell r="D669" t="str">
            <v>1190</v>
          </cell>
          <cell r="E669" t="str">
            <v>MPG</v>
          </cell>
          <cell r="F669" t="str">
            <v>Indirect</v>
          </cell>
          <cell r="G669" t="str">
            <v>BISANPUR</v>
          </cell>
          <cell r="H669" t="str">
            <v>SANTOSH KUMAR</v>
          </cell>
          <cell r="I669">
            <v>9006583451</v>
          </cell>
          <cell r="J669" t="str">
            <v>100902</v>
          </cell>
          <cell r="K669" t="str">
            <v/>
          </cell>
          <cell r="L669">
            <v>44680</v>
          </cell>
          <cell r="N669" t="str">
            <v>Halsi</v>
          </cell>
        </row>
        <row r="670">
          <cell r="B670">
            <v>10090023</v>
          </cell>
          <cell r="C670" t="str">
            <v>0023</v>
          </cell>
          <cell r="D670" t="str">
            <v>1198</v>
          </cell>
          <cell r="E670" t="str">
            <v>MPG</v>
          </cell>
          <cell r="F670" t="str">
            <v>Direct</v>
          </cell>
          <cell r="G670" t="str">
            <v>TETARHAT</v>
          </cell>
          <cell r="H670" t="str">
            <v>RAVINDRA KUMAR</v>
          </cell>
          <cell r="I670">
            <v>0</v>
          </cell>
          <cell r="J670" t="str">
            <v>100903</v>
          </cell>
          <cell r="K670" t="str">
            <v>Yes</v>
          </cell>
          <cell r="L670">
            <v>44737</v>
          </cell>
          <cell r="N670" t="str">
            <v>Halsi</v>
          </cell>
        </row>
        <row r="671">
          <cell r="B671">
            <v>10090024</v>
          </cell>
          <cell r="C671" t="str">
            <v>0024</v>
          </cell>
          <cell r="D671" t="str">
            <v>1192</v>
          </cell>
          <cell r="E671" t="str">
            <v>MPG</v>
          </cell>
          <cell r="F671" t="str">
            <v>Indirect</v>
          </cell>
          <cell r="G671" t="str">
            <v>BEHRAMA</v>
          </cell>
          <cell r="H671" t="str">
            <v>MAHESH KUMAR SHARMA</v>
          </cell>
          <cell r="I671">
            <v>7667343183</v>
          </cell>
          <cell r="J671" t="str">
            <v>100903</v>
          </cell>
          <cell r="K671" t="str">
            <v>Yes</v>
          </cell>
          <cell r="L671">
            <v>44722</v>
          </cell>
          <cell r="N671" t="str">
            <v>Halsi</v>
          </cell>
        </row>
        <row r="672">
          <cell r="B672">
            <v>10090025</v>
          </cell>
          <cell r="C672" t="str">
            <v>0025</v>
          </cell>
          <cell r="D672" t="str">
            <v>1271</v>
          </cell>
          <cell r="E672" t="str">
            <v>MPG</v>
          </cell>
          <cell r="F672" t="str">
            <v>Indirect</v>
          </cell>
          <cell r="G672" t="str">
            <v>Gomukh ID Mathurapur</v>
          </cell>
          <cell r="H672" t="str">
            <v>Sukhdev Yadav</v>
          </cell>
          <cell r="I672">
            <v>9110165558</v>
          </cell>
          <cell r="J672" t="str">
            <v>100904</v>
          </cell>
          <cell r="K672" t="str">
            <v/>
          </cell>
          <cell r="L672">
            <v>44835</v>
          </cell>
          <cell r="N672" t="str">
            <v>Halsi</v>
          </cell>
        </row>
        <row r="673">
          <cell r="B673">
            <v>10090026</v>
          </cell>
          <cell r="C673" t="str">
            <v>0026</v>
          </cell>
          <cell r="D673" t="str">
            <v>1272</v>
          </cell>
          <cell r="E673" t="str">
            <v>MPG</v>
          </cell>
          <cell r="F673" t="str">
            <v>Indirect</v>
          </cell>
          <cell r="G673" t="str">
            <v>Gomukh ID Nawadih</v>
          </cell>
          <cell r="H673" t="str">
            <v>Sugadev Yadav</v>
          </cell>
          <cell r="I673">
            <v>9155631969</v>
          </cell>
          <cell r="J673" t="str">
            <v>100904</v>
          </cell>
          <cell r="K673" t="str">
            <v/>
          </cell>
          <cell r="L673">
            <v>44835</v>
          </cell>
          <cell r="N673" t="str">
            <v>Halsi</v>
          </cell>
        </row>
        <row r="674">
          <cell r="B674">
            <v>10090027</v>
          </cell>
          <cell r="C674" t="str">
            <v>0027</v>
          </cell>
          <cell r="D674" t="str">
            <v>1273</v>
          </cell>
          <cell r="E674" t="str">
            <v>MPG</v>
          </cell>
          <cell r="F674" t="str">
            <v>Indirect</v>
          </cell>
          <cell r="G674" t="str">
            <v>Gomukh ID Kurha Dih</v>
          </cell>
          <cell r="H674" t="str">
            <v>Hari Sankar Yadav</v>
          </cell>
          <cell r="I674">
            <v>7667620512</v>
          </cell>
          <cell r="J674" t="str">
            <v>100904</v>
          </cell>
          <cell r="K674" t="str">
            <v/>
          </cell>
          <cell r="L674">
            <v>44866</v>
          </cell>
          <cell r="N674" t="str">
            <v>Halsi</v>
          </cell>
        </row>
        <row r="675">
          <cell r="B675">
            <v>10090028</v>
          </cell>
          <cell r="C675" t="str">
            <v>0028</v>
          </cell>
          <cell r="D675" t="str">
            <v>1222</v>
          </cell>
          <cell r="E675" t="str">
            <v>MPG</v>
          </cell>
          <cell r="F675" t="str">
            <v>Direct</v>
          </cell>
          <cell r="G675" t="str">
            <v>KUMAR</v>
          </cell>
          <cell r="H675" t="str">
            <v>ANJALI DEVI</v>
          </cell>
          <cell r="I675">
            <v>8757868536</v>
          </cell>
          <cell r="J675" t="str">
            <v>100904</v>
          </cell>
          <cell r="K675" t="str">
            <v>Yes</v>
          </cell>
          <cell r="L675">
            <v>44946</v>
          </cell>
          <cell r="N675" t="str">
            <v>Halsi</v>
          </cell>
        </row>
        <row r="676">
          <cell r="B676">
            <v>10090029</v>
          </cell>
          <cell r="C676" t="str">
            <v>0029</v>
          </cell>
          <cell r="D676" t="str">
            <v>1220</v>
          </cell>
          <cell r="E676" t="str">
            <v>MPG</v>
          </cell>
          <cell r="F676" t="str">
            <v>Direct</v>
          </cell>
          <cell r="G676" t="str">
            <v>RAMNAGAR</v>
          </cell>
          <cell r="H676" t="str">
            <v>SUBHAS KUMAR</v>
          </cell>
          <cell r="I676">
            <v>9142528994</v>
          </cell>
          <cell r="J676" t="str">
            <v>100903</v>
          </cell>
          <cell r="K676" t="str">
            <v>Yes</v>
          </cell>
          <cell r="L676">
            <v>44967</v>
          </cell>
          <cell r="N676" t="str">
            <v>Halsi</v>
          </cell>
        </row>
        <row r="677">
          <cell r="B677">
            <v>10090030</v>
          </cell>
          <cell r="C677" t="str">
            <v>0030</v>
          </cell>
          <cell r="D677" t="str">
            <v>1223</v>
          </cell>
          <cell r="E677" t="str">
            <v>MPG</v>
          </cell>
          <cell r="F677" t="str">
            <v>Direct</v>
          </cell>
          <cell r="G677" t="str">
            <v>GUNSAGAR 1</v>
          </cell>
          <cell r="H677" t="str">
            <v>RAMASHIS KUMAR</v>
          </cell>
          <cell r="I677">
            <v>7739090727</v>
          </cell>
          <cell r="J677" t="str">
            <v>100903</v>
          </cell>
          <cell r="K677" t="str">
            <v>Yes</v>
          </cell>
          <cell r="L677">
            <v>44978</v>
          </cell>
          <cell r="N677" t="str">
            <v>Halsi</v>
          </cell>
        </row>
        <row r="678">
          <cell r="B678">
            <v>10090031</v>
          </cell>
          <cell r="C678" t="str">
            <v>0031</v>
          </cell>
          <cell r="D678" t="str">
            <v>1232</v>
          </cell>
          <cell r="E678" t="str">
            <v>MPG</v>
          </cell>
          <cell r="F678" t="str">
            <v>Direct</v>
          </cell>
          <cell r="G678" t="str">
            <v>BILLO</v>
          </cell>
          <cell r="H678" t="str">
            <v>SUDHEER KUMAR</v>
          </cell>
          <cell r="I678">
            <v>8405824768</v>
          </cell>
          <cell r="J678" t="str">
            <v>100901</v>
          </cell>
          <cell r="K678" t="str">
            <v>Yes</v>
          </cell>
          <cell r="L678">
            <v>44978</v>
          </cell>
          <cell r="N678" t="str">
            <v>Halsi</v>
          </cell>
        </row>
        <row r="679">
          <cell r="B679">
            <v>10090032</v>
          </cell>
          <cell r="C679" t="str">
            <v>0032</v>
          </cell>
          <cell r="D679" t="str">
            <v>1224</v>
          </cell>
          <cell r="E679" t="str">
            <v>MPG</v>
          </cell>
          <cell r="F679" t="str">
            <v>Direct</v>
          </cell>
          <cell r="G679" t="str">
            <v>DHARSANDA</v>
          </cell>
          <cell r="H679" t="str">
            <v>Rani Kumari</v>
          </cell>
          <cell r="I679">
            <v>7634064215</v>
          </cell>
          <cell r="J679" t="str">
            <v>100904</v>
          </cell>
          <cell r="K679" t="str">
            <v>Yes</v>
          </cell>
          <cell r="L679">
            <v>45000</v>
          </cell>
          <cell r="N679" t="str">
            <v>Halsi</v>
          </cell>
        </row>
        <row r="680">
          <cell r="B680">
            <v>10090033</v>
          </cell>
          <cell r="C680" t="str">
            <v>0033</v>
          </cell>
          <cell r="D680" t="str">
            <v>1239</v>
          </cell>
          <cell r="E680" t="str">
            <v>MPG</v>
          </cell>
          <cell r="F680" t="str">
            <v>Direct</v>
          </cell>
          <cell r="G680" t="str">
            <v>SANDH MAAF 2</v>
          </cell>
          <cell r="H680" t="str">
            <v>MANOJ YADAV</v>
          </cell>
          <cell r="I680">
            <v>7250181967</v>
          </cell>
          <cell r="J680" t="str">
            <v>100902</v>
          </cell>
          <cell r="K680" t="str">
            <v>Yes</v>
          </cell>
          <cell r="L680">
            <v>45009</v>
          </cell>
          <cell r="N680" t="str">
            <v>Halsi</v>
          </cell>
        </row>
        <row r="681">
          <cell r="B681">
            <v>10090034</v>
          </cell>
          <cell r="C681" t="str">
            <v>0034</v>
          </cell>
          <cell r="D681" t="str">
            <v>1240</v>
          </cell>
          <cell r="E681" t="str">
            <v>MPG</v>
          </cell>
          <cell r="F681" t="str">
            <v>Direct</v>
          </cell>
          <cell r="G681" t="str">
            <v xml:space="preserve">BHATTA                                                                                              </v>
          </cell>
          <cell r="H681" t="str">
            <v>NITISH KUMAR</v>
          </cell>
          <cell r="I681">
            <v>9631119211</v>
          </cell>
          <cell r="J681" t="str">
            <v>100902</v>
          </cell>
          <cell r="K681" t="str">
            <v>Yes</v>
          </cell>
          <cell r="L681">
            <v>45021</v>
          </cell>
          <cell r="N681" t="str">
            <v>Halsi</v>
          </cell>
        </row>
        <row r="682">
          <cell r="B682">
            <v>10090035</v>
          </cell>
          <cell r="C682" t="str">
            <v>0035</v>
          </cell>
          <cell r="D682" t="str">
            <v>1241</v>
          </cell>
          <cell r="E682" t="str">
            <v>MPG</v>
          </cell>
          <cell r="F682" t="str">
            <v>Direct</v>
          </cell>
          <cell r="G682" t="str">
            <v xml:space="preserve">SALAUNJA                                                                                            </v>
          </cell>
          <cell r="H682" t="str">
            <v>AWADH YADAV</v>
          </cell>
          <cell r="I682">
            <v>9523984409</v>
          </cell>
          <cell r="J682" t="str">
            <v>100903</v>
          </cell>
          <cell r="K682" t="str">
            <v>Yes</v>
          </cell>
          <cell r="L682">
            <v>45022</v>
          </cell>
          <cell r="N682" t="str">
            <v>Halsi</v>
          </cell>
        </row>
        <row r="683">
          <cell r="B683">
            <v>10090036</v>
          </cell>
          <cell r="C683" t="str">
            <v>0036</v>
          </cell>
          <cell r="D683" t="str">
            <v>1244</v>
          </cell>
          <cell r="E683" t="str">
            <v>MPG</v>
          </cell>
          <cell r="F683" t="str">
            <v>Direct</v>
          </cell>
          <cell r="G683" t="str">
            <v xml:space="preserve">TAAL-SHAHARSHA                                                                                      </v>
          </cell>
          <cell r="H683" t="str">
            <v>SUNIL YADAV</v>
          </cell>
          <cell r="I683">
            <v>9508274420</v>
          </cell>
          <cell r="J683" t="str">
            <v>100902</v>
          </cell>
          <cell r="K683" t="str">
            <v>Yes</v>
          </cell>
          <cell r="L683">
            <v>45052</v>
          </cell>
          <cell r="N683" t="str">
            <v>Halsi</v>
          </cell>
        </row>
        <row r="684">
          <cell r="B684">
            <v>10090037</v>
          </cell>
          <cell r="C684" t="str">
            <v>0037</v>
          </cell>
          <cell r="D684" t="str">
            <v>1217</v>
          </cell>
          <cell r="E684" t="str">
            <v>MPG</v>
          </cell>
          <cell r="F684" t="str">
            <v>Direct</v>
          </cell>
          <cell r="G684" t="str">
            <v>Dhira</v>
          </cell>
          <cell r="H684" t="str">
            <v>Dharmavir Singh</v>
          </cell>
          <cell r="I684">
            <v>6200497951</v>
          </cell>
          <cell r="J684" t="str">
            <v>100902</v>
          </cell>
          <cell r="K684" t="str">
            <v>Yes</v>
          </cell>
          <cell r="L684">
            <v>45078</v>
          </cell>
          <cell r="N684" t="str">
            <v>Halsi</v>
          </cell>
        </row>
        <row r="685">
          <cell r="B685">
            <v>10090038</v>
          </cell>
          <cell r="C685" t="str">
            <v>0038</v>
          </cell>
          <cell r="D685" t="str">
            <v>1253</v>
          </cell>
          <cell r="E685" t="str">
            <v>MPG</v>
          </cell>
          <cell r="F685" t="str">
            <v>Direct</v>
          </cell>
          <cell r="G685" t="str">
            <v>SARSA</v>
          </cell>
          <cell r="H685" t="str">
            <v>PRAVIN YADAV</v>
          </cell>
          <cell r="I685">
            <v>7250854205</v>
          </cell>
          <cell r="J685" t="str">
            <v>100904</v>
          </cell>
          <cell r="K685" t="str">
            <v/>
          </cell>
          <cell r="L685">
            <v>45108</v>
          </cell>
          <cell r="N685" t="str">
            <v>Halsi</v>
          </cell>
        </row>
        <row r="686">
          <cell r="B686">
            <v>10090039</v>
          </cell>
          <cell r="C686" t="str">
            <v>0039</v>
          </cell>
          <cell r="D686" t="str">
            <v>1250</v>
          </cell>
          <cell r="E686" t="str">
            <v>MPG</v>
          </cell>
          <cell r="F686" t="str">
            <v>Direct</v>
          </cell>
          <cell r="G686" t="str">
            <v>SHARMA</v>
          </cell>
          <cell r="H686" t="str">
            <v>VIPIN KUMAR</v>
          </cell>
          <cell r="I686">
            <v>9006630290</v>
          </cell>
          <cell r="J686" t="str">
            <v>100903</v>
          </cell>
          <cell r="K686" t="str">
            <v>Yes</v>
          </cell>
          <cell r="L686">
            <v>45110</v>
          </cell>
          <cell r="N686" t="str">
            <v>Halsi</v>
          </cell>
        </row>
        <row r="687">
          <cell r="B687">
            <v>10090040</v>
          </cell>
          <cell r="C687" t="str">
            <v>0040</v>
          </cell>
          <cell r="D687" t="str">
            <v>1251</v>
          </cell>
          <cell r="E687" t="str">
            <v>MPG</v>
          </cell>
          <cell r="F687" t="str">
            <v>Direct</v>
          </cell>
          <cell r="G687" t="str">
            <v>BARHARA</v>
          </cell>
          <cell r="H687" t="str">
            <v>KIRAN DEVI</v>
          </cell>
          <cell r="I687">
            <v>8051638678</v>
          </cell>
          <cell r="J687" t="str">
            <v>100901</v>
          </cell>
          <cell r="K687" t="str">
            <v>Yes</v>
          </cell>
          <cell r="L687">
            <v>45110</v>
          </cell>
          <cell r="N687" t="str">
            <v>Halsi</v>
          </cell>
        </row>
        <row r="688">
          <cell r="B688">
            <v>10090041</v>
          </cell>
          <cell r="C688" t="str">
            <v>0041</v>
          </cell>
          <cell r="D688" t="str">
            <v>1282</v>
          </cell>
          <cell r="E688" t="str">
            <v>MPG</v>
          </cell>
          <cell r="F688" t="str">
            <v>Indirect</v>
          </cell>
          <cell r="G688" t="str">
            <v>AZADNAGAR(VLC)</v>
          </cell>
          <cell r="H688" t="str">
            <v>SANJEET KUMAR</v>
          </cell>
          <cell r="I688">
            <v>6209755081</v>
          </cell>
          <cell r="J688" t="str">
            <v>100904</v>
          </cell>
          <cell r="K688" t="str">
            <v/>
          </cell>
          <cell r="L688">
            <v>45152</v>
          </cell>
          <cell r="N688" t="str">
            <v>Halsi</v>
          </cell>
        </row>
        <row r="689">
          <cell r="B689">
            <v>10090042</v>
          </cell>
          <cell r="C689" t="str">
            <v>0042</v>
          </cell>
          <cell r="D689" t="str">
            <v>1289</v>
          </cell>
          <cell r="E689" t="str">
            <v>MPG</v>
          </cell>
          <cell r="F689" t="str">
            <v>Direct</v>
          </cell>
          <cell r="G689" t="str">
            <v>REWAI</v>
          </cell>
          <cell r="H689" t="str">
            <v>RATANDEV KUMAR</v>
          </cell>
          <cell r="I689">
            <v>9113718491</v>
          </cell>
          <cell r="J689" t="str">
            <v>100904</v>
          </cell>
          <cell r="K689" t="str">
            <v>Yes</v>
          </cell>
          <cell r="L689">
            <v>44652</v>
          </cell>
          <cell r="N689" t="str">
            <v>Halsi</v>
          </cell>
        </row>
        <row r="690">
          <cell r="B690">
            <v>10090043</v>
          </cell>
          <cell r="C690" t="str">
            <v>0043</v>
          </cell>
          <cell r="D690" t="str">
            <v>1303</v>
          </cell>
          <cell r="E690" t="str">
            <v>MPG</v>
          </cell>
          <cell r="F690" t="str">
            <v>Direct</v>
          </cell>
          <cell r="G690" t="str">
            <v>BAKHIYA</v>
          </cell>
          <cell r="H690" t="str">
            <v>KARAMVEER KUMAR</v>
          </cell>
          <cell r="I690">
            <v>8294505337</v>
          </cell>
          <cell r="J690" t="str">
            <v>100901</v>
          </cell>
          <cell r="K690" t="str">
            <v>Yes</v>
          </cell>
          <cell r="L690">
            <v>45236</v>
          </cell>
          <cell r="N690" t="str">
            <v>Halsi</v>
          </cell>
        </row>
        <row r="691">
          <cell r="B691">
            <v>10090044</v>
          </cell>
          <cell r="C691" t="str">
            <v>0044</v>
          </cell>
          <cell r="D691" t="str">
            <v>1304</v>
          </cell>
          <cell r="E691" t="str">
            <v>MPG</v>
          </cell>
          <cell r="F691" t="str">
            <v>Direct</v>
          </cell>
          <cell r="G691" t="str">
            <v>JALAY</v>
          </cell>
          <cell r="H691" t="str">
            <v>RAMESH YADAV</v>
          </cell>
          <cell r="I691">
            <v>9771317817</v>
          </cell>
          <cell r="J691" t="str">
            <v>100902</v>
          </cell>
          <cell r="K691" t="str">
            <v>Yes</v>
          </cell>
          <cell r="L691">
            <v>45226</v>
          </cell>
          <cell r="N691" t="str">
            <v>Halsi</v>
          </cell>
        </row>
        <row r="692">
          <cell r="B692">
            <v>10090045</v>
          </cell>
          <cell r="C692" t="str">
            <v>0045</v>
          </cell>
          <cell r="D692" t="str">
            <v>1305</v>
          </cell>
          <cell r="E692" t="str">
            <v>MPG</v>
          </cell>
          <cell r="F692" t="str">
            <v>Direct</v>
          </cell>
          <cell r="G692" t="str">
            <v>MANJOS</v>
          </cell>
          <cell r="H692" t="str">
            <v>RUPESH KUMAR</v>
          </cell>
          <cell r="I692">
            <v>8877998701</v>
          </cell>
          <cell r="J692" t="str">
            <v>100902</v>
          </cell>
          <cell r="K692" t="str">
            <v>Yes</v>
          </cell>
          <cell r="L692">
            <v>45226</v>
          </cell>
          <cell r="N692" t="str">
            <v>Halsi</v>
          </cell>
        </row>
        <row r="693">
          <cell r="B693">
            <v>10090046</v>
          </cell>
          <cell r="C693" t="str">
            <v>0046</v>
          </cell>
          <cell r="D693" t="str">
            <v>1306</v>
          </cell>
          <cell r="E693" t="str">
            <v>MPG</v>
          </cell>
          <cell r="F693" t="str">
            <v>Direct</v>
          </cell>
          <cell r="G693" t="str">
            <v>RATA</v>
          </cell>
          <cell r="H693" t="str">
            <v>SURENDRA YADAV</v>
          </cell>
          <cell r="I693">
            <v>8084748424</v>
          </cell>
          <cell r="J693" t="str">
            <v>100903</v>
          </cell>
          <cell r="K693" t="str">
            <v>Yes</v>
          </cell>
          <cell r="L693">
            <v>45226</v>
          </cell>
          <cell r="N693" t="str">
            <v>Halsi</v>
          </cell>
        </row>
        <row r="694">
          <cell r="B694">
            <v>10090047</v>
          </cell>
          <cell r="C694" t="str">
            <v>0047</v>
          </cell>
          <cell r="D694" t="str">
            <v>1307</v>
          </cell>
          <cell r="E694" t="str">
            <v>MPG</v>
          </cell>
          <cell r="F694" t="str">
            <v>Direct</v>
          </cell>
          <cell r="G694" t="str">
            <v>BARUI</v>
          </cell>
          <cell r="H694" t="str">
            <v>SANOJ KUMAR</v>
          </cell>
          <cell r="I694">
            <v>8825331739</v>
          </cell>
          <cell r="J694" t="str">
            <v>100903</v>
          </cell>
          <cell r="K694" t="str">
            <v>Yes</v>
          </cell>
          <cell r="L694">
            <v>45219</v>
          </cell>
          <cell r="N694" t="str">
            <v>Halsi</v>
          </cell>
        </row>
        <row r="695">
          <cell r="B695">
            <v>10090048</v>
          </cell>
          <cell r="C695" t="str">
            <v>0048</v>
          </cell>
          <cell r="D695" t="str">
            <v>1287</v>
          </cell>
          <cell r="E695" t="str">
            <v>MPG</v>
          </cell>
          <cell r="F695" t="str">
            <v>Direct</v>
          </cell>
          <cell r="G695" t="str">
            <v xml:space="preserve">NOMA                                                                                                </v>
          </cell>
          <cell r="H695" t="str">
            <v>ANIL KUMAR</v>
          </cell>
          <cell r="I695">
            <v>9939793771</v>
          </cell>
          <cell r="J695" t="str">
            <v>100901</v>
          </cell>
          <cell r="K695" t="str">
            <v>Yes</v>
          </cell>
          <cell r="L695">
            <v>45198</v>
          </cell>
          <cell r="N695" t="str">
            <v>Halsi</v>
          </cell>
        </row>
        <row r="696">
          <cell r="B696">
            <v>10090049</v>
          </cell>
          <cell r="C696" t="str">
            <v>0049</v>
          </cell>
          <cell r="D696" t="str">
            <v>1288</v>
          </cell>
          <cell r="E696" t="str">
            <v>MPG</v>
          </cell>
          <cell r="F696" t="str">
            <v>Direct</v>
          </cell>
          <cell r="G696" t="str">
            <v>LAHUARA                                                                                             </v>
          </cell>
          <cell r="H696" t="str">
            <v>BIPIN KUMAR</v>
          </cell>
          <cell r="I696">
            <v>9905233149</v>
          </cell>
          <cell r="J696" t="str">
            <v>100901</v>
          </cell>
          <cell r="K696" t="str">
            <v>Yes</v>
          </cell>
          <cell r="L696">
            <v>45198</v>
          </cell>
          <cell r="N696" t="str">
            <v>Halsi</v>
          </cell>
        </row>
        <row r="697">
          <cell r="B697">
            <v>10090050</v>
          </cell>
          <cell r="C697" t="str">
            <v>0050</v>
          </cell>
          <cell r="D697" t="str">
            <v>1290</v>
          </cell>
          <cell r="E697" t="str">
            <v>MPG</v>
          </cell>
          <cell r="F697" t="str">
            <v>Direct</v>
          </cell>
          <cell r="G697" t="str">
            <v xml:space="preserve">KHEVSAR                                                                                             </v>
          </cell>
          <cell r="H697" t="str">
            <v>BIPIN YADAV</v>
          </cell>
          <cell r="I697">
            <v>7004849718</v>
          </cell>
          <cell r="J697" t="str">
            <v>100902</v>
          </cell>
          <cell r="K697" t="str">
            <v>Yes</v>
          </cell>
          <cell r="L697">
            <v>45205</v>
          </cell>
          <cell r="N697" t="str">
            <v>Halsi</v>
          </cell>
        </row>
        <row r="698">
          <cell r="B698">
            <v>10090051</v>
          </cell>
          <cell r="C698" t="str">
            <v>0051</v>
          </cell>
          <cell r="D698" t="str">
            <v>1320</v>
          </cell>
          <cell r="E698" t="str">
            <v>MPG</v>
          </cell>
          <cell r="F698" t="str">
            <v>Direct</v>
          </cell>
          <cell r="G698" t="str">
            <v>MANPUR</v>
          </cell>
          <cell r="H698" t="str">
            <v>SOHAN KUMAR</v>
          </cell>
          <cell r="I698">
            <v>6203805848</v>
          </cell>
          <cell r="J698" t="str">
            <v>100902</v>
          </cell>
          <cell r="K698" t="str">
            <v>Yes</v>
          </cell>
          <cell r="L698">
            <v>45323</v>
          </cell>
          <cell r="N698" t="str">
            <v>Halsi</v>
          </cell>
        </row>
        <row r="699">
          <cell r="B699">
            <v>10090052</v>
          </cell>
          <cell r="C699" t="str">
            <v>0052</v>
          </cell>
          <cell r="D699" t="str">
            <v>1321</v>
          </cell>
          <cell r="E699" t="str">
            <v>MPG</v>
          </cell>
          <cell r="F699" t="str">
            <v>Direct</v>
          </cell>
          <cell r="G699" t="str">
            <v>LACHHUAR</v>
          </cell>
          <cell r="H699" t="str">
            <v>VIJENDRA KUMAR CHAUDHARY</v>
          </cell>
          <cell r="I699">
            <v>7360953700</v>
          </cell>
          <cell r="J699" t="str">
            <v>100904</v>
          </cell>
          <cell r="K699" t="str">
            <v>Yes</v>
          </cell>
          <cell r="L699">
            <v>45323</v>
          </cell>
          <cell r="N699" t="str">
            <v>Halsi</v>
          </cell>
        </row>
        <row r="700">
          <cell r="B700">
            <v>10090053</v>
          </cell>
          <cell r="C700" t="str">
            <v>0053</v>
          </cell>
          <cell r="D700" t="str">
            <v>1142</v>
          </cell>
          <cell r="E700" t="str">
            <v>MPG</v>
          </cell>
          <cell r="F700" t="str">
            <v>Indirect</v>
          </cell>
          <cell r="G700" t="str">
            <v>Sharma(New)</v>
          </cell>
          <cell r="H700"/>
          <cell r="I700"/>
          <cell r="J700" t="str">
            <v>100903</v>
          </cell>
          <cell r="K700"/>
          <cell r="L700">
            <v>42979</v>
          </cell>
          <cell r="N700" t="str">
            <v>Halsi</v>
          </cell>
        </row>
        <row r="701">
          <cell r="B701">
            <v>10090054</v>
          </cell>
          <cell r="C701" t="str">
            <v>0054</v>
          </cell>
          <cell r="D701"/>
          <cell r="E701" t="str">
            <v>MPG</v>
          </cell>
          <cell r="F701" t="str">
            <v>Direct</v>
          </cell>
          <cell r="G701" t="str">
            <v>NANDNAMA-2</v>
          </cell>
          <cell r="H701" t="str">
            <v>HARE KRISHNA KUMAR</v>
          </cell>
          <cell r="I701">
            <v>7903481057</v>
          </cell>
          <cell r="J701" t="str">
            <v>100904</v>
          </cell>
          <cell r="K701"/>
          <cell r="L701">
            <v>45477</v>
          </cell>
          <cell r="N701" t="str">
            <v>Halsi</v>
          </cell>
        </row>
        <row r="702">
          <cell r="B702">
            <v>10090055</v>
          </cell>
          <cell r="C702" t="str">
            <v>0055</v>
          </cell>
          <cell r="D702"/>
          <cell r="E702" t="str">
            <v>MPG</v>
          </cell>
          <cell r="F702" t="str">
            <v>Indirect</v>
          </cell>
          <cell r="G702" t="str">
            <v>RAMDIH Ajit Kumar</v>
          </cell>
          <cell r="H702" t="str">
            <v>AJIT KUMAR</v>
          </cell>
          <cell r="I702">
            <v>9572082701</v>
          </cell>
          <cell r="J702" t="str">
            <v>100904</v>
          </cell>
          <cell r="K702"/>
          <cell r="L702">
            <v>45587</v>
          </cell>
          <cell r="N702" t="str">
            <v>Halsi</v>
          </cell>
        </row>
        <row r="703">
          <cell r="B703">
            <v>10090056</v>
          </cell>
          <cell r="C703" t="str">
            <v>0056</v>
          </cell>
          <cell r="D703"/>
          <cell r="E703" t="str">
            <v>MPG</v>
          </cell>
          <cell r="F703" t="str">
            <v>Direct</v>
          </cell>
          <cell r="G703" t="str">
            <v>NARAYANPUR</v>
          </cell>
          <cell r="H703" t="str">
            <v>PRABHAT KUMAR</v>
          </cell>
          <cell r="I703">
            <v>9973487977</v>
          </cell>
          <cell r="J703" t="str">
            <v>100904</v>
          </cell>
          <cell r="K703"/>
          <cell r="L703">
            <v>45594</v>
          </cell>
          <cell r="N703" t="str">
            <v>Halsi</v>
          </cell>
        </row>
        <row r="704">
          <cell r="B704">
            <v>10090057</v>
          </cell>
          <cell r="C704" t="str">
            <v>0057</v>
          </cell>
          <cell r="D704"/>
          <cell r="E704" t="str">
            <v>MPG</v>
          </cell>
          <cell r="F704" t="str">
            <v>Direct</v>
          </cell>
          <cell r="G704" t="str">
            <v>BELLORI</v>
          </cell>
          <cell r="H704" t="str">
            <v>RANJEET KUMAR YADAV</v>
          </cell>
          <cell r="I704" t="str">
            <v>7739036729</v>
          </cell>
          <cell r="J704" t="str">
            <v>100901</v>
          </cell>
          <cell r="K704"/>
          <cell r="L704">
            <v>45679</v>
          </cell>
          <cell r="N704" t="str">
            <v>Halsi</v>
          </cell>
        </row>
        <row r="705">
          <cell r="B705">
            <v>10090058</v>
          </cell>
          <cell r="C705" t="str">
            <v>0058</v>
          </cell>
          <cell r="D705"/>
          <cell r="E705" t="str">
            <v>MPG</v>
          </cell>
          <cell r="F705" t="str">
            <v>Direct</v>
          </cell>
          <cell r="G705" t="str">
            <v>NAWKADIH</v>
          </cell>
          <cell r="H705" t="str">
            <v>ARVIND YADAV</v>
          </cell>
          <cell r="I705" t="str">
            <v>8521838981</v>
          </cell>
          <cell r="J705" t="str">
            <v>100901</v>
          </cell>
          <cell r="K705"/>
          <cell r="L705">
            <v>45679</v>
          </cell>
          <cell r="N705" t="str">
            <v>Halsi</v>
          </cell>
        </row>
        <row r="706">
          <cell r="B706">
            <v>10090059</v>
          </cell>
          <cell r="C706" t="str">
            <v>0059</v>
          </cell>
          <cell r="D706"/>
          <cell r="E706" t="str">
            <v>MPG</v>
          </cell>
          <cell r="F706" t="str">
            <v>Direct</v>
          </cell>
          <cell r="G706" t="str">
            <v>CHOTAHA</v>
          </cell>
          <cell r="H706" t="str">
            <v>CHANDAN KUMAR</v>
          </cell>
          <cell r="I706" t="str">
            <v>9155379132</v>
          </cell>
          <cell r="J706" t="str">
            <v>100901</v>
          </cell>
          <cell r="K706"/>
          <cell r="L706">
            <v>45679</v>
          </cell>
          <cell r="N706" t="str">
            <v>Halsi</v>
          </cell>
        </row>
        <row r="707">
          <cell r="B707">
            <v>10090060</v>
          </cell>
          <cell r="C707" t="str">
            <v>0060</v>
          </cell>
          <cell r="D707"/>
          <cell r="E707" t="str">
            <v>MPG</v>
          </cell>
          <cell r="F707" t="str">
            <v>Direct</v>
          </cell>
          <cell r="G707" t="str">
            <v xml:space="preserve">KHARAGWADA </v>
          </cell>
          <cell r="H707" t="str">
            <v>PULKIT KUMAR YADAV</v>
          </cell>
          <cell r="I707" t="str">
            <v>7635096231</v>
          </cell>
          <cell r="J707" t="str">
            <v>100901</v>
          </cell>
          <cell r="K707"/>
          <cell r="L707">
            <v>45679</v>
          </cell>
          <cell r="N707" t="str">
            <v>Halsi</v>
          </cell>
        </row>
        <row r="708">
          <cell r="B708">
            <v>10090061</v>
          </cell>
          <cell r="C708" t="str">
            <v>0061</v>
          </cell>
          <cell r="D708"/>
          <cell r="E708" t="str">
            <v>MPG</v>
          </cell>
          <cell r="F708" t="str">
            <v>Direct</v>
          </cell>
          <cell r="G708" t="str">
            <v>UFFAPUR</v>
          </cell>
          <cell r="H708" t="str">
            <v>KUNDAN KUMAR</v>
          </cell>
          <cell r="I708" t="str">
            <v>9693572126</v>
          </cell>
          <cell r="J708" t="str">
            <v>100901</v>
          </cell>
          <cell r="K708"/>
          <cell r="L708">
            <v>45679</v>
          </cell>
          <cell r="N708" t="str">
            <v>Halsi</v>
          </cell>
        </row>
        <row r="709">
          <cell r="B709">
            <v>10090062</v>
          </cell>
          <cell r="C709" t="str">
            <v>0062</v>
          </cell>
          <cell r="D709"/>
          <cell r="E709" t="str">
            <v>MPG</v>
          </cell>
          <cell r="F709" t="str">
            <v>Direct</v>
          </cell>
          <cell r="G709" t="str">
            <v>SAITHNAN</v>
          </cell>
          <cell r="H709" t="str">
            <v>AMARNATH KASYAP</v>
          </cell>
          <cell r="I709">
            <v>7991104224</v>
          </cell>
          <cell r="J709" t="str">
            <v>100901</v>
          </cell>
          <cell r="K709"/>
          <cell r="L709">
            <v>45734</v>
          </cell>
          <cell r="N709" t="str">
            <v>Halsi</v>
          </cell>
        </row>
        <row r="710">
          <cell r="B710">
            <v>10090063</v>
          </cell>
          <cell r="C710" t="str">
            <v>0063</v>
          </cell>
          <cell r="D710"/>
          <cell r="E710" t="str">
            <v>MPG</v>
          </cell>
          <cell r="F710" t="str">
            <v>Direct</v>
          </cell>
          <cell r="G710" t="str">
            <v>BIHRAURA</v>
          </cell>
          <cell r="H710" t="str">
            <v>SUNIL YADAV</v>
          </cell>
          <cell r="I710" t="str">
            <v>8789131464</v>
          </cell>
          <cell r="J710" t="str">
            <v>100901</v>
          </cell>
          <cell r="K710"/>
          <cell r="L710">
            <v>45734</v>
          </cell>
          <cell r="N710" t="str">
            <v>Halsi</v>
          </cell>
        </row>
        <row r="711">
          <cell r="B711">
            <v>10090064</v>
          </cell>
          <cell r="C711" t="str">
            <v>0064</v>
          </cell>
          <cell r="D711"/>
          <cell r="E711" t="str">
            <v>MPG</v>
          </cell>
          <cell r="F711" t="str">
            <v>Direct</v>
          </cell>
          <cell r="G711" t="str">
            <v>SHIJHORI</v>
          </cell>
          <cell r="H711" t="str">
            <v>RANJAN KUMAR SHARMA</v>
          </cell>
          <cell r="I711" t="str">
            <v>7061352566</v>
          </cell>
          <cell r="J711" t="str">
            <v>100901</v>
          </cell>
          <cell r="K711"/>
          <cell r="L711">
            <v>45748</v>
          </cell>
          <cell r="N711" t="str">
            <v>Halsi</v>
          </cell>
        </row>
        <row r="712">
          <cell r="B712">
            <v>10090065</v>
          </cell>
          <cell r="C712" t="str">
            <v>0065</v>
          </cell>
          <cell r="D712"/>
          <cell r="E712" t="str">
            <v>MPG</v>
          </cell>
          <cell r="F712" t="str">
            <v>Direct</v>
          </cell>
          <cell r="G712" t="str">
            <v>GOWAR NAGAR</v>
          </cell>
          <cell r="H712" t="str">
            <v>RAM PRAVESH YADAV</v>
          </cell>
          <cell r="I712" t="str">
            <v>9709965750</v>
          </cell>
          <cell r="J712" t="str">
            <v>100904</v>
          </cell>
          <cell r="K712"/>
          <cell r="L712">
            <v>45784</v>
          </cell>
          <cell r="N712" t="str">
            <v>Halsi</v>
          </cell>
        </row>
        <row r="713">
          <cell r="B713">
            <v>10090066</v>
          </cell>
          <cell r="C713" t="str">
            <v>0066</v>
          </cell>
          <cell r="D713"/>
          <cell r="E713" t="str">
            <v>MPG</v>
          </cell>
          <cell r="F713" t="str">
            <v>Direct</v>
          </cell>
          <cell r="G713" t="str">
            <v>KRAUTA</v>
          </cell>
          <cell r="H713" t="str">
            <v>BANWARI MAHTO</v>
          </cell>
          <cell r="I713"/>
          <cell r="J713" t="str">
            <v>100901</v>
          </cell>
          <cell r="K713"/>
          <cell r="L713">
            <v>45842</v>
          </cell>
          <cell r="N713" t="str">
            <v>Halsi</v>
          </cell>
        </row>
        <row r="714">
          <cell r="B714">
            <v>10090067</v>
          </cell>
          <cell r="C714" t="str">
            <v>0067</v>
          </cell>
          <cell r="D714"/>
          <cell r="E714" t="str">
            <v>MPG</v>
          </cell>
          <cell r="F714" t="str">
            <v>Direct</v>
          </cell>
          <cell r="G714" t="str">
            <v>KHEVSAR2</v>
          </cell>
          <cell r="H714" t="str">
            <v>SARYUG YADAV</v>
          </cell>
          <cell r="I714"/>
          <cell r="J714" t="str">
            <v>100901</v>
          </cell>
          <cell r="K714"/>
          <cell r="L714">
            <v>45842</v>
          </cell>
          <cell r="N714" t="str">
            <v>Halsi</v>
          </cell>
        </row>
        <row r="715">
          <cell r="B715">
            <v>10090068</v>
          </cell>
          <cell r="C715" t="str">
            <v>0068</v>
          </cell>
          <cell r="D715"/>
          <cell r="E715" t="str">
            <v>MPG</v>
          </cell>
          <cell r="F715" t="str">
            <v>Indirect</v>
          </cell>
          <cell r="G715" t="str">
            <v>GOMUKH PRATAPUR</v>
          </cell>
          <cell r="H715" t="str">
            <v>GOPAL YADAV</v>
          </cell>
          <cell r="I715" t="str">
            <v>8757986977</v>
          </cell>
          <cell r="J715" t="str">
            <v>100901</v>
          </cell>
          <cell r="K715"/>
          <cell r="L715">
            <v>45868</v>
          </cell>
          <cell r="N715" t="str">
            <v>Halsi</v>
          </cell>
        </row>
        <row r="716">
          <cell r="B716">
            <v>10090069</v>
          </cell>
          <cell r="C716" t="str">
            <v>0069</v>
          </cell>
          <cell r="D716"/>
          <cell r="E716" t="str">
            <v>MPG</v>
          </cell>
          <cell r="F716" t="str">
            <v>Indirect</v>
          </cell>
          <cell r="G716" t="str">
            <v>MAHMADPUR VL</v>
          </cell>
          <cell r="H716" t="str">
            <v>ARUN KUMAR</v>
          </cell>
          <cell r="I716">
            <v>9504393172</v>
          </cell>
          <cell r="J716" t="str">
            <v>100901</v>
          </cell>
          <cell r="K716"/>
          <cell r="L716">
            <v>45890</v>
          </cell>
          <cell r="N716" t="str">
            <v>Halsi</v>
          </cell>
        </row>
        <row r="717">
          <cell r="B717">
            <v>10090070</v>
          </cell>
          <cell r="C717" t="str">
            <v>0070</v>
          </cell>
          <cell r="D717"/>
          <cell r="E717" t="str">
            <v>MPG</v>
          </cell>
          <cell r="F717" t="str">
            <v>Indirect</v>
          </cell>
          <cell r="G717" t="str">
            <v>PRATAPUR P</v>
          </cell>
          <cell r="H717" t="str">
            <v>SUBHENDU BHASKAR</v>
          </cell>
          <cell r="I717">
            <v>9504393173</v>
          </cell>
          <cell r="J717" t="str">
            <v>100901</v>
          </cell>
          <cell r="K717"/>
          <cell r="L717">
            <v>45890</v>
          </cell>
          <cell r="N717" t="str">
            <v>Halsi</v>
          </cell>
        </row>
        <row r="718">
          <cell r="B718">
            <v>10090071</v>
          </cell>
          <cell r="C718" t="str">
            <v>0071</v>
          </cell>
          <cell r="D718"/>
          <cell r="E718" t="str">
            <v>MPG</v>
          </cell>
          <cell r="F718" t="str">
            <v>Indirect</v>
          </cell>
          <cell r="G718" t="str">
            <v xml:space="preserve">DHIRA  </v>
          </cell>
          <cell r="H718" t="str">
            <v>LALU KUMAR</v>
          </cell>
          <cell r="I718" t="str">
            <v>7857897856</v>
          </cell>
          <cell r="J718" t="str">
            <v>100901</v>
          </cell>
          <cell r="K718"/>
          <cell r="L718">
            <v>45904</v>
          </cell>
          <cell r="N718" t="str">
            <v>Halsi</v>
          </cell>
        </row>
        <row r="719">
          <cell r="B719">
            <v>10090072</v>
          </cell>
          <cell r="C719" t="str">
            <v>0072</v>
          </cell>
          <cell r="D719"/>
          <cell r="E719" t="str">
            <v>MPG</v>
          </cell>
          <cell r="F719" t="str">
            <v>Direct</v>
          </cell>
          <cell r="G719" t="str">
            <v>BOUDHNAGAR</v>
          </cell>
          <cell r="H719" t="str">
            <v>RAVI KANT SHEKHAR SINGH</v>
          </cell>
          <cell r="I719" t="str">
            <v>9110914238</v>
          </cell>
          <cell r="J719" t="str">
            <v>100901</v>
          </cell>
          <cell r="K719"/>
          <cell r="L719">
            <v>45961</v>
          </cell>
          <cell r="N719" t="str">
            <v>Halsi</v>
          </cell>
        </row>
        <row r="720">
          <cell r="B720">
            <v>10090073</v>
          </cell>
          <cell r="C720" t="str">
            <v>0073</v>
          </cell>
          <cell r="D720"/>
          <cell r="E720" t="str">
            <v>MPG</v>
          </cell>
          <cell r="F720" t="str">
            <v>Indirect</v>
          </cell>
          <cell r="G720" t="str">
            <v>GOMUKH GERUA</v>
          </cell>
          <cell r="H720" t="str">
            <v>RAJ KUMAR SINGH</v>
          </cell>
          <cell r="I720">
            <v>7369800902</v>
          </cell>
          <cell r="J720" t="str">
            <v>100901</v>
          </cell>
          <cell r="K720"/>
          <cell r="L720">
            <v>46006</v>
          </cell>
          <cell r="N720" t="str">
            <v>Halsi</v>
          </cell>
        </row>
        <row r="721">
          <cell r="B721">
            <v>10090074</v>
          </cell>
          <cell r="C721" t="str">
            <v>0074</v>
          </cell>
          <cell r="D721"/>
          <cell r="E721" t="str">
            <v>MPG</v>
          </cell>
          <cell r="F721" t="str">
            <v>Direct</v>
          </cell>
          <cell r="G721" t="str">
            <v>MOHADDINGAR</v>
          </cell>
          <cell r="H721" t="str">
            <v>RANJIT RJAK</v>
          </cell>
          <cell r="I721">
            <v>9661318245</v>
          </cell>
          <cell r="J721" t="str">
            <v>100904</v>
          </cell>
          <cell r="K721"/>
          <cell r="L721">
            <v>46015</v>
          </cell>
          <cell r="N721" t="str">
            <v>Halsi</v>
          </cell>
        </row>
        <row r="722">
          <cell r="B722">
            <v>10090075</v>
          </cell>
          <cell r="C722" t="str">
            <v>0075</v>
          </cell>
          <cell r="D722"/>
          <cell r="E722" t="str">
            <v>MPG</v>
          </cell>
          <cell r="F722" t="str">
            <v>Direct</v>
          </cell>
          <cell r="G722" t="str">
            <v>PACHAUTA</v>
          </cell>
          <cell r="H722" t="str">
            <v>RANVIR KUMAR</v>
          </cell>
          <cell r="I722">
            <v>8789010121</v>
          </cell>
          <cell r="J722" t="str">
            <v>100904</v>
          </cell>
          <cell r="K722"/>
          <cell r="L722">
            <v>46015</v>
          </cell>
          <cell r="N722" t="str">
            <v>Halsi</v>
          </cell>
        </row>
        <row r="723">
          <cell r="B723">
            <v>10090076</v>
          </cell>
          <cell r="C723" t="str">
            <v>0076</v>
          </cell>
          <cell r="D723"/>
          <cell r="E723" t="str">
            <v>MPG</v>
          </cell>
          <cell r="F723" t="str">
            <v>Indirect</v>
          </cell>
          <cell r="G723" t="str">
            <v>Gomukh Champa</v>
          </cell>
          <cell r="H723" t="str">
            <v>NITESH KUMAR</v>
          </cell>
          <cell r="I723">
            <v>6200523717</v>
          </cell>
          <cell r="J723" t="str">
            <v>100904</v>
          </cell>
          <cell r="K723"/>
          <cell r="L723">
            <v>46038</v>
          </cell>
          <cell r="N723" t="str">
            <v>Halsi</v>
          </cell>
        </row>
        <row r="724">
          <cell r="B724">
            <v>10090077</v>
          </cell>
          <cell r="C724" t="str">
            <v>0077</v>
          </cell>
          <cell r="D724"/>
          <cell r="E724" t="str">
            <v>MPG</v>
          </cell>
          <cell r="F724" t="str">
            <v>Indirect</v>
          </cell>
          <cell r="G724" t="str">
            <v>GOMUKH DAKRA</v>
          </cell>
          <cell r="H724" t="str">
            <v>DILKHUSH KUMAR</v>
          </cell>
          <cell r="I724">
            <v>9955455149</v>
          </cell>
          <cell r="J724" t="str">
            <v>100904</v>
          </cell>
          <cell r="K724"/>
          <cell r="L724">
            <v>46038</v>
          </cell>
          <cell r="N724" t="str">
            <v>Halsi</v>
          </cell>
        </row>
        <row r="725">
          <cell r="B725">
            <v>10090078</v>
          </cell>
          <cell r="C725" t="str">
            <v>0078</v>
          </cell>
          <cell r="D725"/>
          <cell r="E725" t="str">
            <v>MPG</v>
          </cell>
          <cell r="F725" t="str">
            <v>Direct</v>
          </cell>
          <cell r="G725" t="str">
            <v>TIYAY</v>
          </cell>
          <cell r="H725" t="str">
            <v>AKHILESH MAHTO</v>
          </cell>
          <cell r="I725">
            <v>9199401068</v>
          </cell>
          <cell r="J725" t="str">
            <v>100904</v>
          </cell>
          <cell r="K725"/>
          <cell r="L725">
            <v>46043</v>
          </cell>
          <cell r="N725" t="str">
            <v>Halsi</v>
          </cell>
        </row>
        <row r="726">
          <cell r="B726">
            <v>10100001</v>
          </cell>
          <cell r="C726" t="str">
            <v>0001</v>
          </cell>
          <cell r="D726" t="str">
            <v>8520</v>
          </cell>
          <cell r="E726" t="str">
            <v>MPG</v>
          </cell>
          <cell r="F726" t="str">
            <v>Direct</v>
          </cell>
          <cell r="G726" t="str">
            <v>Vishan pur</v>
          </cell>
          <cell r="H726" t="str">
            <v>Pappu Singh</v>
          </cell>
          <cell r="I726">
            <v>8541021296</v>
          </cell>
          <cell r="J726" t="str">
            <v>101002</v>
          </cell>
          <cell r="K726" t="str">
            <v>Yes</v>
          </cell>
          <cell r="L726">
            <v>43020</v>
          </cell>
          <cell r="N726" t="str">
            <v>Parbatta</v>
          </cell>
        </row>
        <row r="727">
          <cell r="B727">
            <v>10100002</v>
          </cell>
          <cell r="C727" t="str">
            <v>0002</v>
          </cell>
          <cell r="D727" t="str">
            <v>8570</v>
          </cell>
          <cell r="E727" t="str">
            <v>MPG</v>
          </cell>
          <cell r="F727" t="str">
            <v>Direct</v>
          </cell>
          <cell r="G727" t="str">
            <v>KAEWLA PURVI TOLA GOMUKH</v>
          </cell>
          <cell r="H727" t="str">
            <v>Navin Kumar Roy</v>
          </cell>
          <cell r="I727">
            <v>6207508014</v>
          </cell>
          <cell r="J727" t="str">
            <v>101002</v>
          </cell>
          <cell r="K727" t="str">
            <v>Yes</v>
          </cell>
          <cell r="L727">
            <v>43721</v>
          </cell>
          <cell r="N727" t="str">
            <v>Parbatta</v>
          </cell>
        </row>
        <row r="728">
          <cell r="B728">
            <v>10100003</v>
          </cell>
          <cell r="C728" t="str">
            <v>0003</v>
          </cell>
          <cell r="D728" t="str">
            <v>8573</v>
          </cell>
          <cell r="E728" t="str">
            <v>MPG</v>
          </cell>
          <cell r="F728" t="str">
            <v>Direct</v>
          </cell>
          <cell r="G728" t="str">
            <v>Gomukh Madhawpur</v>
          </cell>
          <cell r="H728" t="str">
            <v>Khushboo Kumari</v>
          </cell>
          <cell r="I728">
            <v>7061802319</v>
          </cell>
          <cell r="J728" t="str">
            <v>101002</v>
          </cell>
          <cell r="K728" t="str">
            <v>Yes</v>
          </cell>
          <cell r="L728">
            <v>44974</v>
          </cell>
          <cell r="N728" t="str">
            <v>Parbatta</v>
          </cell>
        </row>
        <row r="729">
          <cell r="B729">
            <v>10100004</v>
          </cell>
          <cell r="C729" t="str">
            <v>0004</v>
          </cell>
          <cell r="D729" t="str">
            <v>8574</v>
          </cell>
          <cell r="E729" t="str">
            <v>MPG</v>
          </cell>
          <cell r="F729" t="str">
            <v>Indirect</v>
          </cell>
          <cell r="G729" t="str">
            <v>Gomukh Muradpur</v>
          </cell>
          <cell r="H729" t="str">
            <v>Dhruv Kumar Singh</v>
          </cell>
          <cell r="I729">
            <v>9508950984</v>
          </cell>
          <cell r="J729" t="str">
            <v>101002</v>
          </cell>
          <cell r="K729" t="str">
            <v>Yes</v>
          </cell>
          <cell r="L729">
            <v>44987</v>
          </cell>
          <cell r="N729" t="str">
            <v>Parbatta</v>
          </cell>
        </row>
        <row r="730">
          <cell r="B730">
            <v>10100005</v>
          </cell>
          <cell r="C730" t="str">
            <v>0005</v>
          </cell>
          <cell r="D730" t="str">
            <v>8576</v>
          </cell>
          <cell r="E730" t="str">
            <v>MPG</v>
          </cell>
          <cell r="F730" t="str">
            <v>Direct</v>
          </cell>
          <cell r="G730" t="str">
            <v>Gomukh Parbatta</v>
          </cell>
          <cell r="H730" t="str">
            <v>rajkishor Mandal</v>
          </cell>
          <cell r="I730">
            <v>9973422316</v>
          </cell>
          <cell r="J730" t="str">
            <v>101001</v>
          </cell>
          <cell r="K730" t="str">
            <v>Yes</v>
          </cell>
          <cell r="L730">
            <v>45012</v>
          </cell>
          <cell r="N730" t="str">
            <v>Parbatta</v>
          </cell>
        </row>
        <row r="731">
          <cell r="B731">
            <v>10100006</v>
          </cell>
          <cell r="C731" t="str">
            <v>0006</v>
          </cell>
          <cell r="D731" t="str">
            <v>8577</v>
          </cell>
          <cell r="E731" t="str">
            <v>MPG</v>
          </cell>
          <cell r="F731" t="str">
            <v>Direct</v>
          </cell>
          <cell r="G731" t="str">
            <v>Gomukh Udaypur</v>
          </cell>
          <cell r="H731" t="str">
            <v>Dilip Thakur</v>
          </cell>
          <cell r="I731">
            <v>8340727016</v>
          </cell>
          <cell r="J731" t="str">
            <v>101001</v>
          </cell>
          <cell r="K731" t="str">
            <v>Yes</v>
          </cell>
          <cell r="L731">
            <v>45012</v>
          </cell>
          <cell r="N731" t="str">
            <v>Parbatta</v>
          </cell>
        </row>
        <row r="732">
          <cell r="B732">
            <v>10100007</v>
          </cell>
          <cell r="C732" t="str">
            <v>0007</v>
          </cell>
          <cell r="D732" t="str">
            <v>8578</v>
          </cell>
          <cell r="E732" t="str">
            <v>MPG</v>
          </cell>
          <cell r="F732" t="str">
            <v>Direct</v>
          </cell>
          <cell r="G732" t="str">
            <v>Gomukh Salarpur Uttari</v>
          </cell>
          <cell r="H732" t="str">
            <v>Rupam Kumari</v>
          </cell>
          <cell r="I732">
            <v>9113304178</v>
          </cell>
          <cell r="J732" t="str">
            <v>101001</v>
          </cell>
          <cell r="K732" t="str">
            <v>Yes</v>
          </cell>
          <cell r="L732">
            <v>45012</v>
          </cell>
          <cell r="N732" t="str">
            <v>Parbatta</v>
          </cell>
        </row>
        <row r="733">
          <cell r="B733">
            <v>10100008</v>
          </cell>
          <cell r="C733" t="str">
            <v>0008</v>
          </cell>
          <cell r="D733" t="str">
            <v>8579</v>
          </cell>
          <cell r="E733" t="str">
            <v>MPG</v>
          </cell>
          <cell r="F733" t="str">
            <v>Direct</v>
          </cell>
          <cell r="G733" t="str">
            <v>Gomukh Teliya bathan purbi</v>
          </cell>
          <cell r="H733" t="str">
            <v>Mantoo Sah</v>
          </cell>
          <cell r="I733">
            <v>7546878453</v>
          </cell>
          <cell r="J733" t="str">
            <v>101003</v>
          </cell>
          <cell r="K733" t="str">
            <v>Yes</v>
          </cell>
          <cell r="L733">
            <v>45012</v>
          </cell>
          <cell r="N733" t="str">
            <v>Parbatta</v>
          </cell>
        </row>
        <row r="734">
          <cell r="B734">
            <v>10100009</v>
          </cell>
          <cell r="C734" t="str">
            <v>0009</v>
          </cell>
          <cell r="D734" t="str">
            <v>8582</v>
          </cell>
          <cell r="E734" t="str">
            <v>MPG</v>
          </cell>
          <cell r="F734" t="str">
            <v>Direct</v>
          </cell>
          <cell r="G734" t="str">
            <v>Gomukh Kanhaiyachak Pachhim</v>
          </cell>
          <cell r="H734" t="str">
            <v>Rakesh kumar</v>
          </cell>
          <cell r="I734">
            <v>7050497550</v>
          </cell>
          <cell r="J734" t="str">
            <v>101002</v>
          </cell>
          <cell r="K734" t="str">
            <v>Yes</v>
          </cell>
          <cell r="L734">
            <v>45012</v>
          </cell>
          <cell r="N734" t="str">
            <v>Parbatta</v>
          </cell>
        </row>
        <row r="735">
          <cell r="B735">
            <v>10100010</v>
          </cell>
          <cell r="C735" t="str">
            <v>0010</v>
          </cell>
          <cell r="D735" t="str">
            <v>8584</v>
          </cell>
          <cell r="E735" t="str">
            <v>MPG</v>
          </cell>
          <cell r="F735" t="str">
            <v>Direct</v>
          </cell>
          <cell r="G735" t="str">
            <v>Gomukh Nayagawn siromani tola</v>
          </cell>
          <cell r="H735" t="str">
            <v>Sanjeev kumar</v>
          </cell>
          <cell r="I735">
            <v>9709444836</v>
          </cell>
          <cell r="J735" t="str">
            <v>101002</v>
          </cell>
          <cell r="K735" t="str">
            <v>Yes</v>
          </cell>
          <cell r="L735">
            <v>45012</v>
          </cell>
          <cell r="N735" t="str">
            <v>Parbatta</v>
          </cell>
        </row>
        <row r="736">
          <cell r="B736">
            <v>10100011</v>
          </cell>
          <cell r="C736" t="str">
            <v>0011</v>
          </cell>
          <cell r="D736" t="str">
            <v>8586</v>
          </cell>
          <cell r="E736" t="str">
            <v>MPG</v>
          </cell>
          <cell r="F736" t="str">
            <v>Direct</v>
          </cell>
          <cell r="G736" t="str">
            <v>Gomukh Nayagawn Panchkhuti</v>
          </cell>
          <cell r="H736" t="str">
            <v>Satyjeet Kumar Sharma</v>
          </cell>
          <cell r="I736">
            <v>8051515101</v>
          </cell>
          <cell r="J736" t="str">
            <v>101002</v>
          </cell>
          <cell r="K736" t="str">
            <v>Yes</v>
          </cell>
          <cell r="L736">
            <v>45015</v>
          </cell>
          <cell r="N736" t="str">
            <v>Parbatta</v>
          </cell>
        </row>
        <row r="737">
          <cell r="B737">
            <v>10100012</v>
          </cell>
          <cell r="C737" t="str">
            <v>0012</v>
          </cell>
          <cell r="D737" t="str">
            <v>8587</v>
          </cell>
          <cell r="E737" t="str">
            <v>MPG</v>
          </cell>
          <cell r="F737" t="str">
            <v>Direct</v>
          </cell>
          <cell r="G737" t="str">
            <v>Gomukh Parbatta Purvi</v>
          </cell>
          <cell r="H737" t="str">
            <v>Saday Kumar</v>
          </cell>
          <cell r="I737">
            <v>9934078244</v>
          </cell>
          <cell r="J737" t="str">
            <v>101001</v>
          </cell>
          <cell r="K737" t="str">
            <v>Yes</v>
          </cell>
          <cell r="L737">
            <v>45015</v>
          </cell>
          <cell r="N737" t="str">
            <v>Parbatta</v>
          </cell>
        </row>
        <row r="738">
          <cell r="B738">
            <v>10100013</v>
          </cell>
          <cell r="C738" t="str">
            <v>0013</v>
          </cell>
          <cell r="D738" t="str">
            <v>8588</v>
          </cell>
          <cell r="E738" t="str">
            <v>MPG</v>
          </cell>
          <cell r="F738" t="str">
            <v>Direct</v>
          </cell>
          <cell r="G738" t="str">
            <v>Gomukh Raka</v>
          </cell>
          <cell r="H738" t="str">
            <v>Rajesh Kumar Jha</v>
          </cell>
          <cell r="I738">
            <v>9934648872</v>
          </cell>
          <cell r="J738" t="str">
            <v>101001</v>
          </cell>
          <cell r="K738" t="str">
            <v>Yes</v>
          </cell>
          <cell r="L738">
            <v>45016</v>
          </cell>
          <cell r="N738" t="str">
            <v>Parbatta</v>
          </cell>
        </row>
        <row r="739">
          <cell r="B739">
            <v>10100014</v>
          </cell>
          <cell r="C739" t="str">
            <v>0014</v>
          </cell>
          <cell r="D739" t="str">
            <v>8589</v>
          </cell>
          <cell r="E739" t="str">
            <v>MPG</v>
          </cell>
          <cell r="F739" t="str">
            <v>Direct</v>
          </cell>
          <cell r="G739" t="str">
            <v>Gomukh Srirampur thuthi</v>
          </cell>
          <cell r="H739" t="str">
            <v>Bhupesh kumar</v>
          </cell>
          <cell r="I739">
            <v>9199517552</v>
          </cell>
          <cell r="J739" t="str">
            <v>101001</v>
          </cell>
          <cell r="K739" t="str">
            <v>Yes</v>
          </cell>
          <cell r="L739">
            <v>45016</v>
          </cell>
          <cell r="N739" t="str">
            <v>Parbatta</v>
          </cell>
        </row>
        <row r="740">
          <cell r="B740">
            <v>10100015</v>
          </cell>
          <cell r="C740" t="str">
            <v>0015</v>
          </cell>
          <cell r="D740" t="str">
            <v>8590</v>
          </cell>
          <cell r="E740" t="str">
            <v>MPG</v>
          </cell>
          <cell r="F740" t="str">
            <v>Direct</v>
          </cell>
          <cell r="G740" t="str">
            <v>Gomukh Dumariya Bujurg</v>
          </cell>
          <cell r="H740" t="str">
            <v>Sakhsi Kumari</v>
          </cell>
          <cell r="I740">
            <v>8677012544</v>
          </cell>
          <cell r="J740" t="str">
            <v>101001</v>
          </cell>
          <cell r="K740" t="str">
            <v>Yes</v>
          </cell>
          <cell r="L740">
            <v>45016</v>
          </cell>
          <cell r="N740" t="str">
            <v>Parbatta</v>
          </cell>
        </row>
        <row r="741">
          <cell r="B741">
            <v>10100016</v>
          </cell>
          <cell r="C741" t="str">
            <v>0016</v>
          </cell>
          <cell r="D741" t="str">
            <v>8591</v>
          </cell>
          <cell r="E741" t="str">
            <v>MPG</v>
          </cell>
          <cell r="F741" t="str">
            <v>Direct</v>
          </cell>
          <cell r="G741" t="str">
            <v>Gomukh Dumariya Bujurg Madhay</v>
          </cell>
          <cell r="H741" t="str">
            <v>Aanand Shankar</v>
          </cell>
          <cell r="I741">
            <v>7091746454</v>
          </cell>
          <cell r="J741" t="str">
            <v>101001</v>
          </cell>
          <cell r="K741" t="str">
            <v>Yes</v>
          </cell>
          <cell r="L741">
            <v>45016</v>
          </cell>
          <cell r="N741" t="str">
            <v>Parbatta</v>
          </cell>
        </row>
        <row r="742">
          <cell r="B742">
            <v>10100017</v>
          </cell>
          <cell r="C742" t="str">
            <v>0017</v>
          </cell>
          <cell r="D742" t="str">
            <v>8595</v>
          </cell>
          <cell r="E742" t="str">
            <v>MPG</v>
          </cell>
          <cell r="F742" t="str">
            <v>Direct</v>
          </cell>
          <cell r="G742" t="str">
            <v xml:space="preserve">Gomukh Pipara                                                                                       </v>
          </cell>
          <cell r="H742" t="str">
            <v>Hareram Sah</v>
          </cell>
          <cell r="I742">
            <v>9570771888</v>
          </cell>
          <cell r="J742" t="str">
            <v>100701</v>
          </cell>
          <cell r="K742" t="str">
            <v>Yes</v>
          </cell>
          <cell r="L742">
            <v>45039</v>
          </cell>
          <cell r="N742" t="str">
            <v>Parbatta</v>
          </cell>
        </row>
        <row r="743">
          <cell r="B743">
            <v>10100018</v>
          </cell>
          <cell r="C743" t="str">
            <v>0018</v>
          </cell>
          <cell r="D743" t="str">
            <v>8593</v>
          </cell>
          <cell r="E743" t="str">
            <v>MPG</v>
          </cell>
          <cell r="F743" t="str">
            <v>Direct</v>
          </cell>
          <cell r="G743" t="str">
            <v xml:space="preserve">Gomukh Sirajpur                                                                                     </v>
          </cell>
          <cell r="H743" t="str">
            <v>Mukesh Kumar</v>
          </cell>
          <cell r="I743">
            <v>8210137381</v>
          </cell>
          <cell r="J743" t="str">
            <v>101001</v>
          </cell>
          <cell r="K743" t="str">
            <v>Yes</v>
          </cell>
          <cell r="L743">
            <v>45041</v>
          </cell>
          <cell r="N743" t="str">
            <v>Parbatta</v>
          </cell>
        </row>
        <row r="744">
          <cell r="B744">
            <v>10100019</v>
          </cell>
          <cell r="C744" t="str">
            <v>0019</v>
          </cell>
          <cell r="D744" t="str">
            <v>8594</v>
          </cell>
          <cell r="E744" t="str">
            <v>MPG</v>
          </cell>
          <cell r="F744" t="str">
            <v>Direct</v>
          </cell>
          <cell r="G744" t="str">
            <v xml:space="preserve">Gomukh Badi Lagar                                                                                   </v>
          </cell>
          <cell r="H744" t="str">
            <v>Ruveena Devi</v>
          </cell>
          <cell r="I744">
            <v>8540901594</v>
          </cell>
          <cell r="J744" t="str">
            <v>101001</v>
          </cell>
          <cell r="K744" t="str">
            <v>Yes</v>
          </cell>
          <cell r="L744">
            <v>45043</v>
          </cell>
          <cell r="N744" t="str">
            <v>Parbatta</v>
          </cell>
        </row>
        <row r="745">
          <cell r="B745">
            <v>10100020</v>
          </cell>
          <cell r="C745" t="str">
            <v>0020</v>
          </cell>
          <cell r="D745" t="str">
            <v>8596</v>
          </cell>
          <cell r="E745" t="str">
            <v>MPG</v>
          </cell>
          <cell r="F745" t="str">
            <v>Direct</v>
          </cell>
          <cell r="G745" t="str">
            <v xml:space="preserve">Gomukh Thebhay                                                                                      </v>
          </cell>
          <cell r="H745" t="str">
            <v>Chandani Kumari</v>
          </cell>
          <cell r="I745">
            <v>9534208175</v>
          </cell>
          <cell r="J745" t="str">
            <v>101003</v>
          </cell>
          <cell r="K745" t="str">
            <v/>
          </cell>
          <cell r="L745">
            <v>45044</v>
          </cell>
          <cell r="N745" t="str">
            <v>Parbatta</v>
          </cell>
        </row>
        <row r="746">
          <cell r="B746">
            <v>10100021</v>
          </cell>
          <cell r="C746" t="str">
            <v>0021</v>
          </cell>
          <cell r="D746" t="str">
            <v>8597</v>
          </cell>
          <cell r="E746" t="str">
            <v>MPG</v>
          </cell>
          <cell r="F746" t="str">
            <v>Direct</v>
          </cell>
          <cell r="G746" t="str">
            <v xml:space="preserve">Gomukh Bandahera                                                                                    </v>
          </cell>
          <cell r="H746" t="str">
            <v>Jaikishan Kumar</v>
          </cell>
          <cell r="I746">
            <v>9113120295</v>
          </cell>
          <cell r="J746" t="str">
            <v>101003</v>
          </cell>
          <cell r="K746" t="str">
            <v>Yes</v>
          </cell>
          <cell r="L746">
            <v>45017</v>
          </cell>
          <cell r="N746" t="str">
            <v>Parbatta</v>
          </cell>
        </row>
        <row r="747">
          <cell r="B747">
            <v>10100022</v>
          </cell>
          <cell r="C747" t="str">
            <v>0022</v>
          </cell>
          <cell r="D747" t="str">
            <v>8598</v>
          </cell>
          <cell r="E747" t="str">
            <v>MPG</v>
          </cell>
          <cell r="F747" t="str">
            <v>Direct</v>
          </cell>
          <cell r="G747" t="str">
            <v xml:space="preserve">Gomukh Jhajhra                                                                                      </v>
          </cell>
          <cell r="H747" t="str">
            <v>Shankar Tiwari</v>
          </cell>
          <cell r="I747">
            <v>7061595074</v>
          </cell>
          <cell r="J747" t="str">
            <v>101003</v>
          </cell>
          <cell r="K747" t="str">
            <v>Yes</v>
          </cell>
          <cell r="L747">
            <v>45017</v>
          </cell>
          <cell r="N747" t="str">
            <v>Parbatta</v>
          </cell>
        </row>
        <row r="748">
          <cell r="B748">
            <v>10100023</v>
          </cell>
          <cell r="C748" t="str">
            <v>0023</v>
          </cell>
          <cell r="D748" t="str">
            <v>8600</v>
          </cell>
          <cell r="E748" t="str">
            <v>MPG</v>
          </cell>
          <cell r="F748" t="str">
            <v>Direct</v>
          </cell>
          <cell r="G748" t="str">
            <v xml:space="preserve">Gomukh Khiradih                                                                                     </v>
          </cell>
          <cell r="H748" t="str">
            <v>Saurav Kumar</v>
          </cell>
          <cell r="I748">
            <v>9934863520</v>
          </cell>
          <cell r="J748" t="str">
            <v>101001</v>
          </cell>
          <cell r="K748" t="str">
            <v>Yes</v>
          </cell>
          <cell r="L748">
            <v>45017</v>
          </cell>
          <cell r="N748" t="str">
            <v>Parbatta</v>
          </cell>
        </row>
        <row r="749">
          <cell r="B749">
            <v>10100024</v>
          </cell>
          <cell r="C749" t="str">
            <v>0024</v>
          </cell>
          <cell r="D749" t="str">
            <v>8601</v>
          </cell>
          <cell r="E749" t="str">
            <v>MPG</v>
          </cell>
          <cell r="F749" t="str">
            <v>Direct</v>
          </cell>
          <cell r="G749" t="str">
            <v xml:space="preserve">Gomukh Aguwani                                                                                      </v>
          </cell>
          <cell r="H749" t="str">
            <v>Aryan raju</v>
          </cell>
          <cell r="I749">
            <v>7281053722</v>
          </cell>
          <cell r="J749" t="str">
            <v>101001</v>
          </cell>
          <cell r="K749" t="str">
            <v>Yes</v>
          </cell>
          <cell r="L749">
            <v>45017</v>
          </cell>
          <cell r="N749" t="str">
            <v>Parbatta</v>
          </cell>
        </row>
        <row r="750">
          <cell r="B750">
            <v>10100025</v>
          </cell>
          <cell r="C750" t="str">
            <v>0025</v>
          </cell>
          <cell r="D750" t="str">
            <v>6710</v>
          </cell>
          <cell r="E750" t="str">
            <v>MPG</v>
          </cell>
          <cell r="F750" t="str">
            <v>Indirect</v>
          </cell>
          <cell r="G750" t="str">
            <v>Gomukh Kanhaiyachak Anita</v>
          </cell>
          <cell r="H750" t="str">
            <v>Anita Devi</v>
          </cell>
          <cell r="I750">
            <v>8252627305</v>
          </cell>
          <cell r="J750" t="str">
            <v>101002</v>
          </cell>
          <cell r="K750" t="str">
            <v/>
          </cell>
          <cell r="L750">
            <v>45145</v>
          </cell>
          <cell r="N750" t="str">
            <v>Parbatta</v>
          </cell>
        </row>
        <row r="751">
          <cell r="B751">
            <v>10100026</v>
          </cell>
          <cell r="C751" t="str">
            <v>0026</v>
          </cell>
          <cell r="D751" t="str">
            <v>6713</v>
          </cell>
          <cell r="E751" t="str">
            <v>MPG</v>
          </cell>
          <cell r="F751" t="str">
            <v>Indirect</v>
          </cell>
          <cell r="G751" t="str">
            <v>Gomukh Badi lagar-1 Kiran</v>
          </cell>
          <cell r="H751" t="str">
            <v>Kiran Devi</v>
          </cell>
          <cell r="I751">
            <v>9939630315</v>
          </cell>
          <cell r="J751" t="str">
            <v>101001</v>
          </cell>
          <cell r="K751" t="str">
            <v/>
          </cell>
          <cell r="L751">
            <v>45147</v>
          </cell>
          <cell r="N751" t="str">
            <v>Parbatta</v>
          </cell>
        </row>
        <row r="752">
          <cell r="B752">
            <v>10100027</v>
          </cell>
          <cell r="C752" t="str">
            <v>0027</v>
          </cell>
          <cell r="D752" t="str">
            <v>8501</v>
          </cell>
          <cell r="E752" t="str">
            <v>MPG</v>
          </cell>
          <cell r="F752" t="str">
            <v>Indirect</v>
          </cell>
          <cell r="G752" t="str">
            <v>MSK MPG BADI LAGAR</v>
          </cell>
          <cell r="H752" t="str">
            <v xml:space="preserve">Ramesh Kumar </v>
          </cell>
          <cell r="I752">
            <v>6202609366</v>
          </cell>
          <cell r="J752" t="str">
            <v>101001</v>
          </cell>
          <cell r="K752" t="str">
            <v/>
          </cell>
          <cell r="L752">
            <v>44652</v>
          </cell>
          <cell r="N752" t="str">
            <v>Parbatta</v>
          </cell>
        </row>
        <row r="753">
          <cell r="B753">
            <v>10100028</v>
          </cell>
          <cell r="C753" t="str">
            <v>0028</v>
          </cell>
          <cell r="D753" t="str">
            <v>6711</v>
          </cell>
          <cell r="E753" t="str">
            <v>MPG</v>
          </cell>
          <cell r="F753" t="str">
            <v>Indirect</v>
          </cell>
          <cell r="G753" t="str">
            <v>Gomukh Muradpur deepak</v>
          </cell>
          <cell r="H753" t="str">
            <v>Deepak Kumar</v>
          </cell>
          <cell r="I753">
            <v>9693051973</v>
          </cell>
          <cell r="J753" t="str">
            <v>101002</v>
          </cell>
          <cell r="K753" t="str">
            <v/>
          </cell>
          <cell r="L753">
            <v>45149</v>
          </cell>
          <cell r="N753" t="str">
            <v>Parbatta</v>
          </cell>
        </row>
        <row r="754">
          <cell r="B754">
            <v>10100029</v>
          </cell>
          <cell r="C754" t="str">
            <v>0029</v>
          </cell>
          <cell r="D754" t="str">
            <v>6311</v>
          </cell>
          <cell r="E754" t="str">
            <v>MPG</v>
          </cell>
          <cell r="F754" t="str">
            <v>Indirect</v>
          </cell>
          <cell r="G754" t="str">
            <v>Mithun Kumar</v>
          </cell>
          <cell r="H754" t="str">
            <v>Mithun Kumar</v>
          </cell>
          <cell r="I754">
            <v>7061744306</v>
          </cell>
          <cell r="J754" t="str">
            <v>101001</v>
          </cell>
          <cell r="K754" t="str">
            <v/>
          </cell>
          <cell r="L754">
            <v>44652</v>
          </cell>
          <cell r="N754" t="str">
            <v>Parbatta</v>
          </cell>
        </row>
        <row r="755">
          <cell r="B755">
            <v>10100030</v>
          </cell>
          <cell r="C755" t="str">
            <v>0030</v>
          </cell>
          <cell r="D755" t="str">
            <v>8558</v>
          </cell>
          <cell r="E755" t="str">
            <v>MPG</v>
          </cell>
          <cell r="F755" t="str">
            <v>Indirect</v>
          </cell>
          <cell r="G755" t="str">
            <v>SHRIRAMPUR THUTHI GOMUKH</v>
          </cell>
          <cell r="H755" t="str">
            <v>Mantu Choudhary</v>
          </cell>
          <cell r="I755">
            <v>8271316991</v>
          </cell>
          <cell r="J755" t="str">
            <v>101001</v>
          </cell>
          <cell r="K755" t="str">
            <v/>
          </cell>
          <cell r="L755">
            <v>44652</v>
          </cell>
          <cell r="N755" t="str">
            <v>Parbatta</v>
          </cell>
        </row>
        <row r="756">
          <cell r="B756">
            <v>10100031</v>
          </cell>
          <cell r="C756" t="str">
            <v>0031</v>
          </cell>
          <cell r="D756" t="str">
            <v>8637</v>
          </cell>
          <cell r="E756" t="str">
            <v>MPG</v>
          </cell>
          <cell r="F756" t="str">
            <v>Indirect</v>
          </cell>
          <cell r="G756" t="str">
            <v>Raja jaan - Santosh</v>
          </cell>
          <cell r="H756" t="str">
            <v>Santosh Kumar</v>
          </cell>
          <cell r="I756">
            <v>6204339201</v>
          </cell>
          <cell r="J756" t="str">
            <v>101002</v>
          </cell>
          <cell r="K756" t="str">
            <v/>
          </cell>
          <cell r="L756">
            <v>45212</v>
          </cell>
          <cell r="N756" t="str">
            <v>Parbatta</v>
          </cell>
        </row>
        <row r="757">
          <cell r="B757">
            <v>10100032</v>
          </cell>
          <cell r="C757" t="str">
            <v>0032</v>
          </cell>
          <cell r="D757" t="str">
            <v>8638</v>
          </cell>
          <cell r="E757" t="str">
            <v>MPG</v>
          </cell>
          <cell r="F757" t="str">
            <v>Indirect</v>
          </cell>
          <cell r="G757" t="str">
            <v>Kanhaihachuck - Anita</v>
          </cell>
          <cell r="H757" t="str">
            <v>Anita Devi</v>
          </cell>
          <cell r="I757">
            <v>8252627305</v>
          </cell>
          <cell r="J757" t="str">
            <v>101002</v>
          </cell>
          <cell r="K757" t="str">
            <v/>
          </cell>
          <cell r="L757">
            <v>45219</v>
          </cell>
          <cell r="N757" t="str">
            <v>Parbatta</v>
          </cell>
        </row>
        <row r="758">
          <cell r="B758">
            <v>10100033</v>
          </cell>
          <cell r="C758" t="str">
            <v>0033</v>
          </cell>
          <cell r="D758" t="str">
            <v>8642</v>
          </cell>
          <cell r="E758" t="str">
            <v>MPG</v>
          </cell>
          <cell r="F758" t="str">
            <v>Indirect</v>
          </cell>
          <cell r="G758" t="str">
            <v>Gomukh Basudevpur</v>
          </cell>
          <cell r="H758" t="str">
            <v>Lalu Yadav</v>
          </cell>
          <cell r="I758">
            <v>6202731845</v>
          </cell>
          <cell r="J758" t="str">
            <v>101003</v>
          </cell>
          <cell r="K758" t="str">
            <v/>
          </cell>
          <cell r="L758">
            <v>45238</v>
          </cell>
          <cell r="N758" t="str">
            <v>Parbatta</v>
          </cell>
        </row>
        <row r="759">
          <cell r="B759">
            <v>10100034</v>
          </cell>
          <cell r="C759" t="str">
            <v>0034</v>
          </cell>
          <cell r="D759" t="str">
            <v>8644</v>
          </cell>
          <cell r="E759" t="str">
            <v>MPG</v>
          </cell>
          <cell r="F759" t="str">
            <v>Direct</v>
          </cell>
          <cell r="G759" t="str">
            <v>Gomukh Babu chackla</v>
          </cell>
          <cell r="H759" t="str">
            <v>Pardeep Kumar</v>
          </cell>
          <cell r="I759">
            <v>6200453868</v>
          </cell>
          <cell r="J759" t="str">
            <v>101003</v>
          </cell>
          <cell r="K759" t="str">
            <v>Yes</v>
          </cell>
          <cell r="L759">
            <v>45260</v>
          </cell>
          <cell r="N759" t="str">
            <v>Parbatta</v>
          </cell>
        </row>
        <row r="760">
          <cell r="B760">
            <v>10100035</v>
          </cell>
          <cell r="C760" t="str">
            <v>0035</v>
          </cell>
          <cell r="D760" t="str">
            <v>8645</v>
          </cell>
          <cell r="E760" t="str">
            <v>MPG</v>
          </cell>
          <cell r="F760" t="str">
            <v>Direct</v>
          </cell>
          <cell r="G760" t="str">
            <v>Gomukh Fudkichak</v>
          </cell>
          <cell r="H760" t="str">
            <v>Gulshan Kumar</v>
          </cell>
          <cell r="I760">
            <v>9891835073</v>
          </cell>
          <cell r="J760" t="str">
            <v>101003</v>
          </cell>
          <cell r="K760" t="str">
            <v>Yes</v>
          </cell>
          <cell r="L760">
            <v>45238</v>
          </cell>
          <cell r="N760" t="str">
            <v>Parbatta</v>
          </cell>
        </row>
        <row r="761">
          <cell r="B761">
            <v>10100036</v>
          </cell>
          <cell r="C761" t="str">
            <v>0036</v>
          </cell>
          <cell r="D761" t="str">
            <v>8649</v>
          </cell>
          <cell r="E761" t="str">
            <v>MPG</v>
          </cell>
          <cell r="F761" t="str">
            <v>Direct</v>
          </cell>
          <cell r="G761" t="str">
            <v>Gomukh Bishauni</v>
          </cell>
          <cell r="H761" t="str">
            <v>Vishnu Mishra</v>
          </cell>
          <cell r="I761">
            <v>7004473231</v>
          </cell>
          <cell r="J761" t="str">
            <v>101001</v>
          </cell>
          <cell r="K761" t="str">
            <v>Yes</v>
          </cell>
          <cell r="L761">
            <v>45258</v>
          </cell>
          <cell r="N761" t="str">
            <v>Parbatta</v>
          </cell>
        </row>
        <row r="762">
          <cell r="B762">
            <v>10100037</v>
          </cell>
          <cell r="C762" t="str">
            <v>0037</v>
          </cell>
          <cell r="D762" t="str">
            <v>8650</v>
          </cell>
          <cell r="E762" t="str">
            <v>MPG</v>
          </cell>
          <cell r="F762" t="str">
            <v>Direct</v>
          </cell>
          <cell r="G762" t="str">
            <v>Gomukh Tehay</v>
          </cell>
          <cell r="H762" t="str">
            <v>Pankaj Kumar</v>
          </cell>
          <cell r="I762">
            <v>7667241097</v>
          </cell>
          <cell r="J762" t="str">
            <v>101001</v>
          </cell>
          <cell r="K762" t="str">
            <v/>
          </cell>
          <cell r="L762">
            <v>45260</v>
          </cell>
          <cell r="N762" t="str">
            <v>Parbatta</v>
          </cell>
        </row>
        <row r="763">
          <cell r="B763">
            <v>10100038</v>
          </cell>
          <cell r="C763" t="str">
            <v>0038</v>
          </cell>
          <cell r="D763" t="str">
            <v>8651</v>
          </cell>
          <cell r="E763" t="str">
            <v>MPG</v>
          </cell>
          <cell r="F763" t="str">
            <v>Direct</v>
          </cell>
          <cell r="G763" t="str">
            <v>Gomukh Arariya ward No 9</v>
          </cell>
          <cell r="H763" t="str">
            <v>Shard Kumar</v>
          </cell>
          <cell r="I763">
            <v>7321047297</v>
          </cell>
          <cell r="J763" t="str">
            <v>101002</v>
          </cell>
          <cell r="K763" t="str">
            <v/>
          </cell>
          <cell r="L763">
            <v>45260</v>
          </cell>
          <cell r="N763" t="str">
            <v>Parbatta</v>
          </cell>
        </row>
        <row r="764">
          <cell r="B764">
            <v>10100039</v>
          </cell>
          <cell r="C764" t="str">
            <v>0039</v>
          </cell>
          <cell r="D764" t="str">
            <v>8657</v>
          </cell>
          <cell r="E764" t="str">
            <v>MPG</v>
          </cell>
          <cell r="F764" t="str">
            <v>Direct</v>
          </cell>
          <cell r="G764" t="str">
            <v xml:space="preserve">Gomukh Khanhaiyachak                                                                                </v>
          </cell>
          <cell r="H764" t="str">
            <v>Anshu Kumar</v>
          </cell>
          <cell r="I764">
            <v>7488975737</v>
          </cell>
          <cell r="J764" t="str">
            <v>101002</v>
          </cell>
          <cell r="K764" t="str">
            <v/>
          </cell>
          <cell r="L764">
            <v>45292</v>
          </cell>
          <cell r="N764" t="str">
            <v>Parbatta</v>
          </cell>
        </row>
        <row r="765">
          <cell r="B765">
            <v>10100040</v>
          </cell>
          <cell r="C765" t="str">
            <v>0040</v>
          </cell>
          <cell r="D765" t="str">
            <v>8643</v>
          </cell>
          <cell r="E765" t="str">
            <v>MPG</v>
          </cell>
          <cell r="F765" t="str">
            <v>Indirect</v>
          </cell>
          <cell r="G765" t="str">
            <v>Gomukh Balha</v>
          </cell>
          <cell r="H765" t="str">
            <v>Shishu Kumar Das</v>
          </cell>
          <cell r="I765">
            <v>8521759785</v>
          </cell>
          <cell r="J765" t="str">
            <v>101002</v>
          </cell>
          <cell r="K765" t="str">
            <v/>
          </cell>
          <cell r="L765">
            <v>45260</v>
          </cell>
          <cell r="N765" t="str">
            <v>Parbatta</v>
          </cell>
        </row>
        <row r="766">
          <cell r="B766">
            <v>10100041</v>
          </cell>
          <cell r="C766" t="str">
            <v>0041</v>
          </cell>
          <cell r="D766" t="str">
            <v>8581</v>
          </cell>
          <cell r="E766" t="str">
            <v>MPG</v>
          </cell>
          <cell r="F766" t="str">
            <v>Indirect</v>
          </cell>
          <cell r="G766" t="str">
            <v xml:space="preserve">Gomukh Salarpur </v>
          </cell>
          <cell r="H766" t="str">
            <v>Ganga Prasad Yadav</v>
          </cell>
          <cell r="I766">
            <v>9570380017</v>
          </cell>
          <cell r="J766" t="str">
            <v>101001</v>
          </cell>
          <cell r="K766"/>
          <cell r="L766">
            <v>45012</v>
          </cell>
          <cell r="N766" t="str">
            <v>Parbatta</v>
          </cell>
        </row>
        <row r="767">
          <cell r="B767">
            <v>10100042</v>
          </cell>
          <cell r="C767" t="str">
            <v>0042</v>
          </cell>
          <cell r="D767" t="str">
            <v>8585</v>
          </cell>
          <cell r="E767" t="str">
            <v>MPG</v>
          </cell>
          <cell r="F767" t="str">
            <v>Direct</v>
          </cell>
          <cell r="G767" t="str">
            <v>Gomukh Temtha Raka</v>
          </cell>
          <cell r="H767" t="str">
            <v>Kalapna Devi</v>
          </cell>
          <cell r="I767">
            <v>6206616954</v>
          </cell>
          <cell r="J767" t="str">
            <v>101001</v>
          </cell>
          <cell r="K767"/>
          <cell r="L767">
            <v>45012</v>
          </cell>
          <cell r="N767" t="str">
            <v>Parbatta</v>
          </cell>
        </row>
        <row r="768">
          <cell r="B768">
            <v>10100043</v>
          </cell>
          <cell r="C768" t="str">
            <v>0043</v>
          </cell>
          <cell r="D768" t="str">
            <v>8611</v>
          </cell>
          <cell r="E768" t="str">
            <v>MPG</v>
          </cell>
          <cell r="F768" t="str">
            <v>Direct</v>
          </cell>
          <cell r="G768" t="str">
            <v>Gomukh Madhavpur Purbi</v>
          </cell>
          <cell r="H768" t="str">
            <v>Ram Singh</v>
          </cell>
          <cell r="I768">
            <v>7667300565</v>
          </cell>
          <cell r="J768" t="str">
            <v>101002</v>
          </cell>
          <cell r="K768"/>
          <cell r="L768">
            <v>45198</v>
          </cell>
          <cell r="N768" t="str">
            <v>Parbatta</v>
          </cell>
        </row>
        <row r="769">
          <cell r="B769">
            <v>10100044</v>
          </cell>
          <cell r="C769" t="str">
            <v>0044</v>
          </cell>
          <cell r="D769"/>
          <cell r="E769" t="str">
            <v>MPG</v>
          </cell>
          <cell r="F769" t="str">
            <v>Indirect</v>
          </cell>
          <cell r="G769" t="str">
            <v>Gomukh Buddhnagar</v>
          </cell>
          <cell r="H769" t="str">
            <v>Sentoo Kumar</v>
          </cell>
          <cell r="I769">
            <v>6200724257</v>
          </cell>
          <cell r="J769" t="str">
            <v>101001</v>
          </cell>
          <cell r="K769"/>
          <cell r="L769">
            <v>45468</v>
          </cell>
          <cell r="N769" t="str">
            <v>Parbatta</v>
          </cell>
        </row>
        <row r="770">
          <cell r="B770">
            <v>10100045</v>
          </cell>
          <cell r="C770" t="str">
            <v>0045</v>
          </cell>
          <cell r="D770"/>
          <cell r="E770" t="str">
            <v>MPG</v>
          </cell>
          <cell r="F770" t="str">
            <v>Direct</v>
          </cell>
          <cell r="G770" t="str">
            <v>Gomukh Krochaka Dudhela</v>
          </cell>
          <cell r="H770" t="str">
            <v>Deepak Kumar</v>
          </cell>
          <cell r="I770">
            <v>9973440027</v>
          </cell>
          <cell r="J770" t="str">
            <v>101001</v>
          </cell>
          <cell r="K770"/>
          <cell r="L770">
            <v>45468</v>
          </cell>
          <cell r="N770" t="str">
            <v>Parbatta</v>
          </cell>
        </row>
        <row r="771">
          <cell r="B771">
            <v>10100046</v>
          </cell>
          <cell r="C771" t="str">
            <v>0046</v>
          </cell>
          <cell r="D771"/>
          <cell r="E771" t="str">
            <v>MPG</v>
          </cell>
          <cell r="F771" t="str">
            <v>Direct</v>
          </cell>
          <cell r="G771" t="str">
            <v>Gomukh Chhoti telauchh</v>
          </cell>
          <cell r="H771" t="str">
            <v>Sajeevan Kumar</v>
          </cell>
          <cell r="I771">
            <v>8434862985</v>
          </cell>
          <cell r="J771" t="str">
            <v>101001</v>
          </cell>
          <cell r="K771"/>
          <cell r="L771">
            <v>45468</v>
          </cell>
          <cell r="N771" t="str">
            <v>Parbatta</v>
          </cell>
        </row>
        <row r="772">
          <cell r="B772">
            <v>10100047</v>
          </cell>
          <cell r="C772" t="str">
            <v>0047</v>
          </cell>
          <cell r="D772"/>
          <cell r="E772" t="str">
            <v>MPG</v>
          </cell>
          <cell r="F772" t="str">
            <v>Direct</v>
          </cell>
          <cell r="G772" t="str">
            <v>Gomukh Mahdipur</v>
          </cell>
          <cell r="H772" t="str">
            <v>Sanjay Kumar</v>
          </cell>
          <cell r="I772">
            <v>7061299646</v>
          </cell>
          <cell r="J772" t="str">
            <v>101003</v>
          </cell>
          <cell r="K772"/>
          <cell r="L772">
            <v>45547</v>
          </cell>
          <cell r="N772" t="str">
            <v>Parbatta</v>
          </cell>
        </row>
        <row r="773">
          <cell r="B773">
            <v>10100048</v>
          </cell>
          <cell r="C773" t="str">
            <v>0048</v>
          </cell>
          <cell r="D773"/>
          <cell r="E773" t="str">
            <v>MPG</v>
          </cell>
          <cell r="F773" t="str">
            <v>Direct</v>
          </cell>
          <cell r="G773" t="str">
            <v>Gomukh Ganga nagar</v>
          </cell>
          <cell r="H773" t="str">
            <v>Chandan kumar</v>
          </cell>
          <cell r="I773">
            <v>9065625699</v>
          </cell>
          <cell r="J773" t="str">
            <v>104801</v>
          </cell>
          <cell r="K773"/>
          <cell r="L773">
            <v>45547</v>
          </cell>
          <cell r="N773" t="str">
            <v>Parbatta</v>
          </cell>
        </row>
        <row r="774">
          <cell r="B774">
            <v>10100049</v>
          </cell>
          <cell r="C774" t="str">
            <v>0049</v>
          </cell>
          <cell r="D774"/>
          <cell r="E774" t="str">
            <v>MPG</v>
          </cell>
          <cell r="F774" t="str">
            <v>Direct</v>
          </cell>
          <cell r="G774" t="str">
            <v>Gomukh govind Pur</v>
          </cell>
          <cell r="H774" t="str">
            <v>Guddu Kumar</v>
          </cell>
          <cell r="I774" t="str">
            <v>9142069647</v>
          </cell>
          <cell r="J774" t="str">
            <v>101003</v>
          </cell>
          <cell r="K774"/>
          <cell r="L774">
            <v>45547</v>
          </cell>
          <cell r="N774" t="str">
            <v>Parbatta</v>
          </cell>
        </row>
        <row r="775">
          <cell r="B775">
            <v>10100050</v>
          </cell>
          <cell r="C775" t="str">
            <v>0050</v>
          </cell>
          <cell r="D775"/>
          <cell r="E775" t="str">
            <v>MPG</v>
          </cell>
          <cell r="F775" t="str">
            <v>Direct</v>
          </cell>
          <cell r="G775" t="str">
            <v>Gomukh Birpur Nayagaun</v>
          </cell>
          <cell r="H775" t="str">
            <v>Sujit Kumar</v>
          </cell>
          <cell r="I775">
            <v>6287974744</v>
          </cell>
          <cell r="J775" t="str">
            <v>101002</v>
          </cell>
          <cell r="K775"/>
          <cell r="L775">
            <v>45547</v>
          </cell>
          <cell r="N775" t="str">
            <v>Parbatta</v>
          </cell>
        </row>
        <row r="776">
          <cell r="B776">
            <v>10100051</v>
          </cell>
          <cell r="C776" t="str">
            <v>0051</v>
          </cell>
          <cell r="D776"/>
          <cell r="E776" t="str">
            <v>MPG</v>
          </cell>
          <cell r="F776" t="str">
            <v>Direct</v>
          </cell>
          <cell r="G776" t="str">
            <v>Gomukh Sondiha</v>
          </cell>
          <cell r="H776" t="str">
            <v>Chandrashekhar Kumar</v>
          </cell>
          <cell r="I776">
            <v>6200084384</v>
          </cell>
          <cell r="J776" t="str">
            <v>101003</v>
          </cell>
          <cell r="K776"/>
          <cell r="L776">
            <v>45549</v>
          </cell>
          <cell r="N776" t="str">
            <v>Parbatta</v>
          </cell>
        </row>
        <row r="777">
          <cell r="B777">
            <v>10100052</v>
          </cell>
          <cell r="C777" t="str">
            <v>0052</v>
          </cell>
          <cell r="D777"/>
          <cell r="E777" t="str">
            <v>MPG</v>
          </cell>
          <cell r="F777" t="str">
            <v>Direct</v>
          </cell>
          <cell r="G777" t="str">
            <v>Gomukh Vishnupur Purbi</v>
          </cell>
          <cell r="H777" t="str">
            <v>Rajesh Kumar</v>
          </cell>
          <cell r="I777">
            <v>9891262662</v>
          </cell>
          <cell r="J777" t="str">
            <v>101002</v>
          </cell>
          <cell r="K777"/>
          <cell r="L777">
            <v>45593</v>
          </cell>
          <cell r="N777" t="str">
            <v>Parbatta</v>
          </cell>
        </row>
        <row r="778">
          <cell r="B778">
            <v>10100053</v>
          </cell>
          <cell r="C778" t="str">
            <v>0053</v>
          </cell>
          <cell r="D778"/>
          <cell r="E778" t="str">
            <v>MPG</v>
          </cell>
          <cell r="F778" t="str">
            <v>Indirect</v>
          </cell>
          <cell r="G778" t="str">
            <v xml:space="preserve">Basudevpur </v>
          </cell>
          <cell r="H778" t="str">
            <v>Renu Devi</v>
          </cell>
          <cell r="I778">
            <v>9955861514</v>
          </cell>
          <cell r="J778" t="str">
            <v>101001</v>
          </cell>
          <cell r="K778"/>
          <cell r="L778">
            <v>45593</v>
          </cell>
          <cell r="N778" t="str">
            <v>Parbatta</v>
          </cell>
        </row>
        <row r="779">
          <cell r="B779">
            <v>10100054</v>
          </cell>
          <cell r="C779" t="str">
            <v>0054</v>
          </cell>
          <cell r="D779"/>
          <cell r="E779" t="str">
            <v>MPG</v>
          </cell>
          <cell r="F779" t="str">
            <v>Direct</v>
          </cell>
          <cell r="G779" t="str">
            <v>Gomukh Thebhay B</v>
          </cell>
          <cell r="H779" t="str">
            <v>Gaurav Kumar</v>
          </cell>
          <cell r="I779">
            <v>7858955413</v>
          </cell>
          <cell r="J779" t="str">
            <v>101003</v>
          </cell>
          <cell r="K779"/>
          <cell r="L779">
            <v>45653</v>
          </cell>
          <cell r="N779" t="str">
            <v>Parbatta</v>
          </cell>
        </row>
        <row r="780">
          <cell r="B780">
            <v>10100055</v>
          </cell>
          <cell r="C780" t="str">
            <v>0055</v>
          </cell>
          <cell r="D780"/>
          <cell r="E780" t="str">
            <v>MPG</v>
          </cell>
          <cell r="F780" t="str">
            <v>Direct</v>
          </cell>
          <cell r="G780" t="str">
            <v>Gomukh kolwara</v>
          </cell>
          <cell r="H780" t="str">
            <v>Nishant Kumar</v>
          </cell>
          <cell r="I780">
            <v>6204724810</v>
          </cell>
          <cell r="J780" t="str">
            <v>101003</v>
          </cell>
          <cell r="K780"/>
          <cell r="L780">
            <v>45653</v>
          </cell>
          <cell r="N780" t="str">
            <v>Parbatta</v>
          </cell>
        </row>
        <row r="781">
          <cell r="B781">
            <v>10100056</v>
          </cell>
          <cell r="C781" t="str">
            <v>0056</v>
          </cell>
          <cell r="D781"/>
          <cell r="E781" t="str">
            <v>MPG</v>
          </cell>
          <cell r="F781" t="str">
            <v>Direct</v>
          </cell>
          <cell r="G781" t="str">
            <v>Gomukh Kaithi</v>
          </cell>
          <cell r="H781" t="str">
            <v>Mithun Kumar</v>
          </cell>
          <cell r="I781">
            <v>6204674632</v>
          </cell>
          <cell r="J781" t="str">
            <v>101002</v>
          </cell>
          <cell r="K781"/>
          <cell r="L781">
            <v>45653</v>
          </cell>
          <cell r="N781" t="str">
            <v>Parbatta</v>
          </cell>
        </row>
        <row r="782">
          <cell r="B782">
            <v>10100057</v>
          </cell>
          <cell r="C782" t="str">
            <v>0057</v>
          </cell>
          <cell r="D782"/>
          <cell r="E782" t="str">
            <v>MPG</v>
          </cell>
          <cell r="F782" t="str">
            <v>Indirect</v>
          </cell>
          <cell r="G782" t="str">
            <v xml:space="preserve">Gomukh Bishouni Purbi </v>
          </cell>
          <cell r="H782" t="str">
            <v>Khushi Kumari</v>
          </cell>
          <cell r="I782">
            <v>7004473231</v>
          </cell>
          <cell r="J782" t="str">
            <v>101001</v>
          </cell>
          <cell r="K782"/>
          <cell r="L782">
            <v>45653</v>
          </cell>
          <cell r="N782" t="str">
            <v>Parbatta</v>
          </cell>
        </row>
        <row r="783">
          <cell r="B783">
            <v>10100058</v>
          </cell>
          <cell r="C783" t="str">
            <v>0058</v>
          </cell>
          <cell r="D783"/>
          <cell r="E783" t="str">
            <v>MPG</v>
          </cell>
          <cell r="F783" t="str">
            <v>Indirect</v>
          </cell>
          <cell r="G783" t="str">
            <v>Gomukh Bandehra</v>
          </cell>
          <cell r="H783" t="str">
            <v>Savitri Kumari</v>
          </cell>
          <cell r="I783">
            <v>6202845126</v>
          </cell>
          <cell r="J783" t="str">
            <v>101003</v>
          </cell>
          <cell r="K783"/>
          <cell r="L783">
            <v>45653</v>
          </cell>
          <cell r="N783" t="str">
            <v>Parbatta</v>
          </cell>
        </row>
        <row r="784">
          <cell r="B784">
            <v>10100059</v>
          </cell>
          <cell r="C784" t="str">
            <v>0059</v>
          </cell>
          <cell r="D784"/>
          <cell r="E784" t="str">
            <v>MPG</v>
          </cell>
          <cell r="F784" t="str">
            <v>Indirect</v>
          </cell>
          <cell r="G784" t="str">
            <v>Gomukh Rahempur</v>
          </cell>
          <cell r="H784" t="str">
            <v>Mithun Kumar</v>
          </cell>
          <cell r="I784">
            <v>9284829648</v>
          </cell>
          <cell r="J784" t="str">
            <v>101001</v>
          </cell>
          <cell r="K784"/>
          <cell r="L784">
            <v>45654</v>
          </cell>
          <cell r="N784" t="str">
            <v>Parbatta</v>
          </cell>
        </row>
        <row r="785">
          <cell r="B785">
            <v>10100060</v>
          </cell>
          <cell r="C785" t="str">
            <v>0060</v>
          </cell>
          <cell r="D785"/>
          <cell r="E785" t="str">
            <v>MPG</v>
          </cell>
          <cell r="F785" t="str">
            <v>Direct</v>
          </cell>
          <cell r="G785" t="str">
            <v>Gomukh Baisa</v>
          </cell>
          <cell r="H785" t="str">
            <v>Brajesh Kumar</v>
          </cell>
          <cell r="I785">
            <v>9122071277</v>
          </cell>
          <cell r="J785" t="str">
            <v>101003</v>
          </cell>
          <cell r="K785"/>
          <cell r="L785">
            <v>45654</v>
          </cell>
          <cell r="N785" t="str">
            <v>Parbatta</v>
          </cell>
        </row>
        <row r="786">
          <cell r="B786">
            <v>10100061</v>
          </cell>
          <cell r="C786" t="str">
            <v>0061</v>
          </cell>
          <cell r="D786"/>
          <cell r="E786" t="str">
            <v>MPG</v>
          </cell>
          <cell r="F786" t="str">
            <v>Direct</v>
          </cell>
          <cell r="G786" t="str">
            <v>Gomukh Bhorkanth purbi</v>
          </cell>
          <cell r="H786" t="str">
            <v>Ashok kumar</v>
          </cell>
          <cell r="I786">
            <v>9534931625</v>
          </cell>
          <cell r="J786" t="str">
            <v>101003</v>
          </cell>
          <cell r="K786"/>
          <cell r="L786">
            <v>46051</v>
          </cell>
          <cell r="N786" t="str">
            <v>Parbatta</v>
          </cell>
        </row>
        <row r="787">
          <cell r="B787">
            <v>10100062</v>
          </cell>
          <cell r="C787" t="str">
            <v>0062</v>
          </cell>
          <cell r="D787"/>
          <cell r="E787" t="str">
            <v>MPG</v>
          </cell>
          <cell r="F787" t="str">
            <v>Indirect</v>
          </cell>
          <cell r="G787" t="str">
            <v>Gomukh Khutha VLC</v>
          </cell>
          <cell r="H787" t="str">
            <v>Niraj Kumar</v>
          </cell>
          <cell r="I787">
            <v>9304740972</v>
          </cell>
          <cell r="J787" t="str">
            <v>101003</v>
          </cell>
          <cell r="K787"/>
          <cell r="L787">
            <v>46051</v>
          </cell>
          <cell r="N787" t="str">
            <v>Parbatta</v>
          </cell>
        </row>
        <row r="788">
          <cell r="B788">
            <v>10100063</v>
          </cell>
          <cell r="C788" t="str">
            <v>0063</v>
          </cell>
          <cell r="D788"/>
          <cell r="E788" t="str">
            <v>MPG</v>
          </cell>
          <cell r="F788" t="str">
            <v>Indirect</v>
          </cell>
          <cell r="G788" t="str">
            <v>Gomukh jitendra Yadav vlc</v>
          </cell>
          <cell r="H788" t="str">
            <v>jitendra Yadav</v>
          </cell>
          <cell r="I788">
            <v>7050497484</v>
          </cell>
          <cell r="J788" t="str">
            <v>101003</v>
          </cell>
          <cell r="K788"/>
          <cell r="L788">
            <v>46058</v>
          </cell>
          <cell r="N788" t="str">
            <v>Parbatta</v>
          </cell>
        </row>
        <row r="789">
          <cell r="B789">
            <v>10100064</v>
          </cell>
          <cell r="C789" t="str">
            <v>0064</v>
          </cell>
          <cell r="D789"/>
          <cell r="E789" t="str">
            <v>MPG</v>
          </cell>
          <cell r="F789" t="str">
            <v>Indirect</v>
          </cell>
          <cell r="G789" t="str">
            <v>Gomukh Ratan Yadav vlc</v>
          </cell>
          <cell r="H789" t="str">
            <v>Ratan kumar yadav</v>
          </cell>
          <cell r="I789">
            <v>7261812559</v>
          </cell>
          <cell r="J789" t="str">
            <v>101003</v>
          </cell>
          <cell r="K789"/>
          <cell r="L789">
            <v>46058</v>
          </cell>
          <cell r="N789" t="str">
            <v>Parbatta</v>
          </cell>
        </row>
        <row r="790">
          <cell r="B790">
            <v>10100065</v>
          </cell>
          <cell r="C790" t="str">
            <v>0065</v>
          </cell>
          <cell r="D790"/>
          <cell r="E790" t="str">
            <v>MPG</v>
          </cell>
          <cell r="F790" t="str">
            <v>Indirect</v>
          </cell>
          <cell r="G790" t="str">
            <v>Gomukh Kabela vlc</v>
          </cell>
          <cell r="H790" t="str">
            <v>Shivam kumar</v>
          </cell>
          <cell r="I790">
            <v>7488802226</v>
          </cell>
          <cell r="J790" t="str">
            <v>101003</v>
          </cell>
          <cell r="K790"/>
          <cell r="L790">
            <v>46065</v>
          </cell>
          <cell r="N790" t="str">
            <v>Parbatta</v>
          </cell>
        </row>
        <row r="791">
          <cell r="B791">
            <v>10100066</v>
          </cell>
          <cell r="C791" t="str">
            <v>0066</v>
          </cell>
          <cell r="D791"/>
          <cell r="E791" t="str">
            <v>MPG</v>
          </cell>
          <cell r="F791" t="str">
            <v>Indirect</v>
          </cell>
          <cell r="G791" t="str">
            <v>Gommukh Nilu kumari vlc</v>
          </cell>
          <cell r="H791" t="str">
            <v>Nilu kumari</v>
          </cell>
          <cell r="I791">
            <v>9229787417</v>
          </cell>
          <cell r="J791" t="str">
            <v>101003</v>
          </cell>
          <cell r="K791"/>
          <cell r="L791">
            <v>46078</v>
          </cell>
          <cell r="N791" t="str">
            <v>Parbatta</v>
          </cell>
        </row>
        <row r="792">
          <cell r="B792">
            <v>10100067</v>
          </cell>
          <cell r="C792" t="str">
            <v>0067</v>
          </cell>
          <cell r="D792"/>
          <cell r="E792" t="str">
            <v>MPG</v>
          </cell>
          <cell r="F792" t="str">
            <v>Indirect</v>
          </cell>
          <cell r="G792" t="str">
            <v>Gomukh Madhabpur Purbi vlc</v>
          </cell>
          <cell r="H792" t="str">
            <v>Ram Singh</v>
          </cell>
          <cell r="I792">
            <v>7667300565</v>
          </cell>
          <cell r="J792" t="str">
            <v>101003</v>
          </cell>
          <cell r="K792"/>
          <cell r="L792">
            <v>46078</v>
          </cell>
          <cell r="N792" t="str">
            <v>Parbatta</v>
          </cell>
        </row>
        <row r="793">
          <cell r="B793">
            <v>10110001</v>
          </cell>
          <cell r="C793" t="str">
            <v>0001</v>
          </cell>
          <cell r="D793" t="str">
            <v>9502</v>
          </cell>
          <cell r="E793" t="str">
            <v>MPG</v>
          </cell>
          <cell r="F793" t="str">
            <v>Direct</v>
          </cell>
          <cell r="G793" t="str">
            <v>Gomukh Mahendrapur</v>
          </cell>
          <cell r="H793" t="str">
            <v>Neeraj Kumar Singh</v>
          </cell>
          <cell r="I793">
            <v>9708780450</v>
          </cell>
          <cell r="J793" t="str">
            <v>101102</v>
          </cell>
          <cell r="K793" t="str">
            <v>Yes</v>
          </cell>
          <cell r="L793">
            <v>42979</v>
          </cell>
          <cell r="N793" t="str">
            <v>Sahibpur Kamal</v>
          </cell>
        </row>
        <row r="794">
          <cell r="B794">
            <v>10110002</v>
          </cell>
          <cell r="C794" t="str">
            <v>0002</v>
          </cell>
          <cell r="D794" t="str">
            <v>9503</v>
          </cell>
          <cell r="E794" t="str">
            <v>MPG</v>
          </cell>
          <cell r="F794" t="str">
            <v>Direct</v>
          </cell>
          <cell r="G794" t="str">
            <v>Gomukh Balahpur</v>
          </cell>
          <cell r="H794" t="str">
            <v>Manish Kumar</v>
          </cell>
          <cell r="I794">
            <v>7544829316</v>
          </cell>
          <cell r="J794" t="str">
            <v>101102</v>
          </cell>
          <cell r="K794" t="str">
            <v/>
          </cell>
          <cell r="L794">
            <v>42979</v>
          </cell>
          <cell r="N794" t="str">
            <v>Sahibpur Kamal</v>
          </cell>
        </row>
        <row r="795">
          <cell r="B795">
            <v>10110003</v>
          </cell>
          <cell r="C795" t="str">
            <v>0003</v>
          </cell>
          <cell r="D795" t="str">
            <v>9512</v>
          </cell>
          <cell r="E795" t="str">
            <v>MPG</v>
          </cell>
          <cell r="F795" t="str">
            <v>Direct</v>
          </cell>
          <cell r="G795" t="str">
            <v>Gomukh Bhairwar</v>
          </cell>
          <cell r="H795" t="str">
            <v>Rakesh Roushan Kumar</v>
          </cell>
          <cell r="I795">
            <v>7631307793</v>
          </cell>
          <cell r="J795" t="str">
            <v>101102</v>
          </cell>
          <cell r="K795" t="str">
            <v/>
          </cell>
          <cell r="L795">
            <v>42979</v>
          </cell>
          <cell r="N795" t="str">
            <v>Sahibpur Kamal</v>
          </cell>
        </row>
        <row r="796">
          <cell r="B796">
            <v>10110004</v>
          </cell>
          <cell r="C796" t="str">
            <v>0004</v>
          </cell>
          <cell r="D796" t="str">
            <v>9519</v>
          </cell>
          <cell r="E796" t="str">
            <v>MPG</v>
          </cell>
          <cell r="F796" t="str">
            <v>Direct</v>
          </cell>
          <cell r="G796" t="str">
            <v>Gomukh Danauli</v>
          </cell>
          <cell r="H796" t="str">
            <v>Rampukar Yadav</v>
          </cell>
          <cell r="I796">
            <v>8709980231</v>
          </cell>
          <cell r="J796" t="str">
            <v>101103</v>
          </cell>
          <cell r="K796" t="str">
            <v/>
          </cell>
          <cell r="L796">
            <v>42979</v>
          </cell>
          <cell r="N796" t="str">
            <v>Sahibpur Kamal</v>
          </cell>
        </row>
        <row r="797">
          <cell r="B797">
            <v>10110005</v>
          </cell>
          <cell r="C797" t="str">
            <v>0005</v>
          </cell>
          <cell r="D797" t="str">
            <v>9521</v>
          </cell>
          <cell r="E797" t="str">
            <v>MPG</v>
          </cell>
          <cell r="F797" t="str">
            <v>Direct</v>
          </cell>
          <cell r="G797" t="str">
            <v>NAYAGAW</v>
          </cell>
          <cell r="H797" t="str">
            <v>Manohar Singh</v>
          </cell>
          <cell r="I797">
            <v>9155139951</v>
          </cell>
          <cell r="J797" t="str">
            <v>101102</v>
          </cell>
          <cell r="K797" t="str">
            <v>Yes</v>
          </cell>
          <cell r="L797">
            <v>42979</v>
          </cell>
          <cell r="N797" t="str">
            <v>Sahibpur Kamal</v>
          </cell>
        </row>
        <row r="798">
          <cell r="B798">
            <v>10110006</v>
          </cell>
          <cell r="C798" t="str">
            <v>0006</v>
          </cell>
          <cell r="D798" t="str">
            <v>9531</v>
          </cell>
          <cell r="E798" t="str">
            <v>MPG</v>
          </cell>
          <cell r="F798" t="str">
            <v>Direct</v>
          </cell>
          <cell r="G798" t="str">
            <v>sadipur</v>
          </cell>
          <cell r="H798" t="str">
            <v>Chandan Sharma</v>
          </cell>
          <cell r="I798">
            <v>9608642237</v>
          </cell>
          <cell r="J798" t="str">
            <v>101103</v>
          </cell>
          <cell r="K798" t="str">
            <v/>
          </cell>
          <cell r="L798">
            <v>42979</v>
          </cell>
          <cell r="N798" t="str">
            <v>Sahibpur Kamal</v>
          </cell>
        </row>
        <row r="799">
          <cell r="B799">
            <v>10110007</v>
          </cell>
          <cell r="C799" t="str">
            <v>0007</v>
          </cell>
          <cell r="D799" t="str">
            <v>9717</v>
          </cell>
          <cell r="E799" t="str">
            <v>MPG</v>
          </cell>
          <cell r="F799" t="str">
            <v>Direct</v>
          </cell>
          <cell r="G799" t="str">
            <v>Dandari</v>
          </cell>
          <cell r="H799" t="str">
            <v>Anurudh Yadav</v>
          </cell>
          <cell r="I799">
            <v>7549284477</v>
          </cell>
          <cell r="J799" t="str">
            <v>101101</v>
          </cell>
          <cell r="K799" t="str">
            <v/>
          </cell>
          <cell r="L799">
            <v>42979</v>
          </cell>
          <cell r="N799" t="str">
            <v>Sahibpur Kamal</v>
          </cell>
        </row>
        <row r="800">
          <cell r="B800">
            <v>10110008</v>
          </cell>
          <cell r="C800" t="str">
            <v>0008</v>
          </cell>
          <cell r="D800" t="str">
            <v>9719</v>
          </cell>
          <cell r="E800" t="str">
            <v>MPG</v>
          </cell>
          <cell r="F800" t="str">
            <v>Direct</v>
          </cell>
          <cell r="G800" t="str">
            <v>Rahimpur pachkhutti</v>
          </cell>
          <cell r="H800" t="str">
            <v>Sanjiv Kumar</v>
          </cell>
          <cell r="I800">
            <v>6201949258</v>
          </cell>
          <cell r="J800" t="str">
            <v>101103</v>
          </cell>
          <cell r="K800" t="str">
            <v>Yes</v>
          </cell>
          <cell r="L800">
            <v>42979</v>
          </cell>
          <cell r="N800" t="str">
            <v>Sahibpur Kamal</v>
          </cell>
        </row>
        <row r="801">
          <cell r="B801">
            <v>10110009</v>
          </cell>
          <cell r="C801" t="str">
            <v>0009</v>
          </cell>
          <cell r="D801" t="str">
            <v>9724</v>
          </cell>
          <cell r="E801" t="str">
            <v>MPG</v>
          </cell>
          <cell r="F801" t="str">
            <v>Direct</v>
          </cell>
          <cell r="G801" t="str">
            <v>Gomukh Masudanpur</v>
          </cell>
          <cell r="H801" t="str">
            <v>Krishna Kumar Choudhary</v>
          </cell>
          <cell r="I801">
            <v>9905468826</v>
          </cell>
          <cell r="J801" t="str">
            <v>101103</v>
          </cell>
          <cell r="K801" t="str">
            <v/>
          </cell>
          <cell r="L801">
            <v>42979</v>
          </cell>
          <cell r="N801" t="str">
            <v>Sahibpur Kamal</v>
          </cell>
        </row>
        <row r="802">
          <cell r="B802">
            <v>10110010</v>
          </cell>
          <cell r="C802" t="str">
            <v>0010</v>
          </cell>
          <cell r="D802" t="str">
            <v>9547</v>
          </cell>
          <cell r="E802" t="str">
            <v>MPG</v>
          </cell>
          <cell r="F802" t="str">
            <v>Indirect</v>
          </cell>
          <cell r="G802" t="str">
            <v>Gomukh Tartar</v>
          </cell>
          <cell r="H802" t="str">
            <v>Bipin Kumar Yadav</v>
          </cell>
          <cell r="I802">
            <v>9304965054</v>
          </cell>
          <cell r="J802" t="str">
            <v>101104</v>
          </cell>
          <cell r="K802" t="str">
            <v/>
          </cell>
          <cell r="L802">
            <v>43406</v>
          </cell>
          <cell r="N802" t="str">
            <v>Sahibpur Kamal</v>
          </cell>
        </row>
        <row r="803">
          <cell r="B803">
            <v>10110011</v>
          </cell>
          <cell r="C803" t="str">
            <v>0011</v>
          </cell>
          <cell r="D803" t="str">
            <v>9791</v>
          </cell>
          <cell r="E803" t="str">
            <v>MPG</v>
          </cell>
          <cell r="F803" t="str">
            <v>Direct</v>
          </cell>
          <cell r="G803" t="str">
            <v>GOMUKH PARTARPUR</v>
          </cell>
          <cell r="H803" t="str">
            <v>DILEEP YADAV</v>
          </cell>
          <cell r="I803">
            <v>7044431290</v>
          </cell>
          <cell r="J803" t="str">
            <v>101101</v>
          </cell>
          <cell r="K803" t="str">
            <v>Yes</v>
          </cell>
          <cell r="L803">
            <v>44373</v>
          </cell>
          <cell r="N803" t="str">
            <v>Sahibpur Kamal</v>
          </cell>
        </row>
        <row r="804">
          <cell r="B804">
            <v>10110012</v>
          </cell>
          <cell r="C804" t="str">
            <v>0012</v>
          </cell>
          <cell r="D804" t="str">
            <v>6490</v>
          </cell>
          <cell r="E804" t="str">
            <v>MPG</v>
          </cell>
          <cell r="F804" t="str">
            <v>Indirect</v>
          </cell>
          <cell r="G804" t="str">
            <v>Pappu Yadav</v>
          </cell>
          <cell r="H804" t="str">
            <v>Pappu Yadav</v>
          </cell>
          <cell r="I804"/>
          <cell r="J804" t="str">
            <v>101104</v>
          </cell>
          <cell r="K804" t="str">
            <v/>
          </cell>
          <cell r="L804">
            <v>44652</v>
          </cell>
          <cell r="N804" t="str">
            <v>Sahibpur Kamal</v>
          </cell>
        </row>
        <row r="805">
          <cell r="B805">
            <v>10110013</v>
          </cell>
          <cell r="C805" t="str">
            <v>0013</v>
          </cell>
          <cell r="D805" t="str">
            <v>9736</v>
          </cell>
          <cell r="E805" t="str">
            <v>MPG</v>
          </cell>
          <cell r="F805" t="str">
            <v>Direct</v>
          </cell>
          <cell r="G805" t="str">
            <v xml:space="preserve">Gomukh Mohanpur                                                                                     </v>
          </cell>
          <cell r="H805">
            <v>0</v>
          </cell>
          <cell r="I805">
            <v>0</v>
          </cell>
          <cell r="J805" t="str">
            <v>101101</v>
          </cell>
          <cell r="K805" t="str">
            <v/>
          </cell>
          <cell r="L805">
            <v>44681</v>
          </cell>
          <cell r="N805" t="str">
            <v>Sahibpur Kamal</v>
          </cell>
        </row>
        <row r="806">
          <cell r="B806">
            <v>10110014</v>
          </cell>
          <cell r="C806" t="str">
            <v>0014</v>
          </cell>
          <cell r="D806" t="str">
            <v>9742</v>
          </cell>
          <cell r="E806" t="str">
            <v>MPG</v>
          </cell>
          <cell r="F806" t="str">
            <v>Direct</v>
          </cell>
          <cell r="G806" t="str">
            <v>Gomukh Raghunathpur</v>
          </cell>
          <cell r="H806" t="str">
            <v>Raghwendra kumar Bhartendu</v>
          </cell>
          <cell r="I806">
            <v>9570281589</v>
          </cell>
          <cell r="J806" t="str">
            <v>101104</v>
          </cell>
          <cell r="K806" t="str">
            <v>Yes</v>
          </cell>
          <cell r="L806">
            <v>44681</v>
          </cell>
          <cell r="N806" t="str">
            <v>Sahibpur Kamal</v>
          </cell>
        </row>
        <row r="807">
          <cell r="B807">
            <v>10110015</v>
          </cell>
          <cell r="C807" t="str">
            <v>0015</v>
          </cell>
          <cell r="D807" t="str">
            <v>9744</v>
          </cell>
          <cell r="E807" t="str">
            <v>MPG</v>
          </cell>
          <cell r="F807" t="str">
            <v>Direct</v>
          </cell>
          <cell r="G807" t="str">
            <v>Gomukh Chhitraur</v>
          </cell>
          <cell r="H807" t="str">
            <v>NIRAJ KUMAR SINGH</v>
          </cell>
          <cell r="I807">
            <v>6205662844</v>
          </cell>
          <cell r="J807" t="str">
            <v>101102</v>
          </cell>
          <cell r="K807" t="str">
            <v>Yes</v>
          </cell>
          <cell r="L807">
            <v>44694</v>
          </cell>
          <cell r="N807" t="str">
            <v>Sahibpur Kamal</v>
          </cell>
        </row>
        <row r="808">
          <cell r="B808">
            <v>10110016</v>
          </cell>
          <cell r="C808" t="str">
            <v>0016</v>
          </cell>
          <cell r="D808" t="str">
            <v>9745</v>
          </cell>
          <cell r="E808" t="str">
            <v>MPG</v>
          </cell>
          <cell r="F808" t="str">
            <v>Direct</v>
          </cell>
          <cell r="G808" t="str">
            <v>Gomukh Khorampur Chakaur</v>
          </cell>
          <cell r="H808" t="str">
            <v>AMIT KUMAR</v>
          </cell>
          <cell r="I808">
            <v>8709344578</v>
          </cell>
          <cell r="J808" t="str">
            <v>101102</v>
          </cell>
          <cell r="K808" t="str">
            <v/>
          </cell>
          <cell r="L808">
            <v>44694</v>
          </cell>
          <cell r="N808" t="str">
            <v>Sahibpur Kamal</v>
          </cell>
        </row>
        <row r="809">
          <cell r="B809">
            <v>10110017</v>
          </cell>
          <cell r="C809" t="str">
            <v>0017</v>
          </cell>
          <cell r="D809" t="str">
            <v>9756</v>
          </cell>
          <cell r="E809" t="str">
            <v>MPG</v>
          </cell>
          <cell r="F809" t="str">
            <v>Direct</v>
          </cell>
          <cell r="G809" t="str">
            <v>Gomukh Jalapur Chhitraur</v>
          </cell>
          <cell r="H809" t="str">
            <v>Smt Archna kumari</v>
          </cell>
          <cell r="I809">
            <v>9534494042</v>
          </cell>
          <cell r="J809" t="str">
            <v>101102</v>
          </cell>
          <cell r="K809" t="str">
            <v>Yes</v>
          </cell>
          <cell r="L809">
            <v>44746</v>
          </cell>
          <cell r="N809" t="str">
            <v>Sahibpur Kamal</v>
          </cell>
        </row>
        <row r="810">
          <cell r="B810">
            <v>10110018</v>
          </cell>
          <cell r="C810" t="str">
            <v>0018</v>
          </cell>
          <cell r="D810" t="str">
            <v>9753</v>
          </cell>
          <cell r="E810" t="str">
            <v>MPG</v>
          </cell>
          <cell r="F810" t="str">
            <v>Direct</v>
          </cell>
          <cell r="G810" t="str">
            <v>Gomukh Nayagawn Balhapur2</v>
          </cell>
          <cell r="H810" t="str">
            <v>Kundan Kumar</v>
          </cell>
          <cell r="I810">
            <v>7545078891</v>
          </cell>
          <cell r="J810" t="str">
            <v>101102</v>
          </cell>
          <cell r="K810" t="str">
            <v>Yes</v>
          </cell>
          <cell r="L810">
            <v>44748</v>
          </cell>
          <cell r="N810" t="str">
            <v>Sahibpur Kamal</v>
          </cell>
        </row>
        <row r="811">
          <cell r="B811">
            <v>10110019</v>
          </cell>
          <cell r="C811" t="str">
            <v>0019</v>
          </cell>
          <cell r="D811" t="str">
            <v>9747</v>
          </cell>
          <cell r="E811" t="str">
            <v>MPG</v>
          </cell>
          <cell r="F811" t="str">
            <v>Direct</v>
          </cell>
          <cell r="G811" t="str">
            <v>Goumukh Samastipur</v>
          </cell>
          <cell r="H811" t="str">
            <v>Kundan kumar</v>
          </cell>
          <cell r="I811">
            <v>7903495537</v>
          </cell>
          <cell r="J811" t="str">
            <v>101103</v>
          </cell>
          <cell r="K811" t="str">
            <v>Yes</v>
          </cell>
          <cell r="L811">
            <v>44750</v>
          </cell>
          <cell r="N811" t="str">
            <v>Sahibpur Kamal</v>
          </cell>
        </row>
        <row r="812">
          <cell r="B812">
            <v>10110020</v>
          </cell>
          <cell r="C812" t="str">
            <v>0020</v>
          </cell>
          <cell r="D812" t="str">
            <v>9751</v>
          </cell>
          <cell r="E812" t="str">
            <v>MPG</v>
          </cell>
          <cell r="F812" t="str">
            <v>Direct</v>
          </cell>
          <cell r="G812" t="str">
            <v>GOMUKH Barkhanddi tola</v>
          </cell>
          <cell r="H812" t="str">
            <v xml:space="preserve">Manish Kumar </v>
          </cell>
          <cell r="I812">
            <v>6203928539</v>
          </cell>
          <cell r="J812" t="str">
            <v>101104</v>
          </cell>
          <cell r="K812" t="str">
            <v>Yes</v>
          </cell>
          <cell r="L812">
            <v>44757</v>
          </cell>
          <cell r="N812" t="str">
            <v>Sahibpur Kamal</v>
          </cell>
        </row>
        <row r="813">
          <cell r="B813">
            <v>10110021</v>
          </cell>
          <cell r="C813" t="str">
            <v>0021</v>
          </cell>
          <cell r="D813" t="str">
            <v>9750</v>
          </cell>
          <cell r="E813" t="str">
            <v>MPG</v>
          </cell>
          <cell r="F813" t="str">
            <v>Direct</v>
          </cell>
          <cell r="G813" t="str">
            <v>GOMUKH Mathar</v>
          </cell>
          <cell r="H813" t="str">
            <v xml:space="preserve">Chintu Sharma </v>
          </cell>
          <cell r="I813">
            <v>7091116438</v>
          </cell>
          <cell r="J813" t="str">
            <v>101104</v>
          </cell>
          <cell r="K813" t="str">
            <v>Yes</v>
          </cell>
          <cell r="L813">
            <v>44759</v>
          </cell>
          <cell r="N813" t="str">
            <v>Sahibpur Kamal</v>
          </cell>
        </row>
        <row r="814">
          <cell r="B814">
            <v>10110022</v>
          </cell>
          <cell r="C814" t="str">
            <v>0022</v>
          </cell>
          <cell r="D814" t="str">
            <v>9759</v>
          </cell>
          <cell r="E814" t="str">
            <v>MPG</v>
          </cell>
          <cell r="F814" t="str">
            <v>Direct</v>
          </cell>
          <cell r="G814" t="str">
            <v>Gomukh Mathar Sukhdev babu tola</v>
          </cell>
          <cell r="H814" t="str">
            <v>Shyam Kumar</v>
          </cell>
          <cell r="I814">
            <v>8292863286</v>
          </cell>
          <cell r="J814" t="str">
            <v>101104</v>
          </cell>
          <cell r="K814" t="str">
            <v>Yes</v>
          </cell>
          <cell r="L814">
            <v>44777</v>
          </cell>
          <cell r="N814" t="str">
            <v>Sahibpur Kamal</v>
          </cell>
        </row>
        <row r="815">
          <cell r="B815">
            <v>10110023</v>
          </cell>
          <cell r="C815" t="str">
            <v>0023</v>
          </cell>
          <cell r="D815" t="str">
            <v>9761</v>
          </cell>
          <cell r="E815" t="str">
            <v>MPG</v>
          </cell>
          <cell r="F815" t="str">
            <v>Direct</v>
          </cell>
          <cell r="G815" t="str">
            <v>Gomukh Gokhale Nagar Bishanpur</v>
          </cell>
          <cell r="H815" t="str">
            <v>Priti devi</v>
          </cell>
          <cell r="I815">
            <v>6355843166</v>
          </cell>
          <cell r="J815" t="str">
            <v>101103</v>
          </cell>
          <cell r="K815" t="str">
            <v>Yes</v>
          </cell>
          <cell r="L815">
            <v>44901</v>
          </cell>
          <cell r="N815" t="str">
            <v>Sahibpur Kamal</v>
          </cell>
        </row>
        <row r="816">
          <cell r="B816">
            <v>10110024</v>
          </cell>
          <cell r="C816" t="str">
            <v>0024</v>
          </cell>
          <cell r="D816" t="str">
            <v>9766</v>
          </cell>
          <cell r="E816" t="str">
            <v>MPG</v>
          </cell>
          <cell r="F816" t="str">
            <v>Direct</v>
          </cell>
          <cell r="G816" t="str">
            <v>Gomukh Pachrukhi</v>
          </cell>
          <cell r="H816" t="str">
            <v>Pankaj Kumar</v>
          </cell>
          <cell r="I816">
            <v>7479648575</v>
          </cell>
          <cell r="J816" t="str">
            <v>101101</v>
          </cell>
          <cell r="K816" t="str">
            <v>Yes</v>
          </cell>
          <cell r="L816">
            <v>44866</v>
          </cell>
          <cell r="N816" t="str">
            <v>Sahibpur Kamal</v>
          </cell>
        </row>
        <row r="817">
          <cell r="B817">
            <v>10110025</v>
          </cell>
          <cell r="C817" t="str">
            <v>0025</v>
          </cell>
          <cell r="D817" t="str">
            <v>6659</v>
          </cell>
          <cell r="E817" t="str">
            <v>MPG</v>
          </cell>
          <cell r="F817" t="str">
            <v>Indirect</v>
          </cell>
          <cell r="G817" t="str">
            <v>Munna Kumar</v>
          </cell>
          <cell r="H817" t="str">
            <v>Munna Kumar</v>
          </cell>
          <cell r="I817">
            <v>9955508809</v>
          </cell>
          <cell r="J817" t="str">
            <v>101103</v>
          </cell>
          <cell r="K817" t="str">
            <v/>
          </cell>
          <cell r="L817">
            <v>44904</v>
          </cell>
          <cell r="N817" t="str">
            <v>Sahibpur Kamal</v>
          </cell>
        </row>
        <row r="818">
          <cell r="B818">
            <v>10110026</v>
          </cell>
          <cell r="C818" t="str">
            <v>0026</v>
          </cell>
          <cell r="D818" t="str">
            <v>9768</v>
          </cell>
          <cell r="E818" t="str">
            <v>MPG</v>
          </cell>
          <cell r="F818" t="str">
            <v>Direct</v>
          </cell>
          <cell r="G818" t="str">
            <v>Gomukh Diha</v>
          </cell>
          <cell r="H818" t="str">
            <v>Anand Kumar</v>
          </cell>
          <cell r="I818">
            <v>9693235862</v>
          </cell>
          <cell r="J818" t="str">
            <v>101101</v>
          </cell>
          <cell r="K818" t="str">
            <v>Yes</v>
          </cell>
          <cell r="L818">
            <v>44927</v>
          </cell>
          <cell r="N818" t="str">
            <v>Sahibpur Kamal</v>
          </cell>
        </row>
        <row r="819">
          <cell r="B819">
            <v>10110027</v>
          </cell>
          <cell r="C819" t="str">
            <v>0027</v>
          </cell>
          <cell r="D819" t="str">
            <v>9770</v>
          </cell>
          <cell r="E819" t="str">
            <v>MPG</v>
          </cell>
          <cell r="F819" t="str">
            <v>Direct</v>
          </cell>
          <cell r="G819" t="str">
            <v>Gomukh Matu nagar</v>
          </cell>
          <cell r="H819" t="str">
            <v>Bikash Kumar</v>
          </cell>
          <cell r="I819">
            <v>9817422172</v>
          </cell>
          <cell r="J819" t="str">
            <v>101103</v>
          </cell>
          <cell r="K819" t="str">
            <v>Yes</v>
          </cell>
          <cell r="L819">
            <v>44935</v>
          </cell>
          <cell r="N819" t="str">
            <v>Sahibpur Kamal</v>
          </cell>
        </row>
        <row r="820">
          <cell r="B820">
            <v>10110028</v>
          </cell>
          <cell r="C820" t="str">
            <v>0028</v>
          </cell>
          <cell r="D820" t="str">
            <v>9769</v>
          </cell>
          <cell r="E820" t="str">
            <v>MPG</v>
          </cell>
          <cell r="F820" t="str">
            <v>Direct</v>
          </cell>
          <cell r="G820" t="str">
            <v>Gomukh Shaku</v>
          </cell>
          <cell r="H820" t="str">
            <v>Manoj Kumar</v>
          </cell>
          <cell r="I820">
            <v>7633025423</v>
          </cell>
          <cell r="J820" t="str">
            <v>101101</v>
          </cell>
          <cell r="K820" t="str">
            <v>Yes</v>
          </cell>
          <cell r="L820">
            <v>44961</v>
          </cell>
          <cell r="N820" t="str">
            <v>Sahibpur Kamal</v>
          </cell>
        </row>
        <row r="821">
          <cell r="B821">
            <v>10110029</v>
          </cell>
          <cell r="C821" t="str">
            <v>0029</v>
          </cell>
          <cell r="D821" t="str">
            <v>9771</v>
          </cell>
          <cell r="E821" t="str">
            <v>MPG</v>
          </cell>
          <cell r="F821" t="str">
            <v>Direct</v>
          </cell>
          <cell r="G821" t="str">
            <v>Gomukh Bhagatpur</v>
          </cell>
          <cell r="H821" t="str">
            <v>Satyaketu kumar</v>
          </cell>
          <cell r="I821">
            <v>7903642445</v>
          </cell>
          <cell r="J821" t="str">
            <v>101103</v>
          </cell>
          <cell r="K821" t="str">
            <v>Yes</v>
          </cell>
          <cell r="L821">
            <v>44962</v>
          </cell>
          <cell r="N821" t="str">
            <v>Sahibpur Kamal</v>
          </cell>
        </row>
        <row r="822">
          <cell r="B822">
            <v>10110030</v>
          </cell>
          <cell r="C822" t="str">
            <v>0030</v>
          </cell>
          <cell r="D822" t="str">
            <v>9772</v>
          </cell>
          <cell r="E822" t="str">
            <v>MPG</v>
          </cell>
          <cell r="F822" t="str">
            <v>Direct</v>
          </cell>
          <cell r="G822" t="str">
            <v>Gomukh Miralipur</v>
          </cell>
          <cell r="H822" t="str">
            <v>Amarjeet Paswan</v>
          </cell>
          <cell r="I822">
            <v>9199376280</v>
          </cell>
          <cell r="J822" t="str">
            <v>101103</v>
          </cell>
          <cell r="K822" t="str">
            <v>Yes</v>
          </cell>
          <cell r="L822">
            <v>44963</v>
          </cell>
          <cell r="N822" t="str">
            <v>Sahibpur Kamal</v>
          </cell>
        </row>
        <row r="823">
          <cell r="B823">
            <v>10110031</v>
          </cell>
          <cell r="C823" t="str">
            <v>0031</v>
          </cell>
          <cell r="D823" t="str">
            <v>9774</v>
          </cell>
          <cell r="E823" t="str">
            <v>MPG</v>
          </cell>
          <cell r="F823" t="str">
            <v>Direct</v>
          </cell>
          <cell r="G823" t="str">
            <v>Gomukh Raghunathpur Karari</v>
          </cell>
          <cell r="H823" t="str">
            <v>Gopal Kumar</v>
          </cell>
          <cell r="I823">
            <v>9570412085</v>
          </cell>
          <cell r="J823" t="str">
            <v>101104</v>
          </cell>
          <cell r="K823" t="str">
            <v>Yes</v>
          </cell>
          <cell r="L823">
            <v>44984</v>
          </cell>
          <cell r="N823" t="str">
            <v>Sahibpur Kamal</v>
          </cell>
        </row>
        <row r="824">
          <cell r="B824">
            <v>10110032</v>
          </cell>
          <cell r="C824" t="str">
            <v>0032</v>
          </cell>
          <cell r="D824" t="str">
            <v>9777</v>
          </cell>
          <cell r="E824" t="str">
            <v>MPG</v>
          </cell>
          <cell r="F824" t="str">
            <v>Direct</v>
          </cell>
          <cell r="G824" t="str">
            <v>Gomukh Kumar chakki</v>
          </cell>
          <cell r="H824" t="str">
            <v>Priti Kumari</v>
          </cell>
          <cell r="I824">
            <v>7808563931</v>
          </cell>
          <cell r="J824" t="str">
            <v>101105</v>
          </cell>
          <cell r="K824" t="str">
            <v>Yes</v>
          </cell>
          <cell r="L824">
            <v>45012</v>
          </cell>
          <cell r="N824" t="str">
            <v>Sahibpur Kamal</v>
          </cell>
        </row>
        <row r="825">
          <cell r="B825">
            <v>10110033</v>
          </cell>
          <cell r="C825" t="str">
            <v>0033</v>
          </cell>
          <cell r="D825" t="str">
            <v>9779</v>
          </cell>
          <cell r="E825" t="str">
            <v>MPG</v>
          </cell>
          <cell r="F825" t="str">
            <v>Direct</v>
          </cell>
          <cell r="G825" t="str">
            <v>Gomukh Sanhatol</v>
          </cell>
          <cell r="H825" t="str">
            <v>Amit Kumar</v>
          </cell>
          <cell r="I825">
            <v>7463808753</v>
          </cell>
          <cell r="J825" t="str">
            <v>101103</v>
          </cell>
          <cell r="K825" t="str">
            <v>Yes</v>
          </cell>
          <cell r="L825">
            <v>45015</v>
          </cell>
          <cell r="N825" t="str">
            <v>Sahibpur Kamal</v>
          </cell>
        </row>
        <row r="826">
          <cell r="B826">
            <v>10110034</v>
          </cell>
          <cell r="C826" t="str">
            <v>0034</v>
          </cell>
          <cell r="D826" t="str">
            <v>9781</v>
          </cell>
          <cell r="E826" t="str">
            <v>MPG</v>
          </cell>
          <cell r="F826" t="str">
            <v>Direct</v>
          </cell>
          <cell r="G826" t="str">
            <v xml:space="preserve">Gomukh Sanha Pachhim                                                                                </v>
          </cell>
          <cell r="H826" t="str">
            <v>Rajiv Kumar ranjan</v>
          </cell>
          <cell r="I826">
            <v>7549626688</v>
          </cell>
          <cell r="J826" t="str">
            <v>101103</v>
          </cell>
          <cell r="K826" t="str">
            <v>Yes</v>
          </cell>
          <cell r="L826">
            <v>45018</v>
          </cell>
          <cell r="N826" t="str">
            <v>Sahibpur Kamal</v>
          </cell>
        </row>
        <row r="827">
          <cell r="B827">
            <v>10110035</v>
          </cell>
          <cell r="C827" t="str">
            <v>0035</v>
          </cell>
          <cell r="D827" t="str">
            <v>9763</v>
          </cell>
          <cell r="E827" t="str">
            <v>MPG</v>
          </cell>
          <cell r="F827" t="str">
            <v>Direct</v>
          </cell>
          <cell r="G827" t="str">
            <v xml:space="preserve">Gomukh Dariyapur                                                                                    </v>
          </cell>
          <cell r="H827" t="str">
            <v>Shambhu Prasad Yadav</v>
          </cell>
          <cell r="I827">
            <v>7545947432</v>
          </cell>
          <cell r="J827" t="str">
            <v>101102</v>
          </cell>
          <cell r="K827" t="str">
            <v>Yes</v>
          </cell>
          <cell r="L827">
            <v>45042</v>
          </cell>
          <cell r="N827" t="str">
            <v>Sahibpur Kamal</v>
          </cell>
        </row>
        <row r="828">
          <cell r="B828">
            <v>10110036</v>
          </cell>
          <cell r="C828" t="str">
            <v>0036</v>
          </cell>
          <cell r="D828" t="str">
            <v>6707</v>
          </cell>
          <cell r="E828" t="str">
            <v>MPG</v>
          </cell>
          <cell r="F828" t="str">
            <v>Indirect</v>
          </cell>
          <cell r="G828" t="str">
            <v xml:space="preserve">Gomukh Samastipur kundan                                                                            </v>
          </cell>
          <cell r="H828" t="str">
            <v>Kundan Kumar</v>
          </cell>
          <cell r="I828">
            <v>7903495537</v>
          </cell>
          <cell r="J828" t="str">
            <v>101103</v>
          </cell>
          <cell r="K828" t="str">
            <v/>
          </cell>
          <cell r="L828">
            <v>45058</v>
          </cell>
          <cell r="N828" t="str">
            <v>Sahibpur Kamal</v>
          </cell>
        </row>
        <row r="829">
          <cell r="B829">
            <v>10110037</v>
          </cell>
          <cell r="C829" t="str">
            <v>0037</v>
          </cell>
          <cell r="D829" t="str">
            <v>6747</v>
          </cell>
          <cell r="E829" t="str">
            <v>MPG</v>
          </cell>
          <cell r="F829" t="str">
            <v>Indirect</v>
          </cell>
          <cell r="G829" t="str">
            <v>nitish kumar</v>
          </cell>
          <cell r="H829" t="str">
            <v>nitish kumar</v>
          </cell>
          <cell r="I829"/>
          <cell r="J829" t="str">
            <v>101103</v>
          </cell>
          <cell r="K829" t="str">
            <v/>
          </cell>
          <cell r="L829">
            <v>45125</v>
          </cell>
          <cell r="N829" t="str">
            <v>Sahibpur Kamal</v>
          </cell>
        </row>
        <row r="830">
          <cell r="B830">
            <v>10110038</v>
          </cell>
          <cell r="C830" t="str">
            <v>0038</v>
          </cell>
          <cell r="D830" t="str">
            <v>9783</v>
          </cell>
          <cell r="E830" t="str">
            <v>MPG</v>
          </cell>
          <cell r="F830" t="str">
            <v>Direct</v>
          </cell>
          <cell r="G830" t="str">
            <v>Gomukh Shreepur</v>
          </cell>
          <cell r="H830" t="str">
            <v>Gadita devi</v>
          </cell>
          <cell r="I830">
            <v>7046923297</v>
          </cell>
          <cell r="J830" t="str">
            <v>101102</v>
          </cell>
          <cell r="K830" t="str">
            <v/>
          </cell>
          <cell r="L830">
            <v>45161</v>
          </cell>
          <cell r="N830" t="str">
            <v>Sahibpur Kamal</v>
          </cell>
        </row>
        <row r="831">
          <cell r="B831">
            <v>10110039</v>
          </cell>
          <cell r="C831" t="str">
            <v>0039</v>
          </cell>
          <cell r="D831" t="str">
            <v>9790</v>
          </cell>
          <cell r="E831" t="str">
            <v>MPG</v>
          </cell>
          <cell r="F831" t="str">
            <v>Direct</v>
          </cell>
          <cell r="G831" t="str">
            <v>GOMUKH SHAADPUR</v>
          </cell>
          <cell r="H831" t="str">
            <v>SUMAN KUMAR</v>
          </cell>
          <cell r="I831">
            <v>7283071676</v>
          </cell>
          <cell r="J831" t="str">
            <v>101101</v>
          </cell>
          <cell r="K831" t="str">
            <v/>
          </cell>
          <cell r="L831">
            <v>45162</v>
          </cell>
          <cell r="N831" t="str">
            <v>Sahibpur Kamal</v>
          </cell>
        </row>
        <row r="832">
          <cell r="B832">
            <v>10110040</v>
          </cell>
          <cell r="C832" t="str">
            <v>0040</v>
          </cell>
          <cell r="D832" t="str">
            <v>9798</v>
          </cell>
          <cell r="E832" t="str">
            <v>MPG</v>
          </cell>
          <cell r="F832" t="str">
            <v>Direct</v>
          </cell>
          <cell r="G832" t="str">
            <v>Gomukh Prashant nagar</v>
          </cell>
          <cell r="H832" t="str">
            <v>Abhishek kumar</v>
          </cell>
          <cell r="I832">
            <v>6204457730</v>
          </cell>
          <cell r="J832" t="str">
            <v>101103</v>
          </cell>
          <cell r="K832" t="str">
            <v/>
          </cell>
          <cell r="L832">
            <v>45226</v>
          </cell>
          <cell r="N832" t="str">
            <v>Sahibpur Kamal</v>
          </cell>
        </row>
        <row r="833">
          <cell r="B833">
            <v>10110041</v>
          </cell>
          <cell r="C833" t="str">
            <v>0041</v>
          </cell>
          <cell r="D833" t="str">
            <v>9799</v>
          </cell>
          <cell r="E833" t="str">
            <v>MPG</v>
          </cell>
          <cell r="F833" t="str">
            <v>Direct</v>
          </cell>
          <cell r="G833" t="str">
            <v>Gomukh Maniappa</v>
          </cell>
          <cell r="H833" t="str">
            <v>Shabnam kumari</v>
          </cell>
          <cell r="I833">
            <v>9709477774</v>
          </cell>
          <cell r="J833" t="str">
            <v>101102</v>
          </cell>
          <cell r="K833" t="str">
            <v>Yes</v>
          </cell>
          <cell r="L833">
            <v>45226</v>
          </cell>
          <cell r="N833" t="str">
            <v>Sahibpur Kamal</v>
          </cell>
        </row>
        <row r="834">
          <cell r="B834">
            <v>10110042</v>
          </cell>
          <cell r="C834" t="str">
            <v>0042</v>
          </cell>
          <cell r="D834" t="str">
            <v>9800</v>
          </cell>
          <cell r="E834" t="str">
            <v>MPG</v>
          </cell>
          <cell r="F834" t="str">
            <v>Indirect</v>
          </cell>
          <cell r="G834" t="str">
            <v>Gomukh Sonapur</v>
          </cell>
          <cell r="H834" t="str">
            <v>Ramashankar Singh</v>
          </cell>
          <cell r="I834">
            <v>6201847252</v>
          </cell>
          <cell r="J834" t="str">
            <v>101102</v>
          </cell>
          <cell r="K834" t="str">
            <v>Yes</v>
          </cell>
          <cell r="L834">
            <v>45226</v>
          </cell>
          <cell r="N834" t="str">
            <v>Sahibpur Kamal</v>
          </cell>
        </row>
        <row r="835">
          <cell r="B835">
            <v>10110043</v>
          </cell>
          <cell r="C835" t="str">
            <v>0043</v>
          </cell>
          <cell r="D835" t="str">
            <v>9804</v>
          </cell>
          <cell r="E835" t="str">
            <v>MPG</v>
          </cell>
          <cell r="F835" t="str">
            <v>Direct</v>
          </cell>
          <cell r="G835" t="str">
            <v>Gomukh Barkhandi 2</v>
          </cell>
          <cell r="H835" t="str">
            <v>vipin yadav</v>
          </cell>
          <cell r="I835">
            <v>6204152884</v>
          </cell>
          <cell r="J835" t="str">
            <v>101104</v>
          </cell>
          <cell r="K835" t="str">
            <v>Yes</v>
          </cell>
          <cell r="L835">
            <v>45226</v>
          </cell>
          <cell r="N835" t="str">
            <v>Sahibpur Kamal</v>
          </cell>
        </row>
        <row r="836">
          <cell r="B836">
            <v>10110044</v>
          </cell>
          <cell r="C836" t="str">
            <v>0044</v>
          </cell>
          <cell r="D836" t="str">
            <v>9805</v>
          </cell>
          <cell r="E836" t="str">
            <v>MPG</v>
          </cell>
          <cell r="F836" t="str">
            <v>Direct</v>
          </cell>
          <cell r="G836" t="str">
            <v>Gomukh Sahibpur</v>
          </cell>
          <cell r="H836" t="str">
            <v>Sunita Devi</v>
          </cell>
          <cell r="I836">
            <v>8676879567</v>
          </cell>
          <cell r="J836" t="str">
            <v>101103</v>
          </cell>
          <cell r="K836" t="str">
            <v>Yes</v>
          </cell>
          <cell r="L836">
            <v>45226</v>
          </cell>
          <cell r="N836" t="str">
            <v>Sahibpur Kamal</v>
          </cell>
        </row>
        <row r="837">
          <cell r="B837">
            <v>10110045</v>
          </cell>
          <cell r="C837" t="str">
            <v>0045</v>
          </cell>
          <cell r="D837" t="str">
            <v>9807</v>
          </cell>
          <cell r="E837" t="str">
            <v>MPG</v>
          </cell>
          <cell r="F837" t="str">
            <v>Direct</v>
          </cell>
          <cell r="G837" t="str">
            <v xml:space="preserve">Gomukh Shadipur </v>
          </cell>
          <cell r="H837" t="str">
            <v>Suman kumar</v>
          </cell>
          <cell r="I837">
            <v>9608529376</v>
          </cell>
          <cell r="J837" t="str">
            <v>101104</v>
          </cell>
          <cell r="K837" t="str">
            <v>Yes</v>
          </cell>
          <cell r="L837">
            <v>45259</v>
          </cell>
          <cell r="N837" t="str">
            <v>Sahibpur Kamal</v>
          </cell>
        </row>
        <row r="838">
          <cell r="B838">
            <v>10110046</v>
          </cell>
          <cell r="C838" t="str">
            <v>0046</v>
          </cell>
          <cell r="D838" t="str">
            <v>9760</v>
          </cell>
          <cell r="E838" t="str">
            <v>MPG</v>
          </cell>
          <cell r="F838" t="str">
            <v>Direct</v>
          </cell>
          <cell r="G838" t="str">
            <v>Gomukh English tola                                                                                 </v>
          </cell>
          <cell r="H838" t="str">
            <v>Sulo mandal</v>
          </cell>
          <cell r="I838">
            <v>9128971584</v>
          </cell>
          <cell r="J838" t="str">
            <v>101104</v>
          </cell>
          <cell r="K838" t="str">
            <v>Yes</v>
          </cell>
          <cell r="L838">
            <v>44776</v>
          </cell>
          <cell r="N838" t="str">
            <v>Sahibpur Kamal</v>
          </cell>
        </row>
        <row r="839">
          <cell r="B839">
            <v>10110047</v>
          </cell>
          <cell r="C839" t="str">
            <v>0047</v>
          </cell>
          <cell r="D839" t="str">
            <v>9773</v>
          </cell>
          <cell r="E839" t="str">
            <v>MPG</v>
          </cell>
          <cell r="F839" t="str">
            <v>Direct</v>
          </cell>
          <cell r="G839" t="str">
            <v xml:space="preserve">Gomukh Mohanpur 1                                                                                   </v>
          </cell>
          <cell r="H839" t="str">
            <v>Khushboo Kumari</v>
          </cell>
          <cell r="I839">
            <v>7631863030</v>
          </cell>
          <cell r="J839" t="str">
            <v>101104</v>
          </cell>
          <cell r="K839" t="str">
            <v>Yes</v>
          </cell>
          <cell r="L839">
            <v>44961</v>
          </cell>
          <cell r="N839" t="str">
            <v>Sahibpur Kamal</v>
          </cell>
        </row>
        <row r="840">
          <cell r="B840">
            <v>10110048</v>
          </cell>
          <cell r="C840" t="str">
            <v>0048</v>
          </cell>
          <cell r="D840" t="str">
            <v>9784</v>
          </cell>
          <cell r="E840" t="str">
            <v>MPG</v>
          </cell>
          <cell r="F840" t="str">
            <v>Direct</v>
          </cell>
          <cell r="G840" t="str">
            <v xml:space="preserve">Gomukh Rampur                                                                                       </v>
          </cell>
          <cell r="H840" t="str">
            <v>vidhan chandra bharti</v>
          </cell>
          <cell r="I840">
            <v>8521506142</v>
          </cell>
          <cell r="J840" t="str">
            <v>101102</v>
          </cell>
          <cell r="K840" t="str">
            <v>Yes</v>
          </cell>
          <cell r="L840">
            <v>45212</v>
          </cell>
          <cell r="N840" t="str">
            <v>Sahibpur Kamal</v>
          </cell>
        </row>
        <row r="841">
          <cell r="B841">
            <v>10110049</v>
          </cell>
          <cell r="C841" t="str">
            <v>0049</v>
          </cell>
          <cell r="D841" t="str">
            <v>9794</v>
          </cell>
          <cell r="E841" t="str">
            <v>MPG</v>
          </cell>
          <cell r="F841" t="str">
            <v>Direct</v>
          </cell>
          <cell r="G841" t="str">
            <v xml:space="preserve">Gomukh Kalyanpur                                                                                    </v>
          </cell>
          <cell r="H841" t="str">
            <v>Nisha devi</v>
          </cell>
          <cell r="I841">
            <v>9631135565</v>
          </cell>
          <cell r="J841" t="str">
            <v>101101</v>
          </cell>
          <cell r="K841" t="str">
            <v>Yes</v>
          </cell>
          <cell r="L841">
            <v>45212</v>
          </cell>
          <cell r="N841" t="str">
            <v>Sahibpur Kamal</v>
          </cell>
        </row>
        <row r="842">
          <cell r="B842">
            <v>10110050</v>
          </cell>
          <cell r="C842" t="str">
            <v>0050</v>
          </cell>
          <cell r="D842" t="str">
            <v>9795</v>
          </cell>
          <cell r="E842" t="str">
            <v>MPG</v>
          </cell>
          <cell r="F842" t="str">
            <v>Direct</v>
          </cell>
          <cell r="G842" t="str">
            <v xml:space="preserve">Gomukh Fatehpur                                                                                     </v>
          </cell>
          <cell r="H842" t="str">
            <v>Ranju devi</v>
          </cell>
          <cell r="I842">
            <v>7903566480</v>
          </cell>
          <cell r="J842" t="str">
            <v>101103</v>
          </cell>
          <cell r="K842" t="str">
            <v>Yes</v>
          </cell>
          <cell r="L842">
            <v>45205</v>
          </cell>
          <cell r="N842" t="str">
            <v>Sahibpur Kamal</v>
          </cell>
        </row>
        <row r="843">
          <cell r="B843">
            <v>10110051</v>
          </cell>
          <cell r="C843" t="str">
            <v>0051</v>
          </cell>
          <cell r="D843" t="str">
            <v>9797</v>
          </cell>
          <cell r="E843" t="str">
            <v>MPG</v>
          </cell>
          <cell r="F843" t="str">
            <v>Direct</v>
          </cell>
          <cell r="G843" t="str">
            <v>Gomukh Kutlupur                                                                                     </v>
          </cell>
          <cell r="H843" t="str">
            <v>Divakar Yadav</v>
          </cell>
          <cell r="I843">
            <v>7544546712</v>
          </cell>
          <cell r="J843" t="str">
            <v>101103</v>
          </cell>
          <cell r="K843" t="str">
            <v>Yes</v>
          </cell>
          <cell r="L843">
            <v>45226</v>
          </cell>
          <cell r="N843" t="str">
            <v>Sahibpur Kamal</v>
          </cell>
        </row>
        <row r="844">
          <cell r="B844">
            <v>10110052</v>
          </cell>
          <cell r="C844" t="str">
            <v>0052</v>
          </cell>
          <cell r="D844" t="str">
            <v>9803</v>
          </cell>
          <cell r="E844" t="str">
            <v>MPG</v>
          </cell>
          <cell r="F844" t="str">
            <v>Direct</v>
          </cell>
          <cell r="G844" t="str">
            <v xml:space="preserve">Gomukh Bakhadda                                                                                     </v>
          </cell>
          <cell r="H844" t="str">
            <v>CHANDAN KUMAR</v>
          </cell>
          <cell r="I844">
            <v>6202813955</v>
          </cell>
          <cell r="J844" t="str">
            <v>101103</v>
          </cell>
          <cell r="K844" t="str">
            <v>Yes</v>
          </cell>
          <cell r="L844">
            <v>45226</v>
          </cell>
          <cell r="N844" t="str">
            <v>Sahibpur Kamal</v>
          </cell>
        </row>
        <row r="845">
          <cell r="B845">
            <v>10110053</v>
          </cell>
          <cell r="C845" t="str">
            <v>0053</v>
          </cell>
          <cell r="D845" t="str">
            <v>9812</v>
          </cell>
          <cell r="E845" t="str">
            <v>MPG</v>
          </cell>
          <cell r="F845" t="str">
            <v>Direct</v>
          </cell>
          <cell r="G845" t="str">
            <v>GOMUKH KATAHRI</v>
          </cell>
          <cell r="H845" t="str">
            <v>Sheet kumar shaw</v>
          </cell>
          <cell r="I845">
            <v>9572930264</v>
          </cell>
          <cell r="J845" t="str">
            <v>101101</v>
          </cell>
          <cell r="K845" t="str">
            <v>Yes</v>
          </cell>
          <cell r="L845">
            <v>45292</v>
          </cell>
          <cell r="N845" t="str">
            <v>Sahibpur Kamal</v>
          </cell>
        </row>
        <row r="846">
          <cell r="B846">
            <v>10110054</v>
          </cell>
          <cell r="C846" t="str">
            <v>0054</v>
          </cell>
          <cell r="D846" t="str">
            <v>9813</v>
          </cell>
          <cell r="E846" t="str">
            <v>MPG</v>
          </cell>
          <cell r="F846" t="str">
            <v>Direct</v>
          </cell>
          <cell r="G846" t="str">
            <v>GOMUKH Rahatpur</v>
          </cell>
          <cell r="H846" t="str">
            <v>Ritu kumari</v>
          </cell>
          <cell r="I846">
            <v>8521015838</v>
          </cell>
          <cell r="J846" t="str">
            <v>101102</v>
          </cell>
          <cell r="K846" t="str">
            <v>Yes</v>
          </cell>
          <cell r="L846">
            <v>45292</v>
          </cell>
          <cell r="N846" t="str">
            <v>Sahibpur Kamal</v>
          </cell>
        </row>
        <row r="847">
          <cell r="B847">
            <v>10110055</v>
          </cell>
          <cell r="C847" t="str">
            <v>0055</v>
          </cell>
          <cell r="D847" t="str">
            <v>9816</v>
          </cell>
          <cell r="E847" t="str">
            <v>MPG</v>
          </cell>
          <cell r="F847" t="str">
            <v>Direct</v>
          </cell>
          <cell r="G847" t="str">
            <v>GOMUKH Mathar Ward 10</v>
          </cell>
          <cell r="H847" t="str">
            <v>Manish kumar</v>
          </cell>
          <cell r="I847">
            <v>6204172365</v>
          </cell>
          <cell r="J847" t="str">
            <v>101104</v>
          </cell>
          <cell r="K847" t="str">
            <v>Yes</v>
          </cell>
          <cell r="L847">
            <v>45323</v>
          </cell>
          <cell r="N847" t="str">
            <v>Sahibpur Kamal</v>
          </cell>
        </row>
        <row r="848">
          <cell r="B848">
            <v>10110056</v>
          </cell>
          <cell r="C848" t="str">
            <v>0056</v>
          </cell>
          <cell r="D848" t="str">
            <v>9817</v>
          </cell>
          <cell r="E848" t="str">
            <v>MPG</v>
          </cell>
          <cell r="F848" t="str">
            <v>Direct</v>
          </cell>
          <cell r="G848" t="str">
            <v>Gomukh Chowki</v>
          </cell>
          <cell r="H848" t="str">
            <v>Sarita devi</v>
          </cell>
          <cell r="I848">
            <v>8210475462</v>
          </cell>
          <cell r="J848" t="str">
            <v>101105</v>
          </cell>
          <cell r="K848" t="str">
            <v>Yes</v>
          </cell>
          <cell r="L848">
            <v>45323</v>
          </cell>
          <cell r="N848" t="str">
            <v>Sahibpur Kamal</v>
          </cell>
        </row>
        <row r="849">
          <cell r="B849">
            <v>10110057</v>
          </cell>
          <cell r="C849" t="str">
            <v>0057</v>
          </cell>
          <cell r="D849" t="str">
            <v>9818</v>
          </cell>
          <cell r="E849" t="str">
            <v>MPG</v>
          </cell>
          <cell r="F849" t="str">
            <v>Direct</v>
          </cell>
          <cell r="G849" t="str">
            <v>GOMUKH Tartor 2</v>
          </cell>
          <cell r="H849" t="str">
            <v>Opin kumar</v>
          </cell>
          <cell r="I849">
            <v>8434900546</v>
          </cell>
          <cell r="J849" t="str">
            <v>101105</v>
          </cell>
          <cell r="K849" t="str">
            <v>Yes</v>
          </cell>
          <cell r="L849">
            <v>45352</v>
          </cell>
          <cell r="N849" t="str">
            <v>Sahibpur Kamal</v>
          </cell>
        </row>
        <row r="850">
          <cell r="B850">
            <v>10110058</v>
          </cell>
          <cell r="C850" t="str">
            <v>0058</v>
          </cell>
          <cell r="D850" t="str">
            <v>9819</v>
          </cell>
          <cell r="E850" t="str">
            <v>MPG</v>
          </cell>
          <cell r="F850" t="str">
            <v>Direct</v>
          </cell>
          <cell r="G850" t="str">
            <v>GOMUKH Chakki</v>
          </cell>
          <cell r="H850" t="str">
            <v>Jitesh kumar</v>
          </cell>
          <cell r="I850">
            <v>9128813638</v>
          </cell>
          <cell r="J850" t="str">
            <v>101105</v>
          </cell>
          <cell r="K850" t="str">
            <v/>
          </cell>
          <cell r="L850" t="e">
            <v>#N/A</v>
          </cell>
          <cell r="N850" t="str">
            <v>Sahibpur Kamal</v>
          </cell>
        </row>
        <row r="851">
          <cell r="B851">
            <v>10110059</v>
          </cell>
          <cell r="C851" t="str">
            <v>0059</v>
          </cell>
          <cell r="D851" t="str">
            <v>9820</v>
          </cell>
          <cell r="E851" t="str">
            <v>MPG</v>
          </cell>
          <cell r="F851" t="str">
            <v>Direct</v>
          </cell>
          <cell r="G851" t="str">
            <v>Gomukh Aho ghat</v>
          </cell>
          <cell r="H851" t="str">
            <v>Mohan Kumar</v>
          </cell>
          <cell r="I851">
            <v>8521181537</v>
          </cell>
          <cell r="J851" t="str">
            <v>101105</v>
          </cell>
          <cell r="K851" t="str">
            <v>Yes</v>
          </cell>
          <cell r="L851">
            <v>45323</v>
          </cell>
          <cell r="N851" t="str">
            <v>Sahibpur Kamal</v>
          </cell>
        </row>
        <row r="852">
          <cell r="B852">
            <v>10110060</v>
          </cell>
          <cell r="C852" t="str">
            <v>0060</v>
          </cell>
          <cell r="D852" t="str">
            <v>9821</v>
          </cell>
          <cell r="E852" t="str">
            <v>MPG</v>
          </cell>
          <cell r="F852" t="str">
            <v>Direct</v>
          </cell>
          <cell r="G852" t="str">
            <v>Gomukh Nayatola</v>
          </cell>
          <cell r="H852" t="str">
            <v>Mukesh yadav</v>
          </cell>
          <cell r="I852">
            <v>7549519006</v>
          </cell>
          <cell r="J852" t="str">
            <v>101105</v>
          </cell>
          <cell r="K852" t="str">
            <v>Yes</v>
          </cell>
          <cell r="L852">
            <v>45323</v>
          </cell>
          <cell r="N852" t="str">
            <v>Sahibpur Kamal</v>
          </cell>
        </row>
        <row r="853">
          <cell r="B853">
            <v>10110061</v>
          </cell>
          <cell r="C853" t="str">
            <v>0061</v>
          </cell>
          <cell r="D853" t="str">
            <v>9822</v>
          </cell>
          <cell r="E853" t="str">
            <v>MPG</v>
          </cell>
          <cell r="F853" t="str">
            <v>Direct</v>
          </cell>
          <cell r="G853" t="str">
            <v>Gomukh Sapaha</v>
          </cell>
          <cell r="H853" t="str">
            <v>phulendra Yadav</v>
          </cell>
          <cell r="I853">
            <v>9534712075</v>
          </cell>
          <cell r="J853" t="str">
            <v>101105</v>
          </cell>
          <cell r="K853" t="str">
            <v>Yes</v>
          </cell>
          <cell r="L853" t="e">
            <v>#N/A</v>
          </cell>
          <cell r="N853" t="str">
            <v>Sahibpur Kamal</v>
          </cell>
        </row>
        <row r="854">
          <cell r="B854">
            <v>10110062</v>
          </cell>
          <cell r="C854" t="str">
            <v>0062</v>
          </cell>
          <cell r="D854" t="str">
            <v>9823</v>
          </cell>
          <cell r="E854" t="str">
            <v>MPG</v>
          </cell>
          <cell r="F854" t="str">
            <v>Direct</v>
          </cell>
          <cell r="G854" t="str">
            <v>Gomukh Jalim babu Tola</v>
          </cell>
          <cell r="H854" t="str">
            <v>Rikesh kumar</v>
          </cell>
          <cell r="I854">
            <v>6201995305</v>
          </cell>
          <cell r="J854" t="str">
            <v>101105</v>
          </cell>
          <cell r="K854" t="str">
            <v>Yes</v>
          </cell>
          <cell r="L854">
            <v>45323</v>
          </cell>
          <cell r="N854" t="str">
            <v>Sahibpur Kamal</v>
          </cell>
        </row>
        <row r="855">
          <cell r="B855">
            <v>10110063</v>
          </cell>
          <cell r="C855" t="str">
            <v>0063</v>
          </cell>
          <cell r="D855" t="str">
            <v>9824</v>
          </cell>
          <cell r="E855" t="str">
            <v>MPG</v>
          </cell>
          <cell r="F855" t="str">
            <v>Direct</v>
          </cell>
          <cell r="G855" t="str">
            <v>Gomukh Mansi Gharari</v>
          </cell>
          <cell r="H855" t="str">
            <v>Varsha kumari</v>
          </cell>
          <cell r="I855">
            <v>7004793804</v>
          </cell>
          <cell r="J855" t="str">
            <v>101105</v>
          </cell>
          <cell r="K855" t="str">
            <v>Yes</v>
          </cell>
          <cell r="L855">
            <v>45323</v>
          </cell>
          <cell r="N855" t="str">
            <v>Sahibpur Kamal</v>
          </cell>
        </row>
        <row r="856">
          <cell r="B856">
            <v>10110064</v>
          </cell>
          <cell r="C856" t="str">
            <v>0064</v>
          </cell>
          <cell r="D856" t="str">
            <v>9825</v>
          </cell>
          <cell r="E856" t="str">
            <v>MPG</v>
          </cell>
          <cell r="F856" t="str">
            <v>Direct</v>
          </cell>
          <cell r="G856" t="str">
            <v>Gomukh Thatha Purvi</v>
          </cell>
          <cell r="H856" t="str">
            <v>Raushan kumar</v>
          </cell>
          <cell r="I856">
            <v>8340473331</v>
          </cell>
          <cell r="J856" t="str">
            <v>101105</v>
          </cell>
          <cell r="K856" t="str">
            <v/>
          </cell>
          <cell r="L856" t="e">
            <v>#N/A</v>
          </cell>
          <cell r="N856" t="str">
            <v>Sahibpur Kamal</v>
          </cell>
        </row>
        <row r="857">
          <cell r="B857">
            <v>10110065</v>
          </cell>
          <cell r="C857" t="str">
            <v>0065</v>
          </cell>
          <cell r="D857" t="str">
            <v>9826</v>
          </cell>
          <cell r="E857" t="str">
            <v>MPG</v>
          </cell>
          <cell r="F857" t="str">
            <v>Direct</v>
          </cell>
          <cell r="G857" t="str">
            <v>Gomukh Chaidha</v>
          </cell>
          <cell r="H857" t="str">
            <v>Anupam kumar</v>
          </cell>
          <cell r="I857">
            <v>9570770004</v>
          </cell>
          <cell r="J857" t="str">
            <v>101105</v>
          </cell>
          <cell r="K857" t="str">
            <v>Yes</v>
          </cell>
          <cell r="L857">
            <v>45323</v>
          </cell>
          <cell r="N857" t="str">
            <v>Sahibpur Kamal</v>
          </cell>
        </row>
        <row r="858">
          <cell r="B858">
            <v>10110066</v>
          </cell>
          <cell r="C858" t="str">
            <v>0066</v>
          </cell>
          <cell r="D858" t="str">
            <v>9827</v>
          </cell>
          <cell r="E858" t="str">
            <v>MPG</v>
          </cell>
          <cell r="F858" t="str">
            <v>Direct</v>
          </cell>
          <cell r="G858" t="str">
            <v>Gomukh Bakiya</v>
          </cell>
          <cell r="H858" t="str">
            <v>Mukesh Paswan</v>
          </cell>
          <cell r="I858">
            <v>7631721721</v>
          </cell>
          <cell r="J858" t="str">
            <v>101105</v>
          </cell>
          <cell r="K858" t="str">
            <v>Yes</v>
          </cell>
          <cell r="L858">
            <v>45323</v>
          </cell>
          <cell r="N858" t="str">
            <v>Sahibpur Kamal</v>
          </cell>
        </row>
        <row r="859">
          <cell r="B859">
            <v>10110067</v>
          </cell>
          <cell r="C859" t="str">
            <v>0067</v>
          </cell>
          <cell r="D859" t="str">
            <v>9828</v>
          </cell>
          <cell r="E859" t="str">
            <v>MPG</v>
          </cell>
          <cell r="F859" t="str">
            <v>Direct</v>
          </cell>
          <cell r="G859" t="str">
            <v>Gomukh Tikapur</v>
          </cell>
          <cell r="H859" t="str">
            <v>Chandan kumar</v>
          </cell>
          <cell r="I859">
            <v>8434026891</v>
          </cell>
          <cell r="J859" t="str">
            <v>101105</v>
          </cell>
          <cell r="K859" t="str">
            <v>Yes</v>
          </cell>
          <cell r="L859">
            <v>45323</v>
          </cell>
          <cell r="N859" t="str">
            <v>Sahibpur Kamal</v>
          </cell>
        </row>
        <row r="860">
          <cell r="B860">
            <v>10110068</v>
          </cell>
          <cell r="C860" t="str">
            <v>0068</v>
          </cell>
          <cell r="D860" t="str">
            <v>9829</v>
          </cell>
          <cell r="E860" t="str">
            <v>MPG</v>
          </cell>
          <cell r="F860" t="str">
            <v>Direct</v>
          </cell>
          <cell r="G860" t="str">
            <v>Gomukh Raja Jan</v>
          </cell>
          <cell r="H860" t="str">
            <v>Priyanshu kumar</v>
          </cell>
          <cell r="I860">
            <v>9708719849</v>
          </cell>
          <cell r="J860" t="str">
            <v>101105</v>
          </cell>
          <cell r="K860" t="str">
            <v/>
          </cell>
          <cell r="L860" t="e">
            <v>#N/A</v>
          </cell>
          <cell r="N860" t="str">
            <v>Sahibpur Kamal</v>
          </cell>
        </row>
        <row r="861">
          <cell r="B861">
            <v>10110069</v>
          </cell>
          <cell r="C861" t="str">
            <v>0069</v>
          </cell>
          <cell r="D861" t="str">
            <v>9810</v>
          </cell>
          <cell r="E861" t="str">
            <v>MPG</v>
          </cell>
          <cell r="F861" t="str">
            <v>Direct</v>
          </cell>
          <cell r="G861" t="str">
            <v>GOMUKH Salemabad</v>
          </cell>
          <cell r="H861" t="str">
            <v>Susheela kumari</v>
          </cell>
          <cell r="I861">
            <v>7061227705</v>
          </cell>
          <cell r="J861" t="str">
            <v>101103</v>
          </cell>
          <cell r="K861" t="str">
            <v>Yes</v>
          </cell>
          <cell r="L861">
            <v>45323</v>
          </cell>
          <cell r="N861" t="str">
            <v>Sahibpur Kamal</v>
          </cell>
        </row>
        <row r="862">
          <cell r="B862">
            <v>10110070</v>
          </cell>
          <cell r="C862" t="str">
            <v>0070</v>
          </cell>
          <cell r="D862" t="str">
            <v>9814</v>
          </cell>
          <cell r="E862" t="str">
            <v>MPG</v>
          </cell>
          <cell r="F862" t="str">
            <v>Direct</v>
          </cell>
          <cell r="G862" t="str">
            <v>Gomukh Fulwariya</v>
          </cell>
          <cell r="H862" t="str">
            <v>kamal kumar</v>
          </cell>
          <cell r="I862">
            <v>9570938861</v>
          </cell>
          <cell r="J862" t="str">
            <v>101103</v>
          </cell>
          <cell r="K862" t="str">
            <v>Yes</v>
          </cell>
          <cell r="L862">
            <v>45323</v>
          </cell>
          <cell r="N862" t="str">
            <v>Sahibpur Kamal</v>
          </cell>
        </row>
        <row r="863">
          <cell r="B863">
            <v>10110071</v>
          </cell>
          <cell r="C863" t="str">
            <v>0071</v>
          </cell>
          <cell r="D863" t="str">
            <v>9775</v>
          </cell>
          <cell r="E863" t="str">
            <v>MPG</v>
          </cell>
          <cell r="F863" t="str">
            <v>Direct</v>
          </cell>
          <cell r="G863" t="str">
            <v>Gomukh Sadpur</v>
          </cell>
          <cell r="H863" t="str">
            <v>Avadhesh Kumar Singh</v>
          </cell>
          <cell r="I863">
            <v>8051864135</v>
          </cell>
          <cell r="J863" t="str">
            <v>101101</v>
          </cell>
          <cell r="K863" t="str">
            <v>Yes</v>
          </cell>
          <cell r="L863">
            <v>44986</v>
          </cell>
          <cell r="N863" t="str">
            <v>Sahibpur Kamal</v>
          </cell>
        </row>
        <row r="864">
          <cell r="B864">
            <v>10110072</v>
          </cell>
          <cell r="C864" t="str">
            <v>0072</v>
          </cell>
          <cell r="D864" t="str">
            <v>9780</v>
          </cell>
          <cell r="E864" t="str">
            <v>MPG</v>
          </cell>
          <cell r="F864" t="str">
            <v>Direct</v>
          </cell>
          <cell r="G864" t="str">
            <v>Gomukh Bisanpur Dandari</v>
          </cell>
          <cell r="H864" t="str">
            <v>manoj Kumar Ray</v>
          </cell>
          <cell r="I864">
            <v>8651660014</v>
          </cell>
          <cell r="J864" t="str">
            <v>101101</v>
          </cell>
          <cell r="K864" t="str">
            <v>Yes</v>
          </cell>
          <cell r="L864">
            <v>45014</v>
          </cell>
          <cell r="N864" t="str">
            <v>Sahibpur Kamal</v>
          </cell>
        </row>
        <row r="865">
          <cell r="B865">
            <v>10110073</v>
          </cell>
          <cell r="C865" t="str">
            <v>0073</v>
          </cell>
          <cell r="D865" t="str">
            <v>9811</v>
          </cell>
          <cell r="E865" t="str">
            <v>MPG</v>
          </cell>
          <cell r="F865" t="str">
            <v>Direct</v>
          </cell>
          <cell r="G865" t="str">
            <v>GOMUKH Nista tol</v>
          </cell>
          <cell r="H865" t="str">
            <v>Vakil yadav</v>
          </cell>
          <cell r="I865">
            <v>7549402232</v>
          </cell>
          <cell r="J865" t="str">
            <v>101104</v>
          </cell>
          <cell r="K865" t="str">
            <v>Yes</v>
          </cell>
          <cell r="L865">
            <v>45323</v>
          </cell>
          <cell r="N865" t="str">
            <v>Sahibpur Kamal</v>
          </cell>
        </row>
        <row r="866">
          <cell r="B866">
            <v>10110074</v>
          </cell>
          <cell r="C866" t="str">
            <v>0074</v>
          </cell>
          <cell r="D866" t="str">
            <v>9746</v>
          </cell>
          <cell r="E866" t="str">
            <v>MPG</v>
          </cell>
          <cell r="F866" t="str">
            <v>Direct</v>
          </cell>
          <cell r="G866" t="str">
            <v>Gomukh Kashimpur</v>
          </cell>
          <cell r="H866" t="str">
            <v>Dablu Singh</v>
          </cell>
          <cell r="I866">
            <v>6299087135</v>
          </cell>
          <cell r="J866" t="str">
            <v>101102</v>
          </cell>
          <cell r="K866" t="str">
            <v/>
          </cell>
          <cell r="L866">
            <v>44724</v>
          </cell>
          <cell r="N866" t="str">
            <v>Sahibpur Kamal</v>
          </cell>
        </row>
        <row r="867">
          <cell r="B867">
            <v>10110075</v>
          </cell>
          <cell r="C867" t="str">
            <v>0075</v>
          </cell>
          <cell r="D867" t="str">
            <v>9830</v>
          </cell>
          <cell r="E867" t="str">
            <v>MPG</v>
          </cell>
          <cell r="F867" t="str">
            <v>Direct</v>
          </cell>
          <cell r="G867" t="str">
            <v>Gomukh Durga pur</v>
          </cell>
          <cell r="H867" t="str">
            <v>Ramshobha kumar</v>
          </cell>
          <cell r="I867">
            <v>9570305131</v>
          </cell>
          <cell r="J867" t="str">
            <v>101105</v>
          </cell>
          <cell r="K867"/>
          <cell r="L867" t="e">
            <v>#N/A</v>
          </cell>
          <cell r="N867" t="str">
            <v>Sahibpur Kamal</v>
          </cell>
        </row>
        <row r="868">
          <cell r="B868">
            <v>10110076</v>
          </cell>
          <cell r="C868" t="str">
            <v>0076</v>
          </cell>
          <cell r="D868" t="str">
            <v>9831</v>
          </cell>
          <cell r="E868" t="str">
            <v>MPG</v>
          </cell>
          <cell r="F868" t="str">
            <v>Direct</v>
          </cell>
          <cell r="G868" t="str">
            <v>GOMUKH SRINAGAR</v>
          </cell>
          <cell r="H868" t="str">
            <v>SATYAVEER KUMAR</v>
          </cell>
          <cell r="I868">
            <v>6202250832</v>
          </cell>
          <cell r="J868" t="str">
            <v>101105</v>
          </cell>
          <cell r="K868"/>
          <cell r="L868">
            <v>45432</v>
          </cell>
          <cell r="N868" t="str">
            <v>Sahibpur Kamal</v>
          </cell>
        </row>
        <row r="869">
          <cell r="B869">
            <v>10110077</v>
          </cell>
          <cell r="C869" t="str">
            <v>0077</v>
          </cell>
          <cell r="D869" t="str">
            <v>9832</v>
          </cell>
          <cell r="E869" t="str">
            <v>MPG</v>
          </cell>
          <cell r="F869" t="str">
            <v>Direct</v>
          </cell>
          <cell r="G869" t="str">
            <v>GOMUKH SAIDPUR</v>
          </cell>
          <cell r="H869" t="str">
            <v>Santosh Kumar Thakur</v>
          </cell>
          <cell r="I869">
            <v>7493882919</v>
          </cell>
          <cell r="J869" t="str">
            <v>101103</v>
          </cell>
          <cell r="K869"/>
          <cell r="L869" t="e">
            <v>#N/A</v>
          </cell>
          <cell r="N869" t="str">
            <v>Sahibpur Kamal</v>
          </cell>
        </row>
        <row r="870">
          <cell r="B870">
            <v>10110078</v>
          </cell>
          <cell r="C870" t="str">
            <v>0078</v>
          </cell>
          <cell r="D870"/>
          <cell r="E870" t="str">
            <v>MPG</v>
          </cell>
          <cell r="F870" t="str">
            <v>Direct</v>
          </cell>
          <cell r="G870" t="str">
            <v>GOMUKH THATHA</v>
          </cell>
          <cell r="H870" t="str">
            <v>BALBIR KUMAR VEERU</v>
          </cell>
          <cell r="I870">
            <v>7544958400</v>
          </cell>
          <cell r="J870" t="str">
            <v>101105</v>
          </cell>
          <cell r="K870"/>
          <cell r="L870">
            <v>45409</v>
          </cell>
          <cell r="N870" t="str">
            <v>Sahibpur Kamal</v>
          </cell>
        </row>
        <row r="871">
          <cell r="B871">
            <v>10110079</v>
          </cell>
          <cell r="C871" t="str">
            <v>0079</v>
          </cell>
          <cell r="D871"/>
          <cell r="E871" t="str">
            <v>MPG</v>
          </cell>
          <cell r="F871" t="str">
            <v>Direct</v>
          </cell>
          <cell r="G871" t="str">
            <v>GOMUKH GARHIYA</v>
          </cell>
          <cell r="H871" t="str">
            <v>NIGAM KUMARI</v>
          </cell>
          <cell r="I871">
            <v>8210888081</v>
          </cell>
          <cell r="J871" t="str">
            <v>101105</v>
          </cell>
          <cell r="K871"/>
          <cell r="L871">
            <v>45409</v>
          </cell>
          <cell r="N871" t="str">
            <v>Sahibpur Kamal</v>
          </cell>
        </row>
        <row r="872">
          <cell r="B872">
            <v>10110080</v>
          </cell>
          <cell r="C872" t="str">
            <v>0080</v>
          </cell>
          <cell r="D872"/>
          <cell r="E872" t="str">
            <v>MPG</v>
          </cell>
          <cell r="F872" t="str">
            <v>Direct</v>
          </cell>
          <cell r="G872" t="str">
            <v xml:space="preserve">GOMUKH SADANANDPUR 2 </v>
          </cell>
          <cell r="H872" t="str">
            <v>SHIVAM SINGH</v>
          </cell>
          <cell r="I872">
            <v>8757629130</v>
          </cell>
          <cell r="J872" t="str">
            <v>101105</v>
          </cell>
          <cell r="K872"/>
          <cell r="L872">
            <v>45456</v>
          </cell>
          <cell r="N872" t="str">
            <v>Sahibpur Kamal</v>
          </cell>
        </row>
        <row r="873">
          <cell r="B873">
            <v>10110081</v>
          </cell>
          <cell r="C873" t="str">
            <v>0081</v>
          </cell>
          <cell r="D873"/>
          <cell r="E873" t="str">
            <v>MPG</v>
          </cell>
          <cell r="F873" t="str">
            <v>Direct</v>
          </cell>
          <cell r="G873" t="str">
            <v>GOMUKH SONAPUR</v>
          </cell>
          <cell r="H873" t="str">
            <v>BRAJ KISHOR SINGH</v>
          </cell>
          <cell r="I873">
            <v>6299425118</v>
          </cell>
          <cell r="J873" t="str">
            <v>101103</v>
          </cell>
          <cell r="K873"/>
          <cell r="L873">
            <v>45470</v>
          </cell>
          <cell r="N873" t="str">
            <v>Sahibpur Kamal</v>
          </cell>
        </row>
        <row r="874">
          <cell r="B874">
            <v>10110082</v>
          </cell>
          <cell r="C874" t="str">
            <v>0082</v>
          </cell>
          <cell r="D874"/>
          <cell r="E874" t="str">
            <v>MPG</v>
          </cell>
          <cell r="F874" t="str">
            <v>Direct</v>
          </cell>
          <cell r="G874" t="str">
            <v>GOMUKH INIYAR</v>
          </cell>
          <cell r="H874" t="str">
            <v>VIKASH KUMAR</v>
          </cell>
          <cell r="I874">
            <v>9534350854</v>
          </cell>
          <cell r="J874" t="str">
            <v>101102</v>
          </cell>
          <cell r="K874"/>
          <cell r="L874">
            <v>45470</v>
          </cell>
          <cell r="N874" t="str">
            <v>Sahibpur Kamal</v>
          </cell>
        </row>
        <row r="875">
          <cell r="B875">
            <v>10110083</v>
          </cell>
          <cell r="C875" t="str">
            <v>0083</v>
          </cell>
          <cell r="D875"/>
          <cell r="E875" t="str">
            <v>MPG</v>
          </cell>
          <cell r="F875" t="str">
            <v>Direct</v>
          </cell>
          <cell r="G875" t="str">
            <v>GOMUKH SANHA NAYATOLA</v>
          </cell>
          <cell r="H875" t="str">
            <v>ASHA DEVI</v>
          </cell>
          <cell r="I875">
            <v>9263933299</v>
          </cell>
          <cell r="J875" t="str">
            <v>101103</v>
          </cell>
          <cell r="K875"/>
          <cell r="L875">
            <v>45470</v>
          </cell>
          <cell r="N875" t="str">
            <v>Sahibpur Kamal</v>
          </cell>
        </row>
        <row r="876">
          <cell r="B876">
            <v>10110084</v>
          </cell>
          <cell r="C876" t="str">
            <v>0084</v>
          </cell>
          <cell r="D876"/>
          <cell r="E876" t="str">
            <v>MPG</v>
          </cell>
          <cell r="F876" t="str">
            <v>Direct</v>
          </cell>
          <cell r="G876" t="str">
            <v>GOMUKH BHEEM TOLA</v>
          </cell>
          <cell r="H876" t="str">
            <v>RANBIR YADAV</v>
          </cell>
          <cell r="I876">
            <v>8051800482</v>
          </cell>
          <cell r="J876" t="str">
            <v>101104</v>
          </cell>
          <cell r="K876"/>
          <cell r="L876">
            <v>45470</v>
          </cell>
          <cell r="N876" t="str">
            <v>Sahibpur Kamal</v>
          </cell>
        </row>
        <row r="877">
          <cell r="B877">
            <v>10110085</v>
          </cell>
          <cell r="C877" t="str">
            <v>0085</v>
          </cell>
          <cell r="D877"/>
          <cell r="E877" t="str">
            <v>MPG</v>
          </cell>
          <cell r="F877" t="str">
            <v>Direct</v>
          </cell>
          <cell r="G877" t="str">
            <v>GOMUKH BANARASI TOLA</v>
          </cell>
          <cell r="H877" t="str">
            <v>DIPESH KUMAR YADAV</v>
          </cell>
          <cell r="I877">
            <v>7549941265</v>
          </cell>
          <cell r="J877" t="str">
            <v>101104</v>
          </cell>
          <cell r="K877"/>
          <cell r="L877">
            <v>45470</v>
          </cell>
          <cell r="N877" t="str">
            <v>Sahibpur Kamal</v>
          </cell>
        </row>
        <row r="878">
          <cell r="B878">
            <v>10110086</v>
          </cell>
          <cell r="C878" t="str">
            <v>0086</v>
          </cell>
          <cell r="D878"/>
          <cell r="E878" t="str">
            <v>MPG</v>
          </cell>
          <cell r="F878" t="str">
            <v>Direct</v>
          </cell>
          <cell r="G878" t="str">
            <v>Gomukh Durgapur</v>
          </cell>
          <cell r="H878" t="str">
            <v>SUJIT KUMAR</v>
          </cell>
          <cell r="I878">
            <v>9955844184</v>
          </cell>
          <cell r="J878" t="str">
            <v>101105</v>
          </cell>
          <cell r="K878"/>
          <cell r="L878">
            <v>45516</v>
          </cell>
          <cell r="N878" t="str">
            <v>Sahibpur Kamal</v>
          </cell>
        </row>
        <row r="879">
          <cell r="B879">
            <v>10110087</v>
          </cell>
          <cell r="C879" t="str">
            <v>0087</v>
          </cell>
          <cell r="D879"/>
          <cell r="E879" t="str">
            <v>MPG</v>
          </cell>
          <cell r="F879" t="str">
            <v>Direct</v>
          </cell>
          <cell r="G879" t="str">
            <v>Gomukh Barkhandi tol</v>
          </cell>
          <cell r="H879" t="str">
            <v>ANNU KUMAR</v>
          </cell>
          <cell r="I879">
            <v>7061014013</v>
          </cell>
          <cell r="J879" t="str">
            <v>101104</v>
          </cell>
          <cell r="K879"/>
          <cell r="L879">
            <v>45516</v>
          </cell>
          <cell r="N879" t="str">
            <v>Sahibpur Kamal</v>
          </cell>
        </row>
        <row r="880">
          <cell r="B880">
            <v>10110088</v>
          </cell>
          <cell r="C880" t="str">
            <v>0088</v>
          </cell>
          <cell r="D880"/>
          <cell r="E880" t="str">
            <v>MPG</v>
          </cell>
          <cell r="F880" t="str">
            <v>Direct</v>
          </cell>
          <cell r="G880" t="str">
            <v>Gomukh Jagdishmandal tol</v>
          </cell>
          <cell r="H880" t="str">
            <v>MAHESH KUMAR</v>
          </cell>
          <cell r="I880">
            <v>6206069470</v>
          </cell>
          <cell r="J880" t="str">
            <v>101104</v>
          </cell>
          <cell r="K880"/>
          <cell r="L880">
            <v>45516</v>
          </cell>
          <cell r="N880" t="str">
            <v>Sahibpur Kamal</v>
          </cell>
        </row>
        <row r="881">
          <cell r="B881">
            <v>10110089</v>
          </cell>
          <cell r="C881" t="str">
            <v>0089</v>
          </cell>
          <cell r="D881"/>
          <cell r="E881" t="str">
            <v>MPG</v>
          </cell>
          <cell r="F881" t="str">
            <v>Direct</v>
          </cell>
          <cell r="G881" t="str">
            <v>Gomukh Shakarpura</v>
          </cell>
          <cell r="H881" t="str">
            <v>RAJ KUMAR</v>
          </cell>
          <cell r="I881">
            <v>7549303021</v>
          </cell>
          <cell r="J881" t="str">
            <v>101103</v>
          </cell>
          <cell r="K881"/>
          <cell r="L881">
            <v>45516</v>
          </cell>
          <cell r="N881" t="str">
            <v>Sahibpur Kamal</v>
          </cell>
        </row>
        <row r="882">
          <cell r="B882">
            <v>10110090</v>
          </cell>
          <cell r="C882" t="str">
            <v>0090</v>
          </cell>
          <cell r="D882"/>
          <cell r="E882" t="str">
            <v>MPG</v>
          </cell>
          <cell r="F882" t="str">
            <v>Indirect</v>
          </cell>
          <cell r="G882" t="str">
            <v>PRIYANSHU KUMAR</v>
          </cell>
          <cell r="H882" t="str">
            <v>PRIYANSHU KUMAR</v>
          </cell>
          <cell r="I882">
            <v>9708719849</v>
          </cell>
          <cell r="J882" t="str">
            <v>101105</v>
          </cell>
          <cell r="K882"/>
          <cell r="L882">
            <v>45516</v>
          </cell>
          <cell r="N882" t="str">
            <v>Sahibpur Kamal</v>
          </cell>
        </row>
        <row r="883">
          <cell r="B883">
            <v>10110091</v>
          </cell>
          <cell r="C883" t="str">
            <v>0091</v>
          </cell>
          <cell r="D883"/>
          <cell r="E883" t="str">
            <v>MPG</v>
          </cell>
          <cell r="F883" t="str">
            <v>Indirect</v>
          </cell>
          <cell r="G883" t="str">
            <v>Gomukh singhpur balahpur</v>
          </cell>
          <cell r="H883" t="str">
            <v>Vikram Kumar</v>
          </cell>
          <cell r="I883">
            <v>8298467090</v>
          </cell>
          <cell r="J883" t="str">
            <v>101103</v>
          </cell>
          <cell r="K883"/>
          <cell r="L883">
            <v>45593</v>
          </cell>
          <cell r="N883" t="str">
            <v>Sahibpur Kamal</v>
          </cell>
        </row>
        <row r="884">
          <cell r="B884">
            <v>10110092</v>
          </cell>
          <cell r="C884" t="str">
            <v>0092</v>
          </cell>
          <cell r="D884"/>
          <cell r="E884" t="str">
            <v>MPG</v>
          </cell>
          <cell r="F884" t="str">
            <v>Indirect</v>
          </cell>
          <cell r="G884" t="str">
            <v>Rohit Kumar</v>
          </cell>
          <cell r="H884" t="str">
            <v>ROHIT KUMAR</v>
          </cell>
          <cell r="I884">
            <v>9708737378</v>
          </cell>
          <cell r="J884" t="str">
            <v>101104</v>
          </cell>
          <cell r="K884"/>
          <cell r="L884">
            <v>45615</v>
          </cell>
          <cell r="N884" t="str">
            <v>Sahibpur Kamal</v>
          </cell>
        </row>
        <row r="885">
          <cell r="B885">
            <v>10110093</v>
          </cell>
          <cell r="C885" t="str">
            <v>0093</v>
          </cell>
          <cell r="D885"/>
          <cell r="E885" t="str">
            <v>MPG</v>
          </cell>
          <cell r="F885" t="str">
            <v>Direct</v>
          </cell>
          <cell r="G885" t="str">
            <v>Gomukh Koniya</v>
          </cell>
          <cell r="H885" t="str">
            <v>SANTOSH KUMAR</v>
          </cell>
          <cell r="I885">
            <v>7033196403</v>
          </cell>
          <cell r="J885" t="str">
            <v>101101</v>
          </cell>
          <cell r="K885"/>
          <cell r="L885">
            <v>45622</v>
          </cell>
          <cell r="N885" t="str">
            <v>Sahibpur Kamal</v>
          </cell>
        </row>
        <row r="886">
          <cell r="B886">
            <v>10110094</v>
          </cell>
          <cell r="C886" t="str">
            <v>0094</v>
          </cell>
          <cell r="D886"/>
          <cell r="E886" t="str">
            <v>MPG</v>
          </cell>
          <cell r="F886" t="str">
            <v>Direct</v>
          </cell>
          <cell r="G886" t="str">
            <v>GOMUKH ROHUA</v>
          </cell>
          <cell r="H886" t="str">
            <v>MANOJ KUMAR SAH</v>
          </cell>
          <cell r="I886">
            <v>7549729151</v>
          </cell>
          <cell r="J886" t="str">
            <v>101104</v>
          </cell>
          <cell r="K886"/>
          <cell r="L886">
            <v>45622</v>
          </cell>
          <cell r="N886" t="str">
            <v>Sahibpur Kamal</v>
          </cell>
        </row>
        <row r="887">
          <cell r="B887">
            <v>10110095</v>
          </cell>
          <cell r="C887" t="str">
            <v>0095</v>
          </cell>
          <cell r="D887"/>
          <cell r="E887" t="str">
            <v>MPG</v>
          </cell>
          <cell r="F887" t="str">
            <v>Direct</v>
          </cell>
          <cell r="G887" t="str">
            <v>GOMUKH LAXMIPUR</v>
          </cell>
          <cell r="H887" t="str">
            <v>SARSWATI DEVI</v>
          </cell>
          <cell r="I887">
            <v>7549820420</v>
          </cell>
          <cell r="J887" t="str">
            <v>101104</v>
          </cell>
          <cell r="K887"/>
          <cell r="L887">
            <v>45622</v>
          </cell>
          <cell r="N887" t="str">
            <v>Sahibpur Kamal</v>
          </cell>
        </row>
        <row r="888">
          <cell r="B888">
            <v>10110096</v>
          </cell>
          <cell r="C888" t="str">
            <v>0096</v>
          </cell>
          <cell r="D888"/>
          <cell r="E888" t="str">
            <v>MPG</v>
          </cell>
          <cell r="F888" t="str">
            <v>Indirect</v>
          </cell>
          <cell r="G888" t="str">
            <v>CHANDAN KUMAR SHARMA</v>
          </cell>
          <cell r="H888" t="str">
            <v>CHANDAN KUMAR SHARMA</v>
          </cell>
          <cell r="I888">
            <v>8676967543</v>
          </cell>
          <cell r="J888" t="str">
            <v>101104</v>
          </cell>
          <cell r="K888"/>
          <cell r="L888">
            <v>45622</v>
          </cell>
          <cell r="N888" t="str">
            <v>Sahibpur Kamal</v>
          </cell>
        </row>
        <row r="889">
          <cell r="B889">
            <v>10110097</v>
          </cell>
          <cell r="C889" t="str">
            <v>0097</v>
          </cell>
          <cell r="D889"/>
          <cell r="E889" t="str">
            <v>MPG</v>
          </cell>
          <cell r="F889" t="str">
            <v>Direct</v>
          </cell>
          <cell r="G889" t="str">
            <v>GOMUKH BACHOTA</v>
          </cell>
          <cell r="H889" t="str">
            <v>RANJEET KUMAR</v>
          </cell>
          <cell r="I889">
            <v>8809300873</v>
          </cell>
          <cell r="J889" t="str">
            <v>101104</v>
          </cell>
          <cell r="K889"/>
          <cell r="L889">
            <v>45624</v>
          </cell>
          <cell r="N889" t="str">
            <v>Sahibpur Kamal</v>
          </cell>
        </row>
        <row r="890">
          <cell r="B890">
            <v>10110098</v>
          </cell>
          <cell r="C890" t="str">
            <v>0098</v>
          </cell>
          <cell r="D890"/>
          <cell r="E890" t="str">
            <v>MPG</v>
          </cell>
          <cell r="F890" t="str">
            <v>Direct</v>
          </cell>
          <cell r="G890" t="str">
            <v>GOMUKH CHATAR</v>
          </cell>
          <cell r="H890" t="str">
            <v>VIJAY KUMAR</v>
          </cell>
          <cell r="I890">
            <v>7764878433</v>
          </cell>
          <cell r="J890" t="str">
            <v>101104</v>
          </cell>
          <cell r="K890"/>
          <cell r="L890">
            <v>45624</v>
          </cell>
          <cell r="N890" t="str">
            <v>Sahibpur Kamal</v>
          </cell>
        </row>
        <row r="891">
          <cell r="B891">
            <v>10110099</v>
          </cell>
          <cell r="C891" t="str">
            <v>0099</v>
          </cell>
          <cell r="D891"/>
          <cell r="E891" t="str">
            <v>MPG</v>
          </cell>
          <cell r="F891" t="str">
            <v>Direct</v>
          </cell>
          <cell r="G891" t="str">
            <v>GOMUKH ICHARUA</v>
          </cell>
          <cell r="H891" t="str">
            <v>RAM RATAN PRASAD SINGH</v>
          </cell>
          <cell r="I891">
            <v>8678086831</v>
          </cell>
          <cell r="J891" t="str">
            <v>101104</v>
          </cell>
          <cell r="K891"/>
          <cell r="L891">
            <v>45624</v>
          </cell>
          <cell r="N891" t="str">
            <v>Sahibpur Kamal</v>
          </cell>
        </row>
        <row r="892">
          <cell r="B892">
            <v>10110100</v>
          </cell>
          <cell r="C892" t="str">
            <v>0100</v>
          </cell>
          <cell r="D892"/>
          <cell r="E892" t="str">
            <v>MPG</v>
          </cell>
          <cell r="F892" t="str">
            <v>Direct</v>
          </cell>
          <cell r="G892" t="str">
            <v>GOMUKH BATHNAMA</v>
          </cell>
          <cell r="H892" t="str">
            <v>RAJ KUMAR RAJESH</v>
          </cell>
          <cell r="I892">
            <v>9430005152</v>
          </cell>
          <cell r="J892" t="str">
            <v>101104</v>
          </cell>
          <cell r="K892"/>
          <cell r="L892">
            <v>45624</v>
          </cell>
          <cell r="N892" t="str">
            <v>Sahibpur Kamal</v>
          </cell>
        </row>
        <row r="893">
          <cell r="B893">
            <v>10110101</v>
          </cell>
          <cell r="C893" t="str">
            <v>0101</v>
          </cell>
          <cell r="D893"/>
          <cell r="E893" t="str">
            <v>MPG</v>
          </cell>
          <cell r="F893" t="str">
            <v>Direct</v>
          </cell>
          <cell r="G893" t="str">
            <v>GOMUKH TILAK NAGAR</v>
          </cell>
          <cell r="H893" t="str">
            <v>MRITUNJAY SHARMA</v>
          </cell>
          <cell r="I893">
            <v>7667364480</v>
          </cell>
          <cell r="J893" t="str">
            <v>101104</v>
          </cell>
          <cell r="K893"/>
          <cell r="L893">
            <v>45624</v>
          </cell>
          <cell r="N893" t="str">
            <v>Sahibpur Kamal</v>
          </cell>
        </row>
        <row r="894">
          <cell r="B894">
            <v>10110102</v>
          </cell>
          <cell r="C894" t="str">
            <v>0102</v>
          </cell>
          <cell r="D894"/>
          <cell r="E894" t="str">
            <v>MPG</v>
          </cell>
          <cell r="F894" t="str">
            <v>Indirect</v>
          </cell>
          <cell r="G894" t="str">
            <v>Chitraur VLC</v>
          </cell>
          <cell r="H894" t="str">
            <v>MANISH KUMAR</v>
          </cell>
          <cell r="I894">
            <v>6207550817</v>
          </cell>
          <cell r="J894" t="str">
            <v>101102</v>
          </cell>
          <cell r="K894"/>
          <cell r="L894">
            <v>45643</v>
          </cell>
          <cell r="N894" t="str">
            <v>Sahibpur Kamal</v>
          </cell>
        </row>
        <row r="895">
          <cell r="B895">
            <v>10110103</v>
          </cell>
          <cell r="C895" t="str">
            <v>0103</v>
          </cell>
          <cell r="D895"/>
          <cell r="E895" t="str">
            <v>MPG</v>
          </cell>
          <cell r="F895" t="str">
            <v>Direct</v>
          </cell>
          <cell r="G895" t="str">
            <v>GOMUKH KAMATHAN</v>
          </cell>
          <cell r="H895" t="str">
            <v>JEETENDRA KUMAR</v>
          </cell>
          <cell r="I895">
            <v>9709798518</v>
          </cell>
          <cell r="J895" t="str">
            <v>101104</v>
          </cell>
          <cell r="K895"/>
          <cell r="L895">
            <v>45668</v>
          </cell>
          <cell r="N895" t="str">
            <v>Sahibpur Kamal</v>
          </cell>
        </row>
        <row r="896">
          <cell r="B896">
            <v>10110104</v>
          </cell>
          <cell r="C896" t="str">
            <v>0104</v>
          </cell>
          <cell r="D896"/>
          <cell r="E896" t="str">
            <v>MPG</v>
          </cell>
          <cell r="F896" t="str">
            <v>Direct</v>
          </cell>
          <cell r="G896" t="str">
            <v>GOMUKH RON</v>
          </cell>
          <cell r="H896" t="str">
            <v>NITISH KUMAR</v>
          </cell>
          <cell r="I896">
            <v>9608030841</v>
          </cell>
          <cell r="J896" t="str">
            <v>101104</v>
          </cell>
          <cell r="K896"/>
          <cell r="L896">
            <v>45668</v>
          </cell>
          <cell r="N896" t="str">
            <v>Sahibpur Kamal</v>
          </cell>
        </row>
        <row r="897">
          <cell r="B897">
            <v>10110105</v>
          </cell>
          <cell r="C897" t="str">
            <v>0105</v>
          </cell>
          <cell r="D897"/>
          <cell r="E897" t="str">
            <v>MPG</v>
          </cell>
          <cell r="F897" t="str">
            <v>Direct</v>
          </cell>
          <cell r="G897" t="str">
            <v>Gomukh Thatha Purvi</v>
          </cell>
          <cell r="H897" t="str">
            <v>ILACHI DEVI</v>
          </cell>
          <cell r="I897">
            <v>7550619014</v>
          </cell>
          <cell r="J897" t="str">
            <v>101104</v>
          </cell>
          <cell r="K897"/>
          <cell r="L897">
            <v>45685</v>
          </cell>
          <cell r="N897" t="str">
            <v>Sahibpur Kamal</v>
          </cell>
        </row>
        <row r="898">
          <cell r="B898">
            <v>10110106</v>
          </cell>
          <cell r="C898" t="str">
            <v>0106</v>
          </cell>
          <cell r="D898"/>
          <cell r="E898" t="str">
            <v>MPG</v>
          </cell>
          <cell r="F898" t="str">
            <v>Direct</v>
          </cell>
          <cell r="G898" t="str">
            <v>Gomukh rahimpur dakshin</v>
          </cell>
          <cell r="H898" t="str">
            <v xml:space="preserve">KASHISH </v>
          </cell>
          <cell r="I898">
            <v>7542880079</v>
          </cell>
          <cell r="J898" t="str">
            <v>101104</v>
          </cell>
          <cell r="K898"/>
          <cell r="L898">
            <v>45685</v>
          </cell>
          <cell r="N898" t="str">
            <v>Sahibpur Kamal</v>
          </cell>
        </row>
        <row r="899">
          <cell r="B899">
            <v>10110107</v>
          </cell>
          <cell r="C899" t="str">
            <v>0107</v>
          </cell>
          <cell r="D899"/>
          <cell r="E899" t="str">
            <v>MPG</v>
          </cell>
          <cell r="F899" t="str">
            <v>Direct</v>
          </cell>
          <cell r="G899" t="str">
            <v>Gomukh pansalva</v>
          </cell>
          <cell r="H899" t="str">
            <v>SOLJAR KUMAR</v>
          </cell>
          <cell r="I899">
            <v>9153081202</v>
          </cell>
          <cell r="J899" t="str">
            <v>101104</v>
          </cell>
          <cell r="K899"/>
          <cell r="L899">
            <v>45685</v>
          </cell>
          <cell r="N899" t="str">
            <v>Sahibpur Kamal</v>
          </cell>
        </row>
        <row r="900">
          <cell r="B900">
            <v>10110108</v>
          </cell>
          <cell r="C900" t="str">
            <v>0108</v>
          </cell>
          <cell r="D900"/>
          <cell r="E900" t="str">
            <v>MPG</v>
          </cell>
          <cell r="F900" t="str">
            <v>Direct</v>
          </cell>
          <cell r="G900" t="str">
            <v>GOMUKH KHARHAT</v>
          </cell>
          <cell r="H900" t="str">
            <v>PARBHABATI KUMARI</v>
          </cell>
          <cell r="I900">
            <v>9534967917</v>
          </cell>
          <cell r="J900" t="str">
            <v>101102</v>
          </cell>
          <cell r="K900"/>
          <cell r="L900">
            <v>45699</v>
          </cell>
          <cell r="N900" t="str">
            <v>Sahibpur Kamal</v>
          </cell>
        </row>
        <row r="901">
          <cell r="B901">
            <v>10110109</v>
          </cell>
          <cell r="C901" t="str">
            <v>0109</v>
          </cell>
          <cell r="D901"/>
          <cell r="E901" t="str">
            <v>MPG</v>
          </cell>
          <cell r="F901" t="str">
            <v>Direct</v>
          </cell>
          <cell r="G901" t="str">
            <v>GOMUKH MORKAHI</v>
          </cell>
          <cell r="H901" t="str">
            <v>PUNAM KUMARI</v>
          </cell>
          <cell r="I901">
            <v>9122155235</v>
          </cell>
          <cell r="J901" t="str">
            <v>101102</v>
          </cell>
          <cell r="K901"/>
          <cell r="L901">
            <v>45699</v>
          </cell>
          <cell r="N901" t="str">
            <v>Sahibpur Kamal</v>
          </cell>
        </row>
        <row r="902">
          <cell r="B902">
            <v>10110110</v>
          </cell>
          <cell r="C902" t="str">
            <v>0110</v>
          </cell>
          <cell r="D902"/>
          <cell r="E902" t="str">
            <v>MPG</v>
          </cell>
          <cell r="F902" t="str">
            <v>Direct</v>
          </cell>
          <cell r="G902" t="str">
            <v>GOMUKH HANSPUR</v>
          </cell>
          <cell r="H902" t="str">
            <v>ABHINAV KUMAR</v>
          </cell>
          <cell r="I902">
            <v>9798013816</v>
          </cell>
          <cell r="J902" t="str">
            <v>101102</v>
          </cell>
          <cell r="K902"/>
          <cell r="L902">
            <v>45708</v>
          </cell>
          <cell r="N902" t="str">
            <v>Sahibpur Kamal</v>
          </cell>
        </row>
        <row r="903">
          <cell r="B903">
            <v>10110111</v>
          </cell>
          <cell r="C903" t="str">
            <v>0111</v>
          </cell>
          <cell r="D903"/>
          <cell r="E903" t="str">
            <v>MPG</v>
          </cell>
          <cell r="F903" t="str">
            <v>Direct</v>
          </cell>
          <cell r="G903" t="str">
            <v>GOMUKH NAYAGAON 2</v>
          </cell>
          <cell r="H903" t="str">
            <v>RAUSHAN SINGH</v>
          </cell>
          <cell r="I903">
            <v>6203663113</v>
          </cell>
          <cell r="J903" t="str">
            <v>101102</v>
          </cell>
          <cell r="K903"/>
          <cell r="L903">
            <v>45708</v>
          </cell>
          <cell r="N903" t="str">
            <v>Sahibpur Kamal</v>
          </cell>
        </row>
        <row r="904">
          <cell r="B904">
            <v>10110112</v>
          </cell>
          <cell r="C904" t="str">
            <v>0112</v>
          </cell>
          <cell r="D904"/>
          <cell r="E904" t="str">
            <v>MPG</v>
          </cell>
          <cell r="F904" t="str">
            <v>Direct</v>
          </cell>
          <cell r="G904" t="str">
            <v>GOMUKH ALOLI</v>
          </cell>
          <cell r="H904" t="str">
            <v>DIVYANSHU KUMAR SINGH</v>
          </cell>
          <cell r="I904">
            <v>6200388473</v>
          </cell>
          <cell r="J904" t="str">
            <v>101104</v>
          </cell>
          <cell r="K904"/>
          <cell r="L904">
            <v>45708</v>
          </cell>
          <cell r="N904" t="str">
            <v>Sahibpur Kamal</v>
          </cell>
        </row>
        <row r="905">
          <cell r="B905">
            <v>10110113</v>
          </cell>
          <cell r="C905" t="str">
            <v>0113</v>
          </cell>
          <cell r="D905"/>
          <cell r="E905" t="str">
            <v>MPG</v>
          </cell>
          <cell r="F905" t="str">
            <v>Direct</v>
          </cell>
          <cell r="G905" t="str">
            <v>GOMUKH SONVARSA</v>
          </cell>
          <cell r="H905" t="str">
            <v xml:space="preserve">RAHUL KUMAR </v>
          </cell>
          <cell r="I905">
            <v>6205890827</v>
          </cell>
          <cell r="J905" t="str">
            <v>101102</v>
          </cell>
          <cell r="K905"/>
          <cell r="L905">
            <v>45713</v>
          </cell>
          <cell r="N905" t="str">
            <v>Sahibpur Kamal</v>
          </cell>
        </row>
        <row r="906">
          <cell r="B906">
            <v>10110114</v>
          </cell>
          <cell r="C906" t="str">
            <v>0114</v>
          </cell>
          <cell r="D906"/>
          <cell r="E906" t="str">
            <v>MPG</v>
          </cell>
          <cell r="F906" t="str">
            <v>Direct</v>
          </cell>
          <cell r="G906" t="str">
            <v>GOMUKH LABHGAON</v>
          </cell>
          <cell r="H906" t="str">
            <v>RAJ KUMAR SINGH</v>
          </cell>
          <cell r="I906">
            <v>9934720616</v>
          </cell>
          <cell r="J906" t="str">
            <v>101104</v>
          </cell>
          <cell r="K906"/>
          <cell r="L906">
            <v>45713</v>
          </cell>
          <cell r="N906" t="str">
            <v>Sahibpur Kamal</v>
          </cell>
        </row>
        <row r="907">
          <cell r="B907">
            <v>10110115</v>
          </cell>
          <cell r="C907" t="str">
            <v>0115</v>
          </cell>
          <cell r="D907"/>
          <cell r="E907" t="str">
            <v>MPG</v>
          </cell>
          <cell r="F907" t="str">
            <v>Direct</v>
          </cell>
          <cell r="G907" t="str">
            <v>GOMUKH TATRABAD</v>
          </cell>
          <cell r="H907" t="str">
            <v xml:space="preserve">ANIL YADAV </v>
          </cell>
          <cell r="I907">
            <v>9060189087</v>
          </cell>
          <cell r="J907" t="str">
            <v>101104</v>
          </cell>
          <cell r="K907"/>
          <cell r="L907">
            <v>45713</v>
          </cell>
          <cell r="N907" t="str">
            <v>Sahibpur Kamal</v>
          </cell>
        </row>
        <row r="908">
          <cell r="B908">
            <v>10110116</v>
          </cell>
          <cell r="C908" t="str">
            <v>0116</v>
          </cell>
          <cell r="D908"/>
          <cell r="E908" t="str">
            <v>MPG</v>
          </cell>
          <cell r="F908" t="str">
            <v>Direct</v>
          </cell>
          <cell r="G908" t="str">
            <v>GOMUKH CHANDPURA</v>
          </cell>
          <cell r="H908" t="str">
            <v xml:space="preserve">RAJEEV KUMAR </v>
          </cell>
          <cell r="I908">
            <v>8447621781</v>
          </cell>
          <cell r="J908" t="str">
            <v>101104</v>
          </cell>
          <cell r="K908"/>
          <cell r="L908">
            <v>45713</v>
          </cell>
          <cell r="N908" t="str">
            <v>Sahibpur Kamal</v>
          </cell>
        </row>
        <row r="909">
          <cell r="B909">
            <v>10110117</v>
          </cell>
          <cell r="C909" t="str">
            <v>0117</v>
          </cell>
          <cell r="D909"/>
          <cell r="E909" t="str">
            <v>MPG</v>
          </cell>
          <cell r="F909" t="str">
            <v>Direct</v>
          </cell>
          <cell r="G909" t="str">
            <v>GOMUKH KASBA DIYARA</v>
          </cell>
          <cell r="H909" t="str">
            <v>SONU KUMAR</v>
          </cell>
          <cell r="I909">
            <v>7759061276</v>
          </cell>
          <cell r="J909" t="str">
            <v>101102</v>
          </cell>
          <cell r="K909"/>
          <cell r="L909">
            <v>45713</v>
          </cell>
          <cell r="N909" t="str">
            <v>Sahibpur Kamal</v>
          </cell>
        </row>
        <row r="910">
          <cell r="B910">
            <v>10110118</v>
          </cell>
          <cell r="C910" t="str">
            <v>0118</v>
          </cell>
          <cell r="D910"/>
          <cell r="E910" t="str">
            <v>MPG</v>
          </cell>
          <cell r="F910" t="str">
            <v>Direct</v>
          </cell>
          <cell r="G910" t="str">
            <v>GOMUKH BADIL TOL</v>
          </cell>
          <cell r="H910" t="str">
            <v>DHARMENDRA KUMAR</v>
          </cell>
          <cell r="I910">
            <v>9534792640</v>
          </cell>
          <cell r="J910" t="str">
            <v>101102</v>
          </cell>
          <cell r="K910"/>
          <cell r="L910">
            <v>45735</v>
          </cell>
          <cell r="N910" t="str">
            <v>Sahibpur Kamal</v>
          </cell>
        </row>
        <row r="911">
          <cell r="B911">
            <v>10110119</v>
          </cell>
          <cell r="C911" t="str">
            <v>0119</v>
          </cell>
          <cell r="D911"/>
          <cell r="E911" t="str">
            <v>MPG</v>
          </cell>
          <cell r="F911" t="str">
            <v>Direct</v>
          </cell>
          <cell r="G911" t="str">
            <v>GOMUKH TRIBHUVAN TOLA</v>
          </cell>
          <cell r="H911" t="str">
            <v>MADAN KUMAR TANTI</v>
          </cell>
          <cell r="I911">
            <v>7631787471</v>
          </cell>
          <cell r="J911" t="str">
            <v>101102</v>
          </cell>
          <cell r="K911"/>
          <cell r="L911">
            <v>45735</v>
          </cell>
          <cell r="N911" t="str">
            <v>Sahibpur Kamal</v>
          </cell>
        </row>
        <row r="912">
          <cell r="B912">
            <v>10110120</v>
          </cell>
          <cell r="C912" t="str">
            <v>0120</v>
          </cell>
          <cell r="D912"/>
          <cell r="E912" t="str">
            <v>MPG</v>
          </cell>
          <cell r="F912" t="str">
            <v>Direct</v>
          </cell>
          <cell r="G912" t="str">
            <v>GOMUKH SANTOSHPUL</v>
          </cell>
          <cell r="H912" t="str">
            <v>SANJIV KUMAR</v>
          </cell>
          <cell r="I912">
            <v>9162937971</v>
          </cell>
          <cell r="J912" t="str">
            <v>101102</v>
          </cell>
          <cell r="K912"/>
          <cell r="L912">
            <v>45735</v>
          </cell>
          <cell r="N912" t="str">
            <v>Sahibpur Kamal</v>
          </cell>
        </row>
        <row r="913">
          <cell r="B913">
            <v>10110121</v>
          </cell>
          <cell r="C913" t="str">
            <v>0121</v>
          </cell>
          <cell r="D913"/>
          <cell r="E913" t="str">
            <v>MPG</v>
          </cell>
          <cell r="F913" t="str">
            <v>Direct</v>
          </cell>
          <cell r="G913" t="str">
            <v>GOMUKH AHUNA</v>
          </cell>
          <cell r="H913" t="str">
            <v>RAHUL SHARMA</v>
          </cell>
          <cell r="I913">
            <v>8271795864</v>
          </cell>
          <cell r="J913" t="str">
            <v>101102</v>
          </cell>
          <cell r="K913"/>
          <cell r="L913">
            <v>45735</v>
          </cell>
          <cell r="N913" t="str">
            <v>Sahibpur Kamal</v>
          </cell>
        </row>
        <row r="914">
          <cell r="B914">
            <v>10110122</v>
          </cell>
          <cell r="C914" t="str">
            <v>0122</v>
          </cell>
          <cell r="D914"/>
          <cell r="E914" t="str">
            <v>MPG</v>
          </cell>
          <cell r="F914" t="str">
            <v>Direct</v>
          </cell>
          <cell r="G914" t="str">
            <v>GOMUKH SAURAYDIH</v>
          </cell>
          <cell r="H914" t="str">
            <v>PAWAN KUMAR</v>
          </cell>
          <cell r="I914">
            <v>8434543388</v>
          </cell>
          <cell r="J914" t="str">
            <v>101102</v>
          </cell>
          <cell r="K914"/>
          <cell r="L914">
            <v>45735</v>
          </cell>
          <cell r="N914" t="str">
            <v>Sahibpur Kamal</v>
          </cell>
        </row>
        <row r="915">
          <cell r="B915">
            <v>10110123</v>
          </cell>
          <cell r="C915" t="str">
            <v>0123</v>
          </cell>
          <cell r="D915"/>
          <cell r="E915" t="str">
            <v>MPG</v>
          </cell>
          <cell r="F915" t="str">
            <v>Direct</v>
          </cell>
          <cell r="G915" t="str">
            <v>GOMUKH SHADIPUR</v>
          </cell>
          <cell r="H915" t="str">
            <v>NITESH KUMAR RAY</v>
          </cell>
          <cell r="I915">
            <v>7667178967</v>
          </cell>
          <cell r="J915" t="str">
            <v>101102</v>
          </cell>
          <cell r="K915"/>
          <cell r="L915">
            <v>45735</v>
          </cell>
          <cell r="N915" t="str">
            <v>Sahibpur Kamal</v>
          </cell>
        </row>
        <row r="916">
          <cell r="B916">
            <v>10110124</v>
          </cell>
          <cell r="C916" t="str">
            <v>0124</v>
          </cell>
          <cell r="D916"/>
          <cell r="E916" t="str">
            <v>MPG</v>
          </cell>
          <cell r="F916" t="str">
            <v>Direct</v>
          </cell>
          <cell r="G916" t="str">
            <v>GOMUKH ASHRAPHA DIYARA</v>
          </cell>
          <cell r="H916" t="str">
            <v>NITISH KUMAR HITLAR</v>
          </cell>
          <cell r="I916">
            <v>8808408958</v>
          </cell>
          <cell r="J916" t="str">
            <v>101102</v>
          </cell>
          <cell r="K916"/>
          <cell r="L916">
            <v>45735</v>
          </cell>
          <cell r="N916" t="str">
            <v>Sahibpur Kamal</v>
          </cell>
        </row>
        <row r="917">
          <cell r="B917">
            <v>10110125</v>
          </cell>
          <cell r="C917" t="str">
            <v>0125</v>
          </cell>
          <cell r="D917"/>
          <cell r="E917" t="str">
            <v>MPG</v>
          </cell>
          <cell r="F917" t="str">
            <v>Direct</v>
          </cell>
          <cell r="G917" t="str">
            <v>GOMUKH SHUMBHA</v>
          </cell>
          <cell r="H917" t="str">
            <v>KUNDAN KUMAR</v>
          </cell>
          <cell r="I917">
            <v>8292810058</v>
          </cell>
          <cell r="J917" t="str">
            <v>101102</v>
          </cell>
          <cell r="K917"/>
          <cell r="L917">
            <v>45737</v>
          </cell>
          <cell r="N917" t="str">
            <v>Sahibpur Kamal</v>
          </cell>
        </row>
        <row r="918">
          <cell r="B918">
            <v>10110126</v>
          </cell>
          <cell r="C918" t="str">
            <v>0126</v>
          </cell>
          <cell r="D918"/>
          <cell r="E918" t="str">
            <v>MPG</v>
          </cell>
          <cell r="F918" t="str">
            <v>Direct</v>
          </cell>
          <cell r="G918" t="str">
            <v>GOMUKH BAGINGAMA</v>
          </cell>
          <cell r="H918" t="str">
            <v>KHUSHBU KUMARI</v>
          </cell>
          <cell r="I918">
            <v>9097602325</v>
          </cell>
          <cell r="J918" t="str">
            <v>101102</v>
          </cell>
          <cell r="K918"/>
          <cell r="L918">
            <v>45737</v>
          </cell>
          <cell r="N918" t="str">
            <v>Sahibpur Kamal</v>
          </cell>
        </row>
        <row r="919">
          <cell r="B919">
            <v>10110127</v>
          </cell>
          <cell r="C919" t="str">
            <v>0127</v>
          </cell>
          <cell r="D919"/>
          <cell r="E919" t="str">
            <v>MPG</v>
          </cell>
          <cell r="F919" t="str">
            <v>Direct</v>
          </cell>
          <cell r="G919" t="str">
            <v>GOMUKH SANJHOTI</v>
          </cell>
          <cell r="H919" t="str">
            <v>SANATAN KUMAR</v>
          </cell>
          <cell r="I919">
            <v>6206124603</v>
          </cell>
          <cell r="J919" t="str">
            <v>101102</v>
          </cell>
          <cell r="K919"/>
          <cell r="L919">
            <v>45737</v>
          </cell>
          <cell r="N919" t="str">
            <v>Sahibpur Kamal</v>
          </cell>
        </row>
        <row r="920">
          <cell r="B920">
            <v>10110128</v>
          </cell>
          <cell r="C920" t="str">
            <v>0128</v>
          </cell>
          <cell r="D920"/>
          <cell r="E920" t="str">
            <v>MPG</v>
          </cell>
          <cell r="F920" t="str">
            <v>Direct</v>
          </cell>
          <cell r="G920" t="str">
            <v>GOMUKH MANIAPPA</v>
          </cell>
          <cell r="H920" t="str">
            <v>GOPESH KUMAR</v>
          </cell>
          <cell r="I920">
            <v>6204908634</v>
          </cell>
          <cell r="J920" t="str">
            <v>101102</v>
          </cell>
          <cell r="K920"/>
          <cell r="L920">
            <v>45737</v>
          </cell>
          <cell r="N920" t="str">
            <v>Sahibpur Kamal</v>
          </cell>
        </row>
        <row r="921">
          <cell r="B921">
            <v>10110129</v>
          </cell>
          <cell r="C921" t="str">
            <v>0129</v>
          </cell>
          <cell r="D921"/>
          <cell r="E921" t="str">
            <v>MPG</v>
          </cell>
          <cell r="F921" t="str">
            <v>Direct</v>
          </cell>
          <cell r="G921" t="str">
            <v>GOMUKH D SANJHAUTI</v>
          </cell>
          <cell r="H921" t="str">
            <v>PAPPU KUMAR</v>
          </cell>
          <cell r="I921">
            <v>9123466311</v>
          </cell>
          <cell r="J921" t="str">
            <v>101102</v>
          </cell>
          <cell r="K921"/>
          <cell r="L921">
            <v>45741</v>
          </cell>
          <cell r="N921" t="str">
            <v>Sahibpur Kamal</v>
          </cell>
        </row>
        <row r="922">
          <cell r="B922">
            <v>10110130</v>
          </cell>
          <cell r="C922" t="str">
            <v>0130</v>
          </cell>
          <cell r="D922"/>
          <cell r="E922" t="str">
            <v>MPG</v>
          </cell>
          <cell r="F922" t="str">
            <v>Direct</v>
          </cell>
          <cell r="G922" t="str">
            <v>GOMUKH KASAHA</v>
          </cell>
          <cell r="H922" t="str">
            <v>RUPAK KUMAR</v>
          </cell>
          <cell r="I922">
            <v>9199771080</v>
          </cell>
          <cell r="J922" t="str">
            <v>101102</v>
          </cell>
          <cell r="K922"/>
          <cell r="L922">
            <v>45741</v>
          </cell>
          <cell r="N922" t="str">
            <v>Sahibpur Kamal</v>
          </cell>
        </row>
        <row r="923">
          <cell r="B923">
            <v>10110131</v>
          </cell>
          <cell r="C923" t="str">
            <v>0131</v>
          </cell>
          <cell r="D923"/>
          <cell r="E923" t="str">
            <v>MPG</v>
          </cell>
          <cell r="F923" t="str">
            <v>Direct</v>
          </cell>
          <cell r="G923" t="str">
            <v>GOMUKH KAMALPUR</v>
          </cell>
          <cell r="H923" t="str">
            <v>RANJEET SINGH</v>
          </cell>
          <cell r="I923">
            <v>9934218073</v>
          </cell>
          <cell r="J923" t="str">
            <v>101102</v>
          </cell>
          <cell r="K923"/>
          <cell r="L923">
            <v>45741</v>
          </cell>
          <cell r="N923" t="str">
            <v>Sahibpur Kamal</v>
          </cell>
        </row>
        <row r="924">
          <cell r="B924">
            <v>10110132</v>
          </cell>
          <cell r="C924" t="str">
            <v>0132</v>
          </cell>
          <cell r="D924"/>
          <cell r="E924" t="str">
            <v>MPG</v>
          </cell>
          <cell r="F924" t="str">
            <v>Direct</v>
          </cell>
          <cell r="G924" t="str">
            <v>GOMUKH DHUSMURI BISHANPUR</v>
          </cell>
          <cell r="H924" t="str">
            <v>VIKASH KUMAR SHARMA</v>
          </cell>
          <cell r="I924">
            <v>7070024693</v>
          </cell>
          <cell r="J924" t="str">
            <v>101102</v>
          </cell>
          <cell r="K924"/>
          <cell r="L924">
            <v>45749</v>
          </cell>
          <cell r="N924" t="str">
            <v>Sahibpur Kamal</v>
          </cell>
        </row>
        <row r="925">
          <cell r="B925">
            <v>10110133</v>
          </cell>
          <cell r="C925" t="str">
            <v>0133</v>
          </cell>
          <cell r="D925"/>
          <cell r="E925" t="str">
            <v>MPG</v>
          </cell>
          <cell r="F925" t="str">
            <v>Direct</v>
          </cell>
          <cell r="G925" t="str">
            <v>GOMUKH ANANDPUR PARAS</v>
          </cell>
          <cell r="H925" t="str">
            <v>DHRUB KUMAR</v>
          </cell>
          <cell r="I925">
            <v>9123205510</v>
          </cell>
          <cell r="J925" t="str">
            <v>101102</v>
          </cell>
          <cell r="K925"/>
          <cell r="L925">
            <v>45749</v>
          </cell>
          <cell r="N925" t="str">
            <v>Sahibpur Kamal</v>
          </cell>
        </row>
        <row r="926">
          <cell r="B926">
            <v>10110134</v>
          </cell>
          <cell r="C926" t="str">
            <v>0134</v>
          </cell>
          <cell r="D926"/>
          <cell r="E926" t="str">
            <v>MPG</v>
          </cell>
          <cell r="F926" t="str">
            <v>Direct</v>
          </cell>
          <cell r="G926" t="str">
            <v>GOMUKH BISHANPUR</v>
          </cell>
          <cell r="H926" t="str">
            <v>PRADEEP KU. SHAH</v>
          </cell>
          <cell r="I926">
            <v>8757483322</v>
          </cell>
          <cell r="J926" t="str">
            <v>101102</v>
          </cell>
          <cell r="K926"/>
          <cell r="L926">
            <v>45749</v>
          </cell>
          <cell r="N926" t="str">
            <v>Sahibpur Kamal</v>
          </cell>
        </row>
        <row r="927">
          <cell r="B927">
            <v>10110135</v>
          </cell>
          <cell r="C927" t="str">
            <v>0135</v>
          </cell>
          <cell r="D927"/>
          <cell r="E927" t="str">
            <v>MPG</v>
          </cell>
          <cell r="F927" t="str">
            <v>Direct</v>
          </cell>
          <cell r="G927" t="str">
            <v>GOMUKH BISHANPUR 2</v>
          </cell>
          <cell r="H927" t="str">
            <v>SANJIV KUMAR</v>
          </cell>
          <cell r="I927">
            <v>7004581167</v>
          </cell>
          <cell r="J927" t="str">
            <v>101102</v>
          </cell>
          <cell r="K927"/>
          <cell r="L927">
            <v>45749</v>
          </cell>
          <cell r="N927" t="str">
            <v>Sahibpur Kamal</v>
          </cell>
        </row>
        <row r="928">
          <cell r="B928">
            <v>10110136</v>
          </cell>
          <cell r="C928" t="str">
            <v>0136</v>
          </cell>
          <cell r="D928"/>
          <cell r="E928" t="str">
            <v>MPG</v>
          </cell>
          <cell r="F928" t="str">
            <v>Indirect</v>
          </cell>
          <cell r="G928" t="str">
            <v>SAHEB KUMAR</v>
          </cell>
          <cell r="H928" t="str">
            <v>SAHEB KUMAR</v>
          </cell>
          <cell r="I928">
            <v>7673020778</v>
          </cell>
          <cell r="J928" t="str">
            <v>101102</v>
          </cell>
          <cell r="K928"/>
          <cell r="L928">
            <v>45749</v>
          </cell>
          <cell r="N928" t="str">
            <v>Sahibpur Kamal</v>
          </cell>
        </row>
        <row r="929">
          <cell r="B929">
            <v>10110137</v>
          </cell>
          <cell r="C929" t="str">
            <v>0137</v>
          </cell>
          <cell r="D929"/>
          <cell r="E929" t="str">
            <v>MPG</v>
          </cell>
          <cell r="F929" t="str">
            <v>Indirect</v>
          </cell>
          <cell r="G929" t="str">
            <v>PARTIMA DEVI</v>
          </cell>
          <cell r="H929" t="str">
            <v>PARTIMA DEVI</v>
          </cell>
          <cell r="I929">
            <v>8511274993</v>
          </cell>
          <cell r="J929" t="str">
            <v>101102</v>
          </cell>
          <cell r="K929"/>
          <cell r="L929">
            <v>45749</v>
          </cell>
          <cell r="N929" t="str">
            <v>Sahibpur Kamal</v>
          </cell>
        </row>
        <row r="930">
          <cell r="B930">
            <v>10110138</v>
          </cell>
          <cell r="C930" t="str">
            <v>0138</v>
          </cell>
          <cell r="D930"/>
          <cell r="E930" t="str">
            <v>MPG</v>
          </cell>
          <cell r="F930" t="str">
            <v>Indirect</v>
          </cell>
          <cell r="G930" t="str">
            <v>DAYA DEVI</v>
          </cell>
          <cell r="H930" t="str">
            <v>DAYA DEVI</v>
          </cell>
          <cell r="I930">
            <v>8969028651</v>
          </cell>
          <cell r="J930" t="str">
            <v>101102</v>
          </cell>
          <cell r="K930"/>
          <cell r="L930">
            <v>45749</v>
          </cell>
          <cell r="N930" t="str">
            <v>Sahibpur Kamal</v>
          </cell>
        </row>
        <row r="931">
          <cell r="B931">
            <v>10110139</v>
          </cell>
          <cell r="C931" t="str">
            <v>0139</v>
          </cell>
          <cell r="D931"/>
          <cell r="E931" t="str">
            <v>MPG</v>
          </cell>
          <cell r="F931" t="str">
            <v>Indirect</v>
          </cell>
          <cell r="G931" t="str">
            <v>PRASHANT PAHARPUR</v>
          </cell>
          <cell r="H931" t="str">
            <v>PRASHANT KUMAR</v>
          </cell>
          <cell r="I931">
            <v>6203834348</v>
          </cell>
          <cell r="J931" t="str">
            <v>101102</v>
          </cell>
          <cell r="K931"/>
          <cell r="L931">
            <v>45749</v>
          </cell>
          <cell r="N931" t="str">
            <v>Sahibpur Kamal</v>
          </cell>
        </row>
        <row r="932">
          <cell r="B932">
            <v>10110140</v>
          </cell>
          <cell r="C932" t="str">
            <v>0140</v>
          </cell>
          <cell r="D932"/>
          <cell r="E932" t="str">
            <v>MPG</v>
          </cell>
          <cell r="F932" t="str">
            <v>Direct</v>
          </cell>
          <cell r="G932" t="str">
            <v>GOMUKH GHAMARIYA</v>
          </cell>
          <cell r="H932" t="str">
            <v>BHUSHAN KUMAR</v>
          </cell>
          <cell r="I932">
            <v>9570352603</v>
          </cell>
          <cell r="J932" t="str">
            <v>101102</v>
          </cell>
          <cell r="K932"/>
          <cell r="L932">
            <v>45765</v>
          </cell>
          <cell r="N932" t="str">
            <v>Sahibpur Kamal</v>
          </cell>
        </row>
        <row r="933">
          <cell r="B933">
            <v>10110141</v>
          </cell>
          <cell r="C933" t="str">
            <v>0141</v>
          </cell>
          <cell r="D933"/>
          <cell r="E933" t="str">
            <v>MPG</v>
          </cell>
          <cell r="F933" t="str">
            <v>Direct</v>
          </cell>
          <cell r="G933" t="str">
            <v>GOMUKH MEGHAUMA</v>
          </cell>
          <cell r="H933" t="str">
            <v>DEEPAK KUMAR</v>
          </cell>
          <cell r="I933">
            <v>9955661995</v>
          </cell>
          <cell r="J933" t="str">
            <v>101102</v>
          </cell>
          <cell r="K933"/>
          <cell r="L933">
            <v>45765</v>
          </cell>
          <cell r="N933" t="str">
            <v>Sahibpur Kamal</v>
          </cell>
        </row>
        <row r="934">
          <cell r="B934">
            <v>10110142</v>
          </cell>
          <cell r="C934" t="str">
            <v>0142</v>
          </cell>
          <cell r="D934"/>
          <cell r="E934" t="str">
            <v>MPG</v>
          </cell>
          <cell r="F934" t="str">
            <v>Direct</v>
          </cell>
          <cell r="G934" t="str">
            <v>GOUKH SIRSIYA</v>
          </cell>
          <cell r="H934" t="str">
            <v>VIKLESH SAH</v>
          </cell>
          <cell r="I934">
            <v>6299886052</v>
          </cell>
          <cell r="J934" t="str">
            <v>101102</v>
          </cell>
          <cell r="K934"/>
          <cell r="L934">
            <v>45765</v>
          </cell>
          <cell r="N934" t="str">
            <v>Sahibpur Kamal</v>
          </cell>
        </row>
        <row r="935">
          <cell r="B935">
            <v>10110143</v>
          </cell>
          <cell r="C935" t="str">
            <v>0143</v>
          </cell>
          <cell r="D935"/>
          <cell r="E935" t="str">
            <v>MPG</v>
          </cell>
          <cell r="F935" t="str">
            <v>Direct</v>
          </cell>
          <cell r="G935" t="str">
            <v>GOMUKH AURA</v>
          </cell>
          <cell r="H935" t="str">
            <v>SUBHASH KUMAR</v>
          </cell>
          <cell r="I935">
            <v>9262852952</v>
          </cell>
          <cell r="J935" t="str">
            <v>101102</v>
          </cell>
          <cell r="K935"/>
          <cell r="L935">
            <v>45765</v>
          </cell>
          <cell r="N935" t="str">
            <v>Sahibpur Kamal</v>
          </cell>
        </row>
        <row r="936">
          <cell r="B936">
            <v>10110144</v>
          </cell>
          <cell r="C936" t="str">
            <v>0144</v>
          </cell>
          <cell r="D936"/>
          <cell r="E936" t="str">
            <v>MPG</v>
          </cell>
          <cell r="F936" t="str">
            <v>Direct</v>
          </cell>
          <cell r="G936" t="str">
            <v>GOMUKH BEHORBA</v>
          </cell>
          <cell r="H936" t="str">
            <v xml:space="preserve">BHARAT YADAV </v>
          </cell>
          <cell r="I936">
            <v>9153626624</v>
          </cell>
          <cell r="J936" t="str">
            <v>101102</v>
          </cell>
          <cell r="K936"/>
          <cell r="L936">
            <v>45765</v>
          </cell>
          <cell r="N936" t="str">
            <v>Sahibpur Kamal</v>
          </cell>
        </row>
        <row r="937">
          <cell r="B937">
            <v>10110145</v>
          </cell>
          <cell r="C937" t="str">
            <v>0145</v>
          </cell>
          <cell r="D937"/>
          <cell r="E937" t="str">
            <v>MPG</v>
          </cell>
          <cell r="F937" t="str">
            <v>Direct</v>
          </cell>
          <cell r="G937" t="str">
            <v>GOMUKH SONAPUR BHARAT</v>
          </cell>
          <cell r="H937" t="str">
            <v>VIJAY PRAKASH</v>
          </cell>
          <cell r="I937">
            <v>9142946260</v>
          </cell>
          <cell r="J937" t="str">
            <v>101102</v>
          </cell>
          <cell r="K937"/>
          <cell r="L937">
            <v>45765</v>
          </cell>
          <cell r="N937" t="str">
            <v>Sahibpur Kamal</v>
          </cell>
        </row>
        <row r="938">
          <cell r="B938">
            <v>10110146</v>
          </cell>
          <cell r="C938" t="str">
            <v>0146</v>
          </cell>
          <cell r="D938"/>
          <cell r="E938" t="str">
            <v>MPG</v>
          </cell>
          <cell r="F938" t="str">
            <v>Direct</v>
          </cell>
          <cell r="G938" t="str">
            <v>GOMUKH SAIDPUR SAMASTIPUR</v>
          </cell>
          <cell r="H938" t="str">
            <v>RAUSHAN KUMAR</v>
          </cell>
          <cell r="I938">
            <v>8873816406</v>
          </cell>
          <cell r="J938" t="str">
            <v>101102</v>
          </cell>
          <cell r="K938"/>
          <cell r="L938">
            <v>45765</v>
          </cell>
          <cell r="N938" t="str">
            <v>Sahibpur Kamal</v>
          </cell>
        </row>
        <row r="939">
          <cell r="B939">
            <v>10110147</v>
          </cell>
          <cell r="C939" t="str">
            <v>0147</v>
          </cell>
          <cell r="D939"/>
          <cell r="E939" t="str">
            <v>MPG</v>
          </cell>
          <cell r="F939" t="str">
            <v>Direct</v>
          </cell>
          <cell r="G939" t="str">
            <v>GOMUKH BARIYARPUR</v>
          </cell>
          <cell r="H939" t="str">
            <v>NITISH KUMAR CHAUDHARY</v>
          </cell>
          <cell r="I939">
            <v>8617890192</v>
          </cell>
          <cell r="J939" t="str">
            <v>101102</v>
          </cell>
          <cell r="K939"/>
          <cell r="L939">
            <v>45765</v>
          </cell>
          <cell r="N939" t="str">
            <v>Sahibpur Kamal</v>
          </cell>
        </row>
        <row r="940">
          <cell r="B940">
            <v>10110148</v>
          </cell>
          <cell r="C940" t="str">
            <v>0148</v>
          </cell>
          <cell r="D940"/>
          <cell r="E940" t="str">
            <v>MPG</v>
          </cell>
          <cell r="F940" t="str">
            <v>Direct</v>
          </cell>
          <cell r="G940" t="str">
            <v>GOMUKH SAHARBANNI</v>
          </cell>
          <cell r="H940" t="str">
            <v>MANTUN KUMAR</v>
          </cell>
          <cell r="I940">
            <v>7070802905</v>
          </cell>
          <cell r="J940" t="str">
            <v>101102</v>
          </cell>
          <cell r="K940"/>
          <cell r="L940">
            <v>45775</v>
          </cell>
          <cell r="N940" t="str">
            <v>Sahibpur Kamal</v>
          </cell>
        </row>
        <row r="941">
          <cell r="B941">
            <v>10110149</v>
          </cell>
          <cell r="C941" t="str">
            <v>0149</v>
          </cell>
          <cell r="D941"/>
          <cell r="E941" t="str">
            <v>MPG</v>
          </cell>
          <cell r="F941" t="str">
            <v>Direct</v>
          </cell>
          <cell r="G941" t="str">
            <v>GOMUKH PHULTAURA</v>
          </cell>
          <cell r="H941" t="str">
            <v>SANJULA DEVI</v>
          </cell>
          <cell r="I941">
            <v>9931527256</v>
          </cell>
          <cell r="J941" t="str">
            <v>101102</v>
          </cell>
          <cell r="K941"/>
          <cell r="L941">
            <v>45775</v>
          </cell>
          <cell r="N941" t="str">
            <v>Sahibpur Kamal</v>
          </cell>
        </row>
        <row r="942">
          <cell r="B942">
            <v>10110150</v>
          </cell>
          <cell r="C942" t="str">
            <v>0150</v>
          </cell>
          <cell r="D942"/>
          <cell r="E942" t="str">
            <v>MPG</v>
          </cell>
          <cell r="F942" t="str">
            <v>Indirect</v>
          </cell>
          <cell r="G942" t="str">
            <v>AMNI VLC</v>
          </cell>
          <cell r="H942" t="str">
            <v>AMIT KUMAR</v>
          </cell>
          <cell r="I942">
            <v>9931527526</v>
          </cell>
          <cell r="J942" t="str">
            <v>101102</v>
          </cell>
          <cell r="K942"/>
          <cell r="L942">
            <v>45775</v>
          </cell>
          <cell r="N942" t="str">
            <v>Sahibpur Kamal</v>
          </cell>
        </row>
        <row r="943">
          <cell r="B943">
            <v>10110151</v>
          </cell>
          <cell r="C943" t="str">
            <v>0151</v>
          </cell>
          <cell r="D943"/>
          <cell r="E943" t="str">
            <v>MPG</v>
          </cell>
          <cell r="F943" t="str">
            <v>Direct</v>
          </cell>
          <cell r="G943" t="str">
            <v>GOMUKH MINAPUR</v>
          </cell>
          <cell r="H943" t="str">
            <v>ROSHAN KUMAR</v>
          </cell>
          <cell r="I943">
            <v>8709886616</v>
          </cell>
          <cell r="J943" t="str">
            <v>101102</v>
          </cell>
          <cell r="K943"/>
          <cell r="L943">
            <v>45780</v>
          </cell>
          <cell r="N943" t="str">
            <v>Sahibpur Kamal</v>
          </cell>
        </row>
        <row r="944">
          <cell r="B944">
            <v>10110152</v>
          </cell>
          <cell r="C944" t="str">
            <v>0152</v>
          </cell>
          <cell r="D944"/>
          <cell r="E944" t="str">
            <v>MPG</v>
          </cell>
          <cell r="F944" t="str">
            <v>Indirect</v>
          </cell>
          <cell r="G944" t="str">
            <v>TETRI VLC</v>
          </cell>
          <cell r="H944" t="str">
            <v>BIBNANDU KUMAR</v>
          </cell>
          <cell r="I944">
            <v>7858942298</v>
          </cell>
          <cell r="J944" t="str">
            <v>101102</v>
          </cell>
          <cell r="K944"/>
          <cell r="L944">
            <v>45780</v>
          </cell>
          <cell r="N944" t="str">
            <v>Sahibpur Kamal</v>
          </cell>
        </row>
        <row r="945">
          <cell r="B945">
            <v>10110153</v>
          </cell>
          <cell r="C945" t="str">
            <v>0153</v>
          </cell>
          <cell r="D945"/>
          <cell r="E945" t="str">
            <v>MPG</v>
          </cell>
          <cell r="F945" t="str">
            <v>Indirect</v>
          </cell>
          <cell r="G945" t="str">
            <v xml:space="preserve">Jangli tol vlc </v>
          </cell>
          <cell r="H945" t="str">
            <v>INDAL YADAV</v>
          </cell>
          <cell r="I945">
            <v>9771158835</v>
          </cell>
          <cell r="J945" t="str">
            <v>101102</v>
          </cell>
          <cell r="K945"/>
          <cell r="L945">
            <v>45827</v>
          </cell>
          <cell r="N945" t="str">
            <v>Sahibpur Kamal</v>
          </cell>
        </row>
        <row r="946">
          <cell r="B946">
            <v>10110155</v>
          </cell>
          <cell r="C946" t="str">
            <v>0155</v>
          </cell>
          <cell r="D946"/>
          <cell r="E946" t="str">
            <v>MPG</v>
          </cell>
          <cell r="F946" t="str">
            <v>Indirect</v>
          </cell>
          <cell r="G946" t="str">
            <v xml:space="preserve">DILKHUSH KUMAR </v>
          </cell>
          <cell r="H946" t="str">
            <v>DILKHUSH KUMAR</v>
          </cell>
          <cell r="I946">
            <v>9234597289</v>
          </cell>
          <cell r="J946" t="str">
            <v>101102</v>
          </cell>
          <cell r="K946"/>
          <cell r="L946">
            <v>45832</v>
          </cell>
          <cell r="N946" t="str">
            <v>Sahibpur Kamal</v>
          </cell>
        </row>
        <row r="947">
          <cell r="B947">
            <v>10110156</v>
          </cell>
          <cell r="C947" t="str">
            <v>0156</v>
          </cell>
          <cell r="D947"/>
          <cell r="E947" t="str">
            <v>MPG</v>
          </cell>
          <cell r="F947" t="str">
            <v>Indirect</v>
          </cell>
          <cell r="G947" t="str">
            <v>Sanjeet Kumar</v>
          </cell>
          <cell r="H947" t="str">
            <v>Sanjeet Kumar</v>
          </cell>
          <cell r="I947" t="str">
            <v xml:space="preserve"> 62054 32781</v>
          </cell>
          <cell r="J947" t="str">
            <v>101102</v>
          </cell>
          <cell r="K947"/>
          <cell r="L947">
            <v>45836</v>
          </cell>
          <cell r="N947" t="str">
            <v>Sahibpur Kamal</v>
          </cell>
        </row>
        <row r="948">
          <cell r="B948">
            <v>10110157</v>
          </cell>
          <cell r="C948" t="str">
            <v>0157</v>
          </cell>
          <cell r="D948"/>
          <cell r="E948" t="str">
            <v>MPG</v>
          </cell>
          <cell r="F948" t="str">
            <v>Indirect</v>
          </cell>
          <cell r="G948" t="str">
            <v>Lalu Kumar</v>
          </cell>
          <cell r="H948" t="str">
            <v>Lalu Kumar</v>
          </cell>
          <cell r="I948" t="str">
            <v xml:space="preserve"> 95707 44131</v>
          </cell>
          <cell r="J948" t="str">
            <v>101102</v>
          </cell>
          <cell r="K948"/>
          <cell r="L948">
            <v>45836</v>
          </cell>
          <cell r="N948" t="str">
            <v>Sahibpur Kamal</v>
          </cell>
        </row>
        <row r="949">
          <cell r="B949">
            <v>10110158</v>
          </cell>
          <cell r="C949" t="str">
            <v>0158</v>
          </cell>
          <cell r="D949"/>
          <cell r="E949" t="str">
            <v>MPG</v>
          </cell>
          <cell r="F949" t="str">
            <v>Direct</v>
          </cell>
          <cell r="G949" t="str">
            <v>GOMUKH CHOWKI 2</v>
          </cell>
          <cell r="H949" t="str">
            <v>NITISH KUMAR</v>
          </cell>
          <cell r="I949">
            <v>9534880633</v>
          </cell>
          <cell r="J949" t="str">
            <v>101102</v>
          </cell>
          <cell r="K949"/>
          <cell r="L949">
            <v>45842</v>
          </cell>
          <cell r="N949" t="str">
            <v>Sahibpur Kamal</v>
          </cell>
        </row>
        <row r="950">
          <cell r="B950">
            <v>10110159</v>
          </cell>
          <cell r="C950" t="str">
            <v>0159</v>
          </cell>
          <cell r="D950"/>
          <cell r="E950" t="str">
            <v>MPG</v>
          </cell>
          <cell r="F950" t="str">
            <v>Direct</v>
          </cell>
          <cell r="G950" t="str">
            <v>GOMUKH MOHABA</v>
          </cell>
          <cell r="H950" t="str">
            <v>AVHDHESH KUMAR MAHTO</v>
          </cell>
          <cell r="I950">
            <v>7779880532</v>
          </cell>
          <cell r="J950" t="str">
            <v>101102</v>
          </cell>
          <cell r="K950"/>
          <cell r="L950">
            <v>45842</v>
          </cell>
          <cell r="N950" t="str">
            <v>Sahibpur Kamal</v>
          </cell>
        </row>
        <row r="951">
          <cell r="B951">
            <v>10110160</v>
          </cell>
          <cell r="C951" t="str">
            <v>0160</v>
          </cell>
          <cell r="D951"/>
          <cell r="E951" t="str">
            <v>MPG</v>
          </cell>
          <cell r="F951" t="str">
            <v>Indirect</v>
          </cell>
          <cell r="G951" t="str">
            <v>SANHA VLC</v>
          </cell>
          <cell r="H951" t="str">
            <v>BIKAS KUMAR</v>
          </cell>
          <cell r="I951">
            <v>9771684693</v>
          </cell>
          <cell r="J951" t="str">
            <v>101103</v>
          </cell>
          <cell r="K951"/>
          <cell r="L951">
            <v>45856</v>
          </cell>
          <cell r="N951" t="str">
            <v>Sahibpur Kamal</v>
          </cell>
        </row>
        <row r="952">
          <cell r="B952">
            <v>10110161</v>
          </cell>
          <cell r="C952" t="str">
            <v>0161</v>
          </cell>
          <cell r="D952"/>
          <cell r="E952" t="str">
            <v>MPG</v>
          </cell>
          <cell r="F952" t="str">
            <v>Indirect</v>
          </cell>
          <cell r="G952" t="str">
            <v>MOHANPUR VLC</v>
          </cell>
          <cell r="H952" t="str">
            <v>CHANDRIKA PRASAD RAI</v>
          </cell>
          <cell r="I952">
            <v>8406033852</v>
          </cell>
          <cell r="J952" t="str">
            <v>101104</v>
          </cell>
          <cell r="K952"/>
          <cell r="L952">
            <v>45856</v>
          </cell>
          <cell r="N952" t="str">
            <v>Sahibpur Kamal</v>
          </cell>
        </row>
        <row r="953">
          <cell r="B953">
            <v>10110162</v>
          </cell>
          <cell r="C953" t="str">
            <v>0162</v>
          </cell>
          <cell r="D953"/>
          <cell r="E953" t="str">
            <v>MPG</v>
          </cell>
          <cell r="F953" t="str">
            <v>Indirect</v>
          </cell>
          <cell r="G953" t="str">
            <v>SAFAPUR VLC</v>
          </cell>
          <cell r="H953" t="str">
            <v>DILKHUSH KUMAR</v>
          </cell>
          <cell r="I953">
            <v>7672899760</v>
          </cell>
          <cell r="J953" t="str">
            <v>101102</v>
          </cell>
          <cell r="K953"/>
          <cell r="L953">
            <v>45856</v>
          </cell>
          <cell r="N953" t="str">
            <v>Sahibpur Kamal</v>
          </cell>
        </row>
        <row r="954">
          <cell r="B954">
            <v>10110163</v>
          </cell>
          <cell r="C954" t="str">
            <v>0163</v>
          </cell>
          <cell r="D954"/>
          <cell r="E954" t="str">
            <v>MPG</v>
          </cell>
          <cell r="F954" t="str">
            <v>Indirect</v>
          </cell>
          <cell r="G954" t="str">
            <v>SANTOSH BALAHPUR VLC</v>
          </cell>
          <cell r="H954" t="str">
            <v xml:space="preserve">SANTOSH KUMAR </v>
          </cell>
          <cell r="I954">
            <v>8298666812</v>
          </cell>
          <cell r="J954" t="str">
            <v>101102</v>
          </cell>
          <cell r="K954"/>
          <cell r="L954">
            <v>45856</v>
          </cell>
          <cell r="N954" t="str">
            <v>Sahibpur Kamal</v>
          </cell>
        </row>
        <row r="955">
          <cell r="B955">
            <v>10110164</v>
          </cell>
          <cell r="C955" t="str">
            <v>0164</v>
          </cell>
          <cell r="D955"/>
          <cell r="E955" t="str">
            <v>MPG</v>
          </cell>
          <cell r="F955" t="str">
            <v>Direct</v>
          </cell>
          <cell r="G955" t="str">
            <v>GOMUKH JANGLITOL</v>
          </cell>
          <cell r="H955" t="str">
            <v>DHARVIN KUMAR</v>
          </cell>
          <cell r="I955">
            <v>7283027574</v>
          </cell>
          <cell r="J955" t="str">
            <v>101102</v>
          </cell>
          <cell r="K955"/>
          <cell r="L955">
            <v>45864</v>
          </cell>
          <cell r="N955" t="str">
            <v>Sahibpur Kamal</v>
          </cell>
        </row>
        <row r="956">
          <cell r="B956">
            <v>10110165</v>
          </cell>
          <cell r="C956" t="str">
            <v>0165</v>
          </cell>
          <cell r="D956"/>
          <cell r="E956" t="str">
            <v>MPG</v>
          </cell>
          <cell r="F956" t="str">
            <v>Direct</v>
          </cell>
          <cell r="G956" t="str">
            <v>Gomukh chakwari tola</v>
          </cell>
          <cell r="H956" t="str">
            <v>SUMAN KUMAR</v>
          </cell>
          <cell r="I956">
            <v>9304993580</v>
          </cell>
          <cell r="J956" t="str">
            <v>101102</v>
          </cell>
          <cell r="K956"/>
          <cell r="L956">
            <v>45864</v>
          </cell>
          <cell r="N956" t="str">
            <v>Sahibpur Kamal</v>
          </cell>
        </row>
        <row r="957">
          <cell r="B957">
            <v>10110166</v>
          </cell>
          <cell r="C957" t="str">
            <v>0166</v>
          </cell>
          <cell r="D957"/>
          <cell r="E957" t="str">
            <v>MPG</v>
          </cell>
          <cell r="F957" t="str">
            <v>Indirect</v>
          </cell>
          <cell r="G957" t="str">
            <v>Hiratol VLC</v>
          </cell>
          <cell r="H957" t="str">
            <v>KUMAR PANKAJ</v>
          </cell>
          <cell r="I957">
            <v>9955855851</v>
          </cell>
          <cell r="J957" t="str">
            <v>101102</v>
          </cell>
          <cell r="K957"/>
          <cell r="L957">
            <v>45871</v>
          </cell>
          <cell r="N957" t="str">
            <v>Sahibpur Kamal</v>
          </cell>
        </row>
        <row r="958">
          <cell r="B958">
            <v>10110167</v>
          </cell>
          <cell r="C958" t="str">
            <v>0167</v>
          </cell>
          <cell r="D958"/>
          <cell r="E958" t="str">
            <v>MPG</v>
          </cell>
          <cell r="F958" t="str">
            <v>Direct</v>
          </cell>
          <cell r="G958" t="str">
            <v xml:space="preserve">Gomukh Raghunathpur 2 </v>
          </cell>
          <cell r="H958" t="str">
            <v>TUNTUN KUMAR</v>
          </cell>
          <cell r="I958">
            <v>7631614034</v>
          </cell>
          <cell r="J958" t="str">
            <v>101102</v>
          </cell>
          <cell r="K958"/>
          <cell r="L958">
            <v>45909</v>
          </cell>
          <cell r="N958" t="str">
            <v>Sahibpur Kamal</v>
          </cell>
        </row>
        <row r="959">
          <cell r="B959">
            <v>10110168</v>
          </cell>
          <cell r="C959" t="str">
            <v>0168</v>
          </cell>
          <cell r="D959"/>
          <cell r="E959" t="str">
            <v>MPG</v>
          </cell>
          <cell r="F959" t="str">
            <v>Direct</v>
          </cell>
          <cell r="G959" t="str">
            <v>GOMUKH BARBIGHI</v>
          </cell>
          <cell r="H959" t="str">
            <v>SUMAN KUMAR</v>
          </cell>
          <cell r="I959">
            <v>6206120484</v>
          </cell>
          <cell r="J959" t="str">
            <v>101102</v>
          </cell>
          <cell r="K959"/>
          <cell r="L959">
            <v>45909</v>
          </cell>
          <cell r="N959" t="str">
            <v>Sahibpur Kamal</v>
          </cell>
        </row>
        <row r="960">
          <cell r="B960">
            <v>10110169</v>
          </cell>
          <cell r="C960" t="str">
            <v>0169</v>
          </cell>
          <cell r="D960"/>
          <cell r="E960" t="str">
            <v>MPG</v>
          </cell>
          <cell r="F960" t="str">
            <v>Indirect</v>
          </cell>
          <cell r="G960" t="str">
            <v>GOMUKH ID MATHAR</v>
          </cell>
          <cell r="H960" t="str">
            <v>RAKESH KUMAR</v>
          </cell>
          <cell r="I960">
            <v>7301616510</v>
          </cell>
          <cell r="J960" t="str">
            <v>101102</v>
          </cell>
          <cell r="K960"/>
          <cell r="L960">
            <v>45929</v>
          </cell>
          <cell r="N960" t="str">
            <v>Sahibpur Kamal</v>
          </cell>
        </row>
        <row r="961">
          <cell r="B961">
            <v>10110170</v>
          </cell>
          <cell r="C961" t="str">
            <v>0170</v>
          </cell>
          <cell r="D961"/>
          <cell r="E961" t="str">
            <v>MPG</v>
          </cell>
          <cell r="F961" t="str">
            <v>Indirect</v>
          </cell>
          <cell r="G961" t="str">
            <v>Gomukh Musapur West</v>
          </cell>
          <cell r="H961" t="str">
            <v>Jitendra Kuamr Sah</v>
          </cell>
          <cell r="I961">
            <v>9939545243</v>
          </cell>
          <cell r="J961" t="str">
            <v>101203</v>
          </cell>
          <cell r="K961"/>
          <cell r="L961">
            <v>45944</v>
          </cell>
          <cell r="N961" t="str">
            <v>Sahibpur Kamal</v>
          </cell>
        </row>
        <row r="962">
          <cell r="B962">
            <v>10110171</v>
          </cell>
          <cell r="C962" t="str">
            <v>0171</v>
          </cell>
          <cell r="D962"/>
          <cell r="E962" t="str">
            <v>MPG</v>
          </cell>
          <cell r="F962" t="str">
            <v>Direct</v>
          </cell>
          <cell r="G962" t="str">
            <v>Tetri</v>
          </cell>
          <cell r="H962" t="str">
            <v>Aajul Devi</v>
          </cell>
          <cell r="I962">
            <v>9279811959</v>
          </cell>
          <cell r="J962" t="str">
            <v>101101</v>
          </cell>
          <cell r="K962"/>
          <cell r="L962">
            <v>45980</v>
          </cell>
          <cell r="N962" t="str">
            <v>Sahibpur Kamal</v>
          </cell>
        </row>
        <row r="963">
          <cell r="B963">
            <v>10110172</v>
          </cell>
          <cell r="C963" t="str">
            <v>0172</v>
          </cell>
          <cell r="D963"/>
          <cell r="E963" t="str">
            <v>MPG</v>
          </cell>
          <cell r="F963" t="str">
            <v>Direct</v>
          </cell>
          <cell r="G963" t="str">
            <v>Dandari-2</v>
          </cell>
          <cell r="H963" t="str">
            <v>Shiv Shanker Yadav</v>
          </cell>
          <cell r="I963">
            <v>8579022553</v>
          </cell>
          <cell r="J963" t="str">
            <v>101101</v>
          </cell>
          <cell r="K963"/>
          <cell r="L963">
            <v>45980</v>
          </cell>
          <cell r="N963" t="str">
            <v>Sahibpur Kamal</v>
          </cell>
        </row>
        <row r="964">
          <cell r="B964">
            <v>10110173</v>
          </cell>
          <cell r="C964" t="str">
            <v>0173</v>
          </cell>
          <cell r="D964"/>
          <cell r="E964" t="str">
            <v>MPG</v>
          </cell>
          <cell r="F964" t="str">
            <v>Indirect</v>
          </cell>
          <cell r="G964" t="str">
            <v>Barkhanditol</v>
          </cell>
          <cell r="H964" t="str">
            <v>Dilkhush Yadav</v>
          </cell>
          <cell r="I964">
            <v>7488023515</v>
          </cell>
          <cell r="J964" t="str">
            <v>101101</v>
          </cell>
          <cell r="K964"/>
          <cell r="L964">
            <v>45980</v>
          </cell>
          <cell r="N964" t="str">
            <v>Sahibpur Kamal</v>
          </cell>
        </row>
        <row r="965">
          <cell r="B965">
            <v>10110174</v>
          </cell>
          <cell r="C965" t="str">
            <v>0174</v>
          </cell>
          <cell r="D965"/>
          <cell r="E965" t="str">
            <v>MPG</v>
          </cell>
          <cell r="F965" t="str">
            <v>Direct</v>
          </cell>
          <cell r="G965" t="str">
            <v>Janglitol</v>
          </cell>
          <cell r="H965" t="str">
            <v>Ravinder yadav</v>
          </cell>
          <cell r="I965">
            <v>9155621270</v>
          </cell>
          <cell r="J965" t="str">
            <v>101101</v>
          </cell>
          <cell r="K965"/>
          <cell r="L965">
            <v>45986</v>
          </cell>
          <cell r="N965" t="str">
            <v>Sahibpur Kamal</v>
          </cell>
        </row>
        <row r="966">
          <cell r="B966">
            <v>10110175</v>
          </cell>
          <cell r="C966" t="str">
            <v>0175</v>
          </cell>
          <cell r="D966"/>
          <cell r="E966" t="str">
            <v>MPG</v>
          </cell>
          <cell r="F966" t="str">
            <v>Direct</v>
          </cell>
          <cell r="G966" t="str">
            <v>Bisunpur</v>
          </cell>
          <cell r="H966" t="str">
            <v>Abha Devi</v>
          </cell>
          <cell r="I966">
            <v>8651660014</v>
          </cell>
          <cell r="J966" t="str">
            <v>101101</v>
          </cell>
          <cell r="K966"/>
          <cell r="L966">
            <v>46003</v>
          </cell>
          <cell r="N966" t="str">
            <v>Sahibpur Kamal</v>
          </cell>
        </row>
        <row r="967">
          <cell r="B967">
            <v>10110176</v>
          </cell>
          <cell r="C967" t="str">
            <v>0176</v>
          </cell>
          <cell r="D967"/>
          <cell r="E967" t="str">
            <v>MPG</v>
          </cell>
          <cell r="F967" t="str">
            <v>Indirect</v>
          </cell>
          <cell r="G967" t="str">
            <v>Chauki-VLC</v>
          </cell>
          <cell r="H967" t="str">
            <v>Kundan Kumar Dipanshu</v>
          </cell>
          <cell r="I967">
            <v>9709395711</v>
          </cell>
          <cell r="J967" t="str">
            <v>101101</v>
          </cell>
          <cell r="K967"/>
          <cell r="L967">
            <v>46003</v>
          </cell>
          <cell r="N967" t="str">
            <v>Sahibpur Kamal</v>
          </cell>
        </row>
        <row r="968">
          <cell r="B968">
            <v>10110177</v>
          </cell>
          <cell r="C968" t="str">
            <v>0177</v>
          </cell>
          <cell r="D968"/>
          <cell r="E968" t="str">
            <v>MPG</v>
          </cell>
          <cell r="F968" t="str">
            <v>Direct</v>
          </cell>
          <cell r="G968" t="str">
            <v>Hardia</v>
          </cell>
          <cell r="H968" t="str">
            <v>Ravi Kumar</v>
          </cell>
          <cell r="I968">
            <v>9934869642</v>
          </cell>
          <cell r="J968" t="str">
            <v>101101</v>
          </cell>
          <cell r="K968"/>
          <cell r="L968">
            <v>46014</v>
          </cell>
          <cell r="N968" t="str">
            <v>Sahibpur Kamal</v>
          </cell>
        </row>
        <row r="969">
          <cell r="B969">
            <v>10110178</v>
          </cell>
          <cell r="C969" t="str">
            <v>0178</v>
          </cell>
          <cell r="D969"/>
          <cell r="E969" t="str">
            <v>MPG</v>
          </cell>
          <cell r="F969" t="str">
            <v>Indirect</v>
          </cell>
          <cell r="G969" t="str">
            <v>Pachveer</v>
          </cell>
          <cell r="H969" t="str">
            <v xml:space="preserve">Raushan Kumar </v>
          </cell>
          <cell r="I969">
            <v>8873816406</v>
          </cell>
          <cell r="J969" t="str">
            <v>101101</v>
          </cell>
          <cell r="K969"/>
          <cell r="L969">
            <v>46014</v>
          </cell>
          <cell r="N969" t="str">
            <v>Sahibpur Kamal</v>
          </cell>
        </row>
        <row r="970">
          <cell r="B970">
            <v>10110179</v>
          </cell>
          <cell r="C970" t="str">
            <v>0179</v>
          </cell>
          <cell r="D970"/>
          <cell r="E970" t="str">
            <v>MPG</v>
          </cell>
          <cell r="F970" t="str">
            <v>Indirect</v>
          </cell>
          <cell r="G970" t="str">
            <v>Barkhaditol-3</v>
          </cell>
          <cell r="H970" t="str">
            <v>Chotu Kumar</v>
          </cell>
          <cell r="I970">
            <v>9625621799</v>
          </cell>
          <cell r="J970" t="str">
            <v>101104</v>
          </cell>
          <cell r="K970"/>
          <cell r="L970">
            <v>46030</v>
          </cell>
          <cell r="N970" t="str">
            <v>Sahibpur Kamal</v>
          </cell>
        </row>
        <row r="971">
          <cell r="B971">
            <v>10110180</v>
          </cell>
          <cell r="C971" t="str">
            <v>0180</v>
          </cell>
          <cell r="D971"/>
          <cell r="E971" t="str">
            <v>MPG</v>
          </cell>
          <cell r="F971" t="str">
            <v>Direct</v>
          </cell>
          <cell r="G971" t="str">
            <v>Mohabba-2</v>
          </cell>
          <cell r="H971" t="str">
            <v>Pinki Kumari</v>
          </cell>
          <cell r="I971">
            <v>8877561316</v>
          </cell>
          <cell r="J971" t="str">
            <v>101101</v>
          </cell>
          <cell r="K971"/>
          <cell r="L971">
            <v>46030</v>
          </cell>
          <cell r="N971" t="str">
            <v>Sahibpur Kamal</v>
          </cell>
        </row>
        <row r="972">
          <cell r="B972">
            <v>10110181</v>
          </cell>
          <cell r="C972" t="str">
            <v>0181</v>
          </cell>
          <cell r="D972"/>
          <cell r="E972" t="str">
            <v>MPG</v>
          </cell>
          <cell r="F972" t="str">
            <v>Direct</v>
          </cell>
          <cell r="G972" t="str">
            <v>Gomukh Mirjapur Bari</v>
          </cell>
          <cell r="H972" t="str">
            <v>Hira Kumar</v>
          </cell>
          <cell r="I972">
            <v>6200544389</v>
          </cell>
          <cell r="J972" t="str">
            <v>101101</v>
          </cell>
          <cell r="K972"/>
          <cell r="L972">
            <v>46060</v>
          </cell>
          <cell r="N972" t="str">
            <v>Sahibpur Kamal</v>
          </cell>
        </row>
        <row r="973">
          <cell r="B973">
            <v>10110182</v>
          </cell>
          <cell r="C973" t="str">
            <v>0182</v>
          </cell>
          <cell r="D973"/>
          <cell r="E973" t="str">
            <v>MPG</v>
          </cell>
          <cell r="F973" t="str">
            <v>Indirect</v>
          </cell>
          <cell r="G973" t="str">
            <v>Samastipur</v>
          </cell>
          <cell r="H973" t="str">
            <v>Balram Kumar</v>
          </cell>
          <cell r="I973">
            <v>6200544389</v>
          </cell>
          <cell r="J973" t="str">
            <v>101101</v>
          </cell>
          <cell r="K973"/>
          <cell r="L973">
            <v>46066</v>
          </cell>
          <cell r="N973" t="str">
            <v>Sahibpur Kamal</v>
          </cell>
        </row>
        <row r="974">
          <cell r="B974">
            <v>10110183</v>
          </cell>
          <cell r="C974" t="str">
            <v>0183</v>
          </cell>
          <cell r="D974"/>
          <cell r="E974" t="str">
            <v>MPG</v>
          </cell>
          <cell r="F974" t="str">
            <v>Indirect</v>
          </cell>
          <cell r="G974" t="str">
            <v>Mathar-3</v>
          </cell>
          <cell r="H974" t="str">
            <v>Mantu Kumar</v>
          </cell>
          <cell r="I974">
            <v>8002761893</v>
          </cell>
          <cell r="J974" t="str">
            <v>101104</v>
          </cell>
          <cell r="K974"/>
          <cell r="L974">
            <v>46080</v>
          </cell>
          <cell r="N974" t="str">
            <v>Sahibpur Kamal</v>
          </cell>
        </row>
        <row r="975">
          <cell r="B975">
            <v>10110184</v>
          </cell>
          <cell r="C975" t="str">
            <v>0184</v>
          </cell>
          <cell r="D975"/>
          <cell r="E975" t="str">
            <v>MPG</v>
          </cell>
          <cell r="F975" t="str">
            <v>Indirect</v>
          </cell>
          <cell r="G975" t="str">
            <v>Ahoghat</v>
          </cell>
          <cell r="H975" t="str">
            <v>Praveen Kumar</v>
          </cell>
          <cell r="I975">
            <v>7294037396</v>
          </cell>
          <cell r="J975" t="str">
            <v>101104</v>
          </cell>
          <cell r="K975"/>
          <cell r="L975">
            <v>46080</v>
          </cell>
          <cell r="N975" t="str">
            <v>Sahibpur Kamal</v>
          </cell>
        </row>
        <row r="976">
          <cell r="B976">
            <v>10120001</v>
          </cell>
          <cell r="C976" t="str">
            <v>0001</v>
          </cell>
          <cell r="D976" t="str">
            <v>0302</v>
          </cell>
          <cell r="E976" t="str">
            <v>MPG</v>
          </cell>
          <cell r="F976" t="str">
            <v>Indirect</v>
          </cell>
          <cell r="G976" t="str">
            <v>GOMUKH SUBHANPUR</v>
          </cell>
          <cell r="H976" t="str">
            <v>Anil Kr Suman</v>
          </cell>
          <cell r="I976">
            <v>7545805422</v>
          </cell>
          <cell r="J976" t="str">
            <v>101205</v>
          </cell>
          <cell r="K976" t="str">
            <v/>
          </cell>
          <cell r="L976">
            <v>43622</v>
          </cell>
          <cell r="N976" t="str">
            <v>DalsinghSarai</v>
          </cell>
        </row>
        <row r="977">
          <cell r="B977">
            <v>10120002</v>
          </cell>
          <cell r="C977" t="str">
            <v>0002</v>
          </cell>
          <cell r="D977" t="str">
            <v>0305</v>
          </cell>
          <cell r="E977" t="str">
            <v>MPG</v>
          </cell>
          <cell r="F977" t="str">
            <v>Indirect</v>
          </cell>
          <cell r="G977" t="str">
            <v>GOMUKH  BHAJANGAMA</v>
          </cell>
          <cell r="H977" t="str">
            <v>Manoj Roy</v>
          </cell>
          <cell r="I977">
            <v>9570857084</v>
          </cell>
          <cell r="J977" t="str">
            <v>101205</v>
          </cell>
          <cell r="K977" t="str">
            <v/>
          </cell>
          <cell r="L977">
            <v>43622</v>
          </cell>
          <cell r="N977" t="str">
            <v>DalsinghSarai</v>
          </cell>
        </row>
        <row r="978">
          <cell r="B978">
            <v>10120003</v>
          </cell>
          <cell r="C978" t="str">
            <v>0003</v>
          </cell>
          <cell r="D978" t="str">
            <v>0315</v>
          </cell>
          <cell r="E978" t="str">
            <v>MPG</v>
          </cell>
          <cell r="F978" t="str">
            <v>Direct</v>
          </cell>
          <cell r="G978" t="str">
            <v>Gomukh Garhsisai</v>
          </cell>
          <cell r="H978" t="str">
            <v>Goutham Kumar</v>
          </cell>
          <cell r="I978">
            <v>7903423821</v>
          </cell>
          <cell r="J978" t="str">
            <v>101205</v>
          </cell>
          <cell r="K978" t="str">
            <v>Yes</v>
          </cell>
          <cell r="L978">
            <v>43626</v>
          </cell>
          <cell r="N978" t="str">
            <v>DalsinghSarai</v>
          </cell>
        </row>
        <row r="979">
          <cell r="B979">
            <v>10120004</v>
          </cell>
          <cell r="C979" t="str">
            <v>0004</v>
          </cell>
          <cell r="D979" t="str">
            <v>0312</v>
          </cell>
          <cell r="E979" t="str">
            <v>MPG</v>
          </cell>
          <cell r="F979" t="str">
            <v>Indirect</v>
          </cell>
          <cell r="G979" t="str">
            <v>Gomukh Chora Tabhka</v>
          </cell>
          <cell r="H979" t="str">
            <v>Santosh Kumar</v>
          </cell>
          <cell r="I979">
            <v>7352104288</v>
          </cell>
          <cell r="J979" t="str">
            <v>101203</v>
          </cell>
          <cell r="K979" t="str">
            <v/>
          </cell>
          <cell r="L979">
            <v>43671</v>
          </cell>
          <cell r="N979" t="str">
            <v>DalsinghSarai</v>
          </cell>
        </row>
        <row r="980">
          <cell r="B980">
            <v>10120005</v>
          </cell>
          <cell r="C980" t="str">
            <v>0005</v>
          </cell>
          <cell r="D980" t="str">
            <v>0320</v>
          </cell>
          <cell r="E980" t="str">
            <v>MPG</v>
          </cell>
          <cell r="F980" t="str">
            <v>Direct</v>
          </cell>
          <cell r="G980" t="str">
            <v>Gomukh Basadhiya Kurni</v>
          </cell>
          <cell r="H980" t="str">
            <v>Anil Kumar</v>
          </cell>
          <cell r="I980">
            <v>7717777581</v>
          </cell>
          <cell r="J980" t="str">
            <v>101201</v>
          </cell>
          <cell r="K980" t="str">
            <v>Yes</v>
          </cell>
          <cell r="L980">
            <v>43678</v>
          </cell>
          <cell r="N980" t="str">
            <v>DalsinghSarai</v>
          </cell>
        </row>
        <row r="981">
          <cell r="B981">
            <v>10120006</v>
          </cell>
          <cell r="C981" t="str">
            <v>0006</v>
          </cell>
          <cell r="D981" t="str">
            <v>0323</v>
          </cell>
          <cell r="E981" t="str">
            <v>MPG</v>
          </cell>
          <cell r="F981" t="str">
            <v>Direct</v>
          </cell>
          <cell r="G981" t="str">
            <v>KHAJURI</v>
          </cell>
          <cell r="H981" t="str">
            <v>Anuj Kumar Singh</v>
          </cell>
          <cell r="I981">
            <v>9102571827</v>
          </cell>
          <cell r="J981" t="str">
            <v>101202</v>
          </cell>
          <cell r="K981" t="str">
            <v>Yes</v>
          </cell>
          <cell r="L981">
            <v>43731</v>
          </cell>
          <cell r="N981" t="str">
            <v>DalsinghSarai</v>
          </cell>
        </row>
        <row r="982">
          <cell r="B982">
            <v>10120007</v>
          </cell>
          <cell r="C982" t="str">
            <v>0007</v>
          </cell>
          <cell r="D982" t="str">
            <v>0326</v>
          </cell>
          <cell r="E982" t="str">
            <v>MPG</v>
          </cell>
          <cell r="F982" t="str">
            <v>Direct</v>
          </cell>
          <cell r="G982" t="str">
            <v>ARMAULI-2</v>
          </cell>
          <cell r="H982" t="str">
            <v>Shailendra Kumar Singh</v>
          </cell>
          <cell r="I982">
            <v>9931627474</v>
          </cell>
          <cell r="J982" t="str">
            <v>101202</v>
          </cell>
          <cell r="K982" t="str">
            <v>Yes</v>
          </cell>
          <cell r="L982">
            <v>43731</v>
          </cell>
          <cell r="N982" t="str">
            <v>DalsinghSarai</v>
          </cell>
        </row>
        <row r="983">
          <cell r="B983">
            <v>10120008</v>
          </cell>
          <cell r="C983" t="str">
            <v>0008</v>
          </cell>
          <cell r="D983" t="str">
            <v>0329</v>
          </cell>
          <cell r="E983" t="str">
            <v>MPG</v>
          </cell>
          <cell r="F983" t="str">
            <v>Indirect</v>
          </cell>
          <cell r="G983" t="str">
            <v>MUSAPUR - 2</v>
          </cell>
          <cell r="H983" t="str">
            <v>Ashok Kumar Mahto</v>
          </cell>
          <cell r="I983">
            <v>6201023981</v>
          </cell>
          <cell r="J983" t="str">
            <v>101202</v>
          </cell>
          <cell r="K983" t="str">
            <v/>
          </cell>
          <cell r="L983">
            <v>43756</v>
          </cell>
          <cell r="N983" t="str">
            <v>DalsinghSarai</v>
          </cell>
        </row>
        <row r="984">
          <cell r="B984">
            <v>10120009</v>
          </cell>
          <cell r="C984" t="str">
            <v>0009</v>
          </cell>
          <cell r="D984" t="str">
            <v>0356</v>
          </cell>
          <cell r="E984" t="str">
            <v>MPG</v>
          </cell>
          <cell r="F984" t="str">
            <v>Indirect</v>
          </cell>
          <cell r="G984" t="str">
            <v>Bhojpur</v>
          </cell>
          <cell r="H984" t="str">
            <v>Sanjay Kr Jha</v>
          </cell>
          <cell r="I984">
            <v>9631561365</v>
          </cell>
          <cell r="J984" t="str">
            <v>101201</v>
          </cell>
          <cell r="K984" t="str">
            <v/>
          </cell>
          <cell r="L984">
            <v>43889</v>
          </cell>
          <cell r="N984" t="str">
            <v>DalsinghSarai</v>
          </cell>
        </row>
        <row r="985">
          <cell r="B985">
            <v>10120010</v>
          </cell>
          <cell r="C985" t="str">
            <v>0010</v>
          </cell>
          <cell r="D985" t="str">
            <v>0361</v>
          </cell>
          <cell r="E985" t="str">
            <v>MPG</v>
          </cell>
          <cell r="F985" t="str">
            <v>Indirect</v>
          </cell>
          <cell r="G985" t="str">
            <v>Janganath Pur</v>
          </cell>
          <cell r="H985" t="str">
            <v>Ram Pravesh Roy</v>
          </cell>
          <cell r="I985">
            <v>8651133961</v>
          </cell>
          <cell r="J985" t="str">
            <v>101203</v>
          </cell>
          <cell r="K985" t="str">
            <v/>
          </cell>
          <cell r="L985">
            <v>43903</v>
          </cell>
          <cell r="N985" t="str">
            <v>DalsinghSarai</v>
          </cell>
        </row>
        <row r="986">
          <cell r="B986">
            <v>10120011</v>
          </cell>
          <cell r="C986" t="str">
            <v>0011</v>
          </cell>
          <cell r="D986" t="str">
            <v>0366</v>
          </cell>
          <cell r="E986" t="str">
            <v>MPG</v>
          </cell>
          <cell r="F986" t="str">
            <v>Indirect</v>
          </cell>
          <cell r="G986" t="str">
            <v>nagargama</v>
          </cell>
          <cell r="H986" t="str">
            <v>Lokesh Kumar</v>
          </cell>
          <cell r="I986">
            <v>7903447387</v>
          </cell>
          <cell r="J986" t="str">
            <v>101205</v>
          </cell>
          <cell r="K986" t="str">
            <v/>
          </cell>
          <cell r="L986">
            <v>43917</v>
          </cell>
          <cell r="N986" t="str">
            <v>DalsinghSarai</v>
          </cell>
        </row>
        <row r="987">
          <cell r="B987">
            <v>10120012</v>
          </cell>
          <cell r="C987" t="str">
            <v>0012</v>
          </cell>
          <cell r="D987" t="str">
            <v>0362</v>
          </cell>
          <cell r="E987" t="str">
            <v>MPG</v>
          </cell>
          <cell r="F987" t="str">
            <v>Direct</v>
          </cell>
          <cell r="G987" t="str">
            <v>Sato Ghachchhi</v>
          </cell>
          <cell r="H987" t="str">
            <v xml:space="preserve">Mithun Kumar  </v>
          </cell>
          <cell r="I987">
            <v>8651295402</v>
          </cell>
          <cell r="J987" t="str">
            <v>101201</v>
          </cell>
          <cell r="K987" t="str">
            <v>Yes</v>
          </cell>
          <cell r="L987">
            <v>43924</v>
          </cell>
          <cell r="N987" t="str">
            <v>DalsinghSarai</v>
          </cell>
        </row>
        <row r="988">
          <cell r="B988">
            <v>10120013</v>
          </cell>
          <cell r="C988" t="str">
            <v>0013</v>
          </cell>
          <cell r="D988" t="str">
            <v>0367</v>
          </cell>
          <cell r="E988" t="str">
            <v>MPG</v>
          </cell>
          <cell r="F988" t="str">
            <v>Indirect</v>
          </cell>
          <cell r="G988" t="str">
            <v>Bhatgama</v>
          </cell>
          <cell r="H988" t="str">
            <v>Niketan Kumar Singh</v>
          </cell>
          <cell r="I988">
            <v>7070140132</v>
          </cell>
          <cell r="J988" t="str">
            <v>101203</v>
          </cell>
          <cell r="K988" t="str">
            <v/>
          </cell>
          <cell r="L988">
            <v>43935</v>
          </cell>
          <cell r="N988" t="str">
            <v>DalsinghSarai</v>
          </cell>
        </row>
        <row r="989">
          <cell r="B989">
            <v>10120014</v>
          </cell>
          <cell r="C989" t="str">
            <v>0014</v>
          </cell>
          <cell r="D989" t="str">
            <v>0363</v>
          </cell>
          <cell r="E989" t="str">
            <v>MPG</v>
          </cell>
          <cell r="F989" t="str">
            <v>Direct</v>
          </cell>
          <cell r="G989" t="str">
            <v>Borna Rasalpur</v>
          </cell>
          <cell r="H989" t="str">
            <v xml:space="preserve">Pankaj Ray </v>
          </cell>
          <cell r="I989">
            <v>8340595380</v>
          </cell>
          <cell r="J989" t="str">
            <v>101202</v>
          </cell>
          <cell r="K989" t="str">
            <v>Yes</v>
          </cell>
          <cell r="L989">
            <v>43936</v>
          </cell>
          <cell r="N989" t="str">
            <v>DalsinghSarai</v>
          </cell>
        </row>
        <row r="990">
          <cell r="B990">
            <v>10120015</v>
          </cell>
          <cell r="C990" t="str">
            <v>0015</v>
          </cell>
          <cell r="D990" t="str">
            <v>1742</v>
          </cell>
          <cell r="E990" t="str">
            <v>MPG</v>
          </cell>
          <cell r="F990" t="str">
            <v>Direct</v>
          </cell>
          <cell r="G990" t="str">
            <v>Rasalpur</v>
          </cell>
          <cell r="H990" t="str">
            <v>Prashant Kumar</v>
          </cell>
          <cell r="I990">
            <v>7654713041</v>
          </cell>
          <cell r="J990" t="str">
            <v>101201</v>
          </cell>
          <cell r="K990" t="str">
            <v>Yes</v>
          </cell>
          <cell r="L990">
            <v>43942</v>
          </cell>
          <cell r="N990" t="str">
            <v>DalsinghSarai</v>
          </cell>
        </row>
        <row r="991">
          <cell r="B991">
            <v>10120016</v>
          </cell>
          <cell r="C991" t="str">
            <v>0016</v>
          </cell>
          <cell r="D991" t="str">
            <v>2111</v>
          </cell>
          <cell r="E991" t="str">
            <v>MPG</v>
          </cell>
          <cell r="F991" t="str">
            <v>Direct</v>
          </cell>
          <cell r="G991" t="str">
            <v>Narahan</v>
          </cell>
          <cell r="H991" t="str">
            <v>Rajesh Raman</v>
          </cell>
          <cell r="I991">
            <v>7008915205</v>
          </cell>
          <cell r="J991" t="str">
            <v>101203</v>
          </cell>
          <cell r="K991" t="str">
            <v>Yes</v>
          </cell>
          <cell r="L991">
            <v>44120</v>
          </cell>
          <cell r="N991" t="str">
            <v>DalsinghSarai</v>
          </cell>
        </row>
        <row r="992">
          <cell r="B992">
            <v>10120017</v>
          </cell>
          <cell r="C992" t="str">
            <v>0017</v>
          </cell>
          <cell r="D992" t="str">
            <v>2014</v>
          </cell>
          <cell r="E992" t="str">
            <v>MPG</v>
          </cell>
          <cell r="F992" t="str">
            <v>Direct</v>
          </cell>
          <cell r="G992" t="str">
            <v>Gomukh Dumduma</v>
          </cell>
          <cell r="H992" t="str">
            <v>Amod kumar Bharti</v>
          </cell>
          <cell r="I992">
            <v>7004274116</v>
          </cell>
          <cell r="J992" t="str">
            <v>101204</v>
          </cell>
          <cell r="K992" t="str">
            <v>Yes</v>
          </cell>
          <cell r="L992">
            <v>44135</v>
          </cell>
          <cell r="N992" t="str">
            <v>DalsinghSarai</v>
          </cell>
        </row>
        <row r="993">
          <cell r="B993">
            <v>10120018</v>
          </cell>
          <cell r="C993" t="str">
            <v>0018</v>
          </cell>
          <cell r="D993" t="str">
            <v>1747</v>
          </cell>
          <cell r="E993" t="str">
            <v>MPG</v>
          </cell>
          <cell r="F993" t="str">
            <v>Direct</v>
          </cell>
          <cell r="G993" t="str">
            <v>SUPOL</v>
          </cell>
          <cell r="H993" t="str">
            <v>SUDHARSHAN KUMAR</v>
          </cell>
          <cell r="I993">
            <v>8651522425</v>
          </cell>
          <cell r="J993" t="str">
            <v>101201</v>
          </cell>
          <cell r="K993" t="str">
            <v>Yes</v>
          </cell>
          <cell r="L993">
            <v>44162</v>
          </cell>
          <cell r="N993" t="str">
            <v>DalsinghSarai</v>
          </cell>
        </row>
        <row r="994">
          <cell r="B994">
            <v>10120019</v>
          </cell>
          <cell r="C994" t="str">
            <v>0019</v>
          </cell>
          <cell r="D994" t="str">
            <v>1749</v>
          </cell>
          <cell r="E994" t="str">
            <v>MPG</v>
          </cell>
          <cell r="F994" t="str">
            <v>Direct</v>
          </cell>
          <cell r="G994" t="str">
            <v>BHUSARAI</v>
          </cell>
          <cell r="H994" t="str">
            <v>ADITYA KUMAR</v>
          </cell>
          <cell r="I994">
            <v>9534982503</v>
          </cell>
          <cell r="J994" t="str">
            <v>101201</v>
          </cell>
          <cell r="K994" t="str">
            <v>Yes</v>
          </cell>
          <cell r="L994">
            <v>44165</v>
          </cell>
          <cell r="N994" t="str">
            <v>DalsinghSarai</v>
          </cell>
        </row>
        <row r="995">
          <cell r="B995">
            <v>10120020</v>
          </cell>
          <cell r="C995" t="str">
            <v>0020</v>
          </cell>
          <cell r="D995" t="str">
            <v>2024</v>
          </cell>
          <cell r="E995" t="str">
            <v>MPG</v>
          </cell>
          <cell r="F995" t="str">
            <v>Direct</v>
          </cell>
          <cell r="G995" t="str">
            <v>Gomukha Kursaha</v>
          </cell>
          <cell r="H995" t="str">
            <v>Nirajan kumar</v>
          </cell>
          <cell r="I995">
            <v>9304623239</v>
          </cell>
          <cell r="J995" t="str">
            <v>101204</v>
          </cell>
          <cell r="K995" t="str">
            <v/>
          </cell>
          <cell r="L995">
            <v>44184</v>
          </cell>
          <cell r="N995" t="str">
            <v>DalsinghSarai</v>
          </cell>
        </row>
        <row r="996">
          <cell r="B996">
            <v>10120021</v>
          </cell>
          <cell r="C996" t="str">
            <v>0021</v>
          </cell>
          <cell r="D996" t="str">
            <v>2026</v>
          </cell>
          <cell r="E996" t="str">
            <v>MPG</v>
          </cell>
          <cell r="F996" t="str">
            <v>Indirect</v>
          </cell>
          <cell r="G996" t="str">
            <v>Gomukha Bisanpur beri</v>
          </cell>
          <cell r="H996" t="str">
            <v>Kanchan devi</v>
          </cell>
          <cell r="I996">
            <v>7250522891</v>
          </cell>
          <cell r="J996" t="str">
            <v>101204</v>
          </cell>
          <cell r="K996" t="str">
            <v/>
          </cell>
          <cell r="L996">
            <v>44184</v>
          </cell>
          <cell r="N996" t="str">
            <v>DalsinghSarai</v>
          </cell>
        </row>
        <row r="997">
          <cell r="B997">
            <v>10120022</v>
          </cell>
          <cell r="C997" t="str">
            <v>0022</v>
          </cell>
          <cell r="D997" t="str">
            <v>2027</v>
          </cell>
          <cell r="E997" t="str">
            <v>MPG</v>
          </cell>
          <cell r="F997" t="str">
            <v>Indirect</v>
          </cell>
          <cell r="G997" t="str">
            <v>Gomukha Jounapur</v>
          </cell>
          <cell r="H997" t="str">
            <v>Lalan Kumar Singh</v>
          </cell>
          <cell r="I997">
            <v>9973808926</v>
          </cell>
          <cell r="J997" t="str">
            <v>101204</v>
          </cell>
          <cell r="K997" t="str">
            <v/>
          </cell>
          <cell r="L997">
            <v>44184</v>
          </cell>
          <cell r="N997" t="str">
            <v>DalsinghSarai</v>
          </cell>
        </row>
        <row r="998">
          <cell r="B998">
            <v>10120023</v>
          </cell>
          <cell r="C998" t="str">
            <v>0023</v>
          </cell>
          <cell r="D998" t="str">
            <v>2113</v>
          </cell>
          <cell r="E998" t="str">
            <v>MPG</v>
          </cell>
          <cell r="F998" t="str">
            <v>Indirect</v>
          </cell>
          <cell r="G998" t="str">
            <v>Patailliya</v>
          </cell>
          <cell r="H998" t="str">
            <v>Avnish Kumar</v>
          </cell>
          <cell r="I998">
            <v>9709668050</v>
          </cell>
          <cell r="J998" t="str">
            <v>101203</v>
          </cell>
          <cell r="K998" t="str">
            <v/>
          </cell>
          <cell r="L998">
            <v>44190</v>
          </cell>
          <cell r="N998" t="str">
            <v>DalsinghSarai</v>
          </cell>
        </row>
        <row r="999">
          <cell r="B999">
            <v>10120024</v>
          </cell>
          <cell r="C999" t="str">
            <v>0024</v>
          </cell>
          <cell r="D999" t="str">
            <v>2121</v>
          </cell>
          <cell r="E999" t="str">
            <v>MPG</v>
          </cell>
          <cell r="F999" t="str">
            <v>Indirect</v>
          </cell>
          <cell r="G999" t="str">
            <v>Badiya</v>
          </cell>
          <cell r="H999" t="str">
            <v>PIKESH KUMAR</v>
          </cell>
          <cell r="I999">
            <v>7631417133</v>
          </cell>
          <cell r="J999" t="str">
            <v>101203</v>
          </cell>
          <cell r="K999" t="str">
            <v/>
          </cell>
          <cell r="L999">
            <v>44190</v>
          </cell>
          <cell r="N999" t="str">
            <v>DalsinghSarai</v>
          </cell>
        </row>
        <row r="1000">
          <cell r="B1000">
            <v>10120025</v>
          </cell>
          <cell r="C1000" t="str">
            <v>0025</v>
          </cell>
          <cell r="D1000" t="str">
            <v>2146</v>
          </cell>
          <cell r="E1000" t="str">
            <v>MPG</v>
          </cell>
          <cell r="F1000" t="str">
            <v>Direct</v>
          </cell>
          <cell r="G1000" t="str">
            <v>Gomukh Tabhka</v>
          </cell>
          <cell r="H1000" t="str">
            <v>RAHUL KUMAR</v>
          </cell>
          <cell r="I1000">
            <v>7567270854</v>
          </cell>
          <cell r="J1000" t="str">
            <v>101203</v>
          </cell>
          <cell r="K1000" t="str">
            <v>Yes</v>
          </cell>
          <cell r="L1000">
            <v>44453</v>
          </cell>
          <cell r="N1000" t="str">
            <v>DalsinghSarai</v>
          </cell>
        </row>
        <row r="1001">
          <cell r="B1001">
            <v>10120026</v>
          </cell>
          <cell r="C1001" t="str">
            <v>0026</v>
          </cell>
          <cell r="D1001" t="str">
            <v>0340</v>
          </cell>
          <cell r="E1001" t="str">
            <v>MPG</v>
          </cell>
          <cell r="F1001" t="str">
            <v>Indirect</v>
          </cell>
          <cell r="G1001" t="str">
            <v>Ghato</v>
          </cell>
          <cell r="H1001" t="str">
            <v>Jitendra Kumar</v>
          </cell>
          <cell r="I1001">
            <v>9934312358</v>
          </cell>
          <cell r="J1001" t="str">
            <v>101202</v>
          </cell>
          <cell r="K1001" t="str">
            <v/>
          </cell>
          <cell r="L1001">
            <v>44571</v>
          </cell>
          <cell r="N1001" t="str">
            <v>DalsinghSarai</v>
          </cell>
        </row>
        <row r="1002">
          <cell r="B1002">
            <v>10120027</v>
          </cell>
          <cell r="C1002" t="str">
            <v>0027</v>
          </cell>
          <cell r="D1002" t="str">
            <v>0369</v>
          </cell>
          <cell r="E1002" t="str">
            <v>MPG</v>
          </cell>
          <cell r="F1002" t="str">
            <v>Direct</v>
          </cell>
          <cell r="G1002" t="str">
            <v xml:space="preserve">MOG                                                                                                 </v>
          </cell>
          <cell r="H1002" t="str">
            <v>SHIV KUMAR RAY</v>
          </cell>
          <cell r="I1002">
            <v>9122797207</v>
          </cell>
          <cell r="J1002" t="str">
            <v>101205</v>
          </cell>
          <cell r="K1002" t="str">
            <v/>
          </cell>
          <cell r="L1002">
            <v>44652</v>
          </cell>
          <cell r="N1002" t="str">
            <v>DalsinghSarai</v>
          </cell>
        </row>
        <row r="1003">
          <cell r="B1003">
            <v>10120028</v>
          </cell>
          <cell r="C1003" t="str">
            <v>0028</v>
          </cell>
          <cell r="D1003" t="str">
            <v>0378</v>
          </cell>
          <cell r="E1003" t="str">
            <v>MPG</v>
          </cell>
          <cell r="F1003" t="str">
            <v>Direct</v>
          </cell>
          <cell r="G1003" t="str">
            <v>MAHISARI</v>
          </cell>
          <cell r="H1003" t="str">
            <v>Rishi Kapoor</v>
          </cell>
          <cell r="I1003">
            <v>7837163506</v>
          </cell>
          <cell r="J1003" t="str">
            <v>101201</v>
          </cell>
          <cell r="K1003" t="str">
            <v/>
          </cell>
          <cell r="L1003">
            <v>44697</v>
          </cell>
          <cell r="N1003" t="str">
            <v>DalsinghSarai</v>
          </cell>
        </row>
        <row r="1004">
          <cell r="B1004">
            <v>10120029</v>
          </cell>
          <cell r="C1004" t="str">
            <v>0029</v>
          </cell>
          <cell r="D1004" t="str">
            <v>0381</v>
          </cell>
          <cell r="E1004" t="str">
            <v>MPG</v>
          </cell>
          <cell r="F1004" t="str">
            <v>Direct</v>
          </cell>
          <cell r="G1004" t="str">
            <v xml:space="preserve">RAMNATHPUR                                                                                          </v>
          </cell>
          <cell r="H1004" t="str">
            <v>BRIJNANDAN THAKUR</v>
          </cell>
          <cell r="I1004">
            <v>0</v>
          </cell>
          <cell r="J1004" t="str">
            <v>101201</v>
          </cell>
          <cell r="K1004" t="str">
            <v>Yes</v>
          </cell>
          <cell r="L1004">
            <v>44729</v>
          </cell>
          <cell r="N1004" t="str">
            <v>DalsinghSarai</v>
          </cell>
        </row>
        <row r="1005">
          <cell r="B1005">
            <v>10120030</v>
          </cell>
          <cell r="C1005" t="str">
            <v>0030</v>
          </cell>
          <cell r="D1005" t="str">
            <v>0384</v>
          </cell>
          <cell r="E1005" t="str">
            <v>MPG</v>
          </cell>
          <cell r="F1005" t="str">
            <v>Direct</v>
          </cell>
          <cell r="G1005" t="str">
            <v>KEWAS JAGIR</v>
          </cell>
          <cell r="H1005" t="str">
            <v>NIRANAJAN KUMAR</v>
          </cell>
          <cell r="I1005">
            <v>7050978558</v>
          </cell>
          <cell r="J1005" t="str">
            <v>101201</v>
          </cell>
          <cell r="K1005" t="str">
            <v>Yes</v>
          </cell>
          <cell r="L1005">
            <v>44776</v>
          </cell>
          <cell r="N1005" t="str">
            <v>DalsinghSarai</v>
          </cell>
        </row>
        <row r="1006">
          <cell r="B1006">
            <v>10120031</v>
          </cell>
          <cell r="C1006" t="str">
            <v>0031</v>
          </cell>
          <cell r="D1006" t="str">
            <v>1755</v>
          </cell>
          <cell r="E1006" t="str">
            <v>MPG</v>
          </cell>
          <cell r="F1006" t="str">
            <v>Direct</v>
          </cell>
          <cell r="G1006" t="str">
            <v>DESUA</v>
          </cell>
          <cell r="H1006" t="str">
            <v>RUBI KUMARI</v>
          </cell>
          <cell r="I1006">
            <v>9955935034</v>
          </cell>
          <cell r="J1006" t="str">
            <v>101201</v>
          </cell>
          <cell r="K1006" t="str">
            <v>Yes</v>
          </cell>
          <cell r="L1006">
            <v>44835</v>
          </cell>
          <cell r="N1006" t="str">
            <v>DalsinghSarai</v>
          </cell>
        </row>
        <row r="1007">
          <cell r="B1007">
            <v>10120032</v>
          </cell>
          <cell r="C1007" t="str">
            <v>0032</v>
          </cell>
          <cell r="D1007" t="str">
            <v>0394</v>
          </cell>
          <cell r="E1007" t="str">
            <v>MPG</v>
          </cell>
          <cell r="F1007" t="str">
            <v>Direct</v>
          </cell>
          <cell r="G1007" t="str">
            <v>Mow</v>
          </cell>
          <cell r="H1007" t="str">
            <v>Amit Kumar</v>
          </cell>
          <cell r="I1007">
            <v>6204715354</v>
          </cell>
          <cell r="J1007" t="str">
            <v>101204</v>
          </cell>
          <cell r="K1007" t="str">
            <v/>
          </cell>
          <cell r="L1007">
            <v>44928</v>
          </cell>
          <cell r="N1007" t="str">
            <v>DalsinghSarai</v>
          </cell>
        </row>
        <row r="1008">
          <cell r="B1008">
            <v>10120033</v>
          </cell>
          <cell r="C1008" t="str">
            <v>0033</v>
          </cell>
          <cell r="D1008" t="str">
            <v>0391</v>
          </cell>
          <cell r="E1008" t="str">
            <v>MPG</v>
          </cell>
          <cell r="F1008" t="str">
            <v>Indirect</v>
          </cell>
          <cell r="G1008" t="str">
            <v>MORDIWA</v>
          </cell>
          <cell r="H1008" t="str">
            <v>LALITA DEVI</v>
          </cell>
          <cell r="I1008">
            <v>9060989957</v>
          </cell>
          <cell r="J1008" t="str">
            <v>101201</v>
          </cell>
          <cell r="K1008" t="str">
            <v/>
          </cell>
          <cell r="L1008">
            <v>44942</v>
          </cell>
          <cell r="N1008" t="str">
            <v>DalsinghSarai</v>
          </cell>
        </row>
        <row r="1009">
          <cell r="B1009">
            <v>10120034</v>
          </cell>
          <cell r="C1009" t="str">
            <v>0034</v>
          </cell>
          <cell r="D1009" t="str">
            <v>0393</v>
          </cell>
          <cell r="E1009" t="str">
            <v>MPG</v>
          </cell>
          <cell r="F1009" t="str">
            <v>Direct</v>
          </cell>
          <cell r="G1009" t="str">
            <v>Matior</v>
          </cell>
          <cell r="H1009" t="str">
            <v>Sanjiv Kumar Singh</v>
          </cell>
          <cell r="I1009">
            <v>9934519974</v>
          </cell>
          <cell r="J1009" t="str">
            <v>101204</v>
          </cell>
          <cell r="K1009" t="str">
            <v>Yes</v>
          </cell>
          <cell r="L1009">
            <v>44942</v>
          </cell>
          <cell r="N1009" t="str">
            <v>DalsinghSarai</v>
          </cell>
        </row>
        <row r="1010">
          <cell r="B1010">
            <v>10120035</v>
          </cell>
          <cell r="C1010" t="str">
            <v>0035</v>
          </cell>
          <cell r="D1010" t="str">
            <v>0388</v>
          </cell>
          <cell r="E1010" t="str">
            <v>MPG</v>
          </cell>
          <cell r="F1010" t="str">
            <v>Indirect</v>
          </cell>
          <cell r="G1010" t="str">
            <v>TELGAMA</v>
          </cell>
          <cell r="H1010" t="str">
            <v>RAJESH RAY</v>
          </cell>
          <cell r="I1010">
            <v>7549794524</v>
          </cell>
          <cell r="J1010" t="str">
            <v>101204</v>
          </cell>
          <cell r="K1010" t="str">
            <v/>
          </cell>
          <cell r="L1010">
            <v>44943</v>
          </cell>
          <cell r="N1010" t="str">
            <v>DalsinghSarai</v>
          </cell>
        </row>
        <row r="1011">
          <cell r="B1011">
            <v>10120036</v>
          </cell>
          <cell r="C1011" t="str">
            <v>0036</v>
          </cell>
          <cell r="D1011" t="str">
            <v>0392</v>
          </cell>
          <cell r="E1011" t="str">
            <v>MPG</v>
          </cell>
          <cell r="F1011" t="str">
            <v>Indirect</v>
          </cell>
          <cell r="G1011" t="str">
            <v>BHAGWANPUR</v>
          </cell>
          <cell r="H1011" t="str">
            <v>NIRMALA KUMARI</v>
          </cell>
          <cell r="I1011">
            <v>6201090159</v>
          </cell>
          <cell r="J1011" t="str">
            <v>101201</v>
          </cell>
          <cell r="K1011" t="str">
            <v/>
          </cell>
          <cell r="L1011">
            <v>44946</v>
          </cell>
          <cell r="N1011" t="str">
            <v>DalsinghSarai</v>
          </cell>
        </row>
        <row r="1012">
          <cell r="B1012">
            <v>10120037</v>
          </cell>
          <cell r="C1012" t="str">
            <v>0037</v>
          </cell>
          <cell r="D1012" t="str">
            <v>0390</v>
          </cell>
          <cell r="E1012" t="str">
            <v>MPG</v>
          </cell>
          <cell r="F1012" t="str">
            <v>Indirect</v>
          </cell>
          <cell r="G1012" t="str">
            <v>CHHATUNA</v>
          </cell>
          <cell r="H1012" t="str">
            <v>AMARNATH MATHO</v>
          </cell>
          <cell r="I1012">
            <v>9931378088</v>
          </cell>
          <cell r="J1012" t="str">
            <v>101201</v>
          </cell>
          <cell r="K1012" t="str">
            <v/>
          </cell>
          <cell r="L1012">
            <v>44962</v>
          </cell>
          <cell r="N1012" t="str">
            <v>DalsinghSarai</v>
          </cell>
        </row>
        <row r="1013">
          <cell r="B1013">
            <v>10120038</v>
          </cell>
          <cell r="C1013" t="str">
            <v>0038</v>
          </cell>
          <cell r="D1013" t="str">
            <v>0396</v>
          </cell>
          <cell r="E1013" t="str">
            <v>MPG</v>
          </cell>
          <cell r="F1013" t="str">
            <v>Direct</v>
          </cell>
          <cell r="G1013" t="str">
            <v>GAOPUR</v>
          </cell>
          <cell r="H1013" t="str">
            <v>PAWAN KUMAR</v>
          </cell>
          <cell r="I1013">
            <v>9939053324</v>
          </cell>
          <cell r="J1013" t="str">
            <v>101201</v>
          </cell>
          <cell r="K1013" t="str">
            <v>Yes</v>
          </cell>
          <cell r="L1013">
            <v>44981</v>
          </cell>
          <cell r="N1013" t="str">
            <v>DalsinghSarai</v>
          </cell>
        </row>
        <row r="1014">
          <cell r="B1014">
            <v>10120039</v>
          </cell>
          <cell r="C1014" t="str">
            <v>0039</v>
          </cell>
          <cell r="D1014" t="str">
            <v>2047</v>
          </cell>
          <cell r="E1014" t="str">
            <v>MPG</v>
          </cell>
          <cell r="F1014" t="str">
            <v>Direct</v>
          </cell>
          <cell r="G1014" t="str">
            <v>GANG SARA</v>
          </cell>
          <cell r="H1014" t="str">
            <v>PUNAM KUMARI</v>
          </cell>
          <cell r="I1014">
            <v>9931057271</v>
          </cell>
          <cell r="J1014" t="str">
            <v>101202</v>
          </cell>
          <cell r="K1014" t="str">
            <v>Yes</v>
          </cell>
          <cell r="L1014">
            <v>44985</v>
          </cell>
          <cell r="N1014" t="str">
            <v>DalsinghSarai</v>
          </cell>
        </row>
        <row r="1015">
          <cell r="B1015">
            <v>10120040</v>
          </cell>
          <cell r="C1015" t="str">
            <v>0040</v>
          </cell>
          <cell r="D1015" t="str">
            <v>2049</v>
          </cell>
          <cell r="E1015" t="str">
            <v>MPG</v>
          </cell>
          <cell r="F1015" t="str">
            <v>Direct</v>
          </cell>
          <cell r="G1015" t="str">
            <v xml:space="preserve">Jataa Dih                                                                                           </v>
          </cell>
          <cell r="H1015" t="str">
            <v>KEDAR KUMAR</v>
          </cell>
          <cell r="I1015">
            <v>9534534105</v>
          </cell>
          <cell r="J1015" t="str">
            <v>101201</v>
          </cell>
          <cell r="K1015" t="str">
            <v>Yes</v>
          </cell>
          <cell r="L1015">
            <v>45030</v>
          </cell>
          <cell r="N1015" t="str">
            <v>DalsinghSarai</v>
          </cell>
        </row>
        <row r="1016">
          <cell r="B1016">
            <v>10120041</v>
          </cell>
          <cell r="C1016" t="str">
            <v>0041</v>
          </cell>
          <cell r="D1016" t="str">
            <v>2052</v>
          </cell>
          <cell r="E1016" t="str">
            <v>MPG</v>
          </cell>
          <cell r="F1016" t="str">
            <v>Direct</v>
          </cell>
          <cell r="G1016" t="str">
            <v xml:space="preserve">Gomukh Harail                                                                                       </v>
          </cell>
          <cell r="H1016" t="str">
            <v>Sanjeev kumar singh</v>
          </cell>
          <cell r="I1016">
            <v>9955556547</v>
          </cell>
          <cell r="J1016" t="str">
            <v>101204</v>
          </cell>
          <cell r="K1016" t="str">
            <v>Yes</v>
          </cell>
          <cell r="L1016">
            <v>45047</v>
          </cell>
          <cell r="N1016" t="str">
            <v>DalsinghSarai</v>
          </cell>
        </row>
        <row r="1017">
          <cell r="B1017">
            <v>10120042</v>
          </cell>
          <cell r="C1017" t="str">
            <v>0042</v>
          </cell>
          <cell r="D1017" t="str">
            <v>2053</v>
          </cell>
          <cell r="E1017" t="str">
            <v>MPG</v>
          </cell>
          <cell r="F1017" t="str">
            <v>Direct</v>
          </cell>
          <cell r="G1017" t="str">
            <v xml:space="preserve">Gomukh Musapur purvi tola                                                                           </v>
          </cell>
          <cell r="H1017" t="str">
            <v>Sharwan kumar</v>
          </cell>
          <cell r="I1017">
            <v>8298326565</v>
          </cell>
          <cell r="J1017" t="str">
            <v>101202</v>
          </cell>
          <cell r="K1017" t="str">
            <v>Yes</v>
          </cell>
          <cell r="L1017">
            <v>45080</v>
          </cell>
          <cell r="N1017" t="str">
            <v>DalsinghSarai</v>
          </cell>
        </row>
        <row r="1018">
          <cell r="B1018">
            <v>10120043</v>
          </cell>
          <cell r="C1018" t="str">
            <v>0043</v>
          </cell>
          <cell r="D1018" t="str">
            <v>2054</v>
          </cell>
          <cell r="E1018" t="str">
            <v>MPG</v>
          </cell>
          <cell r="F1018" t="str">
            <v>Direct</v>
          </cell>
          <cell r="G1018" t="str">
            <v>GOMUKH TATARPUR</v>
          </cell>
          <cell r="H1018" t="str">
            <v>RAJKISHORE RAY</v>
          </cell>
          <cell r="I1018">
            <v>9771110056</v>
          </cell>
          <cell r="J1018" t="str">
            <v>101204</v>
          </cell>
          <cell r="K1018" t="str">
            <v>Yes</v>
          </cell>
          <cell r="L1018">
            <v>45126</v>
          </cell>
          <cell r="N1018" t="str">
            <v>DalsinghSarai</v>
          </cell>
        </row>
        <row r="1019">
          <cell r="B1019">
            <v>10120044</v>
          </cell>
          <cell r="C1019" t="str">
            <v>0044</v>
          </cell>
          <cell r="D1019" t="str">
            <v>2057</v>
          </cell>
          <cell r="E1019" t="str">
            <v>MPG</v>
          </cell>
          <cell r="F1019" t="str">
            <v>Indirect</v>
          </cell>
          <cell r="G1019" t="str">
            <v>Gomukh Samartha</v>
          </cell>
          <cell r="H1019" t="str">
            <v>Rambalak yadav</v>
          </cell>
          <cell r="I1019">
            <v>9955622757</v>
          </cell>
          <cell r="J1019" t="str">
            <v>101203</v>
          </cell>
          <cell r="K1019" t="str">
            <v/>
          </cell>
          <cell r="L1019">
            <v>45141</v>
          </cell>
          <cell r="N1019" t="str">
            <v>DalsinghSarai</v>
          </cell>
        </row>
        <row r="1020">
          <cell r="B1020">
            <v>10120045</v>
          </cell>
          <cell r="C1020" t="str">
            <v>0045</v>
          </cell>
          <cell r="D1020" t="str">
            <v>2059</v>
          </cell>
          <cell r="E1020" t="str">
            <v>MPG</v>
          </cell>
          <cell r="F1020" t="str">
            <v>Direct</v>
          </cell>
          <cell r="G1020" t="str">
            <v>Gomukh Baluahi</v>
          </cell>
          <cell r="H1020" t="str">
            <v>Deepak kumar singh</v>
          </cell>
          <cell r="I1020">
            <v>7858854472</v>
          </cell>
          <cell r="J1020" t="str">
            <v>101202</v>
          </cell>
          <cell r="K1020" t="str">
            <v/>
          </cell>
          <cell r="L1020">
            <v>45141</v>
          </cell>
          <cell r="N1020" t="str">
            <v>DalsinghSarai</v>
          </cell>
        </row>
        <row r="1021">
          <cell r="B1021">
            <v>10120046</v>
          </cell>
          <cell r="C1021" t="str">
            <v>0046</v>
          </cell>
          <cell r="D1021" t="str">
            <v>2058</v>
          </cell>
          <cell r="E1021" t="str">
            <v>MPG</v>
          </cell>
          <cell r="F1021" t="str">
            <v>Direct</v>
          </cell>
          <cell r="G1021" t="str">
            <v>Gomukh Ghataho</v>
          </cell>
          <cell r="H1021" t="str">
            <v>Nitesh kumar</v>
          </cell>
          <cell r="I1021">
            <v>6201908052</v>
          </cell>
          <cell r="J1021" t="str">
            <v>101202</v>
          </cell>
          <cell r="K1021" t="str">
            <v/>
          </cell>
          <cell r="L1021">
            <v>45142</v>
          </cell>
          <cell r="N1021" t="str">
            <v>DalsinghSarai</v>
          </cell>
        </row>
        <row r="1022">
          <cell r="B1022">
            <v>10120047</v>
          </cell>
          <cell r="C1022" t="str">
            <v>0047</v>
          </cell>
          <cell r="D1022" t="str">
            <v>2061</v>
          </cell>
          <cell r="E1022" t="str">
            <v>MPG</v>
          </cell>
          <cell r="F1022" t="str">
            <v>Indirect</v>
          </cell>
          <cell r="G1022" t="str">
            <v>Madhepur - Bishwanath</v>
          </cell>
          <cell r="H1022" t="str">
            <v>Bishwanath Prasad</v>
          </cell>
          <cell r="I1022">
            <v>7654115901</v>
          </cell>
          <cell r="J1022" t="str">
            <v>101205</v>
          </cell>
          <cell r="K1022" t="str">
            <v/>
          </cell>
          <cell r="L1022">
            <v>44915</v>
          </cell>
          <cell r="N1022" t="str">
            <v>DalsinghSarai</v>
          </cell>
        </row>
        <row r="1023">
          <cell r="B1023">
            <v>10120048</v>
          </cell>
          <cell r="C1023" t="str">
            <v>0048</v>
          </cell>
          <cell r="D1023" t="str">
            <v>2062</v>
          </cell>
          <cell r="E1023" t="str">
            <v>MPG</v>
          </cell>
          <cell r="F1023" t="str">
            <v>Indirect</v>
          </cell>
          <cell r="G1023" t="str">
            <v>Madhepur -2 - Naval Kishor</v>
          </cell>
          <cell r="H1023" t="str">
            <v>Navalkishor Kumar</v>
          </cell>
          <cell r="I1023">
            <v>8877495620</v>
          </cell>
          <cell r="J1023" t="str">
            <v>101201</v>
          </cell>
          <cell r="K1023" t="str">
            <v/>
          </cell>
          <cell r="L1023">
            <v>44866</v>
          </cell>
          <cell r="N1023" t="str">
            <v>DalsinghSarai</v>
          </cell>
        </row>
        <row r="1024">
          <cell r="B1024">
            <v>10120049</v>
          </cell>
          <cell r="C1024" t="str">
            <v>0049</v>
          </cell>
          <cell r="D1024" t="str">
            <v>2063</v>
          </cell>
          <cell r="E1024" t="str">
            <v>MPG</v>
          </cell>
          <cell r="F1024" t="str">
            <v>Indirect</v>
          </cell>
          <cell r="G1024" t="str">
            <v>Kacha - Amarjeet</v>
          </cell>
          <cell r="H1024" t="str">
            <v>Amarjeet Kumar Singh</v>
          </cell>
          <cell r="I1024">
            <v>6280757853</v>
          </cell>
          <cell r="J1024" t="str">
            <v>101205</v>
          </cell>
          <cell r="K1024" t="str">
            <v/>
          </cell>
          <cell r="L1024">
            <v>45058</v>
          </cell>
          <cell r="N1024" t="str">
            <v>DalsinghSarai</v>
          </cell>
        </row>
        <row r="1025">
          <cell r="B1025">
            <v>10120050</v>
          </cell>
          <cell r="C1025" t="str">
            <v>0050</v>
          </cell>
          <cell r="D1025" t="str">
            <v>2064</v>
          </cell>
          <cell r="E1025" t="str">
            <v>MPG</v>
          </cell>
          <cell r="F1025" t="str">
            <v>Indirect</v>
          </cell>
          <cell r="G1025" t="str">
            <v>Simri - Suman</v>
          </cell>
          <cell r="H1025" t="str">
            <v>Suman Kumar</v>
          </cell>
          <cell r="I1025">
            <v>9709327741</v>
          </cell>
          <cell r="J1025" t="str">
            <v>101205</v>
          </cell>
          <cell r="K1025" t="str">
            <v/>
          </cell>
          <cell r="L1025">
            <v>44957</v>
          </cell>
          <cell r="N1025" t="str">
            <v>DalsinghSarai</v>
          </cell>
        </row>
        <row r="1026">
          <cell r="B1026">
            <v>10120051</v>
          </cell>
          <cell r="C1026" t="str">
            <v>0051</v>
          </cell>
          <cell r="D1026" t="str">
            <v>2065</v>
          </cell>
          <cell r="E1026" t="str">
            <v>MPG</v>
          </cell>
          <cell r="F1026" t="str">
            <v>Direct</v>
          </cell>
          <cell r="G1026" t="str">
            <v>Narenpur</v>
          </cell>
          <cell r="H1026" t="str">
            <v>Chandan Kumar</v>
          </cell>
          <cell r="I1026">
            <v>7488826293</v>
          </cell>
          <cell r="J1026" t="str">
            <v>101204</v>
          </cell>
          <cell r="K1026" t="str">
            <v>Yes</v>
          </cell>
          <cell r="L1026">
            <v>45226</v>
          </cell>
          <cell r="N1026" t="str">
            <v>DalsinghSarai</v>
          </cell>
        </row>
        <row r="1027">
          <cell r="B1027">
            <v>10120052</v>
          </cell>
          <cell r="C1027" t="str">
            <v>0052</v>
          </cell>
          <cell r="D1027" t="str">
            <v>2066</v>
          </cell>
          <cell r="E1027" t="str">
            <v>MPG</v>
          </cell>
          <cell r="F1027" t="str">
            <v>Direct</v>
          </cell>
          <cell r="G1027" t="str">
            <v>Mordiba</v>
          </cell>
          <cell r="H1027" t="str">
            <v>Sunil Kumar</v>
          </cell>
          <cell r="I1027">
            <v>8294556363</v>
          </cell>
          <cell r="J1027" t="str">
            <v>101201</v>
          </cell>
          <cell r="K1027" t="str">
            <v>Yes</v>
          </cell>
          <cell r="L1027">
            <v>45240</v>
          </cell>
          <cell r="N1027" t="str">
            <v>DalsinghSarai</v>
          </cell>
        </row>
        <row r="1028">
          <cell r="B1028">
            <v>10120053</v>
          </cell>
          <cell r="C1028" t="str">
            <v>0053</v>
          </cell>
          <cell r="D1028" t="str">
            <v>2067</v>
          </cell>
          <cell r="E1028" t="str">
            <v>MPG</v>
          </cell>
          <cell r="F1028" t="str">
            <v>Direct</v>
          </cell>
          <cell r="G1028" t="str">
            <v>Jagdispur</v>
          </cell>
          <cell r="H1028" t="str">
            <v>Anil Kumar Ray</v>
          </cell>
          <cell r="I1028">
            <v>8860927313</v>
          </cell>
          <cell r="J1028" t="str">
            <v>101202</v>
          </cell>
          <cell r="K1028" t="str">
            <v>Yes</v>
          </cell>
          <cell r="L1028">
            <v>45226</v>
          </cell>
          <cell r="N1028" t="str">
            <v>DalsinghSarai</v>
          </cell>
        </row>
        <row r="1029">
          <cell r="B1029">
            <v>10120054</v>
          </cell>
          <cell r="C1029" t="str">
            <v>0054</v>
          </cell>
          <cell r="D1029" t="str">
            <v>2068</v>
          </cell>
          <cell r="E1029" t="str">
            <v>MPG</v>
          </cell>
          <cell r="F1029" t="str">
            <v>Direct</v>
          </cell>
          <cell r="G1029" t="str">
            <v>Baruna Rasalpur</v>
          </cell>
          <cell r="H1029" t="str">
            <v>Manju Devi</v>
          </cell>
          <cell r="I1029">
            <v>9262830957</v>
          </cell>
          <cell r="J1029" t="str">
            <v>101202</v>
          </cell>
          <cell r="K1029" t="str">
            <v>Yes</v>
          </cell>
          <cell r="L1029">
            <v>45226</v>
          </cell>
          <cell r="N1029" t="str">
            <v>DalsinghSarai</v>
          </cell>
        </row>
        <row r="1030">
          <cell r="B1030">
            <v>10120055</v>
          </cell>
          <cell r="C1030" t="str">
            <v>0055</v>
          </cell>
          <cell r="D1030" t="str">
            <v>2069</v>
          </cell>
          <cell r="E1030" t="str">
            <v>MPG</v>
          </cell>
          <cell r="F1030" t="str">
            <v>Indirect</v>
          </cell>
          <cell r="G1030" t="str">
            <v>Siura</v>
          </cell>
          <cell r="H1030" t="str">
            <v>Manoj Kumar Chaudhary</v>
          </cell>
          <cell r="I1030">
            <v>9955409100</v>
          </cell>
          <cell r="J1030" t="str">
            <v>101204</v>
          </cell>
          <cell r="K1030" t="str">
            <v>Yes</v>
          </cell>
          <cell r="L1030">
            <v>45226</v>
          </cell>
          <cell r="N1030" t="str">
            <v>DalsinghSarai</v>
          </cell>
        </row>
        <row r="1031">
          <cell r="B1031">
            <v>10120056</v>
          </cell>
          <cell r="C1031" t="str">
            <v>0056</v>
          </cell>
          <cell r="D1031" t="str">
            <v>2070</v>
          </cell>
          <cell r="E1031" t="str">
            <v>MPG</v>
          </cell>
          <cell r="F1031" t="str">
            <v>Indirect</v>
          </cell>
          <cell r="G1031" t="str">
            <v>Sahpur Barar</v>
          </cell>
          <cell r="H1031" t="str">
            <v>Sarita Devi</v>
          </cell>
          <cell r="I1031">
            <v>7070989199</v>
          </cell>
          <cell r="J1031" t="str">
            <v>101204</v>
          </cell>
          <cell r="K1031" t="str">
            <v>Yes</v>
          </cell>
          <cell r="L1031">
            <v>45226</v>
          </cell>
          <cell r="N1031" t="str">
            <v>DalsinghSarai</v>
          </cell>
        </row>
        <row r="1032">
          <cell r="B1032">
            <v>10120057</v>
          </cell>
          <cell r="C1032" t="str">
            <v>0057</v>
          </cell>
          <cell r="D1032" t="str">
            <v>2071</v>
          </cell>
          <cell r="E1032" t="str">
            <v>MPG</v>
          </cell>
          <cell r="F1032" t="str">
            <v>Indirect</v>
          </cell>
          <cell r="G1032" t="str">
            <v>Kursaha</v>
          </cell>
          <cell r="H1032" t="str">
            <v>Brij Mohan Ray</v>
          </cell>
          <cell r="I1032">
            <v>8252736146</v>
          </cell>
          <cell r="J1032" t="str">
            <v>101204</v>
          </cell>
          <cell r="K1032" t="str">
            <v/>
          </cell>
          <cell r="L1032">
            <v>45226</v>
          </cell>
          <cell r="N1032" t="str">
            <v>DalsinghSarai</v>
          </cell>
        </row>
        <row r="1033">
          <cell r="B1033">
            <v>10120058</v>
          </cell>
          <cell r="C1033" t="str">
            <v>0058</v>
          </cell>
          <cell r="D1033" t="str">
            <v>2072</v>
          </cell>
          <cell r="E1033" t="str">
            <v>MPG</v>
          </cell>
          <cell r="F1033" t="str">
            <v>Indirect</v>
          </cell>
          <cell r="G1033" t="str">
            <v>Dasahara-Mukesh</v>
          </cell>
          <cell r="H1033" t="str">
            <v>Mukesh Kumar</v>
          </cell>
          <cell r="I1033">
            <v>8810406753</v>
          </cell>
          <cell r="J1033" t="str">
            <v>101204</v>
          </cell>
          <cell r="K1033" t="str">
            <v/>
          </cell>
          <cell r="L1033">
            <v>45234</v>
          </cell>
          <cell r="N1033" t="str">
            <v>DalsinghSarai</v>
          </cell>
        </row>
        <row r="1034">
          <cell r="B1034">
            <v>10120059</v>
          </cell>
          <cell r="C1034" t="str">
            <v>0059</v>
          </cell>
          <cell r="D1034" t="str">
            <v>2073</v>
          </cell>
          <cell r="E1034" t="str">
            <v>MPG</v>
          </cell>
          <cell r="F1034" t="str">
            <v>Indirect</v>
          </cell>
          <cell r="G1034" t="str">
            <v xml:space="preserve">Balthara-Preeti </v>
          </cell>
          <cell r="H1034" t="str">
            <v>Preeti Kumari</v>
          </cell>
          <cell r="I1034">
            <v>9142990361</v>
          </cell>
          <cell r="J1034" t="str">
            <v>101204</v>
          </cell>
          <cell r="K1034" t="str">
            <v/>
          </cell>
          <cell r="L1034">
            <v>45219</v>
          </cell>
          <cell r="N1034" t="str">
            <v>DalsinghSarai</v>
          </cell>
        </row>
        <row r="1035">
          <cell r="B1035">
            <v>10120060</v>
          </cell>
          <cell r="C1035" t="str">
            <v>0060</v>
          </cell>
          <cell r="D1035" t="str">
            <v>2074</v>
          </cell>
          <cell r="E1035" t="str">
            <v>MPG</v>
          </cell>
          <cell r="F1035" t="str">
            <v>Indirect</v>
          </cell>
          <cell r="G1035" t="str">
            <v>Chaklal Sahi_Vikrant</v>
          </cell>
          <cell r="H1035" t="str">
            <v>Vikrant Kumar</v>
          </cell>
          <cell r="I1035">
            <v>7493027467</v>
          </cell>
          <cell r="J1035" t="str">
            <v>101205</v>
          </cell>
          <cell r="K1035" t="str">
            <v/>
          </cell>
          <cell r="L1035">
            <v>45260</v>
          </cell>
          <cell r="N1035" t="str">
            <v>DalsinghSarai</v>
          </cell>
        </row>
        <row r="1036">
          <cell r="B1036">
            <v>10120061</v>
          </cell>
          <cell r="C1036" t="str">
            <v>0061</v>
          </cell>
          <cell r="D1036" t="str">
            <v>2075</v>
          </cell>
          <cell r="E1036" t="str">
            <v>MPG</v>
          </cell>
          <cell r="F1036" t="str">
            <v>Indirect</v>
          </cell>
          <cell r="G1036" t="str">
            <v>Bochaha_Sonu</v>
          </cell>
          <cell r="H1036" t="str">
            <v>Sonu Kumar Ray</v>
          </cell>
          <cell r="I1036">
            <v>6200045629</v>
          </cell>
          <cell r="J1036" t="str">
            <v>101205</v>
          </cell>
          <cell r="K1036" t="str">
            <v/>
          </cell>
          <cell r="L1036">
            <v>45260</v>
          </cell>
          <cell r="N1036" t="str">
            <v>DalsinghSarai</v>
          </cell>
        </row>
        <row r="1037">
          <cell r="B1037">
            <v>10120062</v>
          </cell>
          <cell r="C1037" t="str">
            <v>0062</v>
          </cell>
          <cell r="D1037" t="str">
            <v>0360</v>
          </cell>
          <cell r="E1037" t="str">
            <v>MPG</v>
          </cell>
          <cell r="F1037" t="str">
            <v>Indirect</v>
          </cell>
          <cell r="G1037" t="str">
            <v xml:space="preserve">Chamatha                                                                                            </v>
          </cell>
          <cell r="H1037" t="str">
            <v>Shambhu Ray</v>
          </cell>
          <cell r="I1037">
            <v>8252445415</v>
          </cell>
          <cell r="J1037" t="str">
            <v>101205</v>
          </cell>
          <cell r="K1037" t="str">
            <v/>
          </cell>
          <cell r="L1037">
            <v>45212</v>
          </cell>
          <cell r="N1037" t="str">
            <v>DalsinghSarai</v>
          </cell>
        </row>
        <row r="1038">
          <cell r="B1038">
            <v>10120063</v>
          </cell>
          <cell r="C1038" t="str">
            <v>0063</v>
          </cell>
          <cell r="D1038" t="str">
            <v>2077</v>
          </cell>
          <cell r="E1038" t="str">
            <v>MPG</v>
          </cell>
          <cell r="F1038" t="str">
            <v>Indirect</v>
          </cell>
          <cell r="G1038" t="str">
            <v>Simri-2-Dharamvir</v>
          </cell>
          <cell r="H1038" t="str">
            <v>Dharamvir Kumar</v>
          </cell>
          <cell r="I1038">
            <v>9709879648</v>
          </cell>
          <cell r="J1038" t="str">
            <v>101204</v>
          </cell>
          <cell r="K1038" t="str">
            <v/>
          </cell>
          <cell r="L1038" t="e">
            <v>#N/A</v>
          </cell>
          <cell r="N1038" t="str">
            <v>DalsinghSarai</v>
          </cell>
        </row>
        <row r="1039">
          <cell r="B1039">
            <v>10120064</v>
          </cell>
          <cell r="C1039" t="str">
            <v>0064</v>
          </cell>
          <cell r="D1039" t="str">
            <v>2078</v>
          </cell>
          <cell r="E1039" t="str">
            <v>MPG</v>
          </cell>
          <cell r="F1039" t="str">
            <v>Indirect</v>
          </cell>
          <cell r="G1039" t="str">
            <v>Chiraiyatok-Sarita</v>
          </cell>
          <cell r="H1039" t="str">
            <v>Sarita Devi</v>
          </cell>
          <cell r="I1039">
            <v>9973925450</v>
          </cell>
          <cell r="J1039" t="str">
            <v>101204</v>
          </cell>
          <cell r="K1039" t="str">
            <v/>
          </cell>
          <cell r="L1039" t="e">
            <v>#N/A</v>
          </cell>
          <cell r="N1039" t="str">
            <v>DalsinghSarai</v>
          </cell>
        </row>
        <row r="1040">
          <cell r="B1040">
            <v>10120065</v>
          </cell>
          <cell r="C1040" t="str">
            <v>0065</v>
          </cell>
          <cell r="D1040" t="str">
            <v>2079</v>
          </cell>
          <cell r="E1040" t="str">
            <v>MPG</v>
          </cell>
          <cell r="F1040" t="str">
            <v>Direct</v>
          </cell>
          <cell r="G1040" t="str">
            <v>Ghataho East</v>
          </cell>
          <cell r="H1040" t="str">
            <v>Pinki Kumari</v>
          </cell>
          <cell r="I1040">
            <v>6204070405</v>
          </cell>
          <cell r="J1040" t="str">
            <v>101202</v>
          </cell>
          <cell r="K1040" t="str">
            <v>Yes</v>
          </cell>
          <cell r="L1040">
            <v>45323</v>
          </cell>
          <cell r="N1040" t="str">
            <v>DalsinghSarai</v>
          </cell>
        </row>
        <row r="1041">
          <cell r="B1041">
            <v>10120066</v>
          </cell>
          <cell r="C1041" t="str">
            <v>0066</v>
          </cell>
          <cell r="D1041" t="str">
            <v>2080</v>
          </cell>
          <cell r="E1041" t="str">
            <v>MPG</v>
          </cell>
          <cell r="F1041" t="str">
            <v>Indirect</v>
          </cell>
          <cell r="G1041" t="str">
            <v>Piparpaati</v>
          </cell>
          <cell r="H1041" t="str">
            <v>Runa Kumari</v>
          </cell>
          <cell r="I1041">
            <v>9608653489</v>
          </cell>
          <cell r="J1041" t="str">
            <v>101205</v>
          </cell>
          <cell r="K1041" t="str">
            <v>Yes</v>
          </cell>
          <cell r="L1041">
            <v>45323</v>
          </cell>
          <cell r="N1041" t="str">
            <v>DalsinghSarai</v>
          </cell>
        </row>
        <row r="1042">
          <cell r="B1042">
            <v>10120067</v>
          </cell>
          <cell r="C1042" t="str">
            <v>0067</v>
          </cell>
          <cell r="D1042" t="str">
            <v>2081</v>
          </cell>
          <cell r="E1042" t="str">
            <v>MPG</v>
          </cell>
          <cell r="F1042" t="str">
            <v>Indirect</v>
          </cell>
          <cell r="G1042" t="str">
            <v>Sarhad-Subodh</v>
          </cell>
          <cell r="H1042" t="str">
            <v>Subodh Kumar Ray</v>
          </cell>
          <cell r="I1042">
            <v>620005446</v>
          </cell>
          <cell r="J1042" t="str">
            <v>101204</v>
          </cell>
          <cell r="K1042" t="str">
            <v/>
          </cell>
          <cell r="L1042">
            <v>45323</v>
          </cell>
          <cell r="N1042" t="str">
            <v>DalsinghSarai</v>
          </cell>
        </row>
        <row r="1043">
          <cell r="B1043">
            <v>10120068</v>
          </cell>
          <cell r="C1043" t="str">
            <v>0068</v>
          </cell>
          <cell r="D1043" t="str">
            <v>2082</v>
          </cell>
          <cell r="E1043" t="str">
            <v>MPG</v>
          </cell>
          <cell r="F1043" t="str">
            <v>Direct</v>
          </cell>
          <cell r="G1043" t="str">
            <v>Malpur</v>
          </cell>
          <cell r="H1043" t="str">
            <v>Vinod Kumar</v>
          </cell>
          <cell r="I1043">
            <v>9631113993</v>
          </cell>
          <cell r="J1043" t="str">
            <v>101203</v>
          </cell>
          <cell r="K1043" t="str">
            <v/>
          </cell>
          <cell r="L1043">
            <v>45323</v>
          </cell>
          <cell r="N1043" t="str">
            <v>DalsinghSarai</v>
          </cell>
        </row>
        <row r="1044">
          <cell r="B1044">
            <v>10120069</v>
          </cell>
          <cell r="C1044" t="str">
            <v>0069</v>
          </cell>
          <cell r="D1044" t="str">
            <v>2083</v>
          </cell>
          <cell r="E1044" t="str">
            <v>MPG</v>
          </cell>
          <cell r="F1044" t="str">
            <v>Indirect</v>
          </cell>
          <cell r="G1044" t="str">
            <v>Samsipur</v>
          </cell>
          <cell r="H1044" t="str">
            <v>Shivchandra Kumar</v>
          </cell>
          <cell r="I1044">
            <v>8969804159</v>
          </cell>
          <cell r="J1044" t="str">
            <v>101205</v>
          </cell>
          <cell r="K1044" t="str">
            <v/>
          </cell>
          <cell r="L1044">
            <v>45323</v>
          </cell>
          <cell r="N1044" t="str">
            <v>DalsinghSarai</v>
          </cell>
        </row>
        <row r="1045">
          <cell r="B1045">
            <v>10120070</v>
          </cell>
          <cell r="C1045" t="str">
            <v>0070</v>
          </cell>
          <cell r="D1045" t="str">
            <v>2117</v>
          </cell>
          <cell r="E1045" t="str">
            <v>MPG</v>
          </cell>
          <cell r="F1045" t="str">
            <v>Indirect</v>
          </cell>
          <cell r="G1045" t="str">
            <v>Boriya</v>
          </cell>
          <cell r="H1045" t="str">
            <v>Asha Devi</v>
          </cell>
          <cell r="I1045">
            <v>9934271929</v>
          </cell>
          <cell r="J1045" t="str">
            <v>101203</v>
          </cell>
          <cell r="K1045" t="str">
            <v/>
          </cell>
          <cell r="L1045">
            <v>45323</v>
          </cell>
          <cell r="N1045" t="str">
            <v>DalsinghSarai</v>
          </cell>
        </row>
        <row r="1046">
          <cell r="B1046">
            <v>10120071</v>
          </cell>
          <cell r="C1046" t="str">
            <v>0071</v>
          </cell>
          <cell r="D1046"/>
          <cell r="E1046" t="str">
            <v>MPG</v>
          </cell>
          <cell r="F1046" t="str">
            <v>Direct</v>
          </cell>
          <cell r="G1046" t="str">
            <v>Suratpur</v>
          </cell>
          <cell r="H1046" t="str">
            <v>Hareram Mahto</v>
          </cell>
          <cell r="I1046">
            <v>9199712181</v>
          </cell>
          <cell r="J1046" t="str">
            <v>101203</v>
          </cell>
          <cell r="K1046" t="str">
            <v/>
          </cell>
          <cell r="L1046">
            <v>45408</v>
          </cell>
          <cell r="N1046" t="str">
            <v>DalsinghSarai</v>
          </cell>
        </row>
        <row r="1047">
          <cell r="B1047">
            <v>10120072</v>
          </cell>
          <cell r="C1047" t="str">
            <v>0072</v>
          </cell>
          <cell r="D1047"/>
          <cell r="E1047" t="str">
            <v>MPG</v>
          </cell>
          <cell r="F1047" t="str">
            <v>Direct</v>
          </cell>
          <cell r="G1047" t="str">
            <v>Ballochak</v>
          </cell>
          <cell r="H1047" t="str">
            <v>Lalita Devi</v>
          </cell>
          <cell r="I1047">
            <v>9334064398</v>
          </cell>
          <cell r="J1047" t="str">
            <v>101203</v>
          </cell>
          <cell r="K1047" t="str">
            <v/>
          </cell>
          <cell r="L1047">
            <v>45408</v>
          </cell>
          <cell r="N1047" t="str">
            <v>DalsinghSarai</v>
          </cell>
        </row>
        <row r="1048">
          <cell r="B1048">
            <v>10120073</v>
          </cell>
          <cell r="C1048" t="str">
            <v>0073</v>
          </cell>
          <cell r="D1048"/>
          <cell r="E1048" t="str">
            <v>MPG</v>
          </cell>
          <cell r="F1048" t="str">
            <v>Direct</v>
          </cell>
          <cell r="G1048" t="str">
            <v>Bangaraha</v>
          </cell>
          <cell r="H1048" t="str">
            <v>Sanjay Kumar</v>
          </cell>
          <cell r="I1048">
            <v>9570305388</v>
          </cell>
          <cell r="J1048" t="str">
            <v>101203</v>
          </cell>
          <cell r="K1048" t="str">
            <v/>
          </cell>
          <cell r="L1048">
            <v>45408</v>
          </cell>
          <cell r="N1048" t="str">
            <v>DalsinghSarai</v>
          </cell>
        </row>
        <row r="1049">
          <cell r="B1049">
            <v>10120074</v>
          </cell>
          <cell r="C1049" t="str">
            <v>0074</v>
          </cell>
          <cell r="D1049"/>
          <cell r="E1049" t="str">
            <v>MPG</v>
          </cell>
          <cell r="F1049" t="str">
            <v>Indirect</v>
          </cell>
          <cell r="G1049" t="str">
            <v>Salkhanni</v>
          </cell>
          <cell r="H1049" t="str">
            <v>Krishna Gopal Ray</v>
          </cell>
          <cell r="I1049">
            <v>7562012998</v>
          </cell>
          <cell r="J1049" t="str">
            <v>101203</v>
          </cell>
          <cell r="K1049" t="str">
            <v/>
          </cell>
          <cell r="L1049">
            <v>45414</v>
          </cell>
          <cell r="N1049" t="str">
            <v>DalsinghSarai</v>
          </cell>
        </row>
        <row r="1050">
          <cell r="B1050">
            <v>10120075</v>
          </cell>
          <cell r="C1050" t="str">
            <v>0075</v>
          </cell>
          <cell r="D1050"/>
          <cell r="E1050" t="str">
            <v>MPG</v>
          </cell>
          <cell r="F1050" t="str">
            <v>Indirect</v>
          </cell>
          <cell r="G1050" t="str">
            <v>Rupasbaj</v>
          </cell>
          <cell r="H1050" t="str">
            <v>Arti Kumari</v>
          </cell>
          <cell r="I1050">
            <v>8825142381</v>
          </cell>
          <cell r="J1050" t="str">
            <v>101203</v>
          </cell>
          <cell r="K1050" t="str">
            <v/>
          </cell>
          <cell r="L1050">
            <v>45414</v>
          </cell>
          <cell r="N1050" t="str">
            <v>DalsinghSarai</v>
          </cell>
        </row>
        <row r="1051">
          <cell r="B1051">
            <v>10120076</v>
          </cell>
          <cell r="C1051" t="str">
            <v>0076</v>
          </cell>
          <cell r="D1051"/>
          <cell r="E1051" t="str">
            <v>MPG</v>
          </cell>
          <cell r="F1051" t="str">
            <v>Indirect</v>
          </cell>
          <cell r="G1051" t="str">
            <v>Khajautiya</v>
          </cell>
          <cell r="H1051" t="str">
            <v>Deepak Kumar Chaudhary</v>
          </cell>
          <cell r="I1051">
            <v>9693941621</v>
          </cell>
          <cell r="J1051" t="str">
            <v>101203</v>
          </cell>
          <cell r="K1051" t="str">
            <v/>
          </cell>
          <cell r="L1051">
            <v>45414</v>
          </cell>
          <cell r="N1051" t="str">
            <v>DalsinghSarai</v>
          </cell>
        </row>
        <row r="1052">
          <cell r="B1052">
            <v>10120077</v>
          </cell>
          <cell r="C1052" t="str">
            <v>0077</v>
          </cell>
          <cell r="D1052"/>
          <cell r="E1052" t="str">
            <v>MPG</v>
          </cell>
          <cell r="F1052" t="str">
            <v>Indirect</v>
          </cell>
          <cell r="G1052" t="str">
            <v>Sivansipur</v>
          </cell>
          <cell r="H1052" t="str">
            <v>Saravjeet Kumar</v>
          </cell>
          <cell r="I1052">
            <v>7033321309</v>
          </cell>
          <cell r="J1052" t="str">
            <v>101203</v>
          </cell>
          <cell r="K1052"/>
          <cell r="L1052">
            <v>45414</v>
          </cell>
          <cell r="N1052" t="str">
            <v>DalsinghSarai</v>
          </cell>
        </row>
        <row r="1053">
          <cell r="B1053">
            <v>10120078</v>
          </cell>
          <cell r="C1053" t="str">
            <v>0078</v>
          </cell>
          <cell r="D1053"/>
          <cell r="E1053" t="str">
            <v>MPG</v>
          </cell>
          <cell r="F1053" t="str">
            <v>Indirect</v>
          </cell>
          <cell r="G1053" t="str">
            <v>Bahadurpur-Santosh</v>
          </cell>
          <cell r="H1053" t="str">
            <v>Santosh Kumar Thakur</v>
          </cell>
          <cell r="I1053">
            <v>9834022018</v>
          </cell>
          <cell r="J1053" t="str">
            <v>101203</v>
          </cell>
          <cell r="K1053"/>
          <cell r="L1053">
            <v>45440</v>
          </cell>
          <cell r="N1053" t="str">
            <v>DalsinghSarai</v>
          </cell>
        </row>
        <row r="1054">
          <cell r="B1054">
            <v>10120079</v>
          </cell>
          <cell r="C1054" t="str">
            <v>0079</v>
          </cell>
          <cell r="D1054"/>
          <cell r="E1054" t="str">
            <v>MPG</v>
          </cell>
          <cell r="F1054" t="str">
            <v>Indirect</v>
          </cell>
          <cell r="G1054" t="str">
            <v>Kancha-Prabhat</v>
          </cell>
          <cell r="H1054" t="str">
            <v>Prabhat Kumar</v>
          </cell>
          <cell r="I1054">
            <v>9297560708</v>
          </cell>
          <cell r="J1054" t="str">
            <v>101203</v>
          </cell>
          <cell r="K1054"/>
          <cell r="L1054">
            <v>45440</v>
          </cell>
          <cell r="N1054" t="str">
            <v>DalsinghSarai</v>
          </cell>
        </row>
        <row r="1055">
          <cell r="B1055">
            <v>10120080</v>
          </cell>
          <cell r="C1055" t="str">
            <v>0080</v>
          </cell>
          <cell r="D1055"/>
          <cell r="E1055" t="str">
            <v>MPG</v>
          </cell>
          <cell r="F1055" t="str">
            <v>Direct</v>
          </cell>
          <cell r="G1055" t="str">
            <v>Manika Tol</v>
          </cell>
          <cell r="H1055" t="str">
            <v>Praveen Kumar Choudhary</v>
          </cell>
          <cell r="I1055">
            <v>7004820462</v>
          </cell>
          <cell r="J1055" t="str">
            <v>101203</v>
          </cell>
          <cell r="K1055"/>
          <cell r="L1055">
            <v>45455</v>
          </cell>
          <cell r="N1055" t="str">
            <v>DalsinghSarai</v>
          </cell>
        </row>
        <row r="1056">
          <cell r="B1056">
            <v>10120081</v>
          </cell>
          <cell r="C1056" t="str">
            <v>0081</v>
          </cell>
          <cell r="D1056"/>
          <cell r="E1056" t="str">
            <v>MPG</v>
          </cell>
          <cell r="F1056" t="str">
            <v>Indirect</v>
          </cell>
          <cell r="G1056" t="str">
            <v>Musapur Bichla Tol-Prashant</v>
          </cell>
          <cell r="H1056" t="str">
            <v>Prashant Kumar</v>
          </cell>
          <cell r="I1056">
            <v>9939545243</v>
          </cell>
          <cell r="J1056" t="str">
            <v>101202</v>
          </cell>
          <cell r="K1056"/>
          <cell r="L1056">
            <v>45520</v>
          </cell>
          <cell r="N1056" t="str">
            <v>DalsinghSarai</v>
          </cell>
        </row>
        <row r="1057">
          <cell r="B1057">
            <v>10120082</v>
          </cell>
          <cell r="C1057" t="str">
            <v>0082</v>
          </cell>
          <cell r="D1057"/>
          <cell r="E1057" t="str">
            <v>MPG</v>
          </cell>
          <cell r="F1057" t="str">
            <v>Direct</v>
          </cell>
          <cell r="G1057" t="str">
            <v>Desu Balo Tol</v>
          </cell>
          <cell r="H1057" t="str">
            <v>Niranjan Kumar</v>
          </cell>
          <cell r="I1057">
            <v>9693003121</v>
          </cell>
          <cell r="J1057" t="str">
            <v>101201</v>
          </cell>
          <cell r="K1057"/>
          <cell r="L1057">
            <v>45520</v>
          </cell>
          <cell r="N1057" t="str">
            <v>DalsinghSarai</v>
          </cell>
        </row>
        <row r="1058">
          <cell r="B1058">
            <v>10120083</v>
          </cell>
          <cell r="C1058" t="str">
            <v>0083</v>
          </cell>
          <cell r="D1058"/>
          <cell r="E1058" t="str">
            <v>MPG</v>
          </cell>
          <cell r="F1058" t="str">
            <v>Direct</v>
          </cell>
          <cell r="G1058" t="str">
            <v>Beri</v>
          </cell>
          <cell r="H1058" t="str">
            <v>Pavan Ray</v>
          </cell>
          <cell r="I1058">
            <v>9199732789</v>
          </cell>
          <cell r="J1058" t="str">
            <v>101204</v>
          </cell>
          <cell r="K1058"/>
          <cell r="L1058">
            <v>45520</v>
          </cell>
          <cell r="N1058" t="str">
            <v>DalsinghSarai</v>
          </cell>
        </row>
        <row r="1059">
          <cell r="B1059">
            <v>10120084</v>
          </cell>
          <cell r="C1059" t="str">
            <v>0084</v>
          </cell>
          <cell r="D1059"/>
          <cell r="E1059" t="str">
            <v>MPG</v>
          </cell>
          <cell r="F1059" t="str">
            <v>Direct</v>
          </cell>
          <cell r="G1059" t="str">
            <v>Mahmmadipur</v>
          </cell>
          <cell r="H1059" t="str">
            <v>Vikash Kumar</v>
          </cell>
          <cell r="I1059">
            <v>7858907595</v>
          </cell>
          <cell r="J1059" t="str">
            <v>101205</v>
          </cell>
          <cell r="K1059"/>
          <cell r="L1059">
            <v>45520</v>
          </cell>
          <cell r="N1059" t="str">
            <v>DalsinghSarai</v>
          </cell>
        </row>
        <row r="1060">
          <cell r="B1060">
            <v>10120085</v>
          </cell>
          <cell r="C1060" t="str">
            <v>0085</v>
          </cell>
          <cell r="D1060"/>
          <cell r="E1060" t="str">
            <v>MPG</v>
          </cell>
          <cell r="F1060" t="str">
            <v>Indirect</v>
          </cell>
          <cell r="G1060" t="str">
            <v>Rosera-Rajesh</v>
          </cell>
          <cell r="H1060" t="str">
            <v>Rajesh Kumar Khemka</v>
          </cell>
          <cell r="I1060">
            <v>9122688709</v>
          </cell>
          <cell r="J1060" t="str">
            <v>101205</v>
          </cell>
          <cell r="K1060"/>
          <cell r="L1060">
            <v>45528</v>
          </cell>
          <cell r="N1060" t="str">
            <v>DalsinghSarai</v>
          </cell>
        </row>
        <row r="1061">
          <cell r="B1061">
            <v>10120086</v>
          </cell>
          <cell r="C1061" t="str">
            <v>0086</v>
          </cell>
          <cell r="D1061"/>
          <cell r="E1061" t="str">
            <v>MPG</v>
          </cell>
          <cell r="F1061" t="str">
            <v>Indirect</v>
          </cell>
          <cell r="G1061" t="str">
            <v>Simri-Rupesh</v>
          </cell>
          <cell r="H1061" t="str">
            <v>Rupesh Kumar</v>
          </cell>
          <cell r="I1061">
            <v>9709790061</v>
          </cell>
          <cell r="J1061" t="str">
            <v>101205</v>
          </cell>
          <cell r="K1061"/>
          <cell r="L1061">
            <v>45528</v>
          </cell>
          <cell r="N1061" t="str">
            <v>DalsinghSarai</v>
          </cell>
        </row>
        <row r="1062">
          <cell r="B1062">
            <v>10120087</v>
          </cell>
          <cell r="C1062" t="str">
            <v>0087</v>
          </cell>
          <cell r="D1062"/>
          <cell r="E1062" t="str">
            <v>MPG</v>
          </cell>
          <cell r="F1062" t="str">
            <v>Direct</v>
          </cell>
          <cell r="G1062" t="str">
            <v>Kursaha East</v>
          </cell>
          <cell r="H1062" t="str">
            <v>Rajnish Sharma</v>
          </cell>
          <cell r="I1062">
            <v>7004854003</v>
          </cell>
          <cell r="J1062" t="str">
            <v>101203</v>
          </cell>
          <cell r="K1062"/>
          <cell r="L1062">
            <v>45562</v>
          </cell>
          <cell r="N1062" t="str">
            <v>DalsinghSarai</v>
          </cell>
        </row>
        <row r="1063">
          <cell r="B1063">
            <v>10120088</v>
          </cell>
          <cell r="C1063" t="str">
            <v>0088</v>
          </cell>
          <cell r="D1063"/>
          <cell r="E1063" t="str">
            <v>MPG</v>
          </cell>
          <cell r="F1063" t="str">
            <v>Indirect</v>
          </cell>
          <cell r="G1063" t="str">
            <v>Mithilanchal dairy Products</v>
          </cell>
          <cell r="H1063" t="str">
            <v>Mithun Kumar</v>
          </cell>
          <cell r="I1063">
            <v>9955110029</v>
          </cell>
          <cell r="J1063" t="str">
            <v>101203</v>
          </cell>
          <cell r="K1063"/>
          <cell r="L1063">
            <v>45608</v>
          </cell>
          <cell r="N1063" t="str">
            <v>DalsinghSarai</v>
          </cell>
        </row>
        <row r="1064">
          <cell r="B1064">
            <v>10120089</v>
          </cell>
          <cell r="C1064" t="str">
            <v>0089</v>
          </cell>
          <cell r="D1064"/>
          <cell r="E1064" t="str">
            <v>MPG</v>
          </cell>
          <cell r="F1064" t="str">
            <v>Direct</v>
          </cell>
          <cell r="G1064" t="str">
            <v>Gomukh Jhaura Tabhka</v>
          </cell>
          <cell r="H1064" t="str">
            <v>Aditya Kumr Chaudhary</v>
          </cell>
          <cell r="I1064">
            <v>8340433254</v>
          </cell>
          <cell r="J1064" t="str">
            <v>101205</v>
          </cell>
          <cell r="K1064"/>
          <cell r="L1064">
            <v>45630</v>
          </cell>
          <cell r="N1064" t="str">
            <v>DalsinghSarai</v>
          </cell>
        </row>
        <row r="1065">
          <cell r="B1065">
            <v>10120090</v>
          </cell>
          <cell r="C1065" t="str">
            <v>0090</v>
          </cell>
          <cell r="D1065"/>
          <cell r="E1065" t="str">
            <v>MPG</v>
          </cell>
          <cell r="F1065" t="str">
            <v>Direct</v>
          </cell>
          <cell r="G1065" t="str">
            <v>Gomukh Kewasnijamat</v>
          </cell>
          <cell r="H1065" t="str">
            <v>Mantosh Kumar</v>
          </cell>
          <cell r="I1065">
            <v>7635009041</v>
          </cell>
          <cell r="J1065" t="str">
            <v>101201</v>
          </cell>
          <cell r="K1065"/>
          <cell r="L1065">
            <v>45630</v>
          </cell>
          <cell r="N1065" t="str">
            <v>DalsinghSarai</v>
          </cell>
        </row>
        <row r="1066">
          <cell r="B1066">
            <v>10120091</v>
          </cell>
          <cell r="C1066" t="str">
            <v>0091</v>
          </cell>
          <cell r="D1066"/>
          <cell r="E1066" t="str">
            <v>MPG</v>
          </cell>
          <cell r="F1066" t="str">
            <v>Direct</v>
          </cell>
          <cell r="G1066" t="str">
            <v>Gomukh Mohanpur</v>
          </cell>
          <cell r="H1066" t="str">
            <v>Balbant Kumar</v>
          </cell>
          <cell r="I1066">
            <v>7631747064</v>
          </cell>
          <cell r="J1066" t="str">
            <v>101205</v>
          </cell>
          <cell r="K1066"/>
          <cell r="L1066">
            <v>45649</v>
          </cell>
          <cell r="N1066" t="str">
            <v>DalsinghSarai</v>
          </cell>
        </row>
        <row r="1067">
          <cell r="B1067">
            <v>10120092</v>
          </cell>
          <cell r="C1067" t="str">
            <v>0092</v>
          </cell>
          <cell r="D1067"/>
          <cell r="E1067" t="str">
            <v>MPG</v>
          </cell>
          <cell r="F1067" t="str">
            <v>Indirect</v>
          </cell>
          <cell r="G1067" t="str">
            <v>Gomukh Bingama</v>
          </cell>
          <cell r="H1067" t="str">
            <v>Ravi Shankar Prasad Mahto</v>
          </cell>
          <cell r="I1067">
            <v>9934974378</v>
          </cell>
          <cell r="J1067" t="str">
            <v>101203</v>
          </cell>
          <cell r="K1067"/>
          <cell r="L1067">
            <v>45649</v>
          </cell>
          <cell r="N1067" t="str">
            <v>DalsinghSarai</v>
          </cell>
        </row>
        <row r="1068">
          <cell r="B1068">
            <v>10120093</v>
          </cell>
          <cell r="C1068" t="str">
            <v>0093</v>
          </cell>
          <cell r="D1068"/>
          <cell r="E1068" t="str">
            <v>MPG</v>
          </cell>
          <cell r="F1068" t="str">
            <v>Direct</v>
          </cell>
          <cell r="G1068" t="str">
            <v>Gomukh Raipur Buzurg</v>
          </cell>
          <cell r="H1068" t="str">
            <v>Chandan kumar Chaudhary</v>
          </cell>
          <cell r="I1068">
            <v>7759926520</v>
          </cell>
          <cell r="J1068" t="str">
            <v>101201</v>
          </cell>
          <cell r="K1068"/>
          <cell r="L1068">
            <v>45661</v>
          </cell>
          <cell r="N1068" t="str">
            <v>DalsinghSarai</v>
          </cell>
        </row>
        <row r="1069">
          <cell r="B1069">
            <v>10120094</v>
          </cell>
          <cell r="C1069" t="str">
            <v>0094</v>
          </cell>
          <cell r="D1069"/>
          <cell r="E1069" t="str">
            <v>MPG</v>
          </cell>
          <cell r="F1069" t="str">
            <v>Direct</v>
          </cell>
          <cell r="G1069" t="str">
            <v>Gomukh Bochaha</v>
          </cell>
          <cell r="H1069" t="str">
            <v>Sopendr Ray</v>
          </cell>
          <cell r="I1069">
            <v>9939074043</v>
          </cell>
          <cell r="J1069" t="str">
            <v>101205</v>
          </cell>
          <cell r="K1069"/>
          <cell r="L1069">
            <v>45661</v>
          </cell>
          <cell r="N1069" t="str">
            <v>DalsinghSarai</v>
          </cell>
        </row>
        <row r="1070">
          <cell r="B1070">
            <v>10120095</v>
          </cell>
          <cell r="C1070" t="str">
            <v>0095</v>
          </cell>
          <cell r="D1070"/>
          <cell r="E1070" t="str">
            <v>MPG</v>
          </cell>
          <cell r="F1070" t="str">
            <v>Direct</v>
          </cell>
          <cell r="G1070" t="str">
            <v>Gomukh Terganj</v>
          </cell>
          <cell r="H1070" t="str">
            <v>Munna Kumar</v>
          </cell>
          <cell r="I1070">
            <v>8434449379</v>
          </cell>
          <cell r="J1070" t="str">
            <v>101203</v>
          </cell>
          <cell r="K1070"/>
          <cell r="L1070">
            <v>45661</v>
          </cell>
          <cell r="N1070" t="str">
            <v>DalsinghSarai</v>
          </cell>
        </row>
        <row r="1071">
          <cell r="B1071">
            <v>10120096</v>
          </cell>
          <cell r="C1071" t="str">
            <v>0096</v>
          </cell>
          <cell r="D1071"/>
          <cell r="E1071" t="str">
            <v>MPG</v>
          </cell>
          <cell r="F1071" t="str">
            <v>Indirect</v>
          </cell>
          <cell r="G1071" t="str">
            <v>Gomukh Chapra</v>
          </cell>
          <cell r="H1071" t="str">
            <v>Rajan Ray</v>
          </cell>
          <cell r="I1071">
            <v>9199732789</v>
          </cell>
          <cell r="J1071" t="str">
            <v>101203</v>
          </cell>
          <cell r="K1071"/>
          <cell r="L1071">
            <v>45665</v>
          </cell>
          <cell r="N1071" t="str">
            <v>DalsinghSarai</v>
          </cell>
        </row>
        <row r="1072">
          <cell r="B1072">
            <v>10120097</v>
          </cell>
          <cell r="C1072" t="str">
            <v>0097</v>
          </cell>
          <cell r="D1072"/>
          <cell r="E1072" t="str">
            <v>MPG</v>
          </cell>
          <cell r="F1072" t="str">
            <v>Indirect</v>
          </cell>
          <cell r="G1072" t="str">
            <v>Gomukh SUBHANIPUR EAST</v>
          </cell>
          <cell r="H1072" t="str">
            <v>Rohit Kumar</v>
          </cell>
          <cell r="I1072">
            <v>8789193188</v>
          </cell>
          <cell r="J1072" t="str">
            <v>101205</v>
          </cell>
          <cell r="K1072"/>
          <cell r="L1072">
            <v>45702</v>
          </cell>
          <cell r="N1072" t="str">
            <v>DalsinghSarai</v>
          </cell>
        </row>
        <row r="1073">
          <cell r="B1073">
            <v>10120098</v>
          </cell>
          <cell r="C1073" t="str">
            <v>0098</v>
          </cell>
          <cell r="D1073"/>
          <cell r="E1073" t="str">
            <v>MPG</v>
          </cell>
          <cell r="F1073" t="str">
            <v>Direct</v>
          </cell>
          <cell r="G1073" t="str">
            <v>GOMUKH JALALPUR</v>
          </cell>
          <cell r="H1073" t="str">
            <v>KAMESHWAR PRASAD SHARMA</v>
          </cell>
          <cell r="I1073">
            <v>9934441456</v>
          </cell>
          <cell r="J1073" t="str">
            <v>101203</v>
          </cell>
          <cell r="K1073"/>
          <cell r="L1073">
            <v>45702</v>
          </cell>
          <cell r="N1073" t="str">
            <v>DalsinghSarai</v>
          </cell>
        </row>
        <row r="1074">
          <cell r="B1074">
            <v>10120099</v>
          </cell>
          <cell r="C1074" t="str">
            <v>0099</v>
          </cell>
          <cell r="D1074"/>
          <cell r="E1074" t="str">
            <v>MPG</v>
          </cell>
          <cell r="F1074" t="str">
            <v>Indirect</v>
          </cell>
          <cell r="G1074" t="str">
            <v>GOMUKH Chiranjipur</v>
          </cell>
          <cell r="H1074" t="str">
            <v>Ajeet Kumar Singh</v>
          </cell>
          <cell r="I1074">
            <v>9801715253</v>
          </cell>
          <cell r="J1074" t="str">
            <v>101203</v>
          </cell>
          <cell r="K1074"/>
          <cell r="L1074">
            <v>45716</v>
          </cell>
          <cell r="N1074" t="str">
            <v>DalsinghSarai</v>
          </cell>
        </row>
        <row r="1075">
          <cell r="B1075">
            <v>10120100</v>
          </cell>
          <cell r="C1075" t="str">
            <v>0100</v>
          </cell>
          <cell r="D1075"/>
          <cell r="E1075" t="str">
            <v>MPG</v>
          </cell>
          <cell r="F1075" t="str">
            <v>Direct</v>
          </cell>
          <cell r="G1075" t="str">
            <v>Gomukh Bhusawar</v>
          </cell>
          <cell r="H1075" t="str">
            <v>Laxmi Devi</v>
          </cell>
          <cell r="I1075">
            <v>9709860995</v>
          </cell>
          <cell r="J1075" t="str">
            <v>101205</v>
          </cell>
          <cell r="K1075"/>
          <cell r="L1075">
            <v>45719</v>
          </cell>
          <cell r="N1075" t="str">
            <v>DalsinghSarai</v>
          </cell>
        </row>
        <row r="1076">
          <cell r="B1076">
            <v>10120101</v>
          </cell>
          <cell r="C1076" t="str">
            <v>0101</v>
          </cell>
          <cell r="D1076"/>
          <cell r="E1076" t="str">
            <v>MPG</v>
          </cell>
          <cell r="F1076" t="str">
            <v>Direct</v>
          </cell>
          <cell r="G1076" t="str">
            <v>Gomukh Chhatauna East</v>
          </cell>
          <cell r="H1076" t="str">
            <v>Pankaj Kumar</v>
          </cell>
          <cell r="I1076">
            <v>9973136266</v>
          </cell>
          <cell r="J1076" t="str">
            <v>101201</v>
          </cell>
          <cell r="K1076"/>
          <cell r="L1076">
            <v>45734</v>
          </cell>
          <cell r="N1076" t="str">
            <v>DalsinghSarai</v>
          </cell>
        </row>
        <row r="1077">
          <cell r="B1077">
            <v>10120102</v>
          </cell>
          <cell r="C1077" t="str">
            <v>0102</v>
          </cell>
          <cell r="D1077"/>
          <cell r="E1077" t="str">
            <v>MPG</v>
          </cell>
          <cell r="F1077" t="str">
            <v>Indirect</v>
          </cell>
          <cell r="G1077" t="str">
            <v>Gomukh Mou Diyara</v>
          </cell>
          <cell r="H1077" t="str">
            <v>Ashok Ray</v>
          </cell>
          <cell r="I1077">
            <v>9931800919</v>
          </cell>
          <cell r="J1077" t="str">
            <v>101205</v>
          </cell>
          <cell r="K1077"/>
          <cell r="L1077">
            <v>45734</v>
          </cell>
          <cell r="N1077" t="str">
            <v>DalsinghSarai</v>
          </cell>
        </row>
        <row r="1078">
          <cell r="B1078">
            <v>10120103</v>
          </cell>
          <cell r="C1078" t="str">
            <v>0103</v>
          </cell>
          <cell r="D1078"/>
          <cell r="E1078" t="str">
            <v>MPG</v>
          </cell>
          <cell r="F1078" t="str">
            <v>Indirect</v>
          </cell>
          <cell r="G1078" t="str">
            <v>Gomukh Sahu Tol</v>
          </cell>
          <cell r="H1078" t="str">
            <v>Rajnandni Shreshtha</v>
          </cell>
          <cell r="I1078">
            <v>7549504085</v>
          </cell>
          <cell r="J1078" t="str">
            <v>101201</v>
          </cell>
          <cell r="K1078"/>
          <cell r="L1078">
            <v>45744</v>
          </cell>
          <cell r="N1078" t="str">
            <v>DalsinghSarai</v>
          </cell>
        </row>
        <row r="1079">
          <cell r="B1079">
            <v>10120104</v>
          </cell>
          <cell r="C1079" t="str">
            <v>0104</v>
          </cell>
          <cell r="D1079"/>
          <cell r="E1079" t="str">
            <v>MPG</v>
          </cell>
          <cell r="F1079" t="str">
            <v>Direct</v>
          </cell>
          <cell r="G1079" t="str">
            <v>Gomukh Mordiwa East</v>
          </cell>
          <cell r="H1079" t="str">
            <v>Vivek Kumar</v>
          </cell>
          <cell r="I1079">
            <v>7079418432</v>
          </cell>
          <cell r="J1079" t="str">
            <v>101201</v>
          </cell>
          <cell r="K1079"/>
          <cell r="L1079">
            <v>45771</v>
          </cell>
          <cell r="N1079" t="str">
            <v>DalsinghSarai</v>
          </cell>
        </row>
        <row r="1080">
          <cell r="B1080">
            <v>10120105</v>
          </cell>
          <cell r="C1080" t="str">
            <v>0105</v>
          </cell>
          <cell r="D1080"/>
          <cell r="E1080" t="str">
            <v>MPG</v>
          </cell>
          <cell r="F1080" t="str">
            <v>Direct</v>
          </cell>
          <cell r="G1080" t="str">
            <v>GOMUKH HANUMAN NAGAR</v>
          </cell>
          <cell r="H1080" t="str">
            <v>SAROJ DEVI</v>
          </cell>
          <cell r="I1080">
            <v>7303241143</v>
          </cell>
          <cell r="J1080" t="str">
            <v>101203</v>
          </cell>
          <cell r="K1080"/>
          <cell r="L1080">
            <v>45776</v>
          </cell>
          <cell r="N1080" t="str">
            <v>DalsinghSarai</v>
          </cell>
        </row>
        <row r="1081">
          <cell r="B1081">
            <v>10120106</v>
          </cell>
          <cell r="C1081" t="str">
            <v>0106</v>
          </cell>
          <cell r="D1081"/>
          <cell r="E1081" t="str">
            <v>MPG</v>
          </cell>
          <cell r="F1081" t="str">
            <v>Indirect</v>
          </cell>
          <cell r="G1081" t="str">
            <v>Gomukh Belamegh</v>
          </cell>
          <cell r="H1081" t="str">
            <v>Deepak Kumar</v>
          </cell>
          <cell r="I1081">
            <v>9798795983</v>
          </cell>
          <cell r="J1081" t="str">
            <v>101201</v>
          </cell>
          <cell r="K1081"/>
          <cell r="L1081">
            <v>45780</v>
          </cell>
          <cell r="N1081" t="str">
            <v>DalsinghSarai</v>
          </cell>
        </row>
        <row r="1082">
          <cell r="B1082">
            <v>10120107</v>
          </cell>
          <cell r="C1082" t="str">
            <v>0107</v>
          </cell>
          <cell r="D1082"/>
          <cell r="E1082" t="str">
            <v>MPG</v>
          </cell>
          <cell r="F1082" t="str">
            <v>Direct</v>
          </cell>
          <cell r="G1082" t="str">
            <v>Gomukh Ramaiya</v>
          </cell>
          <cell r="H1082" t="str">
            <v>Indu Devi</v>
          </cell>
          <cell r="I1082">
            <v>7079704525</v>
          </cell>
          <cell r="J1082" t="str">
            <v>101203</v>
          </cell>
          <cell r="K1082"/>
          <cell r="L1082">
            <v>45790</v>
          </cell>
          <cell r="N1082" t="str">
            <v>DalsinghSarai</v>
          </cell>
        </row>
        <row r="1083">
          <cell r="B1083">
            <v>10120108</v>
          </cell>
          <cell r="C1083" t="str">
            <v>0108</v>
          </cell>
          <cell r="D1083"/>
          <cell r="E1083" t="str">
            <v>MPG</v>
          </cell>
          <cell r="F1083" t="str">
            <v>Direct</v>
          </cell>
          <cell r="G1083" t="str">
            <v>GOMUKH MANIKA EAST</v>
          </cell>
          <cell r="H1083" t="str">
            <v>DHARMENDRA KUMAR</v>
          </cell>
          <cell r="I1083">
            <v>6201215886</v>
          </cell>
          <cell r="J1083" t="str">
            <v>101203</v>
          </cell>
          <cell r="K1083"/>
          <cell r="L1083">
            <v>45820</v>
          </cell>
          <cell r="N1083" t="str">
            <v>DalsinghSarai</v>
          </cell>
        </row>
        <row r="1084">
          <cell r="B1084">
            <v>10120109</v>
          </cell>
          <cell r="C1084" t="str">
            <v>0109</v>
          </cell>
          <cell r="D1084"/>
          <cell r="E1084" t="str">
            <v>MPG</v>
          </cell>
          <cell r="F1084" t="str">
            <v>Indirect</v>
          </cell>
          <cell r="G1084" t="str">
            <v>IMADPUR</v>
          </cell>
          <cell r="H1084" t="str">
            <v>PRAMOD KUMAR ROY</v>
          </cell>
          <cell r="I1084">
            <v>7762031273</v>
          </cell>
          <cell r="J1084" t="str">
            <v>101203</v>
          </cell>
          <cell r="K1084"/>
          <cell r="L1084">
            <v>45832</v>
          </cell>
          <cell r="N1084" t="str">
            <v>DalsinghSarai</v>
          </cell>
        </row>
        <row r="1085">
          <cell r="B1085">
            <v>10120110</v>
          </cell>
          <cell r="C1085" t="str">
            <v>0110</v>
          </cell>
          <cell r="D1085"/>
          <cell r="E1085" t="str">
            <v>MPG</v>
          </cell>
          <cell r="F1085" t="str">
            <v>Indirect</v>
          </cell>
          <cell r="G1085" t="str">
            <v>Gomukh MANIYAR EAST</v>
          </cell>
          <cell r="H1085" t="str">
            <v>Pankaj Kumar Sah</v>
          </cell>
          <cell r="I1085">
            <v>6206334972</v>
          </cell>
          <cell r="J1085" t="str">
            <v>101205</v>
          </cell>
          <cell r="K1085"/>
          <cell r="L1085">
            <v>45850</v>
          </cell>
          <cell r="N1085" t="str">
            <v>DalsinghSarai</v>
          </cell>
        </row>
        <row r="1086">
          <cell r="B1086">
            <v>10120111</v>
          </cell>
          <cell r="C1086" t="str">
            <v>0111</v>
          </cell>
          <cell r="D1086"/>
          <cell r="E1086" t="str">
            <v>MPG</v>
          </cell>
          <cell r="F1086" t="str">
            <v>Direct</v>
          </cell>
          <cell r="G1086" t="str">
            <v>GOMUKH Kisanpur Tabhka</v>
          </cell>
          <cell r="H1086" t="str">
            <v>Nitish Kumar</v>
          </cell>
          <cell r="I1086">
            <v>9570339234</v>
          </cell>
          <cell r="J1086" t="str">
            <v>101205</v>
          </cell>
          <cell r="K1086"/>
          <cell r="L1086">
            <v>45868</v>
          </cell>
          <cell r="N1086" t="str">
            <v>DalsinghSarai</v>
          </cell>
        </row>
        <row r="1087">
          <cell r="B1087">
            <v>10120112</v>
          </cell>
          <cell r="C1087" t="str">
            <v>0112</v>
          </cell>
          <cell r="D1087"/>
          <cell r="E1087" t="str">
            <v>MPG</v>
          </cell>
          <cell r="F1087" t="str">
            <v>Indirect</v>
          </cell>
          <cell r="G1087" t="str">
            <v>Gomukh Mahmaddipur East</v>
          </cell>
          <cell r="H1087" t="str">
            <v>Ram Pukar Ray</v>
          </cell>
          <cell r="I1087">
            <v>7979774275</v>
          </cell>
          <cell r="J1087" t="str">
            <v>101205</v>
          </cell>
          <cell r="K1087"/>
          <cell r="L1087">
            <v>45868</v>
          </cell>
          <cell r="N1087" t="str">
            <v>DalsinghSarai</v>
          </cell>
        </row>
        <row r="1088">
          <cell r="B1088">
            <v>10120113</v>
          </cell>
          <cell r="C1088" t="str">
            <v>0113</v>
          </cell>
          <cell r="D1088"/>
          <cell r="E1088" t="str">
            <v>MPG</v>
          </cell>
          <cell r="F1088" t="str">
            <v>Direct</v>
          </cell>
          <cell r="G1088" t="str">
            <v>GOMUKH BIBHUTIPUR</v>
          </cell>
          <cell r="H1088" t="str">
            <v xml:space="preserve">SARVESH KUMAR </v>
          </cell>
          <cell r="I1088">
            <v>9031112658</v>
          </cell>
          <cell r="J1088" t="str">
            <v>101205</v>
          </cell>
          <cell r="K1088"/>
          <cell r="L1088">
            <v>45915</v>
          </cell>
          <cell r="N1088" t="str">
            <v>DalsinghSarai</v>
          </cell>
        </row>
        <row r="1089">
          <cell r="B1089">
            <v>10120114</v>
          </cell>
          <cell r="C1089" t="str">
            <v>0114</v>
          </cell>
          <cell r="D1089"/>
          <cell r="E1089" t="str">
            <v>MPG</v>
          </cell>
          <cell r="F1089" t="str">
            <v>Direct</v>
          </cell>
          <cell r="G1089" t="str">
            <v>GOMUKH PATHAKTOL</v>
          </cell>
          <cell r="H1089" t="str">
            <v>CHANDAN KUMAR PATHAK</v>
          </cell>
          <cell r="I1089">
            <v>9631389655</v>
          </cell>
          <cell r="J1089" t="str">
            <v>101205</v>
          </cell>
          <cell r="K1089"/>
          <cell r="L1089">
            <v>45915</v>
          </cell>
          <cell r="N1089" t="str">
            <v>DalsinghSarai</v>
          </cell>
        </row>
        <row r="1090">
          <cell r="B1090">
            <v>10120115</v>
          </cell>
          <cell r="C1090" t="str">
            <v>0115</v>
          </cell>
          <cell r="D1090"/>
          <cell r="E1090" t="str">
            <v>MPG</v>
          </cell>
          <cell r="F1090" t="str">
            <v>Indirect</v>
          </cell>
          <cell r="G1090" t="str">
            <v>Gomukh Musapur West</v>
          </cell>
          <cell r="H1090" t="str">
            <v>Jitendra Kuamr Sah</v>
          </cell>
          <cell r="I1090">
            <v>9939545243</v>
          </cell>
          <cell r="J1090" t="str">
            <v>101203</v>
          </cell>
          <cell r="K1090"/>
          <cell r="L1090">
            <v>45944</v>
          </cell>
          <cell r="N1090" t="str">
            <v>DalsinghSarai</v>
          </cell>
        </row>
        <row r="1091">
          <cell r="B1091">
            <v>10120116</v>
          </cell>
          <cell r="C1091" t="str">
            <v>0116</v>
          </cell>
          <cell r="D1091"/>
          <cell r="E1091" t="str">
            <v>MPG</v>
          </cell>
          <cell r="F1091" t="str">
            <v>Direct</v>
          </cell>
          <cell r="G1091" t="str">
            <v>GOMUKH DADHIYA RAMKRISHANPUR</v>
          </cell>
          <cell r="H1091" t="str">
            <v>Sudarshan kumar</v>
          </cell>
          <cell r="I1091">
            <v>7564900939</v>
          </cell>
          <cell r="J1091" t="str">
            <v>101201</v>
          </cell>
          <cell r="K1091"/>
          <cell r="L1091">
            <v>45986</v>
          </cell>
          <cell r="N1091" t="str">
            <v>DalsinghSarai</v>
          </cell>
        </row>
        <row r="1092">
          <cell r="B1092">
            <v>10120117</v>
          </cell>
          <cell r="C1092" t="str">
            <v>0117</v>
          </cell>
          <cell r="D1092"/>
          <cell r="E1092" t="str">
            <v>MPG</v>
          </cell>
          <cell r="F1092" t="str">
            <v>Indirect</v>
          </cell>
          <cell r="G1092" t="str">
            <v>GOMUKH Saatha</v>
          </cell>
          <cell r="H1092" t="str">
            <v>Kiran Devi</v>
          </cell>
          <cell r="I1092">
            <v>9304320429</v>
          </cell>
          <cell r="J1092" t="str">
            <v>101201</v>
          </cell>
          <cell r="K1092"/>
          <cell r="L1092">
            <v>46011</v>
          </cell>
          <cell r="N1092" t="str">
            <v>DalsinghSarai</v>
          </cell>
        </row>
        <row r="1093">
          <cell r="B1093">
            <v>10120118</v>
          </cell>
          <cell r="C1093" t="str">
            <v>0118</v>
          </cell>
          <cell r="D1093"/>
          <cell r="E1093" t="str">
            <v>MPG</v>
          </cell>
          <cell r="F1093" t="str">
            <v>Indirect</v>
          </cell>
          <cell r="G1093" t="str">
            <v>Gomukh Bingama West</v>
          </cell>
          <cell r="H1093" t="str">
            <v>Kumari Kavita</v>
          </cell>
          <cell r="I1093">
            <v>7461821213</v>
          </cell>
          <cell r="J1093" t="str">
            <v>101203</v>
          </cell>
          <cell r="K1093"/>
          <cell r="L1093">
            <v>46020</v>
          </cell>
          <cell r="N1093" t="str">
            <v>DalsinghSarai</v>
          </cell>
        </row>
        <row r="1094">
          <cell r="B1094">
            <v>10120119</v>
          </cell>
          <cell r="C1094" t="str">
            <v>0119</v>
          </cell>
          <cell r="D1094"/>
          <cell r="E1094" t="str">
            <v>MPG</v>
          </cell>
          <cell r="F1094" t="str">
            <v>Indirect</v>
          </cell>
          <cell r="G1094" t="str">
            <v>Gomukh Simri Ward 4</v>
          </cell>
          <cell r="H1094" t="str">
            <v>Puja Kumari</v>
          </cell>
          <cell r="I1094">
            <v>7484050690</v>
          </cell>
          <cell r="J1094" t="str">
            <v>101203</v>
          </cell>
          <cell r="K1094"/>
          <cell r="L1094">
            <v>46020</v>
          </cell>
          <cell r="N1094" t="str">
            <v>DalsinghSarai</v>
          </cell>
        </row>
        <row r="1095">
          <cell r="B1095">
            <v>10120120</v>
          </cell>
          <cell r="C1095" t="str">
            <v>0120</v>
          </cell>
          <cell r="D1095"/>
          <cell r="E1095" t="str">
            <v>MPG</v>
          </cell>
          <cell r="F1095" t="str">
            <v>Direct</v>
          </cell>
          <cell r="G1095" t="str">
            <v>GOMUKH BALTHARA</v>
          </cell>
          <cell r="H1095" t="str">
            <v>Vinod Kumar Roy</v>
          </cell>
          <cell r="I1095">
            <v>9931059901</v>
          </cell>
          <cell r="J1095" t="str">
            <v>101203</v>
          </cell>
          <cell r="K1095"/>
          <cell r="L1095">
            <v>46028</v>
          </cell>
          <cell r="N1095" t="str">
            <v>DalsinghSarai</v>
          </cell>
        </row>
        <row r="1096">
          <cell r="B1096">
            <v>10120121</v>
          </cell>
          <cell r="C1096" t="str">
            <v>0121</v>
          </cell>
          <cell r="D1096"/>
          <cell r="E1096" t="str">
            <v>MPG</v>
          </cell>
          <cell r="F1096" t="str">
            <v>Direct</v>
          </cell>
          <cell r="G1096" t="str">
            <v>GOMUKH BANGHARA</v>
          </cell>
          <cell r="H1096" t="str">
            <v>Dharam Veer Das</v>
          </cell>
          <cell r="I1096">
            <v>9004074976</v>
          </cell>
          <cell r="J1096" t="str">
            <v>101205</v>
          </cell>
          <cell r="K1096"/>
          <cell r="L1096">
            <v>46028</v>
          </cell>
          <cell r="N1096" t="str">
            <v>DalsinghSarai</v>
          </cell>
        </row>
        <row r="1097">
          <cell r="B1097">
            <v>10120122</v>
          </cell>
          <cell r="C1097" t="str">
            <v>0122</v>
          </cell>
          <cell r="D1097"/>
          <cell r="E1097" t="str">
            <v>MPG</v>
          </cell>
          <cell r="F1097" t="str">
            <v>Direct</v>
          </cell>
          <cell r="G1097" t="str">
            <v>GOMUKH BHASINGPUR</v>
          </cell>
          <cell r="H1097" t="str">
            <v>Gaurav Kumar</v>
          </cell>
          <cell r="I1097">
            <v>6204537228</v>
          </cell>
          <cell r="J1097" t="str">
            <v>101205</v>
          </cell>
          <cell r="K1097"/>
          <cell r="L1097">
            <v>46051</v>
          </cell>
          <cell r="N1097" t="str">
            <v>DalsinghSarai</v>
          </cell>
        </row>
        <row r="1098">
          <cell r="B1098">
            <v>10120123</v>
          </cell>
          <cell r="C1098" t="str">
            <v>0123</v>
          </cell>
          <cell r="D1098"/>
          <cell r="E1098" t="str">
            <v>MPG</v>
          </cell>
          <cell r="F1098" t="str">
            <v>Direct</v>
          </cell>
          <cell r="G1098" t="str">
            <v>GOMUKH Chakhale dad</v>
          </cell>
          <cell r="H1098" t="str">
            <v>Tinku Kumar</v>
          </cell>
          <cell r="I1098">
            <v>7462059816</v>
          </cell>
          <cell r="J1098" t="str">
            <v>101205</v>
          </cell>
          <cell r="K1098"/>
          <cell r="L1098">
            <v>46073</v>
          </cell>
          <cell r="N1098" t="str">
            <v>DalsinghSarai</v>
          </cell>
        </row>
        <row r="1099">
          <cell r="B1099">
            <v>10130001</v>
          </cell>
          <cell r="C1099" t="str">
            <v>0001</v>
          </cell>
          <cell r="D1099" t="str">
            <v>0303</v>
          </cell>
          <cell r="E1099" t="str">
            <v>MPG</v>
          </cell>
          <cell r="F1099" t="str">
            <v>Direct</v>
          </cell>
          <cell r="G1099" t="str">
            <v>GOMUKH BANGHARH KISHANPUR</v>
          </cell>
          <cell r="H1099" t="str">
            <v>Khusboo Devi</v>
          </cell>
          <cell r="I1099">
            <v>8877588845</v>
          </cell>
          <cell r="J1099" t="str">
            <v>101303</v>
          </cell>
          <cell r="K1099" t="str">
            <v>Yes</v>
          </cell>
          <cell r="L1099">
            <v>43622</v>
          </cell>
          <cell r="N1099" t="str">
            <v>Musrigharari</v>
          </cell>
        </row>
        <row r="1100">
          <cell r="B1100">
            <v>10130002</v>
          </cell>
          <cell r="C1100" t="str">
            <v>0002</v>
          </cell>
          <cell r="D1100" t="str">
            <v>0331</v>
          </cell>
          <cell r="E1100" t="str">
            <v>MPG</v>
          </cell>
          <cell r="F1100" t="str">
            <v>Indirect</v>
          </cell>
          <cell r="G1100" t="str">
            <v>Gomukh Serpur Narsari</v>
          </cell>
          <cell r="H1100" t="str">
            <v>Guddu Kumar Singh</v>
          </cell>
          <cell r="I1100">
            <v>6299774498</v>
          </cell>
          <cell r="J1100" t="str">
            <v>101303</v>
          </cell>
          <cell r="K1100" t="str">
            <v/>
          </cell>
          <cell r="L1100">
            <v>43756</v>
          </cell>
          <cell r="N1100" t="str">
            <v>Musrigharari</v>
          </cell>
        </row>
        <row r="1101">
          <cell r="B1101">
            <v>10130003</v>
          </cell>
          <cell r="C1101" t="str">
            <v>0003</v>
          </cell>
          <cell r="D1101" t="str">
            <v>0335</v>
          </cell>
          <cell r="E1101" t="str">
            <v>MPG</v>
          </cell>
          <cell r="F1101" t="str">
            <v>Direct</v>
          </cell>
          <cell r="G1101" t="str">
            <v>PARORIYA</v>
          </cell>
          <cell r="H1101" t="str">
            <v>Ajay Kumar</v>
          </cell>
          <cell r="I1101">
            <v>7631356700</v>
          </cell>
          <cell r="J1101" t="str">
            <v>101303</v>
          </cell>
          <cell r="K1101" t="str">
            <v>Yes</v>
          </cell>
          <cell r="L1101">
            <v>43756</v>
          </cell>
          <cell r="N1101" t="str">
            <v>Musrigharari</v>
          </cell>
        </row>
        <row r="1102">
          <cell r="B1102">
            <v>10130004</v>
          </cell>
          <cell r="C1102" t="str">
            <v>0004</v>
          </cell>
          <cell r="D1102" t="str">
            <v>0342</v>
          </cell>
          <cell r="E1102" t="str">
            <v>MPG</v>
          </cell>
          <cell r="F1102" t="str">
            <v>Indirect</v>
          </cell>
          <cell r="G1102" t="str">
            <v>PACHPAIKA</v>
          </cell>
          <cell r="H1102" t="str">
            <v>Binod Kumar</v>
          </cell>
          <cell r="I1102">
            <v>7766895473</v>
          </cell>
          <cell r="J1102" t="str">
            <v>101303</v>
          </cell>
          <cell r="K1102" t="str">
            <v/>
          </cell>
          <cell r="L1102">
            <v>43758</v>
          </cell>
          <cell r="N1102" t="str">
            <v>Musrigharari</v>
          </cell>
        </row>
        <row r="1103">
          <cell r="B1103">
            <v>10130005</v>
          </cell>
          <cell r="C1103" t="str">
            <v>0005</v>
          </cell>
          <cell r="D1103" t="str">
            <v>0343</v>
          </cell>
          <cell r="E1103" t="str">
            <v>MPG</v>
          </cell>
          <cell r="F1103" t="str">
            <v>Indirect</v>
          </cell>
          <cell r="G1103" t="str">
            <v>JHAKHRA</v>
          </cell>
          <cell r="H1103" t="str">
            <v>Balkrishna Jha</v>
          </cell>
          <cell r="I1103">
            <v>8340562983</v>
          </cell>
          <cell r="J1103" t="str">
            <v>101303</v>
          </cell>
          <cell r="K1103" t="str">
            <v/>
          </cell>
          <cell r="L1103">
            <v>43758</v>
          </cell>
          <cell r="N1103" t="str">
            <v>Musrigharari</v>
          </cell>
        </row>
        <row r="1104">
          <cell r="B1104">
            <v>10130006</v>
          </cell>
          <cell r="C1104" t="str">
            <v>0006</v>
          </cell>
          <cell r="D1104" t="str">
            <v>0352</v>
          </cell>
          <cell r="E1104" t="str">
            <v>MPG</v>
          </cell>
          <cell r="F1104" t="str">
            <v>Direct</v>
          </cell>
          <cell r="G1104" t="str">
            <v>GOMUKH ANDAHA</v>
          </cell>
          <cell r="H1104" t="str">
            <v>Vinay Kumar Singh</v>
          </cell>
          <cell r="I1104">
            <v>7808980222</v>
          </cell>
          <cell r="J1104" t="str">
            <v>101303</v>
          </cell>
          <cell r="K1104" t="str">
            <v>Yes</v>
          </cell>
          <cell r="L1104">
            <v>43786</v>
          </cell>
          <cell r="N1104" t="str">
            <v>Musrigharari</v>
          </cell>
        </row>
        <row r="1105">
          <cell r="B1105">
            <v>10130007</v>
          </cell>
          <cell r="C1105" t="str">
            <v>0007</v>
          </cell>
          <cell r="D1105" t="str">
            <v>1713</v>
          </cell>
          <cell r="E1105" t="str">
            <v>MPG</v>
          </cell>
          <cell r="F1105" t="str">
            <v>Direct</v>
          </cell>
          <cell r="G1105" t="str">
            <v>GOMUKH MAHIPURA</v>
          </cell>
          <cell r="H1105" t="str">
            <v xml:space="preserve">Sunder kumar </v>
          </cell>
          <cell r="I1105">
            <v>9771782305</v>
          </cell>
          <cell r="J1105" t="str">
            <v>101302</v>
          </cell>
          <cell r="K1105" t="str">
            <v>Yes</v>
          </cell>
          <cell r="L1105">
            <v>43896</v>
          </cell>
          <cell r="N1105" t="str">
            <v>Musrigharari</v>
          </cell>
        </row>
        <row r="1106">
          <cell r="B1106">
            <v>10130008</v>
          </cell>
          <cell r="C1106" t="str">
            <v>0008</v>
          </cell>
          <cell r="D1106" t="str">
            <v>1732</v>
          </cell>
          <cell r="E1106" t="str">
            <v>MPG</v>
          </cell>
          <cell r="F1106" t="str">
            <v>Direct</v>
          </cell>
          <cell r="G1106" t="str">
            <v>Gomukha Rohua</v>
          </cell>
          <cell r="H1106" t="str">
            <v>Baliram Ray</v>
          </cell>
          <cell r="I1106">
            <v>9546230615</v>
          </cell>
          <cell r="J1106" t="str">
            <v>101301</v>
          </cell>
          <cell r="K1106" t="str">
            <v>Yes</v>
          </cell>
          <cell r="L1106">
            <v>43913</v>
          </cell>
          <cell r="N1106" t="str">
            <v>Musrigharari</v>
          </cell>
        </row>
        <row r="1107">
          <cell r="B1107">
            <v>10130009</v>
          </cell>
          <cell r="C1107" t="str">
            <v>0009</v>
          </cell>
          <cell r="D1107" t="str">
            <v>1723</v>
          </cell>
          <cell r="E1107" t="str">
            <v>MPG</v>
          </cell>
          <cell r="F1107" t="str">
            <v>Indirect</v>
          </cell>
          <cell r="G1107" t="str">
            <v>Gomukh BARDIHA TUTRI PETROL PUMP</v>
          </cell>
          <cell r="H1107" t="str">
            <v>Asha Devi</v>
          </cell>
          <cell r="I1107">
            <v>7352898291</v>
          </cell>
          <cell r="J1107" t="str">
            <v>101301</v>
          </cell>
          <cell r="K1107" t="str">
            <v/>
          </cell>
          <cell r="L1107">
            <v>43914</v>
          </cell>
          <cell r="N1107" t="str">
            <v>Musrigharari</v>
          </cell>
        </row>
        <row r="1108">
          <cell r="B1108">
            <v>10130010</v>
          </cell>
          <cell r="C1108" t="str">
            <v>0010</v>
          </cell>
          <cell r="D1108" t="str">
            <v>1726</v>
          </cell>
          <cell r="E1108" t="str">
            <v>MPG</v>
          </cell>
          <cell r="F1108" t="str">
            <v>Indirect</v>
          </cell>
          <cell r="G1108" t="str">
            <v>Gomukh HUSENIPUR</v>
          </cell>
          <cell r="H1108" t="str">
            <v>Raushan Kumar</v>
          </cell>
          <cell r="I1108">
            <v>9507357177</v>
          </cell>
          <cell r="J1108" t="str">
            <v>101301</v>
          </cell>
          <cell r="K1108" t="str">
            <v/>
          </cell>
          <cell r="L1108">
            <v>43915</v>
          </cell>
          <cell r="N1108" t="str">
            <v>Musrigharari</v>
          </cell>
        </row>
        <row r="1109">
          <cell r="B1109">
            <v>10130011</v>
          </cell>
          <cell r="C1109" t="str">
            <v>0011</v>
          </cell>
          <cell r="D1109" t="str">
            <v>0359</v>
          </cell>
          <cell r="E1109" t="str">
            <v>MPG</v>
          </cell>
          <cell r="F1109" t="str">
            <v>Indirect</v>
          </cell>
          <cell r="G1109" t="str">
            <v>Mathurapur</v>
          </cell>
          <cell r="H1109" t="str">
            <v>Hari Om Choudhary</v>
          </cell>
          <cell r="I1109">
            <v>9934766351</v>
          </cell>
          <cell r="J1109" t="str">
            <v>101303</v>
          </cell>
          <cell r="K1109" t="str">
            <v/>
          </cell>
          <cell r="L1109">
            <v>43970</v>
          </cell>
          <cell r="N1109" t="str">
            <v>Musrigharari</v>
          </cell>
        </row>
        <row r="1110">
          <cell r="B1110">
            <v>10130012</v>
          </cell>
          <cell r="C1110" t="str">
            <v>0012</v>
          </cell>
          <cell r="D1110" t="str">
            <v>1901</v>
          </cell>
          <cell r="E1110" t="str">
            <v>MPG</v>
          </cell>
          <cell r="F1110" t="str">
            <v>Direct</v>
          </cell>
          <cell r="G1110" t="str">
            <v>Gomukha Arniya Ganj</v>
          </cell>
          <cell r="H1110" t="str">
            <v>Naveen kumar</v>
          </cell>
          <cell r="I1110">
            <v>7017190104</v>
          </cell>
          <cell r="J1110" t="str">
            <v>101302</v>
          </cell>
          <cell r="K1110" t="str">
            <v>Yes</v>
          </cell>
          <cell r="L1110">
            <v>44102</v>
          </cell>
          <cell r="N1110" t="str">
            <v>Musrigharari</v>
          </cell>
        </row>
        <row r="1111">
          <cell r="B1111">
            <v>10130013</v>
          </cell>
          <cell r="C1111" t="str">
            <v>0013</v>
          </cell>
          <cell r="D1111" t="str">
            <v>1907</v>
          </cell>
          <cell r="E1111" t="str">
            <v>MPG</v>
          </cell>
          <cell r="F1111" t="str">
            <v>Indirect</v>
          </cell>
          <cell r="G1111" t="str">
            <v>Gomukh Sarmaspur</v>
          </cell>
          <cell r="H1111" t="str">
            <v>Sanjiv Ray</v>
          </cell>
          <cell r="I1111">
            <v>7488212250</v>
          </cell>
          <cell r="J1111" t="str">
            <v>101301</v>
          </cell>
          <cell r="K1111" t="str">
            <v/>
          </cell>
          <cell r="L1111">
            <v>44123</v>
          </cell>
          <cell r="N1111" t="str">
            <v>Musrigharari</v>
          </cell>
        </row>
        <row r="1112">
          <cell r="B1112">
            <v>10130014</v>
          </cell>
          <cell r="C1112" t="str">
            <v>0014</v>
          </cell>
          <cell r="D1112" t="str">
            <v>2019</v>
          </cell>
          <cell r="E1112" t="str">
            <v>MPG</v>
          </cell>
          <cell r="F1112" t="str">
            <v>Indirect</v>
          </cell>
          <cell r="G1112" t="str">
            <v>Gomukh Tara Dhamaun Dakshini</v>
          </cell>
          <cell r="H1112" t="str">
            <v>Vijay Kumar Ray</v>
          </cell>
          <cell r="I1112">
            <v>7367004851</v>
          </cell>
          <cell r="J1112" t="str">
            <v>101302</v>
          </cell>
          <cell r="K1112" t="str">
            <v/>
          </cell>
          <cell r="L1112">
            <v>44135</v>
          </cell>
          <cell r="N1112" t="str">
            <v>Musrigharari</v>
          </cell>
        </row>
        <row r="1113">
          <cell r="B1113">
            <v>10130015</v>
          </cell>
          <cell r="C1113" t="str">
            <v>0015</v>
          </cell>
          <cell r="D1113" t="str">
            <v>1910</v>
          </cell>
          <cell r="E1113" t="str">
            <v>MPG</v>
          </cell>
          <cell r="F1113" t="str">
            <v>Indirect</v>
          </cell>
          <cell r="G1113" t="str">
            <v>Gomukha Vishanupatti II</v>
          </cell>
          <cell r="H1113" t="str">
            <v>Punam Devi</v>
          </cell>
          <cell r="I1113">
            <v>7061448607</v>
          </cell>
          <cell r="J1113" t="str">
            <v>101302</v>
          </cell>
          <cell r="K1113" t="str">
            <v/>
          </cell>
          <cell r="L1113">
            <v>44225</v>
          </cell>
          <cell r="N1113" t="str">
            <v>Musrigharari</v>
          </cell>
        </row>
        <row r="1114">
          <cell r="B1114">
            <v>10130016</v>
          </cell>
          <cell r="C1114" t="str">
            <v>0016</v>
          </cell>
          <cell r="D1114" t="str">
            <v>1912</v>
          </cell>
          <cell r="E1114" t="str">
            <v>MPG</v>
          </cell>
          <cell r="F1114" t="str">
            <v>Indirect</v>
          </cell>
          <cell r="G1114" t="str">
            <v>Gomukh Khesarhiya</v>
          </cell>
          <cell r="H1114" t="str">
            <v>Nitesh kumar</v>
          </cell>
          <cell r="I1114">
            <v>7654339470</v>
          </cell>
          <cell r="J1114" t="str">
            <v>101301</v>
          </cell>
          <cell r="K1114" t="str">
            <v/>
          </cell>
          <cell r="L1114">
            <v>44256</v>
          </cell>
          <cell r="N1114" t="str">
            <v>Musrigharari</v>
          </cell>
        </row>
        <row r="1115">
          <cell r="B1115">
            <v>10130017</v>
          </cell>
          <cell r="C1115" t="str">
            <v>0017</v>
          </cell>
          <cell r="D1115" t="str">
            <v>1745</v>
          </cell>
          <cell r="E1115" t="str">
            <v>MPG</v>
          </cell>
          <cell r="F1115" t="str">
            <v>Direct</v>
          </cell>
          <cell r="G1115" t="str">
            <v>Gomukh Banbira</v>
          </cell>
          <cell r="H1115" t="str">
            <v>Shivnath Kumar Ray</v>
          </cell>
          <cell r="I1115">
            <v>9570556295</v>
          </cell>
          <cell r="J1115" t="str">
            <v>101302</v>
          </cell>
          <cell r="K1115" t="str">
            <v/>
          </cell>
          <cell r="L1115">
            <v>44652</v>
          </cell>
          <cell r="N1115" t="str">
            <v>Musrigharari</v>
          </cell>
        </row>
        <row r="1116">
          <cell r="B1116">
            <v>10130018</v>
          </cell>
          <cell r="C1116" t="str">
            <v>0018</v>
          </cell>
          <cell r="D1116" t="str">
            <v>0377</v>
          </cell>
          <cell r="E1116" t="str">
            <v>MPG</v>
          </cell>
          <cell r="F1116" t="str">
            <v>Indirect</v>
          </cell>
          <cell r="G1116" t="str">
            <v>Harsingpur</v>
          </cell>
          <cell r="H1116" t="str">
            <v>Vishwajeet Kumar Yadav</v>
          </cell>
          <cell r="I1116">
            <v>7654801410</v>
          </cell>
          <cell r="J1116" t="str">
            <v>101303</v>
          </cell>
          <cell r="K1116" t="str">
            <v/>
          </cell>
          <cell r="L1116">
            <v>44699</v>
          </cell>
          <cell r="N1116" t="str">
            <v>Musrigharari</v>
          </cell>
        </row>
        <row r="1117">
          <cell r="B1117">
            <v>10130019</v>
          </cell>
          <cell r="C1117" t="str">
            <v>0019</v>
          </cell>
          <cell r="D1117" t="str">
            <v>1920</v>
          </cell>
          <cell r="E1117" t="str">
            <v>MPG</v>
          </cell>
          <cell r="F1117" t="str">
            <v>Indirect</v>
          </cell>
          <cell r="G1117" t="str">
            <v>CHANDSARAI</v>
          </cell>
          <cell r="H1117" t="str">
            <v>Fulo Devi</v>
          </cell>
          <cell r="I1117">
            <v>0</v>
          </cell>
          <cell r="J1117" t="str">
            <v>101302</v>
          </cell>
          <cell r="K1117" t="str">
            <v/>
          </cell>
          <cell r="L1117">
            <v>44702</v>
          </cell>
          <cell r="N1117" t="str">
            <v>Musrigharari</v>
          </cell>
        </row>
        <row r="1118">
          <cell r="B1118">
            <v>10130020</v>
          </cell>
          <cell r="C1118" t="str">
            <v>0020</v>
          </cell>
          <cell r="D1118" t="str">
            <v>2055</v>
          </cell>
          <cell r="E1118" t="str">
            <v>MPG</v>
          </cell>
          <cell r="F1118" t="str">
            <v>Indirect</v>
          </cell>
          <cell r="G1118" t="str">
            <v>Gomukh ID Mahathi</v>
          </cell>
          <cell r="H1118" t="str">
            <v>Priyanka Kumari</v>
          </cell>
          <cell r="I1118">
            <v>9570928017</v>
          </cell>
          <cell r="J1118" t="str">
            <v>101303</v>
          </cell>
          <cell r="K1118" t="str">
            <v/>
          </cell>
          <cell r="L1118">
            <v>44724</v>
          </cell>
          <cell r="N1118" t="str">
            <v>Musrigharari</v>
          </cell>
        </row>
        <row r="1119">
          <cell r="B1119">
            <v>10130021</v>
          </cell>
          <cell r="C1119" t="str">
            <v>0021</v>
          </cell>
          <cell r="D1119" t="str">
            <v>0380</v>
          </cell>
          <cell r="E1119" t="str">
            <v>MPG</v>
          </cell>
          <cell r="F1119" t="str">
            <v>Direct</v>
          </cell>
          <cell r="G1119" t="str">
            <v>HARSINGPUR KOTHI</v>
          </cell>
          <cell r="H1119" t="str">
            <v>RINKU KUMARI</v>
          </cell>
          <cell r="I1119">
            <v>7488711812</v>
          </cell>
          <cell r="J1119" t="str">
            <v>101303</v>
          </cell>
          <cell r="K1119" t="str">
            <v/>
          </cell>
          <cell r="L1119">
            <v>44774</v>
          </cell>
          <cell r="N1119" t="str">
            <v>Musrigharari</v>
          </cell>
        </row>
        <row r="1120">
          <cell r="B1120">
            <v>10130022</v>
          </cell>
          <cell r="C1120" t="str">
            <v>0022</v>
          </cell>
          <cell r="D1120" t="str">
            <v>1924</v>
          </cell>
          <cell r="E1120" t="str">
            <v>MPG</v>
          </cell>
          <cell r="F1120" t="str">
            <v>Direct</v>
          </cell>
          <cell r="G1120" t="str">
            <v xml:space="preserve">SAMASPURA                                                                                           </v>
          </cell>
          <cell r="H1120" t="str">
            <v>SUKHADEV SAHNI</v>
          </cell>
          <cell r="I1120">
            <v>0</v>
          </cell>
          <cell r="J1120" t="str">
            <v>101301</v>
          </cell>
          <cell r="K1120" t="str">
            <v>Yes</v>
          </cell>
          <cell r="L1120">
            <v>44785</v>
          </cell>
          <cell r="N1120" t="str">
            <v>Musrigharari</v>
          </cell>
        </row>
        <row r="1121">
          <cell r="B1121">
            <v>10130023</v>
          </cell>
          <cell r="C1121" t="str">
            <v>0023</v>
          </cell>
          <cell r="D1121" t="str">
            <v>1754</v>
          </cell>
          <cell r="E1121" t="str">
            <v>MPG</v>
          </cell>
          <cell r="F1121" t="str">
            <v>Indirect</v>
          </cell>
          <cell r="G1121" t="str">
            <v>SHIRDILPUR</v>
          </cell>
          <cell r="H1121" t="str">
            <v>PRAMOD KUMAR RAY</v>
          </cell>
          <cell r="I1121">
            <v>9955252042</v>
          </cell>
          <cell r="J1121" t="str">
            <v>101302</v>
          </cell>
          <cell r="K1121" t="str">
            <v/>
          </cell>
          <cell r="L1121">
            <v>44835</v>
          </cell>
          <cell r="N1121" t="str">
            <v>Musrigharari</v>
          </cell>
        </row>
        <row r="1122">
          <cell r="B1122">
            <v>10130024</v>
          </cell>
          <cell r="C1122" t="str">
            <v>0024</v>
          </cell>
          <cell r="D1122" t="str">
            <v>1927</v>
          </cell>
          <cell r="E1122" t="str">
            <v>MPG</v>
          </cell>
          <cell r="F1122" t="str">
            <v>Indirect</v>
          </cell>
          <cell r="G1122" t="str">
            <v>HARPUR</v>
          </cell>
          <cell r="H1122" t="str">
            <v>MANISH KUMAR</v>
          </cell>
          <cell r="I1122">
            <v>9102956063</v>
          </cell>
          <cell r="J1122" t="str">
            <v>101301</v>
          </cell>
          <cell r="K1122" t="str">
            <v/>
          </cell>
          <cell r="L1122">
            <v>44835</v>
          </cell>
          <cell r="N1122" t="str">
            <v>Musrigharari</v>
          </cell>
        </row>
        <row r="1123">
          <cell r="B1123">
            <v>10130025</v>
          </cell>
          <cell r="C1123" t="str">
            <v>0025</v>
          </cell>
          <cell r="D1123" t="str">
            <v>1926</v>
          </cell>
          <cell r="E1123" t="str">
            <v>MPG</v>
          </cell>
          <cell r="F1123" t="str">
            <v>Indirect</v>
          </cell>
          <cell r="G1123" t="str">
            <v>MURTUJAPUR</v>
          </cell>
          <cell r="H1123" t="str">
            <v>SHAHSI BHUSHAN PRASAD RAY</v>
          </cell>
          <cell r="I1123">
            <v>8298913323</v>
          </cell>
          <cell r="J1123" t="str">
            <v>101302</v>
          </cell>
          <cell r="K1123" t="str">
            <v/>
          </cell>
          <cell r="L1123">
            <v>44949</v>
          </cell>
          <cell r="N1123" t="str">
            <v>Musrigharari</v>
          </cell>
        </row>
        <row r="1124">
          <cell r="B1124">
            <v>10130026</v>
          </cell>
          <cell r="C1124" t="str">
            <v>0026</v>
          </cell>
          <cell r="D1124" t="str">
            <v>0399</v>
          </cell>
          <cell r="E1124" t="str">
            <v>MPG</v>
          </cell>
          <cell r="F1124" t="str">
            <v>Direct</v>
          </cell>
          <cell r="G1124" t="str">
            <v>Rasalpur</v>
          </cell>
          <cell r="H1124" t="str">
            <v>PRABHAT KUMAR</v>
          </cell>
          <cell r="I1124">
            <v>9518257138</v>
          </cell>
          <cell r="J1124" t="str">
            <v>101301</v>
          </cell>
          <cell r="K1124" t="str">
            <v>Yes</v>
          </cell>
          <cell r="L1124">
            <v>44982</v>
          </cell>
          <cell r="N1124" t="str">
            <v>Musrigharari</v>
          </cell>
        </row>
        <row r="1125">
          <cell r="B1125">
            <v>10130027</v>
          </cell>
          <cell r="C1125" t="str">
            <v>0027</v>
          </cell>
          <cell r="D1125" t="str">
            <v>1704</v>
          </cell>
          <cell r="E1125" t="str">
            <v>MPG</v>
          </cell>
          <cell r="F1125" t="str">
            <v>Indirect</v>
          </cell>
          <cell r="G1125" t="str">
            <v>Gomukh VISHNUPATTI</v>
          </cell>
          <cell r="H1125" t="str">
            <v>Harjit Chaudhari</v>
          </cell>
          <cell r="I1125">
            <v>9992998526</v>
          </cell>
          <cell r="J1125" t="str">
            <v>101302</v>
          </cell>
          <cell r="K1125" t="str">
            <v/>
          </cell>
          <cell r="L1125">
            <v>43846</v>
          </cell>
          <cell r="N1125" t="str">
            <v>Musrigharari</v>
          </cell>
        </row>
        <row r="1126">
          <cell r="B1126">
            <v>10130028</v>
          </cell>
          <cell r="C1126" t="str">
            <v>0028</v>
          </cell>
          <cell r="D1126" t="str">
            <v>6703</v>
          </cell>
          <cell r="E1126" t="str">
            <v>MPG</v>
          </cell>
          <cell r="F1126" t="str">
            <v>Indirect</v>
          </cell>
          <cell r="G1126" t="str">
            <v xml:space="preserve">DEEPAK KUMAR                                                                                        </v>
          </cell>
          <cell r="H1126" t="str">
            <v>DEEPAK KUMAR</v>
          </cell>
          <cell r="I1126">
            <v>9525357554</v>
          </cell>
          <cell r="J1126" t="str">
            <v>101303</v>
          </cell>
          <cell r="K1126" t="str">
            <v/>
          </cell>
          <cell r="L1126">
            <v>45024</v>
          </cell>
          <cell r="N1126" t="str">
            <v>Musrigharari</v>
          </cell>
        </row>
        <row r="1127">
          <cell r="B1127">
            <v>10130029</v>
          </cell>
          <cell r="C1127" t="str">
            <v>0029</v>
          </cell>
          <cell r="D1127" t="str">
            <v>6704</v>
          </cell>
          <cell r="E1127" t="str">
            <v>MPG</v>
          </cell>
          <cell r="F1127" t="str">
            <v>Indirect</v>
          </cell>
          <cell r="G1127" t="str">
            <v xml:space="preserve">SUNDAR KUMAR                                                                                        </v>
          </cell>
          <cell r="H1127" t="str">
            <v>SUNDAR KUMAR</v>
          </cell>
          <cell r="I1127">
            <v>9771782305</v>
          </cell>
          <cell r="J1127" t="str">
            <v>101302</v>
          </cell>
          <cell r="K1127" t="str">
            <v/>
          </cell>
          <cell r="L1127">
            <v>45026</v>
          </cell>
          <cell r="N1127" t="str">
            <v>Musrigharari</v>
          </cell>
        </row>
        <row r="1128">
          <cell r="B1128">
            <v>10130030</v>
          </cell>
          <cell r="C1128" t="str">
            <v>0030</v>
          </cell>
          <cell r="D1128" t="str">
            <v>2050</v>
          </cell>
          <cell r="E1128" t="str">
            <v>MPG</v>
          </cell>
          <cell r="F1128" t="str">
            <v>Direct</v>
          </cell>
          <cell r="G1128" t="str">
            <v xml:space="preserve">Chhuchhipur                                                                                         </v>
          </cell>
          <cell r="H1128" t="str">
            <v>MANISH KUMAR</v>
          </cell>
          <cell r="I1128">
            <v>7484096826</v>
          </cell>
          <cell r="J1128" t="str">
            <v>101302</v>
          </cell>
          <cell r="K1128" t="str">
            <v>Yes</v>
          </cell>
          <cell r="L1128">
            <v>45038</v>
          </cell>
          <cell r="N1128" t="str">
            <v>Musrigharari</v>
          </cell>
        </row>
        <row r="1129">
          <cell r="B1129">
            <v>10130031</v>
          </cell>
          <cell r="C1129" t="str">
            <v>0031</v>
          </cell>
          <cell r="D1129" t="str">
            <v>2056</v>
          </cell>
          <cell r="E1129" t="str">
            <v>MPG</v>
          </cell>
          <cell r="F1129" t="str">
            <v>Indirect</v>
          </cell>
          <cell r="G1129" t="str">
            <v>Gomukh ID Sararanjan</v>
          </cell>
          <cell r="H1129" t="str">
            <v>Rina Kumari</v>
          </cell>
          <cell r="I1129">
            <v>9204497411</v>
          </cell>
          <cell r="J1129" t="str">
            <v>101303</v>
          </cell>
          <cell r="K1129" t="str">
            <v/>
          </cell>
          <cell r="L1129">
            <v>45074</v>
          </cell>
          <cell r="N1129" t="str">
            <v>Musrigharari</v>
          </cell>
        </row>
        <row r="1130">
          <cell r="B1130">
            <v>10130032</v>
          </cell>
          <cell r="C1130" t="str">
            <v>0032</v>
          </cell>
          <cell r="D1130" t="str">
            <v>1756</v>
          </cell>
          <cell r="E1130" t="str">
            <v>MPG</v>
          </cell>
          <cell r="F1130" t="str">
            <v>Direct</v>
          </cell>
          <cell r="G1130" t="str">
            <v xml:space="preserve">Gomukh Soharthi purvi Tola                                                                          </v>
          </cell>
          <cell r="H1130" t="str">
            <v>Hemant kumar singh</v>
          </cell>
          <cell r="I1130">
            <v>9661937016</v>
          </cell>
          <cell r="J1130" t="str">
            <v>101302</v>
          </cell>
          <cell r="K1130" t="str">
            <v>Yes</v>
          </cell>
          <cell r="L1130">
            <v>45076</v>
          </cell>
          <cell r="N1130" t="str">
            <v>Musrigharari</v>
          </cell>
        </row>
        <row r="1131">
          <cell r="B1131">
            <v>10130033</v>
          </cell>
          <cell r="C1131" t="str">
            <v>0033</v>
          </cell>
          <cell r="D1131" t="str">
            <v>1757</v>
          </cell>
          <cell r="E1131" t="str">
            <v>MPG</v>
          </cell>
          <cell r="F1131" t="str">
            <v>Direct</v>
          </cell>
          <cell r="G1131" t="str">
            <v xml:space="preserve">Gomukh Murtujapur( P. tola)                                                                         </v>
          </cell>
          <cell r="H1131" t="str">
            <v>Amit kumar</v>
          </cell>
          <cell r="I1131">
            <v>9576275045</v>
          </cell>
          <cell r="J1131" t="str">
            <v>101302</v>
          </cell>
          <cell r="K1131" t="str">
            <v>Yes</v>
          </cell>
          <cell r="L1131">
            <v>45076</v>
          </cell>
          <cell r="N1131" t="str">
            <v>Musrigharari</v>
          </cell>
        </row>
        <row r="1132">
          <cell r="B1132">
            <v>10130034</v>
          </cell>
          <cell r="C1132" t="str">
            <v>0034</v>
          </cell>
          <cell r="D1132" t="str">
            <v>1758</v>
          </cell>
          <cell r="E1132" t="str">
            <v>MPG</v>
          </cell>
          <cell r="F1132" t="str">
            <v>Indirect</v>
          </cell>
          <cell r="G1132" t="str">
            <v>GOMUKH LOMA</v>
          </cell>
          <cell r="H1132" t="str">
            <v>Satendra kumar ray</v>
          </cell>
          <cell r="I1132">
            <v>7488088277</v>
          </cell>
          <cell r="J1132" t="str">
            <v>101301</v>
          </cell>
          <cell r="K1132" t="str">
            <v>Yes</v>
          </cell>
          <cell r="L1132">
            <v>45127</v>
          </cell>
          <cell r="N1132" t="str">
            <v>Musrigharari</v>
          </cell>
        </row>
        <row r="1133">
          <cell r="B1133">
            <v>10130035</v>
          </cell>
          <cell r="C1133" t="str">
            <v>0035</v>
          </cell>
          <cell r="D1133" t="str">
            <v>1717</v>
          </cell>
          <cell r="E1133" t="str">
            <v>MPG</v>
          </cell>
          <cell r="F1133" t="str">
            <v>Direct</v>
          </cell>
          <cell r="G1133" t="str">
            <v>Gomukh Bardiya Turki</v>
          </cell>
          <cell r="H1133" t="str">
            <v>Prawin Kumar</v>
          </cell>
          <cell r="I1133">
            <v>9708256582</v>
          </cell>
          <cell r="J1133" t="str">
            <v>101303</v>
          </cell>
          <cell r="K1133" t="str">
            <v/>
          </cell>
          <cell r="L1133">
            <v>43871</v>
          </cell>
          <cell r="N1133" t="str">
            <v>Musrigharari</v>
          </cell>
        </row>
        <row r="1134">
          <cell r="B1134">
            <v>10130036</v>
          </cell>
          <cell r="C1134" t="str">
            <v>0036</v>
          </cell>
          <cell r="D1134" t="str">
            <v>1760</v>
          </cell>
          <cell r="E1134" t="str">
            <v>MPG</v>
          </cell>
          <cell r="F1134" t="str">
            <v>Indirect</v>
          </cell>
          <cell r="G1134" t="str">
            <v>Sihama</v>
          </cell>
          <cell r="H1134" t="str">
            <v>Vijay Kumar</v>
          </cell>
          <cell r="I1134">
            <v>8873648396</v>
          </cell>
          <cell r="J1134" t="str">
            <v>101303</v>
          </cell>
          <cell r="K1134" t="str">
            <v/>
          </cell>
          <cell r="L1134">
            <v>45151</v>
          </cell>
          <cell r="N1134" t="str">
            <v>Musrigharari</v>
          </cell>
        </row>
        <row r="1135">
          <cell r="B1135">
            <v>10130037</v>
          </cell>
          <cell r="C1135" t="str">
            <v>0037</v>
          </cell>
          <cell r="D1135" t="str">
            <v>1761</v>
          </cell>
          <cell r="E1135" t="str">
            <v>MPG</v>
          </cell>
          <cell r="F1135" t="str">
            <v>Indirect</v>
          </cell>
          <cell r="G1135" t="str">
            <v>Jhakhra East</v>
          </cell>
          <cell r="H1135" t="str">
            <v>Kanchan Jha</v>
          </cell>
          <cell r="I1135">
            <v>9934307324</v>
          </cell>
          <cell r="J1135" t="str">
            <v>101303</v>
          </cell>
          <cell r="K1135" t="str">
            <v/>
          </cell>
          <cell r="L1135">
            <v>45151</v>
          </cell>
          <cell r="N1135" t="str">
            <v>Musrigharari</v>
          </cell>
        </row>
        <row r="1136">
          <cell r="B1136">
            <v>10130038</v>
          </cell>
          <cell r="C1136" t="str">
            <v>0038</v>
          </cell>
          <cell r="D1136" t="str">
            <v>1762</v>
          </cell>
          <cell r="E1136" t="str">
            <v>MPG</v>
          </cell>
          <cell r="F1136" t="str">
            <v>Direct</v>
          </cell>
          <cell r="G1136" t="str">
            <v xml:space="preserve">Chand Sarai </v>
          </cell>
          <cell r="H1136" t="str">
            <v>Ranjeet Singh</v>
          </cell>
          <cell r="I1136">
            <v>9113434055</v>
          </cell>
          <cell r="J1136" t="str">
            <v>101303</v>
          </cell>
          <cell r="K1136" t="str">
            <v/>
          </cell>
          <cell r="L1136">
            <v>45151</v>
          </cell>
          <cell r="N1136" t="str">
            <v>Musrigharari</v>
          </cell>
        </row>
        <row r="1137">
          <cell r="B1137">
            <v>10130039</v>
          </cell>
          <cell r="C1137" t="str">
            <v>0039</v>
          </cell>
          <cell r="D1137" t="str">
            <v>1763</v>
          </cell>
          <cell r="E1137" t="str">
            <v>MPG</v>
          </cell>
          <cell r="F1137" t="str">
            <v>Direct</v>
          </cell>
          <cell r="G1137" t="str">
            <v>Chande</v>
          </cell>
          <cell r="H1137" t="str">
            <v>Rajiv Kumar Sahani</v>
          </cell>
          <cell r="I1137">
            <v>7254863118</v>
          </cell>
          <cell r="J1137" t="str">
            <v>101302</v>
          </cell>
          <cell r="K1137" t="str">
            <v/>
          </cell>
          <cell r="L1137">
            <v>45151</v>
          </cell>
          <cell r="N1137" t="str">
            <v>Musrigharari</v>
          </cell>
        </row>
        <row r="1138">
          <cell r="B1138">
            <v>10130040</v>
          </cell>
          <cell r="C1138" t="str">
            <v>0040</v>
          </cell>
          <cell r="D1138" t="str">
            <v>1764</v>
          </cell>
          <cell r="E1138" t="str">
            <v>MPG</v>
          </cell>
          <cell r="F1138" t="str">
            <v>Indirect</v>
          </cell>
          <cell r="G1138" t="str">
            <v>Birnama</v>
          </cell>
          <cell r="H1138" t="str">
            <v>Birendra Pandit</v>
          </cell>
          <cell r="I1138">
            <v>9939903916</v>
          </cell>
          <cell r="J1138" t="str">
            <v>101304</v>
          </cell>
          <cell r="K1138" t="str">
            <v/>
          </cell>
          <cell r="L1138">
            <v>45151</v>
          </cell>
          <cell r="N1138" t="str">
            <v>Musrigharari</v>
          </cell>
        </row>
        <row r="1139">
          <cell r="B1139">
            <v>10130041</v>
          </cell>
          <cell r="C1139" t="str">
            <v>0041</v>
          </cell>
          <cell r="D1139" t="str">
            <v>1765</v>
          </cell>
          <cell r="E1139" t="str">
            <v>MPG</v>
          </cell>
          <cell r="F1139" t="str">
            <v>Indirect</v>
          </cell>
          <cell r="G1139" t="str">
            <v>Maraie - Rubi</v>
          </cell>
          <cell r="H1139" t="str">
            <v>Rubi Devi</v>
          </cell>
          <cell r="I1139">
            <v>6201991881</v>
          </cell>
          <cell r="J1139" t="str">
            <v>101302</v>
          </cell>
          <cell r="K1139" t="str">
            <v/>
          </cell>
          <cell r="L1139">
            <v>44911</v>
          </cell>
          <cell r="N1139" t="str">
            <v>Musrigharari</v>
          </cell>
        </row>
        <row r="1140">
          <cell r="B1140">
            <v>10130042</v>
          </cell>
          <cell r="C1140" t="str">
            <v>0042</v>
          </cell>
          <cell r="D1140" t="str">
            <v>1766</v>
          </cell>
          <cell r="E1140" t="str">
            <v>MPG</v>
          </cell>
          <cell r="F1140" t="str">
            <v>Indirect</v>
          </cell>
          <cell r="G1140" t="str">
            <v>Arniya East Tola - Seema</v>
          </cell>
          <cell r="H1140" t="str">
            <v>Seema Kumari</v>
          </cell>
          <cell r="I1140">
            <v>6207327074</v>
          </cell>
          <cell r="J1140" t="str">
            <v>101302</v>
          </cell>
          <cell r="K1140" t="str">
            <v/>
          </cell>
          <cell r="L1140">
            <v>45212</v>
          </cell>
          <cell r="N1140" t="str">
            <v>Musrigharari</v>
          </cell>
        </row>
        <row r="1141">
          <cell r="B1141">
            <v>10130043</v>
          </cell>
          <cell r="C1141" t="str">
            <v>0043</v>
          </cell>
          <cell r="D1141" t="str">
            <v>1767</v>
          </cell>
          <cell r="E1141" t="str">
            <v>MPG</v>
          </cell>
          <cell r="F1141" t="str">
            <v>Indirect</v>
          </cell>
          <cell r="G1141" t="str">
            <v>Emadpur - Vikash</v>
          </cell>
          <cell r="H1141" t="str">
            <v>Vikash Kumar Ray</v>
          </cell>
          <cell r="I1141">
            <v>9931232008</v>
          </cell>
          <cell r="J1141" t="str">
            <v>101303</v>
          </cell>
          <cell r="K1141" t="str">
            <v/>
          </cell>
          <cell r="L1141">
            <v>45152</v>
          </cell>
          <cell r="N1141" t="str">
            <v>Musrigharari</v>
          </cell>
        </row>
        <row r="1142">
          <cell r="B1142">
            <v>10130044</v>
          </cell>
          <cell r="C1142" t="str">
            <v>0044</v>
          </cell>
          <cell r="D1142" t="str">
            <v>1768</v>
          </cell>
          <cell r="E1142" t="str">
            <v>MPG</v>
          </cell>
          <cell r="F1142" t="str">
            <v>Direct</v>
          </cell>
          <cell r="G1142" t="str">
            <v>Lakshmipur Western Tol - Rajeev</v>
          </cell>
          <cell r="H1142" t="str">
            <v>Rajiv Kumar</v>
          </cell>
          <cell r="I1142">
            <v>7765934465</v>
          </cell>
          <cell r="J1142" t="str">
            <v>101301</v>
          </cell>
          <cell r="K1142" t="str">
            <v>Yes</v>
          </cell>
          <cell r="L1142">
            <v>44915</v>
          </cell>
          <cell r="N1142" t="str">
            <v>Musrigharari</v>
          </cell>
        </row>
        <row r="1143">
          <cell r="B1143">
            <v>10130045</v>
          </cell>
          <cell r="C1143" t="str">
            <v>0045</v>
          </cell>
          <cell r="D1143" t="str">
            <v>1770</v>
          </cell>
          <cell r="E1143" t="str">
            <v>MPG</v>
          </cell>
          <cell r="F1143" t="str">
            <v>Indirect</v>
          </cell>
          <cell r="G1143" t="str">
            <v>Mahipura</v>
          </cell>
          <cell r="H1143" t="str">
            <v>Rupam Kumari</v>
          </cell>
          <cell r="I1143">
            <v>8252190394</v>
          </cell>
          <cell r="J1143" t="str">
            <v>101302</v>
          </cell>
          <cell r="K1143" t="str">
            <v/>
          </cell>
          <cell r="L1143">
            <v>45233</v>
          </cell>
          <cell r="N1143" t="str">
            <v>Musrigharari</v>
          </cell>
        </row>
        <row r="1144">
          <cell r="B1144">
            <v>10130046</v>
          </cell>
          <cell r="C1144" t="str">
            <v>0046</v>
          </cell>
          <cell r="D1144" t="str">
            <v>1771</v>
          </cell>
          <cell r="E1144" t="str">
            <v>MPG</v>
          </cell>
          <cell r="F1144" t="str">
            <v>Direct</v>
          </cell>
          <cell r="G1144" t="str">
            <v>Jahangipur Salkhanni</v>
          </cell>
          <cell r="H1144" t="str">
            <v>Priyanka Kumari</v>
          </cell>
          <cell r="I1144">
            <v>9117336756</v>
          </cell>
          <cell r="J1144" t="str">
            <v>101301</v>
          </cell>
          <cell r="K1144" t="str">
            <v>Yes</v>
          </cell>
          <cell r="L1144">
            <v>45238</v>
          </cell>
          <cell r="N1144" t="str">
            <v>Musrigharari</v>
          </cell>
        </row>
        <row r="1145">
          <cell r="B1145">
            <v>10130047</v>
          </cell>
          <cell r="C1145" t="str">
            <v>0047</v>
          </cell>
          <cell r="D1145" t="str">
            <v>1772</v>
          </cell>
          <cell r="E1145" t="str">
            <v>MPG</v>
          </cell>
          <cell r="F1145" t="str">
            <v>Direct</v>
          </cell>
          <cell r="G1145" t="str">
            <v>Sekhpura</v>
          </cell>
          <cell r="H1145" t="str">
            <v>Prince Kumar</v>
          </cell>
          <cell r="I1145">
            <v>9693940454</v>
          </cell>
          <cell r="J1145" t="str">
            <v>101303</v>
          </cell>
          <cell r="K1145" t="str">
            <v>Yes</v>
          </cell>
          <cell r="L1145">
            <v>45232</v>
          </cell>
          <cell r="N1145" t="str">
            <v>Musrigharari</v>
          </cell>
        </row>
        <row r="1146">
          <cell r="B1146">
            <v>10130048</v>
          </cell>
          <cell r="C1146" t="str">
            <v>0048</v>
          </cell>
          <cell r="D1146" t="str">
            <v>1759</v>
          </cell>
          <cell r="E1146" t="str">
            <v>MPG</v>
          </cell>
          <cell r="F1146" t="str">
            <v>Direct</v>
          </cell>
          <cell r="G1146" t="str">
            <v xml:space="preserve">Gomukh Raipur                                                                                       </v>
          </cell>
          <cell r="H1146" t="str">
            <v>Rituraj</v>
          </cell>
          <cell r="I1146">
            <v>9835599452</v>
          </cell>
          <cell r="J1146" t="str">
            <v>101303</v>
          </cell>
          <cell r="K1146" t="str">
            <v>Yes</v>
          </cell>
          <cell r="L1146">
            <v>45205</v>
          </cell>
          <cell r="N1146" t="str">
            <v>Musrigharari</v>
          </cell>
        </row>
        <row r="1147">
          <cell r="B1147">
            <v>10130049</v>
          </cell>
          <cell r="C1147" t="str">
            <v>0049</v>
          </cell>
          <cell r="D1147" t="str">
            <v>1774</v>
          </cell>
          <cell r="E1147" t="str">
            <v>MPG</v>
          </cell>
          <cell r="F1147" t="str">
            <v>Direct</v>
          </cell>
          <cell r="G1147" t="str">
            <v>Akowahi</v>
          </cell>
          <cell r="H1147" t="str">
            <v>Ratnesh Ray</v>
          </cell>
          <cell r="I1147">
            <v>8651251858</v>
          </cell>
          <cell r="J1147" t="str">
            <v>101303</v>
          </cell>
          <cell r="K1147" t="str">
            <v/>
          </cell>
          <cell r="L1147" t="e">
            <v>#N/A</v>
          </cell>
          <cell r="N1147" t="str">
            <v>Musrigharari</v>
          </cell>
        </row>
        <row r="1148">
          <cell r="B1148">
            <v>10130050</v>
          </cell>
          <cell r="C1148" t="str">
            <v>0050</v>
          </cell>
          <cell r="D1148" t="str">
            <v>1916</v>
          </cell>
          <cell r="E1148" t="str">
            <v>MPG</v>
          </cell>
          <cell r="F1148" t="str">
            <v>Direct</v>
          </cell>
          <cell r="G1148" t="str">
            <v>Gomukh Laxminarayanpur</v>
          </cell>
          <cell r="H1148" t="str">
            <v>Rajeev Kumar</v>
          </cell>
          <cell r="I1148">
            <v>7765934465</v>
          </cell>
          <cell r="J1148" t="str">
            <v>101303</v>
          </cell>
          <cell r="K1148"/>
          <cell r="L1148">
            <v>44372</v>
          </cell>
          <cell r="N1148" t="str">
            <v>Musrigharari</v>
          </cell>
        </row>
        <row r="1149">
          <cell r="B1149">
            <v>10130051</v>
          </cell>
          <cell r="C1149" t="str">
            <v>0051</v>
          </cell>
          <cell r="D1149" t="str">
            <v>1775</v>
          </cell>
          <cell r="E1149" t="str">
            <v>MPG</v>
          </cell>
          <cell r="F1149" t="str">
            <v>Direct</v>
          </cell>
          <cell r="G1149" t="str">
            <v>Kamtaul</v>
          </cell>
          <cell r="H1149" t="str">
            <v>Amrensh Mahto</v>
          </cell>
          <cell r="I1149">
            <v>8002625940</v>
          </cell>
          <cell r="J1149" t="str">
            <v>101304</v>
          </cell>
          <cell r="K1149"/>
          <cell r="L1149">
            <v>45392</v>
          </cell>
          <cell r="N1149" t="str">
            <v>Musrigharari</v>
          </cell>
        </row>
        <row r="1150">
          <cell r="B1150">
            <v>10130052</v>
          </cell>
          <cell r="C1150" t="str">
            <v>0052</v>
          </cell>
          <cell r="D1150" t="str">
            <v>1776</v>
          </cell>
          <cell r="E1150" t="str">
            <v>MPG</v>
          </cell>
          <cell r="F1150" t="str">
            <v>Direct</v>
          </cell>
          <cell r="G1150" t="str">
            <v>Songar</v>
          </cell>
          <cell r="H1150" t="str">
            <v>Reena Devi</v>
          </cell>
          <cell r="I1150">
            <v>9801941019</v>
          </cell>
          <cell r="J1150" t="str">
            <v>101304</v>
          </cell>
          <cell r="K1150"/>
          <cell r="L1150">
            <v>45392</v>
          </cell>
          <cell r="N1150" t="str">
            <v>Musrigharari</v>
          </cell>
        </row>
        <row r="1151">
          <cell r="B1151">
            <v>10130053</v>
          </cell>
          <cell r="C1151" t="str">
            <v>0053</v>
          </cell>
          <cell r="D1151" t="str">
            <v>1777</v>
          </cell>
          <cell r="E1151" t="str">
            <v>MPG</v>
          </cell>
          <cell r="F1151" t="str">
            <v>Direct</v>
          </cell>
          <cell r="G1151" t="str">
            <v>Chakpahar</v>
          </cell>
          <cell r="H1151" t="str">
            <v>Sunil Kumar</v>
          </cell>
          <cell r="I1151">
            <v>8651562831</v>
          </cell>
          <cell r="J1151" t="str">
            <v>101304</v>
          </cell>
          <cell r="K1151"/>
          <cell r="L1151">
            <v>45392</v>
          </cell>
          <cell r="N1151" t="str">
            <v>Musrigharari</v>
          </cell>
        </row>
        <row r="1152">
          <cell r="B1152">
            <v>10130054</v>
          </cell>
          <cell r="C1152" t="str">
            <v>0054</v>
          </cell>
          <cell r="D1152" t="str">
            <v>1778</v>
          </cell>
          <cell r="E1152" t="str">
            <v>MPG</v>
          </cell>
          <cell r="F1152" t="str">
            <v>Direct</v>
          </cell>
          <cell r="G1152" t="str">
            <v>Rampur Maheshpur</v>
          </cell>
          <cell r="H1152" t="str">
            <v>Sanjay Kumar Ray</v>
          </cell>
          <cell r="I1152">
            <v>9955860244</v>
          </cell>
          <cell r="J1152" t="str">
            <v>101304</v>
          </cell>
          <cell r="K1152"/>
          <cell r="L1152">
            <v>45392</v>
          </cell>
          <cell r="N1152" t="str">
            <v>Musrigharari</v>
          </cell>
        </row>
        <row r="1153">
          <cell r="B1153">
            <v>10130055</v>
          </cell>
          <cell r="C1153" t="str">
            <v>0055</v>
          </cell>
          <cell r="D1153" t="str">
            <v>1779</v>
          </cell>
          <cell r="E1153" t="str">
            <v>MPG</v>
          </cell>
          <cell r="F1153" t="str">
            <v>Direct</v>
          </cell>
          <cell r="G1153" t="str">
            <v>Naua Chak</v>
          </cell>
          <cell r="H1153" t="str">
            <v>Mukesh Kumar</v>
          </cell>
          <cell r="I1153">
            <v>8298742854</v>
          </cell>
          <cell r="J1153" t="str">
            <v>101304</v>
          </cell>
          <cell r="K1153"/>
          <cell r="L1153">
            <v>45392</v>
          </cell>
          <cell r="N1153" t="str">
            <v>Musrigharari</v>
          </cell>
        </row>
        <row r="1154">
          <cell r="B1154">
            <v>10130056</v>
          </cell>
          <cell r="C1154" t="str">
            <v>0056</v>
          </cell>
          <cell r="D1154"/>
          <cell r="E1154" t="str">
            <v>MPG</v>
          </cell>
          <cell r="F1154" t="str">
            <v>Indirect</v>
          </cell>
          <cell r="G1154" t="str">
            <v>Amritpur Benua</v>
          </cell>
          <cell r="H1154" t="str">
            <v>Badal Kumar</v>
          </cell>
          <cell r="I1154">
            <v>9102614994</v>
          </cell>
          <cell r="J1154" t="str">
            <v>101304</v>
          </cell>
          <cell r="K1154"/>
          <cell r="L1154">
            <v>45408</v>
          </cell>
          <cell r="N1154" t="str">
            <v>Musrigharari</v>
          </cell>
        </row>
        <row r="1155">
          <cell r="B1155">
            <v>10130057</v>
          </cell>
          <cell r="C1155" t="str">
            <v>0057</v>
          </cell>
          <cell r="D1155"/>
          <cell r="E1155" t="str">
            <v>MPG</v>
          </cell>
          <cell r="F1155" t="str">
            <v>Indirect</v>
          </cell>
          <cell r="G1155" t="str">
            <v>Maheshpur</v>
          </cell>
          <cell r="H1155" t="str">
            <v>Sukesh Kumar Shukla</v>
          </cell>
          <cell r="I1155">
            <v>6204069962</v>
          </cell>
          <cell r="J1155" t="str">
            <v>101304</v>
          </cell>
          <cell r="K1155"/>
          <cell r="L1155">
            <v>45408</v>
          </cell>
          <cell r="N1155" t="str">
            <v>Musrigharari</v>
          </cell>
        </row>
        <row r="1156">
          <cell r="B1156">
            <v>10130058</v>
          </cell>
          <cell r="C1156" t="str">
            <v>0058</v>
          </cell>
          <cell r="D1156"/>
          <cell r="E1156" t="str">
            <v>MPG</v>
          </cell>
          <cell r="F1156" t="str">
            <v>Indirect</v>
          </cell>
          <cell r="G1156" t="str">
            <v>Godhiyari</v>
          </cell>
          <cell r="H1156" t="str">
            <v>Gauri Shankar Ray</v>
          </cell>
          <cell r="I1156">
            <v>8651715118</v>
          </cell>
          <cell r="J1156" t="str">
            <v>101304</v>
          </cell>
          <cell r="K1156"/>
          <cell r="L1156">
            <v>45408</v>
          </cell>
          <cell r="N1156" t="str">
            <v>Musrigharari</v>
          </cell>
        </row>
        <row r="1157">
          <cell r="B1157">
            <v>10130059</v>
          </cell>
          <cell r="C1157" t="str">
            <v>0059</v>
          </cell>
          <cell r="D1157"/>
          <cell r="E1157" t="str">
            <v>MPG</v>
          </cell>
          <cell r="F1157" t="str">
            <v>Indirect</v>
          </cell>
          <cell r="G1157" t="str">
            <v>Bhagwatpur</v>
          </cell>
          <cell r="H1157" t="str">
            <v>Nutan Kumari</v>
          </cell>
          <cell r="I1157">
            <v>6201973112</v>
          </cell>
          <cell r="J1157" t="str">
            <v>101304</v>
          </cell>
          <cell r="K1157"/>
          <cell r="L1157">
            <v>45414</v>
          </cell>
          <cell r="N1157" t="str">
            <v>Musrigharari</v>
          </cell>
        </row>
        <row r="1158">
          <cell r="B1158">
            <v>10130060</v>
          </cell>
          <cell r="C1158" t="str">
            <v>0060</v>
          </cell>
          <cell r="D1158"/>
          <cell r="E1158" t="str">
            <v>MPG</v>
          </cell>
          <cell r="F1158" t="str">
            <v>Indirect</v>
          </cell>
          <cell r="G1158" t="str">
            <v>Rampur Khairi</v>
          </cell>
          <cell r="H1158" t="str">
            <v>Dayanand Kumar</v>
          </cell>
          <cell r="I1158">
            <v>9263012254</v>
          </cell>
          <cell r="J1158" t="str">
            <v>101304</v>
          </cell>
          <cell r="K1158"/>
          <cell r="L1158">
            <v>45414</v>
          </cell>
          <cell r="N1158" t="str">
            <v>Musrigharari</v>
          </cell>
        </row>
        <row r="1159">
          <cell r="B1159">
            <v>10130061</v>
          </cell>
          <cell r="C1159" t="str">
            <v>0061</v>
          </cell>
          <cell r="D1159"/>
          <cell r="E1159" t="str">
            <v>MPG</v>
          </cell>
          <cell r="F1159" t="str">
            <v>Indirect</v>
          </cell>
          <cell r="G1159" t="str">
            <v>Hussainipur Gobindpur</v>
          </cell>
          <cell r="H1159" t="str">
            <v>Raviraj Kumar</v>
          </cell>
          <cell r="I1159">
            <v>9525008545</v>
          </cell>
          <cell r="J1159" t="str">
            <v>101304</v>
          </cell>
          <cell r="K1159"/>
          <cell r="L1159">
            <v>45414</v>
          </cell>
          <cell r="N1159" t="str">
            <v>Musrigharari</v>
          </cell>
        </row>
        <row r="1160">
          <cell r="B1160">
            <v>10130062</v>
          </cell>
          <cell r="C1160" t="str">
            <v>0062</v>
          </cell>
          <cell r="D1160"/>
          <cell r="E1160" t="str">
            <v>MPG</v>
          </cell>
          <cell r="F1160" t="str">
            <v>Indirect</v>
          </cell>
          <cell r="G1160" t="str">
            <v>Dabhaich-Anil</v>
          </cell>
          <cell r="H1160" t="str">
            <v>Mithlesh Ray</v>
          </cell>
          <cell r="I1160">
            <v>7321093499</v>
          </cell>
          <cell r="J1160" t="str">
            <v>101304</v>
          </cell>
          <cell r="K1160"/>
          <cell r="L1160">
            <v>45440</v>
          </cell>
          <cell r="N1160" t="str">
            <v>Musrigharari</v>
          </cell>
        </row>
        <row r="1161">
          <cell r="B1161">
            <v>10130063</v>
          </cell>
          <cell r="C1161" t="str">
            <v>0063</v>
          </cell>
          <cell r="D1161"/>
          <cell r="E1161" t="str">
            <v>MPG</v>
          </cell>
          <cell r="F1161" t="str">
            <v>Indirect</v>
          </cell>
          <cell r="G1161" t="str">
            <v>Rampur-Pappu</v>
          </cell>
          <cell r="H1161" t="str">
            <v>Sanjeev Ray</v>
          </cell>
          <cell r="I1161">
            <v>6281947706</v>
          </cell>
          <cell r="J1161" t="str">
            <v>101304</v>
          </cell>
          <cell r="K1161"/>
          <cell r="L1161">
            <v>45440</v>
          </cell>
          <cell r="N1161" t="str">
            <v>Musrigharari</v>
          </cell>
        </row>
        <row r="1162">
          <cell r="B1162">
            <v>10130064</v>
          </cell>
          <cell r="C1162" t="str">
            <v>0064</v>
          </cell>
          <cell r="D1162"/>
          <cell r="E1162" t="str">
            <v>MPG</v>
          </cell>
          <cell r="F1162" t="str">
            <v>Indirect</v>
          </cell>
          <cell r="G1162" t="str">
            <v>Nauachak-Rupesh</v>
          </cell>
          <cell r="H1162" t="str">
            <v>Bihari Ray</v>
          </cell>
          <cell r="I1162">
            <v>7654800827</v>
          </cell>
          <cell r="J1162" t="str">
            <v>101304</v>
          </cell>
          <cell r="K1162"/>
          <cell r="L1162">
            <v>45440</v>
          </cell>
          <cell r="N1162" t="str">
            <v>Musrigharari</v>
          </cell>
        </row>
        <row r="1163">
          <cell r="B1163">
            <v>10130065</v>
          </cell>
          <cell r="C1163" t="str">
            <v>0065</v>
          </cell>
          <cell r="D1163"/>
          <cell r="E1163" t="str">
            <v>MPG</v>
          </cell>
          <cell r="F1163" t="str">
            <v>Indirect</v>
          </cell>
          <cell r="G1163" t="str">
            <v>Jhakhra-Rambilash</v>
          </cell>
          <cell r="H1163" t="str">
            <v>Choudhary Mahto</v>
          </cell>
          <cell r="I1163">
            <v>9939989407</v>
          </cell>
          <cell r="J1163" t="str">
            <v>101304</v>
          </cell>
          <cell r="K1163"/>
          <cell r="L1163">
            <v>45440</v>
          </cell>
          <cell r="N1163" t="str">
            <v>Musrigharari</v>
          </cell>
        </row>
        <row r="1164">
          <cell r="B1164">
            <v>10130066</v>
          </cell>
          <cell r="C1164" t="str">
            <v>0066</v>
          </cell>
          <cell r="D1164"/>
          <cell r="E1164" t="str">
            <v>MPG</v>
          </cell>
          <cell r="F1164" t="str">
            <v>Indirect</v>
          </cell>
          <cell r="G1164" t="str">
            <v>Ramchandrapur-Navlendu</v>
          </cell>
          <cell r="H1164" t="str">
            <v>Rukminish Nandan Narayan Singh</v>
          </cell>
          <cell r="I1164">
            <v>9931914740</v>
          </cell>
          <cell r="J1164" t="str">
            <v>101304</v>
          </cell>
          <cell r="K1164"/>
          <cell r="L1164">
            <v>45440</v>
          </cell>
          <cell r="N1164" t="str">
            <v>Musrigharari</v>
          </cell>
        </row>
        <row r="1165">
          <cell r="B1165">
            <v>10130067</v>
          </cell>
          <cell r="C1165" t="str">
            <v>0067</v>
          </cell>
          <cell r="D1165"/>
          <cell r="E1165" t="str">
            <v>MPG</v>
          </cell>
          <cell r="F1165" t="str">
            <v>Direct</v>
          </cell>
          <cell r="G1165" t="str">
            <v>Chakpahar East</v>
          </cell>
          <cell r="H1165" t="str">
            <v>Ramasevak Ray</v>
          </cell>
          <cell r="I1165">
            <v>8102271734</v>
          </cell>
          <cell r="J1165" t="str">
            <v>101304</v>
          </cell>
          <cell r="K1165"/>
          <cell r="L1165">
            <v>45455</v>
          </cell>
          <cell r="N1165" t="str">
            <v>Musrigharari</v>
          </cell>
        </row>
        <row r="1166">
          <cell r="B1166">
            <v>10130068</v>
          </cell>
          <cell r="C1166" t="str">
            <v>0068</v>
          </cell>
          <cell r="D1166"/>
          <cell r="E1166" t="str">
            <v>MPG</v>
          </cell>
          <cell r="F1166" t="str">
            <v>Indirect</v>
          </cell>
          <cell r="G1166" t="str">
            <v>Surajpur-Krishn</v>
          </cell>
          <cell r="H1166" t="str">
            <v>Krishn Kanhaiya</v>
          </cell>
          <cell r="I1166">
            <v>6202263987</v>
          </cell>
          <cell r="J1166" t="str">
            <v>101303</v>
          </cell>
          <cell r="K1166"/>
          <cell r="L1166">
            <v>45520</v>
          </cell>
          <cell r="N1166" t="str">
            <v>Musrigharari</v>
          </cell>
        </row>
        <row r="1167">
          <cell r="B1167">
            <v>10130069</v>
          </cell>
          <cell r="C1167" t="str">
            <v>0069</v>
          </cell>
          <cell r="D1167"/>
          <cell r="E1167" t="str">
            <v>MPG</v>
          </cell>
          <cell r="F1167" t="str">
            <v>Indirect</v>
          </cell>
          <cell r="G1167" t="str">
            <v>Chakpahar Bichla Tol-Sanjay</v>
          </cell>
          <cell r="H1167" t="str">
            <v>Sanjay Kumar</v>
          </cell>
          <cell r="I1167">
            <v>6202649521</v>
          </cell>
          <cell r="J1167" t="str">
            <v>101303</v>
          </cell>
          <cell r="K1167"/>
          <cell r="L1167">
            <v>45520</v>
          </cell>
          <cell r="N1167" t="str">
            <v>Musrigharari</v>
          </cell>
        </row>
        <row r="1168">
          <cell r="B1168">
            <v>10130070</v>
          </cell>
          <cell r="C1168" t="str">
            <v>0070</v>
          </cell>
          <cell r="D1168"/>
          <cell r="E1168" t="str">
            <v>MPG</v>
          </cell>
          <cell r="F1168" t="str">
            <v>Direct</v>
          </cell>
          <cell r="G1168" t="str">
            <v>Chaksikandar East</v>
          </cell>
          <cell r="H1168" t="str">
            <v>Rupesh Raj</v>
          </cell>
          <cell r="I1168">
            <v>9971083605</v>
          </cell>
          <cell r="J1168" t="str">
            <v>101303</v>
          </cell>
          <cell r="K1168"/>
          <cell r="L1168">
            <v>45520</v>
          </cell>
          <cell r="N1168" t="str">
            <v>Musrigharari</v>
          </cell>
        </row>
        <row r="1169">
          <cell r="B1169">
            <v>10130071</v>
          </cell>
          <cell r="C1169" t="str">
            <v>0071</v>
          </cell>
          <cell r="D1169"/>
          <cell r="E1169" t="str">
            <v>MPG</v>
          </cell>
          <cell r="F1169" t="str">
            <v>Indirect</v>
          </cell>
          <cell r="G1169" t="str">
            <v>Hirpur-Amit</v>
          </cell>
          <cell r="H1169" t="str">
            <v>Amit Kumar</v>
          </cell>
          <cell r="I1169">
            <v>8406821757</v>
          </cell>
          <cell r="J1169" t="str">
            <v>101301</v>
          </cell>
          <cell r="K1169"/>
          <cell r="L1169">
            <v>45528</v>
          </cell>
          <cell r="N1169" t="str">
            <v>Musrigharari</v>
          </cell>
        </row>
        <row r="1170">
          <cell r="B1170">
            <v>10130072</v>
          </cell>
          <cell r="C1170" t="str">
            <v>0072</v>
          </cell>
          <cell r="D1170"/>
          <cell r="E1170" t="str">
            <v>MPG</v>
          </cell>
          <cell r="F1170" t="str">
            <v>Indirect</v>
          </cell>
          <cell r="G1170" t="str">
            <v>Vishnupatti-Shi</v>
          </cell>
          <cell r="H1170" t="str">
            <v>Shi Kumar</v>
          </cell>
          <cell r="I1170">
            <v>7488742552</v>
          </cell>
          <cell r="J1170" t="str">
            <v>101301</v>
          </cell>
          <cell r="K1170"/>
          <cell r="L1170">
            <v>45528</v>
          </cell>
          <cell r="N1170" t="str">
            <v>Musrigharari</v>
          </cell>
        </row>
        <row r="1171">
          <cell r="B1171">
            <v>10130073</v>
          </cell>
          <cell r="C1171" t="str">
            <v>0073</v>
          </cell>
          <cell r="D1171"/>
          <cell r="E1171" t="str">
            <v>MPG</v>
          </cell>
          <cell r="F1171" t="str">
            <v>Direct</v>
          </cell>
          <cell r="G1171" t="str">
            <v>Dagarua</v>
          </cell>
          <cell r="H1171" t="str">
            <v>Asha Devi</v>
          </cell>
          <cell r="I1171">
            <v>9153681814</v>
          </cell>
          <cell r="J1171" t="str">
            <v>101303</v>
          </cell>
          <cell r="K1171"/>
          <cell r="L1171">
            <v>45562</v>
          </cell>
          <cell r="N1171" t="str">
            <v>Musrigharari</v>
          </cell>
        </row>
        <row r="1172">
          <cell r="B1172">
            <v>10130074</v>
          </cell>
          <cell r="C1172" t="str">
            <v>0074</v>
          </cell>
          <cell r="D1172"/>
          <cell r="E1172" t="str">
            <v>MPG</v>
          </cell>
          <cell r="F1172" t="str">
            <v>Direct</v>
          </cell>
          <cell r="G1172" t="str">
            <v>Chakmilki</v>
          </cell>
          <cell r="H1172" t="str">
            <v>Surya Prakash</v>
          </cell>
          <cell r="I1172">
            <v>9955668857</v>
          </cell>
          <cell r="J1172" t="str">
            <v>101302</v>
          </cell>
          <cell r="K1172"/>
          <cell r="L1172">
            <v>45562</v>
          </cell>
          <cell r="N1172" t="str">
            <v>Musrigharari</v>
          </cell>
        </row>
        <row r="1173">
          <cell r="B1173">
            <v>10130075</v>
          </cell>
          <cell r="C1173" t="str">
            <v>0075</v>
          </cell>
          <cell r="D1173"/>
          <cell r="E1173" t="str">
            <v>MPG</v>
          </cell>
          <cell r="F1173" t="str">
            <v>Direct</v>
          </cell>
          <cell r="G1173" t="str">
            <v>Adalpur</v>
          </cell>
          <cell r="H1173" t="str">
            <v>Bipul Kumar</v>
          </cell>
          <cell r="I1173">
            <v>8294105686</v>
          </cell>
          <cell r="J1173" t="str">
            <v>101301</v>
          </cell>
          <cell r="K1173"/>
          <cell r="L1173">
            <v>45562</v>
          </cell>
          <cell r="N1173" t="str">
            <v>Musrigharari</v>
          </cell>
        </row>
        <row r="1174">
          <cell r="B1174">
            <v>10130076</v>
          </cell>
          <cell r="C1174" t="str">
            <v>0076</v>
          </cell>
          <cell r="D1174"/>
          <cell r="E1174" t="str">
            <v>MPG</v>
          </cell>
          <cell r="F1174" t="str">
            <v>Indirect</v>
          </cell>
          <cell r="G1174" t="str">
            <v>Pinki Enterprises</v>
          </cell>
          <cell r="H1174" t="str">
            <v>Pinki Mishra</v>
          </cell>
          <cell r="I1174">
            <v>9122609492</v>
          </cell>
          <cell r="J1174" t="str">
            <v>101301</v>
          </cell>
          <cell r="K1174"/>
          <cell r="L1174">
            <v>45562</v>
          </cell>
          <cell r="N1174" t="str">
            <v>Musrigharari</v>
          </cell>
        </row>
        <row r="1175">
          <cell r="B1175">
            <v>10130077</v>
          </cell>
          <cell r="C1175" t="str">
            <v>0077</v>
          </cell>
          <cell r="D1175"/>
          <cell r="E1175" t="str">
            <v>MPG</v>
          </cell>
          <cell r="F1175" t="str">
            <v>Direct</v>
          </cell>
          <cell r="G1175" t="str">
            <v>Gomukh Akaha</v>
          </cell>
          <cell r="H1175" t="str">
            <v>Chandan Kumar</v>
          </cell>
          <cell r="I1175">
            <v>9891852345</v>
          </cell>
          <cell r="J1175" t="str">
            <v>101303</v>
          </cell>
          <cell r="K1175"/>
          <cell r="L1175">
            <v>45630</v>
          </cell>
          <cell r="N1175" t="str">
            <v>Musrigharari</v>
          </cell>
        </row>
        <row r="1176">
          <cell r="B1176">
            <v>10130078</v>
          </cell>
          <cell r="C1176" t="str">
            <v>0078</v>
          </cell>
          <cell r="D1176"/>
          <cell r="E1176" t="str">
            <v>MPG</v>
          </cell>
          <cell r="F1176" t="str">
            <v>Direct</v>
          </cell>
          <cell r="G1176" t="str">
            <v>Salempur</v>
          </cell>
          <cell r="H1176" t="str">
            <v>Rangita Devi</v>
          </cell>
          <cell r="I1176">
            <v>7049488203</v>
          </cell>
          <cell r="J1176" t="str">
            <v>101301</v>
          </cell>
          <cell r="K1176"/>
          <cell r="L1176">
            <v>45630</v>
          </cell>
          <cell r="N1176" t="str">
            <v>Musrigharari</v>
          </cell>
        </row>
        <row r="1177">
          <cell r="B1177">
            <v>10130079</v>
          </cell>
          <cell r="C1177" t="str">
            <v>0079</v>
          </cell>
          <cell r="D1177"/>
          <cell r="E1177" t="str">
            <v>MPG</v>
          </cell>
          <cell r="F1177" t="str">
            <v>Direct</v>
          </cell>
          <cell r="G1177" t="str">
            <v>Vishnupur Kowahi</v>
          </cell>
          <cell r="H1177" t="str">
            <v>Ratnesh Ray</v>
          </cell>
          <cell r="I1177">
            <v>8651251858</v>
          </cell>
          <cell r="J1177" t="str">
            <v>101301</v>
          </cell>
          <cell r="K1177"/>
          <cell r="L1177">
            <v>45630</v>
          </cell>
          <cell r="N1177" t="str">
            <v>Musrigharari</v>
          </cell>
        </row>
        <row r="1178">
          <cell r="B1178">
            <v>10130080</v>
          </cell>
          <cell r="C1178" t="str">
            <v>0080</v>
          </cell>
          <cell r="D1178"/>
          <cell r="E1178" t="str">
            <v>MPG</v>
          </cell>
          <cell r="F1178" t="str">
            <v>Indirect</v>
          </cell>
          <cell r="G1178" t="str">
            <v>Nauachak-Pankaj</v>
          </cell>
          <cell r="H1178" t="str">
            <v>Pankaj Kumar</v>
          </cell>
          <cell r="I1178">
            <v>9708235687</v>
          </cell>
          <cell r="J1178" t="str">
            <v>101303</v>
          </cell>
          <cell r="K1178"/>
          <cell r="L1178">
            <v>45630</v>
          </cell>
          <cell r="N1178" t="str">
            <v>Musrigharari</v>
          </cell>
        </row>
        <row r="1179">
          <cell r="B1179">
            <v>10130081</v>
          </cell>
          <cell r="C1179" t="str">
            <v>0081</v>
          </cell>
          <cell r="D1179"/>
          <cell r="E1179" t="str">
            <v>MPG</v>
          </cell>
          <cell r="F1179" t="str">
            <v>Indirect</v>
          </cell>
          <cell r="G1179" t="str">
            <v>Jitwarpur-Manisha</v>
          </cell>
          <cell r="H1179" t="str">
            <v>Manisha Kumari</v>
          </cell>
          <cell r="I1179">
            <v>7063924185</v>
          </cell>
          <cell r="J1179" t="str">
            <v>101303</v>
          </cell>
          <cell r="K1179"/>
          <cell r="L1179">
            <v>45630</v>
          </cell>
          <cell r="N1179" t="str">
            <v>Musrigharari</v>
          </cell>
        </row>
        <row r="1180">
          <cell r="B1180">
            <v>10130082</v>
          </cell>
          <cell r="C1180" t="str">
            <v>0082</v>
          </cell>
          <cell r="D1180"/>
          <cell r="E1180" t="str">
            <v>MPG</v>
          </cell>
          <cell r="F1180" t="str">
            <v>Indirect</v>
          </cell>
          <cell r="G1180" t="str">
            <v>Repura-Anita</v>
          </cell>
          <cell r="H1180" t="str">
            <v>Anita Kumari</v>
          </cell>
          <cell r="I1180">
            <v>9576988814</v>
          </cell>
          <cell r="J1180" t="str">
            <v>101301</v>
          </cell>
          <cell r="K1180"/>
          <cell r="L1180">
            <v>45637</v>
          </cell>
          <cell r="N1180" t="str">
            <v>Musrigharari</v>
          </cell>
        </row>
        <row r="1181">
          <cell r="B1181">
            <v>10130083</v>
          </cell>
          <cell r="C1181" t="str">
            <v>0083</v>
          </cell>
          <cell r="D1181"/>
          <cell r="E1181" t="str">
            <v>MPG</v>
          </cell>
          <cell r="F1181" t="str">
            <v>Indirect</v>
          </cell>
          <cell r="G1181" t="str">
            <v>Gomukh Sirdulpur 2</v>
          </cell>
          <cell r="H1181" t="str">
            <v>Rohit Kumar</v>
          </cell>
          <cell r="I1181">
            <v>9006457109</v>
          </cell>
          <cell r="J1181" t="str">
            <v>101301</v>
          </cell>
          <cell r="K1181"/>
          <cell r="L1181">
            <v>45643</v>
          </cell>
          <cell r="N1181" t="str">
            <v>Musrigharari</v>
          </cell>
        </row>
        <row r="1182">
          <cell r="B1182">
            <v>10130084</v>
          </cell>
          <cell r="C1182" t="str">
            <v>0084</v>
          </cell>
          <cell r="D1182"/>
          <cell r="E1182" t="str">
            <v>MPG</v>
          </cell>
          <cell r="F1182" t="str">
            <v>Direct</v>
          </cell>
          <cell r="G1182" t="str">
            <v>Gomukh Gangapur</v>
          </cell>
          <cell r="H1182" t="str">
            <v>Akhilesh Kumar</v>
          </cell>
          <cell r="I1182">
            <v>6209807558</v>
          </cell>
          <cell r="J1182" t="str">
            <v>101303</v>
          </cell>
          <cell r="K1182"/>
          <cell r="L1182">
            <v>45649</v>
          </cell>
          <cell r="N1182" t="str">
            <v>Musrigharari</v>
          </cell>
        </row>
        <row r="1183">
          <cell r="B1183">
            <v>10130085</v>
          </cell>
          <cell r="C1183" t="str">
            <v>0085</v>
          </cell>
          <cell r="D1183"/>
          <cell r="E1183" t="str">
            <v>MPG</v>
          </cell>
          <cell r="F1183" t="str">
            <v>Direct</v>
          </cell>
          <cell r="G1183" t="str">
            <v>Gomukh Repura</v>
          </cell>
          <cell r="H1183" t="str">
            <v>Shyam Kumar</v>
          </cell>
          <cell r="I1183">
            <v>9693653153</v>
          </cell>
          <cell r="J1183" t="str">
            <v>101301</v>
          </cell>
          <cell r="K1183"/>
          <cell r="L1183">
            <v>45649</v>
          </cell>
          <cell r="N1183" t="str">
            <v>Musrigharari</v>
          </cell>
        </row>
        <row r="1184">
          <cell r="B1184">
            <v>10130086</v>
          </cell>
          <cell r="C1184" t="str">
            <v>0086</v>
          </cell>
          <cell r="D1184"/>
          <cell r="E1184" t="str">
            <v>MPG</v>
          </cell>
          <cell r="F1184" t="str">
            <v>Indirect</v>
          </cell>
          <cell r="G1184" t="str">
            <v>Gomukh Chak Dakshin</v>
          </cell>
          <cell r="H1184" t="str">
            <v>Chandan Kumar</v>
          </cell>
          <cell r="I1184">
            <v>7631730270</v>
          </cell>
          <cell r="J1184" t="str">
            <v>101303</v>
          </cell>
          <cell r="K1184"/>
          <cell r="L1184">
            <v>45649</v>
          </cell>
          <cell r="N1184" t="str">
            <v>Musrigharari</v>
          </cell>
        </row>
        <row r="1185">
          <cell r="B1185">
            <v>10130087</v>
          </cell>
          <cell r="C1185" t="str">
            <v>0087</v>
          </cell>
          <cell r="D1185"/>
          <cell r="E1185" t="str">
            <v>MPG</v>
          </cell>
          <cell r="F1185" t="str">
            <v>Indirect</v>
          </cell>
          <cell r="G1185" t="str">
            <v>Gomukh Morwa Mohanpur</v>
          </cell>
          <cell r="H1185" t="str">
            <v>NAVEEN KUMAR</v>
          </cell>
          <cell r="I1185">
            <v>7563944209</v>
          </cell>
          <cell r="J1185" t="str">
            <v>101303</v>
          </cell>
          <cell r="K1185"/>
          <cell r="L1185">
            <v>45668</v>
          </cell>
          <cell r="N1185" t="str">
            <v>Musrigharari</v>
          </cell>
        </row>
        <row r="1186">
          <cell r="B1186">
            <v>10130088</v>
          </cell>
          <cell r="C1186" t="str">
            <v>0088</v>
          </cell>
          <cell r="D1186"/>
          <cell r="E1186" t="str">
            <v>MPG</v>
          </cell>
          <cell r="F1186" t="str">
            <v>Indirect</v>
          </cell>
          <cell r="G1186" t="str">
            <v>Gomukh Patepur</v>
          </cell>
          <cell r="H1186" t="str">
            <v>Satyendra Kumar</v>
          </cell>
          <cell r="I1186">
            <v>8084845537</v>
          </cell>
          <cell r="J1186" t="str">
            <v>101301</v>
          </cell>
          <cell r="K1186"/>
          <cell r="L1186">
            <v>45691</v>
          </cell>
          <cell r="N1186" t="str">
            <v>Musrigharari</v>
          </cell>
        </row>
        <row r="1187">
          <cell r="B1187">
            <v>10130089</v>
          </cell>
          <cell r="C1187" t="str">
            <v>0089</v>
          </cell>
          <cell r="D1187"/>
          <cell r="E1187" t="str">
            <v>MPG</v>
          </cell>
          <cell r="F1187" t="str">
            <v>Indirect</v>
          </cell>
          <cell r="G1187" t="str">
            <v>Gomukh Chandsarai Purvi</v>
          </cell>
          <cell r="H1187" t="str">
            <v>PANKAJ KUMAR</v>
          </cell>
          <cell r="I1187">
            <v>9294997660</v>
          </cell>
          <cell r="J1187" t="str">
            <v>101301</v>
          </cell>
          <cell r="K1187"/>
          <cell r="L1187">
            <v>45694</v>
          </cell>
          <cell r="N1187" t="str">
            <v>Musrigharari</v>
          </cell>
        </row>
        <row r="1188">
          <cell r="B1188">
            <v>10130090</v>
          </cell>
          <cell r="C1188" t="str">
            <v>0090</v>
          </cell>
          <cell r="D1188"/>
          <cell r="E1188" t="str">
            <v>MPG</v>
          </cell>
          <cell r="F1188" t="str">
            <v>Direct</v>
          </cell>
          <cell r="G1188" t="str">
            <v>Gomukh Akowahi Purvi Tol</v>
          </cell>
          <cell r="H1188" t="str">
            <v>KUNDAN KUMAR</v>
          </cell>
          <cell r="I1188">
            <v>7761001324</v>
          </cell>
          <cell r="J1188" t="str">
            <v>101301</v>
          </cell>
          <cell r="K1188"/>
          <cell r="L1188">
            <v>45694</v>
          </cell>
          <cell r="N1188" t="str">
            <v>Musrigharari</v>
          </cell>
        </row>
        <row r="1189">
          <cell r="B1189">
            <v>10130091</v>
          </cell>
          <cell r="C1189" t="str">
            <v>0091</v>
          </cell>
          <cell r="D1189"/>
          <cell r="E1189" t="str">
            <v>MPG</v>
          </cell>
          <cell r="F1189" t="str">
            <v>Direct</v>
          </cell>
          <cell r="G1189" t="str">
            <v>Gomukh Nipur</v>
          </cell>
          <cell r="H1189" t="str">
            <v>VIJAY KUMAR RAY</v>
          </cell>
          <cell r="I1189">
            <v>9801495461</v>
          </cell>
          <cell r="J1189" t="str">
            <v>101301</v>
          </cell>
          <cell r="K1189"/>
          <cell r="L1189">
            <v>45694</v>
          </cell>
          <cell r="N1189" t="str">
            <v>Musrigharari</v>
          </cell>
        </row>
        <row r="1190">
          <cell r="B1190">
            <v>10130092</v>
          </cell>
          <cell r="C1190" t="str">
            <v>0092</v>
          </cell>
          <cell r="D1190"/>
          <cell r="E1190" t="str">
            <v>MPG</v>
          </cell>
          <cell r="F1190" t="str">
            <v>Indirect</v>
          </cell>
          <cell r="G1190" t="str">
            <v>Gomukh Subhash Chowk</v>
          </cell>
          <cell r="H1190" t="str">
            <v>Rajeev Kumar ray</v>
          </cell>
          <cell r="I1190">
            <v>8873454137</v>
          </cell>
          <cell r="J1190" t="str">
            <v>101303</v>
          </cell>
          <cell r="K1190"/>
          <cell r="L1190">
            <v>45702</v>
          </cell>
          <cell r="N1190" t="str">
            <v>Musrigharari</v>
          </cell>
        </row>
        <row r="1191">
          <cell r="B1191">
            <v>10130093</v>
          </cell>
          <cell r="C1191" t="str">
            <v>0093</v>
          </cell>
          <cell r="D1191"/>
          <cell r="E1191" t="str">
            <v>MPG</v>
          </cell>
          <cell r="F1191" t="str">
            <v>Direct</v>
          </cell>
          <cell r="G1191" t="str">
            <v>Gomukh Sherpur Narsari East</v>
          </cell>
          <cell r="H1191" t="str">
            <v>Girdhari Jha</v>
          </cell>
          <cell r="I1191" t="str">
            <v>7250834304</v>
          </cell>
          <cell r="J1191" t="str">
            <v>101303</v>
          </cell>
          <cell r="K1191"/>
          <cell r="L1191">
            <v>45702</v>
          </cell>
          <cell r="N1191" t="str">
            <v>Musrigharari</v>
          </cell>
        </row>
        <row r="1192">
          <cell r="B1192">
            <v>10130094</v>
          </cell>
          <cell r="C1192" t="str">
            <v>0094</v>
          </cell>
          <cell r="D1192"/>
          <cell r="E1192" t="str">
            <v>MPG</v>
          </cell>
          <cell r="F1192" t="str">
            <v>Direct</v>
          </cell>
          <cell r="G1192" t="str">
            <v>Gomukh Nauachak East</v>
          </cell>
          <cell r="H1192" t="str">
            <v>Anamika Kumari</v>
          </cell>
          <cell r="I1192">
            <v>9264148537</v>
          </cell>
          <cell r="J1192" t="str">
            <v>101303</v>
          </cell>
          <cell r="K1192"/>
          <cell r="L1192">
            <v>45702</v>
          </cell>
          <cell r="N1192" t="str">
            <v>Musrigharari</v>
          </cell>
        </row>
        <row r="1193">
          <cell r="B1193">
            <v>10130095</v>
          </cell>
          <cell r="C1193" t="str">
            <v>0095</v>
          </cell>
          <cell r="D1193"/>
          <cell r="E1193" t="str">
            <v>MPG</v>
          </cell>
          <cell r="F1193" t="str">
            <v>Direct</v>
          </cell>
          <cell r="G1193" t="str">
            <v>Gomukh Saidpur</v>
          </cell>
          <cell r="H1193" t="str">
            <v>Shivdeni Ray</v>
          </cell>
          <cell r="I1193" t="str">
            <v>2305036108</v>
          </cell>
          <cell r="J1193" t="str">
            <v>101303</v>
          </cell>
          <cell r="K1193"/>
          <cell r="L1193">
            <v>45716</v>
          </cell>
          <cell r="N1193" t="str">
            <v>Musrigharari</v>
          </cell>
        </row>
        <row r="1194">
          <cell r="B1194">
            <v>10130096</v>
          </cell>
          <cell r="C1194" t="str">
            <v>0096</v>
          </cell>
          <cell r="D1194"/>
          <cell r="E1194" t="str">
            <v>MPG</v>
          </cell>
          <cell r="F1194" t="str">
            <v>Direct</v>
          </cell>
          <cell r="G1194" t="str">
            <v>Gomukh Basadiya East</v>
          </cell>
          <cell r="H1194" t="str">
            <v>Vivek Kumar</v>
          </cell>
          <cell r="I1194">
            <v>6206932203</v>
          </cell>
          <cell r="J1194" t="str">
            <v>101303</v>
          </cell>
          <cell r="K1194"/>
          <cell r="L1194">
            <v>45743</v>
          </cell>
          <cell r="N1194" t="str">
            <v>Musrigharari</v>
          </cell>
        </row>
        <row r="1195">
          <cell r="B1195">
            <v>10130097</v>
          </cell>
          <cell r="C1195" t="str">
            <v>0097</v>
          </cell>
          <cell r="D1195"/>
          <cell r="E1195" t="str">
            <v>MPG</v>
          </cell>
          <cell r="F1195" t="str">
            <v>Direct</v>
          </cell>
          <cell r="G1195" t="str">
            <v>Gomukh Karhatti</v>
          </cell>
          <cell r="H1195" t="str">
            <v>Rahul Kumar</v>
          </cell>
          <cell r="I1195">
            <v>7366022750</v>
          </cell>
          <cell r="J1195" t="str">
            <v>101302</v>
          </cell>
          <cell r="K1195"/>
          <cell r="L1195">
            <v>45743</v>
          </cell>
          <cell r="N1195" t="str">
            <v>Musrigharari</v>
          </cell>
        </row>
        <row r="1196">
          <cell r="B1196">
            <v>10130098</v>
          </cell>
          <cell r="C1196" t="str">
            <v>0098</v>
          </cell>
          <cell r="D1196"/>
          <cell r="E1196" t="str">
            <v>MPG</v>
          </cell>
          <cell r="F1196" t="str">
            <v>Direct</v>
          </cell>
          <cell r="G1196" t="str">
            <v>Gomukh Gaopur Bhagwatpur</v>
          </cell>
          <cell r="H1196" t="str">
            <v>Jawahar Ray</v>
          </cell>
          <cell r="I1196">
            <v>9182488109</v>
          </cell>
          <cell r="J1196" t="str">
            <v>101303</v>
          </cell>
          <cell r="K1196"/>
          <cell r="L1196">
            <v>45744</v>
          </cell>
          <cell r="N1196" t="str">
            <v>Musrigharari</v>
          </cell>
        </row>
        <row r="1197">
          <cell r="B1197">
            <v>10130099</v>
          </cell>
          <cell r="C1197" t="str">
            <v>0099</v>
          </cell>
          <cell r="D1197"/>
          <cell r="E1197" t="str">
            <v>MPG</v>
          </cell>
          <cell r="F1197" t="str">
            <v>Direct</v>
          </cell>
          <cell r="G1197" t="str">
            <v>GOMUKH TARA</v>
          </cell>
          <cell r="H1197" t="str">
            <v>ARUN KUMAR</v>
          </cell>
          <cell r="I1197">
            <v>9973310296</v>
          </cell>
          <cell r="J1197" t="str">
            <v>101303</v>
          </cell>
          <cell r="K1197"/>
          <cell r="L1197">
            <v>45771</v>
          </cell>
          <cell r="N1197" t="str">
            <v>Musrigharari</v>
          </cell>
        </row>
        <row r="1198">
          <cell r="B1198">
            <v>10130100</v>
          </cell>
          <cell r="C1198" t="str">
            <v>0100</v>
          </cell>
          <cell r="D1198"/>
          <cell r="E1198" t="str">
            <v>MPG</v>
          </cell>
          <cell r="F1198" t="str">
            <v>Direct</v>
          </cell>
          <cell r="G1198" t="str">
            <v>Gomukh Rajwara</v>
          </cell>
          <cell r="H1198" t="str">
            <v>Sonu Kumar</v>
          </cell>
          <cell r="I1198">
            <v>8651288466</v>
          </cell>
          <cell r="J1198" t="str">
            <v>101303</v>
          </cell>
          <cell r="K1198"/>
          <cell r="L1198">
            <v>45790</v>
          </cell>
          <cell r="N1198" t="str">
            <v>Musrigharari</v>
          </cell>
        </row>
        <row r="1199">
          <cell r="B1199">
            <v>10130101</v>
          </cell>
          <cell r="C1199" t="str">
            <v>0101</v>
          </cell>
          <cell r="D1199"/>
          <cell r="E1199" t="str">
            <v>MPG</v>
          </cell>
          <cell r="F1199" t="str">
            <v>Indirect</v>
          </cell>
          <cell r="G1199" t="str">
            <v>Gomukh Karhatiya Bujurg</v>
          </cell>
          <cell r="H1199" t="str">
            <v>Dinesh Kumar</v>
          </cell>
          <cell r="I1199">
            <v>9576217749</v>
          </cell>
          <cell r="J1199" t="str">
            <v>101302</v>
          </cell>
          <cell r="K1199"/>
          <cell r="L1199">
            <v>45790</v>
          </cell>
          <cell r="N1199" t="str">
            <v>Musrigharari</v>
          </cell>
        </row>
        <row r="1200">
          <cell r="B1200">
            <v>10130102</v>
          </cell>
          <cell r="C1200" t="str">
            <v>0102</v>
          </cell>
          <cell r="D1200"/>
          <cell r="E1200" t="str">
            <v>MPG</v>
          </cell>
          <cell r="F1200" t="str">
            <v>Direct</v>
          </cell>
          <cell r="G1200" t="str">
            <v>GOMUKH NIKASPUR</v>
          </cell>
          <cell r="H1200" t="str">
            <v>Dharmendra Sahni</v>
          </cell>
          <cell r="I1200">
            <v>9031903978</v>
          </cell>
          <cell r="J1200" t="str">
            <v>101303</v>
          </cell>
          <cell r="K1200"/>
          <cell r="L1200">
            <v>45808</v>
          </cell>
          <cell r="N1200" t="str">
            <v>Musrigharari</v>
          </cell>
        </row>
        <row r="1201">
          <cell r="B1201">
            <v>10130103</v>
          </cell>
          <cell r="C1201" t="str">
            <v>0103</v>
          </cell>
          <cell r="D1201"/>
          <cell r="E1201" t="str">
            <v>MPG</v>
          </cell>
          <cell r="F1201" t="str">
            <v>Indirect</v>
          </cell>
          <cell r="G1201" t="str">
            <v>NAUACHAUK W-04</v>
          </cell>
          <cell r="H1201" t="str">
            <v>Munchun Devi</v>
          </cell>
          <cell r="I1201">
            <v>9955744264</v>
          </cell>
          <cell r="J1201" t="str">
            <v>101303</v>
          </cell>
          <cell r="K1201"/>
          <cell r="L1201">
            <v>45808</v>
          </cell>
          <cell r="N1201" t="str">
            <v>Musrigharari</v>
          </cell>
        </row>
        <row r="1202">
          <cell r="B1202">
            <v>10130104</v>
          </cell>
          <cell r="C1202" t="str">
            <v>0104</v>
          </cell>
          <cell r="D1202"/>
          <cell r="E1202" t="str">
            <v>MPG</v>
          </cell>
          <cell r="F1202" t="str">
            <v>Indirect</v>
          </cell>
          <cell r="G1202" t="str">
            <v>Gomukh BAWANGHAT</v>
          </cell>
          <cell r="H1202" t="str">
            <v>HARISHCHANDRA RAY</v>
          </cell>
          <cell r="I1202">
            <v>9334149362</v>
          </cell>
          <cell r="J1202" t="str">
            <v>101301</v>
          </cell>
          <cell r="K1202"/>
          <cell r="L1202">
            <v>45835</v>
          </cell>
          <cell r="N1202" t="str">
            <v>Musrigharari</v>
          </cell>
        </row>
        <row r="1203">
          <cell r="B1203">
            <v>10130105</v>
          </cell>
          <cell r="C1203" t="str">
            <v>0105</v>
          </cell>
          <cell r="D1203"/>
          <cell r="E1203" t="str">
            <v>MPG</v>
          </cell>
          <cell r="F1203" t="str">
            <v>Indirect</v>
          </cell>
          <cell r="G1203" t="str">
            <v>Gomukh Davaichh</v>
          </cell>
          <cell r="H1203" t="str">
            <v>Anil Kumar</v>
          </cell>
          <cell r="I1203">
            <v>7739649161</v>
          </cell>
          <cell r="J1203" t="str">
            <v>101301</v>
          </cell>
          <cell r="K1203"/>
          <cell r="L1203">
            <v>45850</v>
          </cell>
          <cell r="N1203" t="str">
            <v>Musrigharari</v>
          </cell>
        </row>
        <row r="1204">
          <cell r="B1204">
            <v>10130106</v>
          </cell>
          <cell r="C1204" t="str">
            <v>0106</v>
          </cell>
          <cell r="D1204"/>
          <cell r="E1204" t="str">
            <v>MPG</v>
          </cell>
          <cell r="F1204" t="str">
            <v>Indirect</v>
          </cell>
          <cell r="G1204" t="str">
            <v>Gomukh Akhtiyarpur</v>
          </cell>
          <cell r="H1204" t="str">
            <v>Satyam Kumar</v>
          </cell>
          <cell r="I1204">
            <v>9708459560</v>
          </cell>
          <cell r="J1204" t="str">
            <v>101301</v>
          </cell>
          <cell r="K1204"/>
          <cell r="L1204">
            <v>45868</v>
          </cell>
          <cell r="N1204" t="str">
            <v>Musrigharari</v>
          </cell>
        </row>
        <row r="1205">
          <cell r="B1205">
            <v>10130107</v>
          </cell>
          <cell r="C1205" t="str">
            <v>0107</v>
          </cell>
          <cell r="D1205"/>
          <cell r="E1205" t="str">
            <v>MPG</v>
          </cell>
          <cell r="F1205" t="str">
            <v>Indirect</v>
          </cell>
          <cell r="G1205" t="str">
            <v>Gomukh Morwa Mohanpur</v>
          </cell>
          <cell r="H1205" t="str">
            <v>Rishi Kumar</v>
          </cell>
          <cell r="I1205">
            <v>9525472466</v>
          </cell>
          <cell r="J1205" t="str">
            <v>101301</v>
          </cell>
          <cell r="K1205"/>
          <cell r="L1205">
            <v>45868</v>
          </cell>
          <cell r="N1205" t="str">
            <v>Musrigharari</v>
          </cell>
        </row>
        <row r="1206">
          <cell r="B1206">
            <v>10130108</v>
          </cell>
          <cell r="C1206" t="str">
            <v>0108</v>
          </cell>
          <cell r="D1206"/>
          <cell r="E1206" t="str">
            <v>MPG</v>
          </cell>
          <cell r="F1206" t="str">
            <v>Direct</v>
          </cell>
          <cell r="G1206" t="str">
            <v>GOMUKH MURTUZAPUR EAST</v>
          </cell>
          <cell r="H1206" t="str">
            <v>Chandeshwar Kumar Ray</v>
          </cell>
          <cell r="I1206">
            <v>9570648273</v>
          </cell>
          <cell r="J1206" t="str">
            <v>101302</v>
          </cell>
          <cell r="K1206"/>
          <cell r="L1206">
            <v>45939</v>
          </cell>
          <cell r="N1206" t="str">
            <v>Musrigharari</v>
          </cell>
        </row>
        <row r="1207">
          <cell r="B1207">
            <v>10130109</v>
          </cell>
          <cell r="C1207" t="str">
            <v>0109</v>
          </cell>
          <cell r="D1207"/>
          <cell r="E1207" t="str">
            <v>MPG</v>
          </cell>
          <cell r="F1207" t="str">
            <v>Indirect</v>
          </cell>
          <cell r="G1207" t="str">
            <v>Repura Kundan</v>
          </cell>
          <cell r="H1207" t="str">
            <v>Kundan Kumar</v>
          </cell>
          <cell r="I1207">
            <v>9508939513</v>
          </cell>
          <cell r="J1207" t="str">
            <v>101301</v>
          </cell>
          <cell r="K1207"/>
          <cell r="L1207">
            <v>45939</v>
          </cell>
          <cell r="N1207" t="str">
            <v>Musrigharari</v>
          </cell>
        </row>
        <row r="1208">
          <cell r="B1208">
            <v>10130110</v>
          </cell>
          <cell r="C1208" t="str">
            <v>0110</v>
          </cell>
          <cell r="D1208"/>
          <cell r="E1208" t="str">
            <v>MPG</v>
          </cell>
          <cell r="F1208" t="str">
            <v>Indirect</v>
          </cell>
          <cell r="G1208" t="str">
            <v>Gomukh Baaghi</v>
          </cell>
          <cell r="H1208" t="str">
            <v>Amresh Kumar</v>
          </cell>
          <cell r="I1208">
            <v>9576422313</v>
          </cell>
          <cell r="J1208" t="str">
            <v>101301</v>
          </cell>
          <cell r="K1208"/>
          <cell r="L1208">
            <v>45944</v>
          </cell>
          <cell r="N1208" t="str">
            <v>Musrigharari</v>
          </cell>
        </row>
        <row r="1209">
          <cell r="B1209">
            <v>10130111</v>
          </cell>
          <cell r="C1209" t="str">
            <v>0111</v>
          </cell>
          <cell r="D1209"/>
          <cell r="E1209" t="str">
            <v>MPG</v>
          </cell>
          <cell r="F1209" t="str">
            <v>Indirect</v>
          </cell>
          <cell r="G1209" t="str">
            <v>Gomukh Gangapur East</v>
          </cell>
          <cell r="H1209" t="str">
            <v>Priyanka Kumari</v>
          </cell>
          <cell r="I1209">
            <v>6205272514</v>
          </cell>
          <cell r="J1209" t="str">
            <v>101301</v>
          </cell>
          <cell r="K1209"/>
          <cell r="L1209">
            <v>45944</v>
          </cell>
          <cell r="N1209" t="str">
            <v>Musrigharari</v>
          </cell>
        </row>
        <row r="1210">
          <cell r="B1210">
            <v>10130112</v>
          </cell>
          <cell r="C1210">
            <v>112</v>
          </cell>
          <cell r="D1210"/>
          <cell r="E1210" t="str">
            <v>MPG</v>
          </cell>
          <cell r="F1210" t="str">
            <v>Indirect</v>
          </cell>
          <cell r="G1210" t="str">
            <v>Gomukh Suapakar</v>
          </cell>
          <cell r="H1210" t="str">
            <v>Rishav Kumar</v>
          </cell>
          <cell r="I1210">
            <v>7739974939</v>
          </cell>
          <cell r="J1210" t="str">
            <v>101301</v>
          </cell>
          <cell r="K1210"/>
          <cell r="L1210">
            <v>46011</v>
          </cell>
          <cell r="N1210" t="str">
            <v>Musrigharari</v>
          </cell>
        </row>
        <row r="1211">
          <cell r="B1211">
            <v>10130113</v>
          </cell>
          <cell r="C1211">
            <v>113</v>
          </cell>
          <cell r="D1211"/>
          <cell r="E1211" t="str">
            <v>MPG</v>
          </cell>
          <cell r="F1211" t="str">
            <v>Indirect</v>
          </cell>
          <cell r="G1211" t="str">
            <v>GOMUKH Laguniya</v>
          </cell>
          <cell r="H1211" t="str">
            <v>Nitu Kumari</v>
          </cell>
          <cell r="I1211">
            <v>9572815057</v>
          </cell>
          <cell r="J1211" t="str">
            <v>101303</v>
          </cell>
          <cell r="K1211"/>
          <cell r="L1211">
            <v>46011</v>
          </cell>
          <cell r="N1211" t="str">
            <v>Musrigharari</v>
          </cell>
        </row>
        <row r="1212">
          <cell r="B1212">
            <v>10130114</v>
          </cell>
          <cell r="C1212" t="str">
            <v>0114</v>
          </cell>
          <cell r="D1212"/>
          <cell r="E1212" t="str">
            <v>MPG</v>
          </cell>
          <cell r="F1212" t="str">
            <v>Indirect</v>
          </cell>
          <cell r="G1212" t="str">
            <v>GOMUKH MAHINDWARA</v>
          </cell>
          <cell r="H1212" t="str">
            <v>Santosh Kumar</v>
          </cell>
          <cell r="I1212">
            <v>7631809858</v>
          </cell>
          <cell r="J1212" t="str">
            <v>101302</v>
          </cell>
          <cell r="K1212"/>
          <cell r="L1212">
            <v>46020</v>
          </cell>
          <cell r="N1212" t="str">
            <v>Musrigharari</v>
          </cell>
        </row>
        <row r="1213">
          <cell r="B1213">
            <v>10130115</v>
          </cell>
          <cell r="C1213" t="str">
            <v>0115</v>
          </cell>
          <cell r="D1213"/>
          <cell r="E1213" t="str">
            <v>MPG</v>
          </cell>
          <cell r="F1213" t="str">
            <v>Direct</v>
          </cell>
          <cell r="G1213" t="str">
            <v>GOMUKH MISHRAULIA</v>
          </cell>
          <cell r="H1213" t="str">
            <v>Vinay Kumar</v>
          </cell>
          <cell r="I1213">
            <v>7082651043</v>
          </cell>
          <cell r="J1213" t="str">
            <v>101301</v>
          </cell>
          <cell r="K1213"/>
          <cell r="L1213">
            <v>46051</v>
          </cell>
          <cell r="N1213" t="str">
            <v>Musrigharari</v>
          </cell>
        </row>
        <row r="1214">
          <cell r="B1214">
            <v>10130116</v>
          </cell>
          <cell r="C1214" t="str">
            <v>0116</v>
          </cell>
          <cell r="D1214"/>
          <cell r="E1214" t="str">
            <v>MPG</v>
          </cell>
          <cell r="F1214" t="str">
            <v>Direct</v>
          </cell>
          <cell r="G1214" t="str">
            <v>GOMUKH CHAKIRDI</v>
          </cell>
          <cell r="H1214" t="str">
            <v>Kamini kumari</v>
          </cell>
          <cell r="I1214">
            <v>7296048531</v>
          </cell>
          <cell r="J1214" t="str">
            <v>101302</v>
          </cell>
          <cell r="K1214"/>
          <cell r="L1214">
            <v>46051</v>
          </cell>
          <cell r="N1214" t="str">
            <v>Musrigharari</v>
          </cell>
        </row>
        <row r="1215">
          <cell r="B1215">
            <v>10130117</v>
          </cell>
          <cell r="C1215" t="str">
            <v>0117</v>
          </cell>
          <cell r="D1215"/>
          <cell r="E1215" t="str">
            <v>MPG</v>
          </cell>
          <cell r="F1215" t="str">
            <v>Direct</v>
          </cell>
          <cell r="G1215" t="str">
            <v>GOMUKH Bhagwatpur East</v>
          </cell>
          <cell r="H1215" t="str">
            <v>Kalpana Devi</v>
          </cell>
          <cell r="I1215">
            <v>7004724736</v>
          </cell>
          <cell r="J1215" t="str">
            <v>101302</v>
          </cell>
          <cell r="K1215"/>
          <cell r="L1215">
            <v>46063</v>
          </cell>
          <cell r="N1215" t="str">
            <v>Musrigharari</v>
          </cell>
        </row>
        <row r="1216">
          <cell r="B1216">
            <v>10130118</v>
          </cell>
          <cell r="C1216" t="str">
            <v>0118</v>
          </cell>
          <cell r="D1216"/>
          <cell r="E1216" t="str">
            <v>MPG</v>
          </cell>
          <cell r="F1216" t="str">
            <v>Indirect</v>
          </cell>
          <cell r="G1216" t="str">
            <v>Gomukh Rupauli Buzurg</v>
          </cell>
          <cell r="H1216" t="str">
            <v>Pankaj Kumar</v>
          </cell>
          <cell r="I1216">
            <v>9153781837</v>
          </cell>
          <cell r="J1216" t="str">
            <v>101303</v>
          </cell>
          <cell r="K1216"/>
          <cell r="L1216">
            <v>46080</v>
          </cell>
          <cell r="N1216" t="str">
            <v>Musrigharari</v>
          </cell>
        </row>
        <row r="1217">
          <cell r="B1217">
            <v>10140001</v>
          </cell>
          <cell r="C1217" t="str">
            <v>0001</v>
          </cell>
          <cell r="D1217" t="str">
            <v>2401</v>
          </cell>
          <cell r="E1217" t="str">
            <v>MPG</v>
          </cell>
          <cell r="F1217" t="str">
            <v>Direct</v>
          </cell>
          <cell r="G1217" t="str">
            <v>Dumri Purvi Tola</v>
          </cell>
          <cell r="H1217" t="str">
            <v>Dwarika Kumar</v>
          </cell>
          <cell r="I1217">
            <v>7250911598</v>
          </cell>
          <cell r="J1217" t="str">
            <v>101401</v>
          </cell>
          <cell r="K1217" t="str">
            <v>Yes</v>
          </cell>
          <cell r="L1217">
            <v>44664</v>
          </cell>
          <cell r="N1217" t="str">
            <v>Dumraon</v>
          </cell>
        </row>
        <row r="1218">
          <cell r="B1218">
            <v>10140002</v>
          </cell>
          <cell r="C1218" t="str">
            <v>0002</v>
          </cell>
          <cell r="D1218" t="str">
            <v>2404</v>
          </cell>
          <cell r="E1218" t="str">
            <v>MPG</v>
          </cell>
          <cell r="F1218" t="str">
            <v>Direct</v>
          </cell>
          <cell r="G1218" t="str">
            <v>Simri</v>
          </cell>
          <cell r="H1218" t="str">
            <v>Bebi devi</v>
          </cell>
          <cell r="I1218">
            <v>7322889860</v>
          </cell>
          <cell r="J1218" t="str">
            <v>101401</v>
          </cell>
          <cell r="K1218" t="str">
            <v>Yes</v>
          </cell>
          <cell r="L1218">
            <v>44664</v>
          </cell>
          <cell r="N1218" t="str">
            <v>Dumraon</v>
          </cell>
        </row>
        <row r="1219">
          <cell r="B1219">
            <v>10140003</v>
          </cell>
          <cell r="C1219" t="str">
            <v>0003</v>
          </cell>
          <cell r="D1219" t="str">
            <v>2407</v>
          </cell>
          <cell r="E1219" t="str">
            <v>MPG</v>
          </cell>
          <cell r="F1219" t="str">
            <v>Direct</v>
          </cell>
          <cell r="G1219" t="str">
            <v>Sahiyar</v>
          </cell>
          <cell r="H1219" t="str">
            <v>Satish kumar Thakur</v>
          </cell>
          <cell r="I1219">
            <v>8709513821</v>
          </cell>
          <cell r="J1219" t="str">
            <v>101401</v>
          </cell>
          <cell r="K1219" t="str">
            <v>Yes</v>
          </cell>
          <cell r="L1219">
            <v>44664</v>
          </cell>
          <cell r="N1219" t="str">
            <v>Dumraon</v>
          </cell>
        </row>
        <row r="1220">
          <cell r="B1220">
            <v>10140004</v>
          </cell>
          <cell r="C1220" t="str">
            <v>0004</v>
          </cell>
          <cell r="D1220" t="str">
            <v>2409</v>
          </cell>
          <cell r="E1220" t="str">
            <v>MPG</v>
          </cell>
          <cell r="F1220" t="str">
            <v>Direct</v>
          </cell>
          <cell r="G1220" t="str">
            <v>Majhwari</v>
          </cell>
          <cell r="H1220" t="str">
            <v>Ashok Kumar pathak</v>
          </cell>
          <cell r="I1220">
            <v>9304177703</v>
          </cell>
          <cell r="J1220" t="str">
            <v>101401</v>
          </cell>
          <cell r="K1220" t="str">
            <v>Yes</v>
          </cell>
          <cell r="L1220">
            <v>44664</v>
          </cell>
          <cell r="N1220" t="str">
            <v>Dumraon</v>
          </cell>
        </row>
        <row r="1221">
          <cell r="B1221">
            <v>10140005</v>
          </cell>
          <cell r="C1221" t="str">
            <v>0005</v>
          </cell>
          <cell r="D1221" t="str">
            <v>2413</v>
          </cell>
          <cell r="E1221" t="str">
            <v>MPG</v>
          </cell>
          <cell r="F1221" t="str">
            <v>Direct</v>
          </cell>
          <cell r="G1221" t="str">
            <v>Nidhua</v>
          </cell>
          <cell r="H1221" t="str">
            <v>Mulayam Yadav</v>
          </cell>
          <cell r="I1221">
            <v>9471020377</v>
          </cell>
          <cell r="J1221" t="str">
            <v>101404</v>
          </cell>
          <cell r="K1221" t="str">
            <v>Yes</v>
          </cell>
          <cell r="L1221">
            <v>44664</v>
          </cell>
          <cell r="N1221" t="str">
            <v>Dumraon</v>
          </cell>
        </row>
        <row r="1222">
          <cell r="B1222">
            <v>10140006</v>
          </cell>
          <cell r="C1222" t="str">
            <v>0006</v>
          </cell>
          <cell r="D1222" t="str">
            <v>2418</v>
          </cell>
          <cell r="E1222" t="str">
            <v>MPG</v>
          </cell>
          <cell r="F1222" t="str">
            <v>Direct</v>
          </cell>
          <cell r="G1222" t="str">
            <v>Ekauna</v>
          </cell>
          <cell r="H1222" t="str">
            <v>Shiv Nath Rai</v>
          </cell>
          <cell r="I1222">
            <v>6207422412</v>
          </cell>
          <cell r="J1222" t="str">
            <v>101401</v>
          </cell>
          <cell r="K1222" t="str">
            <v>Yes</v>
          </cell>
          <cell r="L1222">
            <v>44664</v>
          </cell>
          <cell r="N1222" t="str">
            <v>Dumraon</v>
          </cell>
        </row>
        <row r="1223">
          <cell r="B1223">
            <v>10140007</v>
          </cell>
          <cell r="C1223" t="str">
            <v>0007</v>
          </cell>
          <cell r="D1223" t="str">
            <v>2419</v>
          </cell>
          <cell r="E1223" t="str">
            <v>MPG</v>
          </cell>
          <cell r="F1223" t="str">
            <v>Direct</v>
          </cell>
          <cell r="G1223" t="str">
            <v>ENGLISH DUBAULI</v>
          </cell>
          <cell r="H1223" t="str">
            <v>AKSHAY KUMAR YADAV</v>
          </cell>
          <cell r="I1223">
            <v>8651703765</v>
          </cell>
          <cell r="J1223" t="str">
            <v>101401</v>
          </cell>
          <cell r="K1223" t="str">
            <v>Yes</v>
          </cell>
          <cell r="L1223">
            <v>44664</v>
          </cell>
          <cell r="N1223" t="str">
            <v>Dumraon</v>
          </cell>
        </row>
        <row r="1224">
          <cell r="B1224">
            <v>10140008</v>
          </cell>
          <cell r="C1224" t="str">
            <v>0008</v>
          </cell>
          <cell r="D1224" t="str">
            <v>2415</v>
          </cell>
          <cell r="E1224" t="str">
            <v>MPG</v>
          </cell>
          <cell r="F1224" t="str">
            <v>Direct</v>
          </cell>
          <cell r="G1224" t="str">
            <v>Ramo Bariya</v>
          </cell>
          <cell r="H1224" t="str">
            <v>Santosh Kumar Singh</v>
          </cell>
          <cell r="I1224">
            <v>7654831161</v>
          </cell>
          <cell r="J1224" t="str">
            <v>101402</v>
          </cell>
          <cell r="K1224" t="str">
            <v>Yes</v>
          </cell>
          <cell r="L1224">
            <v>44665</v>
          </cell>
          <cell r="N1224" t="str">
            <v>Dumraon</v>
          </cell>
        </row>
        <row r="1225">
          <cell r="B1225">
            <v>10140009</v>
          </cell>
          <cell r="C1225" t="str">
            <v>0009</v>
          </cell>
          <cell r="D1225" t="str">
            <v>2403</v>
          </cell>
          <cell r="E1225" t="str">
            <v>MPG</v>
          </cell>
          <cell r="F1225" t="str">
            <v>Direct</v>
          </cell>
          <cell r="G1225" t="str">
            <v>HITAN PARARI</v>
          </cell>
          <cell r="H1225" t="str">
            <v>Satyendra Tiwari</v>
          </cell>
          <cell r="I1225">
            <v>6206004856</v>
          </cell>
          <cell r="J1225" t="str">
            <v>101402</v>
          </cell>
          <cell r="K1225" t="str">
            <v>Yes</v>
          </cell>
          <cell r="L1225">
            <v>44669</v>
          </cell>
          <cell r="N1225" t="str">
            <v>Dumraon</v>
          </cell>
        </row>
        <row r="1226">
          <cell r="B1226">
            <v>10140010</v>
          </cell>
          <cell r="C1226" t="str">
            <v>0010</v>
          </cell>
          <cell r="D1226" t="str">
            <v>2423</v>
          </cell>
          <cell r="E1226" t="str">
            <v>MPG</v>
          </cell>
          <cell r="F1226" t="str">
            <v>Direct</v>
          </cell>
          <cell r="G1226" t="str">
            <v>ARIAON</v>
          </cell>
          <cell r="H1226" t="str">
            <v>HOLIN SINGH</v>
          </cell>
          <cell r="I1226">
            <v>7033320283</v>
          </cell>
          <cell r="J1226" t="str">
            <v>101405</v>
          </cell>
          <cell r="K1226" t="str">
            <v>Yes</v>
          </cell>
          <cell r="L1226">
            <v>44683</v>
          </cell>
          <cell r="N1226" t="str">
            <v>Dumraon</v>
          </cell>
        </row>
        <row r="1227">
          <cell r="B1227">
            <v>10140011</v>
          </cell>
          <cell r="C1227" t="str">
            <v>0011</v>
          </cell>
          <cell r="D1227" t="str">
            <v>2421</v>
          </cell>
          <cell r="E1227" t="str">
            <v>MPG</v>
          </cell>
          <cell r="F1227" t="str">
            <v>Direct</v>
          </cell>
          <cell r="G1227" t="str">
            <v>DULLAHPUR2</v>
          </cell>
          <cell r="H1227" t="str">
            <v>GUDDI DEVI</v>
          </cell>
          <cell r="I1227">
            <v>8409197111</v>
          </cell>
          <cell r="J1227" t="str">
            <v>101401</v>
          </cell>
          <cell r="K1227" t="str">
            <v>Yes</v>
          </cell>
          <cell r="L1227">
            <v>44697</v>
          </cell>
          <cell r="N1227" t="str">
            <v>Dumraon</v>
          </cell>
        </row>
        <row r="1228">
          <cell r="B1228">
            <v>10140012</v>
          </cell>
          <cell r="C1228" t="str">
            <v>0012</v>
          </cell>
          <cell r="D1228" t="str">
            <v>2416</v>
          </cell>
          <cell r="E1228" t="str">
            <v>MPG</v>
          </cell>
          <cell r="F1228" t="str">
            <v>Direct</v>
          </cell>
          <cell r="G1228" t="str">
            <v>Gangauli</v>
          </cell>
          <cell r="H1228" t="str">
            <v>Shri Ram Yadav</v>
          </cell>
          <cell r="I1228">
            <v>9060576286</v>
          </cell>
          <cell r="J1228" t="str">
            <v>101403</v>
          </cell>
          <cell r="K1228" t="str">
            <v>Yes</v>
          </cell>
          <cell r="L1228">
            <v>44703</v>
          </cell>
          <cell r="N1228" t="str">
            <v>Dumraon</v>
          </cell>
        </row>
        <row r="1229">
          <cell r="B1229">
            <v>10140013</v>
          </cell>
          <cell r="C1229" t="str">
            <v>0013</v>
          </cell>
          <cell r="D1229" t="str">
            <v>2422</v>
          </cell>
          <cell r="E1229" t="str">
            <v>MPG</v>
          </cell>
          <cell r="F1229" t="str">
            <v>Direct</v>
          </cell>
          <cell r="G1229" t="str">
            <v>MATHURA DERA</v>
          </cell>
          <cell r="H1229" t="str">
            <v>PRASHANT KUMAR YADAV</v>
          </cell>
          <cell r="I1229">
            <v>7808809216</v>
          </cell>
          <cell r="J1229" t="str">
            <v>101403</v>
          </cell>
          <cell r="K1229" t="str">
            <v>Yes</v>
          </cell>
          <cell r="L1229">
            <v>44703</v>
          </cell>
          <cell r="N1229" t="str">
            <v>Dumraon</v>
          </cell>
        </row>
        <row r="1230">
          <cell r="B1230">
            <v>10140014</v>
          </cell>
          <cell r="C1230" t="str">
            <v>0014</v>
          </cell>
          <cell r="D1230" t="str">
            <v>2417</v>
          </cell>
          <cell r="E1230" t="str">
            <v>MPG</v>
          </cell>
          <cell r="F1230" t="str">
            <v>Direct</v>
          </cell>
          <cell r="G1230" t="str">
            <v>Boxa</v>
          </cell>
          <cell r="H1230" t="str">
            <v>Manoj Kumar</v>
          </cell>
          <cell r="I1230">
            <v>9955591947</v>
          </cell>
          <cell r="J1230" t="str">
            <v>101407</v>
          </cell>
          <cell r="K1230" t="str">
            <v>Yes</v>
          </cell>
          <cell r="L1230">
            <v>44728</v>
          </cell>
          <cell r="N1230" t="str">
            <v>Dumraon</v>
          </cell>
        </row>
        <row r="1231">
          <cell r="B1231">
            <v>10140015</v>
          </cell>
          <cell r="C1231" t="str">
            <v>0015</v>
          </cell>
          <cell r="D1231" t="str">
            <v>2430</v>
          </cell>
          <cell r="E1231" t="str">
            <v>MPG</v>
          </cell>
          <cell r="F1231" t="str">
            <v>Direct</v>
          </cell>
          <cell r="G1231" t="str">
            <v>BHATWALIA</v>
          </cell>
          <cell r="H1231" t="str">
            <v>BUXAR FARMERS PROUCER COMPANY LTD</v>
          </cell>
          <cell r="I1231">
            <v>9955591947</v>
          </cell>
          <cell r="J1231" t="str">
            <v>101407</v>
          </cell>
          <cell r="K1231" t="str">
            <v>Yes</v>
          </cell>
          <cell r="L1231">
            <v>44728</v>
          </cell>
          <cell r="N1231" t="str">
            <v>Dumraon</v>
          </cell>
        </row>
        <row r="1232">
          <cell r="B1232">
            <v>10140016</v>
          </cell>
          <cell r="C1232" t="str">
            <v>0016</v>
          </cell>
          <cell r="D1232" t="str">
            <v>2431</v>
          </cell>
          <cell r="E1232" t="str">
            <v>MPG</v>
          </cell>
          <cell r="F1232" t="str">
            <v>Direct</v>
          </cell>
          <cell r="G1232" t="str">
            <v>CHHOTKI BASAULI</v>
          </cell>
          <cell r="H1232" t="str">
            <v>SUBEDAR SINGH</v>
          </cell>
          <cell r="I1232">
            <v>9006024570</v>
          </cell>
          <cell r="J1232" t="str">
            <v>101407</v>
          </cell>
          <cell r="K1232" t="str">
            <v>Yes</v>
          </cell>
          <cell r="L1232">
            <v>44728</v>
          </cell>
          <cell r="N1232" t="str">
            <v>Dumraon</v>
          </cell>
        </row>
        <row r="1233">
          <cell r="B1233">
            <v>10140017</v>
          </cell>
          <cell r="C1233" t="str">
            <v>0017</v>
          </cell>
          <cell r="D1233" t="str">
            <v>2480</v>
          </cell>
          <cell r="E1233" t="str">
            <v>MPG</v>
          </cell>
          <cell r="F1233" t="str">
            <v>Indirect</v>
          </cell>
          <cell r="G1233" t="str">
            <v>Gomukh ID Chaugain</v>
          </cell>
          <cell r="H1233" t="str">
            <v>Sanjeev Kumar Singh</v>
          </cell>
          <cell r="I1233">
            <v>7042774581</v>
          </cell>
          <cell r="J1233" t="str">
            <v>101405</v>
          </cell>
          <cell r="K1233" t="str">
            <v/>
          </cell>
          <cell r="L1233">
            <v>44733</v>
          </cell>
          <cell r="N1233" t="str">
            <v>Dumraon</v>
          </cell>
        </row>
        <row r="1234">
          <cell r="B1234">
            <v>10140018</v>
          </cell>
          <cell r="C1234" t="str">
            <v>0018</v>
          </cell>
          <cell r="D1234" t="str">
            <v>2434</v>
          </cell>
          <cell r="E1234" t="str">
            <v>MPG</v>
          </cell>
          <cell r="F1234" t="str">
            <v>Direct</v>
          </cell>
          <cell r="G1234" t="str">
            <v>NANDAN</v>
          </cell>
          <cell r="H1234" t="str">
            <v>RAM BAHADUR SINGH</v>
          </cell>
          <cell r="I1234">
            <v>7050105614</v>
          </cell>
          <cell r="J1234" t="str">
            <v>101408</v>
          </cell>
          <cell r="K1234" t="str">
            <v>Yes</v>
          </cell>
          <cell r="L1234">
            <v>44753</v>
          </cell>
          <cell r="N1234" t="str">
            <v>Dumraon</v>
          </cell>
        </row>
        <row r="1235">
          <cell r="B1235">
            <v>10140019</v>
          </cell>
          <cell r="C1235" t="str">
            <v>0019</v>
          </cell>
          <cell r="D1235" t="str">
            <v>2429</v>
          </cell>
          <cell r="E1235" t="str">
            <v>MPG</v>
          </cell>
          <cell r="F1235" t="str">
            <v>Direct</v>
          </cell>
          <cell r="G1235" t="str">
            <v>GURUDEVNGAR</v>
          </cell>
          <cell r="H1235" t="str">
            <v>MUNNA YADAV</v>
          </cell>
          <cell r="I1235">
            <v>7061000056</v>
          </cell>
          <cell r="J1235" t="str">
            <v>101402</v>
          </cell>
          <cell r="K1235" t="str">
            <v>Yes</v>
          </cell>
          <cell r="L1235">
            <v>44762</v>
          </cell>
          <cell r="N1235" t="str">
            <v>Dumraon</v>
          </cell>
        </row>
        <row r="1236">
          <cell r="B1236">
            <v>10140020</v>
          </cell>
          <cell r="C1236" t="str">
            <v>0020</v>
          </cell>
          <cell r="D1236" t="str">
            <v>2436</v>
          </cell>
          <cell r="E1236" t="str">
            <v>MPG</v>
          </cell>
          <cell r="F1236" t="str">
            <v>Direct</v>
          </cell>
          <cell r="G1236" t="str">
            <v>RAJAPUR</v>
          </cell>
          <cell r="H1236" t="str">
            <v>PRATIBHA RAI</v>
          </cell>
          <cell r="I1236">
            <v>9555317230</v>
          </cell>
          <cell r="J1236" t="str">
            <v>101402</v>
          </cell>
          <cell r="K1236" t="str">
            <v>Yes</v>
          </cell>
          <cell r="L1236">
            <v>44766</v>
          </cell>
          <cell r="N1236" t="str">
            <v>Dumraon</v>
          </cell>
        </row>
        <row r="1237">
          <cell r="B1237">
            <v>10140021</v>
          </cell>
          <cell r="C1237" t="str">
            <v>0021</v>
          </cell>
          <cell r="D1237" t="str">
            <v>2481</v>
          </cell>
          <cell r="E1237" t="str">
            <v>MPG</v>
          </cell>
          <cell r="F1237" t="str">
            <v>Indirect</v>
          </cell>
          <cell r="G1237" t="str">
            <v>Gomukh ID Simri</v>
          </cell>
          <cell r="H1237" t="str">
            <v>Laksman Singh</v>
          </cell>
          <cell r="I1237">
            <v>6204015451</v>
          </cell>
          <cell r="J1237" t="str">
            <v>101401</v>
          </cell>
          <cell r="K1237" t="str">
            <v/>
          </cell>
          <cell r="L1237">
            <v>44769</v>
          </cell>
          <cell r="N1237" t="str">
            <v>Dumraon</v>
          </cell>
        </row>
        <row r="1238">
          <cell r="B1238">
            <v>10140022</v>
          </cell>
          <cell r="C1238" t="str">
            <v>0022</v>
          </cell>
          <cell r="D1238" t="str">
            <v>2435</v>
          </cell>
          <cell r="E1238" t="str">
            <v>MPG</v>
          </cell>
          <cell r="F1238" t="str">
            <v>Direct</v>
          </cell>
          <cell r="G1238" t="str">
            <v>HEMDAPUR</v>
          </cell>
          <cell r="H1238" t="str">
            <v>SUNITA DEVI</v>
          </cell>
          <cell r="I1238">
            <v>7061832679</v>
          </cell>
          <cell r="J1238" t="str">
            <v>101403</v>
          </cell>
          <cell r="K1238" t="str">
            <v>Yes</v>
          </cell>
          <cell r="L1238">
            <v>44774</v>
          </cell>
          <cell r="N1238" t="str">
            <v>Dumraon</v>
          </cell>
        </row>
        <row r="1239">
          <cell r="B1239">
            <v>10140023</v>
          </cell>
          <cell r="C1239" t="str">
            <v>0023</v>
          </cell>
          <cell r="D1239" t="str">
            <v>2437</v>
          </cell>
          <cell r="E1239" t="str">
            <v>MPG</v>
          </cell>
          <cell r="F1239" t="str">
            <v>Direct</v>
          </cell>
          <cell r="G1239" t="str">
            <v>BALIHAR</v>
          </cell>
          <cell r="H1239" t="str">
            <v>SATYENDRA KUMAR</v>
          </cell>
          <cell r="I1239">
            <v>7645039955</v>
          </cell>
          <cell r="J1239" t="str">
            <v>101402</v>
          </cell>
          <cell r="K1239" t="str">
            <v>Yes</v>
          </cell>
          <cell r="L1239">
            <v>44778</v>
          </cell>
          <cell r="N1239" t="str">
            <v>Dumraon</v>
          </cell>
        </row>
        <row r="1240">
          <cell r="B1240">
            <v>10140024</v>
          </cell>
          <cell r="C1240" t="str">
            <v>0024</v>
          </cell>
          <cell r="D1240" t="str">
            <v>2438</v>
          </cell>
          <cell r="E1240" t="str">
            <v>MPG</v>
          </cell>
          <cell r="F1240" t="str">
            <v>Direct</v>
          </cell>
          <cell r="G1240" t="str">
            <v>MAHADAH</v>
          </cell>
          <cell r="H1240" t="str">
            <v>AVADHESH KUMAR YADAV</v>
          </cell>
          <cell r="I1240">
            <v>9572354668</v>
          </cell>
          <cell r="J1240" t="str">
            <v>101404</v>
          </cell>
          <cell r="K1240" t="str">
            <v>Yes</v>
          </cell>
          <cell r="L1240">
            <v>44778</v>
          </cell>
          <cell r="N1240" t="str">
            <v>Dumraon</v>
          </cell>
        </row>
        <row r="1241">
          <cell r="B1241">
            <v>10140025</v>
          </cell>
          <cell r="C1241" t="str">
            <v>0025</v>
          </cell>
          <cell r="D1241" t="str">
            <v>2439</v>
          </cell>
          <cell r="E1241" t="str">
            <v>MPG</v>
          </cell>
          <cell r="F1241" t="str">
            <v>Direct</v>
          </cell>
          <cell r="G1241" t="str">
            <v>BADKA SIHANPURA</v>
          </cell>
          <cell r="H1241" t="str">
            <v>RINKU DEVI</v>
          </cell>
          <cell r="I1241">
            <v>7667595449</v>
          </cell>
          <cell r="J1241" t="str">
            <v>101401</v>
          </cell>
          <cell r="K1241" t="str">
            <v>Yes</v>
          </cell>
          <cell r="L1241">
            <v>44778</v>
          </cell>
          <cell r="N1241" t="str">
            <v>Dumraon</v>
          </cell>
        </row>
        <row r="1242">
          <cell r="B1242">
            <v>10140026</v>
          </cell>
          <cell r="C1242" t="str">
            <v>0026</v>
          </cell>
          <cell r="D1242" t="str">
            <v>2482</v>
          </cell>
          <cell r="E1242" t="str">
            <v>MPG</v>
          </cell>
          <cell r="F1242" t="str">
            <v>Indirect</v>
          </cell>
          <cell r="G1242" t="str">
            <v>Gomukh ID Dumri</v>
          </cell>
          <cell r="H1242" t="str">
            <v>Ghanshayam Kumar</v>
          </cell>
          <cell r="I1242">
            <v>6202773480</v>
          </cell>
          <cell r="J1242" t="str">
            <v>101401</v>
          </cell>
          <cell r="K1242" t="str">
            <v/>
          </cell>
          <cell r="L1242">
            <v>44802</v>
          </cell>
          <cell r="N1242" t="str">
            <v>Dumraon</v>
          </cell>
        </row>
        <row r="1243">
          <cell r="B1243">
            <v>10140027</v>
          </cell>
          <cell r="C1243" t="str">
            <v>0027</v>
          </cell>
          <cell r="D1243" t="str">
            <v>2442</v>
          </cell>
          <cell r="E1243" t="str">
            <v>MPG</v>
          </cell>
          <cell r="F1243" t="str">
            <v>Indirect</v>
          </cell>
          <cell r="G1243" t="str">
            <v>Chatursal Ganj</v>
          </cell>
          <cell r="H1243" t="str">
            <v>MUNNA KUMAR YADAV</v>
          </cell>
          <cell r="I1243">
            <v>8804917900</v>
          </cell>
          <cell r="J1243" t="str">
            <v>101408</v>
          </cell>
          <cell r="K1243" t="str">
            <v>Yes</v>
          </cell>
          <cell r="L1243">
            <v>44835</v>
          </cell>
          <cell r="N1243" t="str">
            <v>Dumraon</v>
          </cell>
        </row>
        <row r="1244">
          <cell r="B1244">
            <v>10140028</v>
          </cell>
          <cell r="C1244" t="str">
            <v>0028</v>
          </cell>
          <cell r="D1244" t="str">
            <v>2444</v>
          </cell>
          <cell r="E1244" t="str">
            <v>MPG</v>
          </cell>
          <cell r="F1244" t="str">
            <v>Direct</v>
          </cell>
          <cell r="G1244" t="str">
            <v>Samhar</v>
          </cell>
          <cell r="H1244" t="str">
            <v>Bisheshwar singh</v>
          </cell>
          <cell r="I1244">
            <v>9304817277</v>
          </cell>
          <cell r="J1244" t="str">
            <v>101407</v>
          </cell>
          <cell r="K1244" t="str">
            <v>Yes</v>
          </cell>
          <cell r="L1244">
            <v>44835</v>
          </cell>
          <cell r="N1244" t="str">
            <v>Dumraon</v>
          </cell>
        </row>
        <row r="1245">
          <cell r="B1245">
            <v>10140029</v>
          </cell>
          <cell r="C1245" t="str">
            <v>0029</v>
          </cell>
          <cell r="D1245" t="str">
            <v>2445</v>
          </cell>
          <cell r="E1245" t="str">
            <v>MPG</v>
          </cell>
          <cell r="F1245" t="str">
            <v>Direct</v>
          </cell>
          <cell r="G1245" t="str">
            <v>Chilahri</v>
          </cell>
          <cell r="H1245" t="str">
            <v xml:space="preserve">Pankaj kumar </v>
          </cell>
          <cell r="I1245">
            <v>9507649648</v>
          </cell>
          <cell r="J1245" t="str">
            <v>101404</v>
          </cell>
          <cell r="K1245" t="str">
            <v>Yes</v>
          </cell>
          <cell r="L1245">
            <v>44835</v>
          </cell>
          <cell r="N1245" t="str">
            <v>Dumraon</v>
          </cell>
        </row>
        <row r="1246">
          <cell r="B1246">
            <v>10140030</v>
          </cell>
          <cell r="C1246" t="str">
            <v>0030</v>
          </cell>
          <cell r="D1246" t="str">
            <v>2446</v>
          </cell>
          <cell r="E1246" t="str">
            <v>MPG</v>
          </cell>
          <cell r="F1246" t="str">
            <v>Direct</v>
          </cell>
          <cell r="G1246" t="str">
            <v xml:space="preserve">Harnaha                                                                                             </v>
          </cell>
          <cell r="H1246">
            <v>0</v>
          </cell>
          <cell r="I1246">
            <v>0</v>
          </cell>
          <cell r="J1246" t="str">
            <v>101407</v>
          </cell>
          <cell r="K1246" t="str">
            <v>Yes</v>
          </cell>
          <cell r="L1246">
            <v>44866</v>
          </cell>
          <cell r="N1246" t="str">
            <v>Dumraon</v>
          </cell>
        </row>
        <row r="1247">
          <cell r="B1247">
            <v>10140031</v>
          </cell>
          <cell r="C1247" t="str">
            <v>0031</v>
          </cell>
          <cell r="D1247" t="str">
            <v>2447</v>
          </cell>
          <cell r="E1247" t="str">
            <v>MPG</v>
          </cell>
          <cell r="F1247" t="str">
            <v>Direct</v>
          </cell>
          <cell r="G1247" t="str">
            <v xml:space="preserve">Bhabhuar                                                                                            </v>
          </cell>
          <cell r="H1247">
            <v>0</v>
          </cell>
          <cell r="I1247">
            <v>0</v>
          </cell>
          <cell r="J1247" t="str">
            <v>101407</v>
          </cell>
          <cell r="K1247" t="str">
            <v>Yes</v>
          </cell>
          <cell r="L1247">
            <v>44866</v>
          </cell>
          <cell r="N1247" t="str">
            <v>Dumraon</v>
          </cell>
        </row>
        <row r="1248">
          <cell r="B1248">
            <v>10140032</v>
          </cell>
          <cell r="C1248" t="str">
            <v>0032</v>
          </cell>
          <cell r="D1248" t="str">
            <v>2449</v>
          </cell>
          <cell r="E1248" t="str">
            <v>MPG</v>
          </cell>
          <cell r="F1248" t="str">
            <v>Direct</v>
          </cell>
          <cell r="G1248" t="str">
            <v>Chaugain</v>
          </cell>
          <cell r="H1248" t="str">
            <v>Pushpa devi</v>
          </cell>
          <cell r="I1248">
            <v>8651691707</v>
          </cell>
          <cell r="J1248" t="str">
            <v>101408</v>
          </cell>
          <cell r="K1248" t="str">
            <v>Yes</v>
          </cell>
          <cell r="L1248">
            <v>44923</v>
          </cell>
          <cell r="N1248" t="str">
            <v>Dumraon</v>
          </cell>
        </row>
        <row r="1249">
          <cell r="B1249">
            <v>10140033</v>
          </cell>
          <cell r="C1249" t="str">
            <v>0033</v>
          </cell>
          <cell r="D1249" t="str">
            <v>2450</v>
          </cell>
          <cell r="E1249" t="str">
            <v>MPG</v>
          </cell>
          <cell r="F1249" t="str">
            <v>Direct</v>
          </cell>
          <cell r="G1249" t="str">
            <v>Akalupur</v>
          </cell>
          <cell r="H1249" t="str">
            <v xml:space="preserve">Sarvjeet Kumar </v>
          </cell>
          <cell r="I1249">
            <v>9097982065</v>
          </cell>
          <cell r="J1249" t="str">
            <v>101408</v>
          </cell>
          <cell r="K1249" t="str">
            <v>Yes</v>
          </cell>
          <cell r="L1249">
            <v>44923</v>
          </cell>
          <cell r="N1249" t="str">
            <v>Dumraon</v>
          </cell>
        </row>
        <row r="1250">
          <cell r="B1250">
            <v>10140034</v>
          </cell>
          <cell r="C1250" t="str">
            <v>0034</v>
          </cell>
          <cell r="D1250" t="str">
            <v>2448</v>
          </cell>
          <cell r="E1250" t="str">
            <v>MPG</v>
          </cell>
          <cell r="F1250" t="str">
            <v>Direct</v>
          </cell>
          <cell r="G1250" t="str">
            <v>Chhotka Sihanpura</v>
          </cell>
          <cell r="H1250" t="str">
            <v>Manbodh Ojha</v>
          </cell>
          <cell r="I1250">
            <v>9263928881</v>
          </cell>
          <cell r="J1250" t="str">
            <v>101401</v>
          </cell>
          <cell r="K1250" t="str">
            <v>Yes</v>
          </cell>
          <cell r="L1250">
            <v>44928</v>
          </cell>
          <cell r="N1250" t="str">
            <v>Dumraon</v>
          </cell>
        </row>
        <row r="1251">
          <cell r="B1251">
            <v>10140035</v>
          </cell>
          <cell r="C1251" t="str">
            <v>0035</v>
          </cell>
          <cell r="D1251" t="str">
            <v>2452</v>
          </cell>
          <cell r="E1251" t="str">
            <v>MPG</v>
          </cell>
          <cell r="F1251" t="str">
            <v>Direct</v>
          </cell>
          <cell r="G1251" t="str">
            <v>Harikishunpur</v>
          </cell>
          <cell r="H1251" t="str">
            <v>Gunjan Kumar Pandey</v>
          </cell>
          <cell r="I1251">
            <v>8271172594</v>
          </cell>
          <cell r="J1251" t="str">
            <v>101402</v>
          </cell>
          <cell r="K1251" t="str">
            <v/>
          </cell>
          <cell r="L1251">
            <v>44956</v>
          </cell>
          <cell r="N1251" t="str">
            <v>Dumraon</v>
          </cell>
        </row>
        <row r="1252">
          <cell r="B1252">
            <v>10140036</v>
          </cell>
          <cell r="C1252" t="str">
            <v>0036</v>
          </cell>
          <cell r="D1252" t="str">
            <v>2455</v>
          </cell>
          <cell r="E1252" t="str">
            <v>MPG</v>
          </cell>
          <cell r="F1252" t="str">
            <v>Direct</v>
          </cell>
          <cell r="G1252" t="str">
            <v>Mahadah Pachim</v>
          </cell>
          <cell r="H1252" t="str">
            <v>Raman Kumar</v>
          </cell>
          <cell r="I1252">
            <v>7707021245</v>
          </cell>
          <cell r="J1252" t="str">
            <v>101404</v>
          </cell>
          <cell r="K1252" t="str">
            <v>Yes</v>
          </cell>
          <cell r="L1252">
            <v>44972</v>
          </cell>
          <cell r="N1252" t="str">
            <v>Dumraon</v>
          </cell>
        </row>
        <row r="1253">
          <cell r="B1253">
            <v>10140037</v>
          </cell>
          <cell r="C1253" t="str">
            <v>0037</v>
          </cell>
          <cell r="D1253" t="str">
            <v>2458</v>
          </cell>
          <cell r="E1253" t="str">
            <v>MPG</v>
          </cell>
          <cell r="F1253" t="str">
            <v>Direct</v>
          </cell>
          <cell r="G1253" t="str">
            <v>Dalsagar</v>
          </cell>
          <cell r="H1253" t="str">
            <v>Radheshyam Singh</v>
          </cell>
          <cell r="I1253">
            <v>6201689609</v>
          </cell>
          <cell r="J1253" t="str">
            <v>101402</v>
          </cell>
          <cell r="K1253" t="str">
            <v>Yes</v>
          </cell>
          <cell r="L1253">
            <v>44972</v>
          </cell>
          <cell r="N1253" t="str">
            <v>Dumraon</v>
          </cell>
        </row>
        <row r="1254">
          <cell r="B1254">
            <v>10140038</v>
          </cell>
          <cell r="C1254" t="str">
            <v>0038</v>
          </cell>
          <cell r="D1254" t="str">
            <v>2454</v>
          </cell>
          <cell r="E1254" t="str">
            <v>MPG</v>
          </cell>
          <cell r="F1254" t="str">
            <v>Direct</v>
          </cell>
          <cell r="G1254" t="str">
            <v>Jagadhra</v>
          </cell>
          <cell r="H1254" t="str">
            <v>Jay Bhagwan Pandey</v>
          </cell>
          <cell r="I1254">
            <v>7033453247</v>
          </cell>
          <cell r="J1254" t="str">
            <v>101402</v>
          </cell>
          <cell r="K1254" t="str">
            <v>Yes</v>
          </cell>
          <cell r="L1254">
            <v>44974</v>
          </cell>
          <cell r="N1254" t="str">
            <v>Dumraon</v>
          </cell>
        </row>
        <row r="1255">
          <cell r="B1255">
            <v>10140039</v>
          </cell>
          <cell r="C1255" t="str">
            <v>0039</v>
          </cell>
          <cell r="D1255" t="str">
            <v>2456</v>
          </cell>
          <cell r="E1255" t="str">
            <v>MPG</v>
          </cell>
          <cell r="F1255" t="str">
            <v>Direct</v>
          </cell>
          <cell r="G1255" t="str">
            <v>Dharauli</v>
          </cell>
          <cell r="H1255" t="str">
            <v>Malti Devi</v>
          </cell>
          <cell r="I1255">
            <v>8002265021</v>
          </cell>
          <cell r="J1255" t="str">
            <v>101406</v>
          </cell>
          <cell r="K1255" t="str">
            <v>Yes</v>
          </cell>
          <cell r="L1255">
            <v>44974</v>
          </cell>
          <cell r="N1255" t="str">
            <v>Dumraon</v>
          </cell>
        </row>
        <row r="1256">
          <cell r="B1256">
            <v>10140040</v>
          </cell>
          <cell r="C1256" t="str">
            <v>0040</v>
          </cell>
          <cell r="D1256" t="str">
            <v>2451</v>
          </cell>
          <cell r="E1256" t="str">
            <v>MPG</v>
          </cell>
          <cell r="F1256" t="str">
            <v>Direct</v>
          </cell>
          <cell r="G1256" t="str">
            <v>Baruna</v>
          </cell>
          <cell r="H1256" t="str">
            <v>Rajani Kant Singh</v>
          </cell>
          <cell r="I1256">
            <v>9708342629</v>
          </cell>
          <cell r="J1256" t="str">
            <v>101407</v>
          </cell>
          <cell r="K1256" t="str">
            <v>Yes</v>
          </cell>
          <cell r="L1256">
            <v>44976</v>
          </cell>
          <cell r="N1256" t="str">
            <v>Dumraon</v>
          </cell>
        </row>
        <row r="1257">
          <cell r="B1257">
            <v>10140041</v>
          </cell>
          <cell r="C1257" t="str">
            <v>0041</v>
          </cell>
          <cell r="D1257" t="str">
            <v>2453</v>
          </cell>
          <cell r="E1257" t="str">
            <v>MPG</v>
          </cell>
          <cell r="F1257" t="str">
            <v>Direct</v>
          </cell>
          <cell r="G1257" t="str">
            <v>Ramopatti</v>
          </cell>
          <cell r="H1257" t="str">
            <v>Amit Kumar Pandey</v>
          </cell>
          <cell r="I1257">
            <v>7277905756</v>
          </cell>
          <cell r="J1257" t="str">
            <v>101402</v>
          </cell>
          <cell r="K1257" t="str">
            <v>Yes</v>
          </cell>
          <cell r="L1257">
            <v>44979</v>
          </cell>
          <cell r="N1257" t="str">
            <v>Dumraon</v>
          </cell>
        </row>
        <row r="1258">
          <cell r="B1258">
            <v>10140042</v>
          </cell>
          <cell r="C1258" t="str">
            <v>0042</v>
          </cell>
          <cell r="D1258" t="str">
            <v>2457</v>
          </cell>
          <cell r="E1258" t="str">
            <v>MPG</v>
          </cell>
          <cell r="F1258" t="str">
            <v>Direct</v>
          </cell>
          <cell r="G1258" t="str">
            <v>Jagdispur</v>
          </cell>
          <cell r="H1258" t="str">
            <v>Nagendra Pandey</v>
          </cell>
          <cell r="I1258">
            <v>6204110796</v>
          </cell>
          <cell r="J1258" t="str">
            <v>101404</v>
          </cell>
          <cell r="K1258" t="str">
            <v>Yes</v>
          </cell>
          <cell r="L1258">
            <v>44980</v>
          </cell>
          <cell r="N1258" t="str">
            <v>Dumraon</v>
          </cell>
        </row>
        <row r="1259">
          <cell r="B1259">
            <v>10140043</v>
          </cell>
          <cell r="C1259" t="str">
            <v>0043</v>
          </cell>
          <cell r="D1259" t="str">
            <v>2460</v>
          </cell>
          <cell r="E1259" t="str">
            <v>MPG</v>
          </cell>
          <cell r="F1259" t="str">
            <v>Direct</v>
          </cell>
          <cell r="G1259" t="str">
            <v>Kaithi</v>
          </cell>
          <cell r="H1259" t="str">
            <v>Santosh Yadav</v>
          </cell>
          <cell r="I1259">
            <v>9771144520</v>
          </cell>
          <cell r="J1259" t="str">
            <v>101406</v>
          </cell>
          <cell r="K1259" t="str">
            <v>Yes</v>
          </cell>
          <cell r="L1259">
            <v>44984</v>
          </cell>
          <cell r="N1259" t="str">
            <v>Dumraon</v>
          </cell>
        </row>
        <row r="1260">
          <cell r="B1260">
            <v>10140044</v>
          </cell>
          <cell r="C1260" t="str">
            <v>0044</v>
          </cell>
          <cell r="D1260" t="str">
            <v>2462</v>
          </cell>
          <cell r="E1260" t="str">
            <v>MPG</v>
          </cell>
          <cell r="F1260" t="str">
            <v>Direct</v>
          </cell>
          <cell r="G1260" t="str">
            <v>Chakaura</v>
          </cell>
          <cell r="H1260" t="str">
            <v>Kamalesh Singh</v>
          </cell>
          <cell r="I1260">
            <v>9570783140</v>
          </cell>
          <cell r="J1260" t="str">
            <v>101408</v>
          </cell>
          <cell r="K1260" t="str">
            <v>Yes</v>
          </cell>
          <cell r="L1260">
            <v>44984</v>
          </cell>
          <cell r="N1260" t="str">
            <v>Dumraon</v>
          </cell>
        </row>
        <row r="1261">
          <cell r="B1261">
            <v>10140045</v>
          </cell>
          <cell r="C1261" t="str">
            <v>0045</v>
          </cell>
          <cell r="D1261" t="str">
            <v>2465</v>
          </cell>
          <cell r="E1261" t="str">
            <v>MPG</v>
          </cell>
          <cell r="F1261" t="str">
            <v>Direct</v>
          </cell>
          <cell r="G1261" t="str">
            <v>Rangi Dera</v>
          </cell>
          <cell r="H1261" t="str">
            <v>Chandan Kumar Yadav</v>
          </cell>
          <cell r="I1261">
            <v>9576927817</v>
          </cell>
          <cell r="J1261" t="str">
            <v>101403</v>
          </cell>
          <cell r="K1261" t="str">
            <v>Yes</v>
          </cell>
          <cell r="L1261">
            <v>44995</v>
          </cell>
          <cell r="N1261" t="str">
            <v>Dumraon</v>
          </cell>
        </row>
        <row r="1262">
          <cell r="B1262">
            <v>10140046</v>
          </cell>
          <cell r="C1262" t="str">
            <v>0046</v>
          </cell>
          <cell r="D1262" t="str">
            <v>2466</v>
          </cell>
          <cell r="E1262" t="str">
            <v>MPG</v>
          </cell>
          <cell r="F1262" t="str">
            <v>Direct</v>
          </cell>
          <cell r="G1262" t="str">
            <v>Chotka Rajpur</v>
          </cell>
          <cell r="H1262" t="str">
            <v>Pappu Singh</v>
          </cell>
          <cell r="I1262">
            <v>7054535641</v>
          </cell>
          <cell r="J1262" t="str">
            <v>101402</v>
          </cell>
          <cell r="K1262" t="str">
            <v>Yes</v>
          </cell>
          <cell r="L1262">
            <v>44995</v>
          </cell>
          <cell r="N1262" t="str">
            <v>Dumraon</v>
          </cell>
        </row>
        <row r="1263">
          <cell r="B1263">
            <v>10140047</v>
          </cell>
          <cell r="C1263" t="str">
            <v>0047</v>
          </cell>
          <cell r="D1263" t="str">
            <v>2464</v>
          </cell>
          <cell r="E1263" t="str">
            <v>MPG</v>
          </cell>
          <cell r="F1263" t="str">
            <v>Direct</v>
          </cell>
          <cell r="G1263" t="str">
            <v>Dubki</v>
          </cell>
          <cell r="H1263" t="str">
            <v>Saroj Kumar</v>
          </cell>
          <cell r="I1263">
            <v>9122078800</v>
          </cell>
          <cell r="J1263" t="str">
            <v>101408</v>
          </cell>
          <cell r="K1263" t="str">
            <v>Yes</v>
          </cell>
          <cell r="L1263">
            <v>44996</v>
          </cell>
          <cell r="N1263" t="str">
            <v>Dumraon</v>
          </cell>
        </row>
        <row r="1264">
          <cell r="B1264">
            <v>10140048</v>
          </cell>
          <cell r="C1264" t="str">
            <v>0048</v>
          </cell>
          <cell r="D1264" t="str">
            <v>2463</v>
          </cell>
          <cell r="E1264" t="str">
            <v>MPG</v>
          </cell>
          <cell r="F1264" t="str">
            <v>Direct</v>
          </cell>
          <cell r="G1264" t="str">
            <v>Sonvarsa</v>
          </cell>
          <cell r="H1264" t="str">
            <v>Devendra Kumar Singh</v>
          </cell>
          <cell r="I1264">
            <v>7903125154</v>
          </cell>
          <cell r="J1264" t="str">
            <v>101402</v>
          </cell>
          <cell r="K1264" t="str">
            <v>Yes</v>
          </cell>
          <cell r="L1264">
            <v>44998</v>
          </cell>
          <cell r="N1264" t="str">
            <v>Dumraon</v>
          </cell>
        </row>
        <row r="1265">
          <cell r="B1265">
            <v>10140049</v>
          </cell>
          <cell r="C1265" t="str">
            <v>0049</v>
          </cell>
          <cell r="D1265" t="str">
            <v>2459</v>
          </cell>
          <cell r="E1265" t="str">
            <v>MPG</v>
          </cell>
          <cell r="F1265" t="str">
            <v>Direct</v>
          </cell>
          <cell r="G1265" t="str">
            <v>Boxa Paschim</v>
          </cell>
          <cell r="H1265" t="str">
            <v>Ramashray Singh</v>
          </cell>
          <cell r="I1265">
            <v>9265841241</v>
          </cell>
          <cell r="J1265" t="str">
            <v>101404</v>
          </cell>
          <cell r="K1265" t="str">
            <v>Yes</v>
          </cell>
          <cell r="L1265">
            <v>45000</v>
          </cell>
          <cell r="N1265" t="str">
            <v>Dumraon</v>
          </cell>
        </row>
        <row r="1266">
          <cell r="B1266">
            <v>10140050</v>
          </cell>
          <cell r="C1266" t="str">
            <v>0050</v>
          </cell>
          <cell r="D1266" t="str">
            <v>2467</v>
          </cell>
          <cell r="E1266" t="str">
            <v>MPG</v>
          </cell>
          <cell r="F1266" t="str">
            <v>Direct</v>
          </cell>
          <cell r="G1266" t="str">
            <v>GOMUKH MAJHARIYA</v>
          </cell>
          <cell r="H1266" t="str">
            <v>Sonu Kumar Gupta</v>
          </cell>
          <cell r="I1266">
            <v>7992411093</v>
          </cell>
          <cell r="J1266" t="str">
            <v>101402</v>
          </cell>
          <cell r="K1266" t="str">
            <v>Yes</v>
          </cell>
          <cell r="L1266">
            <v>45003</v>
          </cell>
          <cell r="N1266" t="str">
            <v>Dumraon</v>
          </cell>
        </row>
        <row r="1267">
          <cell r="B1267">
            <v>10140051</v>
          </cell>
          <cell r="C1267" t="str">
            <v>0051</v>
          </cell>
          <cell r="D1267" t="str">
            <v>2468</v>
          </cell>
          <cell r="E1267" t="str">
            <v>MPG</v>
          </cell>
          <cell r="F1267" t="str">
            <v>Direct</v>
          </cell>
          <cell r="G1267" t="str">
            <v>Kaithi Paschim</v>
          </cell>
          <cell r="H1267" t="str">
            <v>Manju Devi</v>
          </cell>
          <cell r="I1267">
            <v>7488933513</v>
          </cell>
          <cell r="J1267" t="str">
            <v>101406</v>
          </cell>
          <cell r="K1267" t="str">
            <v>Yes</v>
          </cell>
          <cell r="L1267">
            <v>45005</v>
          </cell>
          <cell r="N1267" t="str">
            <v>Dumraon</v>
          </cell>
        </row>
        <row r="1268">
          <cell r="B1268">
            <v>10140052</v>
          </cell>
          <cell r="C1268" t="str">
            <v>0052</v>
          </cell>
          <cell r="D1268" t="str">
            <v>2469</v>
          </cell>
          <cell r="E1268" t="str">
            <v>MPG</v>
          </cell>
          <cell r="F1268" t="str">
            <v>Direct</v>
          </cell>
          <cell r="G1268" t="str">
            <v>Balapur</v>
          </cell>
          <cell r="H1268" t="str">
            <v>Atal Bihari Ojha</v>
          </cell>
          <cell r="I1268">
            <v>6201298052</v>
          </cell>
          <cell r="J1268" t="str">
            <v>101402</v>
          </cell>
          <cell r="K1268" t="str">
            <v>Yes</v>
          </cell>
          <cell r="L1268">
            <v>45007</v>
          </cell>
          <cell r="N1268" t="str">
            <v>Dumraon</v>
          </cell>
        </row>
        <row r="1269">
          <cell r="B1269">
            <v>10140053</v>
          </cell>
          <cell r="C1269" t="str">
            <v>0053</v>
          </cell>
          <cell r="D1269" t="str">
            <v>2471</v>
          </cell>
          <cell r="E1269" t="str">
            <v>MPG</v>
          </cell>
          <cell r="F1269" t="str">
            <v>Direct</v>
          </cell>
          <cell r="G1269" t="str">
            <v>Narayanpur</v>
          </cell>
          <cell r="H1269" t="str">
            <v>Ashok Kumar</v>
          </cell>
          <cell r="I1269">
            <v>7643068957</v>
          </cell>
          <cell r="J1269" t="str">
            <v>101401</v>
          </cell>
          <cell r="K1269" t="str">
            <v>Yes</v>
          </cell>
          <cell r="L1269">
            <v>45012</v>
          </cell>
          <cell r="N1269" t="str">
            <v>Dumraon</v>
          </cell>
        </row>
        <row r="1270">
          <cell r="B1270">
            <v>10140054</v>
          </cell>
          <cell r="C1270" t="str">
            <v>0054</v>
          </cell>
          <cell r="D1270" t="str">
            <v>2473</v>
          </cell>
          <cell r="E1270" t="str">
            <v>MPG</v>
          </cell>
          <cell r="F1270" t="str">
            <v>Direct</v>
          </cell>
          <cell r="G1270" t="str">
            <v>Soan</v>
          </cell>
          <cell r="H1270" t="str">
            <v xml:space="preserve">Manish Kumar </v>
          </cell>
          <cell r="I1270">
            <v>8178272800</v>
          </cell>
          <cell r="J1270" t="str">
            <v>101405</v>
          </cell>
          <cell r="K1270" t="str">
            <v>Yes</v>
          </cell>
          <cell r="L1270">
            <v>45014</v>
          </cell>
          <cell r="N1270" t="str">
            <v>Dumraon</v>
          </cell>
        </row>
        <row r="1271">
          <cell r="B1271">
            <v>10140055</v>
          </cell>
          <cell r="C1271" t="str">
            <v>0055</v>
          </cell>
          <cell r="D1271" t="str">
            <v>2477</v>
          </cell>
          <cell r="E1271" t="str">
            <v>MPG</v>
          </cell>
          <cell r="F1271" t="str">
            <v>Direct</v>
          </cell>
          <cell r="G1271" t="str">
            <v xml:space="preserve">PURANA BHOJPUR                                                                                      </v>
          </cell>
          <cell r="H1271" t="str">
            <v>PREM KUMAR</v>
          </cell>
          <cell r="I1271">
            <v>6202232262</v>
          </cell>
          <cell r="J1271" t="str">
            <v>101406</v>
          </cell>
          <cell r="K1271" t="str">
            <v>Yes</v>
          </cell>
          <cell r="L1271">
            <v>45076</v>
          </cell>
          <cell r="N1271" t="str">
            <v>Dumraon</v>
          </cell>
        </row>
        <row r="1272">
          <cell r="B1272">
            <v>10140056</v>
          </cell>
          <cell r="C1272" t="str">
            <v>0056</v>
          </cell>
          <cell r="D1272" t="str">
            <v>2470</v>
          </cell>
          <cell r="E1272" t="str">
            <v>MPG</v>
          </cell>
          <cell r="F1272" t="str">
            <v>Direct</v>
          </cell>
          <cell r="G1272" t="str">
            <v>Chunni Dera</v>
          </cell>
          <cell r="H1272" t="str">
            <v>Kamal Singh</v>
          </cell>
          <cell r="I1272">
            <v>8789757009</v>
          </cell>
          <cell r="J1272" t="str">
            <v>101405</v>
          </cell>
          <cell r="K1272" t="str">
            <v>Yes</v>
          </cell>
          <cell r="L1272">
            <v>45110</v>
          </cell>
          <cell r="N1272" t="str">
            <v>Dumraon</v>
          </cell>
        </row>
        <row r="1273">
          <cell r="B1273">
            <v>10140057</v>
          </cell>
          <cell r="C1273" t="str">
            <v>0057</v>
          </cell>
          <cell r="D1273" t="str">
            <v>2479</v>
          </cell>
          <cell r="E1273" t="str">
            <v>MPG</v>
          </cell>
          <cell r="F1273" t="str">
            <v>Direct</v>
          </cell>
          <cell r="G1273" t="str">
            <v>Gomukh Tilak rai k hata</v>
          </cell>
          <cell r="H1273" t="str">
            <v>Dinesh Yadav</v>
          </cell>
          <cell r="I1273">
            <v>9508555091</v>
          </cell>
          <cell r="J1273" t="str">
            <v>101402</v>
          </cell>
          <cell r="K1273" t="str">
            <v>Yes</v>
          </cell>
          <cell r="L1273">
            <v>45126</v>
          </cell>
          <cell r="N1273" t="str">
            <v>Dumraon</v>
          </cell>
        </row>
        <row r="1274">
          <cell r="B1274">
            <v>10140058</v>
          </cell>
          <cell r="C1274" t="str">
            <v>0058</v>
          </cell>
          <cell r="D1274" t="str">
            <v>2478</v>
          </cell>
          <cell r="E1274" t="str">
            <v>MPG</v>
          </cell>
          <cell r="F1274" t="str">
            <v>Direct</v>
          </cell>
          <cell r="G1274" t="str">
            <v>Gomukh Lewar</v>
          </cell>
          <cell r="H1274" t="str">
            <v>Shanti Devi</v>
          </cell>
          <cell r="I1274">
            <v>8252388707</v>
          </cell>
          <cell r="J1274" t="str">
            <v>101408</v>
          </cell>
          <cell r="K1274" t="str">
            <v>Yes</v>
          </cell>
          <cell r="L1274">
            <v>45127</v>
          </cell>
          <cell r="N1274" t="str">
            <v>Dumraon</v>
          </cell>
        </row>
        <row r="1275">
          <cell r="B1275">
            <v>10140059</v>
          </cell>
          <cell r="C1275" t="str">
            <v>0059</v>
          </cell>
          <cell r="D1275" t="str">
            <v>2483</v>
          </cell>
          <cell r="E1275" t="str">
            <v>MPG</v>
          </cell>
          <cell r="F1275" t="str">
            <v>Direct</v>
          </cell>
          <cell r="G1275" t="str">
            <v>Gomukh Rahthua</v>
          </cell>
          <cell r="H1275" t="str">
            <v>Amit Kumar Singh</v>
          </cell>
          <cell r="I1275">
            <v>8541098840</v>
          </cell>
          <cell r="J1275" t="str">
            <v>101406</v>
          </cell>
          <cell r="K1275" t="str">
            <v>Yes</v>
          </cell>
          <cell r="L1275">
            <v>45155</v>
          </cell>
          <cell r="N1275" t="str">
            <v>Dumraon</v>
          </cell>
        </row>
        <row r="1276">
          <cell r="B1276">
            <v>10140060</v>
          </cell>
          <cell r="C1276" t="str">
            <v>0060</v>
          </cell>
          <cell r="D1276" t="str">
            <v>2484</v>
          </cell>
          <cell r="E1276" t="str">
            <v>MPG</v>
          </cell>
          <cell r="F1276" t="str">
            <v>Direct</v>
          </cell>
          <cell r="G1276" t="str">
            <v>Gomukh Rakshanagar</v>
          </cell>
          <cell r="H1276" t="str">
            <v>Rajkumari devi</v>
          </cell>
          <cell r="I1276">
            <v>7372897232</v>
          </cell>
          <cell r="J1276" t="str">
            <v>101406</v>
          </cell>
          <cell r="K1276" t="str">
            <v>Yes</v>
          </cell>
          <cell r="L1276">
            <v>45155</v>
          </cell>
          <cell r="N1276" t="str">
            <v>Dumraon</v>
          </cell>
        </row>
        <row r="1277">
          <cell r="B1277">
            <v>10140061</v>
          </cell>
          <cell r="C1277" t="str">
            <v>0061</v>
          </cell>
          <cell r="D1277" t="str">
            <v>2485</v>
          </cell>
          <cell r="E1277" t="str">
            <v>MPG</v>
          </cell>
          <cell r="F1277" t="str">
            <v>Direct</v>
          </cell>
          <cell r="G1277" t="str">
            <v>Gomukh Niyazipur</v>
          </cell>
          <cell r="H1277" t="str">
            <v>Nimasa Devi</v>
          </cell>
          <cell r="I1277">
            <v>9931606153</v>
          </cell>
          <cell r="J1277" t="str">
            <v>101402</v>
          </cell>
          <cell r="K1277" t="str">
            <v>Yes</v>
          </cell>
          <cell r="L1277">
            <v>45156</v>
          </cell>
          <cell r="N1277" t="str">
            <v>Dumraon</v>
          </cell>
        </row>
        <row r="1278">
          <cell r="B1278">
            <v>10140062</v>
          </cell>
          <cell r="C1278" t="str">
            <v>0062</v>
          </cell>
          <cell r="D1278" t="str">
            <v>6762</v>
          </cell>
          <cell r="E1278" t="str">
            <v>MPG</v>
          </cell>
          <cell r="F1278" t="str">
            <v>Indirect</v>
          </cell>
          <cell r="G1278" t="str">
            <v>Gomukh Nuoan Ravikant</v>
          </cell>
          <cell r="H1278" t="str">
            <v>Ravikant Yadav</v>
          </cell>
          <cell r="I1278">
            <v>6202520221</v>
          </cell>
          <cell r="J1278" t="str">
            <v>101406</v>
          </cell>
          <cell r="K1278" t="str">
            <v/>
          </cell>
          <cell r="L1278">
            <v>45156</v>
          </cell>
          <cell r="N1278" t="str">
            <v>Dumraon</v>
          </cell>
        </row>
        <row r="1279">
          <cell r="B1279">
            <v>10140063</v>
          </cell>
          <cell r="C1279" t="str">
            <v>0063</v>
          </cell>
          <cell r="D1279" t="str">
            <v>6763</v>
          </cell>
          <cell r="E1279" t="str">
            <v>MPG</v>
          </cell>
          <cell r="F1279" t="str">
            <v>Indirect</v>
          </cell>
          <cell r="G1279" t="str">
            <v>Gomukh Rawaldera Sudama</v>
          </cell>
          <cell r="H1279" t="str">
            <v>Sudama Ydav</v>
          </cell>
          <cell r="I1279">
            <v>6200070149</v>
          </cell>
          <cell r="J1279" t="str">
            <v>101406</v>
          </cell>
          <cell r="K1279" t="str">
            <v/>
          </cell>
          <cell r="L1279">
            <v>45156</v>
          </cell>
          <cell r="N1279" t="str">
            <v>Dumraon</v>
          </cell>
        </row>
        <row r="1280">
          <cell r="B1280">
            <v>10140064</v>
          </cell>
          <cell r="C1280" t="str">
            <v>0064</v>
          </cell>
          <cell r="D1280" t="str">
            <v>2486</v>
          </cell>
          <cell r="E1280" t="str">
            <v>MPG</v>
          </cell>
          <cell r="F1280" t="str">
            <v>Direct</v>
          </cell>
          <cell r="G1280" t="str">
            <v>Gomukh Athar</v>
          </cell>
          <cell r="H1280" t="str">
            <v>Satyanarayan singh</v>
          </cell>
          <cell r="I1280">
            <v>9631692942</v>
          </cell>
          <cell r="J1280" t="str">
            <v>101408</v>
          </cell>
          <cell r="K1280" t="str">
            <v>Yes</v>
          </cell>
          <cell r="L1280">
            <v>45163</v>
          </cell>
          <cell r="N1280" t="str">
            <v>Dumraon</v>
          </cell>
        </row>
        <row r="1281">
          <cell r="B1281">
            <v>10140065</v>
          </cell>
          <cell r="C1281" t="str">
            <v>0065</v>
          </cell>
          <cell r="D1281" t="str">
            <v>2487</v>
          </cell>
          <cell r="E1281" t="str">
            <v>MPG</v>
          </cell>
          <cell r="F1281" t="str">
            <v>Direct</v>
          </cell>
          <cell r="G1281" t="str">
            <v>Gomukh Garani</v>
          </cell>
          <cell r="H1281" t="str">
            <v>Rakesh Singh</v>
          </cell>
          <cell r="I1281">
            <v>9135426273</v>
          </cell>
          <cell r="J1281" t="str">
            <v>101402</v>
          </cell>
          <cell r="K1281" t="str">
            <v>Yes</v>
          </cell>
          <cell r="L1281">
            <v>45164</v>
          </cell>
          <cell r="N1281" t="str">
            <v>Dumraon</v>
          </cell>
        </row>
        <row r="1282">
          <cell r="B1282">
            <v>10140066</v>
          </cell>
          <cell r="C1282" t="str">
            <v>0066</v>
          </cell>
          <cell r="D1282" t="str">
            <v>2488</v>
          </cell>
          <cell r="E1282" t="str">
            <v>MPG</v>
          </cell>
          <cell r="F1282" t="str">
            <v>Direct</v>
          </cell>
          <cell r="G1282" t="str">
            <v>Gomukh Kant</v>
          </cell>
          <cell r="H1282" t="str">
            <v>Ali hasan anshari</v>
          </cell>
          <cell r="I1282">
            <v>8757033125</v>
          </cell>
          <cell r="J1282" t="str">
            <v>101406</v>
          </cell>
          <cell r="K1282" t="str">
            <v>Yes</v>
          </cell>
          <cell r="L1282">
            <v>45170</v>
          </cell>
          <cell r="N1282" t="str">
            <v>Dumraon</v>
          </cell>
        </row>
        <row r="1283">
          <cell r="B1283">
            <v>10140067</v>
          </cell>
          <cell r="C1283" t="str">
            <v>0067</v>
          </cell>
          <cell r="D1283" t="str">
            <v>2489</v>
          </cell>
          <cell r="E1283" t="str">
            <v>MPG</v>
          </cell>
          <cell r="F1283" t="str">
            <v>Direct</v>
          </cell>
          <cell r="G1283" t="str">
            <v>Gomukh Ekauna dera</v>
          </cell>
          <cell r="H1283" t="str">
            <v>Om Prakash Yadav</v>
          </cell>
          <cell r="I1283">
            <v>7654908356</v>
          </cell>
          <cell r="J1283" t="str">
            <v>101401</v>
          </cell>
          <cell r="K1283" t="str">
            <v>Yes</v>
          </cell>
          <cell r="L1283">
            <v>45170</v>
          </cell>
          <cell r="N1283" t="str">
            <v>Dumraon</v>
          </cell>
        </row>
        <row r="1284">
          <cell r="B1284">
            <v>10140068</v>
          </cell>
          <cell r="C1284" t="str">
            <v>0068</v>
          </cell>
          <cell r="D1284" t="str">
            <v>2490</v>
          </cell>
          <cell r="E1284" t="str">
            <v>MPG</v>
          </cell>
          <cell r="F1284" t="str">
            <v>Direct</v>
          </cell>
          <cell r="G1284" t="str">
            <v>Gomukh Naat</v>
          </cell>
          <cell r="H1284" t="str">
            <v>Abhisekh Kumar</v>
          </cell>
          <cell r="I1284">
            <v>6201167686</v>
          </cell>
          <cell r="J1284" t="str">
            <v>101402</v>
          </cell>
          <cell r="K1284" t="str">
            <v>Yes</v>
          </cell>
          <cell r="L1284">
            <v>45170</v>
          </cell>
          <cell r="N1284" t="str">
            <v>Dumraon</v>
          </cell>
        </row>
        <row r="1285">
          <cell r="B1285">
            <v>10140069</v>
          </cell>
          <cell r="C1285" t="str">
            <v>0069</v>
          </cell>
          <cell r="D1285" t="str">
            <v>2491</v>
          </cell>
          <cell r="E1285" t="str">
            <v>MPG</v>
          </cell>
          <cell r="F1285" t="str">
            <v>Direct</v>
          </cell>
          <cell r="G1285" t="str">
            <v>Gomukh Raghunathpur</v>
          </cell>
          <cell r="H1285" t="str">
            <v>Sudama Kumar</v>
          </cell>
          <cell r="I1285">
            <v>8102978679</v>
          </cell>
          <cell r="J1285" t="str">
            <v>101406</v>
          </cell>
          <cell r="K1285" t="str">
            <v>Yes</v>
          </cell>
          <cell r="L1285">
            <v>45170</v>
          </cell>
          <cell r="N1285" t="str">
            <v>Dumraon</v>
          </cell>
        </row>
        <row r="1286">
          <cell r="B1286">
            <v>10140070</v>
          </cell>
          <cell r="C1286" t="str">
            <v>0070</v>
          </cell>
          <cell r="D1286" t="str">
            <v>2493</v>
          </cell>
          <cell r="E1286" t="str">
            <v>MPG</v>
          </cell>
          <cell r="F1286" t="str">
            <v>Indirect</v>
          </cell>
          <cell r="G1286" t="str">
            <v>Gomukh Tawkal Ka Dera 1 - Sunil</v>
          </cell>
          <cell r="H1286" t="str">
            <v>Sunil Kumar</v>
          </cell>
          <cell r="I1286">
            <v>9031697759</v>
          </cell>
          <cell r="J1286" t="str">
            <v>101402</v>
          </cell>
          <cell r="K1286" t="str">
            <v/>
          </cell>
          <cell r="L1286">
            <v>44921</v>
          </cell>
          <cell r="N1286" t="str">
            <v>Dumraon</v>
          </cell>
        </row>
        <row r="1287">
          <cell r="B1287">
            <v>10140071</v>
          </cell>
          <cell r="C1287" t="str">
            <v>0071</v>
          </cell>
          <cell r="D1287" t="str">
            <v>2494</v>
          </cell>
          <cell r="E1287" t="str">
            <v>MPG</v>
          </cell>
          <cell r="F1287" t="str">
            <v>Indirect</v>
          </cell>
          <cell r="G1287" t="str">
            <v>Gomukh Tilakraika Hata 1 - Manoj</v>
          </cell>
          <cell r="H1287" t="str">
            <v>Manoj Kumar Yadav</v>
          </cell>
          <cell r="I1287">
            <v>9171270295</v>
          </cell>
          <cell r="J1287" t="str">
            <v>101402</v>
          </cell>
          <cell r="K1287" t="str">
            <v/>
          </cell>
          <cell r="L1287">
            <v>45141</v>
          </cell>
          <cell r="N1287" t="str">
            <v>Dumraon</v>
          </cell>
        </row>
        <row r="1288">
          <cell r="B1288">
            <v>10140072</v>
          </cell>
          <cell r="C1288" t="str">
            <v>0072</v>
          </cell>
          <cell r="D1288" t="str">
            <v>2495</v>
          </cell>
          <cell r="E1288" t="str">
            <v>MPG</v>
          </cell>
          <cell r="F1288" t="str">
            <v>Indirect</v>
          </cell>
          <cell r="G1288" t="str">
            <v>Gomukh Barkarajpur1 - Sujeet</v>
          </cell>
          <cell r="H1288" t="str">
            <v>Sujeet Kumar Mishra</v>
          </cell>
          <cell r="I1288">
            <v>8294161776</v>
          </cell>
          <cell r="J1288" t="str">
            <v>101401</v>
          </cell>
          <cell r="K1288" t="str">
            <v/>
          </cell>
          <cell r="L1288">
            <v>45099</v>
          </cell>
          <cell r="N1288" t="str">
            <v>Dumraon</v>
          </cell>
        </row>
        <row r="1289">
          <cell r="B1289">
            <v>10140073</v>
          </cell>
          <cell r="C1289" t="str">
            <v>0073</v>
          </cell>
          <cell r="D1289" t="str">
            <v>2496</v>
          </cell>
          <cell r="E1289" t="str">
            <v>MPG</v>
          </cell>
          <cell r="F1289" t="str">
            <v>Indirect</v>
          </cell>
          <cell r="G1289" t="str">
            <v>Gomukh Kharhatanr 1 - Rajnikant</v>
          </cell>
          <cell r="H1289" t="str">
            <v>Rajnikant Ojha</v>
          </cell>
          <cell r="I1289">
            <v>8809853551</v>
          </cell>
          <cell r="J1289" t="str">
            <v>101401</v>
          </cell>
          <cell r="K1289" t="str">
            <v/>
          </cell>
          <cell r="L1289">
            <v>44930</v>
          </cell>
          <cell r="N1289" t="str">
            <v>Dumraon</v>
          </cell>
        </row>
        <row r="1290">
          <cell r="B1290">
            <v>10140074</v>
          </cell>
          <cell r="C1290" t="str">
            <v>0074</v>
          </cell>
          <cell r="D1290" t="str">
            <v>2497</v>
          </cell>
          <cell r="E1290" t="str">
            <v>MPG</v>
          </cell>
          <cell r="F1290" t="str">
            <v>Indirect</v>
          </cell>
          <cell r="G1290" t="str">
            <v>Gomukh Suraundha 1 - Jitendra</v>
          </cell>
          <cell r="H1290" t="str">
            <v>Jitendra Kumar</v>
          </cell>
          <cell r="I1290">
            <v>9022718556</v>
          </cell>
          <cell r="J1290" t="str">
            <v>101404</v>
          </cell>
          <cell r="K1290" t="str">
            <v/>
          </cell>
          <cell r="L1290">
            <v>45093</v>
          </cell>
          <cell r="N1290" t="str">
            <v>Dumraon</v>
          </cell>
        </row>
        <row r="1291">
          <cell r="B1291">
            <v>10140075</v>
          </cell>
          <cell r="C1291" t="str">
            <v>0075</v>
          </cell>
          <cell r="D1291" t="str">
            <v>2498</v>
          </cell>
          <cell r="E1291" t="str">
            <v>MPG</v>
          </cell>
          <cell r="F1291" t="str">
            <v>Direct</v>
          </cell>
          <cell r="G1291" t="str">
            <v>Gomukh Rampur </v>
          </cell>
          <cell r="H1291" t="str">
            <v>Sarvjeet kumar</v>
          </cell>
          <cell r="I1291">
            <v>7654118428</v>
          </cell>
          <cell r="J1291" t="str">
            <v>101408</v>
          </cell>
          <cell r="K1291" t="str">
            <v>Yes</v>
          </cell>
          <cell r="L1291">
            <v>45233</v>
          </cell>
          <cell r="N1291" t="str">
            <v>Dumraon</v>
          </cell>
        </row>
        <row r="1292">
          <cell r="B1292">
            <v>10140076</v>
          </cell>
          <cell r="C1292" t="str">
            <v>0076</v>
          </cell>
          <cell r="D1292" t="str">
            <v>2500</v>
          </cell>
          <cell r="E1292" t="str">
            <v>MPG</v>
          </cell>
          <cell r="F1292" t="str">
            <v>Direct</v>
          </cell>
          <cell r="G1292" t="str">
            <v>Gomukh Khekhsi</v>
          </cell>
          <cell r="H1292" t="str">
            <v>Gyan prakash Singh</v>
          </cell>
          <cell r="I1292">
            <v>7542004761</v>
          </cell>
          <cell r="J1292" t="str">
            <v>101407</v>
          </cell>
          <cell r="K1292" t="str">
            <v>Yes</v>
          </cell>
          <cell r="L1292">
            <v>45261</v>
          </cell>
          <cell r="N1292" t="str">
            <v>Dumraon</v>
          </cell>
        </row>
        <row r="1293">
          <cell r="B1293">
            <v>10140077</v>
          </cell>
          <cell r="C1293" t="str">
            <v>0077</v>
          </cell>
          <cell r="D1293" t="str">
            <v>2501</v>
          </cell>
          <cell r="E1293" t="str">
            <v>MPG</v>
          </cell>
          <cell r="F1293" t="str">
            <v>Direct</v>
          </cell>
          <cell r="G1293" t="str">
            <v>Gomukh Basaon</v>
          </cell>
          <cell r="H1293" t="str">
            <v>Om Prakesh Yadav</v>
          </cell>
          <cell r="I1293">
            <v>9341194993</v>
          </cell>
          <cell r="J1293" t="str">
            <v>101407</v>
          </cell>
          <cell r="K1293" t="str">
            <v>Yes</v>
          </cell>
          <cell r="L1293">
            <v>45260</v>
          </cell>
          <cell r="N1293" t="str">
            <v>Dumraon</v>
          </cell>
        </row>
        <row r="1294">
          <cell r="B1294">
            <v>10140078</v>
          </cell>
          <cell r="C1294" t="str">
            <v>0078</v>
          </cell>
          <cell r="D1294" t="str">
            <v>2503</v>
          </cell>
          <cell r="E1294" t="str">
            <v>MPG</v>
          </cell>
          <cell r="F1294" t="str">
            <v>Direct</v>
          </cell>
          <cell r="G1294" t="str">
            <v>Gomukh Jawahi</v>
          </cell>
          <cell r="H1294" t="str">
            <v>Ajesh Kumar</v>
          </cell>
          <cell r="I1294">
            <v>6200075766</v>
          </cell>
          <cell r="J1294" t="str">
            <v>101403</v>
          </cell>
          <cell r="K1294" t="str">
            <v>Yes</v>
          </cell>
          <cell r="L1294">
            <v>45236</v>
          </cell>
          <cell r="N1294" t="str">
            <v>Dumraon</v>
          </cell>
        </row>
        <row r="1295">
          <cell r="B1295">
            <v>10140079</v>
          </cell>
          <cell r="C1295" t="str">
            <v>0079</v>
          </cell>
          <cell r="D1295" t="str">
            <v>2504</v>
          </cell>
          <cell r="E1295" t="str">
            <v>MPG</v>
          </cell>
          <cell r="F1295" t="str">
            <v>Direct</v>
          </cell>
          <cell r="G1295" t="str">
            <v>Gomukh Harpur South</v>
          </cell>
          <cell r="H1295" t="str">
            <v>Dhanji Kumar Sharma</v>
          </cell>
          <cell r="I1295">
            <v>9955613979</v>
          </cell>
          <cell r="J1295" t="str">
            <v>101407</v>
          </cell>
          <cell r="K1295" t="str">
            <v>Yes</v>
          </cell>
          <cell r="L1295">
            <v>45266</v>
          </cell>
          <cell r="N1295" t="str">
            <v>Dumraon</v>
          </cell>
        </row>
        <row r="1296">
          <cell r="B1296">
            <v>10140080</v>
          </cell>
          <cell r="C1296" t="str">
            <v>0080</v>
          </cell>
          <cell r="D1296" t="str">
            <v>2505</v>
          </cell>
          <cell r="E1296" t="str">
            <v>MPG</v>
          </cell>
          <cell r="F1296" t="str">
            <v>Direct</v>
          </cell>
          <cell r="G1296" t="str">
            <v>Gomukh East Harpur</v>
          </cell>
          <cell r="H1296" t="str">
            <v>Ram Awadh singh</v>
          </cell>
          <cell r="I1296">
            <v>9525508393</v>
          </cell>
          <cell r="J1296" t="str">
            <v>101407</v>
          </cell>
          <cell r="K1296" t="str">
            <v>Yes</v>
          </cell>
          <cell r="L1296">
            <v>45261</v>
          </cell>
          <cell r="N1296" t="str">
            <v>Dumraon</v>
          </cell>
        </row>
        <row r="1297">
          <cell r="B1297">
            <v>10140081</v>
          </cell>
          <cell r="C1297" t="str">
            <v>0081</v>
          </cell>
          <cell r="D1297" t="str">
            <v>2506</v>
          </cell>
          <cell r="E1297" t="str">
            <v>MPG</v>
          </cell>
          <cell r="F1297" t="str">
            <v>Direct</v>
          </cell>
          <cell r="G1297" t="str">
            <v>Gomukh Basudhar</v>
          </cell>
          <cell r="H1297" t="str">
            <v>Veer Bahadur Yadav</v>
          </cell>
          <cell r="I1297">
            <v>8448954273</v>
          </cell>
          <cell r="J1297" t="str">
            <v>101407</v>
          </cell>
          <cell r="K1297" t="str">
            <v>Yes</v>
          </cell>
          <cell r="L1297">
            <v>45260</v>
          </cell>
          <cell r="N1297" t="str">
            <v>Dumraon</v>
          </cell>
        </row>
        <row r="1298">
          <cell r="B1298">
            <v>10140082</v>
          </cell>
          <cell r="C1298" t="str">
            <v>0082</v>
          </cell>
          <cell r="D1298" t="str">
            <v>2510</v>
          </cell>
          <cell r="E1298" t="str">
            <v>MPG</v>
          </cell>
          <cell r="F1298" t="str">
            <v>Direct</v>
          </cell>
          <cell r="G1298" t="str">
            <v>Gomukh Purushotampur</v>
          </cell>
          <cell r="H1298" t="str">
            <v>Sushila Kumari</v>
          </cell>
          <cell r="I1298">
            <v>8002225059</v>
          </cell>
          <cell r="J1298" t="str">
            <v>101407</v>
          </cell>
          <cell r="K1298" t="str">
            <v>Yes</v>
          </cell>
          <cell r="L1298">
            <v>45292</v>
          </cell>
          <cell r="N1298" t="str">
            <v>Dumraon</v>
          </cell>
        </row>
        <row r="1299">
          <cell r="B1299">
            <v>10140083</v>
          </cell>
          <cell r="C1299" t="str">
            <v>0083</v>
          </cell>
          <cell r="D1299" t="str">
            <v>2516</v>
          </cell>
          <cell r="E1299" t="str">
            <v>MPG</v>
          </cell>
          <cell r="F1299" t="str">
            <v>Direct</v>
          </cell>
          <cell r="G1299" t="str">
            <v>Gomukh Murar</v>
          </cell>
          <cell r="H1299" t="str">
            <v>Sonu Kumar</v>
          </cell>
          <cell r="I1299">
            <v>8287693855</v>
          </cell>
          <cell r="J1299" t="str">
            <v>101408</v>
          </cell>
          <cell r="K1299" t="str">
            <v>Yes</v>
          </cell>
          <cell r="L1299">
            <v>45292</v>
          </cell>
          <cell r="N1299" t="str">
            <v>Dumraon</v>
          </cell>
        </row>
        <row r="1300">
          <cell r="B1300">
            <v>10140084</v>
          </cell>
          <cell r="C1300" t="str">
            <v>0084</v>
          </cell>
          <cell r="D1300" t="str">
            <v>2492</v>
          </cell>
          <cell r="E1300" t="str">
            <v>MPG</v>
          </cell>
          <cell r="F1300" t="str">
            <v>Direct</v>
          </cell>
          <cell r="G1300" t="str">
            <v>Gomukh Bithalpur                                                                                    </v>
          </cell>
          <cell r="H1300" t="str">
            <v>Ram Kumar</v>
          </cell>
          <cell r="I1300">
            <v>8102718650</v>
          </cell>
          <cell r="J1300" t="str">
            <v>101404</v>
          </cell>
          <cell r="K1300" t="str">
            <v>Yes</v>
          </cell>
          <cell r="L1300">
            <v>45198</v>
          </cell>
          <cell r="N1300" t="str">
            <v>Dumraon</v>
          </cell>
        </row>
        <row r="1301">
          <cell r="B1301">
            <v>10140085</v>
          </cell>
          <cell r="C1301" t="str">
            <v>0085</v>
          </cell>
          <cell r="D1301" t="str">
            <v>2509</v>
          </cell>
          <cell r="E1301" t="str">
            <v>MPG</v>
          </cell>
          <cell r="F1301" t="str">
            <v>Direct</v>
          </cell>
          <cell r="G1301" t="str">
            <v xml:space="preserve">Gomukh Nenuwa                                                                                       </v>
          </cell>
          <cell r="H1301" t="str">
            <v>Ravishankar Mishra</v>
          </cell>
          <cell r="I1301">
            <v>7870514897</v>
          </cell>
          <cell r="J1301" t="str">
            <v>101407</v>
          </cell>
          <cell r="K1301" t="str">
            <v>Yes</v>
          </cell>
          <cell r="L1301">
            <v>45292</v>
          </cell>
          <cell r="N1301" t="str">
            <v>Dumraon</v>
          </cell>
        </row>
        <row r="1302">
          <cell r="B1302">
            <v>10140086</v>
          </cell>
          <cell r="C1302" t="str">
            <v>0086</v>
          </cell>
          <cell r="D1302" t="str">
            <v>2514</v>
          </cell>
          <cell r="E1302" t="str">
            <v>MPG</v>
          </cell>
          <cell r="F1302" t="str">
            <v>Direct</v>
          </cell>
          <cell r="G1302" t="str">
            <v xml:space="preserve">Gomukh Makundpur                                                                                    </v>
          </cell>
          <cell r="H1302" t="str">
            <v>Bhupendra Singh</v>
          </cell>
          <cell r="I1302">
            <v>9334727573</v>
          </cell>
          <cell r="J1302" t="str">
            <v>101401</v>
          </cell>
          <cell r="K1302" t="str">
            <v>Yes</v>
          </cell>
          <cell r="L1302">
            <v>45292</v>
          </cell>
          <cell r="N1302" t="str">
            <v>Dumraon</v>
          </cell>
        </row>
        <row r="1303">
          <cell r="B1303">
            <v>10140087</v>
          </cell>
          <cell r="C1303" t="str">
            <v>0087</v>
          </cell>
          <cell r="D1303" t="str">
            <v>2517</v>
          </cell>
          <cell r="E1303" t="str">
            <v>MPG</v>
          </cell>
          <cell r="F1303" t="str">
            <v>Direct</v>
          </cell>
          <cell r="G1303" t="str">
            <v xml:space="preserve">Gomukh Churamanpur                                                                                  </v>
          </cell>
          <cell r="H1303" t="str">
            <v>Sunita Devi</v>
          </cell>
          <cell r="I1303">
            <v>6200450098</v>
          </cell>
          <cell r="J1303" t="str">
            <v>101402</v>
          </cell>
          <cell r="K1303" t="str">
            <v>Yes</v>
          </cell>
          <cell r="L1303">
            <v>45292</v>
          </cell>
          <cell r="N1303" t="str">
            <v>Dumraon</v>
          </cell>
        </row>
        <row r="1304">
          <cell r="B1304">
            <v>10140088</v>
          </cell>
          <cell r="C1304" t="str">
            <v>0088</v>
          </cell>
          <cell r="D1304" t="str">
            <v>2507</v>
          </cell>
          <cell r="E1304" t="str">
            <v>MPG</v>
          </cell>
          <cell r="F1304" t="str">
            <v>Direct</v>
          </cell>
          <cell r="G1304" t="str">
            <v xml:space="preserve">Gomukh Baksara                                                                                      </v>
          </cell>
          <cell r="H1304" t="str">
            <v>Jay Prkash Kumar</v>
          </cell>
          <cell r="I1304">
            <v>9576469209</v>
          </cell>
          <cell r="J1304" t="str">
            <v>101407</v>
          </cell>
          <cell r="K1304" t="str">
            <v>Yes</v>
          </cell>
          <cell r="L1304">
            <v>45292</v>
          </cell>
          <cell r="N1304" t="str">
            <v>Dumraon</v>
          </cell>
        </row>
        <row r="1305">
          <cell r="B1305">
            <v>10140089</v>
          </cell>
          <cell r="C1305" t="str">
            <v>0089</v>
          </cell>
          <cell r="D1305" t="str">
            <v>2511</v>
          </cell>
          <cell r="E1305" t="str">
            <v>MPG</v>
          </cell>
          <cell r="F1305" t="str">
            <v>Direct</v>
          </cell>
          <cell r="G1305" t="str">
            <v>Gomukh Piria</v>
          </cell>
          <cell r="H1305" t="str">
            <v>Shriman Yadav</v>
          </cell>
          <cell r="I1305">
            <v>9117642443</v>
          </cell>
          <cell r="J1305" t="str">
            <v>101404</v>
          </cell>
          <cell r="K1305" t="str">
            <v>Yes</v>
          </cell>
          <cell r="L1305">
            <v>45292</v>
          </cell>
          <cell r="N1305" t="str">
            <v>Dumraon</v>
          </cell>
        </row>
        <row r="1306">
          <cell r="B1306">
            <v>10140090</v>
          </cell>
          <cell r="C1306" t="str">
            <v>0090</v>
          </cell>
          <cell r="D1306" t="str">
            <v>2502</v>
          </cell>
          <cell r="E1306" t="str">
            <v>MPG</v>
          </cell>
          <cell r="F1306" t="str">
            <v>Direct</v>
          </cell>
          <cell r="G1306" t="str">
            <v>Gomukh Kirani</v>
          </cell>
          <cell r="H1306" t="str">
            <v>MD Parvez Alam</v>
          </cell>
          <cell r="I1306">
            <v>9955163963</v>
          </cell>
          <cell r="J1306" t="str">
            <v>101408</v>
          </cell>
          <cell r="K1306" t="str">
            <v>Yes</v>
          </cell>
          <cell r="L1306">
            <v>45323</v>
          </cell>
          <cell r="N1306" t="str">
            <v>Dumraon</v>
          </cell>
        </row>
        <row r="1307">
          <cell r="B1307">
            <v>10140091</v>
          </cell>
          <cell r="C1307" t="str">
            <v>0091</v>
          </cell>
          <cell r="D1307" t="str">
            <v>2512</v>
          </cell>
          <cell r="E1307" t="str">
            <v>MPG</v>
          </cell>
          <cell r="F1307" t="str">
            <v>Direct</v>
          </cell>
          <cell r="G1307" t="str">
            <v>Gomukh mathila</v>
          </cell>
          <cell r="H1307" t="str">
            <v>Hareram pandey</v>
          </cell>
          <cell r="I1307">
            <v>6299067650</v>
          </cell>
          <cell r="J1307" t="str">
            <v>101408</v>
          </cell>
          <cell r="K1307" t="str">
            <v>Yes</v>
          </cell>
          <cell r="L1307" t="e">
            <v>#N/A</v>
          </cell>
          <cell r="N1307" t="str">
            <v>Dumraon</v>
          </cell>
        </row>
        <row r="1308">
          <cell r="B1308">
            <v>10140092</v>
          </cell>
          <cell r="C1308" t="str">
            <v>0092</v>
          </cell>
          <cell r="D1308" t="str">
            <v>2513</v>
          </cell>
          <cell r="E1308" t="str">
            <v>MPG</v>
          </cell>
          <cell r="F1308" t="str">
            <v>Direct</v>
          </cell>
          <cell r="G1308" t="str">
            <v>Gomukh Budhaila</v>
          </cell>
          <cell r="H1308" t="str">
            <v>Shivji Singh</v>
          </cell>
          <cell r="I1308">
            <v>6205725508</v>
          </cell>
          <cell r="J1308" t="str">
            <v>101408</v>
          </cell>
          <cell r="K1308" t="str">
            <v>Yes</v>
          </cell>
          <cell r="L1308">
            <v>45323</v>
          </cell>
          <cell r="N1308" t="str">
            <v>Dumraon</v>
          </cell>
        </row>
        <row r="1309">
          <cell r="B1309">
            <v>10140093</v>
          </cell>
          <cell r="C1309" t="str">
            <v>0093</v>
          </cell>
          <cell r="D1309" t="str">
            <v>2515</v>
          </cell>
          <cell r="E1309" t="str">
            <v>MPG</v>
          </cell>
          <cell r="F1309" t="str">
            <v>Direct</v>
          </cell>
          <cell r="G1309" t="str">
            <v>Gomukh Kesath</v>
          </cell>
          <cell r="H1309" t="str">
            <v>Rajnish Kumar</v>
          </cell>
          <cell r="I1309">
            <v>8789471364</v>
          </cell>
          <cell r="J1309" t="str">
            <v>101408</v>
          </cell>
          <cell r="K1309" t="str">
            <v>Yes</v>
          </cell>
          <cell r="L1309">
            <v>45323</v>
          </cell>
          <cell r="N1309" t="str">
            <v>Dumraon</v>
          </cell>
        </row>
        <row r="1310">
          <cell r="B1310">
            <v>10140094</v>
          </cell>
          <cell r="C1310" t="str">
            <v>0094</v>
          </cell>
          <cell r="D1310" t="str">
            <v>2499</v>
          </cell>
          <cell r="E1310" t="str">
            <v>MPG</v>
          </cell>
          <cell r="F1310" t="str">
            <v>Direct</v>
          </cell>
          <cell r="G1310" t="str">
            <v>Gomukh Badkarajpur</v>
          </cell>
          <cell r="H1310" t="str">
            <v>Ras bihari Yadav</v>
          </cell>
          <cell r="I1310">
            <v>6200588809</v>
          </cell>
          <cell r="J1310" t="str">
            <v>101402</v>
          </cell>
          <cell r="K1310" t="str">
            <v>Yes</v>
          </cell>
          <cell r="L1310">
            <v>45352</v>
          </cell>
          <cell r="N1310" t="str">
            <v>Dumraon</v>
          </cell>
        </row>
        <row r="1311">
          <cell r="B1311">
            <v>10140095</v>
          </cell>
          <cell r="C1311" t="str">
            <v>0095</v>
          </cell>
          <cell r="D1311" t="str">
            <v>2518</v>
          </cell>
          <cell r="E1311" t="str">
            <v>MPG</v>
          </cell>
          <cell r="F1311" t="str">
            <v>Direct</v>
          </cell>
          <cell r="G1311" t="str">
            <v>Gomukh Ekauni karuwaj</v>
          </cell>
          <cell r="H1311" t="str">
            <v>Harishankar Kumar</v>
          </cell>
          <cell r="I1311">
            <v>7479575784</v>
          </cell>
          <cell r="J1311" t="str">
            <v>101408</v>
          </cell>
          <cell r="K1311" t="str">
            <v>Yes</v>
          </cell>
          <cell r="L1311">
            <v>45352</v>
          </cell>
          <cell r="N1311" t="str">
            <v>Dumraon</v>
          </cell>
        </row>
        <row r="1312">
          <cell r="B1312">
            <v>10140096</v>
          </cell>
          <cell r="C1312" t="str">
            <v>0096</v>
          </cell>
          <cell r="D1312" t="str">
            <v>2519</v>
          </cell>
          <cell r="E1312" t="str">
            <v>MPG</v>
          </cell>
          <cell r="F1312" t="str">
            <v>Direct</v>
          </cell>
          <cell r="G1312" t="str">
            <v>Gomukh Kanpura</v>
          </cell>
          <cell r="H1312" t="str">
            <v>Rajnarayan singh</v>
          </cell>
          <cell r="I1312">
            <v>8873947405</v>
          </cell>
          <cell r="J1312" t="str">
            <v>101407</v>
          </cell>
          <cell r="K1312" t="str">
            <v>Yes</v>
          </cell>
          <cell r="L1312">
            <v>45352</v>
          </cell>
          <cell r="N1312" t="str">
            <v>Dumraon</v>
          </cell>
        </row>
        <row r="1313">
          <cell r="B1313">
            <v>10140097</v>
          </cell>
          <cell r="C1313" t="str">
            <v>0097</v>
          </cell>
          <cell r="D1313" t="str">
            <v>2440</v>
          </cell>
          <cell r="E1313" t="str">
            <v>MPG</v>
          </cell>
          <cell r="F1313" t="str">
            <v>Direct</v>
          </cell>
          <cell r="G1313" t="str">
            <v>ASHA PARARI</v>
          </cell>
          <cell r="H1313" t="str">
            <v>SANDIP KUMAR YADAV</v>
          </cell>
          <cell r="I1313">
            <v>8873320785</v>
          </cell>
          <cell r="J1313" t="str">
            <v>101401</v>
          </cell>
          <cell r="K1313" t="str">
            <v>Yes</v>
          </cell>
          <cell r="L1313">
            <v>44789</v>
          </cell>
          <cell r="N1313" t="str">
            <v>Dumraon</v>
          </cell>
        </row>
        <row r="1314">
          <cell r="B1314">
            <v>10140098</v>
          </cell>
          <cell r="C1314" t="str">
            <v>0098</v>
          </cell>
          <cell r="D1314"/>
          <cell r="E1314" t="str">
            <v>MPG</v>
          </cell>
          <cell r="F1314" t="str">
            <v>Direct</v>
          </cell>
          <cell r="G1314" t="str">
            <v>Kulharia Agriculture Producer Company Limited</v>
          </cell>
          <cell r="H1314" t="str">
            <v>Nitu devi</v>
          </cell>
          <cell r="I1314">
            <v>9263542819</v>
          </cell>
          <cell r="J1314" t="str">
            <v>101407</v>
          </cell>
          <cell r="K1314"/>
          <cell r="L1314">
            <v>45380</v>
          </cell>
          <cell r="N1314" t="str">
            <v>Dumraon</v>
          </cell>
        </row>
        <row r="1315">
          <cell r="B1315">
            <v>10140099</v>
          </cell>
          <cell r="C1315" t="str">
            <v>0099</v>
          </cell>
          <cell r="D1315"/>
          <cell r="E1315" t="str">
            <v>MPG</v>
          </cell>
          <cell r="F1315" t="str">
            <v>Direct</v>
          </cell>
          <cell r="G1315" t="str">
            <v>Gomukh Dhakaich</v>
          </cell>
          <cell r="H1315" t="str">
            <v>Neeraj kumar Pandey</v>
          </cell>
          <cell r="I1315">
            <v>6207721559</v>
          </cell>
          <cell r="J1315" t="str">
            <v>101401</v>
          </cell>
          <cell r="K1315"/>
          <cell r="L1315">
            <v>45380</v>
          </cell>
          <cell r="N1315" t="str">
            <v>Dumraon</v>
          </cell>
        </row>
        <row r="1316">
          <cell r="B1316">
            <v>10140100</v>
          </cell>
          <cell r="C1316" t="str">
            <v>0100</v>
          </cell>
          <cell r="D1316"/>
          <cell r="E1316" t="str">
            <v>MPG</v>
          </cell>
          <cell r="F1316" t="str">
            <v>Direct</v>
          </cell>
          <cell r="G1316" t="str">
            <v>Gomukh Bicchu ka Dera</v>
          </cell>
          <cell r="H1316" t="str">
            <v>Rambol kumar Yadav</v>
          </cell>
          <cell r="I1316">
            <v>9352154374</v>
          </cell>
          <cell r="J1316" t="str">
            <v>101401</v>
          </cell>
          <cell r="K1316"/>
          <cell r="L1316">
            <v>45380</v>
          </cell>
          <cell r="N1316" t="str">
            <v>Dumraon</v>
          </cell>
        </row>
        <row r="1317">
          <cell r="B1317">
            <v>10140101</v>
          </cell>
          <cell r="C1317" t="str">
            <v>0101</v>
          </cell>
          <cell r="D1317"/>
          <cell r="E1317" t="str">
            <v>MPG</v>
          </cell>
          <cell r="F1317" t="str">
            <v>Direct</v>
          </cell>
          <cell r="G1317" t="str">
            <v>Nirbhar Agro Farmers Producer Com.Ltd</v>
          </cell>
          <cell r="H1317" t="str">
            <v>Ravi Prakash Upadhya</v>
          </cell>
          <cell r="I1317">
            <v>9939565880</v>
          </cell>
          <cell r="J1317" t="str">
            <v>101407</v>
          </cell>
          <cell r="K1317"/>
          <cell r="L1317">
            <v>45421</v>
          </cell>
          <cell r="N1317" t="str">
            <v>Dumraon</v>
          </cell>
        </row>
        <row r="1318">
          <cell r="B1318">
            <v>10140102</v>
          </cell>
          <cell r="C1318" t="str">
            <v>0102</v>
          </cell>
          <cell r="D1318"/>
          <cell r="E1318" t="str">
            <v>MPG</v>
          </cell>
          <cell r="F1318" t="str">
            <v>Direct</v>
          </cell>
          <cell r="G1318" t="str">
            <v>Bhojpur Jaddi Farmers Producer Com. Ltd</v>
          </cell>
          <cell r="H1318" t="str">
            <v>Ramakant Gupta</v>
          </cell>
          <cell r="I1318">
            <v>7979710478</v>
          </cell>
          <cell r="J1318" t="str">
            <v>101404</v>
          </cell>
          <cell r="K1318"/>
          <cell r="L1318">
            <v>45421</v>
          </cell>
          <cell r="N1318" t="str">
            <v>Dumraon</v>
          </cell>
        </row>
        <row r="1319">
          <cell r="B1319">
            <v>10140103</v>
          </cell>
          <cell r="C1319" t="str">
            <v>0103</v>
          </cell>
          <cell r="D1319"/>
          <cell r="E1319" t="str">
            <v>MPG</v>
          </cell>
          <cell r="F1319" t="str">
            <v>Indirect</v>
          </cell>
          <cell r="G1319" t="str">
            <v>Gomukh Purushotampur sunil</v>
          </cell>
          <cell r="H1319" t="str">
            <v>Sunil Kumar</v>
          </cell>
          <cell r="I1319">
            <v>8002225059</v>
          </cell>
          <cell r="J1319" t="str">
            <v>101408</v>
          </cell>
          <cell r="K1319"/>
          <cell r="L1319">
            <v>45427</v>
          </cell>
          <cell r="N1319" t="str">
            <v>Dumraon</v>
          </cell>
        </row>
        <row r="1320">
          <cell r="B1320">
            <v>10140104</v>
          </cell>
          <cell r="C1320" t="str">
            <v>0104</v>
          </cell>
          <cell r="D1320"/>
          <cell r="E1320" t="str">
            <v>MPG</v>
          </cell>
          <cell r="F1320" t="str">
            <v>Indirect</v>
          </cell>
          <cell r="G1320" t="str">
            <v>Gomukh Bithalpur Anup Raj</v>
          </cell>
          <cell r="H1320" t="str">
            <v>Anup Raj</v>
          </cell>
          <cell r="I1320">
            <v>6207498411</v>
          </cell>
          <cell r="J1320" t="str">
            <v>101407</v>
          </cell>
          <cell r="K1320"/>
          <cell r="L1320">
            <v>45427</v>
          </cell>
          <cell r="N1320" t="str">
            <v>Dumraon</v>
          </cell>
        </row>
        <row r="1321">
          <cell r="B1321">
            <v>10140105</v>
          </cell>
          <cell r="C1321" t="str">
            <v>0105</v>
          </cell>
          <cell r="D1321"/>
          <cell r="E1321" t="str">
            <v>MPG</v>
          </cell>
          <cell r="F1321" t="str">
            <v>Direct</v>
          </cell>
          <cell r="G1321" t="str">
            <v>AASARFI DWARIKA AGRICULTURE PRODUCER COMPANY LTD BHADA</v>
          </cell>
          <cell r="H1321" t="str">
            <v>Rajesh kumar pandey</v>
          </cell>
          <cell r="I1321">
            <v>8294709220</v>
          </cell>
          <cell r="J1321" t="str">
            <v>101405</v>
          </cell>
          <cell r="K1321"/>
          <cell r="L1321">
            <v>45428</v>
          </cell>
          <cell r="N1321" t="str">
            <v>Dumraon</v>
          </cell>
        </row>
        <row r="1322">
          <cell r="B1322">
            <v>10140106</v>
          </cell>
          <cell r="C1322" t="str">
            <v>0106</v>
          </cell>
          <cell r="D1322"/>
          <cell r="E1322" t="str">
            <v>MPG</v>
          </cell>
          <cell r="F1322" t="str">
            <v>Indirect</v>
          </cell>
          <cell r="G1322" t="str">
            <v>Gomukh Gopal Dera Dharmendra</v>
          </cell>
          <cell r="H1322" t="str">
            <v>Dharmendra Kumar</v>
          </cell>
          <cell r="I1322">
            <v>8910560511</v>
          </cell>
          <cell r="J1322" t="str">
            <v>101404</v>
          </cell>
          <cell r="K1322"/>
          <cell r="L1322">
            <v>45428</v>
          </cell>
          <cell r="N1322" t="str">
            <v>Dumraon</v>
          </cell>
        </row>
        <row r="1323">
          <cell r="B1323">
            <v>10140107</v>
          </cell>
          <cell r="C1323" t="str">
            <v>0107</v>
          </cell>
          <cell r="D1323"/>
          <cell r="E1323" t="str">
            <v>MPG</v>
          </cell>
          <cell r="F1323" t="str">
            <v>Direct</v>
          </cell>
          <cell r="G1323" t="str">
            <v>Gomukh Chhapra</v>
          </cell>
          <cell r="H1323" t="str">
            <v>Shiv Mangal singh</v>
          </cell>
          <cell r="I1323">
            <v>7352291565</v>
          </cell>
          <cell r="J1323" t="str">
            <v>101405</v>
          </cell>
          <cell r="K1323"/>
          <cell r="L1323">
            <v>45440</v>
          </cell>
          <cell r="N1323" t="str">
            <v>Dumraon</v>
          </cell>
        </row>
        <row r="1324">
          <cell r="B1324">
            <v>10140108</v>
          </cell>
          <cell r="C1324" t="str">
            <v>0108</v>
          </cell>
          <cell r="D1324"/>
          <cell r="E1324" t="str">
            <v>MPG</v>
          </cell>
          <cell r="F1324" t="str">
            <v>Direct</v>
          </cell>
          <cell r="G1324" t="str">
            <v>Gomukh Mathila Ka dera</v>
          </cell>
          <cell r="H1324" t="str">
            <v>Surendra Singh</v>
          </cell>
          <cell r="I1324">
            <v>9931349891</v>
          </cell>
          <cell r="J1324" t="str">
            <v>101408</v>
          </cell>
          <cell r="K1324"/>
          <cell r="L1324">
            <v>45440</v>
          </cell>
          <cell r="N1324" t="str">
            <v>Dumraon</v>
          </cell>
        </row>
        <row r="1325">
          <cell r="B1325">
            <v>10140109</v>
          </cell>
          <cell r="C1325" t="str">
            <v>0109</v>
          </cell>
          <cell r="D1325"/>
          <cell r="E1325" t="str">
            <v>MPG</v>
          </cell>
          <cell r="F1325" t="str">
            <v>Indirect</v>
          </cell>
          <cell r="G1325" t="str">
            <v>Gomukh Kajipura Chandan</v>
          </cell>
          <cell r="H1325" t="str">
            <v>Suraj Yadav</v>
          </cell>
          <cell r="I1325">
            <v>9471238383</v>
          </cell>
          <cell r="J1325" t="str">
            <v>101404</v>
          </cell>
          <cell r="K1325"/>
          <cell r="L1325">
            <v>45440</v>
          </cell>
          <cell r="N1325" t="str">
            <v>Dumraon</v>
          </cell>
        </row>
        <row r="1326">
          <cell r="B1326">
            <v>10140110</v>
          </cell>
          <cell r="C1326" t="str">
            <v>0110</v>
          </cell>
          <cell r="D1326"/>
          <cell r="E1326" t="str">
            <v>MPG</v>
          </cell>
          <cell r="F1326" t="str">
            <v>Indirect</v>
          </cell>
          <cell r="G1326" t="str">
            <v>Gomukh Nagarpura Atal</v>
          </cell>
          <cell r="H1326" t="str">
            <v>Ramadhar Pandey</v>
          </cell>
          <cell r="I1326">
            <v>6206640024</v>
          </cell>
          <cell r="J1326" t="str">
            <v>101404</v>
          </cell>
          <cell r="K1326"/>
          <cell r="L1326">
            <v>45440</v>
          </cell>
          <cell r="N1326" t="str">
            <v>Dumraon</v>
          </cell>
        </row>
        <row r="1327">
          <cell r="B1327">
            <v>10140111</v>
          </cell>
          <cell r="C1327" t="str">
            <v>0111</v>
          </cell>
          <cell r="D1327"/>
          <cell r="E1327" t="str">
            <v>MPG</v>
          </cell>
          <cell r="F1327" t="str">
            <v>Direct</v>
          </cell>
          <cell r="G1327" t="str">
            <v>GOMUKH BARUHAN</v>
          </cell>
          <cell r="H1327" t="str">
            <v>Raju Kumar</v>
          </cell>
          <cell r="I1327">
            <v>9113398875</v>
          </cell>
          <cell r="J1327" t="str">
            <v>101405</v>
          </cell>
          <cell r="K1327"/>
          <cell r="L1327">
            <v>45463</v>
          </cell>
          <cell r="N1327" t="str">
            <v>Dumraon</v>
          </cell>
        </row>
        <row r="1328">
          <cell r="B1328">
            <v>10140112</v>
          </cell>
          <cell r="C1328" t="str">
            <v>0112</v>
          </cell>
          <cell r="D1328"/>
          <cell r="E1328" t="str">
            <v>MPG</v>
          </cell>
          <cell r="F1328" t="str">
            <v>Direct</v>
          </cell>
          <cell r="G1328" t="str">
            <v>GOMUKH KURUTHIYA</v>
          </cell>
          <cell r="H1328" t="str">
            <v>Ajay kumar singh</v>
          </cell>
          <cell r="I1328">
            <v>8092166107</v>
          </cell>
          <cell r="J1328" t="str">
            <v>101405</v>
          </cell>
          <cell r="K1328"/>
          <cell r="L1328">
            <v>45463</v>
          </cell>
          <cell r="N1328" t="str">
            <v>Dumraon</v>
          </cell>
        </row>
        <row r="1329">
          <cell r="B1329">
            <v>10140113</v>
          </cell>
          <cell r="C1329" t="str">
            <v>0113</v>
          </cell>
          <cell r="D1329"/>
          <cell r="E1329" t="str">
            <v>MPG</v>
          </cell>
          <cell r="F1329" t="str">
            <v>Direct</v>
          </cell>
          <cell r="G1329" t="str">
            <v>Gomukh Bhadwar</v>
          </cell>
          <cell r="H1329" t="str">
            <v>Anand Singh</v>
          </cell>
          <cell r="I1329">
            <v>9979121646</v>
          </cell>
          <cell r="J1329" t="str">
            <v>101405</v>
          </cell>
          <cell r="K1329"/>
          <cell r="L1329">
            <v>45484</v>
          </cell>
          <cell r="N1329" t="str">
            <v>Dumraon</v>
          </cell>
        </row>
        <row r="1330">
          <cell r="B1330">
            <v>10140114</v>
          </cell>
          <cell r="C1330" t="str">
            <v>0114</v>
          </cell>
          <cell r="D1330"/>
          <cell r="E1330" t="str">
            <v>MPG</v>
          </cell>
          <cell r="F1330" t="str">
            <v>Indirect</v>
          </cell>
          <cell r="G1330" t="str">
            <v>Gomukh Ekrashi Sadabriksh</v>
          </cell>
          <cell r="H1330" t="str">
            <v>Sadabriksh Kumar</v>
          </cell>
          <cell r="I1330">
            <v>7016370550</v>
          </cell>
          <cell r="J1330" t="str">
            <v>101405</v>
          </cell>
          <cell r="K1330"/>
          <cell r="L1330">
            <v>45484</v>
          </cell>
          <cell r="N1330" t="str">
            <v>Dumraon</v>
          </cell>
        </row>
        <row r="1331">
          <cell r="B1331">
            <v>10140115</v>
          </cell>
          <cell r="C1331" t="str">
            <v>0115</v>
          </cell>
          <cell r="D1331"/>
          <cell r="E1331" t="str">
            <v>MPG</v>
          </cell>
          <cell r="F1331" t="str">
            <v>Direct</v>
          </cell>
          <cell r="G1331" t="str">
            <v>Gomukh Kukurha</v>
          </cell>
          <cell r="H1331" t="str">
            <v>Murali Chaudhary</v>
          </cell>
          <cell r="I1331">
            <v>8207422468</v>
          </cell>
          <cell r="J1331" t="str">
            <v>101407</v>
          </cell>
          <cell r="K1331"/>
          <cell r="L1331">
            <v>45504</v>
          </cell>
          <cell r="N1331" t="str">
            <v>Dumraon</v>
          </cell>
        </row>
        <row r="1332">
          <cell r="B1332">
            <v>10140116</v>
          </cell>
          <cell r="C1332" t="str">
            <v>0116</v>
          </cell>
          <cell r="D1332"/>
          <cell r="E1332" t="str">
            <v>MPG</v>
          </cell>
          <cell r="F1332" t="str">
            <v>Direct</v>
          </cell>
          <cell r="G1332" t="str">
            <v>Gomukh Mahila</v>
          </cell>
          <cell r="H1332" t="str">
            <v>Papu Kumar Singh</v>
          </cell>
          <cell r="I1332">
            <v>8252322518</v>
          </cell>
          <cell r="J1332" t="str">
            <v>101407</v>
          </cell>
          <cell r="K1332"/>
          <cell r="L1332">
            <v>45504</v>
          </cell>
          <cell r="N1332" t="str">
            <v>Dumraon</v>
          </cell>
        </row>
        <row r="1333">
          <cell r="B1333">
            <v>10140117</v>
          </cell>
          <cell r="C1333" t="str">
            <v>0117</v>
          </cell>
          <cell r="D1333"/>
          <cell r="E1333" t="str">
            <v>MPG</v>
          </cell>
          <cell r="F1333" t="str">
            <v>Indirect</v>
          </cell>
          <cell r="G1333" t="str">
            <v>Gomukh Keshopur Surendra</v>
          </cell>
          <cell r="H1333" t="str">
            <v>Surendra Kumar Yadav</v>
          </cell>
          <cell r="I1333">
            <v>7903919776</v>
          </cell>
          <cell r="J1333" t="str">
            <v>101402</v>
          </cell>
          <cell r="K1333"/>
          <cell r="L1333">
            <v>45504</v>
          </cell>
          <cell r="N1333" t="str">
            <v>Dumraon</v>
          </cell>
        </row>
        <row r="1334">
          <cell r="B1334">
            <v>10140118</v>
          </cell>
          <cell r="C1334" t="str">
            <v>0118</v>
          </cell>
          <cell r="D1334"/>
          <cell r="E1334" t="str">
            <v>MPG</v>
          </cell>
          <cell r="F1334" t="str">
            <v>Indirect</v>
          </cell>
          <cell r="G1334" t="str">
            <v>Jai Mata di Milk collection &amp; Chilling Center</v>
          </cell>
          <cell r="H1334" t="str">
            <v>Rajan kumar Jaiswal</v>
          </cell>
          <cell r="I1334">
            <v>8210136937</v>
          </cell>
          <cell r="J1334" t="str">
            <v>101408</v>
          </cell>
          <cell r="K1334"/>
          <cell r="L1334">
            <v>45504</v>
          </cell>
          <cell r="N1334" t="str">
            <v>Dumraon</v>
          </cell>
        </row>
        <row r="1335">
          <cell r="B1335">
            <v>10140119</v>
          </cell>
          <cell r="C1335" t="str">
            <v>0119</v>
          </cell>
          <cell r="D1335"/>
          <cell r="E1335" t="str">
            <v>MPG</v>
          </cell>
          <cell r="F1335" t="str">
            <v>Direct</v>
          </cell>
          <cell r="G1335" t="str">
            <v>Gomukh Banswar</v>
          </cell>
          <cell r="H1335" t="str">
            <v>Anand Jaiswal</v>
          </cell>
          <cell r="I1335">
            <v>7004559738</v>
          </cell>
          <cell r="J1335" t="str">
            <v>101406</v>
          </cell>
          <cell r="K1335"/>
          <cell r="L1335">
            <v>45528</v>
          </cell>
          <cell r="N1335" t="str">
            <v>Dumraon</v>
          </cell>
        </row>
        <row r="1336">
          <cell r="B1336">
            <v>10140120</v>
          </cell>
          <cell r="C1336" t="str">
            <v>0120</v>
          </cell>
          <cell r="D1336"/>
          <cell r="E1336" t="str">
            <v>MPG</v>
          </cell>
          <cell r="F1336" t="str">
            <v>Direct</v>
          </cell>
          <cell r="G1336" t="str">
            <v>Gomukh Sikraul lakh</v>
          </cell>
          <cell r="H1336" t="str">
            <v>Manoj Kumar Paswan</v>
          </cell>
          <cell r="I1336">
            <v>7004788241</v>
          </cell>
          <cell r="J1336" t="str">
            <v>101408</v>
          </cell>
          <cell r="K1336"/>
          <cell r="L1336">
            <v>45528</v>
          </cell>
          <cell r="N1336" t="str">
            <v>Dumraon</v>
          </cell>
        </row>
        <row r="1337">
          <cell r="B1337">
            <v>10140121</v>
          </cell>
          <cell r="C1337" t="str">
            <v>0121</v>
          </cell>
          <cell r="D1337"/>
          <cell r="E1337" t="str">
            <v>MPG</v>
          </cell>
          <cell r="F1337" t="str">
            <v>Indirect</v>
          </cell>
          <cell r="G1337" t="str">
            <v>Gomukh Dumari Deepak</v>
          </cell>
          <cell r="H1337" t="str">
            <v>Deepak Kumar</v>
          </cell>
          <cell r="I1337">
            <v>9525798245</v>
          </cell>
          <cell r="J1337" t="str">
            <v>101401</v>
          </cell>
          <cell r="K1337"/>
          <cell r="L1337">
            <v>45528</v>
          </cell>
          <cell r="N1337" t="str">
            <v>Dumraon</v>
          </cell>
        </row>
        <row r="1338">
          <cell r="B1338">
            <v>10140122</v>
          </cell>
          <cell r="C1338" t="str">
            <v>0122</v>
          </cell>
          <cell r="D1338"/>
          <cell r="E1338" t="str">
            <v>MPG</v>
          </cell>
          <cell r="F1338" t="str">
            <v>Indirect</v>
          </cell>
          <cell r="G1338" t="str">
            <v>Gomukh Navadera Prem</v>
          </cell>
          <cell r="H1338" t="str">
            <v>Prem Kumar</v>
          </cell>
          <cell r="I1338">
            <v>6202232262</v>
          </cell>
          <cell r="J1338" t="str">
            <v>101406</v>
          </cell>
          <cell r="K1338"/>
          <cell r="L1338">
            <v>45540</v>
          </cell>
          <cell r="N1338" t="str">
            <v>Dumraon</v>
          </cell>
        </row>
        <row r="1339">
          <cell r="B1339">
            <v>10140123</v>
          </cell>
          <cell r="C1339" t="str">
            <v>0123</v>
          </cell>
          <cell r="D1339"/>
          <cell r="E1339" t="str">
            <v>MPG</v>
          </cell>
          <cell r="F1339" t="str">
            <v>Indirect</v>
          </cell>
          <cell r="G1339" t="str">
            <v>Gomukh Atami Surya</v>
          </cell>
          <cell r="H1339" t="str">
            <v>Surya Narayan Singh</v>
          </cell>
          <cell r="I1339">
            <v>8935835656</v>
          </cell>
          <cell r="J1339" t="str">
            <v>101408</v>
          </cell>
          <cell r="K1339"/>
          <cell r="L1339">
            <v>45540</v>
          </cell>
          <cell r="N1339" t="str">
            <v>Dumraon</v>
          </cell>
        </row>
        <row r="1340">
          <cell r="B1340">
            <v>10140124</v>
          </cell>
          <cell r="C1340" t="str">
            <v>0124</v>
          </cell>
          <cell r="D1340"/>
          <cell r="E1340" t="str">
            <v>MPG</v>
          </cell>
          <cell r="F1340" t="str">
            <v>Direct</v>
          </cell>
          <cell r="G1340" t="str">
            <v>Gomukh Bararhi</v>
          </cell>
          <cell r="H1340" t="str">
            <v>Ravi Yadav</v>
          </cell>
          <cell r="I1340">
            <v>7563835343</v>
          </cell>
          <cell r="J1340" t="str">
            <v>101404</v>
          </cell>
          <cell r="K1340"/>
          <cell r="L1340">
            <v>45566</v>
          </cell>
          <cell r="N1340" t="str">
            <v>Dumraon</v>
          </cell>
        </row>
        <row r="1341">
          <cell r="B1341">
            <v>10140125</v>
          </cell>
          <cell r="C1341" t="str">
            <v>0125</v>
          </cell>
          <cell r="D1341"/>
          <cell r="E1341" t="str">
            <v>MPG</v>
          </cell>
          <cell r="F1341" t="str">
            <v>Direct</v>
          </cell>
          <cell r="G1341" t="str">
            <v>Gomukh Dullahpur Niyajipur</v>
          </cell>
          <cell r="H1341" t="str">
            <v>Ashutosh Kumar Pathak</v>
          </cell>
          <cell r="I1341">
            <v>8521259604</v>
          </cell>
          <cell r="J1341" t="str">
            <v>101402</v>
          </cell>
          <cell r="K1341"/>
          <cell r="L1341">
            <v>45566</v>
          </cell>
          <cell r="N1341" t="str">
            <v>Dumraon</v>
          </cell>
        </row>
        <row r="1342">
          <cell r="B1342">
            <v>10140126</v>
          </cell>
          <cell r="C1342" t="str">
            <v>0126</v>
          </cell>
          <cell r="D1342"/>
          <cell r="E1342" t="str">
            <v>MPG</v>
          </cell>
          <cell r="F1342" t="str">
            <v>Direct</v>
          </cell>
          <cell r="G1342" t="str">
            <v>Gomukh Dafadihari</v>
          </cell>
          <cell r="H1342" t="str">
            <v>Rasabihari Singh</v>
          </cell>
          <cell r="I1342">
            <v>7488805806</v>
          </cell>
          <cell r="J1342" t="str">
            <v>101408</v>
          </cell>
          <cell r="K1342"/>
          <cell r="L1342">
            <v>45566</v>
          </cell>
          <cell r="N1342" t="str">
            <v>Dumraon</v>
          </cell>
        </row>
        <row r="1343">
          <cell r="B1343">
            <v>10140127</v>
          </cell>
          <cell r="C1343" t="str">
            <v>0127</v>
          </cell>
          <cell r="D1343"/>
          <cell r="E1343" t="str">
            <v>MPG</v>
          </cell>
          <cell r="F1343" t="str">
            <v>Indirect</v>
          </cell>
          <cell r="G1343" t="str">
            <v>Gomukh Lodhash Puja</v>
          </cell>
          <cell r="H1343" t="str">
            <v>Puja Devi</v>
          </cell>
          <cell r="I1343">
            <v>9334952045</v>
          </cell>
          <cell r="J1343" t="str">
            <v>101408</v>
          </cell>
          <cell r="K1343"/>
          <cell r="L1343">
            <v>45566</v>
          </cell>
          <cell r="N1343" t="str">
            <v>Dumraon</v>
          </cell>
        </row>
        <row r="1344">
          <cell r="B1344">
            <v>10140128</v>
          </cell>
          <cell r="C1344" t="str">
            <v>0128</v>
          </cell>
          <cell r="D1344"/>
          <cell r="E1344" t="str">
            <v>MPG</v>
          </cell>
          <cell r="F1344" t="str">
            <v>Indirect</v>
          </cell>
          <cell r="G1344" t="str">
            <v>Gomukh Badki Basauli Omprakash</v>
          </cell>
          <cell r="H1344" t="str">
            <v>Omprkash Singh</v>
          </cell>
          <cell r="I1344">
            <v>8825331249</v>
          </cell>
          <cell r="J1344" t="str">
            <v>101406</v>
          </cell>
          <cell r="K1344"/>
          <cell r="L1344">
            <v>45566</v>
          </cell>
          <cell r="N1344" t="str">
            <v>Dumraon</v>
          </cell>
        </row>
        <row r="1345">
          <cell r="B1345">
            <v>10140129</v>
          </cell>
          <cell r="C1345" t="str">
            <v>0129</v>
          </cell>
          <cell r="D1345"/>
          <cell r="E1345" t="str">
            <v>MPG</v>
          </cell>
          <cell r="F1345" t="str">
            <v>Direct</v>
          </cell>
          <cell r="G1345" t="str">
            <v>Gomukh Paharpur</v>
          </cell>
          <cell r="H1345" t="str">
            <v>Arvindra pal</v>
          </cell>
          <cell r="I1345">
            <v>9931327599</v>
          </cell>
          <cell r="J1345" t="str">
            <v>101408</v>
          </cell>
          <cell r="K1345"/>
          <cell r="L1345">
            <v>45569</v>
          </cell>
          <cell r="N1345" t="str">
            <v>Dumraon</v>
          </cell>
        </row>
        <row r="1346">
          <cell r="B1346">
            <v>10140130</v>
          </cell>
          <cell r="C1346" t="str">
            <v>0130</v>
          </cell>
          <cell r="D1346"/>
          <cell r="E1346" t="str">
            <v>MPG</v>
          </cell>
          <cell r="F1346" t="str">
            <v>Direct</v>
          </cell>
          <cell r="G1346" t="str">
            <v>Gomukh Badkagaon</v>
          </cell>
          <cell r="H1346" t="str">
            <v>Suraj Prakash Chaudhary</v>
          </cell>
          <cell r="I1346">
            <v>6204396754</v>
          </cell>
          <cell r="J1346" t="str">
            <v>101408</v>
          </cell>
          <cell r="K1346"/>
          <cell r="L1346">
            <v>45569</v>
          </cell>
          <cell r="N1346" t="str">
            <v>Dumraon</v>
          </cell>
        </row>
        <row r="1347">
          <cell r="B1347">
            <v>10140131</v>
          </cell>
          <cell r="C1347" t="str">
            <v>0131</v>
          </cell>
          <cell r="D1347"/>
          <cell r="E1347" t="str">
            <v>MPG</v>
          </cell>
          <cell r="F1347" t="str">
            <v>Direct</v>
          </cell>
          <cell r="G1347" t="str">
            <v>Gomukh Basaon Kalan</v>
          </cell>
          <cell r="H1347" t="str">
            <v>Shivji Singh</v>
          </cell>
          <cell r="I1347">
            <v>6202993543</v>
          </cell>
          <cell r="J1347" t="str">
            <v>101408</v>
          </cell>
          <cell r="K1347"/>
          <cell r="L1347">
            <v>45569</v>
          </cell>
          <cell r="N1347" t="str">
            <v>Dumraon</v>
          </cell>
        </row>
        <row r="1348">
          <cell r="B1348">
            <v>10140132</v>
          </cell>
          <cell r="C1348" t="str">
            <v>0132</v>
          </cell>
          <cell r="D1348"/>
          <cell r="E1348" t="str">
            <v>MPG</v>
          </cell>
          <cell r="F1348" t="str">
            <v>Direct</v>
          </cell>
          <cell r="G1348" t="str">
            <v>Gomukh Mangolpur</v>
          </cell>
          <cell r="H1348" t="str">
            <v>Nitish Kumar</v>
          </cell>
          <cell r="I1348">
            <v>9798664771</v>
          </cell>
          <cell r="J1348" t="str">
            <v>101408</v>
          </cell>
          <cell r="K1348"/>
          <cell r="L1348">
            <v>45569</v>
          </cell>
          <cell r="N1348" t="str">
            <v>Dumraon</v>
          </cell>
        </row>
        <row r="1349">
          <cell r="B1349">
            <v>10140133</v>
          </cell>
          <cell r="C1349" t="str">
            <v>0133</v>
          </cell>
          <cell r="D1349"/>
          <cell r="E1349" t="str">
            <v>MPG</v>
          </cell>
          <cell r="F1349" t="str">
            <v>Direct</v>
          </cell>
          <cell r="G1349" t="str">
            <v>Gomukh Bhadsari Dera</v>
          </cell>
          <cell r="H1349" t="str">
            <v>Sunil Kumar</v>
          </cell>
          <cell r="I1349">
            <v>8709146982</v>
          </cell>
          <cell r="J1349" t="str">
            <v>101404</v>
          </cell>
          <cell r="K1349"/>
          <cell r="L1349">
            <v>45581</v>
          </cell>
          <cell r="N1349" t="str">
            <v>Dumraon</v>
          </cell>
        </row>
        <row r="1350">
          <cell r="B1350">
            <v>10140134</v>
          </cell>
          <cell r="C1350" t="str">
            <v>0134</v>
          </cell>
          <cell r="D1350"/>
          <cell r="E1350" t="str">
            <v>MPG</v>
          </cell>
          <cell r="F1350" t="str">
            <v>Indirect</v>
          </cell>
          <cell r="G1350" t="str">
            <v>Gomukh Orapkhurd Chandrashekhar</v>
          </cell>
          <cell r="H1350" t="str">
            <v>Chandrasekhar Singh</v>
          </cell>
          <cell r="I1350">
            <v>9771140663</v>
          </cell>
          <cell r="J1350" t="str">
            <v>101401</v>
          </cell>
          <cell r="K1350"/>
          <cell r="L1350">
            <v>45594</v>
          </cell>
          <cell r="N1350" t="str">
            <v>Dumraon</v>
          </cell>
        </row>
        <row r="1351">
          <cell r="B1351">
            <v>10140135</v>
          </cell>
          <cell r="C1351" t="str">
            <v>0135</v>
          </cell>
          <cell r="D1351"/>
          <cell r="E1351" t="str">
            <v>MPG</v>
          </cell>
          <cell r="F1351" t="str">
            <v>Direct</v>
          </cell>
          <cell r="G1351" t="str">
            <v>Gomukh Dhanipur</v>
          </cell>
          <cell r="H1351" t="str">
            <v>Vijay Kumar Ojha</v>
          </cell>
          <cell r="I1351">
            <v>7256937805</v>
          </cell>
          <cell r="J1351" t="str">
            <v>101401</v>
          </cell>
          <cell r="K1351"/>
          <cell r="L1351">
            <v>45594</v>
          </cell>
          <cell r="N1351" t="str">
            <v>Dumraon</v>
          </cell>
        </row>
        <row r="1352">
          <cell r="B1352">
            <v>10140136</v>
          </cell>
          <cell r="C1352" t="str">
            <v>0136</v>
          </cell>
          <cell r="D1352"/>
          <cell r="E1352" t="str">
            <v>MPG</v>
          </cell>
          <cell r="F1352" t="str">
            <v>Indirect</v>
          </cell>
          <cell r="G1352" t="str">
            <v>Gomukh Babhuar Ashok</v>
          </cell>
          <cell r="H1352" t="str">
            <v>Ashok kumar Yadav</v>
          </cell>
          <cell r="I1352">
            <v>8789704865</v>
          </cell>
          <cell r="J1352" t="str">
            <v>101407</v>
          </cell>
          <cell r="K1352"/>
          <cell r="L1352">
            <v>45605</v>
          </cell>
          <cell r="N1352" t="str">
            <v>Dumraon</v>
          </cell>
        </row>
        <row r="1353">
          <cell r="B1353">
            <v>10140137</v>
          </cell>
          <cell r="C1353" t="str">
            <v>0137</v>
          </cell>
          <cell r="D1353"/>
          <cell r="E1353" t="str">
            <v>MPG</v>
          </cell>
          <cell r="F1353" t="str">
            <v>Direct</v>
          </cell>
          <cell r="G1353" t="str">
            <v>Gomukh Rakshanagar_tola</v>
          </cell>
          <cell r="H1353" t="str">
            <v>Dharmendra Kumar</v>
          </cell>
          <cell r="I1353">
            <v>9576144019</v>
          </cell>
          <cell r="J1353" t="str">
            <v>101406</v>
          </cell>
          <cell r="K1353"/>
          <cell r="L1353">
            <v>45610</v>
          </cell>
          <cell r="N1353" t="str">
            <v>Dumraon</v>
          </cell>
        </row>
        <row r="1354">
          <cell r="B1354">
            <v>10140138</v>
          </cell>
          <cell r="C1354" t="str">
            <v>0138</v>
          </cell>
          <cell r="D1354"/>
          <cell r="E1354" t="str">
            <v>MPG</v>
          </cell>
          <cell r="F1354" t="str">
            <v>Indirect</v>
          </cell>
          <cell r="G1354" t="str">
            <v xml:space="preserve">Gomukh Mahada Mirtunjay </v>
          </cell>
          <cell r="H1354" t="str">
            <v>Mirtunjay Kumar</v>
          </cell>
          <cell r="I1354">
            <v>8207837316</v>
          </cell>
          <cell r="J1354" t="str">
            <v>101407</v>
          </cell>
          <cell r="K1354"/>
          <cell r="L1354">
            <v>45610</v>
          </cell>
          <cell r="N1354" t="str">
            <v>Dumraon</v>
          </cell>
        </row>
        <row r="1355">
          <cell r="B1355">
            <v>10140139</v>
          </cell>
          <cell r="C1355" t="str">
            <v>0139</v>
          </cell>
          <cell r="D1355"/>
          <cell r="E1355" t="str">
            <v>MPG</v>
          </cell>
          <cell r="F1355" t="str">
            <v>Direct</v>
          </cell>
          <cell r="G1355" t="str">
            <v>Gomukh Nadaon</v>
          </cell>
          <cell r="H1355" t="str">
            <v>Abhisekh Dubey</v>
          </cell>
          <cell r="I1355">
            <v>9631534749</v>
          </cell>
          <cell r="J1355" t="str">
            <v>101407</v>
          </cell>
          <cell r="K1355"/>
          <cell r="L1355">
            <v>45619</v>
          </cell>
          <cell r="N1355" t="str">
            <v>Dumraon</v>
          </cell>
        </row>
        <row r="1356">
          <cell r="B1356">
            <v>10140140</v>
          </cell>
          <cell r="C1356" t="str">
            <v>0140</v>
          </cell>
          <cell r="D1356"/>
          <cell r="E1356" t="str">
            <v>MPG</v>
          </cell>
          <cell r="F1356" t="str">
            <v>Indirect</v>
          </cell>
          <cell r="G1356" t="str">
            <v>Gomukh Boxa Manoj</v>
          </cell>
          <cell r="H1356" t="str">
            <v>Manoj Kumar</v>
          </cell>
          <cell r="I1356"/>
          <cell r="J1356" t="str">
            <v>101407</v>
          </cell>
          <cell r="K1356"/>
          <cell r="L1356">
            <v>45619</v>
          </cell>
          <cell r="N1356" t="str">
            <v>Dumraon</v>
          </cell>
        </row>
        <row r="1357">
          <cell r="B1357">
            <v>10140141</v>
          </cell>
          <cell r="C1357" t="str">
            <v>0141</v>
          </cell>
          <cell r="D1357"/>
          <cell r="E1357" t="str">
            <v>MPG</v>
          </cell>
          <cell r="F1357" t="str">
            <v>Indirect</v>
          </cell>
          <cell r="G1357" t="str">
            <v>Gomukh Bimhnath Girdhar Baraw</v>
          </cell>
          <cell r="H1357" t="str">
            <v>Bhim Mahto</v>
          </cell>
          <cell r="I1357">
            <v>9955639446</v>
          </cell>
          <cell r="J1357" t="str">
            <v>101408</v>
          </cell>
          <cell r="K1357"/>
          <cell r="L1357">
            <v>45619</v>
          </cell>
          <cell r="N1357" t="str">
            <v>Dumraon</v>
          </cell>
        </row>
        <row r="1358">
          <cell r="B1358">
            <v>10140142</v>
          </cell>
          <cell r="C1358" t="str">
            <v>0142</v>
          </cell>
          <cell r="D1358"/>
          <cell r="E1358" t="str">
            <v>MPG</v>
          </cell>
          <cell r="F1358" t="str">
            <v>Indirect</v>
          </cell>
          <cell r="G1358" t="str">
            <v>Gomukh Chanwath niraml</v>
          </cell>
          <cell r="H1358" t="str">
            <v>Niraml singh</v>
          </cell>
          <cell r="I1358">
            <v>6205885610</v>
          </cell>
          <cell r="J1358" t="str">
            <v>101408</v>
          </cell>
          <cell r="K1358"/>
          <cell r="L1358">
            <v>45626</v>
          </cell>
          <cell r="N1358" t="str">
            <v>Dumraon</v>
          </cell>
        </row>
        <row r="1359">
          <cell r="B1359">
            <v>10140143</v>
          </cell>
          <cell r="C1359" t="str">
            <v>0143</v>
          </cell>
          <cell r="D1359"/>
          <cell r="E1359" t="str">
            <v>MPG</v>
          </cell>
          <cell r="F1359" t="str">
            <v>Indirect</v>
          </cell>
          <cell r="G1359" t="str">
            <v>Gomukh chhapra baradhi Anil</v>
          </cell>
          <cell r="H1359" t="str">
            <v>Anil kumar singh</v>
          </cell>
          <cell r="I1359">
            <v>7061740496</v>
          </cell>
          <cell r="J1359" t="str">
            <v>101405</v>
          </cell>
          <cell r="K1359"/>
          <cell r="L1359">
            <v>45626</v>
          </cell>
          <cell r="N1359" t="str">
            <v>Dumraon</v>
          </cell>
        </row>
        <row r="1360">
          <cell r="B1360">
            <v>10140144</v>
          </cell>
          <cell r="C1360" t="str">
            <v>0144</v>
          </cell>
          <cell r="D1360"/>
          <cell r="E1360" t="str">
            <v>MPG</v>
          </cell>
          <cell r="F1360" t="str">
            <v>Indirect</v>
          </cell>
          <cell r="G1360" t="str">
            <v>Gomukh Khewali Satyendra</v>
          </cell>
          <cell r="H1360" t="str">
            <v>Satyendra Kr Singh</v>
          </cell>
          <cell r="I1360">
            <v>8434789972</v>
          </cell>
          <cell r="J1360" t="str">
            <v>101408</v>
          </cell>
          <cell r="K1360"/>
          <cell r="L1360">
            <v>45632</v>
          </cell>
          <cell r="N1360" t="str">
            <v>Dumraon</v>
          </cell>
        </row>
        <row r="1361">
          <cell r="B1361">
            <v>10140145</v>
          </cell>
          <cell r="C1361" t="str">
            <v>0145</v>
          </cell>
          <cell r="D1361"/>
          <cell r="E1361" t="str">
            <v>MPG</v>
          </cell>
          <cell r="F1361" t="str">
            <v>Direct</v>
          </cell>
          <cell r="G1361" t="str">
            <v>Gomukh Pokhraha</v>
          </cell>
          <cell r="H1361" t="str">
            <v>Dhurvan Yadav</v>
          </cell>
          <cell r="I1361">
            <v>7011240629</v>
          </cell>
          <cell r="J1361" t="str">
            <v>101405</v>
          </cell>
          <cell r="K1361"/>
          <cell r="L1361">
            <v>45638</v>
          </cell>
          <cell r="N1361" t="str">
            <v>Dumraon</v>
          </cell>
        </row>
        <row r="1362">
          <cell r="B1362">
            <v>10140146</v>
          </cell>
          <cell r="C1362" t="str">
            <v>0146</v>
          </cell>
          <cell r="D1362"/>
          <cell r="E1362" t="str">
            <v>MPG</v>
          </cell>
          <cell r="F1362" t="str">
            <v>Direct</v>
          </cell>
          <cell r="G1362" t="str">
            <v>Gomukh Koransarai</v>
          </cell>
          <cell r="H1362" t="str">
            <v>Saroj Paswan</v>
          </cell>
          <cell r="I1362">
            <v>8873469198</v>
          </cell>
          <cell r="J1362" t="str">
            <v>101408</v>
          </cell>
          <cell r="K1362"/>
          <cell r="L1362">
            <v>45638</v>
          </cell>
          <cell r="N1362" t="str">
            <v>Dumraon</v>
          </cell>
        </row>
        <row r="1363">
          <cell r="B1363">
            <v>10140147</v>
          </cell>
          <cell r="C1363" t="str">
            <v>0147</v>
          </cell>
          <cell r="D1363"/>
          <cell r="E1363" t="str">
            <v>MPG</v>
          </cell>
          <cell r="F1363" t="str">
            <v>Indirect</v>
          </cell>
          <cell r="G1363" t="str">
            <v xml:space="preserve">Gomukh Mathuradera Upendra </v>
          </cell>
          <cell r="H1363" t="str">
            <v>Upendra Kr Yadav</v>
          </cell>
          <cell r="I1363">
            <v>6204199712</v>
          </cell>
          <cell r="J1363" t="str">
            <v>101403</v>
          </cell>
          <cell r="K1363"/>
          <cell r="L1363">
            <v>45650</v>
          </cell>
          <cell r="N1363" t="str">
            <v>Dumraon</v>
          </cell>
        </row>
        <row r="1364">
          <cell r="B1364">
            <v>10140148</v>
          </cell>
          <cell r="C1364" t="str">
            <v>0148</v>
          </cell>
          <cell r="D1364"/>
          <cell r="E1364" t="str">
            <v>MPG</v>
          </cell>
          <cell r="F1364" t="str">
            <v>Direct</v>
          </cell>
          <cell r="G1364" t="str">
            <v>Gomukh Dalsagar Pachhim</v>
          </cell>
          <cell r="H1364" t="str">
            <v>Rinku Devi</v>
          </cell>
          <cell r="I1364">
            <v>8873116374</v>
          </cell>
          <cell r="J1364" t="str">
            <v>101403</v>
          </cell>
          <cell r="K1364"/>
          <cell r="L1364">
            <v>45653</v>
          </cell>
          <cell r="N1364" t="str">
            <v>Dumraon</v>
          </cell>
        </row>
        <row r="1365">
          <cell r="B1365">
            <v>10140149</v>
          </cell>
          <cell r="C1365" t="str">
            <v>0149</v>
          </cell>
          <cell r="D1365"/>
          <cell r="E1365" t="str">
            <v>MPG</v>
          </cell>
          <cell r="F1365" t="str">
            <v>Direct</v>
          </cell>
          <cell r="G1365" t="str">
            <v>Gomukh Mathila</v>
          </cell>
          <cell r="H1365" t="str">
            <v>Vishal Kumar</v>
          </cell>
          <cell r="I1365">
            <v>9693486190</v>
          </cell>
          <cell r="J1365" t="str">
            <v>101408</v>
          </cell>
          <cell r="K1365"/>
          <cell r="L1365">
            <v>45653</v>
          </cell>
          <cell r="N1365" t="str">
            <v>Dumraon</v>
          </cell>
        </row>
        <row r="1366">
          <cell r="B1366">
            <v>10140150</v>
          </cell>
          <cell r="C1366" t="str">
            <v>0150</v>
          </cell>
          <cell r="D1366"/>
          <cell r="E1366" t="str">
            <v>MPG</v>
          </cell>
          <cell r="F1366" t="str">
            <v>Direct</v>
          </cell>
          <cell r="G1366" t="str">
            <v>Gomukh Jigina</v>
          </cell>
          <cell r="H1366" t="str">
            <v>Jitendra Singh</v>
          </cell>
          <cell r="I1366">
            <v>9123162849</v>
          </cell>
          <cell r="J1366" t="str">
            <v>101408</v>
          </cell>
          <cell r="K1366"/>
          <cell r="L1366">
            <v>45653</v>
          </cell>
          <cell r="N1366" t="str">
            <v>Dumraon</v>
          </cell>
        </row>
        <row r="1367">
          <cell r="B1367">
            <v>10140151</v>
          </cell>
          <cell r="C1367" t="str">
            <v>0151</v>
          </cell>
          <cell r="D1367"/>
          <cell r="E1367" t="str">
            <v>MPG</v>
          </cell>
          <cell r="F1367" t="str">
            <v>Direct</v>
          </cell>
          <cell r="G1367" t="str">
            <v>Gomukh Kuwan</v>
          </cell>
          <cell r="H1367" t="str">
            <v>Subhash Yadav</v>
          </cell>
          <cell r="I1367">
            <v>7654532116</v>
          </cell>
          <cell r="J1367" t="str">
            <v>101407</v>
          </cell>
          <cell r="K1367"/>
          <cell r="L1367">
            <v>45653</v>
          </cell>
          <cell r="N1367" t="str">
            <v>Dumraon</v>
          </cell>
        </row>
        <row r="1368">
          <cell r="B1368">
            <v>10140152</v>
          </cell>
          <cell r="C1368" t="str">
            <v>0152</v>
          </cell>
          <cell r="D1368"/>
          <cell r="E1368" t="str">
            <v>MPG</v>
          </cell>
          <cell r="F1368" t="str">
            <v>Direct</v>
          </cell>
          <cell r="G1368" t="str">
            <v>Gomukh Badkagaon Yamunatola</v>
          </cell>
          <cell r="H1368" t="str">
            <v>Rajesh Kumar Yadav</v>
          </cell>
          <cell r="I1368">
            <v>9315000414</v>
          </cell>
          <cell r="J1368" t="str">
            <v>101408</v>
          </cell>
          <cell r="K1368"/>
          <cell r="L1368">
            <v>45653</v>
          </cell>
          <cell r="N1368" t="str">
            <v>Dumraon</v>
          </cell>
        </row>
        <row r="1369">
          <cell r="B1369">
            <v>10140153</v>
          </cell>
          <cell r="C1369" t="str">
            <v>0153</v>
          </cell>
          <cell r="D1369"/>
          <cell r="E1369" t="str">
            <v>MPG</v>
          </cell>
          <cell r="F1369" t="str">
            <v>Direct</v>
          </cell>
          <cell r="G1369" t="str">
            <v>Gomukh Bramhpur</v>
          </cell>
          <cell r="H1369" t="str">
            <v>Mohit Kumar Yadav</v>
          </cell>
          <cell r="I1369">
            <v>7050137685</v>
          </cell>
          <cell r="J1369" t="str">
            <v>101407</v>
          </cell>
          <cell r="K1369"/>
          <cell r="L1369">
            <v>45674</v>
          </cell>
          <cell r="N1369" t="str">
            <v>Dumraon</v>
          </cell>
        </row>
        <row r="1370">
          <cell r="B1370">
            <v>10140154</v>
          </cell>
          <cell r="C1370" t="str">
            <v>0154</v>
          </cell>
          <cell r="D1370"/>
          <cell r="E1370" t="str">
            <v>MPG</v>
          </cell>
          <cell r="F1370" t="str">
            <v>Direct</v>
          </cell>
          <cell r="G1370" t="str">
            <v>Gomukh Garhtakhurd</v>
          </cell>
          <cell r="H1370" t="str">
            <v>Vinay Kumar singh</v>
          </cell>
          <cell r="I1370">
            <v>8226803380</v>
          </cell>
          <cell r="J1370" t="str">
            <v>101407</v>
          </cell>
          <cell r="K1370"/>
          <cell r="L1370">
            <v>45674</v>
          </cell>
          <cell r="N1370" t="str">
            <v>Dumraon</v>
          </cell>
        </row>
        <row r="1371">
          <cell r="B1371">
            <v>10140155</v>
          </cell>
          <cell r="C1371" t="str">
            <v>0155</v>
          </cell>
          <cell r="D1371"/>
          <cell r="E1371" t="str">
            <v>MPG</v>
          </cell>
          <cell r="F1371" t="str">
            <v>Direct</v>
          </cell>
          <cell r="G1371" t="str">
            <v>Gomukh Rajpur Naurang Rai Dera</v>
          </cell>
          <cell r="H1371" t="str">
            <v>Bablu Rai</v>
          </cell>
          <cell r="I1371">
            <v>8084627684</v>
          </cell>
          <cell r="J1371" t="str">
            <v>101402</v>
          </cell>
          <cell r="K1371"/>
          <cell r="L1371">
            <v>45674</v>
          </cell>
          <cell r="N1371" t="str">
            <v>Dumraon</v>
          </cell>
        </row>
        <row r="1372">
          <cell r="B1372">
            <v>10140156</v>
          </cell>
          <cell r="C1372" t="str">
            <v>0156</v>
          </cell>
          <cell r="D1372"/>
          <cell r="E1372" t="str">
            <v>MPG</v>
          </cell>
          <cell r="F1372" t="str">
            <v>Direct</v>
          </cell>
          <cell r="G1372" t="str">
            <v>Gomukh Mashariya</v>
          </cell>
          <cell r="H1372" t="str">
            <v>Mukesh Kumar</v>
          </cell>
          <cell r="I1372">
            <v>9540837313</v>
          </cell>
          <cell r="J1372" t="str">
            <v>101409</v>
          </cell>
          <cell r="K1372"/>
          <cell r="L1372">
            <v>45682</v>
          </cell>
          <cell r="N1372" t="str">
            <v>Dumraon</v>
          </cell>
        </row>
        <row r="1373">
          <cell r="B1373">
            <v>10140157</v>
          </cell>
          <cell r="C1373" t="str">
            <v>0157</v>
          </cell>
          <cell r="D1373"/>
          <cell r="E1373" t="str">
            <v>MPG</v>
          </cell>
          <cell r="F1373" t="str">
            <v>Indirect</v>
          </cell>
          <cell r="G1373" t="str">
            <v>Gomukh Basawkala Sudhir kumar</v>
          </cell>
          <cell r="H1373" t="str">
            <v>Sudhir Kumar</v>
          </cell>
          <cell r="I1373">
            <v>9835023192</v>
          </cell>
          <cell r="J1373" t="str">
            <v>101409</v>
          </cell>
          <cell r="K1373"/>
          <cell r="L1373">
            <v>45686</v>
          </cell>
          <cell r="N1373" t="str">
            <v>Dumraon</v>
          </cell>
        </row>
        <row r="1374">
          <cell r="B1374">
            <v>10140158</v>
          </cell>
          <cell r="C1374" t="str">
            <v>0158</v>
          </cell>
          <cell r="D1374"/>
          <cell r="E1374" t="str">
            <v>MPG</v>
          </cell>
          <cell r="F1374" t="str">
            <v>Direct</v>
          </cell>
          <cell r="G1374" t="str">
            <v>Gomukh Sawna</v>
          </cell>
          <cell r="H1374" t="str">
            <v>Ravi Singh</v>
          </cell>
          <cell r="I1374">
            <v>7766953926</v>
          </cell>
          <cell r="J1374" t="str">
            <v>101409</v>
          </cell>
          <cell r="K1374"/>
          <cell r="L1374">
            <v>45686</v>
          </cell>
          <cell r="N1374" t="str">
            <v>Dumraon</v>
          </cell>
        </row>
        <row r="1375">
          <cell r="B1375">
            <v>10140159</v>
          </cell>
          <cell r="C1375" t="str">
            <v>0159</v>
          </cell>
          <cell r="D1375"/>
          <cell r="E1375" t="str">
            <v>MPG</v>
          </cell>
          <cell r="F1375" t="str">
            <v>Direct</v>
          </cell>
          <cell r="G1375" t="str">
            <v>Gomukh Kaudesari</v>
          </cell>
          <cell r="H1375" t="str">
            <v>Ramakant singh</v>
          </cell>
          <cell r="I1375">
            <v>9931256142</v>
          </cell>
          <cell r="J1375" t="str">
            <v>101409</v>
          </cell>
          <cell r="K1375"/>
          <cell r="L1375">
            <v>45686</v>
          </cell>
          <cell r="N1375" t="str">
            <v>Dumraon</v>
          </cell>
        </row>
        <row r="1376">
          <cell r="B1376">
            <v>10140160</v>
          </cell>
          <cell r="C1376" t="str">
            <v>0160</v>
          </cell>
          <cell r="D1376"/>
          <cell r="E1376" t="str">
            <v>MPG</v>
          </cell>
          <cell r="F1376" t="str">
            <v>Direct</v>
          </cell>
          <cell r="G1376" t="str">
            <v>Gomukh Dahivar kothiya</v>
          </cell>
          <cell r="H1376" t="str">
            <v>Sandhya Mishra</v>
          </cell>
          <cell r="I1376">
            <v>8709046718</v>
          </cell>
          <cell r="J1376" t="str">
            <v>101402</v>
          </cell>
          <cell r="K1376"/>
          <cell r="L1376">
            <v>45691</v>
          </cell>
          <cell r="N1376" t="str">
            <v>Dumraon</v>
          </cell>
        </row>
        <row r="1377">
          <cell r="B1377">
            <v>10140161</v>
          </cell>
          <cell r="C1377" t="str">
            <v>0161</v>
          </cell>
          <cell r="D1377"/>
          <cell r="E1377" t="str">
            <v>MPG</v>
          </cell>
          <cell r="F1377" t="str">
            <v>Indirect</v>
          </cell>
          <cell r="G1377" t="str">
            <v>Gomukh Bramhpur Pachhimtola</v>
          </cell>
          <cell r="H1377" t="str">
            <v>Ashutosh Kumar</v>
          </cell>
          <cell r="I1377">
            <v>8340234473</v>
          </cell>
          <cell r="J1377" t="str">
            <v>101405</v>
          </cell>
          <cell r="K1377"/>
          <cell r="L1377">
            <v>45722</v>
          </cell>
          <cell r="N1377" t="str">
            <v>Dumraon</v>
          </cell>
        </row>
        <row r="1378">
          <cell r="B1378">
            <v>10140162</v>
          </cell>
          <cell r="C1378" t="str">
            <v>0162</v>
          </cell>
          <cell r="D1378"/>
          <cell r="E1378" t="str">
            <v>MPG</v>
          </cell>
          <cell r="F1378" t="str">
            <v>Direct</v>
          </cell>
          <cell r="G1378" t="str">
            <v>Gomukh Mahda</v>
          </cell>
          <cell r="H1378" t="str">
            <v>Manoj kumar Yadav</v>
          </cell>
          <cell r="I1378">
            <v>7654716391</v>
          </cell>
          <cell r="J1378" t="str">
            <v>101407</v>
          </cell>
          <cell r="K1378"/>
          <cell r="L1378">
            <v>45728</v>
          </cell>
          <cell r="N1378" t="str">
            <v>Dumraon</v>
          </cell>
        </row>
        <row r="1379">
          <cell r="B1379">
            <v>10140163</v>
          </cell>
          <cell r="C1379" t="str">
            <v>0163</v>
          </cell>
          <cell r="D1379"/>
          <cell r="E1379" t="str">
            <v>MPG</v>
          </cell>
          <cell r="F1379" t="str">
            <v>Direct</v>
          </cell>
          <cell r="G1379" t="str">
            <v>Gomukh Ramgardh Dera</v>
          </cell>
          <cell r="H1379" t="str">
            <v>Vikash Kumar Yadav</v>
          </cell>
          <cell r="I1379">
            <v>8578932026</v>
          </cell>
          <cell r="J1379" t="str">
            <v>101405</v>
          </cell>
          <cell r="K1379"/>
          <cell r="L1379">
            <v>45741</v>
          </cell>
          <cell r="N1379" t="str">
            <v>Dumraon</v>
          </cell>
        </row>
        <row r="1380">
          <cell r="B1380">
            <v>10140164</v>
          </cell>
          <cell r="C1380" t="str">
            <v>0164</v>
          </cell>
          <cell r="D1380"/>
          <cell r="E1380" t="str">
            <v>MPG</v>
          </cell>
          <cell r="F1380" t="str">
            <v>Direct</v>
          </cell>
          <cell r="G1380" t="str">
            <v>Gomukh Bharkhar</v>
          </cell>
          <cell r="H1380" t="str">
            <v>Jaikrishna Singh</v>
          </cell>
          <cell r="I1380">
            <v>7667895212</v>
          </cell>
          <cell r="J1380" t="str">
            <v>101407</v>
          </cell>
          <cell r="K1380"/>
          <cell r="L1380">
            <v>45741</v>
          </cell>
          <cell r="N1380" t="str">
            <v>Dumraon</v>
          </cell>
        </row>
        <row r="1381">
          <cell r="B1381">
            <v>10140165</v>
          </cell>
          <cell r="C1381" t="str">
            <v>0165</v>
          </cell>
          <cell r="D1381"/>
          <cell r="E1381" t="str">
            <v>MPG</v>
          </cell>
          <cell r="F1381" t="str">
            <v>Direct</v>
          </cell>
          <cell r="G1381" t="str">
            <v>Gomukh Rampur</v>
          </cell>
          <cell r="H1381" t="str">
            <v>Mina devi</v>
          </cell>
          <cell r="I1381">
            <v>8229010251</v>
          </cell>
          <cell r="J1381" t="str">
            <v>101408</v>
          </cell>
          <cell r="K1381"/>
          <cell r="L1381">
            <v>45741</v>
          </cell>
          <cell r="N1381" t="str">
            <v>Dumraon</v>
          </cell>
        </row>
        <row r="1382">
          <cell r="B1382">
            <v>10140166</v>
          </cell>
          <cell r="C1382" t="str">
            <v>0166</v>
          </cell>
          <cell r="D1382"/>
          <cell r="E1382" t="str">
            <v>MPG</v>
          </cell>
          <cell r="F1382" t="str">
            <v>Direct</v>
          </cell>
          <cell r="G1382" t="str">
            <v>Gomukh KritSagar</v>
          </cell>
          <cell r="H1382" t="str">
            <v>Kuldip Yadav</v>
          </cell>
          <cell r="I1382">
            <v>9241033487</v>
          </cell>
          <cell r="J1382" t="str">
            <v>101405</v>
          </cell>
          <cell r="K1382"/>
          <cell r="L1382">
            <v>45741</v>
          </cell>
          <cell r="N1382" t="str">
            <v>Dumraon</v>
          </cell>
        </row>
        <row r="1383">
          <cell r="B1383">
            <v>10140167</v>
          </cell>
          <cell r="C1383" t="str">
            <v>0167</v>
          </cell>
          <cell r="D1383"/>
          <cell r="E1383" t="str">
            <v>MPG</v>
          </cell>
          <cell r="F1383" t="str">
            <v>Indirect</v>
          </cell>
          <cell r="G1383" t="str">
            <v>Gomukh Navdera Jaipraksh</v>
          </cell>
          <cell r="H1383" t="str">
            <v>Jai prakash</v>
          </cell>
          <cell r="I1383">
            <v>9934740007</v>
          </cell>
          <cell r="J1383" t="str">
            <v>101405</v>
          </cell>
          <cell r="K1383"/>
          <cell r="L1383">
            <v>45743</v>
          </cell>
          <cell r="N1383" t="str">
            <v>Dumraon</v>
          </cell>
        </row>
        <row r="1384">
          <cell r="B1384">
            <v>10140168</v>
          </cell>
          <cell r="C1384" t="str">
            <v>0168</v>
          </cell>
          <cell r="D1384"/>
          <cell r="E1384" t="str">
            <v>MPG</v>
          </cell>
          <cell r="F1384" t="str">
            <v>Direct</v>
          </cell>
          <cell r="G1384" t="str">
            <v>Gomukh Suraundha</v>
          </cell>
          <cell r="H1384" t="str">
            <v>Pooja Kumari</v>
          </cell>
          <cell r="I1384">
            <v>9122027363</v>
          </cell>
          <cell r="J1384" t="str">
            <v>101403</v>
          </cell>
          <cell r="K1384"/>
          <cell r="L1384">
            <v>45744</v>
          </cell>
          <cell r="N1384" t="str">
            <v>Dumraon</v>
          </cell>
        </row>
        <row r="1385">
          <cell r="B1385">
            <v>10140169</v>
          </cell>
          <cell r="C1385" t="str">
            <v>0169</v>
          </cell>
          <cell r="D1385"/>
          <cell r="E1385" t="str">
            <v>MPG</v>
          </cell>
          <cell r="F1385" t="str">
            <v>Direct</v>
          </cell>
          <cell r="G1385" t="str">
            <v>Gomukh Semra Nandpur</v>
          </cell>
          <cell r="H1385" t="str">
            <v>Govind Kumar Yadav</v>
          </cell>
          <cell r="I1385">
            <v>9708448660</v>
          </cell>
          <cell r="J1385" t="str">
            <v>101405</v>
          </cell>
          <cell r="K1385"/>
          <cell r="L1385">
            <v>45744</v>
          </cell>
          <cell r="N1385" t="str">
            <v>Dumraon</v>
          </cell>
        </row>
        <row r="1386">
          <cell r="B1386">
            <v>10140170</v>
          </cell>
          <cell r="C1386" t="str">
            <v>0170</v>
          </cell>
          <cell r="D1386"/>
          <cell r="E1386" t="str">
            <v>MPG</v>
          </cell>
          <cell r="F1386" t="str">
            <v>Direct</v>
          </cell>
          <cell r="G1386" t="str">
            <v>Gomukh Ataon</v>
          </cell>
          <cell r="H1386" t="str">
            <v>Vinay Kumar Singh</v>
          </cell>
          <cell r="I1386">
            <v>8084085986</v>
          </cell>
          <cell r="J1386" t="str">
            <v>101405</v>
          </cell>
          <cell r="K1386"/>
          <cell r="L1386">
            <v>45761</v>
          </cell>
          <cell r="N1386" t="str">
            <v>Dumraon</v>
          </cell>
        </row>
        <row r="1387">
          <cell r="B1387">
            <v>10140171</v>
          </cell>
          <cell r="C1387" t="str">
            <v>0171</v>
          </cell>
          <cell r="D1387"/>
          <cell r="E1387" t="str">
            <v>MPG</v>
          </cell>
          <cell r="F1387" t="str">
            <v>Direct</v>
          </cell>
          <cell r="G1387" t="str">
            <v xml:space="preserve">Gomukh Mukhiyadera </v>
          </cell>
          <cell r="H1387" t="str">
            <v>Babloo Kumar</v>
          </cell>
          <cell r="I1387">
            <v>6204226398</v>
          </cell>
          <cell r="J1387" t="str">
            <v>101403</v>
          </cell>
          <cell r="K1387"/>
          <cell r="L1387">
            <v>45768</v>
          </cell>
          <cell r="N1387" t="str">
            <v>Dumraon</v>
          </cell>
        </row>
        <row r="1388">
          <cell r="B1388">
            <v>10140172</v>
          </cell>
          <cell r="C1388" t="str">
            <v>0172</v>
          </cell>
          <cell r="D1388"/>
          <cell r="E1388" t="str">
            <v>MPG</v>
          </cell>
          <cell r="F1388" t="str">
            <v>Direct</v>
          </cell>
          <cell r="G1388" t="str">
            <v>Gomukh Laxman Dera</v>
          </cell>
          <cell r="H1388" t="str">
            <v>Guddu Kumar Yadav</v>
          </cell>
          <cell r="I1388">
            <v>7004031762</v>
          </cell>
          <cell r="J1388" t="str">
            <v>101403</v>
          </cell>
          <cell r="K1388"/>
          <cell r="L1388">
            <v>45768</v>
          </cell>
          <cell r="N1388" t="str">
            <v>Dumraon</v>
          </cell>
        </row>
        <row r="1389">
          <cell r="B1389">
            <v>10140173</v>
          </cell>
          <cell r="C1389" t="str">
            <v>0173</v>
          </cell>
          <cell r="D1389"/>
          <cell r="E1389" t="str">
            <v>MPG</v>
          </cell>
          <cell r="F1389" t="str">
            <v>Direct</v>
          </cell>
          <cell r="G1389" t="str">
            <v>Gumukh Gayghat</v>
          </cell>
          <cell r="H1389" t="str">
            <v>Janmejay Kunwar</v>
          </cell>
          <cell r="I1389">
            <v>9162399222</v>
          </cell>
          <cell r="J1389" t="str">
            <v>101403</v>
          </cell>
          <cell r="K1389"/>
          <cell r="L1389">
            <v>45768</v>
          </cell>
          <cell r="N1389" t="str">
            <v>Dumraon</v>
          </cell>
        </row>
        <row r="1390">
          <cell r="B1390">
            <v>10140174</v>
          </cell>
          <cell r="C1390" t="str">
            <v>0174</v>
          </cell>
          <cell r="D1390"/>
          <cell r="E1390" t="str">
            <v>MPG</v>
          </cell>
          <cell r="F1390" t="str">
            <v>Direct</v>
          </cell>
          <cell r="G1390" t="str">
            <v>Gomukh Shivpur</v>
          </cell>
          <cell r="H1390" t="str">
            <v>Ravish Kumar</v>
          </cell>
          <cell r="I1390">
            <v>7481998840</v>
          </cell>
          <cell r="J1390" t="str">
            <v>101408</v>
          </cell>
          <cell r="K1390"/>
          <cell r="L1390">
            <v>45768</v>
          </cell>
          <cell r="N1390" t="str">
            <v>Dumraon</v>
          </cell>
        </row>
        <row r="1391">
          <cell r="B1391">
            <v>10140175</v>
          </cell>
          <cell r="C1391" t="str">
            <v>0175</v>
          </cell>
          <cell r="D1391"/>
          <cell r="E1391" t="str">
            <v>MPG</v>
          </cell>
          <cell r="F1391" t="str">
            <v>Indirect</v>
          </cell>
          <cell r="G1391" t="str">
            <v>Roma Bharti</v>
          </cell>
          <cell r="H1391" t="str">
            <v>Vinod Kumar Singh</v>
          </cell>
          <cell r="I1391">
            <v>6202486091</v>
          </cell>
          <cell r="J1391" t="str">
            <v>101408</v>
          </cell>
          <cell r="K1391"/>
          <cell r="L1391">
            <v>45783</v>
          </cell>
          <cell r="N1391" t="str">
            <v>Dumraon</v>
          </cell>
        </row>
        <row r="1392">
          <cell r="B1392">
            <v>10140176</v>
          </cell>
          <cell r="C1392" t="str">
            <v>0176</v>
          </cell>
          <cell r="D1392"/>
          <cell r="E1392" t="str">
            <v>MPG</v>
          </cell>
          <cell r="F1392" t="str">
            <v>Indirect</v>
          </cell>
          <cell r="G1392" t="str">
            <v>Janardan Yadav</v>
          </cell>
          <cell r="H1392" t="str">
            <v>Rikhudev Yadav</v>
          </cell>
          <cell r="I1392">
            <v>9576264129</v>
          </cell>
          <cell r="J1392" t="str">
            <v>101403</v>
          </cell>
          <cell r="K1392"/>
          <cell r="L1392">
            <v>45787</v>
          </cell>
          <cell r="N1392" t="str">
            <v>Dumraon</v>
          </cell>
        </row>
        <row r="1393">
          <cell r="B1393">
            <v>10140177</v>
          </cell>
          <cell r="C1393" t="str">
            <v>0177</v>
          </cell>
          <cell r="D1393"/>
          <cell r="E1393" t="str">
            <v>MPG</v>
          </cell>
          <cell r="F1393" t="str">
            <v>Direct</v>
          </cell>
          <cell r="G1393" t="str">
            <v>Baleshawarnath singh</v>
          </cell>
          <cell r="H1393" t="str">
            <v>Baidynath singh</v>
          </cell>
          <cell r="I1393">
            <v>9334241415</v>
          </cell>
          <cell r="J1393" t="str">
            <v>101408</v>
          </cell>
          <cell r="K1393"/>
          <cell r="L1393">
            <v>45794</v>
          </cell>
          <cell r="N1393" t="str">
            <v>Dumraon</v>
          </cell>
        </row>
        <row r="1394">
          <cell r="B1394">
            <v>10140178</v>
          </cell>
          <cell r="C1394" t="str">
            <v>0178</v>
          </cell>
          <cell r="D1394"/>
          <cell r="E1394" t="str">
            <v>MPG</v>
          </cell>
          <cell r="F1394" t="str">
            <v>Direct</v>
          </cell>
          <cell r="G1394" t="str">
            <v>Gomukh Tiyar</v>
          </cell>
          <cell r="H1394" t="str">
            <v>Sushil Kumar</v>
          </cell>
          <cell r="I1394">
            <v>7491821186</v>
          </cell>
          <cell r="J1394" t="str">
            <v>101405</v>
          </cell>
          <cell r="K1394"/>
          <cell r="L1394">
            <v>45798</v>
          </cell>
          <cell r="N1394" t="str">
            <v>Dumraon</v>
          </cell>
        </row>
        <row r="1395">
          <cell r="B1395">
            <v>10140179</v>
          </cell>
          <cell r="C1395" t="str">
            <v>0179</v>
          </cell>
          <cell r="D1395"/>
          <cell r="E1395" t="str">
            <v>MPG</v>
          </cell>
          <cell r="F1395" t="str">
            <v>Direct</v>
          </cell>
          <cell r="G1395" t="str">
            <v>Gomukh Rajpur</v>
          </cell>
          <cell r="H1395" t="str">
            <v>Dhirendra Thakur</v>
          </cell>
          <cell r="I1395">
            <v>8084278421</v>
          </cell>
          <cell r="J1395" t="str">
            <v>101405</v>
          </cell>
          <cell r="K1395"/>
          <cell r="L1395">
            <v>45798</v>
          </cell>
          <cell r="N1395" t="str">
            <v>Dumraon</v>
          </cell>
        </row>
        <row r="1396">
          <cell r="B1396">
            <v>10140180</v>
          </cell>
          <cell r="C1396" t="str">
            <v>0180</v>
          </cell>
          <cell r="D1396"/>
          <cell r="E1396" t="str">
            <v>MPG</v>
          </cell>
          <cell r="F1396" t="str">
            <v>Direct</v>
          </cell>
          <cell r="G1396" t="str">
            <v>Gomukh Gangauli Dubha</v>
          </cell>
          <cell r="H1396" t="str">
            <v>Jyoti Devi</v>
          </cell>
          <cell r="I1396">
            <v>8789172422</v>
          </cell>
          <cell r="J1396" t="str">
            <v>101403</v>
          </cell>
          <cell r="K1396"/>
          <cell r="L1396">
            <v>45800</v>
          </cell>
          <cell r="N1396" t="str">
            <v>Dumraon</v>
          </cell>
        </row>
        <row r="1397">
          <cell r="B1397">
            <v>10140181</v>
          </cell>
          <cell r="C1397" t="str">
            <v>0181</v>
          </cell>
          <cell r="D1397"/>
          <cell r="E1397" t="str">
            <v>MPG</v>
          </cell>
          <cell r="F1397" t="str">
            <v>Indirect</v>
          </cell>
          <cell r="G1397" t="str">
            <v>Tiyar A2 Milk Producer Company Limited</v>
          </cell>
          <cell r="H1397" t="str">
            <v>Vivekanand Thakur</v>
          </cell>
          <cell r="I1397">
            <v>8825249153</v>
          </cell>
          <cell r="J1397" t="str">
            <v>101405</v>
          </cell>
          <cell r="K1397"/>
          <cell r="L1397">
            <v>45808</v>
          </cell>
          <cell r="N1397" t="str">
            <v>Dumraon</v>
          </cell>
        </row>
        <row r="1398">
          <cell r="B1398">
            <v>10140182</v>
          </cell>
          <cell r="C1398" t="str">
            <v>0182</v>
          </cell>
          <cell r="D1398"/>
          <cell r="E1398" t="str">
            <v>MPG</v>
          </cell>
          <cell r="F1398" t="str">
            <v>Direct</v>
          </cell>
          <cell r="G1398" t="str">
            <v>Gomukh Pandeypur</v>
          </cell>
          <cell r="H1398" t="str">
            <v>Jaynat Kumar Gupta</v>
          </cell>
          <cell r="I1398">
            <v>7254882497</v>
          </cell>
          <cell r="J1398" t="str">
            <v>101408</v>
          </cell>
          <cell r="K1398"/>
          <cell r="L1398">
            <v>45820</v>
          </cell>
          <cell r="N1398" t="str">
            <v>Dumraon</v>
          </cell>
        </row>
        <row r="1399">
          <cell r="B1399">
            <v>10140183</v>
          </cell>
          <cell r="C1399" t="str">
            <v>0183</v>
          </cell>
          <cell r="D1399"/>
          <cell r="E1399" t="str">
            <v>MPG</v>
          </cell>
          <cell r="F1399" t="str">
            <v>Direct</v>
          </cell>
          <cell r="G1399" t="str">
            <v>Gomukh Uttardahan</v>
          </cell>
          <cell r="H1399" t="str">
            <v>Arjun Kumar Yadav</v>
          </cell>
          <cell r="I1399">
            <v>9507287993</v>
          </cell>
          <cell r="J1399" t="str">
            <v>101405</v>
          </cell>
          <cell r="K1399"/>
          <cell r="L1399">
            <v>45834</v>
          </cell>
          <cell r="N1399" t="str">
            <v>Dumraon</v>
          </cell>
        </row>
        <row r="1400">
          <cell r="B1400">
            <v>10140184</v>
          </cell>
          <cell r="C1400" t="str">
            <v>0184</v>
          </cell>
          <cell r="D1400"/>
          <cell r="E1400" t="str">
            <v>MPG</v>
          </cell>
          <cell r="F1400" t="str">
            <v>Indirect</v>
          </cell>
          <cell r="G1400" t="str">
            <v>Gomukh Semra Gayghat ramashankar</v>
          </cell>
          <cell r="H1400" t="str">
            <v>Rama shankar Pandey</v>
          </cell>
          <cell r="I1400">
            <v>8002755910</v>
          </cell>
          <cell r="J1400" t="str">
            <v>101405</v>
          </cell>
          <cell r="K1400"/>
          <cell r="L1400">
            <v>45857</v>
          </cell>
          <cell r="N1400" t="str">
            <v>Dumraon</v>
          </cell>
        </row>
        <row r="1401">
          <cell r="B1401">
            <v>10140185</v>
          </cell>
          <cell r="C1401" t="str">
            <v>0185</v>
          </cell>
          <cell r="D1401"/>
          <cell r="E1401" t="str">
            <v>MPG</v>
          </cell>
          <cell r="F1401" t="str">
            <v>Direct</v>
          </cell>
          <cell r="G1401" t="str">
            <v>Gomukh Jagdishpur</v>
          </cell>
          <cell r="H1401" t="str">
            <v>Ajay Kumar Tiwari</v>
          </cell>
          <cell r="I1401">
            <v>8252882294</v>
          </cell>
          <cell r="J1401" t="str">
            <v>101407</v>
          </cell>
          <cell r="K1401"/>
          <cell r="L1401">
            <v>45864</v>
          </cell>
          <cell r="N1401" t="str">
            <v>Dumraon</v>
          </cell>
        </row>
        <row r="1402">
          <cell r="B1402">
            <v>10140186</v>
          </cell>
          <cell r="C1402" t="str">
            <v>0186</v>
          </cell>
          <cell r="D1402"/>
          <cell r="E1402" t="str">
            <v>MPG</v>
          </cell>
          <cell r="F1402" t="str">
            <v>Direct</v>
          </cell>
          <cell r="G1402" t="str">
            <v>Gomukh Akalupur Dera</v>
          </cell>
          <cell r="H1402" t="str">
            <v>Satyendra Yadav</v>
          </cell>
          <cell r="I1402">
            <v>7050000869</v>
          </cell>
          <cell r="J1402" t="str">
            <v>101408</v>
          </cell>
          <cell r="K1402"/>
          <cell r="L1402">
            <v>45897</v>
          </cell>
          <cell r="N1402" t="str">
            <v>Dumraon</v>
          </cell>
        </row>
        <row r="1403">
          <cell r="B1403">
            <v>10140187</v>
          </cell>
          <cell r="C1403" t="str">
            <v>0187</v>
          </cell>
          <cell r="D1403"/>
          <cell r="E1403" t="str">
            <v>MPG</v>
          </cell>
          <cell r="F1403" t="str">
            <v>Direct</v>
          </cell>
          <cell r="G1403" t="str">
            <v>Gomukh Bakulaha pati</v>
          </cell>
          <cell r="H1403" t="str">
            <v>Omprakash Prasad</v>
          </cell>
          <cell r="I1403">
            <v>9394009291</v>
          </cell>
          <cell r="J1403" t="str">
            <v>101402</v>
          </cell>
          <cell r="K1403"/>
          <cell r="L1403">
            <v>45908</v>
          </cell>
          <cell r="N1403" t="str">
            <v>Dumraon</v>
          </cell>
        </row>
        <row r="1404">
          <cell r="B1404">
            <v>10140188</v>
          </cell>
          <cell r="C1404" t="str">
            <v>0188</v>
          </cell>
          <cell r="D1404"/>
          <cell r="E1404" t="str">
            <v>MPG</v>
          </cell>
          <cell r="F1404" t="str">
            <v>Direct</v>
          </cell>
          <cell r="G1404" t="str">
            <v>Gomukh Nagpura</v>
          </cell>
          <cell r="H1404" t="str">
            <v>Savitri devi</v>
          </cell>
          <cell r="I1404">
            <v>9801717417</v>
          </cell>
          <cell r="J1404" t="str">
            <v>101402</v>
          </cell>
          <cell r="K1404"/>
          <cell r="L1404">
            <v>45908</v>
          </cell>
          <cell r="N1404" t="str">
            <v>Dumraon</v>
          </cell>
        </row>
        <row r="1405">
          <cell r="B1405">
            <v>10140189</v>
          </cell>
          <cell r="C1405" t="str">
            <v>0189</v>
          </cell>
          <cell r="D1405"/>
          <cell r="E1405" t="str">
            <v>MPG</v>
          </cell>
          <cell r="F1405" t="str">
            <v>Direct</v>
          </cell>
          <cell r="G1405" t="str">
            <v>Gumukh Chunnidera</v>
          </cell>
          <cell r="H1405" t="str">
            <v>Ritesh Kr Yadav</v>
          </cell>
          <cell r="I1405">
            <v>9608480448</v>
          </cell>
          <cell r="J1405" t="str">
            <v>101403</v>
          </cell>
          <cell r="K1405"/>
          <cell r="L1405">
            <v>45923</v>
          </cell>
          <cell r="N1405" t="str">
            <v>Dumraon</v>
          </cell>
        </row>
        <row r="1406">
          <cell r="B1406">
            <v>10140190</v>
          </cell>
          <cell r="C1406" t="str">
            <v>0190</v>
          </cell>
          <cell r="D1406"/>
          <cell r="E1406" t="str">
            <v>MPG</v>
          </cell>
          <cell r="F1406" t="str">
            <v>Indirect</v>
          </cell>
          <cell r="G1406" t="str">
            <v>Gumukh Chakaura rohit</v>
          </cell>
          <cell r="H1406" t="str">
            <v>Rohit Kumar</v>
          </cell>
          <cell r="I1406">
            <v>8651237350</v>
          </cell>
          <cell r="J1406" t="str">
            <v>101403</v>
          </cell>
          <cell r="K1406"/>
          <cell r="L1406">
            <v>45978</v>
          </cell>
          <cell r="N1406" t="str">
            <v>Dumraon</v>
          </cell>
        </row>
        <row r="1407">
          <cell r="B1407">
            <v>10140191</v>
          </cell>
          <cell r="C1407" t="str">
            <v>0191</v>
          </cell>
          <cell r="D1407"/>
          <cell r="E1407" t="str">
            <v>MPG</v>
          </cell>
          <cell r="F1407" t="str">
            <v>Indirect</v>
          </cell>
          <cell r="G1407" t="str">
            <v>Gumukk JP Dera</v>
          </cell>
          <cell r="H1407" t="str">
            <v>RANJAN KUMAR</v>
          </cell>
          <cell r="I1407">
            <v>9576919863</v>
          </cell>
          <cell r="J1407" t="str">
            <v>101403</v>
          </cell>
          <cell r="K1407"/>
          <cell r="L1407">
            <v>45978</v>
          </cell>
          <cell r="N1407" t="str">
            <v>Dumraon</v>
          </cell>
        </row>
        <row r="1408">
          <cell r="B1408">
            <v>10140192</v>
          </cell>
          <cell r="C1408" t="str">
            <v>0192</v>
          </cell>
          <cell r="D1408"/>
          <cell r="E1408" t="str">
            <v>MPG</v>
          </cell>
          <cell r="F1408" t="str">
            <v>Direct</v>
          </cell>
          <cell r="G1408" t="str">
            <v>Gumukk Bikrampur</v>
          </cell>
          <cell r="H1408" t="str">
            <v>Rahul Kumar singh</v>
          </cell>
          <cell r="I1408">
            <v>9934931246</v>
          </cell>
          <cell r="J1408" t="str">
            <v>101403</v>
          </cell>
          <cell r="K1408"/>
          <cell r="L1408">
            <v>45978</v>
          </cell>
          <cell r="N1408" t="str">
            <v>Dumraon</v>
          </cell>
        </row>
        <row r="1409">
          <cell r="B1409">
            <v>10140193</v>
          </cell>
          <cell r="C1409" t="str">
            <v>0193</v>
          </cell>
          <cell r="D1409"/>
          <cell r="E1409" t="str">
            <v>MPG</v>
          </cell>
          <cell r="F1409" t="str">
            <v>Indirect</v>
          </cell>
          <cell r="G1409" t="str">
            <v>Gumukh Dada Baba ka Dera Gaya Ji</v>
          </cell>
          <cell r="H1409" t="str">
            <v>Gaya Jee Pathak</v>
          </cell>
          <cell r="I1409">
            <v>7209285245</v>
          </cell>
          <cell r="J1409" t="str">
            <v>101403</v>
          </cell>
          <cell r="K1409"/>
          <cell r="L1409">
            <v>46000</v>
          </cell>
          <cell r="N1409" t="str">
            <v>Dumraon</v>
          </cell>
        </row>
        <row r="1410">
          <cell r="B1410">
            <v>10140194</v>
          </cell>
          <cell r="C1410" t="str">
            <v>0194</v>
          </cell>
          <cell r="D1410"/>
          <cell r="E1410" t="str">
            <v>MPG</v>
          </cell>
          <cell r="F1410" t="str">
            <v>Direct</v>
          </cell>
          <cell r="G1410" t="str">
            <v>Gumukh Orap Khurd</v>
          </cell>
          <cell r="H1410" t="str">
            <v>NandJee Singh</v>
          </cell>
          <cell r="I1410">
            <v>6207956009</v>
          </cell>
          <cell r="J1410" t="str">
            <v>101409</v>
          </cell>
          <cell r="K1410"/>
          <cell r="L1410">
            <v>46009</v>
          </cell>
          <cell r="N1410" t="str">
            <v>Dumraon</v>
          </cell>
        </row>
        <row r="1411">
          <cell r="B1411">
            <v>10140195</v>
          </cell>
          <cell r="C1411" t="str">
            <v>0195</v>
          </cell>
          <cell r="D1411"/>
          <cell r="E1411" t="str">
            <v>MPG</v>
          </cell>
          <cell r="F1411" t="str">
            <v>Indirect</v>
          </cell>
          <cell r="G1411" t="str">
            <v>Gomukh Ekauna Dera Yogindra</v>
          </cell>
          <cell r="H1411" t="str">
            <v>Yogindra Yadav</v>
          </cell>
          <cell r="I1411">
            <v>8578077129</v>
          </cell>
          <cell r="J1411" t="str">
            <v>101401</v>
          </cell>
          <cell r="K1411"/>
          <cell r="L1411">
            <v>46009</v>
          </cell>
          <cell r="N1411" t="str">
            <v>Dumraon</v>
          </cell>
        </row>
        <row r="1412">
          <cell r="B1412">
            <v>10140196</v>
          </cell>
          <cell r="C1412" t="str">
            <v>0196</v>
          </cell>
          <cell r="D1412"/>
          <cell r="E1412" t="str">
            <v>MPG</v>
          </cell>
          <cell r="F1412" t="str">
            <v>Indirect</v>
          </cell>
          <cell r="G1412" t="str">
            <v>Gomukh Daunpura Manendra</v>
          </cell>
          <cell r="H1412" t="str">
            <v>Manendra Kumar Yadav</v>
          </cell>
          <cell r="I1412">
            <v>6299597397</v>
          </cell>
          <cell r="J1412" t="str">
            <v>101401</v>
          </cell>
          <cell r="K1412"/>
          <cell r="L1412">
            <v>46009</v>
          </cell>
          <cell r="N1412" t="str">
            <v>Dumraon</v>
          </cell>
        </row>
        <row r="1413">
          <cell r="B1413">
            <v>10140197</v>
          </cell>
          <cell r="C1413" t="str">
            <v>0197</v>
          </cell>
          <cell r="D1413"/>
          <cell r="E1413" t="str">
            <v>MPG</v>
          </cell>
          <cell r="F1413" t="str">
            <v>Direct</v>
          </cell>
          <cell r="G1413" t="str">
            <v>Gumukh Mathiyapur</v>
          </cell>
          <cell r="H1413" t="str">
            <v>Rajkapil singh</v>
          </cell>
          <cell r="I1413">
            <v>9560516659</v>
          </cell>
          <cell r="J1413" t="str">
            <v>101407</v>
          </cell>
          <cell r="K1413"/>
          <cell r="L1413">
            <v>46014</v>
          </cell>
          <cell r="N1413" t="str">
            <v>Dumraon</v>
          </cell>
        </row>
        <row r="1414">
          <cell r="B1414">
            <v>10140198</v>
          </cell>
          <cell r="C1414" t="str">
            <v>0198</v>
          </cell>
          <cell r="D1414"/>
          <cell r="E1414" t="str">
            <v>MPG</v>
          </cell>
          <cell r="F1414" t="str">
            <v>Indirect</v>
          </cell>
          <cell r="G1414" t="str">
            <v>Gomukh Raghunathpur Dasrath</v>
          </cell>
          <cell r="H1414" t="str">
            <v>Dasrath prasad</v>
          </cell>
          <cell r="I1414">
            <v>9508758570</v>
          </cell>
          <cell r="J1414" t="str">
            <v>101401</v>
          </cell>
          <cell r="K1414"/>
          <cell r="L1414">
            <v>46014</v>
          </cell>
          <cell r="N1414" t="str">
            <v>Dumraon</v>
          </cell>
        </row>
        <row r="1415">
          <cell r="B1415">
            <v>10140199</v>
          </cell>
          <cell r="C1415" t="str">
            <v>0199</v>
          </cell>
          <cell r="D1415"/>
          <cell r="E1415" t="str">
            <v>MPG</v>
          </cell>
          <cell r="F1415" t="str">
            <v>Indirect</v>
          </cell>
          <cell r="G1415" t="str">
            <v>Gomukh Dullahpur Dayashankar</v>
          </cell>
          <cell r="H1415" t="str">
            <v>Dayashankar singh</v>
          </cell>
          <cell r="I1415">
            <v>9123404200</v>
          </cell>
          <cell r="J1415" t="str">
            <v>101402</v>
          </cell>
          <cell r="K1415"/>
          <cell r="L1415">
            <v>46020</v>
          </cell>
          <cell r="N1415" t="str">
            <v>Dumraon</v>
          </cell>
        </row>
        <row r="1416">
          <cell r="B1416">
            <v>10140200</v>
          </cell>
          <cell r="C1416" t="str">
            <v>0200</v>
          </cell>
          <cell r="D1416"/>
          <cell r="E1416" t="str">
            <v>MPG</v>
          </cell>
          <cell r="F1416" t="str">
            <v>Indirect</v>
          </cell>
          <cell r="G1416" t="str">
            <v>Gomukh Nagpura Anjit</v>
          </cell>
          <cell r="H1416" t="str">
            <v>Arjit Kr Yadav</v>
          </cell>
          <cell r="I1416">
            <v>7840879884</v>
          </cell>
          <cell r="J1416" t="str">
            <v>101402</v>
          </cell>
          <cell r="K1416"/>
          <cell r="L1416">
            <v>46020</v>
          </cell>
          <cell r="N1416" t="str">
            <v>Dumraon</v>
          </cell>
        </row>
        <row r="1417">
          <cell r="B1417">
            <v>10140201</v>
          </cell>
          <cell r="C1417" t="str">
            <v>0201</v>
          </cell>
          <cell r="D1417"/>
          <cell r="E1417" t="str">
            <v>MPG</v>
          </cell>
          <cell r="F1417" t="str">
            <v>Indirect</v>
          </cell>
          <cell r="G1417" t="str">
            <v>Gomukh Lakshman dera Raja</v>
          </cell>
          <cell r="H1417" t="str">
            <v>Raja Yadav</v>
          </cell>
          <cell r="I1417">
            <v>9135796427</v>
          </cell>
          <cell r="J1417" t="str">
            <v>101402</v>
          </cell>
          <cell r="K1417"/>
          <cell r="L1417">
            <v>46041</v>
          </cell>
          <cell r="N1417" t="str">
            <v>Dumraon</v>
          </cell>
        </row>
        <row r="1418">
          <cell r="B1418">
            <v>10140202</v>
          </cell>
          <cell r="C1418" t="str">
            <v>0202</v>
          </cell>
          <cell r="D1418"/>
          <cell r="E1418" t="str">
            <v>MPG</v>
          </cell>
          <cell r="F1418" t="str">
            <v>Indirect</v>
          </cell>
          <cell r="G1418" t="str">
            <v>Gomukh Lalsingh dera Raju</v>
          </cell>
          <cell r="H1418" t="str">
            <v>Raju yadav</v>
          </cell>
          <cell r="I1418">
            <v>7302573460</v>
          </cell>
          <cell r="J1418" t="str">
            <v>101403</v>
          </cell>
          <cell r="K1418"/>
          <cell r="L1418">
            <v>46041</v>
          </cell>
          <cell r="N1418" t="str">
            <v>Dumraon</v>
          </cell>
        </row>
        <row r="1419">
          <cell r="B1419">
            <v>10140203</v>
          </cell>
          <cell r="C1419" t="str">
            <v>0203</v>
          </cell>
          <cell r="D1419"/>
          <cell r="E1419" t="str">
            <v>MPG</v>
          </cell>
          <cell r="F1419" t="str">
            <v>Indirect</v>
          </cell>
          <cell r="G1419" t="str">
            <v>Sohan Narayan Farmer Dairy producer company Ltd</v>
          </cell>
          <cell r="H1419" t="str">
            <v>Namo Narayan Rai</v>
          </cell>
          <cell r="I1419">
            <v>8447714666</v>
          </cell>
          <cell r="J1419" t="str">
            <v>101408</v>
          </cell>
          <cell r="K1419"/>
          <cell r="L1419">
            <v>46066</v>
          </cell>
          <cell r="N1419" t="str">
            <v>Dumraon</v>
          </cell>
        </row>
        <row r="1420">
          <cell r="B1420">
            <v>10140204</v>
          </cell>
          <cell r="C1420" t="str">
            <v>0204</v>
          </cell>
          <cell r="D1420"/>
          <cell r="E1420" t="str">
            <v>MPG</v>
          </cell>
          <cell r="F1420" t="str">
            <v>Indirect</v>
          </cell>
          <cell r="G1420" t="str">
            <v xml:space="preserve">Gomukh Arion Govind </v>
          </cell>
          <cell r="H1420" t="str">
            <v>Govind Kr Singh</v>
          </cell>
          <cell r="I1420">
            <v>9304638108</v>
          </cell>
          <cell r="J1420" t="str">
            <v>101409</v>
          </cell>
          <cell r="K1420"/>
          <cell r="L1420">
            <v>46078</v>
          </cell>
          <cell r="N1420" t="str">
            <v>Dumraon</v>
          </cell>
        </row>
        <row r="1421">
          <cell r="B1421">
            <v>10140205</v>
          </cell>
          <cell r="C1421" t="str">
            <v>0205</v>
          </cell>
          <cell r="D1421"/>
          <cell r="E1421" t="str">
            <v>MPG</v>
          </cell>
          <cell r="F1421" t="str">
            <v>Direct</v>
          </cell>
          <cell r="G1421" t="str">
            <v>Gumukh Niyajipur Nakchhedi pathak dera</v>
          </cell>
          <cell r="H1421" t="str">
            <v>Santosh Kumar Pathak</v>
          </cell>
          <cell r="I1421">
            <v>8709258650</v>
          </cell>
          <cell r="J1421" t="str">
            <v>101402</v>
          </cell>
          <cell r="K1421"/>
          <cell r="L1421">
            <v>46080</v>
          </cell>
          <cell r="N1421" t="str">
            <v>Dumraon</v>
          </cell>
        </row>
        <row r="1422">
          <cell r="B1422">
            <v>10530001</v>
          </cell>
          <cell r="C1422" t="str">
            <v>0001</v>
          </cell>
          <cell r="D1422"/>
          <cell r="E1422" t="str">
            <v>MPG</v>
          </cell>
          <cell r="F1422" t="str">
            <v>Direct</v>
          </cell>
          <cell r="G1422" t="str">
            <v>Gomukh CHANDAULI</v>
          </cell>
          <cell r="H1422" t="str">
            <v>LALU KUMAR</v>
          </cell>
          <cell r="I1422">
            <v>7070939377</v>
          </cell>
          <cell r="J1422" t="str">
            <v>105301</v>
          </cell>
          <cell r="K1422"/>
          <cell r="L1422">
            <v>45691</v>
          </cell>
          <cell r="N1422" t="str">
            <v>Kalyanpur</v>
          </cell>
        </row>
        <row r="1423">
          <cell r="B1423">
            <v>10530002</v>
          </cell>
          <cell r="C1423" t="str">
            <v>0002</v>
          </cell>
          <cell r="D1423"/>
          <cell r="E1423" t="str">
            <v>MPG</v>
          </cell>
          <cell r="F1423" t="str">
            <v>Direct</v>
          </cell>
          <cell r="G1423" t="str">
            <v>GOMUKH HATHA</v>
          </cell>
          <cell r="H1423" t="str">
            <v>DHARMENDRA KUMAR</v>
          </cell>
          <cell r="I1423">
            <v>8578958239</v>
          </cell>
          <cell r="J1423" t="str">
            <v>105301</v>
          </cell>
          <cell r="K1423"/>
          <cell r="L1423">
            <v>45691</v>
          </cell>
          <cell r="N1423" t="str">
            <v>Kalyanpur</v>
          </cell>
        </row>
        <row r="1424">
          <cell r="B1424">
            <v>10530003</v>
          </cell>
          <cell r="C1424" t="str">
            <v>0003</v>
          </cell>
          <cell r="D1424"/>
          <cell r="E1424" t="str">
            <v>MPG</v>
          </cell>
          <cell r="F1424" t="str">
            <v>Direct</v>
          </cell>
          <cell r="G1424" t="str">
            <v>GOMUKH VADEYA</v>
          </cell>
          <cell r="H1424" t="str">
            <v>NUTAN DEVI</v>
          </cell>
          <cell r="I1424">
            <v>7256965730</v>
          </cell>
          <cell r="J1424" t="str">
            <v>105301</v>
          </cell>
          <cell r="K1424"/>
          <cell r="L1424">
            <v>45691</v>
          </cell>
          <cell r="N1424" t="str">
            <v>Kalyanpur</v>
          </cell>
        </row>
        <row r="1425">
          <cell r="B1425">
            <v>10530004</v>
          </cell>
          <cell r="C1425" t="str">
            <v>0004</v>
          </cell>
          <cell r="D1425"/>
          <cell r="E1425" t="str">
            <v>MPG</v>
          </cell>
          <cell r="F1425" t="str">
            <v>Direct</v>
          </cell>
          <cell r="G1425" t="str">
            <v>GOMUKH GORAI</v>
          </cell>
          <cell r="H1425" t="str">
            <v>VINAY KUMAR THAKUR</v>
          </cell>
          <cell r="I1425">
            <v>8340147740</v>
          </cell>
          <cell r="J1425" t="str">
            <v>105301</v>
          </cell>
          <cell r="K1425"/>
          <cell r="L1425">
            <v>45691</v>
          </cell>
          <cell r="N1425" t="str">
            <v>Kalyanpur</v>
          </cell>
        </row>
        <row r="1426">
          <cell r="B1426">
            <v>10530005</v>
          </cell>
          <cell r="C1426" t="str">
            <v>0005</v>
          </cell>
          <cell r="D1426"/>
          <cell r="E1426" t="str">
            <v>MPG</v>
          </cell>
          <cell r="F1426" t="str">
            <v>Direct</v>
          </cell>
          <cell r="G1426" t="str">
            <v>GOMUKH CHANDPURA</v>
          </cell>
          <cell r="H1426" t="str">
            <v>MANISH KUMAR</v>
          </cell>
          <cell r="I1426">
            <v>6290421438</v>
          </cell>
          <cell r="J1426" t="str">
            <v>105301</v>
          </cell>
          <cell r="K1426"/>
          <cell r="L1426">
            <v>45691</v>
          </cell>
          <cell r="N1426" t="str">
            <v>Kalyanpur</v>
          </cell>
        </row>
        <row r="1427">
          <cell r="B1427">
            <v>10530006</v>
          </cell>
          <cell r="C1427" t="str">
            <v>0006</v>
          </cell>
          <cell r="D1427"/>
          <cell r="E1427" t="str">
            <v>MPG</v>
          </cell>
          <cell r="F1427" t="str">
            <v>Direct</v>
          </cell>
          <cell r="G1427" t="str">
            <v>GOMUKH BARGAMA</v>
          </cell>
          <cell r="H1427" t="str">
            <v>GHANSYAM KUMAR</v>
          </cell>
          <cell r="I1427">
            <v>9934674200</v>
          </cell>
          <cell r="J1427" t="str">
            <v>105301</v>
          </cell>
          <cell r="K1427"/>
          <cell r="L1427">
            <v>45691</v>
          </cell>
          <cell r="N1427" t="str">
            <v>Kalyanpur</v>
          </cell>
        </row>
        <row r="1428">
          <cell r="B1428">
            <v>10530007</v>
          </cell>
          <cell r="C1428" t="str">
            <v>0007</v>
          </cell>
          <cell r="D1428"/>
          <cell r="E1428" t="str">
            <v>MPG</v>
          </cell>
          <cell r="F1428" t="str">
            <v>Direct</v>
          </cell>
          <cell r="G1428" t="str">
            <v>Gomukh Gograha Tola</v>
          </cell>
          <cell r="H1428" t="str">
            <v>Sadhu Rai</v>
          </cell>
          <cell r="I1428">
            <v>9123193569</v>
          </cell>
          <cell r="J1428" t="str">
            <v>105301</v>
          </cell>
          <cell r="K1428"/>
          <cell r="L1428">
            <v>45691</v>
          </cell>
          <cell r="N1428" t="str">
            <v>Kalyanpur</v>
          </cell>
        </row>
        <row r="1429">
          <cell r="B1429">
            <v>10530008</v>
          </cell>
          <cell r="C1429" t="str">
            <v>0008</v>
          </cell>
          <cell r="D1429"/>
          <cell r="E1429" t="str">
            <v>MPG</v>
          </cell>
          <cell r="F1429" t="str">
            <v>Direct</v>
          </cell>
          <cell r="G1429" t="str">
            <v>Gomukh Patsara</v>
          </cell>
          <cell r="H1429" t="str">
            <v>Mukund Kumar</v>
          </cell>
          <cell r="I1429">
            <v>9801875396</v>
          </cell>
          <cell r="J1429" t="str">
            <v>105301</v>
          </cell>
          <cell r="K1429"/>
          <cell r="L1429">
            <v>45691</v>
          </cell>
          <cell r="N1429" t="str">
            <v>Kalyanpur</v>
          </cell>
        </row>
        <row r="1430">
          <cell r="B1430">
            <v>10530009</v>
          </cell>
          <cell r="C1430" t="str">
            <v>0009</v>
          </cell>
          <cell r="D1430"/>
          <cell r="E1430" t="str">
            <v>MPG</v>
          </cell>
          <cell r="F1430" t="str">
            <v>Indirect</v>
          </cell>
          <cell r="G1430" t="str">
            <v>Gomukh Singhiya</v>
          </cell>
          <cell r="H1430" t="str">
            <v>Manish Kumar</v>
          </cell>
          <cell r="I1430">
            <v>7970888188</v>
          </cell>
          <cell r="J1430" t="str">
            <v>105301</v>
          </cell>
          <cell r="K1430"/>
          <cell r="L1430">
            <v>45694</v>
          </cell>
          <cell r="N1430" t="str">
            <v>Kalyanpur</v>
          </cell>
        </row>
        <row r="1431">
          <cell r="B1431">
            <v>10530010</v>
          </cell>
          <cell r="C1431" t="str">
            <v>0010</v>
          </cell>
          <cell r="D1431"/>
          <cell r="E1431" t="str">
            <v>MPG</v>
          </cell>
          <cell r="F1431" t="str">
            <v>Indirect</v>
          </cell>
          <cell r="G1431" t="str">
            <v xml:space="preserve">Gomukh BALHA </v>
          </cell>
          <cell r="H1431" t="str">
            <v>AJIT KUMAR RAY</v>
          </cell>
          <cell r="I1431">
            <v>9534651641</v>
          </cell>
          <cell r="J1431" t="str">
            <v>105301</v>
          </cell>
          <cell r="K1431"/>
          <cell r="L1431">
            <v>45694</v>
          </cell>
          <cell r="N1431" t="str">
            <v>Kalyanpur</v>
          </cell>
        </row>
        <row r="1432">
          <cell r="B1432">
            <v>10530011</v>
          </cell>
          <cell r="C1432" t="str">
            <v>0011</v>
          </cell>
          <cell r="D1432"/>
          <cell r="E1432" t="str">
            <v>MPG</v>
          </cell>
          <cell r="F1432" t="str">
            <v>Indirect</v>
          </cell>
          <cell r="G1432" t="str">
            <v>Gomukh SOMNAHA</v>
          </cell>
          <cell r="H1432" t="str">
            <v>RANDHEER KUMAR</v>
          </cell>
          <cell r="I1432">
            <v>6202841479</v>
          </cell>
          <cell r="J1432" t="str">
            <v>105301</v>
          </cell>
          <cell r="K1432"/>
          <cell r="L1432">
            <v>45694</v>
          </cell>
          <cell r="N1432" t="str">
            <v>Kalyanpur</v>
          </cell>
        </row>
        <row r="1433">
          <cell r="B1433">
            <v>10530012</v>
          </cell>
          <cell r="C1433" t="str">
            <v>0012</v>
          </cell>
          <cell r="D1433"/>
          <cell r="E1433" t="str">
            <v>MPG</v>
          </cell>
          <cell r="F1433" t="str">
            <v>Indirect</v>
          </cell>
          <cell r="G1433" t="str">
            <v>Gomukh GORAI East</v>
          </cell>
          <cell r="H1433" t="str">
            <v>DHARAMVEER KUMAR</v>
          </cell>
          <cell r="I1433">
            <v>7033079563</v>
          </cell>
          <cell r="J1433" t="str">
            <v>105301</v>
          </cell>
          <cell r="K1433"/>
          <cell r="L1433">
            <v>45694</v>
          </cell>
          <cell r="N1433" t="str">
            <v>Kalyanpur</v>
          </cell>
        </row>
        <row r="1434">
          <cell r="B1434">
            <v>10530013</v>
          </cell>
          <cell r="C1434" t="str">
            <v>0013</v>
          </cell>
          <cell r="D1434"/>
          <cell r="E1434" t="str">
            <v>MPG</v>
          </cell>
          <cell r="F1434" t="str">
            <v>Indirect</v>
          </cell>
          <cell r="G1434" t="str">
            <v>Gomukh Kalyanpur 2</v>
          </cell>
          <cell r="H1434" t="str">
            <v>Vivekanand Ray</v>
          </cell>
          <cell r="I1434">
            <v>8340644846</v>
          </cell>
          <cell r="J1434" t="str">
            <v>105301</v>
          </cell>
          <cell r="K1434"/>
          <cell r="L1434">
            <v>45694</v>
          </cell>
          <cell r="N1434" t="str">
            <v>Kalyanpur</v>
          </cell>
        </row>
        <row r="1435">
          <cell r="B1435">
            <v>10530014</v>
          </cell>
          <cell r="C1435" t="str">
            <v>0014</v>
          </cell>
          <cell r="D1435"/>
          <cell r="E1435" t="str">
            <v>MPG</v>
          </cell>
          <cell r="F1435" t="str">
            <v>Indirect</v>
          </cell>
          <cell r="G1435" t="str">
            <v>Gomukh Namapur 2</v>
          </cell>
          <cell r="H1435" t="str">
            <v>Uday Kumar Ray</v>
          </cell>
          <cell r="I1435">
            <v>9934964312</v>
          </cell>
          <cell r="J1435" t="str">
            <v>105301</v>
          </cell>
          <cell r="K1435"/>
          <cell r="L1435">
            <v>45694</v>
          </cell>
          <cell r="N1435" t="str">
            <v>Kalyanpur</v>
          </cell>
        </row>
        <row r="1436">
          <cell r="B1436">
            <v>10530015</v>
          </cell>
          <cell r="C1436" t="str">
            <v>0015</v>
          </cell>
          <cell r="D1436"/>
          <cell r="E1436" t="str">
            <v>MPG</v>
          </cell>
          <cell r="F1436" t="str">
            <v>Indirect</v>
          </cell>
          <cell r="G1436" t="str">
            <v>Gomukh Madhopur</v>
          </cell>
          <cell r="H1436" t="str">
            <v>Radha Kumari</v>
          </cell>
          <cell r="I1436">
            <v>8873032830</v>
          </cell>
          <cell r="J1436" t="str">
            <v>105301</v>
          </cell>
          <cell r="K1436"/>
          <cell r="L1436">
            <v>45699</v>
          </cell>
          <cell r="N1436" t="str">
            <v>Kalyanpur</v>
          </cell>
        </row>
        <row r="1437">
          <cell r="B1437">
            <v>10530016</v>
          </cell>
          <cell r="C1437" t="str">
            <v>0016</v>
          </cell>
          <cell r="D1437"/>
          <cell r="E1437" t="str">
            <v>MPG</v>
          </cell>
          <cell r="F1437" t="str">
            <v>Indirect</v>
          </cell>
          <cell r="G1437" t="str">
            <v>Gomukh Kalyanpur East</v>
          </cell>
          <cell r="H1437" t="str">
            <v>Kamlesh Roy</v>
          </cell>
          <cell r="I1437">
            <v>9955718095</v>
          </cell>
          <cell r="J1437" t="str">
            <v>105301</v>
          </cell>
          <cell r="K1437"/>
          <cell r="L1437">
            <v>45699</v>
          </cell>
          <cell r="N1437" t="str">
            <v>Kalyanpur</v>
          </cell>
        </row>
        <row r="1438">
          <cell r="B1438">
            <v>10530017</v>
          </cell>
          <cell r="C1438" t="str">
            <v>0017</v>
          </cell>
          <cell r="D1438"/>
          <cell r="E1438" t="str">
            <v>MPG</v>
          </cell>
          <cell r="F1438" t="str">
            <v>Indirect</v>
          </cell>
          <cell r="G1438" t="str">
            <v>Gomukh Bazidpur</v>
          </cell>
          <cell r="H1438" t="str">
            <v>Sapan Kumar</v>
          </cell>
          <cell r="I1438">
            <v>9572093610</v>
          </cell>
          <cell r="J1438" t="str">
            <v>105301</v>
          </cell>
          <cell r="K1438"/>
          <cell r="L1438">
            <v>45700</v>
          </cell>
          <cell r="N1438" t="str">
            <v>Kalyanpur</v>
          </cell>
        </row>
        <row r="1439">
          <cell r="B1439">
            <v>10530018</v>
          </cell>
          <cell r="C1439" t="str">
            <v>0018</v>
          </cell>
          <cell r="D1439"/>
          <cell r="E1439" t="str">
            <v>MPG</v>
          </cell>
          <cell r="F1439" t="str">
            <v>Indirect</v>
          </cell>
          <cell r="G1439" t="str">
            <v>Gomukh Belsandi</v>
          </cell>
          <cell r="H1439" t="str">
            <v>Manoj Kumar</v>
          </cell>
          <cell r="I1439">
            <v>9576068703</v>
          </cell>
          <cell r="J1439" t="str">
            <v>105301</v>
          </cell>
          <cell r="K1439"/>
          <cell r="L1439">
            <v>45700</v>
          </cell>
          <cell r="N1439" t="str">
            <v>Kalyanpur</v>
          </cell>
        </row>
        <row r="1440">
          <cell r="B1440">
            <v>10530019</v>
          </cell>
          <cell r="C1440" t="str">
            <v>0019</v>
          </cell>
          <cell r="D1440"/>
          <cell r="E1440" t="str">
            <v>MPG</v>
          </cell>
          <cell r="F1440" t="str">
            <v>Indirect</v>
          </cell>
          <cell r="G1440" t="str">
            <v>Gomukh Namapur Ward 8</v>
          </cell>
          <cell r="H1440" t="str">
            <v>Sanjeet Kumar</v>
          </cell>
          <cell r="I1440">
            <v>8294547128</v>
          </cell>
          <cell r="J1440" t="str">
            <v>105301</v>
          </cell>
          <cell r="K1440"/>
          <cell r="L1440">
            <v>45702</v>
          </cell>
          <cell r="N1440" t="str">
            <v>Kalyanpur</v>
          </cell>
        </row>
        <row r="1441">
          <cell r="B1441">
            <v>10530020</v>
          </cell>
          <cell r="C1441" t="str">
            <v>0020</v>
          </cell>
          <cell r="D1441"/>
          <cell r="E1441" t="str">
            <v>MPG</v>
          </cell>
          <cell r="F1441" t="str">
            <v>Indirect</v>
          </cell>
          <cell r="G1441" t="str">
            <v>Gomukh Bhagwanpur</v>
          </cell>
          <cell r="H1441" t="str">
            <v>Mukesh Ray</v>
          </cell>
          <cell r="I1441">
            <v>7739743655</v>
          </cell>
          <cell r="J1441" t="str">
            <v>105301</v>
          </cell>
          <cell r="K1441"/>
          <cell r="L1441">
            <v>45702</v>
          </cell>
          <cell r="N1441" t="str">
            <v>Kalyanpur</v>
          </cell>
        </row>
        <row r="1442">
          <cell r="B1442">
            <v>10530021</v>
          </cell>
          <cell r="C1442" t="str">
            <v>0021</v>
          </cell>
          <cell r="D1442"/>
          <cell r="E1442" t="str">
            <v>MPG</v>
          </cell>
          <cell r="F1442" t="str">
            <v>Indirect</v>
          </cell>
          <cell r="G1442" t="str">
            <v>Gomukh Gorai Ward 4</v>
          </cell>
          <cell r="H1442" t="str">
            <v>Dhananjay Kumar</v>
          </cell>
          <cell r="I1442">
            <v>6206005290</v>
          </cell>
          <cell r="J1442" t="str">
            <v>105301</v>
          </cell>
          <cell r="K1442"/>
          <cell r="L1442">
            <v>45702</v>
          </cell>
          <cell r="N1442" t="str">
            <v>Kalyanpur</v>
          </cell>
        </row>
        <row r="1443">
          <cell r="B1443">
            <v>10530022</v>
          </cell>
          <cell r="C1443" t="str">
            <v>0022</v>
          </cell>
          <cell r="D1443"/>
          <cell r="E1443" t="str">
            <v>MPG</v>
          </cell>
          <cell r="F1443" t="str">
            <v>Indirect</v>
          </cell>
          <cell r="G1443" t="str">
            <v>GOMUKH Malinagar</v>
          </cell>
          <cell r="H1443" t="str">
            <v>Rakesh Kumar</v>
          </cell>
          <cell r="I1443">
            <v>6200667455</v>
          </cell>
          <cell r="J1443" t="str">
            <v>105301</v>
          </cell>
          <cell r="K1443"/>
          <cell r="L1443">
            <v>45706</v>
          </cell>
          <cell r="N1443" t="str">
            <v>Kalyanpur</v>
          </cell>
        </row>
        <row r="1444">
          <cell r="B1444">
            <v>10530023</v>
          </cell>
          <cell r="C1444" t="str">
            <v>0023</v>
          </cell>
          <cell r="D1444"/>
          <cell r="E1444" t="str">
            <v>MPG</v>
          </cell>
          <cell r="F1444" t="str">
            <v>Indirect</v>
          </cell>
          <cell r="G1444" t="str">
            <v>GOMUKH Jitwariya</v>
          </cell>
          <cell r="H1444" t="str">
            <v>Ajay Kumar mahto</v>
          </cell>
          <cell r="I1444">
            <v>9709255620</v>
          </cell>
          <cell r="J1444" t="str">
            <v>105301</v>
          </cell>
          <cell r="K1444"/>
          <cell r="L1444">
            <v>45708</v>
          </cell>
          <cell r="N1444" t="str">
            <v>Kalyanpur</v>
          </cell>
        </row>
        <row r="1445">
          <cell r="B1445">
            <v>10530024</v>
          </cell>
          <cell r="C1445" t="str">
            <v>0024</v>
          </cell>
          <cell r="D1445"/>
          <cell r="E1445" t="str">
            <v>MPG</v>
          </cell>
          <cell r="F1445" t="str">
            <v>Indirect</v>
          </cell>
          <cell r="G1445" t="str">
            <v>Gomukh Kharsand</v>
          </cell>
          <cell r="H1445" t="str">
            <v>Vikash Kumar Ray</v>
          </cell>
          <cell r="I1445">
            <v>9199110350</v>
          </cell>
          <cell r="J1445" t="str">
            <v>105301</v>
          </cell>
          <cell r="K1445"/>
          <cell r="L1445">
            <v>45708</v>
          </cell>
          <cell r="N1445" t="str">
            <v>Kalyanpur</v>
          </cell>
        </row>
        <row r="1446">
          <cell r="B1446">
            <v>10530025</v>
          </cell>
          <cell r="C1446" t="str">
            <v>0025</v>
          </cell>
          <cell r="D1446"/>
          <cell r="E1446" t="str">
            <v>MPG</v>
          </cell>
          <cell r="F1446" t="str">
            <v>Indirect</v>
          </cell>
          <cell r="G1446" t="str">
            <v>Belsandi</v>
          </cell>
          <cell r="H1446" t="str">
            <v>Santosh Kumar Ray</v>
          </cell>
          <cell r="I1446">
            <v>9939808247</v>
          </cell>
          <cell r="J1446" t="str">
            <v>105301</v>
          </cell>
          <cell r="K1446"/>
          <cell r="L1446">
            <v>45713</v>
          </cell>
          <cell r="N1446" t="str">
            <v>Kalyanpur</v>
          </cell>
        </row>
        <row r="1447">
          <cell r="B1447">
            <v>10530026</v>
          </cell>
          <cell r="C1447" t="str">
            <v>0026</v>
          </cell>
          <cell r="D1447"/>
          <cell r="E1447" t="str">
            <v>MPG</v>
          </cell>
          <cell r="F1447" t="str">
            <v>Indirect</v>
          </cell>
          <cell r="G1447" t="str">
            <v>Barhetta</v>
          </cell>
          <cell r="H1447" t="str">
            <v>Suman Kumar</v>
          </cell>
          <cell r="I1447">
            <v>7209377220</v>
          </cell>
          <cell r="J1447" t="str">
            <v>105301</v>
          </cell>
          <cell r="K1447"/>
          <cell r="L1447">
            <v>45713</v>
          </cell>
          <cell r="N1447" t="str">
            <v>Kalyanpur</v>
          </cell>
        </row>
        <row r="1448">
          <cell r="B1448">
            <v>10530027</v>
          </cell>
          <cell r="C1448" t="str">
            <v>0027</v>
          </cell>
          <cell r="D1448"/>
          <cell r="E1448" t="str">
            <v>MPG</v>
          </cell>
          <cell r="F1448" t="str">
            <v>Direct</v>
          </cell>
          <cell r="G1448" t="str">
            <v>Gomukh Kolwara</v>
          </cell>
          <cell r="H1448" t="str">
            <v>Bilas Ray</v>
          </cell>
          <cell r="I1448">
            <v>9871969372</v>
          </cell>
          <cell r="J1448" t="str">
            <v>105301</v>
          </cell>
          <cell r="K1448"/>
          <cell r="L1448">
            <v>45719</v>
          </cell>
          <cell r="N1448" t="str">
            <v>Kalyanpur</v>
          </cell>
        </row>
        <row r="1449">
          <cell r="B1449">
            <v>10530028</v>
          </cell>
          <cell r="C1449" t="str">
            <v>0028</v>
          </cell>
          <cell r="D1449"/>
          <cell r="E1449" t="str">
            <v>MPG</v>
          </cell>
          <cell r="F1449" t="str">
            <v>Direct</v>
          </cell>
          <cell r="G1449" t="str">
            <v>Gomukh Loharkha</v>
          </cell>
          <cell r="H1449" t="str">
            <v>Rajlal Ray</v>
          </cell>
          <cell r="I1449">
            <v>7667885475</v>
          </cell>
          <cell r="J1449" t="str">
            <v>105301</v>
          </cell>
          <cell r="K1449"/>
          <cell r="L1449">
            <v>45719</v>
          </cell>
          <cell r="N1449" t="str">
            <v>Kalyanpur</v>
          </cell>
        </row>
        <row r="1450">
          <cell r="B1450">
            <v>10530029</v>
          </cell>
          <cell r="C1450" t="str">
            <v>0029</v>
          </cell>
          <cell r="D1450"/>
          <cell r="E1450" t="str">
            <v>MPG</v>
          </cell>
          <cell r="F1450" t="str">
            <v>Indirect</v>
          </cell>
          <cell r="G1450" t="str">
            <v>Gomukh Belsandi East</v>
          </cell>
          <cell r="H1450" t="str">
            <v>Kameswar Ray</v>
          </cell>
          <cell r="I1450">
            <v>9006300462</v>
          </cell>
          <cell r="J1450" t="str">
            <v>105301</v>
          </cell>
          <cell r="K1450"/>
          <cell r="L1450">
            <v>45719</v>
          </cell>
          <cell r="N1450" t="str">
            <v>Kalyanpur</v>
          </cell>
        </row>
        <row r="1451">
          <cell r="B1451">
            <v>10530030</v>
          </cell>
          <cell r="C1451" t="str">
            <v>0030</v>
          </cell>
          <cell r="D1451"/>
          <cell r="E1451" t="str">
            <v>MPG</v>
          </cell>
          <cell r="F1451" t="str">
            <v>Indirect</v>
          </cell>
          <cell r="G1451" t="str">
            <v>Gomukh Belsandi West Tola</v>
          </cell>
          <cell r="H1451" t="str">
            <v>Pancham Ray</v>
          </cell>
          <cell r="I1451">
            <v>9342430541</v>
          </cell>
          <cell r="J1451" t="str">
            <v>105301</v>
          </cell>
          <cell r="K1451"/>
          <cell r="L1451">
            <v>45719</v>
          </cell>
          <cell r="N1451" t="str">
            <v>Kalyanpur</v>
          </cell>
        </row>
        <row r="1452">
          <cell r="B1452">
            <v>10530031</v>
          </cell>
          <cell r="C1452" t="str">
            <v>0031</v>
          </cell>
          <cell r="D1452"/>
          <cell r="E1452" t="str">
            <v>MPG</v>
          </cell>
          <cell r="F1452" t="str">
            <v>Indirect</v>
          </cell>
          <cell r="G1452" t="str">
            <v>Gomukh Gopalpur</v>
          </cell>
          <cell r="H1452" t="str">
            <v>Surendra ray</v>
          </cell>
          <cell r="I1452">
            <v>6299030288</v>
          </cell>
          <cell r="J1452" t="str">
            <v>105301</v>
          </cell>
          <cell r="K1452"/>
          <cell r="L1452">
            <v>45722</v>
          </cell>
          <cell r="N1452" t="str">
            <v>Kalyanpur</v>
          </cell>
        </row>
        <row r="1453">
          <cell r="B1453">
            <v>10530032</v>
          </cell>
          <cell r="C1453" t="str">
            <v>0032</v>
          </cell>
          <cell r="D1453"/>
          <cell r="E1453" t="str">
            <v>MPG</v>
          </cell>
          <cell r="F1453" t="str">
            <v>Direct</v>
          </cell>
          <cell r="G1453" t="str">
            <v>Gomukh Bharav</v>
          </cell>
          <cell r="H1453" t="str">
            <v>Ishvar Kumar</v>
          </cell>
          <cell r="I1453">
            <v>7254971379</v>
          </cell>
          <cell r="J1453" t="str">
            <v>105301</v>
          </cell>
          <cell r="K1453"/>
          <cell r="L1453">
            <v>45734</v>
          </cell>
          <cell r="N1453" t="str">
            <v>Kalyanpur</v>
          </cell>
        </row>
        <row r="1454">
          <cell r="B1454">
            <v>10530033</v>
          </cell>
          <cell r="C1454" t="str">
            <v>0033</v>
          </cell>
          <cell r="D1454"/>
          <cell r="E1454" t="str">
            <v>MPG</v>
          </cell>
          <cell r="F1454" t="str">
            <v>Direct</v>
          </cell>
          <cell r="G1454" t="str">
            <v>Gomukh Harpur</v>
          </cell>
          <cell r="H1454" t="str">
            <v>Anil Kumar Sharma</v>
          </cell>
          <cell r="I1454">
            <v>9955432490</v>
          </cell>
          <cell r="J1454" t="str">
            <v>105301</v>
          </cell>
          <cell r="K1454"/>
          <cell r="L1454">
            <v>45734</v>
          </cell>
          <cell r="N1454" t="str">
            <v>Kalyanpur</v>
          </cell>
        </row>
        <row r="1455">
          <cell r="B1455">
            <v>10530034</v>
          </cell>
          <cell r="C1455" t="str">
            <v>0034</v>
          </cell>
          <cell r="D1455"/>
          <cell r="E1455" t="str">
            <v>MPG</v>
          </cell>
          <cell r="F1455" t="str">
            <v>Direct</v>
          </cell>
          <cell r="G1455" t="str">
            <v>Gomukh Fulhatta</v>
          </cell>
          <cell r="H1455" t="str">
            <v>Ramakant Paswan</v>
          </cell>
          <cell r="I1455">
            <v>8295891760</v>
          </cell>
          <cell r="J1455" t="str">
            <v>105301</v>
          </cell>
          <cell r="K1455"/>
          <cell r="L1455">
            <v>45734</v>
          </cell>
          <cell r="N1455" t="str">
            <v>Kalyanpur</v>
          </cell>
        </row>
        <row r="1456">
          <cell r="B1456">
            <v>10530035</v>
          </cell>
          <cell r="C1456" t="str">
            <v>0035</v>
          </cell>
          <cell r="D1456"/>
          <cell r="E1456" t="str">
            <v>MPG</v>
          </cell>
          <cell r="F1456" t="str">
            <v>Direct</v>
          </cell>
          <cell r="G1456" t="str">
            <v>Gomukh Birauli Khurd</v>
          </cell>
          <cell r="H1456" t="str">
            <v>Rajkishor Pandey</v>
          </cell>
          <cell r="I1456">
            <v>9661233308</v>
          </cell>
          <cell r="J1456" t="str">
            <v>105301</v>
          </cell>
          <cell r="K1456"/>
          <cell r="L1456">
            <v>45734</v>
          </cell>
          <cell r="N1456" t="str">
            <v>Kalyanpur</v>
          </cell>
        </row>
        <row r="1457">
          <cell r="B1457">
            <v>10530036</v>
          </cell>
          <cell r="C1457" t="str">
            <v>0036</v>
          </cell>
          <cell r="D1457"/>
          <cell r="E1457" t="str">
            <v>MPG</v>
          </cell>
          <cell r="F1457" t="str">
            <v>Indirect</v>
          </cell>
          <cell r="G1457" t="str">
            <v>Gomukh Hayaghat</v>
          </cell>
          <cell r="H1457" t="str">
            <v>Raman Kumar Ray</v>
          </cell>
          <cell r="I1457">
            <v>9546364134</v>
          </cell>
          <cell r="J1457" t="str">
            <v>105301</v>
          </cell>
          <cell r="K1457"/>
          <cell r="L1457">
            <v>45737</v>
          </cell>
          <cell r="N1457" t="str">
            <v>Kalyanpur</v>
          </cell>
        </row>
        <row r="1458">
          <cell r="B1458">
            <v>10530037</v>
          </cell>
          <cell r="C1458" t="str">
            <v>0037</v>
          </cell>
          <cell r="D1458"/>
          <cell r="E1458" t="str">
            <v>MPG</v>
          </cell>
          <cell r="F1458" t="str">
            <v>Indirect</v>
          </cell>
          <cell r="G1458" t="str">
            <v>Gomukh Janardhanpur</v>
          </cell>
          <cell r="H1458" t="str">
            <v>Sikandar Kumar Rai</v>
          </cell>
          <cell r="I1458">
            <v>9576848128</v>
          </cell>
          <cell r="J1458" t="str">
            <v>105301</v>
          </cell>
          <cell r="K1458"/>
          <cell r="L1458">
            <v>45737</v>
          </cell>
          <cell r="N1458" t="str">
            <v>Kalyanpur</v>
          </cell>
        </row>
        <row r="1459">
          <cell r="B1459">
            <v>10530038</v>
          </cell>
          <cell r="C1459" t="str">
            <v>0038</v>
          </cell>
          <cell r="D1459"/>
          <cell r="E1459" t="str">
            <v>MPG</v>
          </cell>
          <cell r="F1459" t="str">
            <v>Indirect</v>
          </cell>
          <cell r="G1459" t="str">
            <v>Gomukh Bedauliya</v>
          </cell>
          <cell r="H1459" t="str">
            <v>Ravi Shankar Sah</v>
          </cell>
          <cell r="I1459">
            <v>9334182044</v>
          </cell>
          <cell r="J1459" t="str">
            <v>105301</v>
          </cell>
          <cell r="K1459"/>
          <cell r="L1459">
            <v>45737</v>
          </cell>
          <cell r="N1459" t="str">
            <v>Kalyanpur</v>
          </cell>
        </row>
        <row r="1460">
          <cell r="B1460">
            <v>10530039</v>
          </cell>
          <cell r="C1460" t="str">
            <v>0039</v>
          </cell>
          <cell r="D1460"/>
          <cell r="E1460" t="str">
            <v>MPG</v>
          </cell>
          <cell r="F1460" t="str">
            <v>Indirect</v>
          </cell>
          <cell r="G1460" t="str">
            <v>Gomukh Thahara</v>
          </cell>
          <cell r="H1460" t="str">
            <v>Vivek Kumar</v>
          </cell>
          <cell r="I1460">
            <v>6299144454</v>
          </cell>
          <cell r="J1460" t="str">
            <v>105301</v>
          </cell>
          <cell r="K1460"/>
          <cell r="L1460">
            <v>45737</v>
          </cell>
          <cell r="N1460" t="str">
            <v>Kalyanpur</v>
          </cell>
        </row>
        <row r="1461">
          <cell r="B1461">
            <v>10530040</v>
          </cell>
          <cell r="C1461" t="str">
            <v>0040</v>
          </cell>
          <cell r="D1461"/>
          <cell r="E1461" t="str">
            <v>MPG</v>
          </cell>
          <cell r="F1461" t="str">
            <v>Direct</v>
          </cell>
          <cell r="G1461" t="str">
            <v>Gomukh Khanua</v>
          </cell>
          <cell r="H1461" t="str">
            <v>Vijay Ray</v>
          </cell>
          <cell r="I1461">
            <v>9162737534</v>
          </cell>
          <cell r="J1461" t="str">
            <v>105301</v>
          </cell>
          <cell r="K1461"/>
          <cell r="L1461">
            <v>45737</v>
          </cell>
          <cell r="N1461" t="str">
            <v>Kalyanpur</v>
          </cell>
        </row>
        <row r="1462">
          <cell r="B1462">
            <v>10530041</v>
          </cell>
          <cell r="C1462" t="str">
            <v>0041</v>
          </cell>
          <cell r="D1462"/>
          <cell r="E1462" t="str">
            <v>MPG</v>
          </cell>
          <cell r="F1462" t="str">
            <v>Indirect</v>
          </cell>
          <cell r="G1462" t="str">
            <v>Gomukh Hiralalpur</v>
          </cell>
          <cell r="H1462" t="str">
            <v>Ramnath Rai</v>
          </cell>
          <cell r="I1462">
            <v>8651790084</v>
          </cell>
          <cell r="J1462" t="str">
            <v>105301</v>
          </cell>
          <cell r="K1462"/>
          <cell r="L1462">
            <v>45743</v>
          </cell>
          <cell r="N1462" t="str">
            <v>Kalyanpur</v>
          </cell>
        </row>
        <row r="1463">
          <cell r="B1463">
            <v>10530042</v>
          </cell>
          <cell r="C1463" t="str">
            <v>0042</v>
          </cell>
          <cell r="D1463"/>
          <cell r="E1463" t="str">
            <v>MPG</v>
          </cell>
          <cell r="F1463" t="str">
            <v>Indirect</v>
          </cell>
          <cell r="G1463" t="str">
            <v>Gomukh Malipur</v>
          </cell>
          <cell r="H1463" t="str">
            <v>Rakesh Kumar Ray</v>
          </cell>
          <cell r="I1463">
            <v>9608195280</v>
          </cell>
          <cell r="J1463" t="str">
            <v>105301</v>
          </cell>
          <cell r="K1463"/>
          <cell r="L1463">
            <v>45743</v>
          </cell>
          <cell r="N1463" t="str">
            <v>Kalyanpur</v>
          </cell>
        </row>
        <row r="1464">
          <cell r="B1464">
            <v>10530043</v>
          </cell>
          <cell r="C1464" t="str">
            <v>0043</v>
          </cell>
          <cell r="D1464"/>
          <cell r="E1464" t="str">
            <v>MPG</v>
          </cell>
          <cell r="F1464" t="str">
            <v>Indirect</v>
          </cell>
          <cell r="G1464" t="str">
            <v>Gomukh Jatmalpur</v>
          </cell>
          <cell r="H1464" t="str">
            <v>Amresh Kumar</v>
          </cell>
          <cell r="I1464">
            <v>8651781288</v>
          </cell>
          <cell r="J1464" t="str">
            <v>105301</v>
          </cell>
          <cell r="K1464"/>
          <cell r="L1464">
            <v>45743</v>
          </cell>
          <cell r="N1464" t="str">
            <v>Kalyanpur</v>
          </cell>
        </row>
        <row r="1465">
          <cell r="B1465">
            <v>10530044</v>
          </cell>
          <cell r="C1465" t="str">
            <v>0044</v>
          </cell>
          <cell r="D1465"/>
          <cell r="E1465" t="str">
            <v>MPG</v>
          </cell>
          <cell r="F1465" t="str">
            <v>Direct</v>
          </cell>
          <cell r="G1465" t="str">
            <v>Gomukh Punas</v>
          </cell>
          <cell r="H1465" t="str">
            <v>Akhilesh Singh</v>
          </cell>
          <cell r="I1465">
            <v>9334105634</v>
          </cell>
          <cell r="J1465" t="str">
            <v>105301</v>
          </cell>
          <cell r="K1465"/>
          <cell r="L1465">
            <v>45743</v>
          </cell>
          <cell r="N1465" t="str">
            <v>Kalyanpur</v>
          </cell>
        </row>
        <row r="1466">
          <cell r="B1466">
            <v>10530045</v>
          </cell>
          <cell r="C1466" t="str">
            <v>0045</v>
          </cell>
          <cell r="D1466"/>
          <cell r="E1466" t="str">
            <v>MPG</v>
          </cell>
          <cell r="F1466" t="str">
            <v>Direct</v>
          </cell>
          <cell r="G1466" t="str">
            <v>Gomukh Bandra</v>
          </cell>
          <cell r="H1466" t="str">
            <v>Pankaj Kumar</v>
          </cell>
          <cell r="I1466">
            <v>8102165312</v>
          </cell>
          <cell r="J1466" t="str">
            <v>105301</v>
          </cell>
          <cell r="K1466"/>
          <cell r="L1466">
            <v>45743</v>
          </cell>
          <cell r="N1466" t="str">
            <v>Kalyanpur</v>
          </cell>
        </row>
        <row r="1467">
          <cell r="B1467">
            <v>10530046</v>
          </cell>
          <cell r="C1467" t="str">
            <v>0046</v>
          </cell>
          <cell r="D1467"/>
          <cell r="E1467" t="str">
            <v>MPG</v>
          </cell>
          <cell r="F1467" t="str">
            <v>Direct</v>
          </cell>
          <cell r="G1467" t="str">
            <v>Gomukh Loharkha</v>
          </cell>
          <cell r="H1467" t="str">
            <v>Jitu Ray</v>
          </cell>
          <cell r="I1467">
            <v>9631094464</v>
          </cell>
          <cell r="J1467" t="str">
            <v>105301</v>
          </cell>
          <cell r="K1467"/>
          <cell r="L1467">
            <v>45744</v>
          </cell>
          <cell r="N1467" t="str">
            <v>Kalyanpur</v>
          </cell>
        </row>
        <row r="1468">
          <cell r="B1468">
            <v>10530047</v>
          </cell>
          <cell r="C1468" t="str">
            <v>0047</v>
          </cell>
          <cell r="D1468"/>
          <cell r="E1468" t="str">
            <v>MPG</v>
          </cell>
          <cell r="F1468" t="str">
            <v>Direct</v>
          </cell>
          <cell r="G1468" t="str">
            <v>Gomukh Dighra</v>
          </cell>
          <cell r="H1468" t="str">
            <v>Babita Devi</v>
          </cell>
          <cell r="I1468">
            <v>8969407744</v>
          </cell>
          <cell r="J1468" t="str">
            <v>105301</v>
          </cell>
          <cell r="K1468"/>
          <cell r="L1468">
            <v>45744</v>
          </cell>
          <cell r="N1468" t="str">
            <v>Kalyanpur</v>
          </cell>
        </row>
        <row r="1469">
          <cell r="B1469">
            <v>10530048</v>
          </cell>
          <cell r="C1469" t="str">
            <v>0048</v>
          </cell>
          <cell r="D1469"/>
          <cell r="E1469" t="str">
            <v>MPG</v>
          </cell>
          <cell r="F1469" t="str">
            <v>Direct</v>
          </cell>
          <cell r="G1469" t="str">
            <v>Basuwari</v>
          </cell>
          <cell r="H1469" t="str">
            <v>Arun Kumar Ray</v>
          </cell>
          <cell r="I1469">
            <v>9931416223</v>
          </cell>
          <cell r="J1469" t="str">
            <v>105301</v>
          </cell>
          <cell r="K1469"/>
          <cell r="L1469">
            <v>45749</v>
          </cell>
          <cell r="N1469" t="str">
            <v>Kalyanpur</v>
          </cell>
        </row>
        <row r="1470">
          <cell r="B1470">
            <v>10530049</v>
          </cell>
          <cell r="C1470" t="str">
            <v>0049</v>
          </cell>
          <cell r="D1470"/>
          <cell r="E1470" t="str">
            <v>MPG</v>
          </cell>
          <cell r="F1470" t="str">
            <v>Indirect</v>
          </cell>
          <cell r="G1470" t="str">
            <v>Belsandi 3</v>
          </cell>
          <cell r="H1470" t="str">
            <v>Mikki Ray</v>
          </cell>
          <cell r="I1470">
            <v>9931416203</v>
          </cell>
          <cell r="J1470" t="str">
            <v>105301</v>
          </cell>
          <cell r="K1470"/>
          <cell r="L1470">
            <v>45749</v>
          </cell>
          <cell r="N1470" t="str">
            <v>Kalyanpur</v>
          </cell>
        </row>
        <row r="1471">
          <cell r="B1471">
            <v>10530050</v>
          </cell>
          <cell r="C1471" t="str">
            <v>0050</v>
          </cell>
          <cell r="D1471"/>
          <cell r="E1471" t="str">
            <v>MPG</v>
          </cell>
          <cell r="F1471" t="str">
            <v>Indirect</v>
          </cell>
          <cell r="G1471" t="str">
            <v>Gomukh Bhagwanpur</v>
          </cell>
          <cell r="H1471" t="str">
            <v>Laldev ray</v>
          </cell>
          <cell r="I1471">
            <v>8228897380</v>
          </cell>
          <cell r="J1471" t="str">
            <v>105301</v>
          </cell>
          <cell r="K1471"/>
          <cell r="L1471">
            <v>45750</v>
          </cell>
          <cell r="N1471" t="str">
            <v>Kalyanpur</v>
          </cell>
        </row>
        <row r="1472">
          <cell r="B1472">
            <v>10530051</v>
          </cell>
          <cell r="C1472" t="str">
            <v>0051</v>
          </cell>
          <cell r="D1472"/>
          <cell r="E1472" t="str">
            <v>MPG</v>
          </cell>
          <cell r="F1472" t="str">
            <v>Indirect</v>
          </cell>
          <cell r="G1472" t="str">
            <v>Gomukh Jatmalpur Dhab</v>
          </cell>
          <cell r="H1472" t="str">
            <v>Manish Kumar Roy</v>
          </cell>
          <cell r="I1472">
            <v>7033326596</v>
          </cell>
          <cell r="J1472" t="str">
            <v>105301</v>
          </cell>
          <cell r="K1472"/>
          <cell r="L1472">
            <v>45750</v>
          </cell>
          <cell r="N1472" t="str">
            <v>Kalyanpur</v>
          </cell>
        </row>
        <row r="1473">
          <cell r="B1473">
            <v>10530052</v>
          </cell>
          <cell r="C1473" t="str">
            <v>0052</v>
          </cell>
          <cell r="D1473"/>
          <cell r="E1473" t="str">
            <v>MPG</v>
          </cell>
          <cell r="F1473" t="str">
            <v>Indirect</v>
          </cell>
          <cell r="G1473" t="str">
            <v>Gomukh Jhahuri</v>
          </cell>
          <cell r="H1473" t="str">
            <v>SHAYAM Babu Kumar</v>
          </cell>
          <cell r="I1473">
            <v>7667048200</v>
          </cell>
          <cell r="J1473" t="str">
            <v>105301</v>
          </cell>
          <cell r="K1473"/>
          <cell r="L1473">
            <v>45750</v>
          </cell>
          <cell r="N1473" t="str">
            <v>Kalyanpur</v>
          </cell>
        </row>
        <row r="1474">
          <cell r="B1474">
            <v>10530053</v>
          </cell>
          <cell r="C1474" t="str">
            <v>0053</v>
          </cell>
          <cell r="D1474"/>
          <cell r="E1474" t="str">
            <v>MPG</v>
          </cell>
          <cell r="F1474" t="str">
            <v>Indirect</v>
          </cell>
          <cell r="G1474" t="str">
            <v>Gomukh Balaha East</v>
          </cell>
          <cell r="H1474" t="str">
            <v>Satyajit Kumar</v>
          </cell>
          <cell r="I1474">
            <v>9963275228</v>
          </cell>
          <cell r="J1474" t="str">
            <v>105301</v>
          </cell>
          <cell r="K1474"/>
          <cell r="L1474">
            <v>45771</v>
          </cell>
          <cell r="N1474" t="str">
            <v>Kalyanpur</v>
          </cell>
        </row>
        <row r="1475">
          <cell r="B1475">
            <v>10530054</v>
          </cell>
          <cell r="C1475" t="str">
            <v>0054</v>
          </cell>
          <cell r="D1475"/>
          <cell r="E1475" t="str">
            <v>MPG</v>
          </cell>
          <cell r="F1475" t="str">
            <v>Indirect</v>
          </cell>
          <cell r="G1475" t="str">
            <v>Gomukh PARAN</v>
          </cell>
          <cell r="H1475" t="str">
            <v>Priyanshu Kumar</v>
          </cell>
          <cell r="I1475">
            <v>6204996270</v>
          </cell>
          <cell r="J1475" t="str">
            <v>105301</v>
          </cell>
          <cell r="K1475"/>
          <cell r="L1475">
            <v>45771</v>
          </cell>
          <cell r="N1475" t="str">
            <v>Kalyanpur</v>
          </cell>
        </row>
        <row r="1476">
          <cell r="B1476">
            <v>10530055</v>
          </cell>
          <cell r="C1476" t="str">
            <v>0055</v>
          </cell>
          <cell r="D1476"/>
          <cell r="E1476" t="str">
            <v>MPG</v>
          </cell>
          <cell r="F1476" t="str">
            <v>Direct</v>
          </cell>
          <cell r="G1476" t="str">
            <v>GOMUKH HARPUR W-13</v>
          </cell>
          <cell r="H1476" t="str">
            <v>SHAMBHU KUMAR</v>
          </cell>
          <cell r="I1476">
            <v>9934743359</v>
          </cell>
          <cell r="J1476" t="str">
            <v>105301</v>
          </cell>
          <cell r="K1476"/>
          <cell r="L1476">
            <v>45776</v>
          </cell>
          <cell r="N1476" t="str">
            <v>Kalyanpur</v>
          </cell>
        </row>
        <row r="1477">
          <cell r="B1477">
            <v>10530056</v>
          </cell>
          <cell r="C1477" t="str">
            <v>0056</v>
          </cell>
          <cell r="D1477"/>
          <cell r="E1477" t="str">
            <v>MPG</v>
          </cell>
          <cell r="F1477" t="str">
            <v>Indirect</v>
          </cell>
          <cell r="G1477" t="str">
            <v>GOMUKH MADHURAPUR</v>
          </cell>
          <cell r="H1477" t="str">
            <v>MUNNA KUMAR SINGH</v>
          </cell>
          <cell r="I1477">
            <v>6200593270</v>
          </cell>
          <cell r="J1477" t="str">
            <v>105301</v>
          </cell>
          <cell r="K1477"/>
          <cell r="L1477">
            <v>45776</v>
          </cell>
          <cell r="N1477" t="str">
            <v>Kalyanpur</v>
          </cell>
        </row>
        <row r="1478">
          <cell r="B1478">
            <v>10530057</v>
          </cell>
          <cell r="C1478" t="str">
            <v>0057</v>
          </cell>
          <cell r="D1478"/>
          <cell r="E1478" t="str">
            <v>MPG</v>
          </cell>
          <cell r="F1478" t="str">
            <v>Indirect</v>
          </cell>
          <cell r="G1478" t="str">
            <v>GOMUKH MILKI</v>
          </cell>
          <cell r="H1478" t="str">
            <v>RANI KUMARI</v>
          </cell>
          <cell r="I1478">
            <v>8825184299</v>
          </cell>
          <cell r="J1478" t="str">
            <v>105301</v>
          </cell>
          <cell r="K1478"/>
          <cell r="L1478">
            <v>45776</v>
          </cell>
          <cell r="N1478" t="str">
            <v>Kalyanpur</v>
          </cell>
        </row>
        <row r="1479">
          <cell r="B1479">
            <v>10530058</v>
          </cell>
          <cell r="C1479" t="str">
            <v>0058</v>
          </cell>
          <cell r="D1479"/>
          <cell r="E1479" t="str">
            <v>MPG</v>
          </cell>
          <cell r="F1479" t="str">
            <v>Direct</v>
          </cell>
          <cell r="G1479" t="str">
            <v>Gomukh Ratwara</v>
          </cell>
          <cell r="H1479" t="str">
            <v>Chanda Devi</v>
          </cell>
          <cell r="I1479">
            <v>9652549368</v>
          </cell>
          <cell r="J1479" t="str">
            <v>105301</v>
          </cell>
          <cell r="K1479"/>
          <cell r="L1479">
            <v>45776</v>
          </cell>
          <cell r="N1479" t="str">
            <v>Kalyanpur</v>
          </cell>
        </row>
        <row r="1480">
          <cell r="B1480">
            <v>10530059</v>
          </cell>
          <cell r="C1480" t="str">
            <v>0059</v>
          </cell>
          <cell r="D1480"/>
          <cell r="E1480" t="str">
            <v>MPG</v>
          </cell>
          <cell r="F1480" t="str">
            <v>Indirect</v>
          </cell>
          <cell r="G1480" t="str">
            <v>Gomukh Fulhara</v>
          </cell>
          <cell r="H1480" t="str">
            <v>Sanu Kumar</v>
          </cell>
          <cell r="I1480">
            <v>9117035714</v>
          </cell>
          <cell r="J1480" t="str">
            <v>105301</v>
          </cell>
          <cell r="K1480"/>
          <cell r="L1480">
            <v>45780</v>
          </cell>
          <cell r="N1480" t="str">
            <v>Kalyanpur</v>
          </cell>
        </row>
        <row r="1481">
          <cell r="B1481">
            <v>10530060</v>
          </cell>
          <cell r="C1481" t="str">
            <v>0060</v>
          </cell>
          <cell r="D1481"/>
          <cell r="E1481" t="str">
            <v>MPG</v>
          </cell>
          <cell r="F1481" t="str">
            <v>Indirect</v>
          </cell>
          <cell r="G1481" t="str">
            <v>Gomukh Ranitola</v>
          </cell>
          <cell r="H1481" t="str">
            <v>Prince Kumar</v>
          </cell>
          <cell r="I1481">
            <v>7323853144</v>
          </cell>
          <cell r="J1481" t="str">
            <v>105301</v>
          </cell>
          <cell r="K1481"/>
          <cell r="L1481">
            <v>45780</v>
          </cell>
          <cell r="N1481" t="str">
            <v>Kalyanpur</v>
          </cell>
        </row>
        <row r="1482">
          <cell r="B1482">
            <v>10530061</v>
          </cell>
          <cell r="C1482" t="str">
            <v>0061</v>
          </cell>
          <cell r="D1482"/>
          <cell r="E1482" t="str">
            <v>MPG</v>
          </cell>
          <cell r="F1482" t="str">
            <v>Direct</v>
          </cell>
          <cell r="G1482" t="str">
            <v>GOMUKH Gopalpur Thahara</v>
          </cell>
          <cell r="H1482" t="str">
            <v>Pintu Kumar</v>
          </cell>
          <cell r="I1482">
            <v>8292525005</v>
          </cell>
          <cell r="J1482" t="str">
            <v>105301</v>
          </cell>
          <cell r="K1482"/>
          <cell r="L1482">
            <v>45790</v>
          </cell>
          <cell r="N1482" t="str">
            <v>Kalyanpur</v>
          </cell>
        </row>
        <row r="1483">
          <cell r="B1483">
            <v>10530062</v>
          </cell>
          <cell r="C1483" t="str">
            <v>0062</v>
          </cell>
          <cell r="D1483"/>
          <cell r="E1483" t="str">
            <v>MPG</v>
          </cell>
          <cell r="F1483" t="str">
            <v>Direct</v>
          </cell>
          <cell r="G1483" t="str">
            <v>Gomukh Malinagar East</v>
          </cell>
          <cell r="H1483" t="str">
            <v>Navin Kumar verma</v>
          </cell>
          <cell r="I1483">
            <v>6201449284</v>
          </cell>
          <cell r="J1483" t="str">
            <v>105301</v>
          </cell>
          <cell r="K1483"/>
          <cell r="L1483">
            <v>45790</v>
          </cell>
          <cell r="N1483" t="str">
            <v>Kalyanpur</v>
          </cell>
        </row>
        <row r="1484">
          <cell r="B1484">
            <v>10530063</v>
          </cell>
          <cell r="C1484" t="str">
            <v>0063</v>
          </cell>
          <cell r="D1484"/>
          <cell r="E1484" t="str">
            <v>MPG</v>
          </cell>
          <cell r="F1484" t="str">
            <v>Indirect</v>
          </cell>
          <cell r="G1484" t="str">
            <v>GOMUKH Singhiya ward 11</v>
          </cell>
          <cell r="H1484" t="str">
            <v>Virendra Ray</v>
          </cell>
          <cell r="I1484">
            <v>9523246745</v>
          </cell>
          <cell r="J1484" t="str">
            <v>105301</v>
          </cell>
          <cell r="K1484"/>
          <cell r="L1484">
            <v>45794</v>
          </cell>
          <cell r="N1484" t="str">
            <v>Kalyanpur</v>
          </cell>
        </row>
        <row r="1485">
          <cell r="B1485">
            <v>10530064</v>
          </cell>
          <cell r="C1485" t="str">
            <v>0064</v>
          </cell>
          <cell r="D1485"/>
          <cell r="E1485" t="str">
            <v>MPG</v>
          </cell>
          <cell r="F1485" t="str">
            <v>Direct</v>
          </cell>
          <cell r="G1485" t="str">
            <v>GOMUKH MANIYARPUR</v>
          </cell>
          <cell r="H1485" t="str">
            <v>KUMARI ANJULA</v>
          </cell>
          <cell r="I1485">
            <v>8581930723</v>
          </cell>
          <cell r="J1485" t="str">
            <v>105301</v>
          </cell>
          <cell r="K1485"/>
          <cell r="L1485">
            <v>45808</v>
          </cell>
          <cell r="N1485" t="str">
            <v>Kalyanpur</v>
          </cell>
        </row>
        <row r="1486">
          <cell r="B1486">
            <v>10530065</v>
          </cell>
          <cell r="C1486" t="str">
            <v>0065</v>
          </cell>
          <cell r="D1486"/>
          <cell r="E1486" t="str">
            <v>MPG</v>
          </cell>
          <cell r="F1486" t="str">
            <v>Direct</v>
          </cell>
          <cell r="G1486" t="str">
            <v>GOMUKH DIGHRA W-6</v>
          </cell>
          <cell r="H1486" t="str">
            <v>Nil Kamal</v>
          </cell>
          <cell r="I1486">
            <v>9631969375</v>
          </cell>
          <cell r="J1486" t="str">
            <v>105301</v>
          </cell>
          <cell r="K1486"/>
          <cell r="L1486">
            <v>45808</v>
          </cell>
          <cell r="N1486" t="str">
            <v>Kalyanpur</v>
          </cell>
        </row>
        <row r="1487">
          <cell r="B1487">
            <v>10530066</v>
          </cell>
          <cell r="C1487" t="str">
            <v>0066</v>
          </cell>
          <cell r="D1487"/>
          <cell r="E1487" t="str">
            <v>MPG</v>
          </cell>
          <cell r="F1487" t="str">
            <v>Indirect</v>
          </cell>
          <cell r="G1487" t="str">
            <v>BASUDEOPUR</v>
          </cell>
          <cell r="H1487" t="str">
            <v>Ajay Kumar</v>
          </cell>
          <cell r="I1487">
            <v>8603311664</v>
          </cell>
          <cell r="J1487" t="str">
            <v>105301</v>
          </cell>
          <cell r="K1487"/>
          <cell r="L1487">
            <v>45814</v>
          </cell>
          <cell r="N1487" t="str">
            <v>Kalyanpur</v>
          </cell>
        </row>
        <row r="1488">
          <cell r="B1488">
            <v>10530067</v>
          </cell>
          <cell r="C1488" t="str">
            <v>0067</v>
          </cell>
          <cell r="D1488"/>
          <cell r="E1488" t="str">
            <v>MPG</v>
          </cell>
          <cell r="F1488" t="str">
            <v>Direct</v>
          </cell>
          <cell r="G1488" t="str">
            <v>GOMUKH BANDRA W-6</v>
          </cell>
          <cell r="H1488" t="str">
            <v>SURENDRA JHA</v>
          </cell>
          <cell r="I1488">
            <v>6203487075</v>
          </cell>
          <cell r="J1488" t="str">
            <v>105301</v>
          </cell>
          <cell r="K1488"/>
          <cell r="L1488">
            <v>45820</v>
          </cell>
          <cell r="N1488" t="str">
            <v>Kalyanpur</v>
          </cell>
        </row>
        <row r="1489">
          <cell r="B1489">
            <v>10530068</v>
          </cell>
          <cell r="C1489" t="str">
            <v>0068</v>
          </cell>
          <cell r="D1489"/>
          <cell r="E1489" t="str">
            <v>MPG</v>
          </cell>
          <cell r="F1489" t="str">
            <v>Indirect</v>
          </cell>
          <cell r="G1489" t="str">
            <v>BELSANDI RAJO</v>
          </cell>
          <cell r="H1489" t="str">
            <v>RAJO RAY</v>
          </cell>
          <cell r="I1489">
            <v>9931048596</v>
          </cell>
          <cell r="J1489" t="str">
            <v>105301</v>
          </cell>
          <cell r="K1489"/>
          <cell r="L1489">
            <v>45820</v>
          </cell>
          <cell r="N1489" t="str">
            <v>Kalyanpur</v>
          </cell>
        </row>
        <row r="1490">
          <cell r="B1490">
            <v>10530069</v>
          </cell>
          <cell r="C1490" t="str">
            <v>0069</v>
          </cell>
          <cell r="D1490"/>
          <cell r="E1490" t="str">
            <v>MPG</v>
          </cell>
          <cell r="F1490" t="str">
            <v>Indirect</v>
          </cell>
          <cell r="G1490" t="str">
            <v>BELSANDI W-9</v>
          </cell>
          <cell r="H1490" t="str">
            <v>SHYAM BABU SAH</v>
          </cell>
          <cell r="I1490">
            <v>9955744264</v>
          </cell>
          <cell r="J1490" t="str">
            <v>105301</v>
          </cell>
          <cell r="K1490"/>
          <cell r="L1490">
            <v>45820</v>
          </cell>
          <cell r="N1490" t="str">
            <v>Kalyanpur</v>
          </cell>
        </row>
        <row r="1491">
          <cell r="B1491">
            <v>10530070</v>
          </cell>
          <cell r="C1491" t="str">
            <v>0070</v>
          </cell>
          <cell r="D1491"/>
          <cell r="E1491" t="str">
            <v>MPG</v>
          </cell>
          <cell r="F1491" t="str">
            <v>Direct</v>
          </cell>
          <cell r="G1491" t="str">
            <v>GOMUKH PARAN 2</v>
          </cell>
          <cell r="H1491" t="str">
            <v>RANJIT KUMAR</v>
          </cell>
          <cell r="I1491">
            <v>9939880816</v>
          </cell>
          <cell r="J1491" t="str">
            <v>105301</v>
          </cell>
          <cell r="K1491"/>
          <cell r="L1491">
            <v>45832</v>
          </cell>
          <cell r="N1491" t="str">
            <v>Kalyanpur</v>
          </cell>
        </row>
        <row r="1492">
          <cell r="B1492">
            <v>10530071</v>
          </cell>
          <cell r="C1492" t="str">
            <v>0071</v>
          </cell>
          <cell r="D1492"/>
          <cell r="E1492" t="str">
            <v>MPG</v>
          </cell>
          <cell r="F1492" t="str">
            <v>Direct</v>
          </cell>
          <cell r="G1492" t="str">
            <v>GOMUKH KHARAGPUR</v>
          </cell>
          <cell r="H1492" t="str">
            <v>ANIL RAY</v>
          </cell>
          <cell r="I1492">
            <v>8298881731</v>
          </cell>
          <cell r="J1492" t="str">
            <v>105301</v>
          </cell>
          <cell r="K1492"/>
          <cell r="L1492">
            <v>45832</v>
          </cell>
          <cell r="N1492" t="str">
            <v>Kalyanpur</v>
          </cell>
        </row>
        <row r="1493">
          <cell r="B1493">
            <v>10530072</v>
          </cell>
          <cell r="C1493" t="str">
            <v>0072</v>
          </cell>
          <cell r="D1493"/>
          <cell r="E1493" t="str">
            <v>MPG</v>
          </cell>
          <cell r="F1493" t="str">
            <v>Indirect</v>
          </cell>
          <cell r="G1493" t="str">
            <v>KAMARGAMA</v>
          </cell>
          <cell r="H1493" t="str">
            <v>KHUSHBU KUMARI</v>
          </cell>
          <cell r="I1493">
            <v>9006950944</v>
          </cell>
          <cell r="J1493" t="str">
            <v>105301</v>
          </cell>
          <cell r="K1493"/>
          <cell r="L1493">
            <v>45832</v>
          </cell>
          <cell r="N1493" t="str">
            <v>Kalyanpur</v>
          </cell>
        </row>
        <row r="1494">
          <cell r="B1494">
            <v>10530073</v>
          </cell>
          <cell r="C1494" t="str">
            <v>0073</v>
          </cell>
          <cell r="D1494"/>
          <cell r="E1494" t="str">
            <v>MPG</v>
          </cell>
          <cell r="F1494" t="str">
            <v>Indirect</v>
          </cell>
          <cell r="G1494" t="str">
            <v>BELSANDI DIH</v>
          </cell>
          <cell r="H1494" t="str">
            <v>GEETA DEVI</v>
          </cell>
          <cell r="I1494">
            <v>8810306165</v>
          </cell>
          <cell r="J1494" t="str">
            <v>105301</v>
          </cell>
          <cell r="K1494"/>
          <cell r="L1494">
            <v>45832</v>
          </cell>
          <cell r="N1494" t="str">
            <v>Kalyanpur</v>
          </cell>
        </row>
        <row r="1495">
          <cell r="B1495">
            <v>10530074</v>
          </cell>
          <cell r="C1495" t="str">
            <v>0074</v>
          </cell>
          <cell r="D1495"/>
          <cell r="E1495" t="str">
            <v>MPG</v>
          </cell>
          <cell r="F1495" t="str">
            <v>Direct</v>
          </cell>
          <cell r="G1495" t="str">
            <v>GOMUKH BALAHA W-9</v>
          </cell>
          <cell r="H1495" t="str">
            <v>VALESHWAR ROY</v>
          </cell>
          <cell r="I1495">
            <v>8002420174</v>
          </cell>
          <cell r="J1495" t="str">
            <v>105301</v>
          </cell>
          <cell r="K1495"/>
          <cell r="L1495">
            <v>45835</v>
          </cell>
          <cell r="N1495" t="str">
            <v>Kalyanpur</v>
          </cell>
        </row>
        <row r="1496">
          <cell r="B1496">
            <v>10530075</v>
          </cell>
          <cell r="C1496" t="str">
            <v>0075</v>
          </cell>
          <cell r="D1496"/>
          <cell r="E1496" t="str">
            <v>MPG</v>
          </cell>
          <cell r="F1496" t="str">
            <v>Indirect</v>
          </cell>
          <cell r="G1496" t="str">
            <v>Gomukh NAMAPUR East</v>
          </cell>
          <cell r="H1496" t="str">
            <v>ASHOK KUMAR RAY</v>
          </cell>
          <cell r="I1496">
            <v>9006356974</v>
          </cell>
          <cell r="J1496" t="str">
            <v>105301</v>
          </cell>
          <cell r="K1496"/>
          <cell r="L1496">
            <v>45835</v>
          </cell>
          <cell r="N1496" t="str">
            <v>Kalyanpur</v>
          </cell>
        </row>
        <row r="1497">
          <cell r="B1497">
            <v>10530076</v>
          </cell>
          <cell r="C1497" t="str">
            <v>0076</v>
          </cell>
          <cell r="D1497"/>
          <cell r="E1497" t="str">
            <v>MPG</v>
          </cell>
          <cell r="F1497" t="str">
            <v>Direct</v>
          </cell>
          <cell r="G1497" t="str">
            <v>GOMUKH Madanpur W-3</v>
          </cell>
          <cell r="H1497" t="str">
            <v>Himanshu Shekhar Jha</v>
          </cell>
          <cell r="I1497">
            <v>8877407374</v>
          </cell>
          <cell r="J1497" t="str">
            <v>105301</v>
          </cell>
          <cell r="K1497"/>
          <cell r="L1497">
            <v>45850</v>
          </cell>
          <cell r="N1497" t="str">
            <v>Kalyanpur</v>
          </cell>
        </row>
        <row r="1498">
          <cell r="B1498">
            <v>10530077</v>
          </cell>
          <cell r="C1498" t="str">
            <v>0077</v>
          </cell>
          <cell r="D1498"/>
          <cell r="E1498" t="str">
            <v>MPG</v>
          </cell>
          <cell r="F1498" t="str">
            <v>Indirect</v>
          </cell>
          <cell r="G1498" t="str">
            <v>Gomukh Namapur East (08)</v>
          </cell>
          <cell r="H1498" t="str">
            <v>Santosh Kumar</v>
          </cell>
          <cell r="I1498">
            <v>8540989058</v>
          </cell>
          <cell r="J1498" t="str">
            <v>105301</v>
          </cell>
          <cell r="K1498"/>
          <cell r="L1498">
            <v>45868</v>
          </cell>
          <cell r="N1498" t="str">
            <v>Kalyanpur</v>
          </cell>
        </row>
        <row r="1499">
          <cell r="B1499">
            <v>10530078</v>
          </cell>
          <cell r="C1499" t="str">
            <v>0078</v>
          </cell>
          <cell r="D1499"/>
          <cell r="E1499" t="str">
            <v>MPG</v>
          </cell>
          <cell r="F1499" t="str">
            <v>Direct</v>
          </cell>
          <cell r="G1499" t="str">
            <v>GOMUKH Kalaunjar</v>
          </cell>
          <cell r="H1499" t="str">
            <v>Ajeet KUMAR</v>
          </cell>
          <cell r="I1499">
            <v>7352132144</v>
          </cell>
          <cell r="J1499" t="str">
            <v>105301</v>
          </cell>
          <cell r="K1499"/>
          <cell r="L1499">
            <v>45890</v>
          </cell>
          <cell r="N1499" t="str">
            <v>Kalyanpur</v>
          </cell>
        </row>
        <row r="1500">
          <cell r="B1500">
            <v>10530079</v>
          </cell>
          <cell r="C1500" t="str">
            <v>0079</v>
          </cell>
          <cell r="D1500"/>
          <cell r="E1500" t="str">
            <v>MPG</v>
          </cell>
          <cell r="F1500" t="str">
            <v>Indirect</v>
          </cell>
          <cell r="G1500" t="str">
            <v>Jitwariya W-11</v>
          </cell>
          <cell r="H1500" t="str">
            <v>Chandan Kumar Ray</v>
          </cell>
          <cell r="I1500">
            <v>9006997418</v>
          </cell>
          <cell r="J1500" t="str">
            <v>105301</v>
          </cell>
          <cell r="K1500"/>
          <cell r="L1500">
            <v>45890</v>
          </cell>
          <cell r="N1500" t="str">
            <v>Kalyanpur</v>
          </cell>
        </row>
        <row r="1501">
          <cell r="B1501">
            <v>10530080</v>
          </cell>
          <cell r="C1501" t="str">
            <v>0080</v>
          </cell>
          <cell r="D1501"/>
          <cell r="E1501" t="str">
            <v>MPG</v>
          </cell>
          <cell r="F1501" t="str">
            <v>Indirect</v>
          </cell>
          <cell r="G1501" t="str">
            <v>Pastara Lakshman</v>
          </cell>
          <cell r="H1501" t="str">
            <v>Lakshman Ray</v>
          </cell>
          <cell r="I1501">
            <v>9939009160</v>
          </cell>
          <cell r="J1501" t="str">
            <v>105301</v>
          </cell>
          <cell r="K1501"/>
          <cell r="L1501">
            <v>45890</v>
          </cell>
          <cell r="N1501" t="str">
            <v>Kalyanpur</v>
          </cell>
        </row>
        <row r="1502">
          <cell r="B1502">
            <v>10530081</v>
          </cell>
          <cell r="C1502" t="str">
            <v>0081</v>
          </cell>
          <cell r="D1502"/>
          <cell r="E1502" t="str">
            <v>MPG</v>
          </cell>
          <cell r="F1502" t="str">
            <v>Direct</v>
          </cell>
          <cell r="G1502" t="str">
            <v>GOMUKH DADHIYA-2</v>
          </cell>
          <cell r="H1502" t="str">
            <v>RAVINDRA RAY</v>
          </cell>
          <cell r="I1502">
            <v>7091235832</v>
          </cell>
          <cell r="J1502" t="str">
            <v>105301</v>
          </cell>
          <cell r="K1502"/>
          <cell r="L1502">
            <v>45891</v>
          </cell>
          <cell r="N1502" t="str">
            <v>Kalyanpur</v>
          </cell>
        </row>
        <row r="1503">
          <cell r="B1503">
            <v>10530082</v>
          </cell>
          <cell r="C1503" t="str">
            <v>0082</v>
          </cell>
          <cell r="D1503"/>
          <cell r="E1503" t="str">
            <v>MPG</v>
          </cell>
          <cell r="F1503" t="str">
            <v>Direct</v>
          </cell>
          <cell r="G1503" t="str">
            <v>GOMUKH PREMNAGAR</v>
          </cell>
          <cell r="H1503" t="str">
            <v>ASHOK RAY</v>
          </cell>
          <cell r="I1503">
            <v>7654707351</v>
          </cell>
          <cell r="J1503" t="str">
            <v>105301</v>
          </cell>
          <cell r="K1503"/>
          <cell r="L1503">
            <v>45891</v>
          </cell>
          <cell r="N1503" t="str">
            <v>Kalyanpur</v>
          </cell>
        </row>
        <row r="1504">
          <cell r="B1504">
            <v>10530083</v>
          </cell>
          <cell r="C1504" t="str">
            <v>0083</v>
          </cell>
          <cell r="D1504"/>
          <cell r="E1504" t="str">
            <v>MPG</v>
          </cell>
          <cell r="F1504" t="str">
            <v>Direct</v>
          </cell>
          <cell r="G1504" t="str">
            <v>GOMUKH GORNAGAR</v>
          </cell>
          <cell r="H1504" t="str">
            <v>VIKASH KUMAR</v>
          </cell>
          <cell r="I1504">
            <v>7352912761</v>
          </cell>
          <cell r="J1504" t="str">
            <v>105301</v>
          </cell>
          <cell r="K1504"/>
          <cell r="L1504">
            <v>45915</v>
          </cell>
          <cell r="N1504" t="str">
            <v>Kalyanpur</v>
          </cell>
        </row>
        <row r="1505">
          <cell r="B1505">
            <v>10530084</v>
          </cell>
          <cell r="C1505" t="str">
            <v>0084</v>
          </cell>
          <cell r="D1505"/>
          <cell r="E1505" t="str">
            <v>MPG</v>
          </cell>
          <cell r="F1505" t="str">
            <v>Direct</v>
          </cell>
          <cell r="G1505" t="str">
            <v>GOMUKH JITWARIYA W-6</v>
          </cell>
          <cell r="H1505" t="str">
            <v>AMRITA DEVI</v>
          </cell>
          <cell r="I1505">
            <v>8292033563</v>
          </cell>
          <cell r="J1505" t="str">
            <v>105301</v>
          </cell>
          <cell r="K1505"/>
          <cell r="L1505">
            <v>45915</v>
          </cell>
          <cell r="N1505" t="str">
            <v>Kalyanpur</v>
          </cell>
        </row>
        <row r="1506">
          <cell r="B1506">
            <v>10530085</v>
          </cell>
          <cell r="C1506" t="str">
            <v>0085</v>
          </cell>
          <cell r="D1506"/>
          <cell r="E1506" t="str">
            <v>MPG</v>
          </cell>
          <cell r="F1506" t="str">
            <v>Direct</v>
          </cell>
          <cell r="G1506" t="str">
            <v>GOMUKH SUSTA</v>
          </cell>
          <cell r="H1506" t="str">
            <v>TARUN KUMAR</v>
          </cell>
          <cell r="I1506">
            <v>7992435499</v>
          </cell>
          <cell r="J1506" t="str">
            <v>105301</v>
          </cell>
          <cell r="K1506"/>
          <cell r="L1506">
            <v>45915</v>
          </cell>
          <cell r="N1506" t="str">
            <v>Kalyanpur</v>
          </cell>
        </row>
        <row r="1507">
          <cell r="B1507">
            <v>10530086</v>
          </cell>
          <cell r="C1507" t="str">
            <v>0086</v>
          </cell>
          <cell r="D1507"/>
          <cell r="E1507" t="str">
            <v>MPG</v>
          </cell>
          <cell r="F1507" t="str">
            <v>Indirect</v>
          </cell>
          <cell r="G1507" t="str">
            <v>KARUA W-17</v>
          </cell>
          <cell r="H1507" t="str">
            <v>DEEP NARAYAN MAHTO</v>
          </cell>
          <cell r="I1507">
            <v>9572826422</v>
          </cell>
          <cell r="J1507" t="str">
            <v>105301</v>
          </cell>
          <cell r="K1507"/>
          <cell r="L1507">
            <v>45915</v>
          </cell>
          <cell r="N1507" t="str">
            <v>Kalyanpur</v>
          </cell>
        </row>
        <row r="1508">
          <cell r="B1508">
            <v>10530087</v>
          </cell>
          <cell r="C1508" t="str">
            <v>0087</v>
          </cell>
          <cell r="D1508"/>
          <cell r="E1508" t="str">
            <v>MPG</v>
          </cell>
          <cell r="F1508" t="str">
            <v>Indirect</v>
          </cell>
          <cell r="G1508" t="str">
            <v>CHAK HAJI</v>
          </cell>
          <cell r="H1508" t="str">
            <v>SANJEET KUMAR</v>
          </cell>
          <cell r="I1508">
            <v>8873555153</v>
          </cell>
          <cell r="J1508" t="str">
            <v>105301</v>
          </cell>
          <cell r="K1508"/>
          <cell r="L1508">
            <v>45915</v>
          </cell>
          <cell r="N1508" t="str">
            <v>Kalyanpur</v>
          </cell>
        </row>
        <row r="1509">
          <cell r="B1509">
            <v>10530088</v>
          </cell>
          <cell r="C1509" t="str">
            <v>0088</v>
          </cell>
          <cell r="D1509"/>
          <cell r="E1509" t="str">
            <v>MPG</v>
          </cell>
          <cell r="F1509" t="str">
            <v>Indirect</v>
          </cell>
          <cell r="G1509" t="str">
            <v>DIH LAHI</v>
          </cell>
          <cell r="H1509" t="str">
            <v>RAMESH YADAV</v>
          </cell>
          <cell r="I1509">
            <v>6205052307</v>
          </cell>
          <cell r="J1509" t="str">
            <v>105301</v>
          </cell>
          <cell r="K1509"/>
          <cell r="L1509">
            <v>45915</v>
          </cell>
          <cell r="N1509" t="str">
            <v>Kalyanpur</v>
          </cell>
        </row>
        <row r="1510">
          <cell r="B1510">
            <v>10530089</v>
          </cell>
          <cell r="C1510" t="str">
            <v>0089</v>
          </cell>
          <cell r="D1510"/>
          <cell r="E1510" t="str">
            <v>MPG</v>
          </cell>
          <cell r="F1510" t="str">
            <v>Indirect</v>
          </cell>
          <cell r="G1510" t="str">
            <v>KHANPUR SOBHA</v>
          </cell>
          <cell r="H1510" t="str">
            <v>SOBHA KUMARI</v>
          </cell>
          <cell r="I1510">
            <v>8210731649</v>
          </cell>
          <cell r="J1510" t="str">
            <v>105301</v>
          </cell>
          <cell r="K1510"/>
          <cell r="L1510">
            <v>45915</v>
          </cell>
          <cell r="N1510" t="str">
            <v>Kalyanpur</v>
          </cell>
        </row>
        <row r="1511">
          <cell r="B1511">
            <v>10530090</v>
          </cell>
          <cell r="C1511" t="str">
            <v>0090</v>
          </cell>
          <cell r="D1511"/>
          <cell r="E1511" t="str">
            <v>MPG</v>
          </cell>
          <cell r="F1511" t="str">
            <v>Indirect</v>
          </cell>
          <cell r="G1511" t="str">
            <v>BHATGAMA W-5</v>
          </cell>
          <cell r="H1511" t="str">
            <v>AKHILESH RAY</v>
          </cell>
          <cell r="I1511">
            <v>8877082992</v>
          </cell>
          <cell r="J1511" t="str">
            <v>105301</v>
          </cell>
          <cell r="K1511"/>
          <cell r="L1511">
            <v>45915</v>
          </cell>
          <cell r="N1511" t="str">
            <v>Kalyanpur</v>
          </cell>
        </row>
        <row r="1512">
          <cell r="B1512">
            <v>10530091</v>
          </cell>
          <cell r="C1512" t="str">
            <v>0091</v>
          </cell>
          <cell r="D1512"/>
          <cell r="E1512" t="str">
            <v>MPG</v>
          </cell>
          <cell r="F1512" t="str">
            <v>Direct</v>
          </cell>
          <cell r="G1512" t="str">
            <v>GOMUKH TOKE</v>
          </cell>
          <cell r="H1512" t="str">
            <v>Ranjeet Kumar</v>
          </cell>
          <cell r="I1512">
            <v>8651919293</v>
          </cell>
          <cell r="J1512" t="str">
            <v>105301</v>
          </cell>
          <cell r="K1512"/>
          <cell r="L1512">
            <v>45939</v>
          </cell>
          <cell r="N1512" t="str">
            <v>Kalyanpur</v>
          </cell>
        </row>
        <row r="1513">
          <cell r="B1513">
            <v>10530092</v>
          </cell>
          <cell r="C1513" t="str">
            <v>0092</v>
          </cell>
          <cell r="D1513"/>
          <cell r="E1513" t="str">
            <v>MPG</v>
          </cell>
          <cell r="F1513" t="str">
            <v>Direct</v>
          </cell>
          <cell r="G1513" t="str">
            <v>GOMUKH SHIVNAGAR</v>
          </cell>
          <cell r="H1513" t="str">
            <v>Sajan Kumar</v>
          </cell>
          <cell r="I1513">
            <v>9835585378</v>
          </cell>
          <cell r="J1513" t="str">
            <v>105301</v>
          </cell>
          <cell r="K1513"/>
          <cell r="L1513">
            <v>45939</v>
          </cell>
          <cell r="N1513" t="str">
            <v>Kalyanpur</v>
          </cell>
        </row>
        <row r="1514">
          <cell r="B1514">
            <v>10530093</v>
          </cell>
          <cell r="C1514" t="str">
            <v>0093</v>
          </cell>
          <cell r="D1514"/>
          <cell r="E1514" t="str">
            <v>MPG</v>
          </cell>
          <cell r="F1514" t="str">
            <v>Direct</v>
          </cell>
          <cell r="G1514" t="str">
            <v>GOMUKH BAKHITIYARPUR</v>
          </cell>
          <cell r="H1514" t="str">
            <v>RAJESH KUMAR</v>
          </cell>
          <cell r="I1514">
            <v>8051458384</v>
          </cell>
          <cell r="J1514" t="str">
            <v>105301</v>
          </cell>
          <cell r="K1514"/>
          <cell r="L1514">
            <v>45939</v>
          </cell>
          <cell r="N1514" t="str">
            <v>Kalyanpur</v>
          </cell>
        </row>
        <row r="1515">
          <cell r="B1515">
            <v>10530094</v>
          </cell>
          <cell r="C1515" t="str">
            <v>0094</v>
          </cell>
          <cell r="D1515"/>
          <cell r="E1515" t="str">
            <v>MPG</v>
          </cell>
          <cell r="F1515" t="str">
            <v>Indirect</v>
          </cell>
          <cell r="G1515" t="str">
            <v xml:space="preserve">Gomukh Bhagwanpur East </v>
          </cell>
          <cell r="H1515" t="str">
            <v>ABHISHEK KUMAR</v>
          </cell>
          <cell r="I1515">
            <v>6209842562</v>
          </cell>
          <cell r="J1515" t="str">
            <v>105301</v>
          </cell>
          <cell r="K1515"/>
          <cell r="L1515">
            <v>45968</v>
          </cell>
          <cell r="N1515" t="str">
            <v>Kalyanpur</v>
          </cell>
        </row>
        <row r="1516">
          <cell r="B1516">
            <v>10530095</v>
          </cell>
          <cell r="C1516" t="str">
            <v>0095</v>
          </cell>
          <cell r="D1516"/>
          <cell r="E1516" t="str">
            <v>MPG</v>
          </cell>
          <cell r="F1516" t="str">
            <v>Indirect</v>
          </cell>
          <cell r="G1516" t="str">
            <v>Gomukh Harpur West</v>
          </cell>
          <cell r="H1516" t="str">
            <v>AMARJEET KUMAR</v>
          </cell>
          <cell r="I1516">
            <v>6202068236</v>
          </cell>
          <cell r="J1516" t="str">
            <v>105301</v>
          </cell>
          <cell r="K1516"/>
          <cell r="L1516">
            <v>45968</v>
          </cell>
          <cell r="N1516" t="str">
            <v>Kalyanpur</v>
          </cell>
        </row>
        <row r="1517">
          <cell r="B1517">
            <v>10530096</v>
          </cell>
          <cell r="C1517" t="str">
            <v>0096</v>
          </cell>
          <cell r="D1517"/>
          <cell r="E1517" t="str">
            <v>MPG</v>
          </cell>
          <cell r="F1517" t="str">
            <v>Direct</v>
          </cell>
          <cell r="G1517" t="str">
            <v>GOMUKH BHARJA</v>
          </cell>
          <cell r="H1517" t="str">
            <v>Soni Kumari</v>
          </cell>
          <cell r="I1517">
            <v>6200365022</v>
          </cell>
          <cell r="J1517" t="str">
            <v>105301</v>
          </cell>
          <cell r="K1517"/>
          <cell r="L1517">
            <v>45986</v>
          </cell>
          <cell r="N1517" t="str">
            <v>Kalyanpur</v>
          </cell>
        </row>
        <row r="1518">
          <cell r="B1518">
            <v>10530097</v>
          </cell>
          <cell r="C1518" t="str">
            <v>0097</v>
          </cell>
          <cell r="D1518"/>
          <cell r="E1518" t="str">
            <v>MPG</v>
          </cell>
          <cell r="F1518" t="str">
            <v>Direct</v>
          </cell>
          <cell r="G1518" t="str">
            <v>GOMUKH NAWABGANJ</v>
          </cell>
          <cell r="H1518" t="str">
            <v>Pavan Kumar Mahto</v>
          </cell>
          <cell r="I1518">
            <v>7033734565</v>
          </cell>
          <cell r="J1518" t="str">
            <v>105301</v>
          </cell>
          <cell r="K1518"/>
          <cell r="L1518">
            <v>45986</v>
          </cell>
          <cell r="N1518" t="str">
            <v>Kalyanpur</v>
          </cell>
        </row>
        <row r="1519">
          <cell r="B1519">
            <v>10530098</v>
          </cell>
          <cell r="C1519" t="str">
            <v>0098</v>
          </cell>
          <cell r="D1519"/>
          <cell r="E1519" t="str">
            <v>MPG</v>
          </cell>
          <cell r="F1519" t="str">
            <v>Direct</v>
          </cell>
          <cell r="G1519" t="str">
            <v>GOMUKH BATHUA</v>
          </cell>
          <cell r="H1519" t="str">
            <v>Lalita Devi</v>
          </cell>
          <cell r="I1519">
            <v>9931641528</v>
          </cell>
          <cell r="J1519" t="str">
            <v>105301</v>
          </cell>
          <cell r="K1519"/>
          <cell r="L1519">
            <v>45986</v>
          </cell>
          <cell r="N1519" t="str">
            <v>Kalyanpur</v>
          </cell>
        </row>
        <row r="1520">
          <cell r="B1520">
            <v>10530099</v>
          </cell>
          <cell r="C1520" t="str">
            <v>0099</v>
          </cell>
          <cell r="D1520"/>
          <cell r="E1520" t="str">
            <v>MPG</v>
          </cell>
          <cell r="F1520" t="str">
            <v>Direct</v>
          </cell>
          <cell r="G1520" t="str">
            <v>Gomukh Somnaha Naya Tola</v>
          </cell>
          <cell r="H1520" t="str">
            <v>Shambhu Singh</v>
          </cell>
          <cell r="I1520">
            <v>9199747096</v>
          </cell>
          <cell r="J1520" t="str">
            <v>105301</v>
          </cell>
          <cell r="K1520"/>
          <cell r="L1520">
            <v>45986</v>
          </cell>
          <cell r="N1520" t="str">
            <v>Kalyanpur</v>
          </cell>
        </row>
        <row r="1521">
          <cell r="B1521">
            <v>10530100</v>
          </cell>
          <cell r="C1521" t="str">
            <v>0100</v>
          </cell>
          <cell r="D1521"/>
          <cell r="E1521" t="str">
            <v>MPG</v>
          </cell>
          <cell r="F1521" t="str">
            <v>Direct</v>
          </cell>
          <cell r="G1521" t="str">
            <v>GOMUKH CHAKKI</v>
          </cell>
          <cell r="H1521" t="str">
            <v>Rajeev Kumar Yadav</v>
          </cell>
          <cell r="I1521">
            <v>9835830662</v>
          </cell>
          <cell r="J1521" t="str">
            <v>105301</v>
          </cell>
          <cell r="K1521"/>
          <cell r="L1521">
            <v>46020</v>
          </cell>
          <cell r="N1521" t="str">
            <v>Kalyanpur</v>
          </cell>
        </row>
        <row r="1522">
          <cell r="B1522">
            <v>10530101</v>
          </cell>
          <cell r="C1522" t="str">
            <v>0101</v>
          </cell>
          <cell r="D1522"/>
          <cell r="E1522" t="str">
            <v>MPG</v>
          </cell>
          <cell r="F1522" t="str">
            <v>Direct</v>
          </cell>
          <cell r="G1522" t="str">
            <v>GOMUKH LAKSHMAN NAGAR</v>
          </cell>
          <cell r="H1522" t="str">
            <v>Gani Kumar</v>
          </cell>
          <cell r="I1522">
            <v>7541848218</v>
          </cell>
          <cell r="J1522" t="str">
            <v>105301</v>
          </cell>
          <cell r="K1522"/>
          <cell r="L1522">
            <v>46020</v>
          </cell>
          <cell r="N1522" t="str">
            <v>Kalyanpur</v>
          </cell>
        </row>
        <row r="1523">
          <cell r="B1523">
            <v>10530102</v>
          </cell>
          <cell r="C1523" t="str">
            <v>0102</v>
          </cell>
          <cell r="D1523"/>
          <cell r="E1523" t="str">
            <v>MPG</v>
          </cell>
          <cell r="F1523" t="str">
            <v>Direct</v>
          </cell>
          <cell r="G1523" t="str">
            <v>GOMUKH KOTHIYA</v>
          </cell>
          <cell r="H1523" t="str">
            <v>Rajvati Devi</v>
          </cell>
          <cell r="I1523">
            <v>7079170358</v>
          </cell>
          <cell r="J1523" t="str">
            <v>105301</v>
          </cell>
          <cell r="K1523"/>
          <cell r="L1523">
            <v>46020</v>
          </cell>
          <cell r="N1523" t="str">
            <v>Kalyanpur</v>
          </cell>
        </row>
        <row r="1524">
          <cell r="B1524">
            <v>10530103</v>
          </cell>
          <cell r="C1524" t="str">
            <v>0103</v>
          </cell>
          <cell r="D1524"/>
          <cell r="E1524" t="str">
            <v>MPG</v>
          </cell>
          <cell r="F1524" t="str">
            <v>Direct</v>
          </cell>
          <cell r="G1524" t="str">
            <v>GOMUKH JHAHURI</v>
          </cell>
          <cell r="H1524" t="str">
            <v>Suman Kumar</v>
          </cell>
          <cell r="I1524">
            <v>8651337471</v>
          </cell>
          <cell r="J1524" t="str">
            <v>105301</v>
          </cell>
          <cell r="K1524"/>
          <cell r="L1524">
            <v>46028</v>
          </cell>
          <cell r="N1524" t="str">
            <v>Kalyanpur</v>
          </cell>
        </row>
        <row r="1525">
          <cell r="B1525">
            <v>10530104</v>
          </cell>
          <cell r="C1525" t="str">
            <v>0104</v>
          </cell>
          <cell r="D1525"/>
          <cell r="E1525" t="str">
            <v>MPG</v>
          </cell>
          <cell r="F1525" t="str">
            <v>Indirect</v>
          </cell>
          <cell r="G1525" t="str">
            <v>Belsandi Dihtola</v>
          </cell>
          <cell r="H1525" t="str">
            <v>Geeta Devi</v>
          </cell>
          <cell r="I1525">
            <v>8810306165</v>
          </cell>
          <cell r="J1525" t="str">
            <v>105301</v>
          </cell>
          <cell r="K1525"/>
          <cell r="L1525">
            <v>46041</v>
          </cell>
          <cell r="N1525" t="str">
            <v>Kalyanpur</v>
          </cell>
        </row>
        <row r="1526">
          <cell r="B1526">
            <v>10530105</v>
          </cell>
          <cell r="C1526" t="str">
            <v>0105</v>
          </cell>
          <cell r="D1526"/>
          <cell r="E1526" t="str">
            <v>MPG</v>
          </cell>
          <cell r="F1526" t="str">
            <v>Direct</v>
          </cell>
          <cell r="G1526" t="str">
            <v>GOMUKH Gopalpur Ward 1</v>
          </cell>
          <cell r="H1526" t="str">
            <v>Chandrabhushan kumar</v>
          </cell>
          <cell r="I1526">
            <v>8340115742</v>
          </cell>
          <cell r="J1526" t="str">
            <v>105301</v>
          </cell>
          <cell r="K1526"/>
          <cell r="L1526">
            <v>46063</v>
          </cell>
          <cell r="N1526" t="str">
            <v>Kalyanpur</v>
          </cell>
        </row>
        <row r="1527">
          <cell r="B1527">
            <v>10530106</v>
          </cell>
          <cell r="C1527" t="str">
            <v>0106</v>
          </cell>
          <cell r="D1527"/>
          <cell r="E1527" t="str">
            <v>MPG</v>
          </cell>
          <cell r="F1527" t="str">
            <v>Direct</v>
          </cell>
          <cell r="G1527" t="str">
            <v>GOMUKH Keotsa</v>
          </cell>
          <cell r="H1527" t="str">
            <v>Rambharosh kumar</v>
          </cell>
          <cell r="I1527">
            <v>6204602348</v>
          </cell>
          <cell r="J1527" t="str">
            <v>105301</v>
          </cell>
          <cell r="K1527"/>
          <cell r="L1527">
            <v>46063</v>
          </cell>
          <cell r="N1527" t="str">
            <v>Kalyanpur</v>
          </cell>
        </row>
        <row r="1528">
          <cell r="B1528">
            <v>10530107</v>
          </cell>
          <cell r="C1528" t="str">
            <v>0107</v>
          </cell>
          <cell r="D1528"/>
          <cell r="E1528" t="str">
            <v>MPG</v>
          </cell>
          <cell r="F1528" t="str">
            <v>Indirect</v>
          </cell>
          <cell r="G1528" t="str">
            <v>Gomukh Namapur East</v>
          </cell>
          <cell r="H1528" t="str">
            <v>Sonu Kumar</v>
          </cell>
          <cell r="I1528">
            <v>7320062204</v>
          </cell>
          <cell r="J1528" t="str">
            <v>105301</v>
          </cell>
          <cell r="K1528"/>
          <cell r="L1528">
            <v>46063</v>
          </cell>
          <cell r="N1528" t="str">
            <v>Kalyanpur</v>
          </cell>
        </row>
        <row r="1529">
          <cell r="B1529">
            <v>10530108</v>
          </cell>
          <cell r="C1529" t="str">
            <v>0108</v>
          </cell>
          <cell r="D1529"/>
          <cell r="E1529" t="str">
            <v>MPG</v>
          </cell>
          <cell r="F1529" t="str">
            <v>Direct</v>
          </cell>
          <cell r="G1529" t="str">
            <v>GOMUKH Waini</v>
          </cell>
          <cell r="H1529" t="str">
            <v>Krishna Kishore Roy</v>
          </cell>
          <cell r="I1529">
            <v>6299635052</v>
          </cell>
          <cell r="J1529" t="str">
            <v>105301</v>
          </cell>
          <cell r="K1529"/>
          <cell r="L1529">
            <v>46073</v>
          </cell>
          <cell r="N1529" t="str">
            <v>Kalyanpur</v>
          </cell>
        </row>
        <row r="1530">
          <cell r="B1530">
            <v>10530109</v>
          </cell>
          <cell r="C1530" t="str">
            <v>0109</v>
          </cell>
          <cell r="D1530"/>
          <cell r="E1530" t="str">
            <v>MPG</v>
          </cell>
          <cell r="F1530" t="str">
            <v>Direct</v>
          </cell>
          <cell r="G1530" t="str">
            <v>GOMUKH SAKARI</v>
          </cell>
          <cell r="H1530" t="str">
            <v>Sintu Kumar</v>
          </cell>
          <cell r="I1530">
            <v>7903392154</v>
          </cell>
          <cell r="J1530" t="str">
            <v>105301</v>
          </cell>
          <cell r="K1530"/>
          <cell r="L1530">
            <v>46073</v>
          </cell>
          <cell r="N1530" t="str">
            <v>Kalyanpur</v>
          </cell>
        </row>
        <row r="1531">
          <cell r="B1531">
            <v>10530110</v>
          </cell>
          <cell r="C1531" t="str">
            <v>0110</v>
          </cell>
          <cell r="D1531"/>
          <cell r="E1531" t="str">
            <v>MPG</v>
          </cell>
          <cell r="F1531" t="str">
            <v>Direct</v>
          </cell>
          <cell r="G1531" t="str">
            <v>GOMUKH DHOBGAMA</v>
          </cell>
          <cell r="H1531" t="str">
            <v>Prithwi Raj Thakur</v>
          </cell>
          <cell r="I1531">
            <v>9572076321</v>
          </cell>
          <cell r="J1531" t="str">
            <v>105301</v>
          </cell>
          <cell r="K1531"/>
          <cell r="L1531">
            <v>46080</v>
          </cell>
          <cell r="N1531" t="str">
            <v>Kalyanpur</v>
          </cell>
        </row>
        <row r="1532">
          <cell r="B1532">
            <v>10540001</v>
          </cell>
          <cell r="C1532" t="str">
            <v>0001</v>
          </cell>
          <cell r="D1532"/>
          <cell r="E1532" t="str">
            <v>MPG</v>
          </cell>
          <cell r="F1532" t="str">
            <v>Indirect</v>
          </cell>
          <cell r="G1532" t="str">
            <v>RAVISH KUMAR</v>
          </cell>
          <cell r="H1532" t="str">
            <v>RAVISH KUMAR</v>
          </cell>
          <cell r="I1532">
            <v>8936026161</v>
          </cell>
          <cell r="J1532" t="str">
            <v>105401</v>
          </cell>
          <cell r="K1532"/>
          <cell r="L1532">
            <v>45794</v>
          </cell>
          <cell r="N1532" t="str">
            <v>Aluali</v>
          </cell>
        </row>
        <row r="1533">
          <cell r="B1533">
            <v>10540002</v>
          </cell>
          <cell r="C1533" t="str">
            <v>0002</v>
          </cell>
          <cell r="D1533"/>
          <cell r="E1533" t="str">
            <v>MPG</v>
          </cell>
          <cell r="F1533" t="str">
            <v>Indirect</v>
          </cell>
          <cell r="G1533" t="str">
            <v>PANKAJ KUMAR</v>
          </cell>
          <cell r="H1533" t="str">
            <v>PANKAJ KUMAR</v>
          </cell>
          <cell r="I1533">
            <v>9693396635</v>
          </cell>
          <cell r="J1533" t="str">
            <v>105401</v>
          </cell>
          <cell r="K1533"/>
          <cell r="L1533">
            <v>45794</v>
          </cell>
          <cell r="N1533" t="str">
            <v>Aluali</v>
          </cell>
        </row>
        <row r="1534">
          <cell r="B1534">
            <v>10540003</v>
          </cell>
          <cell r="C1534" t="str">
            <v>0003</v>
          </cell>
          <cell r="D1534"/>
          <cell r="E1534" t="str">
            <v>MPG</v>
          </cell>
          <cell r="F1534" t="str">
            <v>Direct</v>
          </cell>
          <cell r="G1534" t="str">
            <v>GOMUKH ANANDPUR PARAS 2</v>
          </cell>
          <cell r="H1534" t="str">
            <v>JIWAN JYOTI KUMAR</v>
          </cell>
          <cell r="I1534">
            <v>9155930513</v>
          </cell>
          <cell r="J1534" t="str">
            <v>105401</v>
          </cell>
          <cell r="K1534"/>
          <cell r="L1534">
            <v>45794</v>
          </cell>
          <cell r="N1534" t="str">
            <v>Aluali</v>
          </cell>
        </row>
        <row r="1535">
          <cell r="B1535">
            <v>10540004</v>
          </cell>
          <cell r="C1535" t="str">
            <v>0004</v>
          </cell>
          <cell r="D1535"/>
          <cell r="E1535" t="str">
            <v>MPG</v>
          </cell>
          <cell r="F1535" t="str">
            <v>Direct</v>
          </cell>
          <cell r="G1535" t="str">
            <v>GOMUKH SHYAM GHARARI</v>
          </cell>
          <cell r="H1535" t="str">
            <v>RAVI KUMAR</v>
          </cell>
          <cell r="I1535">
            <v>9534515004</v>
          </cell>
          <cell r="J1535" t="str">
            <v>105401</v>
          </cell>
          <cell r="K1535"/>
          <cell r="L1535">
            <v>45794</v>
          </cell>
          <cell r="N1535" t="str">
            <v>Aluali</v>
          </cell>
        </row>
        <row r="1536">
          <cell r="B1536">
            <v>10540005</v>
          </cell>
          <cell r="C1536" t="str">
            <v>0005</v>
          </cell>
          <cell r="D1536"/>
          <cell r="E1536" t="str">
            <v>MPG</v>
          </cell>
          <cell r="F1536" t="str">
            <v>Direct</v>
          </cell>
          <cell r="G1536" t="str">
            <v>GOMUKH GADBANNI</v>
          </cell>
          <cell r="H1536" t="str">
            <v>SUNITA KUMARI</v>
          </cell>
          <cell r="I1536">
            <v>9155045255</v>
          </cell>
          <cell r="J1536" t="str">
            <v>105401</v>
          </cell>
          <cell r="K1536"/>
          <cell r="L1536">
            <v>45797</v>
          </cell>
          <cell r="N1536" t="str">
            <v>Aluali</v>
          </cell>
        </row>
        <row r="1537">
          <cell r="B1537">
            <v>10540006</v>
          </cell>
          <cell r="C1537" t="str">
            <v>0006</v>
          </cell>
          <cell r="D1537"/>
          <cell r="E1537" t="str">
            <v>MPG</v>
          </cell>
          <cell r="F1537" t="str">
            <v>Direct</v>
          </cell>
          <cell r="G1537" t="str">
            <v>GOMUKH AMBA</v>
          </cell>
          <cell r="H1537" t="str">
            <v>NAVAJOT KUMAR</v>
          </cell>
          <cell r="I1537">
            <v>7549562666</v>
          </cell>
          <cell r="J1537" t="str">
            <v>105401</v>
          </cell>
          <cell r="K1537"/>
          <cell r="L1537">
            <v>45797</v>
          </cell>
          <cell r="N1537" t="str">
            <v>Aluali</v>
          </cell>
        </row>
        <row r="1538">
          <cell r="B1538">
            <v>10540007</v>
          </cell>
          <cell r="C1538" t="str">
            <v>0007</v>
          </cell>
          <cell r="D1538"/>
          <cell r="E1538" t="str">
            <v>MPG</v>
          </cell>
          <cell r="F1538" t="str">
            <v>Direct</v>
          </cell>
          <cell r="G1538" t="str">
            <v>GOMUKH GORIYAMI</v>
          </cell>
          <cell r="H1538" t="str">
            <v>PAGLU YADAV</v>
          </cell>
          <cell r="I1538">
            <v>7696256578</v>
          </cell>
          <cell r="J1538" t="str">
            <v>105401</v>
          </cell>
          <cell r="K1538"/>
          <cell r="L1538">
            <v>45797</v>
          </cell>
          <cell r="N1538" t="str">
            <v>Aluali</v>
          </cell>
        </row>
        <row r="1539">
          <cell r="B1539">
            <v>10540008</v>
          </cell>
          <cell r="C1539" t="str">
            <v>0008</v>
          </cell>
          <cell r="D1539"/>
          <cell r="E1539" t="str">
            <v>MPG</v>
          </cell>
          <cell r="F1539" t="str">
            <v>Direct</v>
          </cell>
          <cell r="G1539" t="str">
            <v>GOMUKH PARRI</v>
          </cell>
          <cell r="H1539" t="str">
            <v>VIJAY YADAV</v>
          </cell>
          <cell r="I1539">
            <v>7631184330</v>
          </cell>
          <cell r="J1539" t="str">
            <v>105401</v>
          </cell>
          <cell r="K1539"/>
          <cell r="L1539">
            <v>45832</v>
          </cell>
          <cell r="N1539" t="str">
            <v>Aluali</v>
          </cell>
        </row>
        <row r="1540">
          <cell r="B1540">
            <v>10540009</v>
          </cell>
          <cell r="C1540" t="str">
            <v>0009</v>
          </cell>
          <cell r="D1540"/>
          <cell r="E1540" t="str">
            <v>MPG</v>
          </cell>
          <cell r="F1540" t="str">
            <v>Direct</v>
          </cell>
          <cell r="G1540" t="str">
            <v>GOMUKH BHIKHARI GHAT</v>
          </cell>
          <cell r="H1540" t="str">
            <v>KRISHNANANDAN YADAV</v>
          </cell>
          <cell r="I1540">
            <v>9973504238</v>
          </cell>
          <cell r="J1540" t="str">
            <v>105401</v>
          </cell>
          <cell r="K1540"/>
          <cell r="L1540">
            <v>45832</v>
          </cell>
          <cell r="N1540" t="str">
            <v>Aluali</v>
          </cell>
        </row>
        <row r="1541">
          <cell r="B1541">
            <v>10540010</v>
          </cell>
          <cell r="C1541" t="str">
            <v>0010</v>
          </cell>
          <cell r="D1541"/>
          <cell r="E1541" t="str">
            <v>MPG</v>
          </cell>
          <cell r="F1541" t="str">
            <v>Indirect</v>
          </cell>
          <cell r="G1541" t="str">
            <v>Vikash Kumar</v>
          </cell>
          <cell r="H1541" t="str">
            <v>Vikash Kumar</v>
          </cell>
          <cell r="I1541">
            <v>9334574850</v>
          </cell>
          <cell r="J1541" t="str">
            <v>105401</v>
          </cell>
          <cell r="K1541"/>
          <cell r="L1541">
            <v>45836</v>
          </cell>
          <cell r="N1541" t="str">
            <v>Aluali</v>
          </cell>
        </row>
        <row r="1542">
          <cell r="B1542">
            <v>10540011</v>
          </cell>
          <cell r="C1542" t="str">
            <v>0011</v>
          </cell>
          <cell r="D1542"/>
          <cell r="E1542" t="str">
            <v>MPG</v>
          </cell>
          <cell r="F1542" t="str">
            <v>Indirect</v>
          </cell>
          <cell r="G1542" t="str">
            <v>Jayvir Kumar</v>
          </cell>
          <cell r="H1542" t="str">
            <v>Jayvir Kumar</v>
          </cell>
          <cell r="I1542">
            <v>7667612703</v>
          </cell>
          <cell r="J1542" t="str">
            <v>105401</v>
          </cell>
          <cell r="K1542"/>
          <cell r="L1542">
            <v>45836</v>
          </cell>
          <cell r="N1542" t="str">
            <v>Aluali</v>
          </cell>
        </row>
        <row r="1543">
          <cell r="B1543">
            <v>10540012</v>
          </cell>
          <cell r="C1543" t="str">
            <v>0012</v>
          </cell>
          <cell r="D1543"/>
          <cell r="E1543" t="str">
            <v>MPG</v>
          </cell>
          <cell r="F1543" t="str">
            <v>Indirect</v>
          </cell>
          <cell r="G1543" t="str">
            <v>Rajkishore Yadav</v>
          </cell>
          <cell r="H1543" t="str">
            <v>Raj Kishore Yadav</v>
          </cell>
          <cell r="I1543">
            <v>6200641950</v>
          </cell>
          <cell r="J1543" t="str">
            <v>105401</v>
          </cell>
          <cell r="K1543"/>
          <cell r="L1543">
            <v>45836</v>
          </cell>
          <cell r="N1543" t="str">
            <v>Aluali</v>
          </cell>
        </row>
        <row r="1544">
          <cell r="B1544">
            <v>10540013</v>
          </cell>
          <cell r="C1544" t="str">
            <v>0013</v>
          </cell>
          <cell r="D1544"/>
          <cell r="E1544" t="str">
            <v>MPG</v>
          </cell>
          <cell r="F1544" t="str">
            <v>Indirect</v>
          </cell>
          <cell r="G1544" t="str">
            <v>Jalkaura VLC</v>
          </cell>
          <cell r="H1544" t="str">
            <v>Navod yadav</v>
          </cell>
          <cell r="I1544">
            <v>8409488559</v>
          </cell>
          <cell r="J1544" t="str">
            <v>105401</v>
          </cell>
          <cell r="K1544"/>
          <cell r="L1544">
            <v>45836</v>
          </cell>
          <cell r="N1544" t="str">
            <v>Aluali</v>
          </cell>
        </row>
        <row r="1545">
          <cell r="B1545">
            <v>10540014</v>
          </cell>
          <cell r="C1545" t="str">
            <v>0014</v>
          </cell>
          <cell r="D1545"/>
          <cell r="E1545" t="str">
            <v>MPG</v>
          </cell>
          <cell r="F1545" t="str">
            <v>Indirect</v>
          </cell>
          <cell r="G1545" t="str">
            <v>BHADAS VLC</v>
          </cell>
          <cell r="H1545" t="str">
            <v>WAKIL YADAV</v>
          </cell>
          <cell r="I1545">
            <v>8271895917</v>
          </cell>
          <cell r="J1545" t="str">
            <v>105402</v>
          </cell>
          <cell r="K1545"/>
          <cell r="L1545">
            <v>45856</v>
          </cell>
          <cell r="N1545" t="str">
            <v>Aluali</v>
          </cell>
        </row>
        <row r="1546">
          <cell r="B1546">
            <v>10540015</v>
          </cell>
          <cell r="C1546" t="str">
            <v>0015</v>
          </cell>
          <cell r="D1546"/>
          <cell r="E1546" t="str">
            <v>MPG</v>
          </cell>
          <cell r="F1546" t="str">
            <v>Indirect</v>
          </cell>
          <cell r="G1546" t="str">
            <v>SUNIL KUMAR VLC</v>
          </cell>
          <cell r="H1546" t="str">
            <v xml:space="preserve">SUNIL YADAV </v>
          </cell>
          <cell r="I1546">
            <v>6204561609</v>
          </cell>
          <cell r="J1546" t="str">
            <v>105401</v>
          </cell>
          <cell r="K1546"/>
          <cell r="L1546">
            <v>45856</v>
          </cell>
          <cell r="N1546" t="str">
            <v>Aluali</v>
          </cell>
        </row>
        <row r="1547">
          <cell r="B1547">
            <v>10540016</v>
          </cell>
          <cell r="C1547" t="str">
            <v>0016</v>
          </cell>
          <cell r="D1547"/>
          <cell r="E1547" t="str">
            <v>MPG</v>
          </cell>
          <cell r="F1547" t="str">
            <v>Direct</v>
          </cell>
          <cell r="G1547" t="str">
            <v>GOMUKH BENHER</v>
          </cell>
          <cell r="H1547" t="str">
            <v>RITESH KUMAR</v>
          </cell>
          <cell r="I1547">
            <v>7781905295</v>
          </cell>
          <cell r="J1547" t="str">
            <v>105401</v>
          </cell>
          <cell r="K1547"/>
          <cell r="L1547">
            <v>45864</v>
          </cell>
          <cell r="N1547" t="str">
            <v>Aluali</v>
          </cell>
        </row>
        <row r="1548">
          <cell r="B1548">
            <v>10540017</v>
          </cell>
          <cell r="C1548" t="str">
            <v>0017</v>
          </cell>
          <cell r="D1548"/>
          <cell r="E1548" t="str">
            <v>MPG</v>
          </cell>
          <cell r="F1548" t="str">
            <v>Direct</v>
          </cell>
          <cell r="G1548" t="str">
            <v>GOMUKH LADORA</v>
          </cell>
          <cell r="H1548" t="str">
            <v>MANISH KUMAR</v>
          </cell>
          <cell r="I1548">
            <v>9113428635</v>
          </cell>
          <cell r="J1548" t="str">
            <v>105401</v>
          </cell>
          <cell r="K1548"/>
          <cell r="L1548">
            <v>45864</v>
          </cell>
          <cell r="N1548" t="str">
            <v>Aluali</v>
          </cell>
        </row>
        <row r="1549">
          <cell r="B1549">
            <v>10540018</v>
          </cell>
          <cell r="C1549" t="str">
            <v>0018</v>
          </cell>
          <cell r="D1549"/>
          <cell r="E1549" t="str">
            <v>MPG</v>
          </cell>
          <cell r="F1549" t="str">
            <v>Direct</v>
          </cell>
          <cell r="G1549" t="str">
            <v>GOMUKH SAHSI</v>
          </cell>
          <cell r="H1549" t="str">
            <v>RAKESH KUMAR</v>
          </cell>
          <cell r="I1549">
            <v>7631194055</v>
          </cell>
          <cell r="J1549" t="str">
            <v>105401</v>
          </cell>
          <cell r="K1549"/>
          <cell r="L1549">
            <v>45864</v>
          </cell>
          <cell r="N1549" t="str">
            <v>Aluali</v>
          </cell>
        </row>
        <row r="1550">
          <cell r="B1550">
            <v>10540019</v>
          </cell>
          <cell r="C1550" t="str">
            <v>0019</v>
          </cell>
          <cell r="D1550"/>
          <cell r="E1550" t="str">
            <v>MPG</v>
          </cell>
          <cell r="F1550" t="str">
            <v>Direct</v>
          </cell>
          <cell r="G1550" t="str">
            <v>Gomukh chikni</v>
          </cell>
          <cell r="H1550" t="str">
            <v>ABHISHEK KUMAR ANNAND</v>
          </cell>
          <cell r="I1550">
            <v>6200965339</v>
          </cell>
          <cell r="J1550" t="str">
            <v>105401</v>
          </cell>
          <cell r="K1550"/>
          <cell r="L1550">
            <v>45864</v>
          </cell>
          <cell r="N1550" t="str">
            <v>Aluali</v>
          </cell>
        </row>
        <row r="1551">
          <cell r="B1551">
            <v>10540020</v>
          </cell>
          <cell r="C1551" t="str">
            <v>0020</v>
          </cell>
          <cell r="D1551"/>
          <cell r="E1551" t="str">
            <v>MPG</v>
          </cell>
          <cell r="F1551" t="str">
            <v>Direct</v>
          </cell>
          <cell r="G1551" t="str">
            <v>GOMUKH BUDWA</v>
          </cell>
          <cell r="H1551" t="str">
            <v>SHYAMRAJ KUMAR</v>
          </cell>
          <cell r="I1551">
            <v>9264134926</v>
          </cell>
          <cell r="J1551" t="str">
            <v>105401</v>
          </cell>
          <cell r="K1551"/>
          <cell r="L1551">
            <v>45864</v>
          </cell>
          <cell r="N1551" t="str">
            <v>Aluali</v>
          </cell>
        </row>
        <row r="1552">
          <cell r="B1552">
            <v>10540021</v>
          </cell>
          <cell r="C1552" t="str">
            <v>0021</v>
          </cell>
          <cell r="D1552"/>
          <cell r="E1552" t="str">
            <v>MPG</v>
          </cell>
          <cell r="F1552" t="str">
            <v>Direct</v>
          </cell>
          <cell r="G1552" t="str">
            <v>GOMUKH GANGIYA</v>
          </cell>
          <cell r="H1552" t="str">
            <v>VEER BAHADUR YADAV</v>
          </cell>
          <cell r="I1552">
            <v>9122692843</v>
          </cell>
          <cell r="J1552" t="str">
            <v>105401</v>
          </cell>
          <cell r="K1552"/>
          <cell r="L1552">
            <v>45864</v>
          </cell>
          <cell r="N1552" t="str">
            <v>Aluali</v>
          </cell>
        </row>
        <row r="1553">
          <cell r="B1553">
            <v>10540022</v>
          </cell>
          <cell r="C1553" t="str">
            <v>0022</v>
          </cell>
          <cell r="D1553"/>
          <cell r="E1553" t="str">
            <v>MPG</v>
          </cell>
          <cell r="F1553" t="str">
            <v>Indirect</v>
          </cell>
          <cell r="G1553" t="str">
            <v>RAHUL KUMAR VLC</v>
          </cell>
          <cell r="H1553" t="str">
            <v>RAHUL KUMAR YADAV</v>
          </cell>
          <cell r="I1553">
            <v>6209060459</v>
          </cell>
          <cell r="J1553" t="str">
            <v>105401</v>
          </cell>
          <cell r="K1553"/>
          <cell r="L1553">
            <v>45871</v>
          </cell>
          <cell r="N1553" t="str">
            <v>Aluali</v>
          </cell>
        </row>
        <row r="1554">
          <cell r="B1554">
            <v>10540023</v>
          </cell>
          <cell r="C1554" t="str">
            <v>0023</v>
          </cell>
          <cell r="D1554"/>
          <cell r="E1554" t="str">
            <v>MPG</v>
          </cell>
          <cell r="F1554" t="str">
            <v>Indirect</v>
          </cell>
          <cell r="G1554" t="str">
            <v>MILAN KUMAR</v>
          </cell>
          <cell r="H1554" t="str">
            <v>MILAN KUMAR</v>
          </cell>
          <cell r="I1554">
            <v>6203462490</v>
          </cell>
          <cell r="J1554" t="str">
            <v>105401</v>
          </cell>
          <cell r="K1554"/>
          <cell r="L1554">
            <v>45871</v>
          </cell>
          <cell r="N1554" t="str">
            <v>Aluali</v>
          </cell>
        </row>
        <row r="1555">
          <cell r="B1555">
            <v>10540024</v>
          </cell>
          <cell r="C1555" t="str">
            <v>0024</v>
          </cell>
          <cell r="D1555"/>
          <cell r="E1555" t="str">
            <v>MPG</v>
          </cell>
          <cell r="F1555" t="str">
            <v>Indirect</v>
          </cell>
          <cell r="G1555" t="str">
            <v>BARUN YADAV</v>
          </cell>
          <cell r="H1555" t="str">
            <v>BARUN YADAV</v>
          </cell>
          <cell r="I1555">
            <v>9006913954</v>
          </cell>
          <cell r="J1555" t="str">
            <v>105401</v>
          </cell>
          <cell r="K1555"/>
          <cell r="L1555">
            <v>45871</v>
          </cell>
          <cell r="N1555" t="str">
            <v>Aluali</v>
          </cell>
        </row>
        <row r="1556">
          <cell r="B1556">
            <v>10540025</v>
          </cell>
          <cell r="C1556" t="str">
            <v>0025</v>
          </cell>
          <cell r="D1556"/>
          <cell r="E1556" t="str">
            <v>MPG</v>
          </cell>
          <cell r="F1556" t="str">
            <v>Indirect</v>
          </cell>
          <cell r="G1556" t="str">
            <v>Saharbanni vlc</v>
          </cell>
          <cell r="H1556" t="str">
            <v>Sudhir kumar</v>
          </cell>
          <cell r="I1556">
            <v>7050721921</v>
          </cell>
          <cell r="J1556" t="str">
            <v>105401</v>
          </cell>
          <cell r="K1556"/>
          <cell r="L1556">
            <v>45871</v>
          </cell>
          <cell r="N1556" t="str">
            <v>Aluali</v>
          </cell>
        </row>
        <row r="1557">
          <cell r="B1557">
            <v>10540026</v>
          </cell>
          <cell r="C1557" t="str">
            <v>0026</v>
          </cell>
          <cell r="D1557"/>
          <cell r="E1557" t="str">
            <v>MPG</v>
          </cell>
          <cell r="F1557" t="str">
            <v>Direct</v>
          </cell>
          <cell r="G1557" t="str">
            <v>GOMUKH AMBA ICHARUA</v>
          </cell>
          <cell r="H1557" t="str">
            <v>SUNITA DEVI</v>
          </cell>
          <cell r="I1557">
            <v>9570662022</v>
          </cell>
          <cell r="J1557" t="str">
            <v>105401</v>
          </cell>
          <cell r="K1557"/>
          <cell r="L1557">
            <v>45897</v>
          </cell>
          <cell r="N1557" t="str">
            <v>Aluali</v>
          </cell>
        </row>
        <row r="1558">
          <cell r="B1558">
            <v>10540027</v>
          </cell>
          <cell r="C1558" t="str">
            <v>0027</v>
          </cell>
          <cell r="D1558"/>
          <cell r="E1558" t="str">
            <v>MPG</v>
          </cell>
          <cell r="F1558" t="str">
            <v>Indirect</v>
          </cell>
          <cell r="G1558" t="str">
            <v>RAJAURA VLC</v>
          </cell>
          <cell r="H1558" t="str">
            <v>DAYANAND YADAV</v>
          </cell>
          <cell r="I1558">
            <v>8877522355</v>
          </cell>
          <cell r="J1558" t="str">
            <v>105401</v>
          </cell>
          <cell r="K1558"/>
          <cell r="L1558">
            <v>45897</v>
          </cell>
          <cell r="N1558" t="str">
            <v>Aluali</v>
          </cell>
        </row>
        <row r="1559">
          <cell r="B1559">
            <v>10540028</v>
          </cell>
          <cell r="C1559" t="str">
            <v>0028</v>
          </cell>
          <cell r="D1559"/>
          <cell r="E1559" t="str">
            <v>MPG</v>
          </cell>
          <cell r="F1559" t="str">
            <v>Indirect</v>
          </cell>
          <cell r="G1559" t="str">
            <v>MEGHAUNA VLC</v>
          </cell>
          <cell r="H1559" t="str">
            <v>JAILESH BHARATI</v>
          </cell>
          <cell r="I1559">
            <v>8405068508</v>
          </cell>
          <cell r="J1559" t="str">
            <v>105401</v>
          </cell>
          <cell r="K1559"/>
          <cell r="L1559">
            <v>45909</v>
          </cell>
          <cell r="N1559" t="str">
            <v>Aluali</v>
          </cell>
        </row>
        <row r="1560">
          <cell r="B1560">
            <v>10540029</v>
          </cell>
          <cell r="C1560" t="str">
            <v>0029</v>
          </cell>
          <cell r="D1560"/>
          <cell r="E1560" t="str">
            <v>MPG</v>
          </cell>
          <cell r="F1560" t="str">
            <v>Indirect</v>
          </cell>
          <cell r="G1560" t="str">
            <v>HATHWAN VLC</v>
          </cell>
          <cell r="H1560" t="str">
            <v>KAILASH KUMAR</v>
          </cell>
          <cell r="I1560">
            <v>6283193287</v>
          </cell>
          <cell r="J1560" t="str">
            <v>105401</v>
          </cell>
          <cell r="K1560"/>
          <cell r="L1560">
            <v>45909</v>
          </cell>
          <cell r="N1560" t="str">
            <v>Aluali</v>
          </cell>
        </row>
        <row r="1561">
          <cell r="B1561">
            <v>10540030</v>
          </cell>
          <cell r="C1561" t="str">
            <v>0030</v>
          </cell>
          <cell r="D1561"/>
          <cell r="E1561" t="str">
            <v>MPG</v>
          </cell>
          <cell r="F1561" t="str">
            <v>Direct</v>
          </cell>
          <cell r="G1561" t="str">
            <v>GOMUKH KHUTUHA</v>
          </cell>
          <cell r="H1561" t="str">
            <v>DIPAK KUMAR SAH</v>
          </cell>
          <cell r="I1561">
            <v>8877672180</v>
          </cell>
          <cell r="J1561" t="str">
            <v>105401</v>
          </cell>
          <cell r="K1561"/>
          <cell r="L1561">
            <v>45909</v>
          </cell>
          <cell r="N1561" t="str">
            <v>Aluali</v>
          </cell>
        </row>
        <row r="1562">
          <cell r="B1562">
            <v>10540031</v>
          </cell>
          <cell r="C1562" t="str">
            <v>0031</v>
          </cell>
          <cell r="D1562"/>
          <cell r="E1562" t="str">
            <v>MPG</v>
          </cell>
          <cell r="F1562" t="str">
            <v>Direct</v>
          </cell>
          <cell r="G1562" t="str">
            <v>Gomukh Alauli 2</v>
          </cell>
          <cell r="H1562" t="str">
            <v>SUSHIL KUMAR</v>
          </cell>
          <cell r="I1562">
            <v>8102588228</v>
          </cell>
          <cell r="J1562" t="str">
            <v>105401</v>
          </cell>
          <cell r="K1562"/>
          <cell r="L1562">
            <v>45923</v>
          </cell>
          <cell r="N1562" t="str">
            <v>Aluali</v>
          </cell>
        </row>
        <row r="1563">
          <cell r="B1563">
            <v>10540032</v>
          </cell>
          <cell r="C1563" t="str">
            <v>0032</v>
          </cell>
          <cell r="D1563"/>
          <cell r="E1563" t="str">
            <v>MPG</v>
          </cell>
          <cell r="F1563" t="str">
            <v>Direct</v>
          </cell>
          <cell r="G1563" t="str">
            <v>GOMUKH JWALAPUR</v>
          </cell>
          <cell r="H1563" t="str">
            <v>SULEKHA DEVI</v>
          </cell>
          <cell r="I1563">
            <v>6202181669</v>
          </cell>
          <cell r="J1563" t="str">
            <v>105401</v>
          </cell>
          <cell r="K1563"/>
          <cell r="L1563">
            <v>45923</v>
          </cell>
          <cell r="N1563" t="str">
            <v>Aluali</v>
          </cell>
        </row>
        <row r="1564">
          <cell r="B1564">
            <v>10540033</v>
          </cell>
          <cell r="C1564" t="str">
            <v>0033</v>
          </cell>
          <cell r="D1564"/>
          <cell r="E1564" t="str">
            <v>MPG</v>
          </cell>
          <cell r="F1564" t="str">
            <v>Direct</v>
          </cell>
          <cell r="G1564" t="str">
            <v>GOMUKH MOHANPUR</v>
          </cell>
          <cell r="H1564" t="str">
            <v>SUBHASH KUMAR</v>
          </cell>
          <cell r="I1564">
            <v>6201247849</v>
          </cell>
          <cell r="J1564" t="str">
            <v>105401</v>
          </cell>
          <cell r="K1564"/>
          <cell r="L1564">
            <v>45923</v>
          </cell>
          <cell r="N1564" t="str">
            <v>Aluali</v>
          </cell>
        </row>
        <row r="1565">
          <cell r="B1565">
            <v>10540034</v>
          </cell>
          <cell r="C1565" t="str">
            <v>0034</v>
          </cell>
          <cell r="D1565"/>
          <cell r="E1565" t="str">
            <v>MPG</v>
          </cell>
          <cell r="F1565" t="str">
            <v>Direct</v>
          </cell>
          <cell r="G1565" t="str">
            <v>GOMUKH MATHURAPUR</v>
          </cell>
          <cell r="H1565" t="str">
            <v>MONA KUMARI</v>
          </cell>
          <cell r="I1565">
            <v>8298263772</v>
          </cell>
          <cell r="J1565" t="str">
            <v>105401</v>
          </cell>
          <cell r="K1565"/>
          <cell r="L1565">
            <v>45923</v>
          </cell>
          <cell r="N1565" t="str">
            <v>Aluali</v>
          </cell>
        </row>
        <row r="1566">
          <cell r="B1566">
            <v>10540035</v>
          </cell>
          <cell r="C1566" t="str">
            <v>0035</v>
          </cell>
          <cell r="D1566"/>
          <cell r="E1566" t="str">
            <v>MPG</v>
          </cell>
          <cell r="F1566" t="str">
            <v>Indirect</v>
          </cell>
          <cell r="G1566" t="str">
            <v>GOMUKH ID KHAIRIDIH</v>
          </cell>
          <cell r="H1566" t="str">
            <v>UDAY KUMAR SINGH</v>
          </cell>
          <cell r="I1566">
            <v>8407829305</v>
          </cell>
          <cell r="J1566" t="str">
            <v>105401</v>
          </cell>
          <cell r="K1566"/>
          <cell r="L1566">
            <v>45923</v>
          </cell>
          <cell r="N1566" t="str">
            <v>Aluali</v>
          </cell>
        </row>
        <row r="1567">
          <cell r="B1567">
            <v>10540036</v>
          </cell>
          <cell r="C1567" t="str">
            <v>0036</v>
          </cell>
          <cell r="D1567"/>
          <cell r="E1567" t="str">
            <v>MPG</v>
          </cell>
          <cell r="F1567" t="str">
            <v>Indirect</v>
          </cell>
          <cell r="G1567" t="str">
            <v>GOMUKH ID ALAULI</v>
          </cell>
          <cell r="H1567" t="str">
            <v>MANISH KUMAR</v>
          </cell>
          <cell r="I1567">
            <v>7545003283</v>
          </cell>
          <cell r="J1567" t="str">
            <v>105401</v>
          </cell>
          <cell r="K1567"/>
          <cell r="L1567">
            <v>45923</v>
          </cell>
          <cell r="N1567" t="str">
            <v>Aluali</v>
          </cell>
        </row>
        <row r="1568">
          <cell r="B1568">
            <v>10540037</v>
          </cell>
          <cell r="C1568" t="str">
            <v>0037</v>
          </cell>
          <cell r="D1568"/>
          <cell r="E1568" t="str">
            <v>MPG</v>
          </cell>
          <cell r="F1568" t="str">
            <v>Direct</v>
          </cell>
          <cell r="G1568" t="str">
            <v>GOMUKH NAVTOLIYA</v>
          </cell>
          <cell r="H1568" t="str">
            <v>GAURAV KUMAR</v>
          </cell>
          <cell r="I1568">
            <v>7632814355</v>
          </cell>
          <cell r="J1568" t="str">
            <v>105401</v>
          </cell>
          <cell r="K1568"/>
          <cell r="L1568">
            <v>45929</v>
          </cell>
          <cell r="N1568" t="str">
            <v>Aluali</v>
          </cell>
        </row>
        <row r="1569">
          <cell r="B1569">
            <v>10540038</v>
          </cell>
          <cell r="C1569" t="str">
            <v>0038</v>
          </cell>
          <cell r="D1569"/>
          <cell r="E1569" t="str">
            <v>MPG</v>
          </cell>
          <cell r="F1569" t="str">
            <v>Direct</v>
          </cell>
          <cell r="G1569" t="str">
            <v>GOMUKH GOVINDPUR</v>
          </cell>
          <cell r="H1569" t="str">
            <v>LALAN KUMAR YADAV</v>
          </cell>
          <cell r="I1569">
            <v>9135365896</v>
          </cell>
          <cell r="J1569" t="str">
            <v>105401</v>
          </cell>
          <cell r="K1569"/>
          <cell r="L1569">
            <v>45929</v>
          </cell>
          <cell r="N1569" t="str">
            <v>Aluali</v>
          </cell>
        </row>
        <row r="1570">
          <cell r="B1570">
            <v>10540039</v>
          </cell>
          <cell r="C1570" t="str">
            <v>0039</v>
          </cell>
          <cell r="D1570"/>
          <cell r="E1570" t="str">
            <v>MPG</v>
          </cell>
          <cell r="F1570" t="str">
            <v>Indirect</v>
          </cell>
          <cell r="G1570" t="str">
            <v>VLC Dhushmuri Bishanpur</v>
          </cell>
          <cell r="H1570" t="str">
            <v>Arjun Yadav</v>
          </cell>
          <cell r="I1570">
            <v>9534005134</v>
          </cell>
          <cell r="J1570" t="str">
            <v>105401</v>
          </cell>
          <cell r="K1570"/>
          <cell r="L1570">
            <v>46004</v>
          </cell>
          <cell r="N1570" t="str">
            <v>Aluali</v>
          </cell>
        </row>
        <row r="1571">
          <cell r="B1571">
            <v>10540040</v>
          </cell>
          <cell r="C1571" t="str">
            <v>0040</v>
          </cell>
          <cell r="D1571"/>
          <cell r="E1571" t="str">
            <v>MPG</v>
          </cell>
          <cell r="F1571" t="str">
            <v>Indirect</v>
          </cell>
          <cell r="G1571" t="str">
            <v>VLC Govindpur</v>
          </cell>
          <cell r="H1571" t="str">
            <v>Puneet yadav</v>
          </cell>
          <cell r="I1571">
            <v>9801783071</v>
          </cell>
          <cell r="J1571" t="str">
            <v>105401</v>
          </cell>
          <cell r="K1571"/>
          <cell r="L1571">
            <v>46004</v>
          </cell>
          <cell r="N1571" t="str">
            <v>Aluali</v>
          </cell>
        </row>
        <row r="1572">
          <cell r="B1572">
            <v>10540041</v>
          </cell>
          <cell r="C1572" t="str">
            <v>0041</v>
          </cell>
          <cell r="D1572"/>
          <cell r="E1572" t="str">
            <v>MPG</v>
          </cell>
          <cell r="F1572" t="str">
            <v>Direct</v>
          </cell>
          <cell r="G1572" t="str">
            <v>Gomukh Darhi Mor</v>
          </cell>
          <cell r="H1572" t="str">
            <v>Arti kumar</v>
          </cell>
          <cell r="I1572">
            <v>8092178164</v>
          </cell>
          <cell r="J1572" t="str">
            <v>105401</v>
          </cell>
          <cell r="K1572"/>
          <cell r="L1572">
            <v>46025</v>
          </cell>
          <cell r="N1572" t="str">
            <v>Aluali</v>
          </cell>
        </row>
        <row r="1573">
          <cell r="B1573">
            <v>10540042</v>
          </cell>
          <cell r="C1573" t="str">
            <v>0042</v>
          </cell>
          <cell r="D1573"/>
          <cell r="E1573" t="str">
            <v>MPG</v>
          </cell>
          <cell r="F1573" t="str">
            <v>Direct</v>
          </cell>
          <cell r="G1573" t="str">
            <v>Gomukh Balaur</v>
          </cell>
          <cell r="H1573" t="str">
            <v>Indrajeet yadav</v>
          </cell>
          <cell r="I1573">
            <v>8235366514</v>
          </cell>
          <cell r="J1573" t="str">
            <v>105401</v>
          </cell>
          <cell r="K1573"/>
          <cell r="L1573">
            <v>46025</v>
          </cell>
          <cell r="N1573" t="str">
            <v>Aluali</v>
          </cell>
        </row>
        <row r="1574">
          <cell r="B1574">
            <v>10540043</v>
          </cell>
          <cell r="C1574" t="str">
            <v>0043</v>
          </cell>
          <cell r="D1574"/>
          <cell r="E1574" t="str">
            <v>MPG</v>
          </cell>
          <cell r="F1574" t="str">
            <v>Direct</v>
          </cell>
          <cell r="G1574" t="str">
            <v>Gomukh Usri</v>
          </cell>
          <cell r="H1574" t="str">
            <v>Sohan kumar yadav</v>
          </cell>
          <cell r="I1574">
            <v>7033095382</v>
          </cell>
          <cell r="J1574" t="str">
            <v>105401</v>
          </cell>
          <cell r="K1574"/>
          <cell r="L1574">
            <v>46034</v>
          </cell>
          <cell r="N1574" t="str">
            <v>Aluali</v>
          </cell>
        </row>
        <row r="1575">
          <cell r="B1575">
            <v>10540044</v>
          </cell>
          <cell r="C1575" t="str">
            <v>0044</v>
          </cell>
          <cell r="D1575"/>
          <cell r="E1575" t="str">
            <v>MPG</v>
          </cell>
          <cell r="F1575" t="str">
            <v>Direct</v>
          </cell>
          <cell r="G1575" t="str">
            <v>Gomukh Hathwan - 2</v>
          </cell>
          <cell r="H1575" t="str">
            <v>Rohit Kumar</v>
          </cell>
          <cell r="I1575">
            <v>8434857898</v>
          </cell>
          <cell r="J1575" t="str">
            <v>105401</v>
          </cell>
          <cell r="K1575"/>
          <cell r="L1575">
            <v>46034</v>
          </cell>
          <cell r="N1575" t="str">
            <v>Aluali</v>
          </cell>
        </row>
        <row r="1576">
          <cell r="B1576">
            <v>10540045</v>
          </cell>
          <cell r="C1576" t="str">
            <v>0045</v>
          </cell>
          <cell r="D1576"/>
          <cell r="E1576" t="str">
            <v>MPG</v>
          </cell>
          <cell r="F1576" t="str">
            <v>Indirect</v>
          </cell>
          <cell r="G1576" t="str">
            <v>VLC Sunil Khas</v>
          </cell>
          <cell r="H1576" t="str">
            <v>Sunil Kumar</v>
          </cell>
          <cell r="I1576">
            <v>6377099068</v>
          </cell>
          <cell r="J1576" t="str">
            <v>105401</v>
          </cell>
          <cell r="K1576"/>
          <cell r="L1576">
            <v>46066</v>
          </cell>
          <cell r="N1576" t="str">
            <v>Aluali</v>
          </cell>
        </row>
        <row r="1577">
          <cell r="B1577">
            <v>10550001</v>
          </cell>
          <cell r="C1577" t="str">
            <v>0001</v>
          </cell>
          <cell r="D1577"/>
          <cell r="E1577" t="str">
            <v>MPG</v>
          </cell>
          <cell r="F1577" t="str">
            <v>Indirect</v>
          </cell>
          <cell r="G1577" t="str">
            <v>Balahpur-Anil Yadav</v>
          </cell>
          <cell r="H1577" t="str">
            <v>Anil Kumar Yadav</v>
          </cell>
          <cell r="I1577">
            <v>9122417431</v>
          </cell>
          <cell r="J1577" t="str">
            <v>105501</v>
          </cell>
          <cell r="K1577"/>
          <cell r="L1577">
            <v>45861</v>
          </cell>
          <cell r="N1577" t="str">
            <v>Mathani</v>
          </cell>
        </row>
        <row r="1578">
          <cell r="B1578">
            <v>10550002</v>
          </cell>
          <cell r="C1578" t="str">
            <v>0002</v>
          </cell>
          <cell r="D1578"/>
          <cell r="E1578" t="str">
            <v>MPG</v>
          </cell>
          <cell r="F1578" t="str">
            <v>Indirect</v>
          </cell>
          <cell r="G1578" t="str">
            <v>Bagdobh</v>
          </cell>
          <cell r="H1578" t="str">
            <v>Arvind Singh</v>
          </cell>
          <cell r="I1578">
            <v>7462038997</v>
          </cell>
          <cell r="J1578" t="str">
            <v>105501</v>
          </cell>
          <cell r="K1578"/>
          <cell r="L1578">
            <v>45937</v>
          </cell>
          <cell r="N1578" t="str">
            <v>Mathani</v>
          </cell>
        </row>
        <row r="1579">
          <cell r="B1579">
            <v>10550003</v>
          </cell>
          <cell r="C1579" t="str">
            <v>0003</v>
          </cell>
          <cell r="D1579"/>
          <cell r="E1579" t="str">
            <v>MPG</v>
          </cell>
          <cell r="F1579" t="str">
            <v>Direct</v>
          </cell>
          <cell r="G1579" t="str">
            <v>Tulsitol</v>
          </cell>
          <cell r="H1579" t="str">
            <v>Arati Kumari</v>
          </cell>
          <cell r="I1579">
            <v>9155621270</v>
          </cell>
          <cell r="J1579" t="str">
            <v>105501</v>
          </cell>
          <cell r="K1579"/>
          <cell r="L1579">
            <v>45980</v>
          </cell>
          <cell r="N1579" t="str">
            <v>Mathani</v>
          </cell>
        </row>
        <row r="1580">
          <cell r="B1580">
            <v>10550004</v>
          </cell>
          <cell r="C1580" t="str">
            <v>0004</v>
          </cell>
          <cell r="D1580"/>
          <cell r="E1580" t="str">
            <v>MPG</v>
          </cell>
          <cell r="F1580" t="str">
            <v>Direct</v>
          </cell>
          <cell r="G1580" t="str">
            <v>Gokhle Nagar</v>
          </cell>
          <cell r="H1580" t="str">
            <v>Ramranjan Kumar</v>
          </cell>
          <cell r="I1580">
            <v>7462052047</v>
          </cell>
          <cell r="J1580" t="str">
            <v>105501</v>
          </cell>
          <cell r="K1580"/>
          <cell r="L1580">
            <v>46014</v>
          </cell>
          <cell r="N1580" t="str">
            <v>Mathani</v>
          </cell>
        </row>
        <row r="1581">
          <cell r="B1581">
            <v>10550005</v>
          </cell>
          <cell r="C1581" t="str">
            <v>0005</v>
          </cell>
          <cell r="D1581"/>
          <cell r="E1581" t="str">
            <v>MPG</v>
          </cell>
          <cell r="F1581" t="str">
            <v>Direct</v>
          </cell>
          <cell r="G1581" t="str">
            <v>Gomukh Matihani</v>
          </cell>
          <cell r="H1581" t="str">
            <v>Nirmala Devi</v>
          </cell>
          <cell r="I1581">
            <v>6205397930</v>
          </cell>
          <cell r="J1581" t="str">
            <v>105501</v>
          </cell>
          <cell r="K1581"/>
          <cell r="L1581">
            <v>46060</v>
          </cell>
          <cell r="N1581" t="str">
            <v>Mathani</v>
          </cell>
        </row>
        <row r="1582">
          <cell r="B1582">
            <v>10550006</v>
          </cell>
          <cell r="C1582" t="str">
            <v>0006</v>
          </cell>
          <cell r="D1582"/>
          <cell r="E1582" t="str">
            <v>MPG</v>
          </cell>
          <cell r="F1582" t="str">
            <v>Indirect</v>
          </cell>
          <cell r="G1582" t="str">
            <v>Dariyapur</v>
          </cell>
          <cell r="H1582" t="str">
            <v>Dablu Yadav</v>
          </cell>
          <cell r="I1582">
            <v>9570590934</v>
          </cell>
          <cell r="J1582" t="str">
            <v>105501</v>
          </cell>
          <cell r="K1582"/>
          <cell r="L1582">
            <v>46066</v>
          </cell>
          <cell r="N1582" t="str">
            <v>Mathani</v>
          </cell>
        </row>
        <row r="1583">
          <cell r="B1583">
            <v>10290001</v>
          </cell>
          <cell r="C1583" t="str">
            <v>0001</v>
          </cell>
          <cell r="D1583" t="str">
            <v>0006</v>
          </cell>
          <cell r="E1583" t="str">
            <v>RMC</v>
          </cell>
          <cell r="F1583" t="str">
            <v>Direct</v>
          </cell>
          <cell r="G1583" t="str">
            <v>FARDA - 3</v>
          </cell>
          <cell r="H1583" t="str">
            <v>Pankaj Kumar Thakur</v>
          </cell>
          <cell r="I1583">
            <v>9507082150</v>
          </cell>
          <cell r="J1583" t="str">
            <v>102901</v>
          </cell>
          <cell r="K1583" t="str">
            <v>Yes</v>
          </cell>
          <cell r="L1583">
            <v>42979</v>
          </cell>
          <cell r="N1583" t="str">
            <v>Sonvarsha</v>
          </cell>
        </row>
        <row r="1584">
          <cell r="B1584">
            <v>10300001</v>
          </cell>
          <cell r="C1584" t="str">
            <v>0001</v>
          </cell>
          <cell r="D1584" t="str">
            <v>0033</v>
          </cell>
          <cell r="E1584" t="str">
            <v>MPG</v>
          </cell>
          <cell r="F1584" t="str">
            <v>Indirect</v>
          </cell>
          <cell r="G1584" t="str">
            <v>CHANDANPURA</v>
          </cell>
          <cell r="H1584" t="str">
            <v>Dharmraj Kumar</v>
          </cell>
          <cell r="I1584">
            <v>7050165761</v>
          </cell>
          <cell r="J1584" t="str">
            <v>103001</v>
          </cell>
          <cell r="K1584" t="str">
            <v/>
          </cell>
          <cell r="L1584">
            <v>42979</v>
          </cell>
          <cell r="N1584" t="str">
            <v>Sonvarsha</v>
          </cell>
        </row>
        <row r="1585">
          <cell r="B1585">
            <v>10310001</v>
          </cell>
          <cell r="C1585" t="str">
            <v>0001</v>
          </cell>
          <cell r="D1585" t="str">
            <v>0056</v>
          </cell>
          <cell r="E1585" t="str">
            <v>RMC</v>
          </cell>
          <cell r="F1585" t="str">
            <v>Direct</v>
          </cell>
          <cell r="G1585" t="str">
            <v>MANIKPUR</v>
          </cell>
          <cell r="H1585" t="str">
            <v>Ashok Mahto</v>
          </cell>
          <cell r="I1585">
            <v>7488720757</v>
          </cell>
          <cell r="J1585" t="str">
            <v>103101</v>
          </cell>
          <cell r="K1585" t="str">
            <v>Yes</v>
          </cell>
          <cell r="L1585">
            <v>42979</v>
          </cell>
          <cell r="N1585" t="str">
            <v>Sonvarsha</v>
          </cell>
        </row>
        <row r="1586">
          <cell r="B1586">
            <v>10320001</v>
          </cell>
          <cell r="C1586" t="str">
            <v>0001</v>
          </cell>
          <cell r="D1586" t="str">
            <v>0091</v>
          </cell>
          <cell r="E1586" t="str">
            <v>MPG</v>
          </cell>
          <cell r="F1586" t="str">
            <v>Indirect</v>
          </cell>
          <cell r="G1586" t="str">
            <v>JAKARPURA</v>
          </cell>
          <cell r="H1586" t="str">
            <v>Deebakar Singh</v>
          </cell>
          <cell r="I1586">
            <v>8271241914</v>
          </cell>
          <cell r="J1586" t="str">
            <v>103201</v>
          </cell>
          <cell r="K1586" t="str">
            <v/>
          </cell>
          <cell r="L1586">
            <v>42979</v>
          </cell>
          <cell r="N1586" t="str">
            <v>Sonvarsha</v>
          </cell>
        </row>
        <row r="1587">
          <cell r="B1587">
            <v>10330001</v>
          </cell>
          <cell r="C1587" t="str">
            <v>0001</v>
          </cell>
          <cell r="D1587" t="str">
            <v>0115</v>
          </cell>
          <cell r="E1587" t="str">
            <v>RMC</v>
          </cell>
          <cell r="F1587" t="str">
            <v>Indirect</v>
          </cell>
          <cell r="G1587" t="str">
            <v>KISHANPUR</v>
          </cell>
          <cell r="H1587" t="str">
            <v>SHUBHENDU BHASKAR</v>
          </cell>
          <cell r="I1587">
            <v>7366962781</v>
          </cell>
          <cell r="J1587" t="str">
            <v>103301</v>
          </cell>
          <cell r="K1587" t="str">
            <v/>
          </cell>
          <cell r="L1587">
            <v>42979</v>
          </cell>
          <cell r="N1587" t="str">
            <v>Sonvarsha</v>
          </cell>
        </row>
        <row r="1588">
          <cell r="B1588">
            <v>10340001</v>
          </cell>
          <cell r="C1588" t="str">
            <v>0001</v>
          </cell>
          <cell r="D1588" t="str">
            <v>0118</v>
          </cell>
          <cell r="E1588" t="str">
            <v>MPG</v>
          </cell>
          <cell r="F1588" t="str">
            <v>Indirect</v>
          </cell>
          <cell r="G1588" t="str">
            <v>NANDPUR</v>
          </cell>
          <cell r="H1588" t="str">
            <v>Ashok Singh</v>
          </cell>
          <cell r="I1588">
            <v>6287372900</v>
          </cell>
          <cell r="J1588" t="str">
            <v>103401</v>
          </cell>
          <cell r="K1588" t="str">
            <v/>
          </cell>
          <cell r="L1588">
            <v>42979</v>
          </cell>
          <cell r="N1588" t="str">
            <v>Sonvarsha</v>
          </cell>
        </row>
        <row r="1589">
          <cell r="B1589">
            <v>10160001</v>
          </cell>
          <cell r="C1589" t="str">
            <v>0001</v>
          </cell>
          <cell r="D1589" t="str">
            <v>1030</v>
          </cell>
          <cell r="E1589" t="str">
            <v>MPG</v>
          </cell>
          <cell r="F1589" t="str">
            <v>Indirect</v>
          </cell>
          <cell r="G1589" t="str">
            <v>REHUA</v>
          </cell>
          <cell r="H1589" t="str">
            <v xml:space="preserve">Shubodh Singh </v>
          </cell>
          <cell r="I1589">
            <v>7324849044</v>
          </cell>
          <cell r="J1589" t="str">
            <v>101601</v>
          </cell>
          <cell r="K1589" t="str">
            <v/>
          </cell>
          <cell r="L1589">
            <v>42979</v>
          </cell>
          <cell r="N1589" t="str">
            <v>Laldiyara</v>
          </cell>
        </row>
        <row r="1590">
          <cell r="B1590">
            <v>10180001</v>
          </cell>
          <cell r="C1590" t="str">
            <v>0001</v>
          </cell>
          <cell r="D1590" t="str">
            <v>1034</v>
          </cell>
          <cell r="E1590" t="str">
            <v>RMC</v>
          </cell>
          <cell r="F1590" t="str">
            <v>Indirect</v>
          </cell>
          <cell r="G1590" t="str">
            <v>Gaachhi tola</v>
          </cell>
          <cell r="H1590" t="str">
            <v xml:space="preserve">Niraj Kumar </v>
          </cell>
          <cell r="I1590">
            <v>8238681512</v>
          </cell>
          <cell r="J1590" t="str">
            <v>101801</v>
          </cell>
          <cell r="K1590" t="str">
            <v>Yes</v>
          </cell>
          <cell r="L1590">
            <v>43510</v>
          </cell>
          <cell r="N1590" t="str">
            <v>Laldiyara</v>
          </cell>
        </row>
        <row r="1591">
          <cell r="B1591">
            <v>10190001</v>
          </cell>
          <cell r="C1591" t="str">
            <v>0001</v>
          </cell>
          <cell r="D1591" t="str">
            <v>1165</v>
          </cell>
          <cell r="E1591" t="str">
            <v>MPG</v>
          </cell>
          <cell r="F1591" t="str">
            <v>Indirect</v>
          </cell>
          <cell r="G1591" t="str">
            <v>GOMUKH WALIPUR</v>
          </cell>
          <cell r="H1591" t="str">
            <v xml:space="preserve">Saket Bihari </v>
          </cell>
          <cell r="I1591">
            <v>9304548632</v>
          </cell>
          <cell r="J1591" t="str">
            <v>101901</v>
          </cell>
          <cell r="K1591" t="str">
            <v/>
          </cell>
          <cell r="L1591">
            <v>42979</v>
          </cell>
          <cell r="N1591" t="str">
            <v>Laldiyara</v>
          </cell>
        </row>
        <row r="1592">
          <cell r="B1592">
            <v>10510001</v>
          </cell>
          <cell r="C1592" t="str">
            <v>0001</v>
          </cell>
          <cell r="D1592" t="str">
            <v>2428</v>
          </cell>
          <cell r="E1592" t="str">
            <v>MPG</v>
          </cell>
          <cell r="F1592" t="str">
            <v>Direct</v>
          </cell>
          <cell r="G1592" t="str">
            <v>ARAK</v>
          </cell>
          <cell r="H1592" t="str">
            <v>CHANDAN KUMAR SINGH</v>
          </cell>
          <cell r="I1592">
            <v>8578839603</v>
          </cell>
          <cell r="J1592" t="str">
            <v>105101</v>
          </cell>
          <cell r="K1592" t="str">
            <v>Yes</v>
          </cell>
          <cell r="L1592">
            <v>44708</v>
          </cell>
          <cell r="N1592" t="str">
            <v>Dumraon</v>
          </cell>
        </row>
        <row r="1593">
          <cell r="B1593">
            <v>10510002</v>
          </cell>
          <cell r="C1593" t="str">
            <v>0002</v>
          </cell>
          <cell r="D1593" t="str">
            <v>2411</v>
          </cell>
          <cell r="E1593" t="str">
            <v>MPG</v>
          </cell>
          <cell r="F1593" t="str">
            <v>Direct</v>
          </cell>
          <cell r="G1593" t="str">
            <v>Diyaman</v>
          </cell>
          <cell r="H1593" t="str">
            <v>Rishikesh Ray</v>
          </cell>
          <cell r="I1593">
            <v>9939297111</v>
          </cell>
          <cell r="J1593" t="str">
            <v>105101</v>
          </cell>
          <cell r="K1593" t="str">
            <v>Yes</v>
          </cell>
          <cell r="L1593">
            <v>44664</v>
          </cell>
          <cell r="N1593" t="str">
            <v>Dumraon</v>
          </cell>
        </row>
        <row r="1594">
          <cell r="B1594">
            <v>10510003</v>
          </cell>
          <cell r="C1594" t="str">
            <v>0003</v>
          </cell>
          <cell r="D1594" t="str">
            <v>2433</v>
          </cell>
          <cell r="E1594" t="str">
            <v>MPG</v>
          </cell>
          <cell r="F1594" t="str">
            <v>Direct</v>
          </cell>
          <cell r="G1594" t="str">
            <v>KATHAR</v>
          </cell>
          <cell r="H1594" t="str">
            <v>MUNNA SINGH</v>
          </cell>
          <cell r="I1594">
            <v>6200956700</v>
          </cell>
          <cell r="J1594" t="str">
            <v>105101</v>
          </cell>
          <cell r="K1594" t="str">
            <v>Yes</v>
          </cell>
          <cell r="L1594">
            <v>44740</v>
          </cell>
          <cell r="N1594" t="str">
            <v>Dumraon</v>
          </cell>
        </row>
        <row r="1595">
          <cell r="B1595">
            <v>10510004</v>
          </cell>
          <cell r="C1595" t="str">
            <v>0004</v>
          </cell>
          <cell r="D1595" t="str">
            <v>2474</v>
          </cell>
          <cell r="E1595" t="str">
            <v>MPG</v>
          </cell>
          <cell r="F1595" t="str">
            <v>Direct</v>
          </cell>
          <cell r="G1595" t="str">
            <v>HENHA</v>
          </cell>
          <cell r="H1595" t="str">
            <v>Abhishek Kumar Singh</v>
          </cell>
          <cell r="I1595">
            <v>8651032442</v>
          </cell>
          <cell r="J1595" t="str">
            <v>105101</v>
          </cell>
          <cell r="K1595" t="str">
            <v>Yes</v>
          </cell>
          <cell r="L1595">
            <v>45016</v>
          </cell>
          <cell r="N1595" t="str">
            <v>Dumraon</v>
          </cell>
        </row>
        <row r="1596">
          <cell r="B1596">
            <v>10220001</v>
          </cell>
          <cell r="C1596" t="str">
            <v>0001</v>
          </cell>
          <cell r="D1596" t="str">
            <v>4023</v>
          </cell>
          <cell r="E1596" t="str">
            <v>RMC</v>
          </cell>
          <cell r="F1596" t="str">
            <v>Direct</v>
          </cell>
          <cell r="G1596" t="str">
            <v>VISHWASHPUR</v>
          </cell>
          <cell r="H1596" t="str">
            <v>Balkrishna Sharma</v>
          </cell>
          <cell r="I1596">
            <v>8298910551</v>
          </cell>
          <cell r="J1596" t="str">
            <v>102201</v>
          </cell>
          <cell r="K1596" t="str">
            <v>Yes</v>
          </cell>
          <cell r="L1596">
            <v>42979</v>
          </cell>
          <cell r="N1596" t="str">
            <v>Asarganj</v>
          </cell>
        </row>
        <row r="1597">
          <cell r="B1597">
            <v>10230001</v>
          </cell>
          <cell r="C1597" t="str">
            <v>0001</v>
          </cell>
          <cell r="D1597" t="str">
            <v>4036</v>
          </cell>
          <cell r="E1597" t="str">
            <v>MPG</v>
          </cell>
          <cell r="F1597" t="str">
            <v>Direct</v>
          </cell>
          <cell r="G1597" t="str">
            <v>KHARIYA</v>
          </cell>
          <cell r="H1597" t="str">
            <v>Rinku Kumar</v>
          </cell>
          <cell r="I1597">
            <v>8521112911</v>
          </cell>
          <cell r="J1597" t="str">
            <v>102301</v>
          </cell>
          <cell r="K1597" t="str">
            <v>Yes</v>
          </cell>
          <cell r="L1597">
            <v>42979</v>
          </cell>
          <cell r="N1597" t="str">
            <v>Asarganj</v>
          </cell>
        </row>
        <row r="1598">
          <cell r="B1598">
            <v>10240001</v>
          </cell>
          <cell r="C1598" t="str">
            <v>0001</v>
          </cell>
          <cell r="D1598" t="str">
            <v>4039</v>
          </cell>
          <cell r="E1598" t="str">
            <v>RMC</v>
          </cell>
          <cell r="F1598" t="str">
            <v>Direct</v>
          </cell>
          <cell r="G1598" t="str">
            <v>KUMARPUIR KATHARA</v>
          </cell>
          <cell r="H1598" t="str">
            <v>Sudhanshu Singh</v>
          </cell>
          <cell r="I1598">
            <v>9006475690</v>
          </cell>
          <cell r="J1598" t="str">
            <v>102401</v>
          </cell>
          <cell r="K1598" t="str">
            <v>Yes</v>
          </cell>
          <cell r="L1598">
            <v>42979</v>
          </cell>
          <cell r="N1598" t="str">
            <v>Asarganj</v>
          </cell>
        </row>
        <row r="1599">
          <cell r="B1599">
            <v>10250001</v>
          </cell>
          <cell r="C1599" t="str">
            <v>0001</v>
          </cell>
          <cell r="D1599" t="str">
            <v>4080</v>
          </cell>
          <cell r="E1599" t="str">
            <v>RMC</v>
          </cell>
          <cell r="F1599" t="str">
            <v>Direct</v>
          </cell>
          <cell r="G1599" t="str">
            <v>KUDHIYA MPG</v>
          </cell>
          <cell r="H1599" t="str">
            <v>Davesh Kumar</v>
          </cell>
          <cell r="I1599">
            <v>8292786040</v>
          </cell>
          <cell r="J1599" t="str">
            <v>102501</v>
          </cell>
          <cell r="K1599" t="str">
            <v>Yes</v>
          </cell>
          <cell r="L1599">
            <v>42979</v>
          </cell>
          <cell r="N1599" t="str">
            <v>Asarganj</v>
          </cell>
        </row>
        <row r="1600">
          <cell r="B1600">
            <v>10260001</v>
          </cell>
          <cell r="C1600" t="str">
            <v>0001</v>
          </cell>
          <cell r="D1600" t="str">
            <v>4094</v>
          </cell>
          <cell r="E1600" t="str">
            <v>RMC</v>
          </cell>
          <cell r="F1600" t="str">
            <v>Direct</v>
          </cell>
          <cell r="G1600" t="str">
            <v>SHAHJADPUR MPG</v>
          </cell>
          <cell r="H1600" t="str">
            <v>Nirpesh Singh</v>
          </cell>
          <cell r="I1600">
            <v>9934008772</v>
          </cell>
          <cell r="J1600" t="str">
            <v>102601</v>
          </cell>
          <cell r="K1600" t="str">
            <v>Yes</v>
          </cell>
          <cell r="L1600">
            <v>42979</v>
          </cell>
          <cell r="N1600" t="str">
            <v>Asarganj</v>
          </cell>
        </row>
        <row r="1601">
          <cell r="B1601">
            <v>10270001</v>
          </cell>
          <cell r="C1601" t="str">
            <v>0001</v>
          </cell>
          <cell r="D1601" t="str">
            <v>5027</v>
          </cell>
          <cell r="E1601" t="str">
            <v>RMC</v>
          </cell>
          <cell r="F1601" t="str">
            <v>Direct</v>
          </cell>
          <cell r="G1601" t="str">
            <v>KHARAYA</v>
          </cell>
          <cell r="H1601" t="str">
            <v>Uday Singh</v>
          </cell>
          <cell r="I1601">
            <v>9709633563</v>
          </cell>
          <cell r="J1601" t="str">
            <v>102701</v>
          </cell>
          <cell r="K1601" t="str">
            <v>Yes</v>
          </cell>
          <cell r="L1601">
            <v>42979</v>
          </cell>
          <cell r="N1601" t="str">
            <v>Asarganj</v>
          </cell>
        </row>
        <row r="1602">
          <cell r="B1602">
            <v>10460001</v>
          </cell>
          <cell r="C1602" t="str">
            <v>0001</v>
          </cell>
          <cell r="D1602" t="str">
            <v>5034</v>
          </cell>
          <cell r="E1602" t="str">
            <v>RMC</v>
          </cell>
          <cell r="F1602" t="str">
            <v>Direct</v>
          </cell>
          <cell r="G1602" t="str">
            <v>TILAKPUR  2</v>
          </cell>
          <cell r="H1602" t="str">
            <v>Angad Sharma</v>
          </cell>
          <cell r="I1602">
            <v>7004558905</v>
          </cell>
          <cell r="J1602" t="str">
            <v>104601</v>
          </cell>
          <cell r="K1602" t="str">
            <v>Yes</v>
          </cell>
          <cell r="L1602">
            <v>42979</v>
          </cell>
          <cell r="N1602" t="str">
            <v>Asarganj</v>
          </cell>
        </row>
        <row r="1603">
          <cell r="B1603">
            <v>10460002</v>
          </cell>
          <cell r="C1603" t="str">
            <v>0002</v>
          </cell>
          <cell r="D1603" t="str">
            <v>5112</v>
          </cell>
          <cell r="E1603" t="str">
            <v>MPG</v>
          </cell>
          <cell r="F1603" t="str">
            <v>Direct</v>
          </cell>
          <cell r="G1603" t="str">
            <v>TILAKPUR</v>
          </cell>
          <cell r="H1603" t="str">
            <v>RINA MISHRA</v>
          </cell>
          <cell r="I1603">
            <v>9576850155</v>
          </cell>
          <cell r="J1603" t="str">
            <v>104601</v>
          </cell>
          <cell r="K1603" t="str">
            <v>Yes</v>
          </cell>
          <cell r="L1603">
            <v>44988</v>
          </cell>
          <cell r="N1603" t="str">
            <v>Asarganj</v>
          </cell>
        </row>
        <row r="1604">
          <cell r="B1604">
            <v>10460003</v>
          </cell>
          <cell r="C1604" t="str">
            <v>0003</v>
          </cell>
          <cell r="D1604" t="str">
            <v>5114</v>
          </cell>
          <cell r="E1604" t="str">
            <v>MPG</v>
          </cell>
          <cell r="F1604" t="str">
            <v>Direct</v>
          </cell>
          <cell r="G1604" t="str">
            <v>MAHESHI</v>
          </cell>
          <cell r="H1604" t="str">
            <v>AMIT KUMATR</v>
          </cell>
          <cell r="I1604">
            <v>9199791421</v>
          </cell>
          <cell r="J1604" t="str">
            <v>104601</v>
          </cell>
          <cell r="K1604" t="str">
            <v>Yes</v>
          </cell>
          <cell r="L1604">
            <v>44993</v>
          </cell>
          <cell r="N1604" t="str">
            <v>Asarganj</v>
          </cell>
        </row>
        <row r="1605">
          <cell r="B1605">
            <v>10350001</v>
          </cell>
          <cell r="C1605" t="str">
            <v>0001</v>
          </cell>
          <cell r="D1605" t="str">
            <v>5046</v>
          </cell>
          <cell r="E1605" t="str">
            <v>RMC</v>
          </cell>
          <cell r="F1605" t="str">
            <v>Direct</v>
          </cell>
          <cell r="G1605" t="str">
            <v>NOWAGADHI</v>
          </cell>
          <cell r="H1605" t="str">
            <v>Rajeev Ranjan</v>
          </cell>
          <cell r="I1605">
            <v>9955524132</v>
          </cell>
          <cell r="J1605" t="str">
            <v>103501</v>
          </cell>
          <cell r="K1605" t="str">
            <v>Yes</v>
          </cell>
          <cell r="L1605">
            <v>42979</v>
          </cell>
          <cell r="N1605" t="str">
            <v>Sonvarsha</v>
          </cell>
        </row>
        <row r="1606">
          <cell r="B1606">
            <v>10470001</v>
          </cell>
          <cell r="C1606" t="str">
            <v>0001</v>
          </cell>
          <cell r="D1606" t="str">
            <v>7011</v>
          </cell>
          <cell r="E1606" t="str">
            <v>RMC</v>
          </cell>
          <cell r="F1606" t="str">
            <v>Direct</v>
          </cell>
          <cell r="G1606" t="str">
            <v>Bagri</v>
          </cell>
          <cell r="H1606"/>
          <cell r="I1606"/>
          <cell r="J1606" t="str">
            <v>104701</v>
          </cell>
          <cell r="K1606"/>
          <cell r="L1606">
            <v>42979</v>
          </cell>
          <cell r="N1606" t="str">
            <v>Jhandapur</v>
          </cell>
        </row>
        <row r="1607">
          <cell r="B1607">
            <v>10360001</v>
          </cell>
          <cell r="C1607" t="str">
            <v>0001</v>
          </cell>
          <cell r="D1607" t="str">
            <v>7014</v>
          </cell>
          <cell r="E1607" t="str">
            <v>RMC</v>
          </cell>
          <cell r="F1607" t="str">
            <v>Direct</v>
          </cell>
          <cell r="G1607" t="str">
            <v>MAHADAT PUR 2</v>
          </cell>
          <cell r="H1607" t="str">
            <v xml:space="preserve">Sunil KR </v>
          </cell>
          <cell r="I1607">
            <v>9199843014</v>
          </cell>
          <cell r="J1607" t="str">
            <v>103601</v>
          </cell>
          <cell r="K1607" t="str">
            <v>Yes</v>
          </cell>
          <cell r="L1607">
            <v>42979</v>
          </cell>
          <cell r="N1607" t="str">
            <v>Jhandapur</v>
          </cell>
        </row>
        <row r="1608">
          <cell r="B1608">
            <v>10370001</v>
          </cell>
          <cell r="C1608" t="str">
            <v>0001</v>
          </cell>
          <cell r="D1608" t="str">
            <v>7022</v>
          </cell>
          <cell r="E1608" t="str">
            <v>RMC</v>
          </cell>
          <cell r="F1608" t="str">
            <v>Direct</v>
          </cell>
          <cell r="G1608" t="str">
            <v>KATHELA TOLA TELDHI</v>
          </cell>
          <cell r="H1608" t="str">
            <v>Prem Krishan Murari</v>
          </cell>
          <cell r="I1608">
            <v>9709351270</v>
          </cell>
          <cell r="J1608" t="str">
            <v>103701</v>
          </cell>
          <cell r="K1608" t="str">
            <v/>
          </cell>
          <cell r="L1608">
            <v>42979</v>
          </cell>
          <cell r="N1608" t="str">
            <v>Jhandapur</v>
          </cell>
        </row>
        <row r="1609">
          <cell r="B1609">
            <v>10380001</v>
          </cell>
          <cell r="C1609" t="str">
            <v>0001</v>
          </cell>
          <cell r="D1609" t="str">
            <v>7031</v>
          </cell>
          <cell r="E1609" t="str">
            <v>RMC</v>
          </cell>
          <cell r="F1609" t="str">
            <v>Direct</v>
          </cell>
          <cell r="G1609" t="str">
            <v>SONBARSHA 1</v>
          </cell>
          <cell r="H1609" t="str">
            <v xml:space="preserve">Mani Kant Kumar </v>
          </cell>
          <cell r="I1609">
            <v>8298977539</v>
          </cell>
          <cell r="J1609" t="str">
            <v>103801</v>
          </cell>
          <cell r="K1609" t="str">
            <v/>
          </cell>
          <cell r="L1609">
            <v>42979</v>
          </cell>
          <cell r="N1609" t="str">
            <v>Jhandapur</v>
          </cell>
        </row>
        <row r="1610">
          <cell r="B1610">
            <v>10390001</v>
          </cell>
          <cell r="C1610" t="str">
            <v>0001</v>
          </cell>
          <cell r="D1610" t="str">
            <v>7070</v>
          </cell>
          <cell r="E1610" t="str">
            <v>RMC</v>
          </cell>
          <cell r="F1610" t="str">
            <v>Direct</v>
          </cell>
          <cell r="G1610" t="str">
            <v>GANOUL</v>
          </cell>
          <cell r="H1610" t="str">
            <v xml:space="preserve">Ram Pravesh Mishra </v>
          </cell>
          <cell r="I1610">
            <v>9771620411</v>
          </cell>
          <cell r="J1610" t="str">
            <v>103901</v>
          </cell>
          <cell r="K1610" t="str">
            <v/>
          </cell>
          <cell r="L1610">
            <v>44946</v>
          </cell>
          <cell r="N1610" t="str">
            <v>Jhandapur</v>
          </cell>
        </row>
        <row r="1611">
          <cell r="B1611">
            <v>10400001</v>
          </cell>
          <cell r="C1611" t="str">
            <v>0001</v>
          </cell>
          <cell r="D1611" t="str">
            <v>7078</v>
          </cell>
          <cell r="E1611" t="str">
            <v>RMC</v>
          </cell>
          <cell r="F1611" t="str">
            <v>Direct</v>
          </cell>
          <cell r="G1611" t="str">
            <v>Gauripur</v>
          </cell>
          <cell r="H1611" t="str">
            <v xml:space="preserve">Chandan Kumar </v>
          </cell>
          <cell r="I1611">
            <v>9534770675</v>
          </cell>
          <cell r="J1611" t="str">
            <v>104001</v>
          </cell>
          <cell r="K1611" t="str">
            <v/>
          </cell>
          <cell r="L1611">
            <v>42979</v>
          </cell>
          <cell r="N1611" t="str">
            <v>Jhandapur</v>
          </cell>
        </row>
        <row r="1612">
          <cell r="B1612">
            <v>10480001</v>
          </cell>
          <cell r="C1612" t="str">
            <v>0001</v>
          </cell>
          <cell r="D1612" t="str">
            <v>7099</v>
          </cell>
          <cell r="E1612" t="str">
            <v>MPG</v>
          </cell>
          <cell r="F1612" t="str">
            <v>Direct</v>
          </cell>
          <cell r="G1612" t="str">
            <v>Prasharpur Kadwa Gomukh</v>
          </cell>
          <cell r="H1612" t="str">
            <v>Nawal Kishor Ray</v>
          </cell>
          <cell r="I1612">
            <v>9801450809</v>
          </cell>
          <cell r="J1612" t="str">
            <v>104801</v>
          </cell>
          <cell r="K1612" t="str">
            <v>Yes</v>
          </cell>
          <cell r="L1612">
            <v>43756</v>
          </cell>
          <cell r="N1612" t="str">
            <v>Jhandapur</v>
          </cell>
        </row>
        <row r="1613">
          <cell r="B1613">
            <v>10480002</v>
          </cell>
          <cell r="C1613" t="str">
            <v>0002</v>
          </cell>
          <cell r="D1613" t="str">
            <v>7102</v>
          </cell>
          <cell r="E1613" t="str">
            <v>MPG</v>
          </cell>
          <cell r="F1613" t="str">
            <v>Indirect</v>
          </cell>
          <cell r="G1613" t="str">
            <v>Borwa Tola Gomukh</v>
          </cell>
          <cell r="H1613" t="str">
            <v>Pramod Kumar Singh</v>
          </cell>
          <cell r="I1613">
            <v>8084573008</v>
          </cell>
          <cell r="J1613" t="str">
            <v>104801</v>
          </cell>
          <cell r="K1613" t="str">
            <v/>
          </cell>
          <cell r="L1613">
            <v>43756</v>
          </cell>
          <cell r="N1613" t="str">
            <v>Jhandapur</v>
          </cell>
        </row>
        <row r="1614">
          <cell r="B1614">
            <v>10480003</v>
          </cell>
          <cell r="C1614" t="str">
            <v>0003</v>
          </cell>
          <cell r="D1614" t="str">
            <v>6387</v>
          </cell>
          <cell r="E1614" t="str">
            <v>MPG</v>
          </cell>
          <cell r="F1614" t="str">
            <v>Indirect</v>
          </cell>
          <cell r="G1614" t="str">
            <v>Sheela devi</v>
          </cell>
          <cell r="H1614" t="str">
            <v>Sheela devi</v>
          </cell>
          <cell r="I1614"/>
          <cell r="J1614" t="str">
            <v>104801</v>
          </cell>
          <cell r="K1614" t="str">
            <v/>
          </cell>
          <cell r="L1614">
            <v>43932</v>
          </cell>
          <cell r="N1614" t="str">
            <v>Jhandapur</v>
          </cell>
        </row>
        <row r="1615">
          <cell r="B1615">
            <v>10480004</v>
          </cell>
          <cell r="C1615" t="str">
            <v>0004</v>
          </cell>
          <cell r="D1615" t="str">
            <v>7107</v>
          </cell>
          <cell r="E1615" t="str">
            <v>MPG</v>
          </cell>
          <cell r="F1615" t="str">
            <v>Direct</v>
          </cell>
          <cell r="G1615" t="str">
            <v>Gomukh Uchit Marar Tola</v>
          </cell>
          <cell r="H1615" t="str">
            <v>Ashok Mahto</v>
          </cell>
          <cell r="I1615">
            <v>9955377358</v>
          </cell>
          <cell r="J1615" t="str">
            <v>104801</v>
          </cell>
          <cell r="K1615" t="str">
            <v>Yes</v>
          </cell>
          <cell r="L1615">
            <v>44974</v>
          </cell>
          <cell r="N1615" t="str">
            <v>Jhandapur</v>
          </cell>
        </row>
        <row r="1616">
          <cell r="B1616">
            <v>10480005</v>
          </cell>
          <cell r="C1616" t="str">
            <v>0005</v>
          </cell>
          <cell r="D1616" t="str">
            <v>7108</v>
          </cell>
          <cell r="E1616" t="str">
            <v>MPG</v>
          </cell>
          <cell r="F1616" t="str">
            <v>Direct</v>
          </cell>
          <cell r="G1616" t="str">
            <v>Gomukh Vijay lalganj</v>
          </cell>
          <cell r="H1616" t="str">
            <v>Anil Kumar Patel</v>
          </cell>
          <cell r="I1616">
            <v>9006730035</v>
          </cell>
          <cell r="J1616" t="str">
            <v>104801</v>
          </cell>
          <cell r="K1616" t="str">
            <v>Yes</v>
          </cell>
          <cell r="L1616">
            <v>44974</v>
          </cell>
          <cell r="N1616" t="str">
            <v>Jhandapur</v>
          </cell>
        </row>
        <row r="1617">
          <cell r="B1617">
            <v>10480006</v>
          </cell>
          <cell r="C1617" t="str">
            <v>0006</v>
          </cell>
          <cell r="D1617" t="str">
            <v>7109</v>
          </cell>
          <cell r="E1617" t="str">
            <v>MPG</v>
          </cell>
          <cell r="F1617" t="str">
            <v>Direct</v>
          </cell>
          <cell r="G1617" t="str">
            <v>Gomukh Raju mandal Tola</v>
          </cell>
          <cell r="H1617" t="str">
            <v>Arvind Yadav</v>
          </cell>
          <cell r="I1617">
            <v>8051689685</v>
          </cell>
          <cell r="J1617" t="str">
            <v>104801</v>
          </cell>
          <cell r="K1617" t="str">
            <v>Yes</v>
          </cell>
          <cell r="L1617">
            <v>44974</v>
          </cell>
          <cell r="N1617" t="str">
            <v>Jhandapur</v>
          </cell>
        </row>
        <row r="1618">
          <cell r="B1618">
            <v>10480007</v>
          </cell>
          <cell r="C1618" t="str">
            <v>0007</v>
          </cell>
          <cell r="D1618" t="str">
            <v>7110</v>
          </cell>
          <cell r="E1618" t="str">
            <v>MPG</v>
          </cell>
          <cell r="F1618" t="str">
            <v>Direct</v>
          </cell>
          <cell r="G1618" t="str">
            <v>Gomukh Lalganj</v>
          </cell>
          <cell r="H1618" t="str">
            <v>Arti Devi</v>
          </cell>
          <cell r="I1618">
            <v>6005546841</v>
          </cell>
          <cell r="J1618" t="str">
            <v>104801</v>
          </cell>
          <cell r="K1618" t="str">
            <v>Yes</v>
          </cell>
          <cell r="L1618">
            <v>44974</v>
          </cell>
          <cell r="N1618" t="str">
            <v>Jhandapur</v>
          </cell>
        </row>
        <row r="1619">
          <cell r="B1619">
            <v>10480008</v>
          </cell>
          <cell r="C1619" t="str">
            <v>0008</v>
          </cell>
          <cell r="D1619" t="str">
            <v>7111</v>
          </cell>
          <cell r="E1619" t="str">
            <v>MPG</v>
          </cell>
          <cell r="F1619" t="str">
            <v>Direct</v>
          </cell>
          <cell r="G1619" t="str">
            <v>Gomukh Sarswati nagar Nakdahri</v>
          </cell>
          <cell r="H1619" t="str">
            <v>Manoj Kumar</v>
          </cell>
          <cell r="I1619">
            <v>7250496761</v>
          </cell>
          <cell r="J1619" t="str">
            <v>104801</v>
          </cell>
          <cell r="K1619" t="str">
            <v>Yes</v>
          </cell>
          <cell r="L1619">
            <v>44975</v>
          </cell>
          <cell r="N1619" t="str">
            <v>Jhandapur</v>
          </cell>
        </row>
        <row r="1620">
          <cell r="B1620">
            <v>10480009</v>
          </cell>
          <cell r="C1620" t="str">
            <v>0009</v>
          </cell>
          <cell r="D1620" t="str">
            <v>7119</v>
          </cell>
          <cell r="E1620" t="str">
            <v>MPG</v>
          </cell>
          <cell r="F1620" t="str">
            <v>Indirect</v>
          </cell>
          <cell r="G1620" t="str">
            <v>Gomukh Mahdattpur Bablu</v>
          </cell>
          <cell r="H1620" t="str">
            <v>Bablu kumar</v>
          </cell>
          <cell r="I1620">
            <v>8677864635</v>
          </cell>
          <cell r="J1620" t="str">
            <v>104801</v>
          </cell>
          <cell r="K1620" t="str">
            <v/>
          </cell>
          <cell r="L1620">
            <v>45287</v>
          </cell>
          <cell r="N1620" t="str">
            <v>Jhandapur</v>
          </cell>
        </row>
        <row r="1621">
          <cell r="B1621">
            <v>10480010</v>
          </cell>
          <cell r="C1621" t="str">
            <v>0010</v>
          </cell>
          <cell r="D1621" t="str">
            <v>7120</v>
          </cell>
          <cell r="E1621" t="str">
            <v>MPG</v>
          </cell>
          <cell r="F1621" t="str">
            <v>Direct</v>
          </cell>
          <cell r="G1621" t="str">
            <v xml:space="preserve"> Gomukh Saraswati Nagar Asha Devi</v>
          </cell>
          <cell r="H1621" t="str">
            <v>Asha Devi</v>
          </cell>
          <cell r="I1621">
            <v>7250496761</v>
          </cell>
          <cell r="J1621" t="str">
            <v>104801</v>
          </cell>
          <cell r="K1621" t="str">
            <v/>
          </cell>
          <cell r="L1621">
            <v>45288</v>
          </cell>
          <cell r="N1621" t="str">
            <v>Jhandapur</v>
          </cell>
        </row>
        <row r="1622">
          <cell r="B1622">
            <v>10480011</v>
          </cell>
          <cell r="C1622" t="str">
            <v>0011</v>
          </cell>
          <cell r="D1622" t="str">
            <v>7121</v>
          </cell>
          <cell r="E1622" t="str">
            <v>MPG</v>
          </cell>
          <cell r="F1622" t="str">
            <v>Indirect</v>
          </cell>
          <cell r="G1622" t="str">
            <v xml:space="preserve"> Gomukh fulkiya Raja Kumar</v>
          </cell>
          <cell r="H1622" t="str">
            <v>Raja kumar</v>
          </cell>
          <cell r="I1622">
            <v>9973933195</v>
          </cell>
          <cell r="J1622" t="str">
            <v>104801</v>
          </cell>
          <cell r="K1622" t="str">
            <v/>
          </cell>
          <cell r="L1622">
            <v>45288</v>
          </cell>
          <cell r="N1622" t="str">
            <v>Jhandapur</v>
          </cell>
        </row>
        <row r="1623">
          <cell r="B1623">
            <v>10480012</v>
          </cell>
          <cell r="C1623" t="str">
            <v>0012</v>
          </cell>
          <cell r="D1623" t="str">
            <v>7122</v>
          </cell>
          <cell r="E1623" t="str">
            <v>MPG</v>
          </cell>
          <cell r="F1623" t="str">
            <v>Direct</v>
          </cell>
          <cell r="G1623" t="str">
            <v>Gomukh Krishna Dairy Tulsipur</v>
          </cell>
          <cell r="H1623" t="str">
            <v>Nirmal Prasad Kumar</v>
          </cell>
          <cell r="I1623">
            <v>9646011019</v>
          </cell>
          <cell r="J1623" t="str">
            <v>104801</v>
          </cell>
          <cell r="K1623" t="str">
            <v>Yes</v>
          </cell>
          <cell r="L1623">
            <v>45323</v>
          </cell>
          <cell r="N1623" t="str">
            <v>Jhandapur</v>
          </cell>
        </row>
        <row r="1624">
          <cell r="B1624">
            <v>10480013</v>
          </cell>
          <cell r="C1624" t="str">
            <v>0013</v>
          </cell>
          <cell r="D1624" t="str">
            <v>7115</v>
          </cell>
          <cell r="E1624" t="str">
            <v>MPG</v>
          </cell>
          <cell r="F1624" t="str">
            <v>Indirect</v>
          </cell>
          <cell r="G1624" t="str">
            <v>Gomukh Vatgawa1</v>
          </cell>
          <cell r="H1624" t="str">
            <v>Bageshwar Kumar Yadav</v>
          </cell>
          <cell r="I1624">
            <v>9123430259</v>
          </cell>
          <cell r="J1624" t="str">
            <v>104801</v>
          </cell>
          <cell r="K1624" t="str">
            <v/>
          </cell>
          <cell r="L1624">
            <v>45323</v>
          </cell>
          <cell r="N1624" t="str">
            <v>Jhandapur</v>
          </cell>
        </row>
        <row r="1625">
          <cell r="B1625">
            <v>10480014</v>
          </cell>
          <cell r="C1625" t="str">
            <v>0014</v>
          </cell>
          <cell r="D1625" t="str">
            <v>7118</v>
          </cell>
          <cell r="E1625" t="str">
            <v>MPG</v>
          </cell>
          <cell r="F1625" t="str">
            <v>Direct</v>
          </cell>
          <cell r="G1625" t="str">
            <v>Gomukh Amghatta Shreepur</v>
          </cell>
          <cell r="H1625" t="str">
            <v>Arun singh</v>
          </cell>
          <cell r="I1625">
            <v>9525141880</v>
          </cell>
          <cell r="J1625" t="str">
            <v>104801</v>
          </cell>
          <cell r="K1625" t="str">
            <v/>
          </cell>
          <cell r="L1625">
            <v>45323</v>
          </cell>
          <cell r="N1625" t="str">
            <v>Jhandapur</v>
          </cell>
        </row>
        <row r="1626">
          <cell r="B1626">
            <v>10480015</v>
          </cell>
          <cell r="C1626" t="str">
            <v>0015</v>
          </cell>
          <cell r="D1626" t="str">
            <v>7085</v>
          </cell>
          <cell r="E1626" t="str">
            <v>RMC</v>
          </cell>
          <cell r="F1626" t="str">
            <v>Direct</v>
          </cell>
          <cell r="G1626" t="str">
            <v>Pakra</v>
          </cell>
          <cell r="H1626" t="str">
            <v>Mukesh Kumar</v>
          </cell>
          <cell r="I1626">
            <v>9386433143</v>
          </cell>
          <cell r="J1626" t="str">
            <v>104801</v>
          </cell>
          <cell r="K1626"/>
          <cell r="L1626">
            <v>42979</v>
          </cell>
          <cell r="N1626" t="str">
            <v>Jhandapur</v>
          </cell>
        </row>
        <row r="1627">
          <cell r="B1627">
            <v>10480016</v>
          </cell>
          <cell r="C1627" t="str">
            <v>0016</v>
          </cell>
          <cell r="D1627"/>
          <cell r="E1627" t="str">
            <v>MPG</v>
          </cell>
          <cell r="F1627" t="str">
            <v>Direct</v>
          </cell>
          <cell r="G1627" t="str">
            <v>Gomukh Lauwalagam</v>
          </cell>
          <cell r="H1627" t="str">
            <v>Shyam kumar</v>
          </cell>
          <cell r="I1627">
            <v>9534994494</v>
          </cell>
          <cell r="J1627" t="str">
            <v>104801</v>
          </cell>
          <cell r="K1627"/>
          <cell r="L1627">
            <v>45448</v>
          </cell>
          <cell r="N1627" t="str">
            <v>Jhandapur</v>
          </cell>
        </row>
        <row r="1628">
          <cell r="B1628">
            <v>10480017</v>
          </cell>
          <cell r="C1628" t="str">
            <v>0017</v>
          </cell>
          <cell r="D1628"/>
          <cell r="E1628" t="str">
            <v>MPG</v>
          </cell>
          <cell r="F1628" t="str">
            <v>Direct</v>
          </cell>
          <cell r="G1628" t="str">
            <v>Gomukh Kamla Kund</v>
          </cell>
          <cell r="H1628" t="str">
            <v>Kapildev Singh</v>
          </cell>
          <cell r="I1628">
            <v>9973419727</v>
          </cell>
          <cell r="J1628" t="str">
            <v>104801</v>
          </cell>
          <cell r="K1628"/>
          <cell r="L1628">
            <v>45468</v>
          </cell>
          <cell r="N1628" t="str">
            <v>Jhandapur</v>
          </cell>
        </row>
        <row r="1629">
          <cell r="B1629">
            <v>10480018</v>
          </cell>
          <cell r="C1629" t="str">
            <v>0018</v>
          </cell>
          <cell r="D1629"/>
          <cell r="E1629" t="str">
            <v>MPG</v>
          </cell>
          <cell r="F1629" t="str">
            <v>Direct</v>
          </cell>
          <cell r="G1629" t="str">
            <v>Gomukh Kashimpur</v>
          </cell>
          <cell r="H1629" t="str">
            <v>Khagesh Prasad Singh</v>
          </cell>
          <cell r="I1629">
            <v>8002655773</v>
          </cell>
          <cell r="J1629" t="str">
            <v>104801</v>
          </cell>
          <cell r="K1629"/>
          <cell r="L1629">
            <v>45468</v>
          </cell>
          <cell r="N1629" t="str">
            <v>Jhandapur</v>
          </cell>
        </row>
        <row r="1630">
          <cell r="B1630">
            <v>10480019</v>
          </cell>
          <cell r="C1630" t="str">
            <v>0019</v>
          </cell>
          <cell r="D1630"/>
          <cell r="E1630" t="str">
            <v>MPG</v>
          </cell>
          <cell r="F1630" t="str">
            <v>Direct</v>
          </cell>
          <cell r="G1630" t="str">
            <v>Gomukh Dimha</v>
          </cell>
          <cell r="H1630" t="str">
            <v>Nitish Kumar</v>
          </cell>
          <cell r="I1630">
            <v>6200698128</v>
          </cell>
          <cell r="J1630" t="str">
            <v>104801</v>
          </cell>
          <cell r="K1630"/>
          <cell r="L1630">
            <v>45468</v>
          </cell>
          <cell r="N1630" t="str">
            <v>Jhandapur</v>
          </cell>
        </row>
        <row r="1631">
          <cell r="B1631">
            <v>10480020</v>
          </cell>
          <cell r="C1631" t="str">
            <v>0020</v>
          </cell>
          <cell r="D1631"/>
          <cell r="E1631" t="str">
            <v>MPG</v>
          </cell>
          <cell r="F1631" t="str">
            <v>Direct</v>
          </cell>
          <cell r="G1631" t="str">
            <v>Gomukh Gopalpur</v>
          </cell>
          <cell r="H1631" t="str">
            <v>Rajan Kumar</v>
          </cell>
          <cell r="I1631">
            <v>7485880319</v>
          </cell>
          <cell r="J1631" t="str">
            <v>104801</v>
          </cell>
          <cell r="K1631"/>
          <cell r="L1631">
            <v>45468</v>
          </cell>
          <cell r="N1631" t="str">
            <v>Jhandapur</v>
          </cell>
        </row>
        <row r="1632">
          <cell r="B1632">
            <v>10480021</v>
          </cell>
          <cell r="C1632" t="str">
            <v>0021</v>
          </cell>
          <cell r="D1632"/>
          <cell r="E1632" t="str">
            <v>MPG</v>
          </cell>
          <cell r="F1632" t="str">
            <v>Direct</v>
          </cell>
          <cell r="G1632" t="str">
            <v>Gomukh Lawalagam Purbi</v>
          </cell>
          <cell r="H1632" t="str">
            <v>Kishor Kumar Sharma</v>
          </cell>
          <cell r="I1632">
            <v>7761956703</v>
          </cell>
          <cell r="J1632" t="str">
            <v>104801</v>
          </cell>
          <cell r="K1632"/>
          <cell r="L1632">
            <v>45593</v>
          </cell>
          <cell r="N1632" t="str">
            <v>Jhandapur</v>
          </cell>
        </row>
        <row r="1633">
          <cell r="B1633">
            <v>10480022</v>
          </cell>
          <cell r="C1633" t="str">
            <v>0022</v>
          </cell>
          <cell r="D1633"/>
          <cell r="E1633" t="str">
            <v>MPG</v>
          </cell>
          <cell r="F1633" t="str">
            <v>Direct</v>
          </cell>
          <cell r="G1633" t="str">
            <v>Dhobina basa</v>
          </cell>
          <cell r="H1633" t="str">
            <v>Shatrughan Yadav</v>
          </cell>
          <cell r="I1633">
            <v>8051665003</v>
          </cell>
          <cell r="J1633" t="str">
            <v>104801</v>
          </cell>
          <cell r="K1633"/>
          <cell r="L1633">
            <v>45643</v>
          </cell>
          <cell r="N1633" t="str">
            <v>Jhandapur</v>
          </cell>
        </row>
        <row r="1634">
          <cell r="B1634">
            <v>10480023</v>
          </cell>
          <cell r="C1634" t="str">
            <v>0023</v>
          </cell>
          <cell r="D1634"/>
          <cell r="E1634" t="str">
            <v>MPG</v>
          </cell>
          <cell r="F1634" t="str">
            <v>Direct</v>
          </cell>
          <cell r="G1634" t="str">
            <v>Gomukh Shreepur madhay</v>
          </cell>
          <cell r="H1634" t="str">
            <v>Aasha Devi</v>
          </cell>
          <cell r="I1634">
            <v>7250273098</v>
          </cell>
          <cell r="J1634" t="str">
            <v>104801</v>
          </cell>
          <cell r="K1634"/>
          <cell r="L1634">
            <v>45654</v>
          </cell>
          <cell r="N1634" t="str">
            <v>Jhandapur</v>
          </cell>
        </row>
        <row r="1635">
          <cell r="B1635">
            <v>10480024</v>
          </cell>
          <cell r="C1635" t="str">
            <v>0024</v>
          </cell>
          <cell r="D1635"/>
          <cell r="E1635" t="str">
            <v>MPG</v>
          </cell>
          <cell r="F1635" t="str">
            <v>Direct</v>
          </cell>
          <cell r="G1635" t="str">
            <v>Gomukh Kamala Kund Babu Tola</v>
          </cell>
          <cell r="H1635" t="str">
            <v>Badal kumar</v>
          </cell>
          <cell r="I1635">
            <v>9006298409</v>
          </cell>
          <cell r="J1635" t="str">
            <v>104801</v>
          </cell>
          <cell r="K1635"/>
          <cell r="L1635">
            <v>45678</v>
          </cell>
          <cell r="N1635" t="str">
            <v>Jhandapur</v>
          </cell>
        </row>
        <row r="1636">
          <cell r="B1636">
            <v>10480025</v>
          </cell>
          <cell r="C1636" t="str">
            <v>0025</v>
          </cell>
          <cell r="D1636"/>
          <cell r="E1636" t="str">
            <v>MPG</v>
          </cell>
          <cell r="F1636" t="str">
            <v>Direct</v>
          </cell>
          <cell r="G1636" t="str">
            <v>Gomukh Bhagli Basha</v>
          </cell>
          <cell r="H1636" t="str">
            <v>Dhananjay kumar</v>
          </cell>
          <cell r="I1636">
            <v>7544856047</v>
          </cell>
          <cell r="J1636" t="str">
            <v>104801</v>
          </cell>
          <cell r="K1636"/>
          <cell r="L1636">
            <v>45708</v>
          </cell>
          <cell r="N1636" t="str">
            <v>Jhandapur</v>
          </cell>
        </row>
        <row r="1637">
          <cell r="B1637">
            <v>10480026</v>
          </cell>
          <cell r="C1637" t="str">
            <v>0026</v>
          </cell>
          <cell r="D1637"/>
          <cell r="E1637" t="str">
            <v>MPG</v>
          </cell>
          <cell r="F1637" t="str">
            <v>Direct</v>
          </cell>
          <cell r="G1637" t="str">
            <v>Gomukh Gosain Gaon</v>
          </cell>
          <cell r="H1637" t="str">
            <v>Shaurabh kumar</v>
          </cell>
          <cell r="I1637">
            <v>8877205150</v>
          </cell>
          <cell r="J1637" t="str">
            <v>104801</v>
          </cell>
          <cell r="K1637"/>
          <cell r="L1637">
            <v>45708</v>
          </cell>
          <cell r="N1637" t="str">
            <v>Jhandapur</v>
          </cell>
        </row>
        <row r="1638">
          <cell r="B1638">
            <v>10480027</v>
          </cell>
          <cell r="C1638" t="str">
            <v>0027</v>
          </cell>
          <cell r="D1638"/>
          <cell r="E1638" t="str">
            <v>MPG</v>
          </cell>
          <cell r="F1638" t="str">
            <v>Direct</v>
          </cell>
          <cell r="G1638" t="str">
            <v>Gomukh Dharahara</v>
          </cell>
          <cell r="H1638" t="str">
            <v>Manoj Kumar</v>
          </cell>
          <cell r="I1638">
            <v>8521002333</v>
          </cell>
          <cell r="J1638" t="str">
            <v>104801</v>
          </cell>
          <cell r="K1638"/>
          <cell r="L1638">
            <v>45708</v>
          </cell>
          <cell r="N1638" t="str">
            <v>Jhandapur</v>
          </cell>
        </row>
        <row r="1639">
          <cell r="B1639">
            <v>10480028</v>
          </cell>
          <cell r="C1639" t="str">
            <v>0028</v>
          </cell>
          <cell r="D1639"/>
          <cell r="E1639" t="str">
            <v>MPG</v>
          </cell>
          <cell r="F1639" t="str">
            <v>Indirect</v>
          </cell>
          <cell r="G1639" t="str">
            <v>Gomukh Dhoriya Dadpur -VLC</v>
          </cell>
          <cell r="H1639" t="str">
            <v>Raja Kumar</v>
          </cell>
          <cell r="I1639">
            <v>9798633044</v>
          </cell>
          <cell r="J1639" t="str">
            <v>104801</v>
          </cell>
          <cell r="K1639"/>
          <cell r="L1639">
            <v>45708</v>
          </cell>
          <cell r="N1639" t="str">
            <v>Jhandapur</v>
          </cell>
        </row>
        <row r="1640">
          <cell r="B1640">
            <v>10480029</v>
          </cell>
          <cell r="C1640" t="str">
            <v>0029</v>
          </cell>
          <cell r="D1640"/>
          <cell r="E1640" t="str">
            <v>MPG</v>
          </cell>
          <cell r="F1640" t="str">
            <v>Indirect</v>
          </cell>
          <cell r="G1640" t="str">
            <v>Gomukh Tulsipur jamunia VLC</v>
          </cell>
          <cell r="H1640" t="str">
            <v>Nikhil Anand</v>
          </cell>
          <cell r="I1640">
            <v>8298579882</v>
          </cell>
          <cell r="J1640" t="str">
            <v>104801</v>
          </cell>
          <cell r="K1640"/>
          <cell r="L1640">
            <v>45734</v>
          </cell>
          <cell r="N1640" t="str">
            <v>Jhandapur</v>
          </cell>
        </row>
        <row r="1641">
          <cell r="B1641">
            <v>10480030</v>
          </cell>
          <cell r="C1641" t="str">
            <v>0030</v>
          </cell>
          <cell r="D1641"/>
          <cell r="E1641" t="str">
            <v>MPG</v>
          </cell>
          <cell r="F1641" t="str">
            <v>Direct</v>
          </cell>
          <cell r="G1641" t="str">
            <v>Gomukh Nabtolia Latra</v>
          </cell>
          <cell r="H1641" t="str">
            <v>ABHISHEK KUMAR</v>
          </cell>
          <cell r="I1641">
            <v>7645084783</v>
          </cell>
          <cell r="J1641" t="str">
            <v>104801</v>
          </cell>
          <cell r="K1641"/>
          <cell r="L1641">
            <v>45741</v>
          </cell>
          <cell r="N1641" t="str">
            <v>Jhandapur</v>
          </cell>
        </row>
        <row r="1642">
          <cell r="B1642">
            <v>10480031</v>
          </cell>
          <cell r="C1642" t="str">
            <v>0031</v>
          </cell>
          <cell r="D1642"/>
          <cell r="E1642" t="str">
            <v>MPG</v>
          </cell>
          <cell r="F1642" t="str">
            <v>Direct</v>
          </cell>
          <cell r="G1642" t="str">
            <v xml:space="preserve">Gomukh Borba Naya tola </v>
          </cell>
          <cell r="H1642" t="str">
            <v>BINOD MANDAL</v>
          </cell>
          <cell r="I1642">
            <v>9801094484</v>
          </cell>
          <cell r="J1642" t="str">
            <v>104801</v>
          </cell>
          <cell r="K1642"/>
          <cell r="L1642">
            <v>45741</v>
          </cell>
          <cell r="N1642" t="str">
            <v>Jhandapur</v>
          </cell>
        </row>
        <row r="1643">
          <cell r="B1643">
            <v>10480032</v>
          </cell>
          <cell r="C1643" t="str">
            <v>0032</v>
          </cell>
          <cell r="D1643"/>
          <cell r="E1643" t="str">
            <v>MPG</v>
          </cell>
          <cell r="F1643" t="str">
            <v>Direct</v>
          </cell>
          <cell r="G1643" t="str">
            <v>Gomukh Nawada</v>
          </cell>
          <cell r="H1643" t="str">
            <v>Pankaj kumar Bharti</v>
          </cell>
          <cell r="I1643">
            <v>9934452043</v>
          </cell>
          <cell r="J1643" t="str">
            <v>104801</v>
          </cell>
          <cell r="K1643"/>
          <cell r="L1643">
            <v>45741</v>
          </cell>
          <cell r="N1643" t="str">
            <v>Jhandapur</v>
          </cell>
        </row>
        <row r="1644">
          <cell r="B1644">
            <v>10480033</v>
          </cell>
          <cell r="C1644" t="str">
            <v>0033</v>
          </cell>
          <cell r="D1644"/>
          <cell r="E1644" t="str">
            <v>MPG</v>
          </cell>
          <cell r="F1644" t="str">
            <v>Indirect</v>
          </cell>
          <cell r="G1644" t="str">
            <v>Gomukh Mohanpur - VLC</v>
          </cell>
          <cell r="H1644" t="str">
            <v xml:space="preserve">Rupesh kumar </v>
          </cell>
          <cell r="I1644">
            <v>8051342821</v>
          </cell>
          <cell r="J1644" t="str">
            <v>104801</v>
          </cell>
          <cell r="K1644"/>
          <cell r="L1644">
            <v>45741</v>
          </cell>
          <cell r="N1644" t="str">
            <v>Jhandapur</v>
          </cell>
        </row>
        <row r="1645">
          <cell r="B1645">
            <v>10480034</v>
          </cell>
          <cell r="C1645" t="str">
            <v>0034</v>
          </cell>
          <cell r="D1645"/>
          <cell r="E1645" t="str">
            <v>MPG</v>
          </cell>
          <cell r="F1645" t="str">
            <v>Indirect</v>
          </cell>
          <cell r="G1645" t="str">
            <v>Gomukh Abhirampur VLC</v>
          </cell>
          <cell r="H1645" t="str">
            <v>Pramod Kumar Yadav</v>
          </cell>
          <cell r="I1645">
            <v>7545933921</v>
          </cell>
          <cell r="J1645" t="str">
            <v>104801</v>
          </cell>
          <cell r="K1645"/>
          <cell r="L1645">
            <v>45864</v>
          </cell>
          <cell r="N1645" t="str">
            <v>Jhandapur</v>
          </cell>
        </row>
        <row r="1646">
          <cell r="B1646">
            <v>10480035</v>
          </cell>
          <cell r="C1646" t="str">
            <v>0035</v>
          </cell>
          <cell r="D1646"/>
          <cell r="E1646" t="str">
            <v>MPG</v>
          </cell>
          <cell r="F1646" t="str">
            <v>Indirect</v>
          </cell>
          <cell r="G1646" t="str">
            <v>Gomukh Borba Mahil  VLC</v>
          </cell>
          <cell r="H1646" t="str">
            <v>Mahil Rai</v>
          </cell>
          <cell r="I1646">
            <v>9570646091</v>
          </cell>
          <cell r="J1646" t="str">
            <v>104801</v>
          </cell>
          <cell r="K1646"/>
          <cell r="L1646">
            <v>45864</v>
          </cell>
          <cell r="N1646" t="str">
            <v>Jhandapur</v>
          </cell>
        </row>
        <row r="1647">
          <cell r="B1647">
            <v>10480036</v>
          </cell>
          <cell r="C1647" t="str">
            <v>0036</v>
          </cell>
          <cell r="D1647"/>
          <cell r="E1647" t="str">
            <v>MPG</v>
          </cell>
          <cell r="F1647" t="str">
            <v>Indirect</v>
          </cell>
          <cell r="G1647" t="str">
            <v>Gomukh Pachgachhia vlc</v>
          </cell>
          <cell r="H1647" t="str">
            <v>Anil kumar singh</v>
          </cell>
          <cell r="I1647">
            <v>9931098422</v>
          </cell>
          <cell r="J1647" t="str">
            <v>104801</v>
          </cell>
          <cell r="K1647"/>
          <cell r="L1647">
            <v>46018</v>
          </cell>
          <cell r="N1647" t="str">
            <v>Jhandapur</v>
          </cell>
        </row>
        <row r="1648">
          <cell r="B1648">
            <v>10560001</v>
          </cell>
          <cell r="C1648" t="str">
            <v>0001</v>
          </cell>
          <cell r="D1648"/>
          <cell r="E1648" t="str">
            <v>RMC</v>
          </cell>
          <cell r="F1648" t="str">
            <v>Indirect</v>
          </cell>
          <cell r="G1648" t="str">
            <v>Gomukh Chautham(Mithun kumar VLC)</v>
          </cell>
          <cell r="H1648" t="str">
            <v>Mithun kumar</v>
          </cell>
          <cell r="I1648">
            <v>6204674632</v>
          </cell>
          <cell r="J1648" t="str">
            <v>105201</v>
          </cell>
          <cell r="K1648"/>
          <cell r="L1648">
            <v>45772</v>
          </cell>
          <cell r="N1648" t="str">
            <v>Chautham</v>
          </cell>
        </row>
        <row r="1649">
          <cell r="B1649">
            <v>10560002</v>
          </cell>
          <cell r="C1649" t="str">
            <v>0002</v>
          </cell>
          <cell r="D1649"/>
          <cell r="E1649" t="str">
            <v>MPG</v>
          </cell>
          <cell r="F1649" t="str">
            <v>Indirect</v>
          </cell>
          <cell r="G1649" t="str">
            <v>Gomukh Pansalwa</v>
          </cell>
          <cell r="H1649" t="str">
            <v>Rani kumari</v>
          </cell>
          <cell r="I1649">
            <v>7033190410</v>
          </cell>
          <cell r="J1649" t="str">
            <v>105601</v>
          </cell>
          <cell r="K1649"/>
          <cell r="L1649">
            <v>45869</v>
          </cell>
          <cell r="N1649" t="str">
            <v>Chautham</v>
          </cell>
        </row>
        <row r="1650">
          <cell r="B1650">
            <v>10560003</v>
          </cell>
          <cell r="C1650" t="str">
            <v>0003</v>
          </cell>
          <cell r="D1650"/>
          <cell r="E1650" t="str">
            <v>MPG</v>
          </cell>
          <cell r="F1650" t="str">
            <v>Indirect</v>
          </cell>
          <cell r="G1650" t="str">
            <v>Gomukh kanauli</v>
          </cell>
          <cell r="H1650" t="str">
            <v>Chameli kumari</v>
          </cell>
          <cell r="I1650">
            <v>9508160545</v>
          </cell>
          <cell r="J1650" t="str">
            <v>105601</v>
          </cell>
          <cell r="K1650"/>
          <cell r="L1650">
            <v>45869</v>
          </cell>
          <cell r="N1650" t="str">
            <v>Chautham</v>
          </cell>
        </row>
        <row r="1651">
          <cell r="B1651">
            <v>10560004</v>
          </cell>
          <cell r="C1651" t="str">
            <v>0004</v>
          </cell>
          <cell r="D1651"/>
          <cell r="E1651" t="str">
            <v>MPG</v>
          </cell>
          <cell r="F1651" t="str">
            <v>Direct</v>
          </cell>
          <cell r="G1651" t="str">
            <v>Gomukh Nawada</v>
          </cell>
          <cell r="H1651" t="str">
            <v>Rahul Kumar</v>
          </cell>
          <cell r="I1651">
            <v>7549734115</v>
          </cell>
          <cell r="J1651" t="str">
            <v>105601</v>
          </cell>
          <cell r="K1651"/>
          <cell r="L1651">
            <v>45890</v>
          </cell>
          <cell r="N1651" t="str">
            <v>Chautham</v>
          </cell>
        </row>
        <row r="1652">
          <cell r="B1652">
            <v>10560005</v>
          </cell>
          <cell r="C1652" t="str">
            <v>0005</v>
          </cell>
          <cell r="D1652"/>
          <cell r="E1652" t="str">
            <v>MPG</v>
          </cell>
          <cell r="F1652" t="str">
            <v>Direct</v>
          </cell>
          <cell r="G1652" t="str">
            <v>Gomukh yadav tol kanauli</v>
          </cell>
          <cell r="H1652" t="str">
            <v>Manichan kumar</v>
          </cell>
          <cell r="I1652">
            <v>8434138908</v>
          </cell>
          <cell r="J1652" t="str">
            <v>105601</v>
          </cell>
          <cell r="K1652"/>
          <cell r="L1652">
            <v>45890</v>
          </cell>
          <cell r="N1652" t="str">
            <v>Chautham</v>
          </cell>
        </row>
        <row r="1653">
          <cell r="B1653">
            <v>10560006</v>
          </cell>
          <cell r="C1653" t="str">
            <v>0006</v>
          </cell>
          <cell r="D1653"/>
          <cell r="E1653" t="str">
            <v>MPG</v>
          </cell>
          <cell r="F1653" t="str">
            <v>Direct</v>
          </cell>
          <cell r="G1653" t="str">
            <v>Gomukh Baltara</v>
          </cell>
          <cell r="H1653" t="str">
            <v>Raj kumar</v>
          </cell>
          <cell r="I1653">
            <v>6200669668</v>
          </cell>
          <cell r="J1653" t="str">
            <v>105601</v>
          </cell>
          <cell r="K1653"/>
          <cell r="L1653">
            <v>45890</v>
          </cell>
          <cell r="N1653" t="str">
            <v>Chautham</v>
          </cell>
        </row>
        <row r="1654">
          <cell r="B1654">
            <v>10560007</v>
          </cell>
          <cell r="C1654" t="str">
            <v>0007</v>
          </cell>
          <cell r="D1654"/>
          <cell r="E1654" t="str">
            <v>MPG</v>
          </cell>
          <cell r="F1654" t="str">
            <v>Direct</v>
          </cell>
          <cell r="G1654" t="str">
            <v>Gomukh Hardia</v>
          </cell>
          <cell r="H1654" t="str">
            <v>Prince kumar</v>
          </cell>
          <cell r="I1654">
            <v>8833125781</v>
          </cell>
          <cell r="J1654" t="str">
            <v>105601</v>
          </cell>
          <cell r="K1654"/>
          <cell r="L1654">
            <v>45890</v>
          </cell>
          <cell r="N1654" t="str">
            <v>Chautham</v>
          </cell>
        </row>
        <row r="1655">
          <cell r="B1655">
            <v>10560008</v>
          </cell>
          <cell r="C1655" t="str">
            <v>0008</v>
          </cell>
          <cell r="D1655"/>
          <cell r="E1655" t="str">
            <v>MPG</v>
          </cell>
          <cell r="F1655" t="str">
            <v>Direct</v>
          </cell>
          <cell r="G1655" t="str">
            <v>Gomukh Bramha</v>
          </cell>
          <cell r="H1655" t="str">
            <v>Ramakant yadav</v>
          </cell>
          <cell r="I1655">
            <v>8651737218</v>
          </cell>
          <cell r="J1655" t="str">
            <v>105601</v>
          </cell>
          <cell r="K1655"/>
          <cell r="L1655">
            <v>45901</v>
          </cell>
          <cell r="N1655" t="str">
            <v>Chautham</v>
          </cell>
        </row>
        <row r="1656">
          <cell r="B1656">
            <v>10560009</v>
          </cell>
          <cell r="C1656" t="str">
            <v>0009</v>
          </cell>
          <cell r="D1656"/>
          <cell r="E1656" t="str">
            <v>MPG</v>
          </cell>
          <cell r="F1656" t="str">
            <v>Indirect</v>
          </cell>
          <cell r="G1656" t="str">
            <v>Gomukh Bhelauri</v>
          </cell>
          <cell r="H1656" t="str">
            <v>Sunil Kumar</v>
          </cell>
          <cell r="I1656">
            <v>6205997332</v>
          </cell>
          <cell r="J1656" t="str">
            <v>105601</v>
          </cell>
          <cell r="K1656"/>
          <cell r="L1656">
            <v>45901</v>
          </cell>
          <cell r="N1656" t="str">
            <v>Chautham</v>
          </cell>
        </row>
        <row r="1657">
          <cell r="B1657">
            <v>10560010</v>
          </cell>
          <cell r="C1657" t="str">
            <v>0010</v>
          </cell>
          <cell r="D1657"/>
          <cell r="E1657" t="str">
            <v>MPG</v>
          </cell>
          <cell r="F1657" t="str">
            <v>Indirect</v>
          </cell>
          <cell r="G1657" t="str">
            <v>Gomukh Baltara Mithlesh</v>
          </cell>
          <cell r="H1657" t="str">
            <v>Mithlesh kumar</v>
          </cell>
          <cell r="I1657">
            <v>9570351706</v>
          </cell>
          <cell r="J1657" t="str">
            <v>105601</v>
          </cell>
          <cell r="K1657"/>
          <cell r="L1657">
            <v>45901</v>
          </cell>
          <cell r="N1657" t="str">
            <v>Chautham</v>
          </cell>
        </row>
        <row r="1658">
          <cell r="B1658">
            <v>10560011</v>
          </cell>
          <cell r="C1658" t="str">
            <v>0011</v>
          </cell>
          <cell r="D1658"/>
          <cell r="E1658" t="str">
            <v>MPG</v>
          </cell>
          <cell r="F1658" t="str">
            <v>Direct</v>
          </cell>
          <cell r="G1658" t="str">
            <v>Gomukh Ashatol paharpur</v>
          </cell>
          <cell r="H1658" t="str">
            <v>Prashant Kumar</v>
          </cell>
          <cell r="I1658">
            <v>7762805500</v>
          </cell>
          <cell r="J1658" t="str">
            <v>105601</v>
          </cell>
          <cell r="K1658"/>
          <cell r="L1658">
            <v>45961</v>
          </cell>
          <cell r="N1658" t="str">
            <v>Chautham</v>
          </cell>
        </row>
        <row r="1659">
          <cell r="B1659">
            <v>10560012</v>
          </cell>
          <cell r="C1659" t="str">
            <v>0012</v>
          </cell>
          <cell r="D1659"/>
          <cell r="E1659" t="str">
            <v>MPG</v>
          </cell>
          <cell r="F1659" t="str">
            <v>Direct</v>
          </cell>
          <cell r="G1659" t="str">
            <v>Gomukh Kharawa</v>
          </cell>
          <cell r="H1659" t="str">
            <v>Nandkishor sharma</v>
          </cell>
          <cell r="I1659">
            <v>6200848483</v>
          </cell>
          <cell r="J1659" t="str">
            <v>105601</v>
          </cell>
          <cell r="K1659"/>
          <cell r="L1659">
            <v>45961</v>
          </cell>
          <cell r="N1659" t="str">
            <v>Chautham</v>
          </cell>
        </row>
        <row r="1660">
          <cell r="B1660">
            <v>10560013</v>
          </cell>
          <cell r="C1660" t="str">
            <v>0013</v>
          </cell>
          <cell r="D1660"/>
          <cell r="E1660" t="str">
            <v>MPG</v>
          </cell>
          <cell r="F1660" t="str">
            <v>Indirect</v>
          </cell>
          <cell r="G1660" t="str">
            <v>Gomukh Fulbaria</v>
          </cell>
          <cell r="H1660" t="str">
            <v>Daulat kumari</v>
          </cell>
          <cell r="I1660">
            <v>7488243667</v>
          </cell>
          <cell r="J1660" t="str">
            <v>105601</v>
          </cell>
          <cell r="K1660"/>
          <cell r="L1660">
            <v>45961</v>
          </cell>
          <cell r="N1660" t="str">
            <v>Chautham</v>
          </cell>
        </row>
        <row r="1661">
          <cell r="B1661">
            <v>10560014</v>
          </cell>
          <cell r="C1661" t="str">
            <v>0014</v>
          </cell>
          <cell r="D1661"/>
          <cell r="E1661" t="str">
            <v>MPG</v>
          </cell>
          <cell r="F1661" t="str">
            <v>Direct</v>
          </cell>
          <cell r="G1661" t="str">
            <v>Gomukh Thatha Basa</v>
          </cell>
          <cell r="H1661" t="str">
            <v>Mithun kumar</v>
          </cell>
          <cell r="I1661">
            <v>9534886124</v>
          </cell>
          <cell r="J1661" t="str">
            <v>105601</v>
          </cell>
          <cell r="K1661"/>
          <cell r="L1661">
            <v>45961</v>
          </cell>
          <cell r="N1661" t="str">
            <v>Chautham</v>
          </cell>
        </row>
        <row r="1662">
          <cell r="B1662">
            <v>10560015</v>
          </cell>
          <cell r="C1662" t="str">
            <v>0015</v>
          </cell>
          <cell r="D1662"/>
          <cell r="E1662" t="str">
            <v>MPG</v>
          </cell>
          <cell r="F1662" t="str">
            <v>Indirect</v>
          </cell>
          <cell r="G1662" t="str">
            <v>Gomukh Patel Nagar</v>
          </cell>
          <cell r="H1662" t="str">
            <v>Vishal kumar</v>
          </cell>
          <cell r="I1662">
            <v>9262858545</v>
          </cell>
          <cell r="J1662" t="str">
            <v>105601</v>
          </cell>
          <cell r="K1662"/>
          <cell r="L1662">
            <v>45961</v>
          </cell>
          <cell r="N1662" t="str">
            <v>Chautham</v>
          </cell>
        </row>
        <row r="1663">
          <cell r="B1663">
            <v>10560016</v>
          </cell>
          <cell r="C1663" t="str">
            <v>0016</v>
          </cell>
          <cell r="D1663"/>
          <cell r="E1663" t="str">
            <v>MPG</v>
          </cell>
          <cell r="F1663" t="str">
            <v>Direct</v>
          </cell>
          <cell r="G1663" t="str">
            <v>Gomukh Pachout</v>
          </cell>
          <cell r="H1663" t="str">
            <v>shanjay yadav</v>
          </cell>
          <cell r="I1663">
            <v>7061506647</v>
          </cell>
          <cell r="J1663" t="str">
            <v>105601</v>
          </cell>
          <cell r="K1663"/>
          <cell r="L1663">
            <v>45961</v>
          </cell>
          <cell r="N1663" t="str">
            <v>Chautham</v>
          </cell>
        </row>
        <row r="1664">
          <cell r="B1664">
            <v>10560017</v>
          </cell>
          <cell r="C1664" t="str">
            <v>0017</v>
          </cell>
          <cell r="D1664"/>
          <cell r="E1664" t="str">
            <v>MPG</v>
          </cell>
          <cell r="F1664" t="str">
            <v>Direct</v>
          </cell>
          <cell r="G1664" t="str">
            <v>Gomukh Telihar</v>
          </cell>
          <cell r="H1664" t="str">
            <v>chhatish kumar</v>
          </cell>
          <cell r="I1664">
            <v>9334247551</v>
          </cell>
          <cell r="J1664" t="str">
            <v>105601</v>
          </cell>
          <cell r="K1664"/>
          <cell r="L1664">
            <v>45961</v>
          </cell>
          <cell r="N1664" t="str">
            <v>Chautham</v>
          </cell>
        </row>
        <row r="1665">
          <cell r="B1665">
            <v>10560018</v>
          </cell>
          <cell r="C1665" t="str">
            <v>0018</v>
          </cell>
          <cell r="D1665"/>
          <cell r="E1665" t="str">
            <v>MPG</v>
          </cell>
          <cell r="F1665" t="str">
            <v>Direct</v>
          </cell>
          <cell r="G1665" t="str">
            <v>Gomukh telihar uttari</v>
          </cell>
          <cell r="H1665" t="str">
            <v>Bikash kumar</v>
          </cell>
          <cell r="I1665">
            <v>7544415590</v>
          </cell>
          <cell r="J1665" t="str">
            <v>105601</v>
          </cell>
          <cell r="K1665"/>
          <cell r="L1665">
            <v>45961</v>
          </cell>
          <cell r="N1665" t="str">
            <v>Chautham</v>
          </cell>
        </row>
        <row r="1666">
          <cell r="B1666">
            <v>10560019</v>
          </cell>
          <cell r="C1666" t="str">
            <v>0019</v>
          </cell>
          <cell r="D1666"/>
          <cell r="E1666" t="str">
            <v>MPG</v>
          </cell>
          <cell r="F1666" t="str">
            <v>Direct</v>
          </cell>
          <cell r="G1666" t="str">
            <v>Gomukh pansalba ward no 05</v>
          </cell>
          <cell r="H1666" t="str">
            <v>Nitish kumar</v>
          </cell>
          <cell r="I1666">
            <v>6207092450</v>
          </cell>
          <cell r="J1666" t="str">
            <v>105601</v>
          </cell>
          <cell r="K1666"/>
          <cell r="L1666">
            <v>45961</v>
          </cell>
          <cell r="N1666" t="str">
            <v>Chautham</v>
          </cell>
        </row>
        <row r="1667">
          <cell r="B1667">
            <v>10560020</v>
          </cell>
          <cell r="C1667" t="str">
            <v>0020</v>
          </cell>
          <cell r="D1667"/>
          <cell r="E1667" t="str">
            <v>MPG</v>
          </cell>
          <cell r="F1667" t="str">
            <v>Indirect</v>
          </cell>
          <cell r="G1667" t="str">
            <v>Gomukh vlc wad 11 ( pansalwa)</v>
          </cell>
          <cell r="H1667" t="str">
            <v>Ajit kumar</v>
          </cell>
          <cell r="I1667">
            <v>7362089256</v>
          </cell>
          <cell r="J1667" t="str">
            <v>105601</v>
          </cell>
          <cell r="K1667"/>
          <cell r="L1667">
            <v>45961</v>
          </cell>
          <cell r="N1667" t="str">
            <v>Chautham</v>
          </cell>
        </row>
        <row r="1668">
          <cell r="B1668">
            <v>10560021</v>
          </cell>
          <cell r="C1668" t="str">
            <v>0021</v>
          </cell>
          <cell r="D1668"/>
          <cell r="E1668" t="str">
            <v>MPG</v>
          </cell>
          <cell r="F1668" t="str">
            <v>Indirect</v>
          </cell>
          <cell r="G1668" t="str">
            <v>Gomukh Mungeria Tol Pakrail vlc</v>
          </cell>
          <cell r="H1668" t="str">
            <v>Sonu kumar</v>
          </cell>
          <cell r="I1668">
            <v>7061026051</v>
          </cell>
          <cell r="J1668" t="str">
            <v>105601</v>
          </cell>
          <cell r="K1668"/>
          <cell r="L1668">
            <v>45961</v>
          </cell>
          <cell r="N1668" t="str">
            <v>Chautham</v>
          </cell>
        </row>
        <row r="1669">
          <cell r="B1669">
            <v>10560022</v>
          </cell>
          <cell r="C1669" t="str">
            <v>0022</v>
          </cell>
          <cell r="D1669"/>
          <cell r="E1669" t="str">
            <v>MPG</v>
          </cell>
          <cell r="F1669" t="str">
            <v>Direct</v>
          </cell>
          <cell r="G1669" t="str">
            <v xml:space="preserve">Gomukh Paharpur Jilebya </v>
          </cell>
          <cell r="H1669" t="str">
            <v>Sonelal Sah</v>
          </cell>
          <cell r="I1669">
            <v>9570575531</v>
          </cell>
          <cell r="J1669" t="str">
            <v>105601</v>
          </cell>
          <cell r="K1669"/>
          <cell r="L1669">
            <v>46018</v>
          </cell>
          <cell r="N1669" t="str">
            <v>Chautham</v>
          </cell>
        </row>
        <row r="1670">
          <cell r="B1670">
            <v>10560023</v>
          </cell>
          <cell r="C1670" t="str">
            <v>0023</v>
          </cell>
          <cell r="D1670"/>
          <cell r="E1670" t="str">
            <v>MPG</v>
          </cell>
          <cell r="F1670" t="str">
            <v>Direct</v>
          </cell>
          <cell r="G1670" t="str">
            <v>Gomukh Simana Basa</v>
          </cell>
          <cell r="H1670" t="str">
            <v>Renu devi</v>
          </cell>
          <cell r="I1670">
            <v>7544804797</v>
          </cell>
          <cell r="J1670" t="str">
            <v>105601</v>
          </cell>
          <cell r="K1670"/>
          <cell r="L1670">
            <v>46018</v>
          </cell>
          <cell r="N1670" t="str">
            <v>Chautham</v>
          </cell>
        </row>
        <row r="1671">
          <cell r="B1671">
            <v>10560024</v>
          </cell>
          <cell r="C1671" t="str">
            <v>0024</v>
          </cell>
          <cell r="D1671"/>
          <cell r="E1671" t="str">
            <v>MPG</v>
          </cell>
          <cell r="F1671" t="str">
            <v>Indirect</v>
          </cell>
          <cell r="G1671" t="str">
            <v>Gomukh Ranjeet Kumar vlc</v>
          </cell>
          <cell r="H1671" t="str">
            <v>Ranjeet kumar</v>
          </cell>
          <cell r="I1671">
            <v>9570562445</v>
          </cell>
          <cell r="J1671" t="str">
            <v>105601</v>
          </cell>
          <cell r="K1671"/>
          <cell r="L1671">
            <v>46018</v>
          </cell>
          <cell r="N1671" t="str">
            <v>Chautham</v>
          </cell>
        </row>
        <row r="1672">
          <cell r="B1672">
            <v>10560025</v>
          </cell>
          <cell r="C1672" t="str">
            <v>0025</v>
          </cell>
          <cell r="D1672"/>
          <cell r="E1672" t="str">
            <v>MPG</v>
          </cell>
          <cell r="F1672" t="str">
            <v>Indirect</v>
          </cell>
          <cell r="G1672" t="str">
            <v>Gomukh Debka vlc</v>
          </cell>
          <cell r="H1672" t="str">
            <v>Saurav kumar</v>
          </cell>
          <cell r="I1672">
            <v>6209154530</v>
          </cell>
          <cell r="J1672" t="str">
            <v>105601</v>
          </cell>
          <cell r="K1672"/>
          <cell r="L1672">
            <v>46018</v>
          </cell>
          <cell r="N1672" t="str">
            <v>Chautham</v>
          </cell>
        </row>
        <row r="1673">
          <cell r="B1673">
            <v>10560026</v>
          </cell>
          <cell r="C1673" t="str">
            <v>0026</v>
          </cell>
          <cell r="D1673"/>
          <cell r="E1673" t="str">
            <v>MPG</v>
          </cell>
          <cell r="F1673" t="str">
            <v>Direct</v>
          </cell>
          <cell r="G1673" t="str">
            <v>Gomukh Azad Nagar</v>
          </cell>
          <cell r="H1673" t="str">
            <v>Ghanshyam kumar</v>
          </cell>
          <cell r="I1673">
            <v>6203104187</v>
          </cell>
          <cell r="J1673" t="str">
            <v>105601</v>
          </cell>
          <cell r="K1673"/>
          <cell r="L1673">
            <v>46025</v>
          </cell>
          <cell r="N1673" t="str">
            <v>Chautham</v>
          </cell>
        </row>
        <row r="1674">
          <cell r="B1674">
            <v>10560027</v>
          </cell>
          <cell r="C1674" t="str">
            <v>0027</v>
          </cell>
          <cell r="D1674"/>
          <cell r="E1674" t="str">
            <v>MPG</v>
          </cell>
          <cell r="F1674" t="str">
            <v>Direct</v>
          </cell>
          <cell r="G1674" t="str">
            <v>Gomukh Purani Hrdia</v>
          </cell>
          <cell r="H1674" t="str">
            <v>Rinku devi</v>
          </cell>
          <cell r="I1674">
            <v>8235983734</v>
          </cell>
          <cell r="J1674" t="str">
            <v>105601</v>
          </cell>
          <cell r="K1674"/>
          <cell r="L1674">
            <v>46051</v>
          </cell>
          <cell r="N1674" t="str">
            <v>Chautham</v>
          </cell>
        </row>
        <row r="1675">
          <cell r="B1675">
            <v>10560028</v>
          </cell>
          <cell r="C1675" t="str">
            <v>0028</v>
          </cell>
          <cell r="D1675"/>
          <cell r="E1675" t="str">
            <v>MPG</v>
          </cell>
          <cell r="F1675" t="str">
            <v>Direct</v>
          </cell>
          <cell r="G1675" t="str">
            <v>Gomukh Uttari Hardia</v>
          </cell>
          <cell r="H1675" t="str">
            <v>Saurabh kumar</v>
          </cell>
          <cell r="I1675">
            <v>7295937120</v>
          </cell>
          <cell r="J1675" t="str">
            <v>105601</v>
          </cell>
          <cell r="K1675"/>
          <cell r="L1675">
            <v>46051</v>
          </cell>
          <cell r="N1675" t="str">
            <v>Chautham</v>
          </cell>
        </row>
        <row r="1676">
          <cell r="B1676">
            <v>10560029</v>
          </cell>
          <cell r="C1676" t="str">
            <v>0029</v>
          </cell>
          <cell r="D1676"/>
          <cell r="E1676" t="str">
            <v>MPG</v>
          </cell>
          <cell r="F1676" t="str">
            <v>Direct</v>
          </cell>
          <cell r="G1676" t="str">
            <v>Gomukh Murli</v>
          </cell>
          <cell r="H1676" t="str">
            <v>Bibhakar Yadav</v>
          </cell>
          <cell r="I1676">
            <v>9065783181</v>
          </cell>
          <cell r="J1676" t="str">
            <v>105601</v>
          </cell>
          <cell r="K1676"/>
          <cell r="L1676">
            <v>46051</v>
          </cell>
          <cell r="N1676" t="str">
            <v>Chautham</v>
          </cell>
        </row>
        <row r="1677">
          <cell r="B1677">
            <v>10560030</v>
          </cell>
          <cell r="C1677" t="str">
            <v>0030</v>
          </cell>
          <cell r="D1677"/>
          <cell r="E1677" t="str">
            <v>MPG</v>
          </cell>
          <cell r="F1677" t="str">
            <v>Direct</v>
          </cell>
          <cell r="G1677" t="str">
            <v>Gomukh Soharba</v>
          </cell>
          <cell r="H1677" t="str">
            <v>Kunal yadav</v>
          </cell>
          <cell r="I1677">
            <v>9835349683</v>
          </cell>
          <cell r="J1677" t="str">
            <v>105601</v>
          </cell>
          <cell r="K1677"/>
          <cell r="L1677">
            <v>46051</v>
          </cell>
          <cell r="N1677" t="str">
            <v>Chautham</v>
          </cell>
        </row>
        <row r="1678">
          <cell r="B1678">
            <v>10560031</v>
          </cell>
          <cell r="C1678" t="str">
            <v>0031</v>
          </cell>
          <cell r="D1678"/>
          <cell r="E1678" t="str">
            <v>MPG</v>
          </cell>
          <cell r="F1678" t="str">
            <v>Direct</v>
          </cell>
          <cell r="G1678" t="str">
            <v>Gomukh Nirpur Keshv Nagar</v>
          </cell>
          <cell r="H1678" t="str">
            <v>Ram Bharosh Singh</v>
          </cell>
          <cell r="I1678">
            <v>9631275438</v>
          </cell>
          <cell r="J1678" t="str">
            <v>105601</v>
          </cell>
          <cell r="K1678"/>
          <cell r="L1678">
            <v>46051</v>
          </cell>
          <cell r="N1678" t="str">
            <v>Chautham</v>
          </cell>
        </row>
        <row r="1679">
          <cell r="B1679">
            <v>10560032</v>
          </cell>
          <cell r="C1679" t="str">
            <v>0032</v>
          </cell>
          <cell r="D1679"/>
          <cell r="E1679" t="str">
            <v>MPG</v>
          </cell>
          <cell r="F1679" t="str">
            <v>Indirect</v>
          </cell>
          <cell r="G1679" t="str">
            <v>Gomukh Pansalwa Wad-10 vlc</v>
          </cell>
          <cell r="H1679" t="str">
            <v>Renu Devi</v>
          </cell>
          <cell r="I1679">
            <v>9570630022</v>
          </cell>
          <cell r="J1679" t="str">
            <v>105601</v>
          </cell>
          <cell r="K1679"/>
          <cell r="L1679">
            <v>46065</v>
          </cell>
          <cell r="N1679" t="str">
            <v>Chautham</v>
          </cell>
        </row>
        <row r="1680">
          <cell r="B1680">
            <v>10560033</v>
          </cell>
          <cell r="C1680" t="str">
            <v>0033</v>
          </cell>
          <cell r="D1680"/>
          <cell r="E1680" t="str">
            <v>MPG</v>
          </cell>
          <cell r="F1680" t="str">
            <v>Indirect</v>
          </cell>
          <cell r="G1680" t="str">
            <v>Gomukh Thuthi vlc</v>
          </cell>
          <cell r="H1680" t="str">
            <v>Jyoti Kumari</v>
          </cell>
          <cell r="I1680">
            <v>9470293044</v>
          </cell>
          <cell r="J1680" t="str">
            <v>105601</v>
          </cell>
          <cell r="K1680"/>
          <cell r="L1680">
            <v>46065</v>
          </cell>
          <cell r="N1680" t="str">
            <v>Chautham</v>
          </cell>
        </row>
        <row r="1681">
          <cell r="B1681">
            <v>10560034</v>
          </cell>
          <cell r="C1681" t="str">
            <v>0034</v>
          </cell>
          <cell r="D1681"/>
          <cell r="E1681" t="str">
            <v>MPG</v>
          </cell>
          <cell r="F1681" t="str">
            <v>Indirect</v>
          </cell>
          <cell r="G1681" t="str">
            <v>Gomukh Nawadai vlc</v>
          </cell>
          <cell r="H1681" t="str">
            <v>Sukhi Devi</v>
          </cell>
          <cell r="I1681">
            <v>7295997589</v>
          </cell>
          <cell r="J1681" t="str">
            <v>105601</v>
          </cell>
          <cell r="K1681"/>
          <cell r="L1681">
            <v>46065</v>
          </cell>
          <cell r="N1681" t="str">
            <v>Chautham</v>
          </cell>
        </row>
        <row r="1682">
          <cell r="B1682">
            <v>10410001</v>
          </cell>
          <cell r="C1682" t="str">
            <v>0001</v>
          </cell>
          <cell r="D1682" t="str">
            <v>7088</v>
          </cell>
          <cell r="E1682" t="str">
            <v>RMC</v>
          </cell>
          <cell r="F1682" t="str">
            <v>Direct</v>
          </cell>
          <cell r="G1682" t="str">
            <v>Bhramarpur</v>
          </cell>
          <cell r="H1682" t="str">
            <v xml:space="preserve">Chandan Kumar Singh </v>
          </cell>
          <cell r="I1682">
            <v>7634979693</v>
          </cell>
          <cell r="J1682" t="str">
            <v>104101</v>
          </cell>
          <cell r="K1682" t="str">
            <v/>
          </cell>
          <cell r="L1682">
            <v>43080</v>
          </cell>
          <cell r="N1682" t="str">
            <v>Jhandapur</v>
          </cell>
        </row>
        <row r="1683">
          <cell r="B1683">
            <v>10200001</v>
          </cell>
          <cell r="C1683" t="str">
            <v>0001</v>
          </cell>
          <cell r="D1683" t="str">
            <v>8025</v>
          </cell>
          <cell r="E1683" t="str">
            <v>RMC</v>
          </cell>
          <cell r="F1683" t="str">
            <v>Direct</v>
          </cell>
          <cell r="G1683" t="str">
            <v>SHIVNAR-2</v>
          </cell>
          <cell r="H1683" t="str">
            <v>Chandan Singh</v>
          </cell>
          <cell r="I1683">
            <v>8935911924</v>
          </cell>
          <cell r="J1683" t="str">
            <v>102001</v>
          </cell>
          <cell r="K1683" t="str">
            <v/>
          </cell>
          <cell r="L1683">
            <v>42979</v>
          </cell>
          <cell r="N1683" t="str">
            <v>Laldiyara</v>
          </cell>
        </row>
        <row r="1684">
          <cell r="B1684">
            <v>10210001</v>
          </cell>
          <cell r="C1684" t="str">
            <v>0001</v>
          </cell>
          <cell r="D1684" t="str">
            <v>8063</v>
          </cell>
          <cell r="E1684" t="str">
            <v>MPG</v>
          </cell>
          <cell r="F1684" t="str">
            <v>Direct</v>
          </cell>
          <cell r="G1684" t="str">
            <v>CHAWKI DAFA DUMRA</v>
          </cell>
          <cell r="H1684" t="str">
            <v>Sanjeev Singh</v>
          </cell>
          <cell r="I1684">
            <v>9572088246</v>
          </cell>
          <cell r="J1684" t="str">
            <v>102101</v>
          </cell>
          <cell r="K1684" t="str">
            <v/>
          </cell>
          <cell r="L1684">
            <v>42979</v>
          </cell>
          <cell r="N1684" t="str">
            <v>Laldiyara</v>
          </cell>
        </row>
        <row r="1685">
          <cell r="B1685">
            <v>10420001</v>
          </cell>
          <cell r="C1685" t="str">
            <v>0001</v>
          </cell>
          <cell r="D1685" t="str">
            <v>8538</v>
          </cell>
          <cell r="E1685" t="str">
            <v>RMC</v>
          </cell>
          <cell r="F1685" t="str">
            <v>Indirect</v>
          </cell>
          <cell r="G1685" t="str">
            <v>Bhaurkatha</v>
          </cell>
          <cell r="H1685" t="str">
            <v xml:space="preserve">Shayam Kumar </v>
          </cell>
          <cell r="I1685">
            <v>7488464285</v>
          </cell>
          <cell r="J1685" t="str">
            <v>104201</v>
          </cell>
          <cell r="K1685" t="str">
            <v/>
          </cell>
          <cell r="L1685">
            <v>42979</v>
          </cell>
          <cell r="N1685" t="str">
            <v>Jhandapur</v>
          </cell>
        </row>
        <row r="1686">
          <cell r="B1686">
            <v>10430001</v>
          </cell>
          <cell r="C1686" t="str">
            <v>0001</v>
          </cell>
          <cell r="D1686" t="str">
            <v>9508</v>
          </cell>
          <cell r="E1686" t="str">
            <v>RMC</v>
          </cell>
          <cell r="F1686" t="str">
            <v>Direct</v>
          </cell>
          <cell r="G1686" t="str">
            <v>Gomukh Bariyarpur</v>
          </cell>
          <cell r="H1686" t="str">
            <v>Rohit Kumar</v>
          </cell>
          <cell r="I1686">
            <v>6204970098</v>
          </cell>
          <cell r="J1686" t="str">
            <v>104301</v>
          </cell>
          <cell r="K1686" t="str">
            <v/>
          </cell>
          <cell r="L1686">
            <v>42979</v>
          </cell>
          <cell r="N1686" t="str">
            <v>Sahibpur Kamal</v>
          </cell>
        </row>
        <row r="1687">
          <cell r="B1687">
            <v>10440001</v>
          </cell>
          <cell r="C1687" t="str">
            <v>0001</v>
          </cell>
          <cell r="D1687" t="str">
            <v>9510</v>
          </cell>
          <cell r="E1687" t="str">
            <v>MPG</v>
          </cell>
          <cell r="F1687" t="str">
            <v>Direct</v>
          </cell>
          <cell r="G1687" t="str">
            <v>Gomukh Sadananpur</v>
          </cell>
          <cell r="H1687" t="str">
            <v>Ramadhar singh</v>
          </cell>
          <cell r="I1687">
            <v>7360907669</v>
          </cell>
          <cell r="J1687" t="str">
            <v>104401</v>
          </cell>
          <cell r="K1687" t="str">
            <v/>
          </cell>
          <cell r="L1687">
            <v>42979</v>
          </cell>
          <cell r="N1687" t="str">
            <v>Sahibpur Kamal</v>
          </cell>
        </row>
        <row r="1688">
          <cell r="B1688">
            <v>10450001</v>
          </cell>
          <cell r="C1688" t="str">
            <v>0001</v>
          </cell>
          <cell r="D1688" t="str">
            <v>9511</v>
          </cell>
          <cell r="E1688" t="str">
            <v>MPG</v>
          </cell>
          <cell r="F1688" t="str">
            <v>Direct</v>
          </cell>
          <cell r="G1688" t="str">
            <v>BHADAPUR</v>
          </cell>
          <cell r="H1688" t="str">
            <v>Ravi Preya Suman</v>
          </cell>
          <cell r="I1688">
            <v>7549404694</v>
          </cell>
          <cell r="J1688" t="str">
            <v>104501</v>
          </cell>
          <cell r="K1688" t="str">
            <v>Yes</v>
          </cell>
          <cell r="L1688">
            <v>42979</v>
          </cell>
          <cell r="N1688" t="str">
            <v>Sahibpur Kamal</v>
          </cell>
        </row>
        <row r="1689">
          <cell r="B1689">
            <v>10500001</v>
          </cell>
          <cell r="C1689" t="str">
            <v>0001</v>
          </cell>
          <cell r="D1689" t="str">
            <v>M009</v>
          </cell>
          <cell r="E1689" t="str">
            <v>RMC</v>
          </cell>
          <cell r="F1689" t="str">
            <v>Direct</v>
          </cell>
          <cell r="G1689" t="str">
            <v>KUNTHA M</v>
          </cell>
          <cell r="H1689" t="str">
            <v>Lusi Kumari</v>
          </cell>
          <cell r="I1689">
            <v>8678075792</v>
          </cell>
          <cell r="J1689" t="str">
            <v>105001</v>
          </cell>
          <cell r="K1689" t="str">
            <v>Yes</v>
          </cell>
          <cell r="L1689">
            <v>42979</v>
          </cell>
          <cell r="N1689" t="str">
            <v>Asarganj</v>
          </cell>
        </row>
        <row r="1690">
          <cell r="B1690">
            <v>10500002</v>
          </cell>
          <cell r="C1690" t="str">
            <v>0002</v>
          </cell>
          <cell r="D1690" t="str">
            <v>5113</v>
          </cell>
          <cell r="E1690" t="str">
            <v>MPG</v>
          </cell>
          <cell r="F1690" t="str">
            <v>Direct</v>
          </cell>
          <cell r="G1690" t="str">
            <v>DINDAYALPUR</v>
          </cell>
          <cell r="H1690" t="str">
            <v>KRISHNA MOHAN SINGH</v>
          </cell>
          <cell r="I1690">
            <v>7371033008</v>
          </cell>
          <cell r="J1690" t="str">
            <v>105001</v>
          </cell>
          <cell r="K1690" t="str">
            <v>Yes</v>
          </cell>
          <cell r="L1690">
            <v>44988</v>
          </cell>
          <cell r="N1690" t="str">
            <v>Asarganj</v>
          </cell>
        </row>
        <row r="1691">
          <cell r="B1691">
            <v>10520001</v>
          </cell>
          <cell r="C1691" t="str">
            <v>0001</v>
          </cell>
          <cell r="D1691" t="str">
            <v>6318</v>
          </cell>
          <cell r="E1691" t="str">
            <v>MPG</v>
          </cell>
          <cell r="F1691" t="str">
            <v>Indirect</v>
          </cell>
          <cell r="G1691" t="str">
            <v>Janki Dairy</v>
          </cell>
          <cell r="H1691"/>
          <cell r="I1691"/>
          <cell r="J1691" t="str">
            <v>105201</v>
          </cell>
          <cell r="K1691"/>
          <cell r="L1691">
            <v>43388</v>
          </cell>
          <cell r="N1691" t="str">
            <v>3p Network</v>
          </cell>
        </row>
        <row r="1692">
          <cell r="B1692">
            <v>10520002</v>
          </cell>
          <cell r="C1692" t="str">
            <v>0002</v>
          </cell>
          <cell r="D1692" t="str">
            <v>6336</v>
          </cell>
          <cell r="E1692" t="str">
            <v>MPG</v>
          </cell>
          <cell r="F1692" t="str">
            <v>Indirect</v>
          </cell>
          <cell r="G1692" t="str">
            <v>Maa Durga Dairy</v>
          </cell>
          <cell r="H1692"/>
          <cell r="I1692"/>
          <cell r="J1692" t="str">
            <v>105202</v>
          </cell>
          <cell r="K1692"/>
          <cell r="L1692">
            <v>43736</v>
          </cell>
          <cell r="N1692" t="str">
            <v>3p Network</v>
          </cell>
        </row>
        <row r="1693">
          <cell r="B1693">
            <v>10520003</v>
          </cell>
          <cell r="C1693" t="str">
            <v>0003</v>
          </cell>
          <cell r="D1693" t="str">
            <v>6719</v>
          </cell>
          <cell r="E1693" t="str">
            <v>MPG</v>
          </cell>
          <cell r="F1693" t="str">
            <v>Indirect</v>
          </cell>
          <cell r="G1693" t="str">
            <v>Nova Bihar Dairy</v>
          </cell>
          <cell r="H1693"/>
          <cell r="I1693"/>
          <cell r="J1693" t="str">
            <v>105203</v>
          </cell>
          <cell r="K1693"/>
          <cell r="L1693"/>
          <cell r="N1693" t="str">
            <v>3p Network</v>
          </cell>
        </row>
        <row r="1694">
          <cell r="B1694">
            <v>10520004</v>
          </cell>
          <cell r="C1694" t="str">
            <v>0004</v>
          </cell>
          <cell r="D1694" t="str">
            <v>6764</v>
          </cell>
          <cell r="E1694" t="str">
            <v>MPG</v>
          </cell>
          <cell r="F1694" t="str">
            <v>Indirect</v>
          </cell>
          <cell r="G1694" t="str">
            <v>Madhu Dairy</v>
          </cell>
          <cell r="H1694"/>
          <cell r="I1694"/>
          <cell r="J1694" t="str">
            <v>105203</v>
          </cell>
          <cell r="K1694"/>
          <cell r="L1694"/>
          <cell r="N1694" t="str">
            <v>3p Network</v>
          </cell>
        </row>
        <row r="1695">
          <cell r="B1695">
            <v>10520005</v>
          </cell>
          <cell r="C1695" t="str">
            <v>0005</v>
          </cell>
          <cell r="D1695" t="str">
            <v>6764</v>
          </cell>
          <cell r="E1695" t="str">
            <v>MPG</v>
          </cell>
          <cell r="F1695" t="str">
            <v>Indirect</v>
          </cell>
          <cell r="G1695" t="str">
            <v>Rakesh Dairy</v>
          </cell>
          <cell r="H1695" t="str">
            <v>Ranjit Yadav</v>
          </cell>
          <cell r="I1695">
            <v>9608634392</v>
          </cell>
          <cell r="J1695" t="str">
            <v>105203</v>
          </cell>
          <cell r="K1695"/>
          <cell r="L1695"/>
          <cell r="N1695" t="str">
            <v>3p Network</v>
          </cell>
        </row>
        <row r="1696">
          <cell r="B1696">
            <v>10520006</v>
          </cell>
          <cell r="C1696" t="str">
            <v>0006</v>
          </cell>
          <cell r="D1696"/>
          <cell r="E1696" t="str">
            <v>MPG</v>
          </cell>
          <cell r="F1696" t="str">
            <v>Indirect</v>
          </cell>
          <cell r="G1696" t="str">
            <v>Suddh Dairy</v>
          </cell>
          <cell r="H1696" t="str">
            <v>Suddh Dairy</v>
          </cell>
          <cell r="I1696">
            <v>9934239681</v>
          </cell>
          <cell r="J1696" t="str">
            <v>105203</v>
          </cell>
          <cell r="K1696"/>
          <cell r="L1696"/>
          <cell r="N1696" t="str">
            <v>3p Network</v>
          </cell>
        </row>
        <row r="1697">
          <cell r="B1697">
            <v>10520007</v>
          </cell>
          <cell r="C1697" t="str">
            <v>0007</v>
          </cell>
          <cell r="D1697"/>
          <cell r="E1697" t="str">
            <v>MPG</v>
          </cell>
          <cell r="F1697" t="str">
            <v>Indirect</v>
          </cell>
          <cell r="G1697" t="str">
            <v>Krishna Dairy</v>
          </cell>
          <cell r="H1697" t="str">
            <v>Krishna Dairy</v>
          </cell>
          <cell r="I1697">
            <v>9102126600</v>
          </cell>
          <cell r="J1697" t="str">
            <v>105203</v>
          </cell>
          <cell r="K1697"/>
          <cell r="L1697">
            <v>45772</v>
          </cell>
          <cell r="N1697" t="str">
            <v>3p Network</v>
          </cell>
        </row>
        <row r="1698">
          <cell r="B1698">
            <v>10520008</v>
          </cell>
          <cell r="C1698" t="str">
            <v>0008</v>
          </cell>
          <cell r="D1698"/>
          <cell r="E1698" t="str">
            <v>MPG</v>
          </cell>
          <cell r="F1698" t="str">
            <v>Indirect</v>
          </cell>
          <cell r="G1698" t="str">
            <v>Gomukh Chautham(Mithun kumar VLC)</v>
          </cell>
          <cell r="H1698" t="str">
            <v>Mithun kumar</v>
          </cell>
          <cell r="I1698"/>
          <cell r="J1698" t="str">
            <v>105203</v>
          </cell>
          <cell r="K1698"/>
          <cell r="L1698">
            <v>45772</v>
          </cell>
          <cell r="N1698" t="str">
            <v>3p Network</v>
          </cell>
        </row>
        <row r="1699">
          <cell r="B1699">
            <v>10520009</v>
          </cell>
          <cell r="C1699" t="str">
            <v>0009</v>
          </cell>
          <cell r="D1699"/>
          <cell r="E1699" t="str">
            <v>MPG</v>
          </cell>
          <cell r="F1699" t="str">
            <v>Indirect</v>
          </cell>
          <cell r="G1699" t="str">
            <v>Manjhaul-03</v>
          </cell>
          <cell r="H1699" t="str">
            <v>Rajesh Kumar Jha</v>
          </cell>
          <cell r="I1699">
            <v>7903502701</v>
          </cell>
          <cell r="J1699" t="str">
            <v>105201</v>
          </cell>
          <cell r="K1699"/>
          <cell r="L1699"/>
          <cell r="N1699" t="str">
            <v>3p Network</v>
          </cell>
        </row>
        <row r="1700">
          <cell r="B1700">
            <v>10520010</v>
          </cell>
          <cell r="C1700" t="str">
            <v>0010</v>
          </cell>
          <cell r="D1700"/>
          <cell r="E1700" t="str">
            <v>MPG</v>
          </cell>
          <cell r="F1700" t="str">
            <v>Indirect</v>
          </cell>
          <cell r="G1700" t="str">
            <v>Anik Kumar</v>
          </cell>
          <cell r="H1700" t="str">
            <v>Anik Kumar</v>
          </cell>
          <cell r="I1700">
            <v>6201662102</v>
          </cell>
          <cell r="J1700" t="str">
            <v>105201</v>
          </cell>
          <cell r="K1700"/>
          <cell r="L1700">
            <v>46031</v>
          </cell>
          <cell r="N1700" t="str">
            <v>3p Network</v>
          </cell>
        </row>
        <row r="1701">
          <cell r="B1701">
            <v>10570001</v>
          </cell>
          <cell r="C1701" t="str">
            <v>0001</v>
          </cell>
          <cell r="D1701"/>
          <cell r="E1701" t="str">
            <v>MPG</v>
          </cell>
          <cell r="F1701" t="str">
            <v>Direct</v>
          </cell>
          <cell r="G1701" t="str">
            <v>Karian</v>
          </cell>
          <cell r="H1701" t="str">
            <v>SHIV NARAYAN YADV</v>
          </cell>
          <cell r="I1701">
            <v>7352871952</v>
          </cell>
          <cell r="J1701" t="str">
            <v>105701</v>
          </cell>
          <cell r="K1701"/>
          <cell r="L1701">
            <v>45913</v>
          </cell>
          <cell r="N1701" t="str">
            <v>Warisnagar</v>
          </cell>
        </row>
        <row r="1702">
          <cell r="B1702">
            <v>10570002</v>
          </cell>
          <cell r="C1702" t="str">
            <v>0002</v>
          </cell>
          <cell r="D1702"/>
          <cell r="E1702" t="str">
            <v>MPG</v>
          </cell>
          <cell r="F1702" t="str">
            <v>Direct</v>
          </cell>
          <cell r="G1702" t="str">
            <v>Sadipur</v>
          </cell>
          <cell r="H1702" t="str">
            <v>JITENDRA KR MISHRA</v>
          </cell>
          <cell r="I1702">
            <v>8306484783</v>
          </cell>
          <cell r="J1702" t="str">
            <v>105701</v>
          </cell>
          <cell r="K1702"/>
          <cell r="L1702">
            <v>45913</v>
          </cell>
          <cell r="N1702" t="str">
            <v>Warisnagar</v>
          </cell>
        </row>
        <row r="1703">
          <cell r="B1703">
            <v>10570003</v>
          </cell>
          <cell r="C1703" t="str">
            <v>0003</v>
          </cell>
          <cell r="D1703"/>
          <cell r="E1703" t="str">
            <v>MPG</v>
          </cell>
          <cell r="F1703" t="str">
            <v>Direct</v>
          </cell>
          <cell r="G1703" t="str">
            <v>Teghara</v>
          </cell>
          <cell r="H1703" t="str">
            <v>NISHA DEVI</v>
          </cell>
          <cell r="I1703">
            <v>900606831</v>
          </cell>
          <cell r="J1703" t="str">
            <v>105701</v>
          </cell>
          <cell r="K1703"/>
          <cell r="L1703">
            <v>45913</v>
          </cell>
          <cell r="N1703" t="str">
            <v>Warisnagar</v>
          </cell>
        </row>
        <row r="1704">
          <cell r="B1704">
            <v>10570004</v>
          </cell>
          <cell r="C1704" t="str">
            <v>0004</v>
          </cell>
          <cell r="D1704"/>
          <cell r="E1704" t="str">
            <v>MPG</v>
          </cell>
          <cell r="F1704" t="str">
            <v>Indirect</v>
          </cell>
          <cell r="G1704" t="str">
            <v>Ranjitpur</v>
          </cell>
          <cell r="H1704" t="str">
            <v>RAMNATH RAY</v>
          </cell>
          <cell r="I1704">
            <v>9731020353</v>
          </cell>
          <cell r="J1704" t="str">
            <v>105701</v>
          </cell>
          <cell r="K1704"/>
          <cell r="L1704">
            <v>45913</v>
          </cell>
          <cell r="N1704" t="str">
            <v>Warisnagar</v>
          </cell>
        </row>
        <row r="1705">
          <cell r="B1705">
            <v>10570005</v>
          </cell>
          <cell r="C1705" t="str">
            <v>0005</v>
          </cell>
          <cell r="D1705"/>
          <cell r="E1705" t="str">
            <v>MPG</v>
          </cell>
          <cell r="F1705" t="str">
            <v>Indirect</v>
          </cell>
          <cell r="G1705" t="str">
            <v>Khanpur</v>
          </cell>
          <cell r="H1705" t="str">
            <v>SAURAV KUMAR</v>
          </cell>
          <cell r="I1705">
            <v>7280809473</v>
          </cell>
          <cell r="J1705" t="str">
            <v>105701</v>
          </cell>
          <cell r="K1705"/>
          <cell r="L1705">
            <v>45913</v>
          </cell>
          <cell r="N1705" t="str">
            <v>Warisnagar</v>
          </cell>
        </row>
        <row r="1706">
          <cell r="B1706">
            <v>10570006</v>
          </cell>
          <cell r="C1706" t="str">
            <v>0006</v>
          </cell>
          <cell r="D1706"/>
          <cell r="E1706" t="str">
            <v>MPG</v>
          </cell>
          <cell r="F1706" t="str">
            <v>Indirect</v>
          </cell>
          <cell r="G1706" t="str">
            <v>Chaka</v>
          </cell>
          <cell r="H1706" t="str">
            <v>VIPIN KUMAR</v>
          </cell>
          <cell r="I1706">
            <v>9708708487</v>
          </cell>
          <cell r="J1706" t="str">
            <v>105701</v>
          </cell>
          <cell r="K1706"/>
          <cell r="L1706">
            <v>45913</v>
          </cell>
          <cell r="N1706" t="str">
            <v>Warisnagar</v>
          </cell>
        </row>
        <row r="1707">
          <cell r="B1707">
            <v>10570007</v>
          </cell>
          <cell r="C1707" t="str">
            <v>0007</v>
          </cell>
          <cell r="D1707"/>
          <cell r="E1707" t="str">
            <v>MPG</v>
          </cell>
          <cell r="F1707" t="str">
            <v>Direct</v>
          </cell>
          <cell r="G1707" t="str">
            <v>Basantpur</v>
          </cell>
          <cell r="H1707" t="str">
            <v>PUSHPAM KUMAR</v>
          </cell>
          <cell r="I1707">
            <v>8581813652</v>
          </cell>
          <cell r="J1707" t="str">
            <v>105701</v>
          </cell>
          <cell r="K1707"/>
          <cell r="L1707">
            <v>45913</v>
          </cell>
          <cell r="N1707" t="str">
            <v>Warisnagar</v>
          </cell>
        </row>
        <row r="1708">
          <cell r="B1708">
            <v>10570008</v>
          </cell>
          <cell r="C1708" t="str">
            <v>0008</v>
          </cell>
          <cell r="D1708"/>
          <cell r="E1708" t="str">
            <v>MPG</v>
          </cell>
          <cell r="F1708" t="str">
            <v>Direct</v>
          </cell>
          <cell r="G1708" t="str">
            <v>Chakoti</v>
          </cell>
          <cell r="H1708" t="str">
            <v>MANJU DEVI</v>
          </cell>
          <cell r="I1708">
            <v>9934677069</v>
          </cell>
          <cell r="J1708" t="str">
            <v>105701</v>
          </cell>
          <cell r="K1708"/>
          <cell r="L1708">
            <v>45913</v>
          </cell>
          <cell r="N1708" t="str">
            <v>Warisnagar</v>
          </cell>
        </row>
        <row r="1709">
          <cell r="B1709">
            <v>10570009</v>
          </cell>
          <cell r="C1709" t="str">
            <v>0009</v>
          </cell>
          <cell r="D1709"/>
          <cell r="E1709" t="str">
            <v>MPG</v>
          </cell>
          <cell r="F1709" t="str">
            <v>Direct</v>
          </cell>
          <cell r="G1709" t="str">
            <v>Nathudawar</v>
          </cell>
          <cell r="H1709" t="str">
            <v>LAXMI KUMARI</v>
          </cell>
          <cell r="I1709">
            <v>6201487306</v>
          </cell>
          <cell r="J1709" t="str">
            <v>105701</v>
          </cell>
          <cell r="K1709"/>
          <cell r="L1709">
            <v>45913</v>
          </cell>
          <cell r="N1709" t="str">
            <v>Warisnagar</v>
          </cell>
        </row>
        <row r="1710">
          <cell r="B1710">
            <v>10570010</v>
          </cell>
          <cell r="C1710" t="str">
            <v>0010</v>
          </cell>
          <cell r="D1710"/>
          <cell r="E1710" t="str">
            <v>MPG</v>
          </cell>
          <cell r="F1710" t="str">
            <v>Indirect</v>
          </cell>
          <cell r="G1710" t="str">
            <v>Purnahi</v>
          </cell>
          <cell r="H1710" t="str">
            <v>Sangita devi</v>
          </cell>
          <cell r="I1710">
            <v>9575242997</v>
          </cell>
          <cell r="J1710" t="str">
            <v>105701</v>
          </cell>
          <cell r="K1710"/>
          <cell r="L1710">
            <v>45920</v>
          </cell>
          <cell r="N1710" t="str">
            <v>Warisnagar</v>
          </cell>
        </row>
        <row r="1711">
          <cell r="B1711">
            <v>10570011</v>
          </cell>
          <cell r="C1711" t="str">
            <v>0011</v>
          </cell>
          <cell r="D1711"/>
          <cell r="E1711" t="str">
            <v>MPG</v>
          </cell>
          <cell r="F1711" t="str">
            <v>Indirect</v>
          </cell>
          <cell r="G1711" t="str">
            <v>Balahi</v>
          </cell>
          <cell r="H1711" t="str">
            <v>Sundhir kumar</v>
          </cell>
          <cell r="I1711">
            <v>9264169988</v>
          </cell>
          <cell r="J1711" t="str">
            <v>105701</v>
          </cell>
          <cell r="K1711"/>
          <cell r="L1711">
            <v>45920</v>
          </cell>
          <cell r="N1711" t="str">
            <v>Warisnagar</v>
          </cell>
        </row>
        <row r="1712">
          <cell r="B1712">
            <v>10570012</v>
          </cell>
          <cell r="C1712" t="str">
            <v>0012</v>
          </cell>
          <cell r="D1712"/>
          <cell r="E1712" t="str">
            <v>MPG</v>
          </cell>
          <cell r="F1712" t="str">
            <v>Indirect</v>
          </cell>
          <cell r="G1712" t="str">
            <v>Raghunathpur</v>
          </cell>
          <cell r="H1712" t="str">
            <v>Saurav kumar</v>
          </cell>
          <cell r="I1712">
            <v>8210552673</v>
          </cell>
          <cell r="J1712" t="str">
            <v>105701</v>
          </cell>
          <cell r="K1712"/>
          <cell r="L1712">
            <v>45926</v>
          </cell>
          <cell r="N1712" t="str">
            <v>Warisnagar</v>
          </cell>
        </row>
        <row r="1713">
          <cell r="B1713">
            <v>10570013</v>
          </cell>
          <cell r="C1713" t="str">
            <v>0013</v>
          </cell>
          <cell r="D1713"/>
          <cell r="E1713" t="str">
            <v>MPG</v>
          </cell>
          <cell r="F1713" t="str">
            <v>Indirect</v>
          </cell>
          <cell r="G1713" t="str">
            <v xml:space="preserve">Baghopur </v>
          </cell>
          <cell r="H1713" t="str">
            <v>Suman Kumar</v>
          </cell>
          <cell r="I1713">
            <v>7808828206</v>
          </cell>
          <cell r="J1713" t="str">
            <v>105701</v>
          </cell>
          <cell r="K1713"/>
          <cell r="L1713">
            <v>45940</v>
          </cell>
          <cell r="N1713" t="str">
            <v>Warisnagar</v>
          </cell>
        </row>
        <row r="1714">
          <cell r="B1714">
            <v>10570014</v>
          </cell>
          <cell r="C1714" t="str">
            <v>0014</v>
          </cell>
          <cell r="D1714"/>
          <cell r="E1714" t="str">
            <v>MPG</v>
          </cell>
          <cell r="F1714" t="str">
            <v>Indirect</v>
          </cell>
          <cell r="G1714" t="str">
            <v>Baghopur 2</v>
          </cell>
          <cell r="H1714" t="str">
            <v>Sajjan Kumar</v>
          </cell>
          <cell r="I1714">
            <v>7488124909</v>
          </cell>
          <cell r="J1714" t="str">
            <v>105701</v>
          </cell>
          <cell r="K1714"/>
          <cell r="L1714">
            <v>45940</v>
          </cell>
          <cell r="N1714" t="str">
            <v>Warisnagar</v>
          </cell>
        </row>
        <row r="1715">
          <cell r="B1715">
            <v>10570015</v>
          </cell>
          <cell r="C1715" t="str">
            <v>0015</v>
          </cell>
          <cell r="D1715"/>
          <cell r="E1715" t="str">
            <v>MPG</v>
          </cell>
          <cell r="F1715" t="str">
            <v>Indirect</v>
          </cell>
          <cell r="G1715" t="str">
            <v>Sadipur Bathnaha</v>
          </cell>
          <cell r="H1715" t="str">
            <v>Lalita Devi</v>
          </cell>
          <cell r="I1715">
            <v>9905655039</v>
          </cell>
          <cell r="J1715" t="str">
            <v>105701</v>
          </cell>
          <cell r="K1715"/>
          <cell r="L1715">
            <v>45940</v>
          </cell>
          <cell r="N1715" t="str">
            <v>Warisnagar</v>
          </cell>
        </row>
        <row r="1716">
          <cell r="B1716">
            <v>10570016</v>
          </cell>
          <cell r="C1716" t="str">
            <v>0016</v>
          </cell>
          <cell r="D1716"/>
          <cell r="E1716" t="str">
            <v>MPG</v>
          </cell>
          <cell r="F1716" t="str">
            <v>Indirect</v>
          </cell>
          <cell r="G1716" t="str">
            <v>Paroriya</v>
          </cell>
          <cell r="H1716" t="str">
            <v>Shiv Shankar Yadav</v>
          </cell>
          <cell r="I1716">
            <v>9661777811</v>
          </cell>
          <cell r="J1716" t="str">
            <v>105701</v>
          </cell>
          <cell r="K1716"/>
          <cell r="L1716">
            <v>45946</v>
          </cell>
          <cell r="N1716" t="str">
            <v>Warisnagar</v>
          </cell>
        </row>
        <row r="1717">
          <cell r="B1717">
            <v>10570017</v>
          </cell>
          <cell r="C1717" t="str">
            <v>0017</v>
          </cell>
          <cell r="D1717"/>
          <cell r="E1717" t="str">
            <v>MPG</v>
          </cell>
          <cell r="F1717" t="str">
            <v>Direct</v>
          </cell>
          <cell r="G1717" t="str">
            <v>Dewanpur</v>
          </cell>
          <cell r="H1717" t="str">
            <v>Ram Nandan Yadav</v>
          </cell>
          <cell r="I1717">
            <v>7061999799</v>
          </cell>
          <cell r="J1717" t="str">
            <v>105701</v>
          </cell>
          <cell r="K1717"/>
          <cell r="L1717">
            <v>45961</v>
          </cell>
          <cell r="N1717" t="str">
            <v>Warisnagar</v>
          </cell>
        </row>
        <row r="1718">
          <cell r="B1718">
            <v>10570018</v>
          </cell>
          <cell r="C1718" t="str">
            <v>0018</v>
          </cell>
          <cell r="D1718"/>
          <cell r="E1718" t="str">
            <v>MPG</v>
          </cell>
          <cell r="F1718" t="str">
            <v>Direct</v>
          </cell>
          <cell r="G1718" t="str">
            <v>Gohi</v>
          </cell>
          <cell r="H1718" t="str">
            <v>Sita Ram Thakur</v>
          </cell>
          <cell r="I1718">
            <v>8676009859</v>
          </cell>
          <cell r="J1718" t="str">
            <v>105701</v>
          </cell>
          <cell r="K1718"/>
          <cell r="L1718">
            <v>45965</v>
          </cell>
          <cell r="N1718" t="str">
            <v>Warisnagar</v>
          </cell>
        </row>
        <row r="1719">
          <cell r="B1719">
            <v>10570019</v>
          </cell>
          <cell r="C1719" t="str">
            <v>0019</v>
          </cell>
          <cell r="D1719"/>
          <cell r="E1719" t="str">
            <v>MPG</v>
          </cell>
          <cell r="F1719" t="str">
            <v>Direct</v>
          </cell>
          <cell r="G1719" t="str">
            <v>Matua</v>
          </cell>
          <cell r="H1719" t="str">
            <v>Punam Devi</v>
          </cell>
          <cell r="I1719">
            <v>8294607129</v>
          </cell>
          <cell r="J1719" t="str">
            <v>105701</v>
          </cell>
          <cell r="K1719"/>
          <cell r="L1719">
            <v>45965</v>
          </cell>
          <cell r="N1719" t="str">
            <v>Warisnagar</v>
          </cell>
        </row>
        <row r="1720">
          <cell r="B1720">
            <v>10570020</v>
          </cell>
          <cell r="C1720" t="str">
            <v>0020</v>
          </cell>
          <cell r="D1720"/>
          <cell r="E1720" t="str">
            <v>MPG</v>
          </cell>
          <cell r="F1720" t="str">
            <v>Direct</v>
          </cell>
          <cell r="G1720" t="str">
            <v>Ratni Chouk</v>
          </cell>
          <cell r="H1720" t="str">
            <v>Anamika Kumari</v>
          </cell>
          <cell r="I1720">
            <v>9241585815</v>
          </cell>
          <cell r="J1720" t="str">
            <v>105701</v>
          </cell>
          <cell r="K1720"/>
          <cell r="L1720">
            <v>45965</v>
          </cell>
          <cell r="N1720" t="str">
            <v>Warisnagar</v>
          </cell>
        </row>
        <row r="1721">
          <cell r="B1721">
            <v>10570021</v>
          </cell>
          <cell r="C1721" t="str">
            <v>0021</v>
          </cell>
          <cell r="D1721"/>
          <cell r="E1721" t="str">
            <v>MPG</v>
          </cell>
          <cell r="F1721" t="str">
            <v>Direct</v>
          </cell>
          <cell r="G1721" t="str">
            <v>Balahi 2</v>
          </cell>
          <cell r="H1721" t="str">
            <v>Rubi Kumar</v>
          </cell>
          <cell r="I1721">
            <v>9955194999</v>
          </cell>
          <cell r="J1721" t="str">
            <v>105701</v>
          </cell>
          <cell r="K1721"/>
          <cell r="L1721">
            <v>45965</v>
          </cell>
          <cell r="N1721" t="str">
            <v>Warisnagar</v>
          </cell>
        </row>
        <row r="1722">
          <cell r="B1722">
            <v>10570022</v>
          </cell>
          <cell r="C1722" t="str">
            <v>0022</v>
          </cell>
          <cell r="D1722"/>
          <cell r="E1722" t="str">
            <v>MPG</v>
          </cell>
          <cell r="F1722" t="str">
            <v>Indirect</v>
          </cell>
          <cell r="G1722" t="str">
            <v>Chandauli</v>
          </cell>
          <cell r="H1722" t="str">
            <v>Mukesh Kumar</v>
          </cell>
          <cell r="I1722">
            <v>8789442491</v>
          </cell>
          <cell r="J1722" t="str">
            <v>105701</v>
          </cell>
          <cell r="K1722"/>
          <cell r="L1722">
            <v>45965</v>
          </cell>
          <cell r="N1722" t="str">
            <v>Warisnagar</v>
          </cell>
        </row>
        <row r="1723">
          <cell r="B1723">
            <v>10570023</v>
          </cell>
          <cell r="C1723" t="str">
            <v>0023</v>
          </cell>
          <cell r="D1723"/>
          <cell r="E1723" t="str">
            <v>MPG</v>
          </cell>
          <cell r="F1723" t="str">
            <v>Indirect</v>
          </cell>
          <cell r="G1723" t="str">
            <v>Nakta</v>
          </cell>
          <cell r="H1723" t="str">
            <v>Raguvansh Kumar Rai</v>
          </cell>
          <cell r="I1723">
            <v>8809553630</v>
          </cell>
          <cell r="J1723" t="str">
            <v>105701</v>
          </cell>
          <cell r="K1723"/>
          <cell r="L1723">
            <v>45965</v>
          </cell>
          <cell r="N1723" t="str">
            <v>Warisnagar</v>
          </cell>
        </row>
        <row r="1724">
          <cell r="B1724">
            <v>10570024</v>
          </cell>
          <cell r="C1724" t="str">
            <v>0024</v>
          </cell>
          <cell r="D1724"/>
          <cell r="E1724" t="str">
            <v>MPG</v>
          </cell>
          <cell r="F1724" t="str">
            <v>Indirect</v>
          </cell>
          <cell r="G1724" t="str">
            <v>Gulabi Choak</v>
          </cell>
          <cell r="H1724" t="str">
            <v>Sanjay kr Singh</v>
          </cell>
          <cell r="I1724">
            <v>8294529373</v>
          </cell>
          <cell r="J1724" t="str">
            <v>105701</v>
          </cell>
          <cell r="K1724"/>
          <cell r="L1724">
            <v>45965</v>
          </cell>
          <cell r="N1724" t="str">
            <v>Warisnagar</v>
          </cell>
        </row>
        <row r="1725">
          <cell r="B1725">
            <v>10570025</v>
          </cell>
          <cell r="C1725" t="str">
            <v>0025</v>
          </cell>
          <cell r="D1725"/>
          <cell r="E1725" t="str">
            <v>MPG</v>
          </cell>
          <cell r="F1725" t="str">
            <v>Indirect</v>
          </cell>
          <cell r="G1725" t="str">
            <v>Satmalpur</v>
          </cell>
          <cell r="H1725" t="str">
            <v>Abhay Kumar</v>
          </cell>
          <cell r="I1725">
            <v>9534763688</v>
          </cell>
          <cell r="J1725" t="str">
            <v>105701</v>
          </cell>
          <cell r="K1725"/>
          <cell r="L1725">
            <v>45980</v>
          </cell>
          <cell r="N1725" t="str">
            <v>Warisnagar</v>
          </cell>
        </row>
        <row r="1726">
          <cell r="B1726">
            <v>10570026</v>
          </cell>
          <cell r="C1726" t="str">
            <v>0026</v>
          </cell>
          <cell r="D1726"/>
          <cell r="E1726" t="str">
            <v>MPG</v>
          </cell>
          <cell r="F1726" t="str">
            <v>Indirect</v>
          </cell>
          <cell r="G1726" t="str">
            <v>Chhatnesar</v>
          </cell>
          <cell r="H1726" t="str">
            <v>Sunil Kuamar</v>
          </cell>
          <cell r="I1726">
            <v>7352133947</v>
          </cell>
          <cell r="J1726" t="str">
            <v>105701</v>
          </cell>
          <cell r="K1726"/>
          <cell r="L1726">
            <v>45980</v>
          </cell>
          <cell r="N1726" t="str">
            <v>Warisnagar</v>
          </cell>
        </row>
        <row r="1727">
          <cell r="B1727">
            <v>10570027</v>
          </cell>
          <cell r="C1727" t="str">
            <v>0027</v>
          </cell>
          <cell r="D1727"/>
          <cell r="E1727" t="str">
            <v>MPG</v>
          </cell>
          <cell r="F1727" t="str">
            <v>Direct</v>
          </cell>
          <cell r="G1727" t="str">
            <v>Bariyarpur</v>
          </cell>
          <cell r="H1727" t="str">
            <v>Dilip Kumar Ram</v>
          </cell>
          <cell r="I1727">
            <v>7549242938</v>
          </cell>
          <cell r="J1727" t="str">
            <v>105701</v>
          </cell>
          <cell r="K1727"/>
          <cell r="L1727">
            <v>45997</v>
          </cell>
          <cell r="N1727" t="str">
            <v>Warisnagar</v>
          </cell>
        </row>
        <row r="1728">
          <cell r="B1728">
            <v>10570028</v>
          </cell>
          <cell r="C1728" t="str">
            <v>0028</v>
          </cell>
          <cell r="D1728"/>
          <cell r="E1728" t="str">
            <v>MPG</v>
          </cell>
          <cell r="F1728" t="str">
            <v>Direct</v>
          </cell>
          <cell r="G1728" t="str">
            <v>Chhatnesar 2</v>
          </cell>
          <cell r="H1728" t="str">
            <v>Shashi Bhushan Jha</v>
          </cell>
          <cell r="I1728">
            <v>8873160461</v>
          </cell>
          <cell r="J1728" t="str">
            <v>105701</v>
          </cell>
          <cell r="K1728"/>
          <cell r="L1728">
            <v>45997</v>
          </cell>
          <cell r="N1728" t="str">
            <v>Warisnagar</v>
          </cell>
        </row>
        <row r="1729">
          <cell r="B1729">
            <v>10570029</v>
          </cell>
          <cell r="C1729" t="str">
            <v>0029</v>
          </cell>
          <cell r="D1729"/>
          <cell r="E1729" t="str">
            <v>MPG</v>
          </cell>
          <cell r="F1729" t="str">
            <v>Direct</v>
          </cell>
          <cell r="G1729" t="str">
            <v>Hajpurwa</v>
          </cell>
          <cell r="H1729" t="str">
            <v>Pradeep Kumar</v>
          </cell>
          <cell r="I1729">
            <v>9102615122</v>
          </cell>
          <cell r="J1729" t="str">
            <v>105701</v>
          </cell>
          <cell r="K1729"/>
          <cell r="L1729">
            <v>45997</v>
          </cell>
          <cell r="N1729" t="str">
            <v>Warisnagar</v>
          </cell>
        </row>
        <row r="1730">
          <cell r="B1730">
            <v>10570030</v>
          </cell>
          <cell r="C1730" t="str">
            <v>0030</v>
          </cell>
          <cell r="D1730"/>
          <cell r="E1730" t="str">
            <v>MPG</v>
          </cell>
          <cell r="F1730" t="str">
            <v>Direct</v>
          </cell>
          <cell r="G1730" t="str">
            <v>Shekhopur</v>
          </cell>
          <cell r="H1730" t="str">
            <v>Sushma Bharti</v>
          </cell>
          <cell r="I1730">
            <v>7004337525</v>
          </cell>
          <cell r="J1730" t="str">
            <v>105701</v>
          </cell>
          <cell r="K1730"/>
          <cell r="L1730">
            <v>45997</v>
          </cell>
          <cell r="N1730" t="str">
            <v>Warisnagar</v>
          </cell>
        </row>
        <row r="1731">
          <cell r="B1731">
            <v>10570031</v>
          </cell>
          <cell r="C1731" t="str">
            <v>0031</v>
          </cell>
          <cell r="D1731"/>
          <cell r="E1731" t="str">
            <v>MPG</v>
          </cell>
          <cell r="F1731" t="str">
            <v>Direct</v>
          </cell>
          <cell r="G1731" t="str">
            <v>Dharampur</v>
          </cell>
          <cell r="H1731" t="str">
            <v>Sita Kumari</v>
          </cell>
          <cell r="I1731">
            <v>7300196288</v>
          </cell>
          <cell r="J1731" t="str">
            <v>105701</v>
          </cell>
          <cell r="K1731"/>
          <cell r="L1731">
            <v>45997</v>
          </cell>
          <cell r="N1731" t="str">
            <v>Warisnagar</v>
          </cell>
        </row>
        <row r="1732">
          <cell r="B1732">
            <v>10570032</v>
          </cell>
          <cell r="C1732" t="str">
            <v>0032</v>
          </cell>
          <cell r="D1732"/>
          <cell r="E1732" t="str">
            <v>MPG</v>
          </cell>
          <cell r="F1732" t="str">
            <v>Indirect</v>
          </cell>
          <cell r="G1732" t="str">
            <v>Pauriya 2</v>
          </cell>
          <cell r="H1732" t="str">
            <v>Horil Yadav</v>
          </cell>
          <cell r="I1732">
            <v>9955850628</v>
          </cell>
          <cell r="J1732" t="str">
            <v>105701</v>
          </cell>
          <cell r="K1732"/>
          <cell r="L1732">
            <v>45997</v>
          </cell>
          <cell r="N1732" t="str">
            <v>Warisnagar</v>
          </cell>
        </row>
        <row r="1733">
          <cell r="B1733">
            <v>10570033</v>
          </cell>
          <cell r="C1733" t="str">
            <v>0033</v>
          </cell>
          <cell r="D1733"/>
          <cell r="E1733" t="str">
            <v>MPG</v>
          </cell>
          <cell r="F1733" t="str">
            <v>Indirect</v>
          </cell>
          <cell r="G1733" t="str">
            <v>Chatnesar Pachiam</v>
          </cell>
          <cell r="H1733" t="str">
            <v>Gauri Kumari</v>
          </cell>
          <cell r="I1733">
            <v>7654796628</v>
          </cell>
          <cell r="J1733" t="str">
            <v>105701</v>
          </cell>
          <cell r="K1733"/>
          <cell r="L1733">
            <v>46009</v>
          </cell>
          <cell r="N1733" t="str">
            <v>Warisnagar</v>
          </cell>
        </row>
        <row r="1734">
          <cell r="B1734">
            <v>10570034</v>
          </cell>
          <cell r="C1734" t="str">
            <v>0034</v>
          </cell>
          <cell r="D1734"/>
          <cell r="E1734" t="str">
            <v>MPG</v>
          </cell>
          <cell r="F1734" t="str">
            <v>Indirect</v>
          </cell>
          <cell r="G1734" t="str">
            <v>Kothiya</v>
          </cell>
          <cell r="H1734" t="str">
            <v>Chanda Kumari</v>
          </cell>
          <cell r="I1734">
            <v>8877427072</v>
          </cell>
          <cell r="J1734" t="str">
            <v>105701</v>
          </cell>
          <cell r="K1734"/>
          <cell r="L1734">
            <v>46009</v>
          </cell>
          <cell r="N1734" t="str">
            <v>Warisnagar</v>
          </cell>
        </row>
        <row r="1735">
          <cell r="B1735">
            <v>10570035</v>
          </cell>
          <cell r="C1735" t="str">
            <v>0035</v>
          </cell>
          <cell r="D1735"/>
          <cell r="E1735" t="str">
            <v>MPG</v>
          </cell>
          <cell r="F1735" t="str">
            <v>Indirect</v>
          </cell>
          <cell r="G1735" t="str">
            <v>Satmalpur Tarri</v>
          </cell>
          <cell r="H1735" t="str">
            <v>Bidesh Ray</v>
          </cell>
          <cell r="I1735">
            <v>9123155571</v>
          </cell>
          <cell r="J1735" t="str">
            <v>105701</v>
          </cell>
          <cell r="K1735"/>
          <cell r="L1735">
            <v>46009</v>
          </cell>
          <cell r="N1735" t="str">
            <v>Warisnagar</v>
          </cell>
        </row>
        <row r="1736">
          <cell r="B1736">
            <v>10570036</v>
          </cell>
          <cell r="C1736" t="str">
            <v>0036</v>
          </cell>
          <cell r="D1736"/>
          <cell r="E1736" t="str">
            <v>MPG</v>
          </cell>
          <cell r="F1736" t="str">
            <v>Direct</v>
          </cell>
          <cell r="G1736" t="str">
            <v>Hajpurwa Pachim</v>
          </cell>
          <cell r="H1736" t="str">
            <v>Kamalesh</v>
          </cell>
          <cell r="I1736">
            <v>8002034858</v>
          </cell>
          <cell r="J1736" t="str">
            <v>105701</v>
          </cell>
          <cell r="K1736"/>
          <cell r="L1736">
            <v>46020</v>
          </cell>
          <cell r="N1736" t="str">
            <v>Warisnagar</v>
          </cell>
        </row>
        <row r="1737">
          <cell r="B1737">
            <v>10570037</v>
          </cell>
          <cell r="C1737" t="str">
            <v>0037</v>
          </cell>
          <cell r="D1737"/>
          <cell r="E1737" t="str">
            <v>MPG</v>
          </cell>
          <cell r="F1737" t="str">
            <v>Indirect</v>
          </cell>
          <cell r="G1737" t="str">
            <v>Almasnagar</v>
          </cell>
          <cell r="H1737" t="str">
            <v>Surendra Yadav</v>
          </cell>
          <cell r="I1737">
            <v>7739953614</v>
          </cell>
          <cell r="J1737" t="str">
            <v>105701</v>
          </cell>
          <cell r="K1737"/>
          <cell r="L1737">
            <v>46020</v>
          </cell>
          <cell r="N1737" t="str">
            <v>Warisnagar</v>
          </cell>
        </row>
        <row r="1738">
          <cell r="B1738">
            <v>10570038</v>
          </cell>
          <cell r="C1738" t="str">
            <v>0038</v>
          </cell>
          <cell r="D1738"/>
          <cell r="E1738" t="str">
            <v>MPG</v>
          </cell>
          <cell r="F1738" t="str">
            <v>Indirect</v>
          </cell>
          <cell r="G1738" t="str">
            <v>Kadarchak</v>
          </cell>
          <cell r="H1738" t="str">
            <v>Mohan Kumar Yadav</v>
          </cell>
          <cell r="I1738">
            <v>7033902187</v>
          </cell>
          <cell r="J1738" t="str">
            <v>105701</v>
          </cell>
          <cell r="K1738"/>
          <cell r="L1738">
            <v>46020</v>
          </cell>
          <cell r="N1738" t="str">
            <v>Warisnagar</v>
          </cell>
        </row>
        <row r="1739">
          <cell r="B1739">
            <v>10570039</v>
          </cell>
          <cell r="C1739" t="str">
            <v>0039</v>
          </cell>
          <cell r="D1739"/>
          <cell r="E1739" t="str">
            <v>MPG</v>
          </cell>
          <cell r="F1739" t="str">
            <v>Indirect</v>
          </cell>
          <cell r="G1739" t="str">
            <v>Kisan dairy</v>
          </cell>
          <cell r="H1739" t="str">
            <v>Mukesh Ray</v>
          </cell>
          <cell r="I1739">
            <v>9162820423</v>
          </cell>
          <cell r="J1739" t="str">
            <v>105701</v>
          </cell>
          <cell r="K1739"/>
          <cell r="L1739">
            <v>46020</v>
          </cell>
          <cell r="N1739" t="str">
            <v>Warisnagar</v>
          </cell>
        </row>
        <row r="1740">
          <cell r="B1740">
            <v>10570040</v>
          </cell>
          <cell r="C1740" t="str">
            <v>0040</v>
          </cell>
          <cell r="D1740"/>
          <cell r="E1740" t="str">
            <v>MPG</v>
          </cell>
          <cell r="F1740" t="str">
            <v>Indirect</v>
          </cell>
          <cell r="G1740" t="str">
            <v>Raini</v>
          </cell>
          <cell r="H1740" t="str">
            <v>Awadesh Kumar</v>
          </cell>
          <cell r="I1740">
            <v>8340774604</v>
          </cell>
          <cell r="J1740" t="str">
            <v>105701</v>
          </cell>
          <cell r="K1740"/>
          <cell r="L1740">
            <v>46041</v>
          </cell>
          <cell r="N1740" t="str">
            <v>Warisnagar</v>
          </cell>
        </row>
        <row r="1741">
          <cell r="B1741">
            <v>10570041</v>
          </cell>
          <cell r="C1741" t="str">
            <v>0041</v>
          </cell>
          <cell r="D1741"/>
          <cell r="E1741" t="str">
            <v>MPG</v>
          </cell>
          <cell r="F1741" t="str">
            <v>Indirect</v>
          </cell>
          <cell r="G1741" t="str">
            <v>Narhan Singhiya</v>
          </cell>
          <cell r="H1741" t="str">
            <v>Sabitri Kumari</v>
          </cell>
          <cell r="I1741">
            <v>9835476450</v>
          </cell>
          <cell r="J1741" t="str">
            <v>105701</v>
          </cell>
          <cell r="K1741"/>
          <cell r="L1741">
            <v>46046</v>
          </cell>
          <cell r="N1741" t="str">
            <v>Warisnagar</v>
          </cell>
        </row>
        <row r="1742">
          <cell r="B1742">
            <v>10570042</v>
          </cell>
          <cell r="C1742" t="str">
            <v>0042</v>
          </cell>
          <cell r="D1742"/>
          <cell r="E1742" t="str">
            <v>MPG</v>
          </cell>
          <cell r="F1742" t="str">
            <v>Direct</v>
          </cell>
          <cell r="G1742" t="str">
            <v>Rahua</v>
          </cell>
          <cell r="H1742" t="str">
            <v>Sujeet kumar Jha</v>
          </cell>
          <cell r="I1742">
            <v>8608852161</v>
          </cell>
          <cell r="J1742" t="str">
            <v>105701</v>
          </cell>
          <cell r="K1742"/>
          <cell r="L1742">
            <v>46051</v>
          </cell>
          <cell r="N1742" t="str">
            <v>Warisnagar</v>
          </cell>
        </row>
        <row r="1743">
          <cell r="B1743">
            <v>10570043</v>
          </cell>
          <cell r="C1743" t="str">
            <v>0043</v>
          </cell>
          <cell r="D1743"/>
          <cell r="E1743" t="str">
            <v>MPG</v>
          </cell>
          <cell r="F1743" t="str">
            <v>Indirect</v>
          </cell>
          <cell r="G1743" t="str">
            <v>Sobhan</v>
          </cell>
          <cell r="H1743" t="str">
            <v>Dhirandra Kumar</v>
          </cell>
          <cell r="I1743">
            <v>9771296716</v>
          </cell>
          <cell r="J1743" t="str">
            <v>105701</v>
          </cell>
          <cell r="K1743"/>
          <cell r="L1743">
            <v>46051</v>
          </cell>
          <cell r="N1743" t="str">
            <v>Warisnagar</v>
          </cell>
        </row>
        <row r="1744">
          <cell r="B1744">
            <v>10570044</v>
          </cell>
          <cell r="C1744" t="str">
            <v>0044</v>
          </cell>
          <cell r="D1744"/>
          <cell r="E1744" t="str">
            <v>MPG</v>
          </cell>
          <cell r="F1744" t="str">
            <v>Direct</v>
          </cell>
          <cell r="G1744" t="str">
            <v>Dagrua</v>
          </cell>
          <cell r="H1744" t="str">
            <v>Sujay Kumar</v>
          </cell>
          <cell r="I1744">
            <v>9608504566</v>
          </cell>
          <cell r="J1744" t="str">
            <v>105701</v>
          </cell>
          <cell r="K1744"/>
          <cell r="L1744">
            <v>46065</v>
          </cell>
          <cell r="N1744" t="str">
            <v>Warisnagar</v>
          </cell>
        </row>
        <row r="1745">
          <cell r="B1745">
            <v>10570045</v>
          </cell>
          <cell r="C1745" t="str">
            <v>0045</v>
          </cell>
          <cell r="D1745"/>
          <cell r="E1745" t="str">
            <v>MPG</v>
          </cell>
          <cell r="F1745" t="str">
            <v>Direct</v>
          </cell>
          <cell r="G1745" t="str">
            <v>Buzurgdoar</v>
          </cell>
          <cell r="H1745" t="str">
            <v>Kapil Dev</v>
          </cell>
          <cell r="I1745">
            <v>9709933530</v>
          </cell>
          <cell r="J1745" t="str">
            <v>105701</v>
          </cell>
          <cell r="K1745"/>
          <cell r="L1745">
            <v>46065</v>
          </cell>
          <cell r="N1745" t="str">
            <v>Warisnagar</v>
          </cell>
        </row>
        <row r="1746">
          <cell r="B1746">
            <v>10570046</v>
          </cell>
          <cell r="C1746" t="str">
            <v>0046</v>
          </cell>
          <cell r="D1746"/>
          <cell r="E1746" t="str">
            <v>MPG</v>
          </cell>
          <cell r="F1746" t="str">
            <v>Indirect</v>
          </cell>
          <cell r="G1746" t="str">
            <v>Patpara</v>
          </cell>
          <cell r="H1746" t="str">
            <v>Ram Prasad Mahto</v>
          </cell>
          <cell r="I1746">
            <v>8434453026</v>
          </cell>
          <cell r="J1746" t="str">
            <v>105701</v>
          </cell>
          <cell r="K1746"/>
          <cell r="L1746">
            <v>46065</v>
          </cell>
          <cell r="N1746" t="str">
            <v>Warisnagar</v>
          </cell>
        </row>
        <row r="1747">
          <cell r="B1747">
            <v>10580001</v>
          </cell>
          <cell r="C1747" t="str">
            <v>0001</v>
          </cell>
          <cell r="D1747"/>
          <cell r="E1747" t="str">
            <v>MPG</v>
          </cell>
          <cell r="F1747" t="str">
            <v>Direct</v>
          </cell>
          <cell r="G1747" t="str">
            <v>Mahuli</v>
          </cell>
          <cell r="H1747" t="str">
            <v>Ram Pravesh Yadav</v>
          </cell>
          <cell r="I1747">
            <v>9631199989</v>
          </cell>
          <cell r="J1747" t="str">
            <v>105801</v>
          </cell>
          <cell r="K1747"/>
          <cell r="L1747">
            <v>45937</v>
          </cell>
          <cell r="N1747" t="str">
            <v>Hasanpur</v>
          </cell>
        </row>
        <row r="1748">
          <cell r="B1748">
            <v>10580002</v>
          </cell>
          <cell r="C1748" t="str">
            <v>0002</v>
          </cell>
          <cell r="D1748"/>
          <cell r="E1748" t="str">
            <v>MPG</v>
          </cell>
          <cell r="F1748" t="str">
            <v>Direct</v>
          </cell>
          <cell r="G1748" t="str">
            <v>Sakhwa Ghat</v>
          </cell>
          <cell r="H1748" t="str">
            <v>Rahul Kumar</v>
          </cell>
          <cell r="I1748">
            <v>9507492526</v>
          </cell>
          <cell r="J1748" t="str">
            <v>105801</v>
          </cell>
          <cell r="K1748"/>
          <cell r="L1748">
            <v>45937</v>
          </cell>
          <cell r="N1748" t="str">
            <v>Hasanpur</v>
          </cell>
        </row>
        <row r="1749">
          <cell r="B1749">
            <v>10580003</v>
          </cell>
          <cell r="C1749" t="str">
            <v>0003</v>
          </cell>
          <cell r="D1749"/>
          <cell r="E1749" t="str">
            <v>MPG</v>
          </cell>
          <cell r="F1749" t="str">
            <v>Direct</v>
          </cell>
          <cell r="G1749" t="str">
            <v>Lerja Ghat</v>
          </cell>
          <cell r="H1749" t="str">
            <v>Arvind kumar Akela</v>
          </cell>
          <cell r="I1749">
            <v>7766970292</v>
          </cell>
          <cell r="J1749" t="str">
            <v>105801</v>
          </cell>
          <cell r="K1749"/>
          <cell r="L1749">
            <v>45937</v>
          </cell>
          <cell r="N1749" t="str">
            <v>Hasanpur</v>
          </cell>
        </row>
        <row r="1750">
          <cell r="B1750">
            <v>10580004</v>
          </cell>
          <cell r="C1750" t="str">
            <v>0004</v>
          </cell>
          <cell r="D1750"/>
          <cell r="E1750" t="str">
            <v>MPG</v>
          </cell>
          <cell r="F1750" t="str">
            <v>Direct</v>
          </cell>
          <cell r="G1750" t="str">
            <v>Patiya</v>
          </cell>
          <cell r="H1750" t="str">
            <v>Mala Devi</v>
          </cell>
          <cell r="I1750">
            <v>7973104552</v>
          </cell>
          <cell r="J1750" t="str">
            <v>105801</v>
          </cell>
          <cell r="K1750"/>
          <cell r="L1750">
            <v>45961</v>
          </cell>
          <cell r="N1750" t="str">
            <v>Hasanpur</v>
          </cell>
        </row>
        <row r="1751">
          <cell r="B1751">
            <v>10580005</v>
          </cell>
          <cell r="C1751" t="str">
            <v>0005</v>
          </cell>
          <cell r="D1751"/>
          <cell r="E1751" t="str">
            <v>MPG</v>
          </cell>
          <cell r="F1751" t="str">
            <v>Direct</v>
          </cell>
          <cell r="G1751" t="str">
            <v>Kasiya</v>
          </cell>
          <cell r="H1751" t="str">
            <v>Hira Devi</v>
          </cell>
          <cell r="I1751">
            <v>8051942811</v>
          </cell>
          <cell r="J1751" t="str">
            <v>105801</v>
          </cell>
          <cell r="K1751"/>
          <cell r="L1751">
            <v>45980</v>
          </cell>
          <cell r="N1751" t="str">
            <v>Hasanpur</v>
          </cell>
        </row>
        <row r="1752">
          <cell r="B1752">
            <v>10580006</v>
          </cell>
          <cell r="C1752" t="str">
            <v>0006</v>
          </cell>
          <cell r="D1752"/>
          <cell r="E1752" t="str">
            <v>MPG</v>
          </cell>
          <cell r="F1752" t="str">
            <v>Direct</v>
          </cell>
          <cell r="G1752" t="str">
            <v>Chigri</v>
          </cell>
          <cell r="H1752" t="str">
            <v>Lalita Devi</v>
          </cell>
          <cell r="I1752">
            <v>7482902876</v>
          </cell>
          <cell r="J1752" t="str">
            <v>105801</v>
          </cell>
          <cell r="K1752"/>
          <cell r="L1752">
            <v>45986</v>
          </cell>
          <cell r="N1752" t="str">
            <v>Hasanpur</v>
          </cell>
        </row>
        <row r="1753">
          <cell r="B1753">
            <v>10580007</v>
          </cell>
          <cell r="C1753" t="str">
            <v>0007</v>
          </cell>
          <cell r="D1753"/>
          <cell r="E1753" t="str">
            <v>MPG</v>
          </cell>
          <cell r="F1753" t="str">
            <v>Direct</v>
          </cell>
          <cell r="G1753" t="str">
            <v>Belshandi</v>
          </cell>
          <cell r="H1753" t="str">
            <v>Netu Kumari</v>
          </cell>
          <cell r="I1753">
            <v>7050424804</v>
          </cell>
          <cell r="J1753" t="str">
            <v>105801</v>
          </cell>
          <cell r="K1753"/>
          <cell r="L1753">
            <v>45986</v>
          </cell>
          <cell r="N1753" t="str">
            <v>Hasanpur</v>
          </cell>
        </row>
        <row r="1754">
          <cell r="B1754">
            <v>10580008</v>
          </cell>
          <cell r="C1754" t="str">
            <v>0008</v>
          </cell>
          <cell r="D1754"/>
          <cell r="E1754" t="str">
            <v>MPG</v>
          </cell>
          <cell r="F1754" t="str">
            <v>Direct</v>
          </cell>
          <cell r="G1754" t="str">
            <v>Baliar</v>
          </cell>
          <cell r="H1754" t="str">
            <v>Rajo Devi</v>
          </cell>
          <cell r="I1754">
            <v>9508719432</v>
          </cell>
          <cell r="J1754" t="str">
            <v>105801</v>
          </cell>
          <cell r="K1754"/>
          <cell r="L1754">
            <v>46003</v>
          </cell>
          <cell r="N1754" t="str">
            <v>Hasanpur</v>
          </cell>
        </row>
        <row r="1755">
          <cell r="B1755">
            <v>10580009</v>
          </cell>
          <cell r="C1755" t="str">
            <v>0009</v>
          </cell>
          <cell r="D1755"/>
          <cell r="E1755" t="str">
            <v>MPG</v>
          </cell>
          <cell r="F1755" t="str">
            <v>Direct</v>
          </cell>
          <cell r="G1755" t="str">
            <v>Belshandi-2</v>
          </cell>
          <cell r="H1755" t="str">
            <v>Saurabh Raj</v>
          </cell>
          <cell r="I1755">
            <v>9771015634</v>
          </cell>
          <cell r="J1755" t="str">
            <v>105801</v>
          </cell>
          <cell r="K1755"/>
          <cell r="L1755">
            <v>46003</v>
          </cell>
          <cell r="N1755" t="str">
            <v>Hasanpur</v>
          </cell>
        </row>
        <row r="1756">
          <cell r="B1756">
            <v>10580010</v>
          </cell>
          <cell r="C1756" t="str">
            <v>0010</v>
          </cell>
          <cell r="D1756"/>
          <cell r="E1756" t="str">
            <v>MPG</v>
          </cell>
          <cell r="F1756" t="str">
            <v>Direct</v>
          </cell>
          <cell r="G1756" t="str">
            <v>Godah</v>
          </cell>
          <cell r="H1756" t="str">
            <v>Panchu Sahu</v>
          </cell>
          <cell r="I1756">
            <v>9798786951</v>
          </cell>
          <cell r="J1756" t="str">
            <v>105801</v>
          </cell>
          <cell r="K1756"/>
          <cell r="L1756">
            <v>46014</v>
          </cell>
          <cell r="N1756" t="str">
            <v>Hasanpur</v>
          </cell>
        </row>
        <row r="1757">
          <cell r="B1757">
            <v>10580011</v>
          </cell>
          <cell r="C1757" t="str">
            <v>0011</v>
          </cell>
          <cell r="D1757"/>
          <cell r="E1757" t="str">
            <v>MPG</v>
          </cell>
          <cell r="F1757" t="str">
            <v>Direct</v>
          </cell>
          <cell r="G1757" t="str">
            <v>Kurban</v>
          </cell>
          <cell r="H1757" t="str">
            <v>Kumari Kushboo</v>
          </cell>
          <cell r="I1757">
            <v>9709345812</v>
          </cell>
          <cell r="J1757" t="str">
            <v>105801</v>
          </cell>
          <cell r="K1757"/>
          <cell r="L1757">
            <v>46014</v>
          </cell>
          <cell r="N1757" t="str">
            <v>Hasanpur</v>
          </cell>
        </row>
        <row r="1758">
          <cell r="B1758">
            <v>10580012</v>
          </cell>
          <cell r="C1758" t="str">
            <v>0012</v>
          </cell>
          <cell r="D1758"/>
          <cell r="E1758" t="str">
            <v>MPG</v>
          </cell>
          <cell r="F1758" t="str">
            <v>Direct</v>
          </cell>
          <cell r="G1758" t="str">
            <v>Ballahpur</v>
          </cell>
          <cell r="H1758" t="str">
            <v>Bandna Kumari</v>
          </cell>
          <cell r="I1758">
            <v>9693609807</v>
          </cell>
          <cell r="J1758" t="str">
            <v>105801</v>
          </cell>
          <cell r="K1758"/>
          <cell r="L1758">
            <v>46014</v>
          </cell>
          <cell r="N1758" t="str">
            <v>Hasanpur</v>
          </cell>
        </row>
        <row r="1759">
          <cell r="B1759">
            <v>10580013</v>
          </cell>
          <cell r="C1759" t="str">
            <v>0013</v>
          </cell>
          <cell r="D1759"/>
          <cell r="E1759" t="str">
            <v>MPG</v>
          </cell>
          <cell r="F1759" t="str">
            <v>Indirect</v>
          </cell>
          <cell r="G1759" t="str">
            <v>Laxmipur-VLC</v>
          </cell>
          <cell r="H1759" t="str">
            <v>Dilip Kr. Yadav</v>
          </cell>
          <cell r="I1759">
            <v>7004326609</v>
          </cell>
          <cell r="J1759" t="str">
            <v>105801</v>
          </cell>
          <cell r="K1759"/>
          <cell r="L1759">
            <v>46030</v>
          </cell>
          <cell r="N1759" t="str">
            <v>Hasanpur</v>
          </cell>
        </row>
        <row r="1760">
          <cell r="B1760">
            <v>10580014</v>
          </cell>
          <cell r="C1760" t="str">
            <v>0014</v>
          </cell>
          <cell r="D1760"/>
          <cell r="E1760" t="str">
            <v>MPG</v>
          </cell>
          <cell r="F1760" t="str">
            <v>Indirect</v>
          </cell>
          <cell r="G1760" t="str">
            <v>Gijri - VLC</v>
          </cell>
          <cell r="H1760" t="str">
            <v>Photo Yadav</v>
          </cell>
          <cell r="I1760">
            <v>7631305779</v>
          </cell>
          <cell r="J1760" t="str">
            <v>105801</v>
          </cell>
          <cell r="K1760"/>
          <cell r="L1760">
            <v>46030</v>
          </cell>
          <cell r="N1760" t="str">
            <v>Hasanpur</v>
          </cell>
        </row>
        <row r="1761">
          <cell r="B1761">
            <v>10580015</v>
          </cell>
          <cell r="C1761" t="str">
            <v>0015</v>
          </cell>
          <cell r="D1761"/>
          <cell r="E1761" t="str">
            <v>MPG</v>
          </cell>
          <cell r="F1761" t="str">
            <v>Direct</v>
          </cell>
          <cell r="G1761" t="str">
            <v>Birpur</v>
          </cell>
          <cell r="H1761" t="str">
            <v>Badri Mahto</v>
          </cell>
          <cell r="I1761">
            <v>6005449960</v>
          </cell>
          <cell r="J1761" t="str">
            <v>105801</v>
          </cell>
          <cell r="K1761"/>
          <cell r="L1761">
            <v>46030</v>
          </cell>
          <cell r="N1761" t="str">
            <v>Hasanpur</v>
          </cell>
        </row>
        <row r="1762">
          <cell r="B1762">
            <v>10580016</v>
          </cell>
          <cell r="C1762" t="str">
            <v>0016</v>
          </cell>
          <cell r="D1762"/>
          <cell r="E1762" t="str">
            <v>MPG</v>
          </cell>
          <cell r="F1762" t="str">
            <v>Indirect</v>
          </cell>
          <cell r="G1762" t="str">
            <v>Laxmipur-2 VLC</v>
          </cell>
          <cell r="H1762" t="str">
            <v>Sujit Kumar</v>
          </cell>
          <cell r="I1762">
            <v>9525906275</v>
          </cell>
          <cell r="J1762" t="str">
            <v>105801</v>
          </cell>
          <cell r="K1762"/>
          <cell r="L1762">
            <v>46030</v>
          </cell>
          <cell r="N1762" t="str">
            <v>Hasanpur</v>
          </cell>
        </row>
        <row r="1763">
          <cell r="B1763">
            <v>10580017</v>
          </cell>
          <cell r="C1763" t="str">
            <v>0017</v>
          </cell>
          <cell r="D1763"/>
          <cell r="E1763" t="str">
            <v>MPG</v>
          </cell>
          <cell r="F1763" t="str">
            <v>Direct</v>
          </cell>
          <cell r="G1763" t="str">
            <v>Ahilwar</v>
          </cell>
          <cell r="H1763" t="str">
            <v>Sunil Kumar</v>
          </cell>
          <cell r="I1763">
            <v>7250238520</v>
          </cell>
          <cell r="J1763" t="str">
            <v>105801</v>
          </cell>
          <cell r="K1763"/>
          <cell r="L1763">
            <v>46030</v>
          </cell>
          <cell r="N1763" t="str">
            <v>Hasanpur</v>
          </cell>
        </row>
        <row r="1764">
          <cell r="B1764">
            <v>10580018</v>
          </cell>
          <cell r="C1764" t="str">
            <v>0018</v>
          </cell>
          <cell r="D1764"/>
          <cell r="E1764" t="str">
            <v>MPG</v>
          </cell>
          <cell r="F1764" t="str">
            <v>Direct</v>
          </cell>
          <cell r="G1764" t="str">
            <v>Paridah</v>
          </cell>
          <cell r="H1764" t="str">
            <v>Rajniti Devi</v>
          </cell>
          <cell r="I1764">
            <v>9973066715</v>
          </cell>
          <cell r="J1764" t="str">
            <v>105801</v>
          </cell>
          <cell r="K1764"/>
          <cell r="L1764">
            <v>46030</v>
          </cell>
          <cell r="N1764" t="str">
            <v>Hasanpur</v>
          </cell>
        </row>
        <row r="1765">
          <cell r="B1765">
            <v>10580019</v>
          </cell>
          <cell r="C1765" t="str">
            <v>0019</v>
          </cell>
          <cell r="D1765"/>
          <cell r="E1765" t="str">
            <v>MPG</v>
          </cell>
          <cell r="F1765" t="str">
            <v>Direct</v>
          </cell>
          <cell r="G1765" t="str">
            <v>Pansalla</v>
          </cell>
          <cell r="H1765" t="str">
            <v>Asha devi</v>
          </cell>
          <cell r="I1765">
            <v>8051102195</v>
          </cell>
          <cell r="J1765" t="str">
            <v>105801</v>
          </cell>
          <cell r="K1765"/>
          <cell r="L1765">
            <v>46030</v>
          </cell>
          <cell r="N1765" t="str">
            <v>Hasanpur</v>
          </cell>
        </row>
        <row r="1766">
          <cell r="B1766">
            <v>10580020</v>
          </cell>
          <cell r="C1766" t="str">
            <v>0020</v>
          </cell>
          <cell r="D1766"/>
          <cell r="E1766" t="str">
            <v>MPG</v>
          </cell>
          <cell r="F1766" t="str">
            <v>Indirect</v>
          </cell>
          <cell r="G1766" t="str">
            <v>MOKKARI</v>
          </cell>
          <cell r="H1766" t="str">
            <v xml:space="preserve">Sanjeev Kumar Yadav </v>
          </cell>
          <cell r="I1766">
            <v>9102254382</v>
          </cell>
          <cell r="J1766" t="str">
            <v>105801</v>
          </cell>
          <cell r="K1766"/>
          <cell r="L1766">
            <v>46065</v>
          </cell>
          <cell r="N1766" t="str">
            <v>Hasanpur</v>
          </cell>
        </row>
        <row r="1767">
          <cell r="B1767">
            <v>10580021</v>
          </cell>
          <cell r="C1767" t="str">
            <v>0021</v>
          </cell>
          <cell r="D1767"/>
          <cell r="E1767" t="str">
            <v>MPG</v>
          </cell>
          <cell r="F1767" t="str">
            <v>Indirect</v>
          </cell>
          <cell r="G1767" t="str">
            <v>RAJOPUR</v>
          </cell>
          <cell r="H1767" t="str">
            <v>Santosh Yadav</v>
          </cell>
          <cell r="I1767">
            <v>9006009328</v>
          </cell>
          <cell r="J1767" t="str">
            <v>105801</v>
          </cell>
          <cell r="K1767"/>
          <cell r="L1767">
            <v>46065</v>
          </cell>
          <cell r="N1767" t="str">
            <v>Hasanpur</v>
          </cell>
        </row>
        <row r="1768">
          <cell r="B1768">
            <v>10580022</v>
          </cell>
          <cell r="C1768" t="str">
            <v>0022</v>
          </cell>
          <cell r="D1768"/>
          <cell r="E1768" t="str">
            <v>MPG</v>
          </cell>
          <cell r="F1768" t="str">
            <v>Direct</v>
          </cell>
          <cell r="G1768" t="str">
            <v>KOLAWARI</v>
          </cell>
          <cell r="H1768" t="str">
            <v xml:space="preserve">Suresh Yadav </v>
          </cell>
          <cell r="I1768">
            <v>7858931529</v>
          </cell>
          <cell r="J1768" t="str">
            <v>105801</v>
          </cell>
          <cell r="K1768"/>
          <cell r="L1768">
            <v>46065</v>
          </cell>
          <cell r="N1768" t="str">
            <v>Hasanpur</v>
          </cell>
        </row>
        <row r="1769">
          <cell r="B1769">
            <v>10580023</v>
          </cell>
          <cell r="C1769" t="str">
            <v>0023</v>
          </cell>
          <cell r="D1769"/>
          <cell r="E1769" t="str">
            <v>MPG</v>
          </cell>
          <cell r="F1769" t="str">
            <v>Indirect</v>
          </cell>
          <cell r="G1769" t="str">
            <v>MALDAH</v>
          </cell>
          <cell r="H1769" t="str">
            <v xml:space="preserve">Vinod Kumar </v>
          </cell>
          <cell r="I1769">
            <v>7361024655</v>
          </cell>
          <cell r="J1769" t="str">
            <v>105801</v>
          </cell>
          <cell r="K1769"/>
          <cell r="L1769">
            <v>46073</v>
          </cell>
          <cell r="N1769" t="str">
            <v>Hasanpur</v>
          </cell>
        </row>
        <row r="1770">
          <cell r="B1770">
            <v>10590001</v>
          </cell>
          <cell r="C1770" t="str">
            <v>0001</v>
          </cell>
          <cell r="D1770"/>
          <cell r="E1770" t="str">
            <v>MPG</v>
          </cell>
          <cell r="F1770" t="str">
            <v>Direct</v>
          </cell>
          <cell r="G1770" t="str">
            <v>MISHRBIGHA</v>
          </cell>
          <cell r="H1770" t="str">
            <v>BARBIR YADAV</v>
          </cell>
          <cell r="I1770">
            <v>9823476545</v>
          </cell>
          <cell r="J1770" t="str">
            <v>105901</v>
          </cell>
          <cell r="K1770"/>
          <cell r="L1770">
            <v>46018</v>
          </cell>
          <cell r="N1770" t="str">
            <v>Gopalpur</v>
          </cell>
        </row>
        <row r="1771">
          <cell r="B1771">
            <v>10590002</v>
          </cell>
          <cell r="C1771" t="str">
            <v>0002</v>
          </cell>
          <cell r="D1771"/>
          <cell r="E1771" t="str">
            <v>MPG</v>
          </cell>
          <cell r="F1771" t="str">
            <v>Direct</v>
          </cell>
          <cell r="G1771" t="str">
            <v>DIGHOI</v>
          </cell>
          <cell r="H1771" t="str">
            <v>JAI PRAKASH YADAV</v>
          </cell>
          <cell r="I1771">
            <v>9199090840</v>
          </cell>
          <cell r="J1771" t="str">
            <v>105901</v>
          </cell>
          <cell r="K1771"/>
          <cell r="L1771">
            <v>46018</v>
          </cell>
          <cell r="N1771" t="str">
            <v>Gopalpur</v>
          </cell>
        </row>
        <row r="1772">
          <cell r="B1772">
            <v>10590003</v>
          </cell>
          <cell r="C1772" t="str">
            <v>0003</v>
          </cell>
          <cell r="D1772"/>
          <cell r="E1772" t="str">
            <v>MPG</v>
          </cell>
          <cell r="F1772" t="str">
            <v>Direct</v>
          </cell>
          <cell r="G1772" t="str">
            <v>BANGHI PYAR</v>
          </cell>
          <cell r="H1772" t="str">
            <v>PRAVEEN KUMAR</v>
          </cell>
          <cell r="I1772">
            <v>6206085927</v>
          </cell>
          <cell r="J1772" t="str">
            <v>105901</v>
          </cell>
          <cell r="K1772"/>
          <cell r="L1772">
            <v>46018</v>
          </cell>
          <cell r="N1772" t="str">
            <v>Gopalpur</v>
          </cell>
        </row>
        <row r="1773">
          <cell r="B1773">
            <v>10590004</v>
          </cell>
          <cell r="C1773" t="str">
            <v>0004</v>
          </cell>
          <cell r="D1773"/>
          <cell r="E1773" t="str">
            <v>MPG</v>
          </cell>
          <cell r="F1773" t="str">
            <v>Direct</v>
          </cell>
          <cell r="G1773" t="str">
            <v>PRATAPUR</v>
          </cell>
          <cell r="H1773" t="str">
            <v>MANTU Kumar YADAV</v>
          </cell>
          <cell r="I1773">
            <v>6207549772</v>
          </cell>
          <cell r="J1773" t="str">
            <v>105901</v>
          </cell>
          <cell r="K1773"/>
          <cell r="L1773">
            <v>46018</v>
          </cell>
          <cell r="N1773" t="str">
            <v>Gopalpur</v>
          </cell>
        </row>
        <row r="1774">
          <cell r="B1774">
            <v>10590005</v>
          </cell>
          <cell r="C1774" t="str">
            <v>0005</v>
          </cell>
          <cell r="D1774"/>
          <cell r="E1774" t="str">
            <v>MPG</v>
          </cell>
          <cell r="F1774" t="str">
            <v>Direct</v>
          </cell>
          <cell r="G1774" t="str">
            <v>DHANURI</v>
          </cell>
          <cell r="H1774" t="str">
            <v>PRAMOD PANDE</v>
          </cell>
          <cell r="I1774">
            <v>9852115065</v>
          </cell>
          <cell r="J1774" t="str">
            <v>105901</v>
          </cell>
          <cell r="K1774"/>
          <cell r="L1774">
            <v>46018</v>
          </cell>
          <cell r="N1774" t="str">
            <v>Gopalpur</v>
          </cell>
        </row>
        <row r="1775">
          <cell r="B1775">
            <v>10590006</v>
          </cell>
          <cell r="C1775" t="str">
            <v>0006</v>
          </cell>
          <cell r="D1775"/>
          <cell r="E1775" t="str">
            <v>MPG</v>
          </cell>
          <cell r="F1775" t="str">
            <v>Direct</v>
          </cell>
          <cell r="G1775" t="str">
            <v>GOPALPUR</v>
          </cell>
          <cell r="H1775" t="str">
            <v>SANJEEV KUMAR</v>
          </cell>
          <cell r="I1775">
            <v>6200637477</v>
          </cell>
          <cell r="J1775" t="str">
            <v>105901</v>
          </cell>
          <cell r="K1775"/>
          <cell r="L1775">
            <v>46043</v>
          </cell>
          <cell r="N1775" t="str">
            <v>Gopalpur</v>
          </cell>
        </row>
        <row r="1776">
          <cell r="B1776">
            <v>10590007</v>
          </cell>
          <cell r="C1776" t="str">
            <v>0007</v>
          </cell>
          <cell r="D1776"/>
          <cell r="E1776" t="str">
            <v>MPG</v>
          </cell>
          <cell r="F1776" t="str">
            <v>Direct</v>
          </cell>
          <cell r="G1776" t="str">
            <v>LAXMIPUR</v>
          </cell>
          <cell r="H1776" t="str">
            <v>PRADEEP KUMAR</v>
          </cell>
          <cell r="I1776">
            <v>7006009079</v>
          </cell>
          <cell r="J1776" t="str">
            <v>105901</v>
          </cell>
          <cell r="K1776"/>
          <cell r="L1776">
            <v>46043</v>
          </cell>
          <cell r="N1776" t="str">
            <v>Gopalpur</v>
          </cell>
        </row>
        <row r="1777">
          <cell r="B1777">
            <v>10590008</v>
          </cell>
          <cell r="C1777" t="str">
            <v>0008</v>
          </cell>
          <cell r="D1777"/>
          <cell r="E1777" t="str">
            <v>MPG</v>
          </cell>
          <cell r="F1777" t="str">
            <v>Direct</v>
          </cell>
          <cell r="G1777" t="str">
            <v>NARMDA</v>
          </cell>
          <cell r="H1777" t="str">
            <v>NITHISHKUMAR</v>
          </cell>
          <cell r="I1777">
            <v>8340107423</v>
          </cell>
          <cell r="J1777" t="str">
            <v>105901</v>
          </cell>
          <cell r="K1777"/>
          <cell r="L1777">
            <v>46043</v>
          </cell>
          <cell r="N1777" t="str">
            <v>Gopalpur</v>
          </cell>
        </row>
        <row r="1778">
          <cell r="B1778">
            <v>10590009</v>
          </cell>
          <cell r="C1778" t="str">
            <v>0009</v>
          </cell>
          <cell r="D1778"/>
          <cell r="E1778" t="str">
            <v>MPG</v>
          </cell>
          <cell r="F1778" t="str">
            <v>Direct</v>
          </cell>
          <cell r="G1778" t="str">
            <v>LAKHANPUR</v>
          </cell>
          <cell r="H1778" t="str">
            <v>KUNDAN KUMAR</v>
          </cell>
          <cell r="I1778">
            <v>8406851717</v>
          </cell>
          <cell r="J1778" t="str">
            <v>105901</v>
          </cell>
          <cell r="K1778"/>
          <cell r="L1778">
            <v>46043</v>
          </cell>
          <cell r="N1778" t="str">
            <v>Gopalpur</v>
          </cell>
        </row>
        <row r="1779">
          <cell r="B1779">
            <v>10590010</v>
          </cell>
          <cell r="C1779" t="str">
            <v>0010</v>
          </cell>
          <cell r="D1779"/>
          <cell r="E1779" t="str">
            <v>MPG</v>
          </cell>
          <cell r="F1779" t="str">
            <v>Direct</v>
          </cell>
          <cell r="G1779" t="str">
            <v>AMRATH</v>
          </cell>
          <cell r="H1779" t="str">
            <v>SANJAY KUMAR</v>
          </cell>
          <cell r="I1779">
            <v>6204268401</v>
          </cell>
          <cell r="J1779" t="str">
            <v>105901</v>
          </cell>
          <cell r="K1779"/>
          <cell r="L1779">
            <v>46043</v>
          </cell>
          <cell r="N1779" t="str">
            <v>Gopalpur</v>
          </cell>
        </row>
        <row r="1780">
          <cell r="B1780">
            <v>10590011</v>
          </cell>
          <cell r="C1780" t="str">
            <v>0011</v>
          </cell>
          <cell r="D1780"/>
          <cell r="E1780" t="str">
            <v>MPG</v>
          </cell>
          <cell r="F1780" t="str">
            <v>Direct</v>
          </cell>
          <cell r="G1780" t="str">
            <v>PUTERIA</v>
          </cell>
          <cell r="H1780" t="str">
            <v>rishu kumar</v>
          </cell>
          <cell r="I1780">
            <v>7667069204</v>
          </cell>
          <cell r="J1780" t="str">
            <v>105901</v>
          </cell>
          <cell r="K1780"/>
          <cell r="L1780">
            <v>46081</v>
          </cell>
          <cell r="N1780" t="str">
            <v>Gopalpur</v>
          </cell>
        </row>
        <row r="1781">
          <cell r="B1781">
            <v>10590012</v>
          </cell>
          <cell r="C1781" t="str">
            <v>0012</v>
          </cell>
          <cell r="D1781"/>
          <cell r="E1781" t="str">
            <v>MPG</v>
          </cell>
          <cell r="F1781" t="str">
            <v>Direct</v>
          </cell>
          <cell r="G1781" t="str">
            <v>LAKHAPUR</v>
          </cell>
          <cell r="H1781" t="str">
            <v>SUBHASH YADAV</v>
          </cell>
          <cell r="I1781">
            <v>8882335696</v>
          </cell>
          <cell r="J1781" t="str">
            <v>105901</v>
          </cell>
          <cell r="K1781"/>
          <cell r="L1781">
            <v>46081</v>
          </cell>
          <cell r="N1781" t="str">
            <v>Gopalpur</v>
          </cell>
        </row>
        <row r="1782">
          <cell r="B1782">
            <v>10590013</v>
          </cell>
          <cell r="C1782" t="str">
            <v>0013</v>
          </cell>
          <cell r="D1782"/>
          <cell r="E1782" t="str">
            <v>MPG</v>
          </cell>
          <cell r="F1782" t="str">
            <v>Direct</v>
          </cell>
          <cell r="G1782" t="str">
            <v>BARIYARPUR</v>
          </cell>
          <cell r="H1782" t="str">
            <v>UPENDRA K NIRALA</v>
          </cell>
          <cell r="I1782">
            <v>9113060956</v>
          </cell>
          <cell r="J1782" t="str">
            <v>105901</v>
          </cell>
          <cell r="K1782"/>
          <cell r="L1782">
            <v>46081</v>
          </cell>
          <cell r="N1782" t="str">
            <v>Gopalpur</v>
          </cell>
        </row>
        <row r="1783">
          <cell r="B1783">
            <v>10600001</v>
          </cell>
          <cell r="C1783" t="str">
            <v>0001</v>
          </cell>
          <cell r="D1783"/>
          <cell r="E1783" t="str">
            <v>MPG</v>
          </cell>
          <cell r="F1783" t="str">
            <v>Direct</v>
          </cell>
          <cell r="G1783" t="str">
            <v>Gomukh Karisath</v>
          </cell>
          <cell r="H1783" t="str">
            <v>Sumit Kumar singh</v>
          </cell>
          <cell r="I1783">
            <v>9973097605</v>
          </cell>
          <cell r="J1783" t="str">
            <v>106001</v>
          </cell>
          <cell r="K1783"/>
          <cell r="L1783">
            <v>46039</v>
          </cell>
          <cell r="N1783" t="str">
            <v>Behiya</v>
          </cell>
        </row>
        <row r="1784">
          <cell r="B1784">
            <v>10600002</v>
          </cell>
          <cell r="C1784" t="str">
            <v>0002</v>
          </cell>
          <cell r="D1784"/>
          <cell r="E1784" t="str">
            <v>MPG</v>
          </cell>
          <cell r="F1784" t="str">
            <v>Direct</v>
          </cell>
          <cell r="G1784" t="str">
            <v>Gomukh Ama</v>
          </cell>
          <cell r="H1784" t="str">
            <v>Pankaj Singh</v>
          </cell>
          <cell r="I1784">
            <v>7903889565</v>
          </cell>
          <cell r="J1784" t="str">
            <v>106001</v>
          </cell>
          <cell r="K1784"/>
          <cell r="L1784">
            <v>46039</v>
          </cell>
          <cell r="N1784" t="str">
            <v>Behiya</v>
          </cell>
        </row>
        <row r="1785">
          <cell r="B1785">
            <v>10600003</v>
          </cell>
          <cell r="C1785" t="str">
            <v>0003</v>
          </cell>
          <cell r="D1785"/>
          <cell r="E1785" t="str">
            <v>MPG</v>
          </cell>
          <cell r="F1785" t="str">
            <v>Direct</v>
          </cell>
          <cell r="G1785" t="str">
            <v>Gomukh Chanda</v>
          </cell>
          <cell r="H1785" t="str">
            <v>Jitendra Kumar</v>
          </cell>
          <cell r="I1785">
            <v>9128660814</v>
          </cell>
          <cell r="J1785" t="str">
            <v>106001</v>
          </cell>
          <cell r="K1785"/>
          <cell r="L1785">
            <v>46039</v>
          </cell>
          <cell r="N1785" t="str">
            <v>Behiya</v>
          </cell>
        </row>
        <row r="1786">
          <cell r="B1786">
            <v>10600004</v>
          </cell>
          <cell r="C1786" t="str">
            <v>0004</v>
          </cell>
          <cell r="D1786"/>
          <cell r="E1786" t="str">
            <v>MPG</v>
          </cell>
          <cell r="F1786" t="str">
            <v>Direct</v>
          </cell>
          <cell r="G1786" t="str">
            <v>Gomukh Pawat</v>
          </cell>
          <cell r="H1786" t="str">
            <v>Poonam Devi</v>
          </cell>
          <cell r="I1786">
            <v>8877643821</v>
          </cell>
          <cell r="J1786" t="str">
            <v>106001</v>
          </cell>
          <cell r="K1786"/>
          <cell r="L1786">
            <v>46039</v>
          </cell>
          <cell r="N1786" t="str">
            <v>Behiya</v>
          </cell>
        </row>
        <row r="1787">
          <cell r="B1787">
            <v>10600005</v>
          </cell>
          <cell r="C1787" t="str">
            <v>0005</v>
          </cell>
          <cell r="D1787"/>
          <cell r="E1787" t="str">
            <v>MPG</v>
          </cell>
          <cell r="F1787" t="str">
            <v>Direct</v>
          </cell>
          <cell r="G1787" t="str">
            <v>Gomukh Barja</v>
          </cell>
          <cell r="H1787" t="str">
            <v>Rahul Kr Tiwari</v>
          </cell>
          <cell r="I1787">
            <v>9507010029</v>
          </cell>
          <cell r="J1787" t="str">
            <v>106001</v>
          </cell>
          <cell r="K1787"/>
          <cell r="L1787">
            <v>46039</v>
          </cell>
          <cell r="N1787" t="str">
            <v>Behiya</v>
          </cell>
        </row>
        <row r="1788">
          <cell r="B1788">
            <v>10600006</v>
          </cell>
          <cell r="C1788" t="str">
            <v>0006</v>
          </cell>
          <cell r="D1788"/>
          <cell r="E1788" t="str">
            <v>MPG</v>
          </cell>
          <cell r="F1788" t="str">
            <v>Direct</v>
          </cell>
          <cell r="G1788" t="str">
            <v>Gomukh Charghat</v>
          </cell>
          <cell r="H1788" t="str">
            <v>Raja Ram Yadav</v>
          </cell>
          <cell r="I1788">
            <v>9262609081</v>
          </cell>
          <cell r="J1788" t="str">
            <v>106001</v>
          </cell>
          <cell r="K1788"/>
          <cell r="L1788">
            <v>46039</v>
          </cell>
          <cell r="N1788" t="str">
            <v>Behiya</v>
          </cell>
        </row>
        <row r="1789">
          <cell r="B1789">
            <v>10600007</v>
          </cell>
          <cell r="C1789" t="str">
            <v>0007</v>
          </cell>
          <cell r="D1789"/>
          <cell r="E1789" t="str">
            <v>MPG</v>
          </cell>
          <cell r="F1789" t="str">
            <v>Direct</v>
          </cell>
          <cell r="G1789" t="str">
            <v>Gomukh Navadih</v>
          </cell>
          <cell r="H1789" t="str">
            <v>Amrendra Ojha</v>
          </cell>
          <cell r="I1789">
            <v>9570762651</v>
          </cell>
          <cell r="J1789" t="str">
            <v>106001</v>
          </cell>
          <cell r="K1789"/>
          <cell r="L1789">
            <v>46039</v>
          </cell>
          <cell r="N1789" t="str">
            <v>Behiya</v>
          </cell>
        </row>
        <row r="1790">
          <cell r="B1790">
            <v>10600008</v>
          </cell>
          <cell r="C1790" t="str">
            <v>0008</v>
          </cell>
          <cell r="D1790"/>
          <cell r="E1790" t="str">
            <v>MPG</v>
          </cell>
          <cell r="F1790" t="str">
            <v>Direct</v>
          </cell>
          <cell r="G1790" t="str">
            <v>Gomukh Ramdihra</v>
          </cell>
          <cell r="H1790" t="str">
            <v>Pratima Kumari</v>
          </cell>
          <cell r="I1790">
            <v>9507893820</v>
          </cell>
          <cell r="J1790" t="str">
            <v>106001</v>
          </cell>
          <cell r="K1790"/>
          <cell r="L1790">
            <v>46043</v>
          </cell>
          <cell r="N1790" t="str">
            <v>Behiya</v>
          </cell>
        </row>
        <row r="1791">
          <cell r="B1791">
            <v>10600009</v>
          </cell>
          <cell r="C1791" t="str">
            <v>0009</v>
          </cell>
          <cell r="D1791"/>
          <cell r="E1791" t="str">
            <v>MPG</v>
          </cell>
          <cell r="F1791" t="str">
            <v>Direct</v>
          </cell>
          <cell r="G1791" t="str">
            <v>Gomukh Bara</v>
          </cell>
          <cell r="H1791" t="str">
            <v>Jitendra Rai</v>
          </cell>
          <cell r="I1791">
            <v>9939084877</v>
          </cell>
          <cell r="J1791" t="str">
            <v>106001</v>
          </cell>
          <cell r="K1791"/>
          <cell r="L1791">
            <v>46043</v>
          </cell>
          <cell r="N1791" t="str">
            <v>Behiya</v>
          </cell>
        </row>
        <row r="1792">
          <cell r="B1792">
            <v>10600010</v>
          </cell>
          <cell r="C1792" t="str">
            <v>0010</v>
          </cell>
          <cell r="D1792"/>
          <cell r="E1792" t="str">
            <v>MPG</v>
          </cell>
          <cell r="F1792" t="str">
            <v>Direct</v>
          </cell>
          <cell r="G1792" t="str">
            <v>Gumukh Salempur</v>
          </cell>
          <cell r="H1792" t="str">
            <v>Vikrant dubey</v>
          </cell>
          <cell r="I1792">
            <v>7726947772</v>
          </cell>
          <cell r="J1792" t="str">
            <v>106001</v>
          </cell>
          <cell r="K1792"/>
          <cell r="L1792">
            <v>46043</v>
          </cell>
          <cell r="N1792" t="str">
            <v>Behiya</v>
          </cell>
        </row>
        <row r="1793">
          <cell r="B1793">
            <v>10600011</v>
          </cell>
          <cell r="C1793" t="str">
            <v>0011</v>
          </cell>
          <cell r="D1793"/>
          <cell r="E1793" t="str">
            <v>MPG</v>
          </cell>
          <cell r="F1793" t="str">
            <v>Direct</v>
          </cell>
          <cell r="G1793" t="str">
            <v>Gumukh Sobhitola</v>
          </cell>
          <cell r="H1793" t="str">
            <v>Bimla devi</v>
          </cell>
          <cell r="I1793">
            <v>6289765726</v>
          </cell>
          <cell r="J1793" t="str">
            <v>106001</v>
          </cell>
          <cell r="K1793"/>
          <cell r="L1793">
            <v>46043</v>
          </cell>
          <cell r="N1793" t="str">
            <v>Behiya</v>
          </cell>
        </row>
        <row r="1794">
          <cell r="B1794">
            <v>10610001</v>
          </cell>
          <cell r="C1794" t="str">
            <v>0001</v>
          </cell>
          <cell r="D1794"/>
          <cell r="E1794" t="str">
            <v>MPG</v>
          </cell>
          <cell r="F1794" t="str">
            <v>Direct</v>
          </cell>
          <cell r="G1794" t="str">
            <v>GOMUKH BHATOLIYA</v>
          </cell>
          <cell r="H1794" t="str">
            <v>Sita Devi</v>
          </cell>
          <cell r="I1794">
            <v>7986765561</v>
          </cell>
          <cell r="J1794" t="str">
            <v>106101</v>
          </cell>
          <cell r="K1794"/>
          <cell r="L1794">
            <v>46046</v>
          </cell>
          <cell r="N1794" t="str">
            <v>Mahua </v>
          </cell>
        </row>
        <row r="1795">
          <cell r="B1795">
            <v>10610002</v>
          </cell>
          <cell r="C1795" t="str">
            <v>0002</v>
          </cell>
          <cell r="D1795"/>
          <cell r="E1795" t="str">
            <v>MPG</v>
          </cell>
          <cell r="F1795" t="str">
            <v>Direct</v>
          </cell>
          <cell r="G1795" t="str">
            <v>GOMUKH CHEHRAKALA</v>
          </cell>
          <cell r="H1795" t="str">
            <v>Rambabu Ray</v>
          </cell>
          <cell r="I1795">
            <v>8603632669</v>
          </cell>
          <cell r="J1795" t="str">
            <v>106101</v>
          </cell>
          <cell r="K1795"/>
          <cell r="L1795">
            <v>46046</v>
          </cell>
          <cell r="N1795" t="str">
            <v>Mahua </v>
          </cell>
        </row>
        <row r="1796">
          <cell r="B1796">
            <v>10610003</v>
          </cell>
          <cell r="C1796" t="str">
            <v>0003</v>
          </cell>
          <cell r="D1796"/>
          <cell r="E1796" t="str">
            <v>MPG</v>
          </cell>
          <cell r="F1796" t="str">
            <v>Direct</v>
          </cell>
          <cell r="G1796" t="str">
            <v>GOMUKH KHAJECHAND</v>
          </cell>
          <cell r="H1796" t="str">
            <v>Ravindra Ray</v>
          </cell>
          <cell r="I1796">
            <v>6202341510</v>
          </cell>
          <cell r="J1796" t="str">
            <v>106101</v>
          </cell>
          <cell r="K1796"/>
          <cell r="L1796">
            <v>46046</v>
          </cell>
          <cell r="N1796" t="str">
            <v>Mahua </v>
          </cell>
        </row>
        <row r="1797">
          <cell r="B1797">
            <v>10610004</v>
          </cell>
          <cell r="C1797" t="str">
            <v>0004</v>
          </cell>
          <cell r="D1797"/>
          <cell r="E1797" t="str">
            <v>MPG</v>
          </cell>
          <cell r="F1797" t="str">
            <v>Direct</v>
          </cell>
          <cell r="G1797" t="str">
            <v>GOMUKH SALEMPUR</v>
          </cell>
          <cell r="H1797" t="str">
            <v>Manjay Kumar</v>
          </cell>
          <cell r="I1797">
            <v>8581085997</v>
          </cell>
          <cell r="J1797" t="str">
            <v>106101</v>
          </cell>
          <cell r="K1797"/>
          <cell r="L1797">
            <v>46046</v>
          </cell>
          <cell r="N1797" t="str">
            <v>Mahua </v>
          </cell>
        </row>
        <row r="1798">
          <cell r="B1798">
            <v>10610005</v>
          </cell>
          <cell r="C1798" t="str">
            <v>0005</v>
          </cell>
          <cell r="D1798"/>
          <cell r="E1798" t="str">
            <v>MPG</v>
          </cell>
          <cell r="F1798" t="str">
            <v>Direct</v>
          </cell>
          <cell r="G1798" t="str">
            <v>GOMUKH PAHARPUR</v>
          </cell>
          <cell r="H1798" t="str">
            <v>Ajeet Kumar</v>
          </cell>
          <cell r="I1798">
            <v>6204689040</v>
          </cell>
          <cell r="J1798" t="str">
            <v>106101</v>
          </cell>
          <cell r="K1798"/>
          <cell r="L1798">
            <v>46046</v>
          </cell>
          <cell r="N1798" t="str">
            <v>Mahua </v>
          </cell>
        </row>
        <row r="1799">
          <cell r="B1799">
            <v>10610006</v>
          </cell>
          <cell r="C1799" t="str">
            <v>0006</v>
          </cell>
          <cell r="D1799"/>
          <cell r="E1799" t="str">
            <v>MPG</v>
          </cell>
          <cell r="F1799" t="str">
            <v>Direct</v>
          </cell>
          <cell r="G1799" t="str">
            <v>GOMUKH PREMRAJ</v>
          </cell>
          <cell r="H1799" t="str">
            <v>Rohit Kumar</v>
          </cell>
          <cell r="I1799">
            <v>8969881061</v>
          </cell>
          <cell r="J1799" t="str">
            <v>106101</v>
          </cell>
          <cell r="K1799"/>
          <cell r="L1799">
            <v>46046</v>
          </cell>
          <cell r="N1799" t="str">
            <v>Mahua </v>
          </cell>
        </row>
        <row r="1800">
          <cell r="B1800">
            <v>10610007</v>
          </cell>
          <cell r="C1800" t="str">
            <v>0007</v>
          </cell>
          <cell r="D1800"/>
          <cell r="E1800" t="str">
            <v>MPG</v>
          </cell>
          <cell r="F1800" t="str">
            <v>Direct</v>
          </cell>
          <cell r="G1800" t="str">
            <v>GOMUKH MAGURAHI</v>
          </cell>
          <cell r="H1800" t="str">
            <v>Chandrakala Devi</v>
          </cell>
          <cell r="I1800">
            <v>9525998594</v>
          </cell>
          <cell r="J1800" t="str">
            <v>106101</v>
          </cell>
          <cell r="K1800"/>
          <cell r="L1800">
            <v>46046</v>
          </cell>
          <cell r="N1800" t="str">
            <v>Mahua </v>
          </cell>
        </row>
        <row r="1801">
          <cell r="B1801">
            <v>10610008</v>
          </cell>
          <cell r="C1801" t="str">
            <v>0008</v>
          </cell>
          <cell r="D1801"/>
          <cell r="E1801" t="str">
            <v>MPG</v>
          </cell>
          <cell r="F1801" t="str">
            <v>Direct</v>
          </cell>
          <cell r="G1801" t="str">
            <v>GOMUKH GANGATI</v>
          </cell>
          <cell r="H1801" t="str">
            <v>Rishikesh Kumar</v>
          </cell>
          <cell r="I1801">
            <v>9155920640</v>
          </cell>
          <cell r="J1801" t="str">
            <v>106101</v>
          </cell>
          <cell r="K1801"/>
          <cell r="L1801">
            <v>46046</v>
          </cell>
          <cell r="N1801" t="str">
            <v>Mahua </v>
          </cell>
        </row>
        <row r="1802">
          <cell r="B1802">
            <v>10610009</v>
          </cell>
          <cell r="C1802" t="str">
            <v>0009</v>
          </cell>
          <cell r="D1802"/>
          <cell r="E1802" t="str">
            <v>MPG</v>
          </cell>
          <cell r="F1802" t="str">
            <v>Direct</v>
          </cell>
          <cell r="G1802" t="str">
            <v>GOMUKH Khanpatti</v>
          </cell>
          <cell r="H1802" t="str">
            <v>Birendra Ray</v>
          </cell>
          <cell r="I1802">
            <v>8651818604</v>
          </cell>
          <cell r="J1802" t="str">
            <v>106101</v>
          </cell>
          <cell r="K1802"/>
          <cell r="L1802">
            <v>46053</v>
          </cell>
          <cell r="N1802" t="str">
            <v>Mahua </v>
          </cell>
        </row>
        <row r="1803">
          <cell r="B1803">
            <v>10610010</v>
          </cell>
          <cell r="C1803" t="str">
            <v>0010</v>
          </cell>
          <cell r="D1803"/>
          <cell r="E1803" t="str">
            <v>MPG</v>
          </cell>
          <cell r="F1803" t="str">
            <v>Direct</v>
          </cell>
          <cell r="G1803" t="str">
            <v>GOMUKH Bhagwatpur</v>
          </cell>
          <cell r="H1803" t="str">
            <v>Pappu kumar Ray</v>
          </cell>
          <cell r="I1803">
            <v>8294413675</v>
          </cell>
          <cell r="J1803" t="str">
            <v>106101</v>
          </cell>
          <cell r="K1803"/>
          <cell r="L1803">
            <v>46053</v>
          </cell>
          <cell r="N1803" t="str">
            <v>Mahua </v>
          </cell>
        </row>
        <row r="1804">
          <cell r="B1804">
            <v>10610011</v>
          </cell>
          <cell r="C1804" t="str">
            <v>0011</v>
          </cell>
          <cell r="D1804"/>
          <cell r="E1804" t="str">
            <v>MPG</v>
          </cell>
          <cell r="F1804" t="str">
            <v>Indirect</v>
          </cell>
          <cell r="G1804" t="str">
            <v>GOMUKH JIRWARA</v>
          </cell>
          <cell r="H1804" t="str">
            <v>Archana Devi</v>
          </cell>
          <cell r="I1804">
            <v>9708969751</v>
          </cell>
          <cell r="J1804" t="str">
            <v>106101</v>
          </cell>
          <cell r="K1804"/>
          <cell r="L1804">
            <v>46053</v>
          </cell>
          <cell r="N1804" t="str">
            <v>Mahua </v>
          </cell>
        </row>
        <row r="1805">
          <cell r="B1805">
            <v>10610012</v>
          </cell>
          <cell r="C1805" t="str">
            <v>0012</v>
          </cell>
          <cell r="D1805"/>
          <cell r="E1805" t="str">
            <v>MPG</v>
          </cell>
          <cell r="F1805" t="str">
            <v>Indirect</v>
          </cell>
          <cell r="G1805" t="str">
            <v>GOMUKH RUSULPUR</v>
          </cell>
          <cell r="H1805" t="str">
            <v>Santosh Kumar</v>
          </cell>
          <cell r="I1805">
            <v>9661010940</v>
          </cell>
          <cell r="J1805" t="str">
            <v>106101</v>
          </cell>
          <cell r="K1805"/>
          <cell r="L1805">
            <v>46053</v>
          </cell>
          <cell r="N1805" t="str">
            <v>Mahua </v>
          </cell>
        </row>
        <row r="1806">
          <cell r="B1806">
            <v>10610013</v>
          </cell>
          <cell r="C1806" t="str">
            <v>0013</v>
          </cell>
          <cell r="D1806"/>
          <cell r="E1806" t="str">
            <v>MPG</v>
          </cell>
          <cell r="F1806" t="str">
            <v>Indirect</v>
          </cell>
          <cell r="G1806" t="str">
            <v>GOMUKH Karhatiya</v>
          </cell>
          <cell r="H1806" t="str">
            <v>Dharmendra Kumar</v>
          </cell>
          <cell r="I1806">
            <v>9801576822</v>
          </cell>
          <cell r="J1806" t="str">
            <v>106101</v>
          </cell>
          <cell r="K1806"/>
          <cell r="L1806">
            <v>46053</v>
          </cell>
          <cell r="N1806" t="str">
            <v>Mahua </v>
          </cell>
        </row>
        <row r="1807">
          <cell r="B1807">
            <v>10610014</v>
          </cell>
          <cell r="C1807" t="str">
            <v>0014</v>
          </cell>
          <cell r="D1807"/>
          <cell r="E1807" t="str">
            <v>MPG</v>
          </cell>
          <cell r="F1807" t="str">
            <v>Indirect</v>
          </cell>
          <cell r="G1807" t="str">
            <v>GOMUKH JHIKTAHI</v>
          </cell>
          <cell r="H1807" t="str">
            <v>Kunal Ray</v>
          </cell>
          <cell r="I1807">
            <v>7050640145</v>
          </cell>
          <cell r="J1807" t="str">
            <v>106101</v>
          </cell>
          <cell r="K1807"/>
          <cell r="L1807">
            <v>46053</v>
          </cell>
          <cell r="N1807" t="str">
            <v>Mahua </v>
          </cell>
        </row>
        <row r="1808">
          <cell r="B1808">
            <v>10610015</v>
          </cell>
          <cell r="C1808" t="str">
            <v>0015</v>
          </cell>
          <cell r="D1808"/>
          <cell r="E1808" t="str">
            <v>MPG</v>
          </cell>
          <cell r="F1808" t="str">
            <v>Indirect</v>
          </cell>
          <cell r="G1808" t="str">
            <v>GOMUKH Karhatiya Bujurg</v>
          </cell>
          <cell r="H1808" t="str">
            <v>Shila Devi</v>
          </cell>
          <cell r="I1808">
            <v>9525604434</v>
          </cell>
          <cell r="J1808" t="str">
            <v>106101</v>
          </cell>
          <cell r="K1808"/>
          <cell r="L1808">
            <v>46053</v>
          </cell>
          <cell r="N1808" t="str">
            <v>Mahua </v>
          </cell>
        </row>
        <row r="1809">
          <cell r="B1809">
            <v>10610016</v>
          </cell>
          <cell r="C1809" t="str">
            <v>0016</v>
          </cell>
          <cell r="D1809"/>
          <cell r="E1809" t="str">
            <v>MPG</v>
          </cell>
          <cell r="F1809" t="str">
            <v>Indirect</v>
          </cell>
          <cell r="G1809" t="str">
            <v>GOMUKH Karhatiya East</v>
          </cell>
          <cell r="H1809" t="str">
            <v>Ajeet Kumar</v>
          </cell>
          <cell r="I1809">
            <v>7352217549</v>
          </cell>
          <cell r="J1809" t="str">
            <v>106101</v>
          </cell>
          <cell r="K1809"/>
          <cell r="L1809">
            <v>46053</v>
          </cell>
          <cell r="N1809" t="str">
            <v>Mahua </v>
          </cell>
        </row>
        <row r="1810">
          <cell r="B1810">
            <v>10610017</v>
          </cell>
          <cell r="C1810" t="str">
            <v>0017</v>
          </cell>
          <cell r="D1810"/>
          <cell r="E1810" t="str">
            <v>MPG</v>
          </cell>
          <cell r="F1810" t="str">
            <v>Direct</v>
          </cell>
          <cell r="G1810" t="str">
            <v>GOMUKH Bheraukhara</v>
          </cell>
          <cell r="H1810" t="str">
            <v>Shobha Kumari</v>
          </cell>
          <cell r="I1810">
            <v>8581902908</v>
          </cell>
          <cell r="J1810" t="str">
            <v>106101</v>
          </cell>
          <cell r="K1810"/>
          <cell r="L1810">
            <v>46073</v>
          </cell>
          <cell r="N1810" t="str">
            <v>Mahua </v>
          </cell>
        </row>
        <row r="1811">
          <cell r="B1811">
            <v>10610018</v>
          </cell>
          <cell r="C1811" t="str">
            <v>0018</v>
          </cell>
          <cell r="D1811"/>
          <cell r="E1811" t="str">
            <v>MPG</v>
          </cell>
          <cell r="F1811" t="str">
            <v>Direct</v>
          </cell>
          <cell r="G1811" t="str">
            <v>GOMUKH SUPOLTARIYA</v>
          </cell>
          <cell r="H1811" t="str">
            <v>Sunil kumar Ray</v>
          </cell>
          <cell r="I1811">
            <v>9973310296</v>
          </cell>
          <cell r="J1811" t="str">
            <v>106101</v>
          </cell>
          <cell r="K1811"/>
          <cell r="L1811">
            <v>46073</v>
          </cell>
          <cell r="N1811" t="str">
            <v>Mahua </v>
          </cell>
        </row>
        <row r="1812">
          <cell r="B1812">
            <v>10610019</v>
          </cell>
          <cell r="C1812" t="str">
            <v>0019</v>
          </cell>
          <cell r="D1812"/>
          <cell r="E1812" t="str">
            <v>MPG</v>
          </cell>
          <cell r="F1812" t="str">
            <v>Direct</v>
          </cell>
          <cell r="G1812" t="str">
            <v>GOMUKH Shravanapatti</v>
          </cell>
          <cell r="H1812" t="str">
            <v>Santosh Kumar</v>
          </cell>
          <cell r="I1812">
            <v>9798987052</v>
          </cell>
          <cell r="J1812" t="str">
            <v>106101</v>
          </cell>
          <cell r="K1812"/>
          <cell r="L1812">
            <v>46073</v>
          </cell>
          <cell r="N1812" t="str">
            <v>Mahua </v>
          </cell>
        </row>
        <row r="1813">
          <cell r="B1813">
            <v>10610020</v>
          </cell>
          <cell r="C1813" t="str">
            <v>0020</v>
          </cell>
          <cell r="D1813"/>
          <cell r="E1813" t="str">
            <v>MPG</v>
          </cell>
          <cell r="F1813" t="str">
            <v>Direct</v>
          </cell>
          <cell r="G1813" t="str">
            <v>GOMUKH Jilwara</v>
          </cell>
          <cell r="H1813" t="str">
            <v>Vishal Kumar</v>
          </cell>
          <cell r="I1813">
            <v>7667410369</v>
          </cell>
          <cell r="J1813" t="str">
            <v>106101</v>
          </cell>
          <cell r="K1813"/>
          <cell r="L1813">
            <v>46073</v>
          </cell>
          <cell r="N1813" t="str">
            <v>Mahua </v>
          </cell>
        </row>
        <row r="1814">
          <cell r="B1814">
            <v>10610021</v>
          </cell>
          <cell r="C1814" t="str">
            <v>0021</v>
          </cell>
          <cell r="D1814"/>
          <cell r="E1814" t="str">
            <v>MPG</v>
          </cell>
          <cell r="F1814" t="str">
            <v>Indirect</v>
          </cell>
          <cell r="G1814" t="str">
            <v>GOMUKH KHANPATTI EAST</v>
          </cell>
          <cell r="H1814" t="str">
            <v>Suman Saurav</v>
          </cell>
          <cell r="I1814">
            <v>9576473332</v>
          </cell>
          <cell r="J1814" t="str">
            <v>106101</v>
          </cell>
          <cell r="K1814"/>
          <cell r="L1814">
            <v>46073</v>
          </cell>
          <cell r="N1814" t="str">
            <v>Mahua </v>
          </cell>
        </row>
        <row r="1815">
          <cell r="B1815">
            <v>10610022</v>
          </cell>
          <cell r="C1815" t="str">
            <v>0022</v>
          </cell>
          <cell r="D1815"/>
          <cell r="E1815" t="str">
            <v>MPG</v>
          </cell>
          <cell r="F1815" t="str">
            <v>Direct</v>
          </cell>
          <cell r="G1815" t="str">
            <v>GOMUKH ABBUCHAK</v>
          </cell>
          <cell r="H1815" t="str">
            <v>Sanjay Kumar Ray</v>
          </cell>
          <cell r="I1815">
            <v>9748146812</v>
          </cell>
          <cell r="J1815" t="str">
            <v>106101</v>
          </cell>
          <cell r="K1815"/>
          <cell r="L1815">
            <v>46080</v>
          </cell>
          <cell r="N1815" t="str">
            <v>Mahua </v>
          </cell>
        </row>
        <row r="1816">
          <cell r="B1816">
            <v>10610023</v>
          </cell>
          <cell r="C1816" t="str">
            <v>0023</v>
          </cell>
          <cell r="D1816"/>
          <cell r="E1816" t="str">
            <v>MPG</v>
          </cell>
          <cell r="F1816" t="str">
            <v>Indirect</v>
          </cell>
          <cell r="G1816" t="str">
            <v>Gomukh Husena</v>
          </cell>
          <cell r="H1816" t="str">
            <v>Survind Kumar</v>
          </cell>
          <cell r="I1816">
            <v>8873890281</v>
          </cell>
          <cell r="J1816" t="str">
            <v>106101</v>
          </cell>
          <cell r="K1816"/>
          <cell r="L1816">
            <v>46080</v>
          </cell>
          <cell r="N1816" t="str">
            <v>Mahua </v>
          </cell>
        </row>
        <row r="1817">
          <cell r="B1817">
            <v>10630001</v>
          </cell>
          <cell r="C1817" t="str">
            <v>0001</v>
          </cell>
          <cell r="D1817"/>
          <cell r="E1817" t="str">
            <v>MPG</v>
          </cell>
          <cell r="F1817" t="str">
            <v>Direct</v>
          </cell>
          <cell r="G1817" t="str">
            <v>Madhuvan</v>
          </cell>
          <cell r="H1817" t="str">
            <v>Sachin Kumar</v>
          </cell>
          <cell r="I1817">
            <v>9262740488</v>
          </cell>
          <cell r="J1817" t="str">
            <v>106301</v>
          </cell>
          <cell r="K1817"/>
          <cell r="L1817">
            <v>46070</v>
          </cell>
          <cell r="N1817" t="str">
            <v>Rosera</v>
          </cell>
        </row>
        <row r="1818">
          <cell r="B1818">
            <v>10630002</v>
          </cell>
          <cell r="C1818" t="str">
            <v>0002</v>
          </cell>
          <cell r="D1818"/>
          <cell r="E1818" t="str">
            <v>MPG</v>
          </cell>
          <cell r="F1818" t="str">
            <v>Direct</v>
          </cell>
          <cell r="G1818" t="str">
            <v>Karua</v>
          </cell>
          <cell r="H1818" t="str">
            <v>Indra Dev Ray</v>
          </cell>
          <cell r="I1818">
            <v>9973122838</v>
          </cell>
          <cell r="J1818" t="str">
            <v>106301</v>
          </cell>
          <cell r="K1818"/>
          <cell r="L1818">
            <v>46070</v>
          </cell>
          <cell r="N1818" t="str">
            <v>Rosera</v>
          </cell>
        </row>
        <row r="1819">
          <cell r="B1819">
            <v>10630003</v>
          </cell>
          <cell r="C1819" t="str">
            <v>0003</v>
          </cell>
          <cell r="D1819"/>
          <cell r="E1819" t="str">
            <v>MPG</v>
          </cell>
          <cell r="F1819" t="str">
            <v>Direct</v>
          </cell>
          <cell r="G1819" t="str">
            <v>Erout</v>
          </cell>
          <cell r="H1819" t="str">
            <v>Dharmendra Kumar</v>
          </cell>
          <cell r="I1819">
            <v>9709318811</v>
          </cell>
          <cell r="J1819" t="str">
            <v>106301</v>
          </cell>
          <cell r="K1819"/>
          <cell r="L1819">
            <v>46070</v>
          </cell>
          <cell r="N1819" t="str">
            <v>Rosera</v>
          </cell>
        </row>
        <row r="1820">
          <cell r="B1820">
            <v>10630004</v>
          </cell>
          <cell r="C1820" t="str">
            <v>0004</v>
          </cell>
          <cell r="D1820"/>
          <cell r="E1820" t="str">
            <v>MPG</v>
          </cell>
          <cell r="F1820" t="str">
            <v>Direct</v>
          </cell>
          <cell r="G1820" t="str">
            <v>Murli</v>
          </cell>
          <cell r="H1820" t="str">
            <v>Shiv Shankar Yadav</v>
          </cell>
          <cell r="I1820">
            <v>7654903564</v>
          </cell>
          <cell r="J1820" t="str">
            <v>106301</v>
          </cell>
          <cell r="K1820"/>
          <cell r="L1820">
            <v>46070</v>
          </cell>
          <cell r="N1820" t="str">
            <v>Rosera</v>
          </cell>
        </row>
        <row r="1821">
          <cell r="B1821">
            <v>10630005</v>
          </cell>
          <cell r="C1821" t="str">
            <v>0005</v>
          </cell>
          <cell r="D1821"/>
          <cell r="E1821" t="str">
            <v>MPG</v>
          </cell>
          <cell r="F1821" t="str">
            <v>Direct</v>
          </cell>
          <cell r="G1821" t="str">
            <v>Pitha Dobhi</v>
          </cell>
          <cell r="H1821" t="str">
            <v>Digambar Paswan</v>
          </cell>
          <cell r="I1821">
            <v>6204919071</v>
          </cell>
          <cell r="J1821" t="str">
            <v>106301</v>
          </cell>
          <cell r="K1821"/>
          <cell r="L1821">
            <v>46070</v>
          </cell>
          <cell r="N1821" t="str">
            <v>Rosera</v>
          </cell>
        </row>
        <row r="1822">
          <cell r="B1822">
            <v>10630006</v>
          </cell>
          <cell r="C1822" t="str">
            <v>0006</v>
          </cell>
          <cell r="D1822"/>
          <cell r="E1822" t="str">
            <v>MPG</v>
          </cell>
          <cell r="F1822" t="str">
            <v>Direct</v>
          </cell>
          <cell r="G1822" t="str">
            <v>Muradpur</v>
          </cell>
          <cell r="H1822" t="str">
            <v>Lalan Prasad Singh</v>
          </cell>
          <cell r="I1822">
            <v>9534842621</v>
          </cell>
          <cell r="J1822" t="str">
            <v>106301</v>
          </cell>
          <cell r="K1822"/>
          <cell r="L1822">
            <v>46070</v>
          </cell>
          <cell r="N1822" t="str">
            <v>Rosera</v>
          </cell>
        </row>
        <row r="1823">
          <cell r="B1823">
            <v>10630007</v>
          </cell>
          <cell r="C1823" t="str">
            <v>0007</v>
          </cell>
          <cell r="D1823"/>
          <cell r="E1823" t="str">
            <v>MPG</v>
          </cell>
          <cell r="F1823" t="str">
            <v>Direct</v>
          </cell>
          <cell r="G1823" t="str">
            <v>Mahespur</v>
          </cell>
          <cell r="H1823" t="str">
            <v>Chunchun Kumari</v>
          </cell>
          <cell r="I1823">
            <v>9650343938</v>
          </cell>
          <cell r="J1823" t="str">
            <v>106301</v>
          </cell>
          <cell r="K1823"/>
          <cell r="L1823">
            <v>46070</v>
          </cell>
          <cell r="N1823" t="str">
            <v>Rosera</v>
          </cell>
        </row>
        <row r="1824">
          <cell r="B1824">
            <v>10630008</v>
          </cell>
          <cell r="C1824" t="str">
            <v>0008</v>
          </cell>
          <cell r="D1824"/>
          <cell r="E1824" t="str">
            <v>MPG</v>
          </cell>
          <cell r="F1824" t="str">
            <v>Direct</v>
          </cell>
          <cell r="G1824" t="str">
            <v>Raj Nagar</v>
          </cell>
          <cell r="H1824" t="str">
            <v>Sanjay Kuamr</v>
          </cell>
          <cell r="I1824">
            <v>9534624783</v>
          </cell>
          <cell r="J1824" t="str">
            <v>106301</v>
          </cell>
          <cell r="K1824"/>
          <cell r="L1824">
            <v>46070</v>
          </cell>
          <cell r="N1824" t="str">
            <v>Rosera</v>
          </cell>
        </row>
        <row r="1825">
          <cell r="B1825">
            <v>10630009</v>
          </cell>
          <cell r="C1825" t="str">
            <v>0009</v>
          </cell>
          <cell r="D1825"/>
          <cell r="E1825" t="str">
            <v>MPG</v>
          </cell>
          <cell r="F1825" t="str">
            <v>Direct</v>
          </cell>
          <cell r="G1825" t="str">
            <v>Nauapokhar</v>
          </cell>
          <cell r="H1825" t="str">
            <v>Braj Kishore Yadav</v>
          </cell>
          <cell r="I1825">
            <v>6204165998</v>
          </cell>
          <cell r="J1825" t="str">
            <v>106301</v>
          </cell>
          <cell r="K1825"/>
          <cell r="L1825">
            <v>46070</v>
          </cell>
          <cell r="N1825" t="str">
            <v>Rosera</v>
          </cell>
        </row>
        <row r="1826">
          <cell r="B1826">
            <v>10630010</v>
          </cell>
          <cell r="C1826" t="str">
            <v>0010</v>
          </cell>
          <cell r="D1826"/>
          <cell r="E1826" t="str">
            <v>MPG</v>
          </cell>
          <cell r="F1826" t="str">
            <v>Indirect</v>
          </cell>
          <cell r="G1826" t="str">
            <v>Erout 2</v>
          </cell>
          <cell r="H1826" t="str">
            <v>Vikas Kumar</v>
          </cell>
          <cell r="I1826">
            <v>8678869559</v>
          </cell>
          <cell r="J1826" t="str">
            <v>106301</v>
          </cell>
          <cell r="K1826"/>
          <cell r="L1826">
            <v>46070</v>
          </cell>
          <cell r="N1826" t="str">
            <v>Rosera</v>
          </cell>
        </row>
        <row r="1827">
          <cell r="B1827">
            <v>10630011</v>
          </cell>
          <cell r="C1827" t="str">
            <v>0011</v>
          </cell>
          <cell r="D1827"/>
          <cell r="E1827" t="str">
            <v>MPG</v>
          </cell>
          <cell r="F1827" t="str">
            <v>Indirect</v>
          </cell>
          <cell r="G1827" t="str">
            <v>Parsuram</v>
          </cell>
          <cell r="H1827" t="str">
            <v>Rahul Kumar</v>
          </cell>
          <cell r="I1827">
            <v>7079824598</v>
          </cell>
          <cell r="J1827" t="str">
            <v>106301</v>
          </cell>
          <cell r="K1827"/>
          <cell r="L1827">
            <v>46070</v>
          </cell>
          <cell r="N1827" t="str">
            <v>Rosera</v>
          </cell>
        </row>
        <row r="1828">
          <cell r="B1828">
            <v>10630012</v>
          </cell>
          <cell r="C1828" t="str">
            <v>0012</v>
          </cell>
          <cell r="D1828"/>
          <cell r="E1828" t="str">
            <v>MPG</v>
          </cell>
          <cell r="F1828" t="str">
            <v>Indirect</v>
          </cell>
          <cell r="G1828" t="str">
            <v>Gudarghat</v>
          </cell>
          <cell r="H1828" t="str">
            <v>Shiv Shankar Mahto</v>
          </cell>
          <cell r="I1828">
            <v>8521918573</v>
          </cell>
          <cell r="J1828" t="str">
            <v>106301</v>
          </cell>
          <cell r="K1828"/>
          <cell r="L1828">
            <v>46070</v>
          </cell>
          <cell r="N1828" t="str">
            <v>Rosera</v>
          </cell>
        </row>
        <row r="1829">
          <cell r="B1829"/>
          <cell r="C1829"/>
          <cell r="D1829"/>
          <cell r="E1829"/>
          <cell r="F1829"/>
          <cell r="G1829"/>
          <cell r="H1829"/>
          <cell r="I1829"/>
          <cell r="J1829"/>
          <cell r="K1829"/>
          <cell r="L1829"/>
        </row>
        <row r="1830">
          <cell r="B1830"/>
          <cell r="C1830"/>
          <cell r="D1830"/>
          <cell r="E1830"/>
          <cell r="F1830"/>
          <cell r="G1830"/>
          <cell r="H1830"/>
          <cell r="I1830"/>
          <cell r="J1830"/>
          <cell r="K1830"/>
          <cell r="L1830"/>
        </row>
        <row r="1831">
          <cell r="B1831"/>
          <cell r="C1831"/>
          <cell r="D1831"/>
          <cell r="E1831"/>
          <cell r="F1831"/>
          <cell r="G1831"/>
          <cell r="H1831"/>
          <cell r="I1831"/>
          <cell r="J1831"/>
          <cell r="K1831"/>
          <cell r="L1831"/>
        </row>
        <row r="1832">
          <cell r="B1832"/>
          <cell r="C1832"/>
          <cell r="D1832"/>
          <cell r="E1832"/>
          <cell r="F1832"/>
          <cell r="G1832"/>
          <cell r="H1832"/>
          <cell r="I1832"/>
          <cell r="J1832"/>
          <cell r="K1832"/>
          <cell r="L1832"/>
        </row>
        <row r="1833">
          <cell r="B1833"/>
          <cell r="C1833"/>
          <cell r="D1833"/>
          <cell r="E1833"/>
          <cell r="F1833"/>
          <cell r="G1833"/>
          <cell r="H1833"/>
          <cell r="I1833"/>
          <cell r="J1833"/>
          <cell r="K1833"/>
          <cell r="L1833"/>
        </row>
        <row r="1834">
          <cell r="B1834"/>
          <cell r="C1834"/>
          <cell r="D1834"/>
          <cell r="E1834"/>
          <cell r="F1834"/>
          <cell r="G1834"/>
          <cell r="H1834"/>
          <cell r="I1834"/>
          <cell r="J1834"/>
          <cell r="K1834"/>
          <cell r="L1834"/>
        </row>
        <row r="1835">
          <cell r="B1835"/>
          <cell r="C1835"/>
          <cell r="D1835"/>
          <cell r="E1835"/>
          <cell r="F1835"/>
          <cell r="G1835"/>
          <cell r="H1835"/>
          <cell r="I1835"/>
          <cell r="J1835"/>
          <cell r="K1835"/>
          <cell r="L1835"/>
        </row>
        <row r="1836">
          <cell r="B1836"/>
          <cell r="C1836"/>
          <cell r="D1836"/>
          <cell r="E1836"/>
          <cell r="F1836"/>
          <cell r="G1836"/>
          <cell r="H1836"/>
          <cell r="I1836"/>
          <cell r="J1836"/>
          <cell r="K1836"/>
          <cell r="L1836"/>
        </row>
        <row r="1837">
          <cell r="B1837"/>
          <cell r="C1837"/>
          <cell r="D1837"/>
          <cell r="E1837"/>
          <cell r="F1837"/>
          <cell r="G1837"/>
          <cell r="H1837"/>
          <cell r="I1837"/>
          <cell r="J1837"/>
          <cell r="K1837"/>
          <cell r="L1837"/>
        </row>
        <row r="1838">
          <cell r="B1838"/>
          <cell r="C1838"/>
          <cell r="D1838"/>
          <cell r="E1838"/>
          <cell r="F1838"/>
          <cell r="G1838"/>
          <cell r="H1838"/>
          <cell r="I1838"/>
          <cell r="J1838"/>
          <cell r="K1838"/>
          <cell r="L1838"/>
        </row>
        <row r="1839">
          <cell r="B1839"/>
          <cell r="C1839"/>
          <cell r="D1839"/>
          <cell r="E1839"/>
          <cell r="F1839"/>
          <cell r="G1839"/>
          <cell r="H1839"/>
          <cell r="I1839"/>
          <cell r="J1839"/>
          <cell r="K1839"/>
          <cell r="L1839"/>
        </row>
        <row r="1840">
          <cell r="B1840"/>
          <cell r="C1840"/>
          <cell r="D1840"/>
          <cell r="E1840"/>
          <cell r="F1840"/>
          <cell r="G1840"/>
          <cell r="H1840"/>
          <cell r="I1840"/>
          <cell r="J1840"/>
          <cell r="K1840"/>
          <cell r="L1840"/>
        </row>
        <row r="1841">
          <cell r="B1841"/>
          <cell r="C1841"/>
          <cell r="D1841"/>
          <cell r="E1841"/>
          <cell r="F1841"/>
          <cell r="G1841"/>
          <cell r="H1841"/>
          <cell r="I1841"/>
          <cell r="J1841"/>
          <cell r="K1841"/>
          <cell r="L1841"/>
        </row>
        <row r="1842">
          <cell r="B1842"/>
          <cell r="C1842"/>
          <cell r="D1842"/>
          <cell r="E1842"/>
          <cell r="F1842"/>
          <cell r="G1842"/>
          <cell r="H1842"/>
          <cell r="I1842"/>
          <cell r="J1842"/>
          <cell r="K1842"/>
          <cell r="L1842"/>
        </row>
        <row r="1843">
          <cell r="B1843"/>
          <cell r="C1843"/>
          <cell r="D1843"/>
          <cell r="E1843"/>
          <cell r="F1843"/>
          <cell r="G1843"/>
          <cell r="H1843"/>
          <cell r="I1843"/>
          <cell r="J1843"/>
          <cell r="K1843"/>
          <cell r="L1843"/>
        </row>
        <row r="1844">
          <cell r="B1844"/>
          <cell r="C1844"/>
          <cell r="D1844"/>
          <cell r="E1844"/>
          <cell r="F1844"/>
          <cell r="G1844"/>
          <cell r="H1844"/>
          <cell r="I1844"/>
          <cell r="J1844"/>
          <cell r="K1844"/>
          <cell r="L1844"/>
        </row>
        <row r="1845">
          <cell r="B1845"/>
          <cell r="C1845"/>
          <cell r="D1845"/>
          <cell r="E1845"/>
          <cell r="F1845"/>
          <cell r="G1845"/>
          <cell r="H1845"/>
          <cell r="I1845"/>
          <cell r="J1845"/>
          <cell r="K1845"/>
          <cell r="L1845"/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8.754390740738" createdVersion="7" refreshedVersion="8" minRefreshableVersion="3" recordCount="189" xr:uid="{CFD2E4C4-4278-40E9-93B1-DFFB5FEEF83B}">
  <cacheSource type="worksheet">
    <worksheetSource name="Table1"/>
  </cacheSource>
  <cacheFields count="22">
    <cacheField name="_x000a_Order Date " numFmtId="0">
      <sharedItems containsNonDate="0" containsString="0" containsBlank="1"/>
    </cacheField>
    <cacheField name="Deduction Cycle" numFmtId="0">
      <sharedItems/>
    </cacheField>
    <cacheField name="Deduction Type" numFmtId="0">
      <sharedItems containsNonDate="0" containsString="0" containsBlank="1"/>
    </cacheField>
    <cacheField name="Category" numFmtId="0">
      <sharedItems containsBlank="1" count="3">
        <s v="CF"/>
        <s v="FS" u="1"/>
        <m u="1"/>
      </sharedItems>
    </cacheField>
    <cacheField name="_x000a_Item Name " numFmtId="0">
      <sharedItems/>
    </cacheField>
    <cacheField name="_x000a__x000a_MPG Code  " numFmtId="0">
      <sharedItems containsSemiMixedTypes="0" containsString="0" containsNumber="1" containsInteger="1" minValue="10010001" maxValue="10600013" count="142">
        <n v="10120007"/>
        <n v="10110124"/>
        <n v="10110123"/>
        <n v="10110110"/>
        <n v="10110001"/>
        <n v="10120084"/>
        <n v="10120053"/>
        <n v="10120083"/>
        <n v="10120123"/>
        <n v="10120017"/>
        <n v="10120034"/>
        <n v="10130077"/>
        <n v="10130073"/>
        <n v="10130116"/>
        <n v="10130046"/>
        <n v="10130044"/>
        <n v="10010038"/>
        <n v="10530096"/>
        <n v="10530002"/>
        <n v="10530100"/>
        <n v="10530109"/>
        <n v="10530093"/>
        <n v="10530040"/>
        <n v="10530084"/>
        <n v="10530032"/>
        <n v="10530003"/>
        <n v="10530097"/>
        <n v="10530005"/>
        <n v="10530085"/>
        <n v="10530067"/>
        <n v="10530106"/>
        <n v="10530092"/>
        <n v="10530082"/>
        <n v="10530065"/>
        <n v="10530103"/>
        <n v="10530074"/>
        <n v="10530035"/>
        <n v="10530055"/>
        <n v="10530064"/>
        <n v="10120016"/>
        <n v="10120104"/>
        <n v="10140001"/>
        <n v="10140194"/>
        <n v="10600005"/>
        <n v="10600001"/>
        <n v="10140180"/>
        <n v="10600004"/>
        <n v="10600008"/>
        <n v="10140098"/>
        <n v="10140185"/>
        <n v="10140055"/>
        <n v="10140099"/>
        <n v="10140012"/>
        <n v="10070077"/>
        <n v="10070063"/>
        <n v="10100003"/>
        <n v="10120025"/>
        <n v="10120052"/>
        <n v="10120089"/>
        <n v="10120012"/>
        <n v="10120015"/>
        <n v="10110144"/>
        <n v="10540008"/>
        <n v="10110140"/>
        <n v="10110149"/>
        <n v="10110100"/>
        <n v="10080048"/>
        <n v="10080016"/>
        <n v="10080052"/>
        <n v="10080119"/>
        <n v="10120094"/>
        <n v="10120096"/>
        <n v="10120001"/>
        <n v="10130031"/>
        <n v="10130080"/>
        <n v="10130018"/>
        <n v="10130015"/>
        <n v="10130025"/>
        <n v="10530063"/>
        <n v="10530031"/>
        <n v="10530089"/>
        <n v="10530017"/>
        <n v="10070003"/>
        <n v="10120010"/>
        <n v="10120013"/>
        <n v="10530018"/>
        <n v="10080004"/>
        <n v="10080013"/>
        <n v="10010145"/>
        <n v="10530111"/>
        <n v="10600013"/>
        <n v="10600012"/>
        <n v="10540046"/>
        <n v="10080015" u="1"/>
        <n v="10080056" u="1"/>
        <n v="10080064" u="1"/>
        <n v="10120002" u="1"/>
        <n v="10120003" u="1"/>
        <n v="10120011" u="1"/>
        <n v="10120014" u="1"/>
        <n v="10120022" u="1"/>
        <n v="10120023" u="1"/>
        <n v="10120024" u="1"/>
        <n v="10120026" u="1"/>
        <n v="10120029" u="1"/>
        <n v="10120030" u="1"/>
        <n v="10120031" u="1"/>
        <n v="10120033" u="1"/>
        <n v="10120035" u="1"/>
        <n v="10120042" u="1"/>
        <n v="10120046" u="1"/>
        <n v="10120049" u="1"/>
        <n v="10120050" u="1"/>
        <n v="10120051" u="1"/>
        <n v="10120054" u="1"/>
        <n v="10120062" u="1"/>
        <n v="10120065" u="1"/>
        <n v="10120070" u="1"/>
        <n v="10130007" u="1"/>
        <n v="10130008" u="1"/>
        <n v="10130009" u="1"/>
        <n v="10130012" u="1"/>
        <n v="10130013" u="1"/>
        <n v="10130014" u="1"/>
        <n v="10130016" u="1"/>
        <n v="10130019" u="1"/>
        <n v="10130020" u="1"/>
        <n v="10130022" u="1"/>
        <n v="10130023" u="1"/>
        <n v="10130024" u="1"/>
        <n v="10130027" u="1"/>
        <n v="10130030" u="1"/>
        <n v="10130032" u="1"/>
        <n v="10130033" u="1"/>
        <n v="10130034" u="1"/>
        <n v="10130041" u="1"/>
        <n v="10130045" u="1"/>
        <n v="10130051" u="1"/>
        <n v="10130052" u="1"/>
        <n v="10130053" u="1"/>
        <n v="10130055" u="1"/>
        <n v="10010001" u="1"/>
      </sharedItems>
    </cacheField>
    <cacheField name="_x000a_MPG Name " numFmtId="0">
      <sharedItems/>
    </cacheField>
    <cacheField name="_x000a__x000a_Farmer code  " numFmtId="0">
      <sharedItems count="56">
        <s v="0107"/>
        <s v="0099"/>
        <s v="0014"/>
        <s v="0040"/>
        <s v="0079"/>
        <s v="0149"/>
        <s v="0093"/>
        <s v="0076"/>
        <s v="0007"/>
        <s v="0015"/>
        <s v="0011"/>
        <s v="0002"/>
        <s v="0006"/>
        <s v="0008"/>
        <s v="0009"/>
        <s v="0026"/>
        <s v="0003"/>
        <s v="0077"/>
        <s v="0004"/>
        <s v="0019"/>
        <s v="0028"/>
        <s v="0036"/>
        <s v="0041"/>
        <s v="0005"/>
        <s v="0032"/>
        <s v="0044"/>
        <s v="0053"/>
        <s v="0048"/>
        <s v="0065"/>
        <s v="0063"/>
        <s v="0010"/>
        <s v="0086"/>
        <s v="0095"/>
        <s v="0046"/>
        <s v="0027"/>
        <s v="0013"/>
        <s v="0035"/>
        <s v="0020"/>
        <s v="0018"/>
        <s v="0023"/>
        <s v="0022"/>
        <s v="0030"/>
        <s v="0021"/>
        <s v="0029"/>
        <s v="0082"/>
        <s v="0025"/>
        <s v="0038"/>
        <s v="0017"/>
        <s v="0031"/>
        <s v="0083" u="1"/>
        <s v="0105" u="1"/>
        <s v="0121" u="1"/>
        <s v="0129" u="1"/>
        <s v="0132" u="1"/>
        <s v="0016" u="1"/>
        <s v="0033" u="1"/>
      </sharedItems>
    </cacheField>
    <cacheField name="_x000a__x000a_Farmer name  " numFmtId="0">
      <sharedItems containsNonDate="0" containsString="0" containsBlank="1"/>
    </cacheField>
    <cacheField name="_x000a__x000a_BMC Name  " numFmtId="0">
      <sharedItems/>
    </cacheField>
    <cacheField name="_x000a__x000a_CSP  " numFmtId="0">
      <sharedItems/>
    </cacheField>
    <cacheField name="ID" numFmtId="0">
      <sharedItems count="250">
        <s v="101200070107"/>
        <s v="101200070099"/>
        <s v="101200070014"/>
        <s v="101200070040"/>
        <s v="101200070079"/>
        <s v="101200070149"/>
        <s v="101200070093"/>
        <s v="101200070076"/>
        <s v="101101240007"/>
        <s v="101101230007"/>
        <s v="101101230015"/>
        <s v="101101230011"/>
        <s v="101101230002"/>
        <s v="101101230006"/>
        <s v="101101240006"/>
        <s v="101101240008"/>
        <s v="101101240009"/>
        <s v="101101240026"/>
        <s v="101101100002"/>
        <s v="101100010002"/>
        <s v="101200840002"/>
        <s v="101200530002"/>
        <s v="101200830002"/>
        <s v="101201230002"/>
        <s v="101200170002"/>
        <s v="101200340002"/>
        <s v="101300770003"/>
        <s v="101300730002"/>
        <s v="101301160002"/>
        <s v="101200070077"/>
        <s v="101300460003"/>
        <s v="101300440002"/>
        <s v="100100380002"/>
        <s v="105300960002"/>
        <s v="105300020002"/>
        <s v="105300020004"/>
        <s v="105300020019"/>
        <s v="105300020028"/>
        <s v="105300020036"/>
        <s v="105300020041"/>
        <s v="105301000006"/>
        <s v="105301000004"/>
        <s v="105301000002"/>
        <s v="105301090004"/>
        <s v="105301090005"/>
        <s v="105300930032"/>
        <s v="105300930044"/>
        <s v="105300930053"/>
        <s v="105300930002"/>
        <s v="105300400048"/>
        <s v="105300400004"/>
        <s v="105300840065"/>
        <s v="105300840063"/>
        <s v="105300320010"/>
        <s v="105300030008"/>
        <s v="105300030044"/>
        <s v="105300030086"/>
        <s v="105300030095"/>
        <s v="105300970026"/>
        <s v="105300050002"/>
        <s v="105300050008"/>
        <s v="105300050010"/>
        <s v="105300850006"/>
        <s v="105300850046"/>
        <s v="105300850003"/>
        <s v="105300850019"/>
        <s v="105300850004"/>
        <s v="105300850027"/>
        <s v="105300850002"/>
        <s v="105300670013"/>
        <s v="105300670035"/>
        <s v="105301060002"/>
        <s v="105300920003"/>
        <s v="105300920007"/>
        <s v="105300920009"/>
        <s v="105300820015"/>
        <s v="105300820020"/>
        <s v="105300820040"/>
        <s v="105300820018"/>
        <s v="105300820007"/>
        <s v="105300650003"/>
        <s v="105300650004"/>
        <s v="105301030006"/>
        <s v="105301030007"/>
        <s v="105301030023"/>
        <s v="105301030008"/>
        <s v="105301030022"/>
        <s v="105301030002"/>
        <s v="105301030004"/>
        <s v="105301030030"/>
        <s v="105301030021"/>
        <s v="105300740007"/>
        <s v="105300350010"/>
        <s v="105300350019"/>
        <s v="105300350022"/>
        <s v="105300350048"/>
        <s v="105300350002"/>
        <s v="105300550019"/>
        <s v="105300740019"/>
        <s v="105300650002"/>
        <s v="105300740028"/>
        <s v="105300740008"/>
        <s v="105300550011"/>
        <s v="105300550029"/>
        <s v="105300550082"/>
        <s v="105300550025"/>
        <s v="105300550002"/>
        <s v="105300640003"/>
        <s v="101200160002"/>
        <s v="101200160003"/>
        <s v="101200160005"/>
        <s v="101201040002"/>
        <s v="101400010038"/>
        <s v="101401940002"/>
        <s v="106000050002"/>
        <s v="106000010003"/>
        <s v="101401800002"/>
        <s v="106000040003"/>
        <s v="106000040002"/>
        <s v="106000080002"/>
        <s v="101400980002"/>
        <s v="101401850002"/>
        <s v="101400550002"/>
        <s v="101400990002"/>
        <s v="101400120017"/>
        <s v="100700770002"/>
        <s v="100700770003"/>
        <s v="100700770005"/>
        <s v="100700630002"/>
        <s v="101000030002"/>
        <s v="101000030003"/>
        <s v="101200250002"/>
        <s v="101200520002"/>
        <s v="101200520005"/>
        <s v="101200890002"/>
        <s v="101200120026"/>
        <s v="101200120003"/>
        <s v="101200150002"/>
        <s v="101101440002"/>
        <s v="105400080035"/>
        <s v="105400080010"/>
        <s v="101101400002"/>
        <s v="101101490002"/>
        <s v="101101000005"/>
        <s v="101101000003"/>
        <s v="101101000031"/>
        <s v="101101000006"/>
        <s v="100800480017"/>
        <s v="100800160002"/>
        <s v="100800160018"/>
        <s v="100800520002"/>
        <s v="100801190002"/>
        <s v="100801190003"/>
        <s v="101200940002"/>
        <s v="101200960002"/>
        <s v="101200010002"/>
        <s v="101300310002"/>
        <s v="101300800002"/>
        <s v="101300180002"/>
        <s v="101300150002"/>
        <s v="101300250002"/>
        <s v="105300630002"/>
        <s v="105300310002"/>
        <s v="105300890002"/>
        <s v="105300170017"/>
        <s v="100700030002"/>
        <s v="101200100002"/>
        <s v="101200130002"/>
        <s v="105300180002"/>
        <s v="100800040002"/>
        <s v="100800130002"/>
        <s v="100101450013"/>
        <s v="105301110003"/>
        <s v="106000130002"/>
        <s v="106000120002"/>
        <s v="105400460002"/>
        <s v="100800150002" u="1"/>
        <s v="100800480002" u="1"/>
        <s v="100800560005" u="1"/>
        <s v="100800640011" u="1"/>
        <s v="101200020002" u="1"/>
        <s v="101200030002" u="1"/>
        <s v="101200070003" u="1"/>
        <s v="101200070083" u="1"/>
        <s v="101200070105" u="1"/>
        <s v="101200070121" u="1"/>
        <s v="101200070129" u="1"/>
        <s v="101200070132" u="1"/>
        <s v="101200110002" u="1"/>
        <s v="101200120002" u="1"/>
        <s v="101200140002" u="1"/>
        <s v="101200220002" u="1"/>
        <s v="101200230002" u="1"/>
        <s v="101200240002" u="1"/>
        <s v="101200260002" u="1"/>
        <s v="101200290002" u="1"/>
        <s v="101200300002" u="1"/>
        <s v="101200310002" u="1"/>
        <s v="101200330002" u="1"/>
        <s v="101200350002" u="1"/>
        <s v="101200420002" u="1"/>
        <s v="101200460002" u="1"/>
        <s v="101200490002" u="1"/>
        <s v="101200500002" u="1"/>
        <s v="101200510002" u="1"/>
        <s v="101200530004" u="1"/>
        <s v="101200530009" u="1"/>
        <s v="101200530011" u="1"/>
        <s v="101200530016" u="1"/>
        <s v="101200530022" u="1"/>
        <s v="101200540002" u="1"/>
        <s v="101200620002" u="1"/>
        <s v="101200650002" u="1"/>
        <s v="101200700002" u="1"/>
        <s v="101300070033" u="1"/>
        <s v="101300080002" u="1"/>
        <s v="101300090002" u="1"/>
        <s v="101300120002" u="1"/>
        <s v="101300130002" u="1"/>
        <s v="101300140002" u="1"/>
        <s v="101300160002" u="1"/>
        <s v="101300190002" u="1"/>
        <s v="101300200002" u="1"/>
        <s v="101300220002" u="1"/>
        <s v="101300230002" u="1"/>
        <s v="101300240002" u="1"/>
        <s v="101300270002" u="1"/>
        <s v="101300300003" u="1"/>
        <s v="101300300006" u="1"/>
        <s v="101300300009" u="1"/>
        <s v="101300320002" u="1"/>
        <s v="101300330002" u="1"/>
        <s v="101300340002" u="1"/>
        <s v="101300410002" u="1"/>
        <s v="101300450002" u="1"/>
        <s v="101300460002" u="1"/>
        <s v="101300510002" u="1"/>
        <s v="101300520002" u="1"/>
        <s v="101300520004" u="1"/>
        <s v="101300530002" u="1"/>
        <s v="101300550002" u="1"/>
        <s v="101300550003" u="1"/>
        <s v="101300550007" u="1"/>
        <s v="101300550014" u="1"/>
        <s v="101300550015" u="1"/>
        <s v="101300550016" u="1"/>
        <s v="101300550018" u="1"/>
        <s v="" u="1"/>
        <s v="100100010002" u="1"/>
        <s v="100100010003" u="1"/>
      </sharedItems>
    </cacheField>
    <cacheField name="Payment Type" numFmtId="0">
      <sharedItems containsBlank="1" count="4">
        <s v="Direct"/>
        <s v="Indirect"/>
        <e v="#N/A"/>
        <m u="1"/>
      </sharedItems>
    </cacheField>
    <cacheField name="Indent Qty" numFmtId="0">
      <sharedItems containsSemiMixedTypes="0" containsString="0" containsNumber="1" containsInteger="1" minValue="0" maxValue="20"/>
    </cacheField>
    <cacheField name="_x000a_Rate " numFmtId="165">
      <sharedItems containsSemiMixedTypes="0" containsString="0" containsNumber="1" containsInteger="1" minValue="0" maxValue="1500"/>
    </cacheField>
    <cacheField name="Amount" numFmtId="165">
      <sharedItems containsSemiMixedTypes="0" containsString="0" containsNumber="1" minValue="7" maxValue="25000"/>
    </cacheField>
    <cacheField name="Final Qty" numFmtId="0">
      <sharedItems containsSemiMixedTypes="0" containsString="0" containsNumber="1" containsInteger="1" minValue="0" maxValue="20"/>
    </cacheField>
    <cacheField name="Final Amount" numFmtId="165">
      <sharedItems containsSemiMixedTypes="0" containsString="0" containsNumber="1" minValue="7" maxValue="25000"/>
    </cacheField>
    <cacheField name="Milk Amount" numFmtId="0">
      <sharedItems containsNonDate="0" containsString="0" containsBlank="1"/>
    </cacheField>
    <cacheField name="CF Deduction" numFmtId="0">
      <sharedItems containsSemiMixedTypes="0" containsString="0" containsNumber="1" containsInteger="1" minValue="0" maxValue="20582"/>
    </cacheField>
    <cacheField name="FS Deduction" numFmtId="0">
      <sharedItems containsNonDate="0" containsString="0"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m/>
    <s v="01-05-2026 to 07-05-2026"/>
    <m/>
    <x v="0"/>
    <s v="Gomukh Gold "/>
    <x v="0"/>
    <s v="ARMAULI-2"/>
    <x v="0"/>
    <m/>
    <s v="DalsinghSarai"/>
    <s v="Daya Society"/>
    <x v="0"/>
    <x v="0"/>
    <n v="1"/>
    <n v="1350"/>
    <n v="1350"/>
    <n v="1"/>
    <n v="1350"/>
    <m/>
    <n v="1350"/>
    <m/>
    <m/>
  </r>
  <r>
    <m/>
    <s v="01-05-2026 to 07-05-2026"/>
    <m/>
    <x v="0"/>
    <s v="Gomukh Gold "/>
    <x v="0"/>
    <s v="ARMAULI-2"/>
    <x v="1"/>
    <m/>
    <s v="DalsinghSarai"/>
    <s v="Daya Society"/>
    <x v="1"/>
    <x v="0"/>
    <n v="1"/>
    <n v="1350"/>
    <n v="1350"/>
    <n v="1"/>
    <n v="1350"/>
    <m/>
    <n v="1350"/>
    <m/>
    <m/>
  </r>
  <r>
    <m/>
    <s v="01-05-2026 to 07-05-2026"/>
    <m/>
    <x v="0"/>
    <s v="Gomukh Gold "/>
    <x v="0"/>
    <s v="ARMAULI-2"/>
    <x v="2"/>
    <m/>
    <s v="DalsinghSarai"/>
    <s v="Daya Society"/>
    <x v="2"/>
    <x v="0"/>
    <n v="1"/>
    <n v="1350"/>
    <n v="1350"/>
    <n v="1"/>
    <n v="1350"/>
    <m/>
    <n v="507"/>
    <m/>
    <m/>
  </r>
  <r>
    <m/>
    <s v="01-05-2026 to 07-05-2026"/>
    <m/>
    <x v="0"/>
    <s v="Gomukh Gold "/>
    <x v="0"/>
    <s v="ARMAULI-2"/>
    <x v="3"/>
    <m/>
    <s v="DalsinghSarai"/>
    <s v="Daya Society"/>
    <x v="3"/>
    <x v="0"/>
    <n v="1"/>
    <n v="1350"/>
    <n v="1350"/>
    <n v="1"/>
    <n v="1350"/>
    <m/>
    <n v="1295"/>
    <m/>
    <m/>
  </r>
  <r>
    <m/>
    <s v="01-05-2026 to 07-05-2026"/>
    <m/>
    <x v="0"/>
    <s v="Gomukh Gold "/>
    <x v="0"/>
    <s v="ARMAULI-2"/>
    <x v="4"/>
    <m/>
    <s v="DalsinghSarai"/>
    <s v="Daya Society"/>
    <x v="4"/>
    <x v="0"/>
    <n v="1"/>
    <n v="1350"/>
    <n v="1350"/>
    <n v="1"/>
    <n v="1350"/>
    <m/>
    <n v="839"/>
    <m/>
    <m/>
  </r>
  <r>
    <m/>
    <s v="01-05-2026 to 07-05-2026"/>
    <m/>
    <x v="0"/>
    <s v="Gomukh Gold "/>
    <x v="0"/>
    <s v="ARMAULI-2"/>
    <x v="0"/>
    <m/>
    <s v="DalsinghSarai"/>
    <s v="Daya Society"/>
    <x v="0"/>
    <x v="0"/>
    <n v="0"/>
    <n v="0"/>
    <n v="1251"/>
    <n v="0"/>
    <n v="1251"/>
    <m/>
    <n v="1251"/>
    <m/>
    <m/>
  </r>
  <r>
    <m/>
    <s v="01-05-2026 to 07-05-2026"/>
    <m/>
    <x v="0"/>
    <s v="Gomukh Gold "/>
    <x v="0"/>
    <s v="ARMAULI-2"/>
    <x v="5"/>
    <m/>
    <s v="DalsinghSarai"/>
    <s v="Daya Society"/>
    <x v="5"/>
    <x v="0"/>
    <n v="0"/>
    <n v="0"/>
    <n v="703"/>
    <n v="0"/>
    <n v="703"/>
    <m/>
    <n v="703"/>
    <m/>
    <m/>
  </r>
  <r>
    <m/>
    <s v="01-05-2026 to 07-05-2026"/>
    <m/>
    <x v="0"/>
    <s v="Gomukh Gold "/>
    <x v="0"/>
    <s v="ARMAULI-2"/>
    <x v="6"/>
    <m/>
    <s v="DalsinghSarai"/>
    <s v="Daya Society"/>
    <x v="6"/>
    <x v="0"/>
    <n v="0"/>
    <n v="0"/>
    <n v="305"/>
    <n v="0"/>
    <n v="305"/>
    <m/>
    <n v="305"/>
    <m/>
    <m/>
  </r>
  <r>
    <m/>
    <s v="01-05-2026 to 07-05-2026"/>
    <m/>
    <x v="0"/>
    <s v="Gomukh Gold "/>
    <x v="0"/>
    <s v="ARMAULI-2"/>
    <x v="7"/>
    <m/>
    <s v="DalsinghSarai"/>
    <s v="Daya Society"/>
    <x v="7"/>
    <x v="0"/>
    <n v="0"/>
    <n v="0"/>
    <n v="232"/>
    <n v="0"/>
    <n v="232"/>
    <m/>
    <n v="232"/>
    <m/>
    <m/>
  </r>
  <r>
    <m/>
    <s v="01-05-2026 to 07-05-2026"/>
    <m/>
    <x v="0"/>
    <s v="Gomukh Gold "/>
    <x v="1"/>
    <s v="GOMUKH ASHRAPHA DIYARA"/>
    <x v="8"/>
    <m/>
    <s v="Matihani"/>
    <s v="Daya Society"/>
    <x v="8"/>
    <x v="0"/>
    <n v="4"/>
    <n v="1350"/>
    <n v="5400"/>
    <n v="4"/>
    <n v="5400"/>
    <m/>
    <n v="0"/>
    <m/>
    <m/>
  </r>
  <r>
    <m/>
    <s v="01-05-2026 to 07-05-2026"/>
    <m/>
    <x v="0"/>
    <s v="Gomukh Gold "/>
    <x v="2"/>
    <s v="GOMUKH SHADIPUR"/>
    <x v="8"/>
    <m/>
    <s v="Matihani"/>
    <s v="Daya Society"/>
    <x v="9"/>
    <x v="0"/>
    <n v="4"/>
    <n v="1350"/>
    <n v="5400"/>
    <n v="4"/>
    <n v="5400"/>
    <m/>
    <n v="4621"/>
    <m/>
    <m/>
  </r>
  <r>
    <m/>
    <s v="01-05-2026 to 07-05-2026"/>
    <m/>
    <x v="0"/>
    <s v="Gomukh Gold "/>
    <x v="2"/>
    <s v="GOMUKH SHADIPUR"/>
    <x v="9"/>
    <m/>
    <s v="Matihani"/>
    <s v="Daya Society"/>
    <x v="10"/>
    <x v="0"/>
    <n v="1"/>
    <n v="1350"/>
    <n v="1350"/>
    <n v="1"/>
    <n v="1350"/>
    <m/>
    <n v="1350"/>
    <m/>
    <m/>
  </r>
  <r>
    <m/>
    <s v="01-05-2026 to 07-05-2026"/>
    <m/>
    <x v="0"/>
    <s v="Gomukh Gold "/>
    <x v="2"/>
    <s v="GOMUKH SHADIPUR"/>
    <x v="10"/>
    <m/>
    <s v="Matihani"/>
    <s v="Daya Society"/>
    <x v="11"/>
    <x v="0"/>
    <n v="2"/>
    <n v="1350"/>
    <n v="2700"/>
    <n v="2"/>
    <n v="2700"/>
    <m/>
    <n v="2700"/>
    <m/>
    <m/>
  </r>
  <r>
    <m/>
    <s v="01-05-2026 to 07-05-2026"/>
    <m/>
    <x v="0"/>
    <s v="Gomukh Gold "/>
    <x v="2"/>
    <s v="GOMUKH SHADIPUR"/>
    <x v="11"/>
    <m/>
    <s v="Matihani"/>
    <s v="Daya Society"/>
    <x v="12"/>
    <x v="0"/>
    <n v="2"/>
    <n v="1300"/>
    <n v="2600"/>
    <n v="2"/>
    <n v="2600"/>
    <m/>
    <n v="2600"/>
    <m/>
    <m/>
  </r>
  <r>
    <m/>
    <s v="01-05-2026 to 07-05-2026"/>
    <m/>
    <x v="0"/>
    <s v="Gomukh Gold "/>
    <x v="2"/>
    <s v="GOMUKH SHADIPUR"/>
    <x v="12"/>
    <m/>
    <s v="Matihani"/>
    <s v="Daya Society"/>
    <x v="13"/>
    <x v="0"/>
    <n v="1"/>
    <n v="1350"/>
    <n v="1350"/>
    <n v="1"/>
    <n v="1350"/>
    <m/>
    <n v="1350"/>
    <m/>
    <m/>
  </r>
  <r>
    <m/>
    <s v="01-05-2026 to 07-05-2026"/>
    <m/>
    <x v="0"/>
    <s v="Gomukh Gold "/>
    <x v="1"/>
    <s v="GOMUKH ASHRAPHA DIYARA"/>
    <x v="12"/>
    <m/>
    <s v="Matihani"/>
    <s v="Daya Society"/>
    <x v="14"/>
    <x v="0"/>
    <n v="1"/>
    <n v="1350"/>
    <n v="1350"/>
    <n v="1"/>
    <n v="1350"/>
    <m/>
    <n v="1350"/>
    <m/>
    <m/>
  </r>
  <r>
    <m/>
    <s v="01-05-2026 to 07-05-2026"/>
    <m/>
    <x v="0"/>
    <s v="Gomukh Gold "/>
    <x v="1"/>
    <s v="GOMUKH ASHRAPHA DIYARA"/>
    <x v="13"/>
    <m/>
    <s v="Matihani"/>
    <s v="Daya Society"/>
    <x v="15"/>
    <x v="0"/>
    <n v="1"/>
    <n v="1350"/>
    <n v="1350"/>
    <n v="1"/>
    <n v="1350"/>
    <m/>
    <n v="1350"/>
    <m/>
    <m/>
  </r>
  <r>
    <m/>
    <s v="01-05-2026 to 07-05-2026"/>
    <m/>
    <x v="0"/>
    <s v="Gomukh Gold "/>
    <x v="1"/>
    <s v="GOMUKH ASHRAPHA DIYARA"/>
    <x v="14"/>
    <m/>
    <s v="Matihani"/>
    <s v="Daya Society"/>
    <x v="16"/>
    <x v="0"/>
    <n v="1"/>
    <n v="1350"/>
    <n v="1350"/>
    <n v="1"/>
    <n v="1350"/>
    <m/>
    <n v="1350"/>
    <m/>
    <m/>
  </r>
  <r>
    <m/>
    <s v="01-05-2026 to 07-05-2026"/>
    <m/>
    <x v="0"/>
    <s v="Gomukh Gold "/>
    <x v="1"/>
    <s v="GOMUKH ASHRAPHA DIYARA"/>
    <x v="15"/>
    <m/>
    <s v="Matihani"/>
    <s v="Daya Society"/>
    <x v="17"/>
    <x v="0"/>
    <n v="1"/>
    <n v="1350"/>
    <n v="1350"/>
    <n v="1"/>
    <n v="1350"/>
    <m/>
    <n v="1350"/>
    <m/>
    <m/>
  </r>
  <r>
    <m/>
    <s v="01-05-2026 to 07-05-2026"/>
    <m/>
    <x v="0"/>
    <s v="Gomukh Gold "/>
    <x v="3"/>
    <s v="GOMUKH HANSPUR"/>
    <x v="11"/>
    <m/>
    <s v="Matihani"/>
    <s v="Daya Society"/>
    <x v="18"/>
    <x v="0"/>
    <n v="2"/>
    <n v="1300"/>
    <n v="2600"/>
    <n v="2"/>
    <n v="2600"/>
    <m/>
    <n v="0"/>
    <m/>
    <m/>
  </r>
  <r>
    <m/>
    <s v="01-05-2026 to 07-05-2026"/>
    <m/>
    <x v="0"/>
    <s v="Gomukh Gold "/>
    <x v="4"/>
    <s v="Gomukh Mahendrapur"/>
    <x v="11"/>
    <m/>
    <s v="Matihani"/>
    <s v="Daya Society"/>
    <x v="19"/>
    <x v="0"/>
    <n v="2"/>
    <n v="1300"/>
    <n v="2600"/>
    <n v="2"/>
    <n v="2600"/>
    <m/>
    <n v="2600"/>
    <m/>
    <m/>
  </r>
  <r>
    <m/>
    <s v="01-05-2026 to 07-05-2026"/>
    <m/>
    <x v="0"/>
    <s v="Gomukh Gold "/>
    <x v="5"/>
    <s v="Mahmmadipur"/>
    <x v="11"/>
    <m/>
    <s v="DalsinghSarai"/>
    <s v="Daya Society"/>
    <x v="20"/>
    <x v="0"/>
    <n v="5"/>
    <n v="1350"/>
    <n v="6750"/>
    <n v="5"/>
    <n v="6750"/>
    <m/>
    <n v="6750"/>
    <m/>
    <s v="Unregister Farmer"/>
  </r>
  <r>
    <m/>
    <s v="01-05-2026 to 07-05-2026"/>
    <m/>
    <x v="0"/>
    <s v="Gomukh Gold "/>
    <x v="6"/>
    <s v="Jagdispur"/>
    <x v="11"/>
    <m/>
    <s v="DalsinghSarai"/>
    <s v="Daya Society"/>
    <x v="21"/>
    <x v="0"/>
    <n v="0"/>
    <n v="0"/>
    <n v="757"/>
    <n v="0"/>
    <n v="757"/>
    <m/>
    <n v="757"/>
    <m/>
    <m/>
  </r>
  <r>
    <m/>
    <s v="01-05-2026 to 07-05-2026"/>
    <m/>
    <x v="0"/>
    <s v="Gomukh Gold "/>
    <x v="7"/>
    <s v="Beri"/>
    <x v="11"/>
    <m/>
    <s v="DalsinghSarai"/>
    <s v="Daya Society"/>
    <x v="22"/>
    <x v="0"/>
    <n v="0"/>
    <n v="0"/>
    <n v="757"/>
    <n v="0"/>
    <n v="757"/>
    <m/>
    <n v="0"/>
    <m/>
    <m/>
  </r>
  <r>
    <m/>
    <s v="01-05-2026 to 07-05-2026"/>
    <m/>
    <x v="0"/>
    <s v="Gomukh Gold "/>
    <x v="7"/>
    <s v="Beri"/>
    <x v="11"/>
    <m/>
    <s v="DalsinghSarai"/>
    <s v="Daya Society"/>
    <x v="22"/>
    <x v="0"/>
    <n v="20"/>
    <n v="1250"/>
    <n v="25000"/>
    <n v="20"/>
    <n v="25000"/>
    <m/>
    <n v="10397"/>
    <m/>
    <m/>
  </r>
  <r>
    <m/>
    <s v="01-05-2026 to 07-05-2026"/>
    <m/>
    <x v="0"/>
    <s v="Gomukh Gold "/>
    <x v="8"/>
    <s v="GOMUKH Chakhale dad"/>
    <x v="11"/>
    <m/>
    <s v="DalsinghSarai"/>
    <s v="Daya Society"/>
    <x v="23"/>
    <x v="0"/>
    <n v="1"/>
    <n v="1350"/>
    <n v="1350"/>
    <n v="1"/>
    <n v="1350"/>
    <m/>
    <n v="1350"/>
    <m/>
    <m/>
  </r>
  <r>
    <m/>
    <s v="01-05-2026 to 07-05-2026"/>
    <m/>
    <x v="0"/>
    <s v="Gomukh Gold "/>
    <x v="9"/>
    <s v="Gomukh Dumduma"/>
    <x v="11"/>
    <m/>
    <s v="DalsinghSarai"/>
    <s v="Daya Society"/>
    <x v="24"/>
    <x v="0"/>
    <n v="5"/>
    <n v="1350"/>
    <n v="6750"/>
    <n v="5"/>
    <n v="6750"/>
    <m/>
    <n v="6750"/>
    <m/>
    <m/>
  </r>
  <r>
    <m/>
    <s v="01-05-2026 to 07-05-2026"/>
    <m/>
    <x v="0"/>
    <s v="Gomukh Gold "/>
    <x v="10"/>
    <s v="Matior"/>
    <x v="11"/>
    <m/>
    <s v="DalsinghSarai"/>
    <s v="Daya Society"/>
    <x v="25"/>
    <x v="0"/>
    <n v="0"/>
    <n v="0"/>
    <n v="1200"/>
    <n v="0"/>
    <n v="1200"/>
    <m/>
    <n v="1200"/>
    <m/>
    <m/>
  </r>
  <r>
    <m/>
    <s v="01-05-2026 to 07-05-2026"/>
    <m/>
    <x v="0"/>
    <s v="Gomukh Gold "/>
    <x v="8"/>
    <s v="GOMUKH Chakhale dad"/>
    <x v="11"/>
    <m/>
    <s v="DalsinghSarai"/>
    <s v="Daya Society"/>
    <x v="23"/>
    <x v="0"/>
    <n v="0"/>
    <n v="0"/>
    <n v="150"/>
    <n v="0"/>
    <n v="150"/>
    <m/>
    <n v="150"/>
    <m/>
    <m/>
  </r>
  <r>
    <m/>
    <s v="01-05-2026 to 07-05-2026"/>
    <m/>
    <x v="0"/>
    <s v="Gomukh Gold "/>
    <x v="11"/>
    <s v="Gomukh Akaha"/>
    <x v="16"/>
    <m/>
    <s v="Musrigharari"/>
    <s v="Daya Society"/>
    <x v="26"/>
    <x v="0"/>
    <n v="1"/>
    <n v="1350"/>
    <n v="1350"/>
    <n v="1"/>
    <n v="1350"/>
    <m/>
    <n v="1350"/>
    <m/>
    <m/>
  </r>
  <r>
    <m/>
    <s v="01-05-2026 to 07-05-2026"/>
    <m/>
    <x v="0"/>
    <s v="Gomukh Buffalo Special"/>
    <x v="12"/>
    <s v="Dagarua"/>
    <x v="11"/>
    <m/>
    <s v="Musrigharari"/>
    <s v="Daya Society"/>
    <x v="27"/>
    <x v="0"/>
    <n v="1"/>
    <n v="1500"/>
    <n v="1500"/>
    <n v="1"/>
    <n v="1500"/>
    <m/>
    <n v="1372"/>
    <m/>
    <m/>
  </r>
  <r>
    <m/>
    <s v="01-05-2026 to 07-05-2026"/>
    <m/>
    <x v="0"/>
    <s v="Gomukh Gold "/>
    <x v="13"/>
    <s v="GOMUKH CHAKIRDI"/>
    <x v="11"/>
    <m/>
    <s v="Musrigharari"/>
    <s v="Daya Society"/>
    <x v="28"/>
    <x v="0"/>
    <n v="1"/>
    <n v="1350"/>
    <n v="1350"/>
    <n v="1"/>
    <n v="1350"/>
    <m/>
    <n v="568"/>
    <m/>
    <m/>
  </r>
  <r>
    <m/>
    <s v="01-05-2026 to 07-05-2026"/>
    <m/>
    <x v="0"/>
    <s v="Gomukh Gold "/>
    <x v="0"/>
    <s v="ARMAULI-2"/>
    <x v="17"/>
    <m/>
    <s v="DalsinghSarai"/>
    <s v="Daya Society"/>
    <x v="29"/>
    <x v="0"/>
    <n v="1"/>
    <n v="1350"/>
    <n v="1350"/>
    <n v="1"/>
    <n v="1350"/>
    <m/>
    <n v="1350"/>
    <m/>
    <m/>
  </r>
  <r>
    <m/>
    <s v="01-05-2026 to 07-05-2026"/>
    <m/>
    <x v="0"/>
    <s v="Gomukh Gold "/>
    <x v="14"/>
    <s v="Jahangipur Salkhanni"/>
    <x v="16"/>
    <m/>
    <s v="Musrigharari"/>
    <s v="Daya Society"/>
    <x v="30"/>
    <x v="0"/>
    <n v="2"/>
    <n v="1350"/>
    <n v="2700"/>
    <n v="2"/>
    <n v="2700"/>
    <m/>
    <n v="871"/>
    <m/>
    <m/>
  </r>
  <r>
    <m/>
    <s v="01-05-2026 to 07-05-2026"/>
    <m/>
    <x v="0"/>
    <s v="Gomukh Buffalo Special"/>
    <x v="15"/>
    <s v="Lakshmipur Western Tol - Rajeev"/>
    <x v="11"/>
    <m/>
    <s v="Musrigharari"/>
    <s v="Daya Society"/>
    <x v="31"/>
    <x v="0"/>
    <n v="2"/>
    <n v="1500"/>
    <n v="3000"/>
    <n v="2"/>
    <n v="3000"/>
    <m/>
    <n v="0"/>
    <m/>
    <m/>
  </r>
  <r>
    <m/>
    <s v="01-05-2026 to 07-05-2026"/>
    <m/>
    <x v="0"/>
    <s v="Gomukh Gold "/>
    <x v="16"/>
    <s v="Gomukh Goriyari"/>
    <x v="11"/>
    <m/>
    <s v="Majhaul"/>
    <s v="Daya Society"/>
    <x v="32"/>
    <x v="0"/>
    <n v="10"/>
    <n v="1250"/>
    <n v="12500"/>
    <n v="10"/>
    <n v="12500"/>
    <m/>
    <n v="12500"/>
    <m/>
    <s v="Deduction by any code"/>
  </r>
  <r>
    <m/>
    <s v="01-05-2026 to 07-05-2026"/>
    <m/>
    <x v="0"/>
    <s v="Gomukh Gold "/>
    <x v="17"/>
    <s v="GOMUKH BHARJA"/>
    <x v="11"/>
    <m/>
    <s v="Kalyanpur"/>
    <s v="Daya Society"/>
    <x v="33"/>
    <x v="0"/>
    <n v="10"/>
    <n v="1350"/>
    <n v="13500"/>
    <n v="10"/>
    <n v="13500"/>
    <m/>
    <n v="13500"/>
    <m/>
    <m/>
  </r>
  <r>
    <m/>
    <s v="01-05-2026 to 07-05-2026"/>
    <m/>
    <x v="0"/>
    <s v="Gomukh Gold "/>
    <x v="17"/>
    <s v="GOMUKH BHARJA"/>
    <x v="11"/>
    <m/>
    <s v="Kalyanpur"/>
    <s v="Daya Society"/>
    <x v="33"/>
    <x v="0"/>
    <n v="0"/>
    <n v="0"/>
    <n v="5674"/>
    <n v="0"/>
    <n v="5674"/>
    <m/>
    <n v="4823"/>
    <m/>
    <m/>
  </r>
  <r>
    <m/>
    <s v="01-05-2026 to 07-05-2026"/>
    <m/>
    <x v="0"/>
    <s v="Gomukh Gold "/>
    <x v="18"/>
    <s v="GOMUKH HATHA"/>
    <x v="11"/>
    <m/>
    <s v="Kalyanpur"/>
    <s v="Daya Society"/>
    <x v="34"/>
    <x v="0"/>
    <n v="4"/>
    <n v="1350"/>
    <n v="5400"/>
    <n v="4"/>
    <n v="5400"/>
    <m/>
    <n v="4834"/>
    <m/>
    <m/>
  </r>
  <r>
    <m/>
    <s v="01-05-2026 to 07-05-2026"/>
    <m/>
    <x v="0"/>
    <s v="Gomukh Gold "/>
    <x v="18"/>
    <s v="GOMUKH HATHA"/>
    <x v="18"/>
    <m/>
    <s v="Kalyanpur"/>
    <s v="Daya Society"/>
    <x v="35"/>
    <x v="0"/>
    <n v="2"/>
    <n v="1350"/>
    <n v="2700"/>
    <n v="2"/>
    <n v="2700"/>
    <m/>
    <n v="2700"/>
    <m/>
    <m/>
  </r>
  <r>
    <m/>
    <s v="01-05-2026 to 07-05-2026"/>
    <m/>
    <x v="0"/>
    <s v="Gomukh Gold "/>
    <x v="18"/>
    <s v="GOMUKH HATHA"/>
    <x v="19"/>
    <m/>
    <s v="Kalyanpur"/>
    <s v="Daya Society"/>
    <x v="36"/>
    <x v="0"/>
    <n v="1"/>
    <n v="1350"/>
    <n v="1350"/>
    <n v="1"/>
    <n v="1350"/>
    <m/>
    <n v="1350"/>
    <m/>
    <m/>
  </r>
  <r>
    <m/>
    <s v="01-05-2026 to 07-05-2026"/>
    <m/>
    <x v="0"/>
    <s v="Gomukh Gold "/>
    <x v="18"/>
    <s v="GOMUKH HATHA"/>
    <x v="20"/>
    <m/>
    <s v="Kalyanpur"/>
    <s v="Daya Society"/>
    <x v="37"/>
    <x v="0"/>
    <n v="1"/>
    <n v="1350"/>
    <n v="1350"/>
    <n v="1"/>
    <n v="1350"/>
    <m/>
    <n v="1350"/>
    <m/>
    <m/>
  </r>
  <r>
    <m/>
    <s v="01-05-2026 to 07-05-2026"/>
    <m/>
    <x v="0"/>
    <s v="Gomukh Gold "/>
    <x v="18"/>
    <s v="GOMUKH HATHA"/>
    <x v="21"/>
    <m/>
    <s v="Kalyanpur"/>
    <s v="Daya Society"/>
    <x v="38"/>
    <x v="0"/>
    <n v="2"/>
    <n v="1350"/>
    <n v="2700"/>
    <n v="2"/>
    <n v="2700"/>
    <m/>
    <n v="2329"/>
    <m/>
    <m/>
  </r>
  <r>
    <m/>
    <s v="01-05-2026 to 07-05-2026"/>
    <m/>
    <x v="0"/>
    <s v="Gomukh Gold "/>
    <x v="18"/>
    <s v="GOMUKH HATHA"/>
    <x v="22"/>
    <m/>
    <s v="Kalyanpur"/>
    <s v="Daya Society"/>
    <x v="39"/>
    <x v="0"/>
    <n v="2"/>
    <n v="1350"/>
    <n v="2700"/>
    <n v="2"/>
    <n v="2700"/>
    <m/>
    <n v="2700"/>
    <m/>
    <m/>
  </r>
  <r>
    <m/>
    <s v="01-05-2026 to 07-05-2026"/>
    <m/>
    <x v="0"/>
    <s v="Gomukh Gold "/>
    <x v="19"/>
    <s v="GOMUKH CHAKKI"/>
    <x v="12"/>
    <m/>
    <s v="Kalyanpur"/>
    <s v="Daya Society"/>
    <x v="40"/>
    <x v="0"/>
    <n v="1"/>
    <n v="1350"/>
    <n v="1350"/>
    <n v="1"/>
    <n v="1350"/>
    <m/>
    <n v="1350"/>
    <m/>
    <m/>
  </r>
  <r>
    <m/>
    <s v="01-05-2026 to 07-05-2026"/>
    <m/>
    <x v="0"/>
    <s v="Gomukh Gold "/>
    <x v="19"/>
    <s v="GOMUKH CHAKKI"/>
    <x v="18"/>
    <m/>
    <s v="Kalyanpur"/>
    <s v="Daya Society"/>
    <x v="41"/>
    <x v="0"/>
    <n v="1"/>
    <n v="1350"/>
    <n v="1350"/>
    <n v="1"/>
    <n v="1350"/>
    <m/>
    <n v="1350"/>
    <m/>
    <m/>
  </r>
  <r>
    <m/>
    <s v="01-05-2026 to 07-05-2026"/>
    <m/>
    <x v="0"/>
    <s v="Gomukh Gold "/>
    <x v="19"/>
    <s v="GOMUKH CHAKKI"/>
    <x v="11"/>
    <m/>
    <s v="Kalyanpur"/>
    <s v="Daya Society"/>
    <x v="42"/>
    <x v="0"/>
    <n v="1"/>
    <n v="1350"/>
    <n v="1350"/>
    <n v="1"/>
    <n v="1350"/>
    <m/>
    <n v="650"/>
    <m/>
    <m/>
  </r>
  <r>
    <m/>
    <s v="01-05-2026 to 07-05-2026"/>
    <m/>
    <x v="0"/>
    <s v="Gomukh Buffalo Special"/>
    <x v="20"/>
    <s v="GOMUKH SAKARI"/>
    <x v="18"/>
    <m/>
    <s v="Kalyanpur"/>
    <s v="Daya Society"/>
    <x v="43"/>
    <x v="0"/>
    <n v="10"/>
    <n v="1500"/>
    <n v="15000"/>
    <n v="10"/>
    <n v="15000"/>
    <m/>
    <n v="15000"/>
    <m/>
    <m/>
  </r>
  <r>
    <m/>
    <s v="01-05-2026 to 07-05-2026"/>
    <m/>
    <x v="0"/>
    <s v="Gomukh Gold "/>
    <x v="20"/>
    <s v="GOMUKH SAKARI"/>
    <x v="23"/>
    <m/>
    <s v="Kalyanpur"/>
    <s v="Daya Society"/>
    <x v="44"/>
    <x v="0"/>
    <n v="0"/>
    <n v="0"/>
    <n v="12882"/>
    <n v="0"/>
    <n v="12882"/>
    <m/>
    <n v="12882"/>
    <m/>
    <m/>
  </r>
  <r>
    <m/>
    <s v="01-05-2026 to 07-05-2026"/>
    <m/>
    <x v="0"/>
    <s v="Gomukh Buffalo Special"/>
    <x v="21"/>
    <s v="GOMUKH BAKHITIYARPUR"/>
    <x v="24"/>
    <m/>
    <s v="Kalyanpur"/>
    <s v="Daya Society"/>
    <x v="45"/>
    <x v="0"/>
    <n v="1"/>
    <n v="1500"/>
    <n v="1500"/>
    <n v="1"/>
    <n v="1500"/>
    <m/>
    <n v="1500"/>
    <m/>
    <m/>
  </r>
  <r>
    <m/>
    <s v="01-05-2026 to 07-05-2026"/>
    <m/>
    <x v="0"/>
    <s v="Gomukh Buffalo Special"/>
    <x v="21"/>
    <s v="GOMUKH BAKHITIYARPUR"/>
    <x v="25"/>
    <m/>
    <s v="Kalyanpur"/>
    <s v="Daya Society"/>
    <x v="46"/>
    <x v="0"/>
    <n v="2"/>
    <n v="1500"/>
    <n v="3000"/>
    <n v="2"/>
    <n v="3000"/>
    <m/>
    <n v="2701"/>
    <m/>
    <m/>
  </r>
  <r>
    <m/>
    <s v="01-05-2026 to 07-05-2026"/>
    <m/>
    <x v="0"/>
    <s v="Gomukh Buffalo Special"/>
    <x v="21"/>
    <s v="GOMUKH BAKHITIYARPUR"/>
    <x v="26"/>
    <m/>
    <s v="Kalyanpur"/>
    <s v="Daya Society"/>
    <x v="47"/>
    <x v="0"/>
    <n v="1"/>
    <n v="1500"/>
    <n v="1500"/>
    <n v="1"/>
    <n v="1500"/>
    <m/>
    <n v="1203"/>
    <m/>
    <m/>
  </r>
  <r>
    <m/>
    <s v="01-05-2026 to 07-05-2026"/>
    <m/>
    <x v="0"/>
    <s v="Gomukh Buffalo Special"/>
    <x v="21"/>
    <s v="GOMUKH BAKHITIYARPUR"/>
    <x v="11"/>
    <m/>
    <s v="Kalyanpur"/>
    <s v="Daya Society"/>
    <x v="48"/>
    <x v="0"/>
    <n v="1"/>
    <n v="1500"/>
    <n v="1500"/>
    <n v="1"/>
    <n v="1500"/>
    <m/>
    <n v="1500"/>
    <m/>
    <m/>
  </r>
  <r>
    <m/>
    <s v="01-05-2026 to 07-05-2026"/>
    <m/>
    <x v="0"/>
    <s v="Gomukh Buffalo Special"/>
    <x v="22"/>
    <s v="Gomukh Khanua"/>
    <x v="27"/>
    <m/>
    <s v="Kalyanpur"/>
    <s v="Daya Society"/>
    <x v="49"/>
    <x v="0"/>
    <n v="1"/>
    <n v="1500"/>
    <n v="1500"/>
    <n v="1"/>
    <n v="1500"/>
    <m/>
    <n v="1500"/>
    <m/>
    <m/>
  </r>
  <r>
    <m/>
    <s v="01-05-2026 to 07-05-2026"/>
    <m/>
    <x v="0"/>
    <s v="Gomukh Gold "/>
    <x v="22"/>
    <s v="Gomukh Khanua"/>
    <x v="18"/>
    <m/>
    <s v="Kalyanpur"/>
    <s v="Daya Society"/>
    <x v="50"/>
    <x v="0"/>
    <n v="0"/>
    <n v="0"/>
    <n v="776"/>
    <n v="0"/>
    <n v="776"/>
    <m/>
    <n v="776"/>
    <m/>
    <m/>
  </r>
  <r>
    <m/>
    <s v="01-05-2026 to 07-05-2026"/>
    <m/>
    <x v="0"/>
    <s v="Gomukh Buffalo Special"/>
    <x v="23"/>
    <s v="GOMUKH JITWARIYA W-6"/>
    <x v="28"/>
    <m/>
    <s v="Kalyanpur"/>
    <s v="Daya Society"/>
    <x v="51"/>
    <x v="0"/>
    <n v="1"/>
    <n v="1500"/>
    <n v="1500"/>
    <n v="1"/>
    <n v="1500"/>
    <m/>
    <n v="1500"/>
    <m/>
    <m/>
  </r>
  <r>
    <m/>
    <s v="01-05-2026 to 07-05-2026"/>
    <m/>
    <x v="0"/>
    <s v="Gomukh Gold "/>
    <x v="23"/>
    <s v="GOMUKH JITWARIYA W-6"/>
    <x v="29"/>
    <m/>
    <s v="Kalyanpur"/>
    <s v="Daya Society"/>
    <x v="52"/>
    <x v="0"/>
    <n v="0"/>
    <n v="0"/>
    <n v="427"/>
    <n v="0"/>
    <n v="427"/>
    <m/>
    <n v="427"/>
    <m/>
    <m/>
  </r>
  <r>
    <m/>
    <s v="01-05-2026 to 07-05-2026"/>
    <m/>
    <x v="0"/>
    <s v="Gomukh Buffalo Special"/>
    <x v="24"/>
    <s v="Gomukh Bharav"/>
    <x v="30"/>
    <m/>
    <s v="Kalyanpur"/>
    <s v="Daya Society"/>
    <x v="53"/>
    <x v="0"/>
    <n v="1"/>
    <n v="1500"/>
    <n v="1500"/>
    <n v="1"/>
    <n v="1500"/>
    <m/>
    <n v="1500"/>
    <m/>
    <m/>
  </r>
  <r>
    <m/>
    <s v="01-05-2026 to 07-05-2026"/>
    <m/>
    <x v="0"/>
    <s v="Gomukh Gold "/>
    <x v="25"/>
    <s v="GOMUKH VADEYA"/>
    <x v="13"/>
    <m/>
    <s v="Kalyanpur"/>
    <s v="Daya Society"/>
    <x v="54"/>
    <x v="0"/>
    <n v="0"/>
    <n v="0"/>
    <n v="598"/>
    <n v="0"/>
    <n v="598"/>
    <m/>
    <n v="525"/>
    <m/>
    <m/>
  </r>
  <r>
    <m/>
    <s v="01-05-2026 to 07-05-2026"/>
    <m/>
    <x v="0"/>
    <s v="Gomukh Gold "/>
    <x v="25"/>
    <s v="GOMUKH VADEYA"/>
    <x v="25"/>
    <m/>
    <s v="Kalyanpur"/>
    <s v="Daya Society"/>
    <x v="55"/>
    <x v="0"/>
    <n v="0"/>
    <n v="0"/>
    <n v="80"/>
    <n v="0"/>
    <n v="80"/>
    <m/>
    <n v="80"/>
    <m/>
    <m/>
  </r>
  <r>
    <m/>
    <s v="01-05-2026 to 07-05-2026"/>
    <m/>
    <x v="0"/>
    <s v="Gomukh Gold "/>
    <x v="25"/>
    <s v="GOMUKH VADEYA"/>
    <x v="31"/>
    <m/>
    <s v="Kalyanpur"/>
    <s v="Daya Society"/>
    <x v="56"/>
    <x v="0"/>
    <n v="0"/>
    <n v="0"/>
    <n v="79"/>
    <n v="0"/>
    <n v="79"/>
    <m/>
    <n v="79"/>
    <m/>
    <m/>
  </r>
  <r>
    <m/>
    <s v="01-05-2026 to 07-05-2026"/>
    <m/>
    <x v="0"/>
    <s v="Gomukh Gold "/>
    <x v="25"/>
    <s v="GOMUKH VADEYA"/>
    <x v="32"/>
    <m/>
    <s v="Kalyanpur"/>
    <s v="Daya Society"/>
    <x v="57"/>
    <x v="0"/>
    <n v="0"/>
    <n v="0"/>
    <n v="190"/>
    <n v="0"/>
    <n v="190"/>
    <m/>
    <n v="190"/>
    <m/>
    <m/>
  </r>
  <r>
    <m/>
    <s v="01-05-2026 to 07-05-2026"/>
    <m/>
    <x v="0"/>
    <s v="Gomukh Buffalo Special"/>
    <x v="26"/>
    <s v="GOMUKH NAWABGANJ"/>
    <x v="15"/>
    <m/>
    <s v="Kalyanpur"/>
    <s v="Daya Society"/>
    <x v="58"/>
    <x v="0"/>
    <n v="1"/>
    <n v="1500"/>
    <n v="1500"/>
    <n v="1"/>
    <n v="1500"/>
    <m/>
    <n v="1500"/>
    <m/>
    <m/>
  </r>
  <r>
    <m/>
    <s v="01-05-2026 to 07-05-2026"/>
    <m/>
    <x v="0"/>
    <s v="Gomukh Gold "/>
    <x v="27"/>
    <s v="GOMUKH CHANDPURA"/>
    <x v="11"/>
    <m/>
    <s v="Kalyanpur"/>
    <s v="Daya Society"/>
    <x v="59"/>
    <x v="0"/>
    <n v="0"/>
    <n v="0"/>
    <n v="130"/>
    <n v="0"/>
    <n v="130"/>
    <m/>
    <n v="65"/>
    <m/>
    <m/>
  </r>
  <r>
    <m/>
    <s v="01-05-2026 to 07-05-2026"/>
    <m/>
    <x v="0"/>
    <s v="Gomukh Gold "/>
    <x v="27"/>
    <s v="GOMUKH CHANDPURA"/>
    <x v="13"/>
    <m/>
    <s v="Kalyanpur"/>
    <s v="Daya Society"/>
    <x v="60"/>
    <x v="0"/>
    <n v="0"/>
    <n v="0"/>
    <n v="919"/>
    <n v="0"/>
    <n v="919"/>
    <m/>
    <n v="647"/>
    <m/>
    <m/>
  </r>
  <r>
    <m/>
    <s v="01-05-2026 to 07-05-2026"/>
    <m/>
    <x v="0"/>
    <s v="Gomukh Gold "/>
    <x v="27"/>
    <s v="GOMUKH CHANDPURA"/>
    <x v="30"/>
    <m/>
    <s v="Kalyanpur"/>
    <s v="Daya Society"/>
    <x v="61"/>
    <x v="0"/>
    <n v="1"/>
    <n v="1350"/>
    <n v="1350"/>
    <n v="1"/>
    <n v="1350"/>
    <m/>
    <n v="1350"/>
    <m/>
    <m/>
  </r>
  <r>
    <m/>
    <s v="01-05-2026 to 07-05-2026"/>
    <m/>
    <x v="0"/>
    <s v="Gomukh Gold "/>
    <x v="28"/>
    <s v="GOMUKH SUSTA"/>
    <x v="12"/>
    <m/>
    <s v="Kalyanpur"/>
    <s v="Daya Society"/>
    <x v="62"/>
    <x v="0"/>
    <n v="1"/>
    <n v="1350"/>
    <n v="1350"/>
    <n v="1"/>
    <n v="1350"/>
    <m/>
    <n v="1350"/>
    <m/>
    <m/>
  </r>
  <r>
    <m/>
    <s v="01-05-2026 to 07-05-2026"/>
    <m/>
    <x v="0"/>
    <s v="Gomukh Gold "/>
    <x v="28"/>
    <s v="GOMUKH SUSTA"/>
    <x v="33"/>
    <m/>
    <s v="Kalyanpur"/>
    <s v="Daya Society"/>
    <x v="63"/>
    <x v="0"/>
    <n v="1"/>
    <n v="1350"/>
    <n v="1350"/>
    <n v="1"/>
    <n v="1350"/>
    <m/>
    <n v="1350"/>
    <m/>
    <m/>
  </r>
  <r>
    <m/>
    <s v="01-05-2026 to 07-05-2026"/>
    <m/>
    <x v="0"/>
    <s v="Gomukh Gold "/>
    <x v="28"/>
    <s v="GOMUKH SUSTA"/>
    <x v="16"/>
    <m/>
    <s v="Kalyanpur"/>
    <s v="Daya Society"/>
    <x v="64"/>
    <x v="0"/>
    <n v="2"/>
    <n v="1350"/>
    <n v="2700"/>
    <n v="2"/>
    <n v="2700"/>
    <m/>
    <n v="2700"/>
    <m/>
    <m/>
  </r>
  <r>
    <m/>
    <s v="01-05-2026 to 07-05-2026"/>
    <m/>
    <x v="0"/>
    <s v="Gomukh Gold "/>
    <x v="28"/>
    <s v="GOMUKH SUSTA"/>
    <x v="19"/>
    <m/>
    <s v="Kalyanpur"/>
    <s v="Daya Society"/>
    <x v="65"/>
    <x v="0"/>
    <n v="2"/>
    <n v="1350"/>
    <n v="2700"/>
    <n v="2"/>
    <n v="2700"/>
    <m/>
    <n v="2179"/>
    <m/>
    <m/>
  </r>
  <r>
    <m/>
    <s v="01-05-2026 to 07-05-2026"/>
    <m/>
    <x v="0"/>
    <s v="Gomukh Gold "/>
    <x v="28"/>
    <s v="GOMUKH SUSTA"/>
    <x v="18"/>
    <m/>
    <s v="Kalyanpur"/>
    <s v="Daya Society"/>
    <x v="66"/>
    <x v="0"/>
    <n v="1"/>
    <n v="1350"/>
    <n v="1350"/>
    <n v="1"/>
    <n v="1350"/>
    <m/>
    <n v="871"/>
    <m/>
    <m/>
  </r>
  <r>
    <m/>
    <s v="01-05-2026 to 07-05-2026"/>
    <m/>
    <x v="0"/>
    <s v="Gomukh Gold "/>
    <x v="28"/>
    <s v="GOMUKH SUSTA"/>
    <x v="34"/>
    <m/>
    <s v="Kalyanpur"/>
    <s v="Daya Society"/>
    <x v="67"/>
    <x v="0"/>
    <n v="1"/>
    <n v="1350"/>
    <n v="1350"/>
    <n v="1"/>
    <n v="1350"/>
    <m/>
    <n v="1350"/>
    <m/>
    <m/>
  </r>
  <r>
    <m/>
    <s v="01-05-2026 to 07-05-2026"/>
    <m/>
    <x v="0"/>
    <s v="Gomukh Gold "/>
    <x v="28"/>
    <s v="GOMUKH SUSTA"/>
    <x v="11"/>
    <m/>
    <s v="Kalyanpur"/>
    <s v="Daya Society"/>
    <x v="68"/>
    <x v="0"/>
    <n v="2"/>
    <n v="1350"/>
    <n v="2700"/>
    <n v="2"/>
    <n v="2700"/>
    <m/>
    <n v="2669"/>
    <m/>
    <m/>
  </r>
  <r>
    <m/>
    <s v="01-05-2026 to 07-05-2026"/>
    <m/>
    <x v="0"/>
    <s v="Gomukh Buffalo Special"/>
    <x v="29"/>
    <s v="GOMUKH BANDRA W-6"/>
    <x v="35"/>
    <m/>
    <s v="Kalyanpur"/>
    <s v="Daya Society"/>
    <x v="69"/>
    <x v="0"/>
    <n v="1"/>
    <n v="1500"/>
    <n v="1500"/>
    <n v="1"/>
    <n v="1500"/>
    <m/>
    <n v="1500"/>
    <m/>
    <m/>
  </r>
  <r>
    <m/>
    <s v="01-05-2026 to 07-05-2026"/>
    <m/>
    <x v="0"/>
    <s v="Gomukh Buffalo Special"/>
    <x v="29"/>
    <s v="GOMUKH BANDRA W-6"/>
    <x v="36"/>
    <m/>
    <s v="Kalyanpur"/>
    <s v="Daya Society"/>
    <x v="70"/>
    <x v="0"/>
    <n v="1"/>
    <n v="1500"/>
    <n v="1500"/>
    <n v="1"/>
    <n v="1500"/>
    <m/>
    <n v="1035"/>
    <m/>
    <m/>
  </r>
  <r>
    <m/>
    <s v="01-05-2026 to 07-05-2026"/>
    <m/>
    <x v="0"/>
    <s v="Gomukh Gold "/>
    <x v="30"/>
    <s v="GOMUKH Keotsa"/>
    <x v="11"/>
    <m/>
    <s v="Kalyanpur"/>
    <s v="Daya Society"/>
    <x v="71"/>
    <x v="0"/>
    <n v="2"/>
    <n v="1350"/>
    <n v="2700"/>
    <n v="2"/>
    <n v="2700"/>
    <m/>
    <n v="2700"/>
    <m/>
    <m/>
  </r>
  <r>
    <m/>
    <s v="01-05-2026 to 07-05-2026"/>
    <m/>
    <x v="0"/>
    <s v="Gomukh Gold "/>
    <x v="31"/>
    <s v="GOMUKH SHIVNAGAR"/>
    <x v="16"/>
    <m/>
    <s v="Kalyanpur"/>
    <s v="Daya Society"/>
    <x v="72"/>
    <x v="0"/>
    <n v="2"/>
    <n v="1350"/>
    <n v="2700"/>
    <n v="2"/>
    <n v="2700"/>
    <m/>
    <n v="2700"/>
    <m/>
    <m/>
  </r>
  <r>
    <m/>
    <s v="01-05-2026 to 07-05-2026"/>
    <m/>
    <x v="0"/>
    <s v="Gomukh Gold "/>
    <x v="31"/>
    <s v="GOMUKH SHIVNAGAR"/>
    <x v="8"/>
    <m/>
    <s v="Kalyanpur"/>
    <s v="Daya Society"/>
    <x v="73"/>
    <x v="0"/>
    <n v="1"/>
    <n v="1350"/>
    <n v="1350"/>
    <n v="1"/>
    <n v="1350"/>
    <m/>
    <n v="946"/>
    <m/>
    <m/>
  </r>
  <r>
    <m/>
    <s v="01-05-2026 to 07-05-2026"/>
    <m/>
    <x v="0"/>
    <s v="Gomukh Buffalo Special"/>
    <x v="31"/>
    <s v="GOMUKH SHIVNAGAR"/>
    <x v="14"/>
    <m/>
    <s v="Kalyanpur"/>
    <s v="Daya Society"/>
    <x v="74"/>
    <x v="0"/>
    <n v="1"/>
    <n v="1500"/>
    <n v="1500"/>
    <n v="1"/>
    <n v="1500"/>
    <m/>
    <n v="1500"/>
    <m/>
    <m/>
  </r>
  <r>
    <m/>
    <s v="01-05-2026 to 07-05-2026"/>
    <m/>
    <x v="0"/>
    <s v="Gomukh Buffalo Special"/>
    <x v="31"/>
    <s v="GOMUKH SHIVNAGAR"/>
    <x v="16"/>
    <m/>
    <s v="Kalyanpur"/>
    <s v="Daya Society"/>
    <x v="72"/>
    <x v="0"/>
    <n v="0"/>
    <n v="0"/>
    <n v="324"/>
    <n v="0"/>
    <n v="324"/>
    <m/>
    <n v="324"/>
    <m/>
    <m/>
  </r>
  <r>
    <m/>
    <s v="01-05-2026 to 07-05-2026"/>
    <m/>
    <x v="0"/>
    <s v="Gomukh Buffalo Special"/>
    <x v="32"/>
    <s v="GOMUKH PREMNAGAR"/>
    <x v="9"/>
    <m/>
    <s v="Kalyanpur"/>
    <s v="Daya Society"/>
    <x v="75"/>
    <x v="0"/>
    <n v="3"/>
    <n v="1500"/>
    <n v="4500"/>
    <n v="3"/>
    <n v="4500"/>
    <m/>
    <n v="4500"/>
    <m/>
    <m/>
  </r>
  <r>
    <m/>
    <s v="01-05-2026 to 07-05-2026"/>
    <m/>
    <x v="0"/>
    <s v="Gomukh Buffalo Special"/>
    <x v="32"/>
    <s v="GOMUKH PREMNAGAR"/>
    <x v="37"/>
    <m/>
    <s v="Kalyanpur"/>
    <s v="Daya Society"/>
    <x v="76"/>
    <x v="0"/>
    <n v="2"/>
    <n v="1500"/>
    <n v="3000"/>
    <n v="2"/>
    <n v="3000"/>
    <m/>
    <n v="2100"/>
    <m/>
    <m/>
  </r>
  <r>
    <m/>
    <s v="01-05-2026 to 07-05-2026"/>
    <m/>
    <x v="0"/>
    <s v="Gomukh Buffalo Special"/>
    <x v="32"/>
    <s v="GOMUKH PREMNAGAR"/>
    <x v="3"/>
    <m/>
    <s v="Kalyanpur"/>
    <s v="Daya Society"/>
    <x v="77"/>
    <x v="0"/>
    <n v="2"/>
    <n v="1500"/>
    <n v="3000"/>
    <n v="2"/>
    <n v="3000"/>
    <m/>
    <n v="3000"/>
    <m/>
    <m/>
  </r>
  <r>
    <m/>
    <s v="01-05-2026 to 07-05-2026"/>
    <m/>
    <x v="0"/>
    <s v="Gomukh Buffalo Special"/>
    <x v="32"/>
    <s v="GOMUKH PREMNAGAR"/>
    <x v="38"/>
    <m/>
    <s v="Kalyanpur"/>
    <s v="Daya Society"/>
    <x v="78"/>
    <x v="0"/>
    <n v="2"/>
    <n v="1500"/>
    <n v="3000"/>
    <n v="2"/>
    <n v="3000"/>
    <m/>
    <n v="2536"/>
    <m/>
    <m/>
  </r>
  <r>
    <m/>
    <s v="01-05-2026 to 07-05-2026"/>
    <m/>
    <x v="0"/>
    <s v="Gomukh Buffalo Special"/>
    <x v="32"/>
    <s v="GOMUKH PREMNAGAR"/>
    <x v="8"/>
    <m/>
    <s v="Kalyanpur"/>
    <s v="Daya Society"/>
    <x v="79"/>
    <x v="0"/>
    <n v="1"/>
    <n v="1500"/>
    <n v="1500"/>
    <n v="1"/>
    <n v="1500"/>
    <m/>
    <n v="708"/>
    <m/>
    <m/>
  </r>
  <r>
    <m/>
    <s v="01-05-2026 to 07-05-2026"/>
    <m/>
    <x v="0"/>
    <s v="Gomukh Buffalo Special"/>
    <x v="33"/>
    <s v="GOMUKH DIGHRA W-6"/>
    <x v="16"/>
    <m/>
    <s v="Kalyanpur"/>
    <s v="Daya Society"/>
    <x v="80"/>
    <x v="0"/>
    <n v="4"/>
    <n v="1500"/>
    <n v="6000"/>
    <n v="4"/>
    <n v="6000"/>
    <m/>
    <n v="6000"/>
    <m/>
    <m/>
  </r>
  <r>
    <m/>
    <s v="01-05-2026 to 07-05-2026"/>
    <m/>
    <x v="0"/>
    <s v="Gomukh Buffalo Special"/>
    <x v="33"/>
    <s v="GOMUKH DIGHRA W-6"/>
    <x v="18"/>
    <m/>
    <s v="Kalyanpur"/>
    <s v="Daya Society"/>
    <x v="81"/>
    <x v="0"/>
    <n v="6"/>
    <n v="1500"/>
    <n v="9000"/>
    <n v="6"/>
    <n v="9000"/>
    <m/>
    <n v="9000"/>
    <m/>
    <m/>
  </r>
  <r>
    <m/>
    <s v="01-05-2026 to 07-05-2026"/>
    <m/>
    <x v="0"/>
    <s v="Gomukh Gold "/>
    <x v="34"/>
    <s v="GOMUKH JHAHURI"/>
    <x v="12"/>
    <m/>
    <s v="Kalyanpur"/>
    <s v="Daya Society"/>
    <x v="82"/>
    <x v="0"/>
    <n v="1"/>
    <n v="1350"/>
    <n v="1350"/>
    <n v="1"/>
    <n v="1350"/>
    <m/>
    <n v="1350"/>
    <m/>
    <m/>
  </r>
  <r>
    <m/>
    <s v="01-05-2026 to 07-05-2026"/>
    <m/>
    <x v="0"/>
    <s v="Gomukh Gold "/>
    <x v="34"/>
    <s v="GOMUKH JHAHURI"/>
    <x v="8"/>
    <m/>
    <s v="Kalyanpur"/>
    <s v="Daya Society"/>
    <x v="83"/>
    <x v="0"/>
    <n v="1"/>
    <n v="1350"/>
    <n v="1350"/>
    <n v="1"/>
    <n v="1350"/>
    <m/>
    <n v="1350"/>
    <m/>
    <m/>
  </r>
  <r>
    <m/>
    <s v="01-05-2026 to 07-05-2026"/>
    <m/>
    <x v="0"/>
    <s v="Gomukh Gold "/>
    <x v="34"/>
    <s v="GOMUKH JHAHURI"/>
    <x v="39"/>
    <m/>
    <s v="Kalyanpur"/>
    <s v="Daya Society"/>
    <x v="84"/>
    <x v="0"/>
    <n v="1"/>
    <n v="1350"/>
    <n v="1350"/>
    <n v="1"/>
    <n v="1350"/>
    <m/>
    <n v="1350"/>
    <m/>
    <m/>
  </r>
  <r>
    <m/>
    <s v="01-05-2026 to 07-05-2026"/>
    <m/>
    <x v="0"/>
    <s v="Gomukh Gold "/>
    <x v="34"/>
    <s v="GOMUKH JHAHURI"/>
    <x v="13"/>
    <m/>
    <s v="Kalyanpur"/>
    <s v="Daya Society"/>
    <x v="85"/>
    <x v="0"/>
    <n v="1"/>
    <n v="1350"/>
    <n v="1350"/>
    <n v="1"/>
    <n v="1350"/>
    <m/>
    <n v="1350"/>
    <m/>
    <m/>
  </r>
  <r>
    <m/>
    <s v="01-05-2026 to 07-05-2026"/>
    <m/>
    <x v="0"/>
    <s v="Gomukh Gold "/>
    <x v="34"/>
    <s v="GOMUKH JHAHURI"/>
    <x v="40"/>
    <m/>
    <s v="Kalyanpur"/>
    <s v="Daya Society"/>
    <x v="86"/>
    <x v="0"/>
    <n v="1"/>
    <n v="1350"/>
    <n v="1350"/>
    <n v="1"/>
    <n v="1350"/>
    <m/>
    <n v="1350"/>
    <m/>
    <m/>
  </r>
  <r>
    <m/>
    <s v="01-05-2026 to 07-05-2026"/>
    <m/>
    <x v="0"/>
    <s v="Gomukh Gold "/>
    <x v="34"/>
    <s v="GOMUKH JHAHURI"/>
    <x v="11"/>
    <m/>
    <s v="Kalyanpur"/>
    <s v="Daya Society"/>
    <x v="87"/>
    <x v="0"/>
    <n v="2"/>
    <n v="1350"/>
    <n v="2700"/>
    <n v="2"/>
    <n v="2700"/>
    <m/>
    <n v="2700"/>
    <m/>
    <m/>
  </r>
  <r>
    <m/>
    <s v="01-05-2026 to 07-05-2026"/>
    <m/>
    <x v="0"/>
    <s v="Gomukh Gold "/>
    <x v="34"/>
    <s v="GOMUKH JHAHURI"/>
    <x v="18"/>
    <m/>
    <s v="Kalyanpur"/>
    <s v="Daya Society"/>
    <x v="88"/>
    <x v="0"/>
    <n v="1"/>
    <n v="1350"/>
    <n v="1350"/>
    <n v="1"/>
    <n v="1350"/>
    <m/>
    <n v="1350"/>
    <m/>
    <m/>
  </r>
  <r>
    <m/>
    <s v="01-05-2026 to 07-05-2026"/>
    <m/>
    <x v="0"/>
    <s v="Gomukh Gold "/>
    <x v="34"/>
    <s v="GOMUKH JHAHURI"/>
    <x v="41"/>
    <m/>
    <s v="Kalyanpur"/>
    <s v="Daya Society"/>
    <x v="89"/>
    <x v="0"/>
    <n v="1"/>
    <n v="1350"/>
    <n v="1350"/>
    <n v="1"/>
    <n v="1350"/>
    <m/>
    <n v="1350"/>
    <m/>
    <m/>
  </r>
  <r>
    <m/>
    <s v="01-05-2026 to 07-05-2026"/>
    <m/>
    <x v="0"/>
    <s v="Gomukh Gold "/>
    <x v="34"/>
    <s v="GOMUKH JHAHURI"/>
    <x v="42"/>
    <m/>
    <s v="Kalyanpur"/>
    <s v="Daya Society"/>
    <x v="90"/>
    <x v="0"/>
    <n v="1"/>
    <n v="1350"/>
    <n v="1350"/>
    <n v="1"/>
    <n v="1350"/>
    <m/>
    <n v="1350"/>
    <m/>
    <m/>
  </r>
  <r>
    <m/>
    <s v="01-05-2026 to 07-05-2026"/>
    <m/>
    <x v="0"/>
    <s v="Gomukh Gold "/>
    <x v="35"/>
    <s v="GOMUKH BALAHA W-9"/>
    <x v="8"/>
    <m/>
    <s v="Kalyanpur"/>
    <s v="Daya Society"/>
    <x v="91"/>
    <x v="0"/>
    <n v="1"/>
    <n v="1350"/>
    <n v="1350"/>
    <n v="1"/>
    <n v="1350"/>
    <m/>
    <n v="1350"/>
    <m/>
    <m/>
  </r>
  <r>
    <m/>
    <s v="01-05-2026 to 07-05-2026"/>
    <m/>
    <x v="0"/>
    <s v="Gomukh Buffalo Special"/>
    <x v="36"/>
    <s v="Gomukh Birauli Khurd"/>
    <x v="30"/>
    <m/>
    <s v="Kalyanpur"/>
    <s v="Daya Society"/>
    <x v="92"/>
    <x v="0"/>
    <n v="1"/>
    <n v="1500"/>
    <n v="1500"/>
    <n v="1"/>
    <n v="1500"/>
    <m/>
    <n v="1500"/>
    <m/>
    <m/>
  </r>
  <r>
    <m/>
    <s v="01-05-2026 to 07-05-2026"/>
    <m/>
    <x v="0"/>
    <s v="Gomukh Buffalo Special"/>
    <x v="36"/>
    <s v="Gomukh Birauli Khurd"/>
    <x v="19"/>
    <m/>
    <s v="Kalyanpur"/>
    <s v="Daya Society"/>
    <x v="93"/>
    <x v="0"/>
    <n v="1"/>
    <n v="1500"/>
    <n v="1500"/>
    <n v="1"/>
    <n v="1500"/>
    <m/>
    <n v="1457"/>
    <m/>
    <m/>
  </r>
  <r>
    <m/>
    <s v="01-05-2026 to 07-05-2026"/>
    <m/>
    <x v="0"/>
    <s v="Gomukh Buffalo Special"/>
    <x v="36"/>
    <s v="Gomukh Birauli Khurd"/>
    <x v="40"/>
    <m/>
    <s v="Kalyanpur"/>
    <s v="Daya Society"/>
    <x v="94"/>
    <x v="0"/>
    <n v="1"/>
    <n v="1500"/>
    <n v="1500"/>
    <n v="1"/>
    <n v="1500"/>
    <m/>
    <n v="1500"/>
    <m/>
    <m/>
  </r>
  <r>
    <m/>
    <s v="01-05-2026 to 07-05-2026"/>
    <m/>
    <x v="0"/>
    <s v="Gomukh Buffalo Special"/>
    <x v="36"/>
    <s v="Gomukh Birauli Khurd"/>
    <x v="27"/>
    <m/>
    <s v="Kalyanpur"/>
    <s v="Daya Society"/>
    <x v="95"/>
    <x v="0"/>
    <n v="1"/>
    <n v="1500"/>
    <n v="1500"/>
    <n v="1"/>
    <n v="1500"/>
    <m/>
    <n v="1500"/>
    <m/>
    <m/>
  </r>
  <r>
    <m/>
    <s v="01-05-2026 to 07-05-2026"/>
    <m/>
    <x v="0"/>
    <s v="Gomukh Buffalo Special"/>
    <x v="36"/>
    <s v="Gomukh Birauli Khurd"/>
    <x v="11"/>
    <m/>
    <s v="Kalyanpur"/>
    <s v="Daya Society"/>
    <x v="96"/>
    <x v="0"/>
    <n v="1"/>
    <n v="1500"/>
    <n v="1500"/>
    <n v="1"/>
    <n v="1500"/>
    <m/>
    <n v="925"/>
    <m/>
    <m/>
  </r>
  <r>
    <m/>
    <s v="01-05-2026 to 07-05-2026"/>
    <m/>
    <x v="0"/>
    <s v="Gomukh Buffalo Special"/>
    <x v="37"/>
    <s v="GOMUKH HARPUR W-13"/>
    <x v="19"/>
    <m/>
    <s v="Kalyanpur"/>
    <s v="Daya Society"/>
    <x v="97"/>
    <x v="0"/>
    <n v="1"/>
    <n v="1500"/>
    <n v="1500"/>
    <n v="1"/>
    <n v="1500"/>
    <m/>
    <n v="1500"/>
    <m/>
    <m/>
  </r>
  <r>
    <m/>
    <s v="01-05-2026 to 07-05-2026"/>
    <m/>
    <x v="0"/>
    <s v="Gomukh Buffalo Special"/>
    <x v="35"/>
    <s v="GOMUKH BALAHA W-9"/>
    <x v="19"/>
    <m/>
    <s v="Kalyanpur"/>
    <s v="Daya Society"/>
    <x v="98"/>
    <x v="0"/>
    <n v="1"/>
    <n v="1500"/>
    <n v="1500"/>
    <n v="1"/>
    <n v="1500"/>
    <m/>
    <n v="506"/>
    <m/>
    <m/>
  </r>
  <r>
    <m/>
    <s v="01-05-2026 to 07-05-2026"/>
    <m/>
    <x v="0"/>
    <s v="Gomukh Gold "/>
    <x v="33"/>
    <s v="GOMUKH DIGHRA W-6"/>
    <x v="11"/>
    <m/>
    <s v="Kalyanpur"/>
    <s v="Daya Society"/>
    <x v="99"/>
    <x v="0"/>
    <n v="1"/>
    <n v="1350"/>
    <n v="1350"/>
    <n v="1"/>
    <n v="1350"/>
    <m/>
    <n v="1263"/>
    <m/>
    <m/>
  </r>
  <r>
    <m/>
    <s v="01-05-2026 to 07-05-2026"/>
    <m/>
    <x v="0"/>
    <s v="Gomukh Gold "/>
    <x v="35"/>
    <s v="GOMUKH BALAHA W-9"/>
    <x v="20"/>
    <m/>
    <s v="Kalyanpur"/>
    <s v="Daya Society"/>
    <x v="100"/>
    <x v="0"/>
    <n v="0"/>
    <n v="0"/>
    <n v="65"/>
    <n v="0"/>
    <n v="65"/>
    <m/>
    <n v="65"/>
    <m/>
    <m/>
  </r>
  <r>
    <m/>
    <s v="01-05-2026 to 07-05-2026"/>
    <m/>
    <x v="0"/>
    <s v="Gomukh Gold "/>
    <x v="35"/>
    <s v="GOMUKH BALAHA W-9"/>
    <x v="13"/>
    <m/>
    <s v="Kalyanpur"/>
    <s v="Daya Society"/>
    <x v="101"/>
    <x v="0"/>
    <n v="0"/>
    <n v="0"/>
    <n v="233"/>
    <n v="0"/>
    <n v="233"/>
    <m/>
    <n v="233"/>
    <m/>
    <m/>
  </r>
  <r>
    <m/>
    <s v="01-05-2026 to 07-05-2026"/>
    <m/>
    <x v="0"/>
    <s v="Gomukh Gold "/>
    <x v="35"/>
    <s v="GOMUKH BALAHA W-9"/>
    <x v="8"/>
    <m/>
    <s v="Kalyanpur"/>
    <s v="Daya Society"/>
    <x v="91"/>
    <x v="0"/>
    <n v="0"/>
    <n v="0"/>
    <n v="926"/>
    <n v="0"/>
    <n v="926"/>
    <m/>
    <n v="926"/>
    <m/>
    <m/>
  </r>
  <r>
    <m/>
    <s v="01-05-2026 to 07-05-2026"/>
    <m/>
    <x v="0"/>
    <s v="Gomukh Gold "/>
    <x v="37"/>
    <s v="GOMUKH HARPUR W-13"/>
    <x v="10"/>
    <m/>
    <s v="Kalyanpur"/>
    <s v="Daya Society"/>
    <x v="102"/>
    <x v="0"/>
    <n v="0"/>
    <n v="0"/>
    <n v="1359"/>
    <n v="0"/>
    <n v="1359"/>
    <m/>
    <n v="1359"/>
    <m/>
    <m/>
  </r>
  <r>
    <m/>
    <s v="01-05-2026 to 07-05-2026"/>
    <m/>
    <x v="0"/>
    <s v="Gomukh Gold "/>
    <x v="37"/>
    <s v="GOMUKH HARPUR W-13"/>
    <x v="43"/>
    <m/>
    <s v="Kalyanpur"/>
    <s v="Daya Society"/>
    <x v="103"/>
    <x v="0"/>
    <n v="0"/>
    <n v="0"/>
    <n v="473"/>
    <n v="0"/>
    <n v="473"/>
    <m/>
    <n v="473"/>
    <m/>
    <m/>
  </r>
  <r>
    <m/>
    <s v="01-05-2026 to 07-05-2026"/>
    <m/>
    <x v="0"/>
    <s v="Gomukh Gold "/>
    <x v="37"/>
    <s v="GOMUKH HARPUR W-13"/>
    <x v="44"/>
    <m/>
    <s v="Kalyanpur"/>
    <s v="Daya Society"/>
    <x v="104"/>
    <x v="0"/>
    <n v="0"/>
    <n v="0"/>
    <n v="510"/>
    <n v="0"/>
    <n v="510"/>
    <m/>
    <n v="510"/>
    <m/>
    <m/>
  </r>
  <r>
    <m/>
    <s v="01-05-2026 to 07-05-2026"/>
    <m/>
    <x v="0"/>
    <s v="Gomukh Gold "/>
    <x v="37"/>
    <s v="GOMUKH HARPUR W-13"/>
    <x v="45"/>
    <m/>
    <s v="Kalyanpur"/>
    <s v="Daya Society"/>
    <x v="105"/>
    <x v="0"/>
    <n v="0"/>
    <n v="0"/>
    <n v="845"/>
    <n v="0"/>
    <n v="845"/>
    <m/>
    <n v="845"/>
    <m/>
    <m/>
  </r>
  <r>
    <m/>
    <s v="01-05-2026 to 07-05-2026"/>
    <m/>
    <x v="0"/>
    <s v="Gomukh Gold "/>
    <x v="37"/>
    <s v="GOMUKH HARPUR W-13"/>
    <x v="11"/>
    <m/>
    <s v="Kalyanpur"/>
    <s v="Daya Society"/>
    <x v="106"/>
    <x v="0"/>
    <n v="0"/>
    <n v="0"/>
    <n v="556"/>
    <n v="0"/>
    <n v="556"/>
    <m/>
    <n v="556"/>
    <m/>
    <m/>
  </r>
  <r>
    <m/>
    <s v="01-05-2026 to 07-05-2026"/>
    <m/>
    <x v="0"/>
    <s v="Gomukh Gold "/>
    <x v="38"/>
    <s v="GOMUKH MANIYARPUR"/>
    <x v="16"/>
    <m/>
    <s v="Kalyanpur"/>
    <s v="Daya Society"/>
    <x v="107"/>
    <x v="0"/>
    <n v="0"/>
    <n v="0"/>
    <n v="7"/>
    <n v="0"/>
    <n v="7"/>
    <m/>
    <n v="7"/>
    <m/>
    <m/>
  </r>
  <r>
    <m/>
    <s v="01-05-2026 to 07-05-2026"/>
    <m/>
    <x v="0"/>
    <s v="Gomukh Gold "/>
    <x v="39"/>
    <s v="Narahan"/>
    <x v="11"/>
    <m/>
    <s v="DalsinghSarai"/>
    <s v="Daya Society"/>
    <x v="108"/>
    <x v="0"/>
    <n v="0"/>
    <n v="0"/>
    <n v="500"/>
    <n v="0"/>
    <n v="500"/>
    <m/>
    <n v="500"/>
    <m/>
    <m/>
  </r>
  <r>
    <m/>
    <s v="01-05-2026 to 07-05-2026"/>
    <m/>
    <x v="0"/>
    <s v="Gomukh Gold "/>
    <x v="39"/>
    <s v="Narahan"/>
    <x v="16"/>
    <m/>
    <s v="DalsinghSarai"/>
    <s v="Daya Society"/>
    <x v="109"/>
    <x v="0"/>
    <n v="0"/>
    <n v="0"/>
    <n v="600"/>
    <n v="0"/>
    <n v="600"/>
    <m/>
    <n v="600"/>
    <m/>
    <m/>
  </r>
  <r>
    <m/>
    <s v="01-05-2026 to 07-05-2026"/>
    <m/>
    <x v="0"/>
    <s v="Gomukh Gold "/>
    <x v="39"/>
    <s v="Narahan"/>
    <x v="23"/>
    <m/>
    <s v="DalsinghSarai"/>
    <s v="Daya Society"/>
    <x v="110"/>
    <x v="0"/>
    <n v="0"/>
    <n v="0"/>
    <n v="638"/>
    <n v="0"/>
    <n v="638"/>
    <m/>
    <n v="638"/>
    <m/>
    <m/>
  </r>
  <r>
    <m/>
    <s v="01-05-2026 to 07-05-2026"/>
    <m/>
    <x v="0"/>
    <s v="Gomukh Gold "/>
    <x v="40"/>
    <s v="Gomukh Mordiwa East"/>
    <x v="11"/>
    <m/>
    <s v="DalsinghSarai"/>
    <s v="Daya Society"/>
    <x v="111"/>
    <x v="0"/>
    <n v="0"/>
    <n v="0"/>
    <n v="84"/>
    <n v="0"/>
    <n v="84"/>
    <m/>
    <n v="84"/>
    <m/>
    <s v="Deduction by any code"/>
  </r>
  <r>
    <m/>
    <s v="01-05-2026 to 07-05-2026"/>
    <m/>
    <x v="0"/>
    <s v="Gomukh Gold "/>
    <x v="41"/>
    <s v="Dumri Purvi Tola"/>
    <x v="46"/>
    <m/>
    <s v="Dumraon"/>
    <s v="Daya Society"/>
    <x v="112"/>
    <x v="0"/>
    <n v="0"/>
    <n v="0"/>
    <n v="2102.7800000000002"/>
    <n v="0"/>
    <n v="2102.7800000000002"/>
    <m/>
    <n v="0"/>
    <m/>
    <m/>
  </r>
  <r>
    <m/>
    <s v="01-05-2026 to 07-05-2026"/>
    <m/>
    <x v="0"/>
    <s v="Gomukh Gold "/>
    <x v="42"/>
    <s v="Gumukh Orap Khurd"/>
    <x v="11"/>
    <m/>
    <s v="Dumraon"/>
    <s v="Daya Society"/>
    <x v="113"/>
    <x v="0"/>
    <n v="0"/>
    <n v="0"/>
    <n v="541"/>
    <n v="0"/>
    <n v="541"/>
    <m/>
    <n v="0"/>
    <m/>
    <m/>
  </r>
  <r>
    <m/>
    <s v="01-05-2026 to 07-05-2026"/>
    <m/>
    <x v="0"/>
    <s v="Gomukh Gold "/>
    <x v="43"/>
    <s v="Gomukh Barja"/>
    <x v="11"/>
    <m/>
    <s v="Behiya"/>
    <s v="Daya Society"/>
    <x v="114"/>
    <x v="0"/>
    <n v="0"/>
    <n v="0"/>
    <n v="6400"/>
    <n v="0"/>
    <n v="6400"/>
    <m/>
    <n v="0"/>
    <m/>
    <m/>
  </r>
  <r>
    <m/>
    <s v="01-05-2026 to 07-05-2026"/>
    <m/>
    <x v="0"/>
    <s v="Gomukh Gold "/>
    <x v="44"/>
    <s v="Gomukh Karisath"/>
    <x v="16"/>
    <m/>
    <s v="Behiya"/>
    <s v="Daya Society"/>
    <x v="115"/>
    <x v="0"/>
    <n v="0"/>
    <n v="0"/>
    <n v="3819"/>
    <n v="0"/>
    <n v="3819"/>
    <m/>
    <n v="3819"/>
    <m/>
    <m/>
  </r>
  <r>
    <m/>
    <s v="01-05-2026 to 07-05-2026"/>
    <m/>
    <x v="0"/>
    <s v="Gomukh Gold "/>
    <x v="45"/>
    <s v="Gomukh Gangauli Dubha"/>
    <x v="11"/>
    <m/>
    <s v="Dumraon"/>
    <s v="Daya Society"/>
    <x v="116"/>
    <x v="0"/>
    <n v="0"/>
    <n v="0"/>
    <n v="2560"/>
    <n v="0"/>
    <n v="2560"/>
    <m/>
    <n v="2560"/>
    <m/>
    <m/>
  </r>
  <r>
    <m/>
    <s v="01-05-2026 to 07-05-2026"/>
    <m/>
    <x v="0"/>
    <s v="Gomukh Gold "/>
    <x v="46"/>
    <s v="Gomukh Pawat"/>
    <x v="16"/>
    <m/>
    <s v="Dumraon"/>
    <s v="Daya Society"/>
    <x v="117"/>
    <x v="0"/>
    <n v="0"/>
    <n v="0"/>
    <n v="4931"/>
    <n v="0"/>
    <n v="4931"/>
    <m/>
    <n v="4636"/>
    <m/>
    <m/>
  </r>
  <r>
    <m/>
    <s v="01-05-2026 to 07-05-2026"/>
    <m/>
    <x v="0"/>
    <s v="Gomukh Gold "/>
    <x v="46"/>
    <s v="Gomukh Pawat"/>
    <x v="11"/>
    <m/>
    <s v="Dumraon"/>
    <s v="Daya Society"/>
    <x v="118"/>
    <x v="0"/>
    <n v="0"/>
    <n v="0"/>
    <n v="189"/>
    <n v="0"/>
    <n v="189"/>
    <m/>
    <n v="0"/>
    <m/>
    <m/>
  </r>
  <r>
    <m/>
    <s v="01-05-2026 to 07-05-2026"/>
    <m/>
    <x v="0"/>
    <s v="Gomukh Gold "/>
    <x v="44"/>
    <s v="Gomukh Karisath"/>
    <x v="16"/>
    <m/>
    <s v="Dumraon"/>
    <s v="Daya Society"/>
    <x v="115"/>
    <x v="0"/>
    <n v="0"/>
    <n v="0"/>
    <n v="3840"/>
    <n v="0"/>
    <n v="3840"/>
    <m/>
    <n v="3840"/>
    <m/>
    <m/>
  </r>
  <r>
    <m/>
    <s v="01-05-2026 to 07-05-2026"/>
    <m/>
    <x v="0"/>
    <s v="Gomukh Gold "/>
    <x v="47"/>
    <s v="Gomukh Ramdihra"/>
    <x v="11"/>
    <m/>
    <s v="Dumraon"/>
    <s v="Daya Society"/>
    <x v="119"/>
    <x v="0"/>
    <n v="0"/>
    <n v="0"/>
    <n v="4752"/>
    <n v="0"/>
    <n v="4752"/>
    <m/>
    <n v="0"/>
    <m/>
    <m/>
  </r>
  <r>
    <m/>
    <s v="01-05-2026 to 07-05-2026"/>
    <m/>
    <x v="0"/>
    <s v="Gomukh Gold "/>
    <x v="44"/>
    <s v="Gomukh Karisath"/>
    <x v="16"/>
    <m/>
    <s v="Behiya"/>
    <s v="Daya Society"/>
    <x v="115"/>
    <x v="0"/>
    <n v="0"/>
    <n v="0"/>
    <n v="3200"/>
    <n v="0"/>
    <n v="3200"/>
    <m/>
    <n v="3200"/>
    <m/>
    <m/>
  </r>
  <r>
    <m/>
    <s v="01-05-2026 to 07-05-2026"/>
    <m/>
    <x v="0"/>
    <s v="Gomukh Gold "/>
    <x v="48"/>
    <s v="Kulharia Agriculture Producer Company Limited"/>
    <x v="11"/>
    <m/>
    <s v="Dumraon"/>
    <s v="Daya Society"/>
    <x v="120"/>
    <x v="0"/>
    <n v="0"/>
    <n v="0"/>
    <n v="15818"/>
    <n v="0"/>
    <n v="15818"/>
    <m/>
    <n v="15818"/>
    <m/>
    <m/>
  </r>
  <r>
    <m/>
    <s v="01-05-2026 to 07-05-2026"/>
    <m/>
    <x v="0"/>
    <s v="Gomukh Gold "/>
    <x v="49"/>
    <s v="Gomukh Jagdishpur"/>
    <x v="11"/>
    <m/>
    <s v="Dumraon"/>
    <s v="Daya Society"/>
    <x v="121"/>
    <x v="0"/>
    <n v="0"/>
    <n v="0"/>
    <n v="6400"/>
    <n v="0"/>
    <n v="6400"/>
    <m/>
    <n v="0"/>
    <m/>
    <m/>
  </r>
  <r>
    <m/>
    <s v="01-05-2026 to 07-05-2026"/>
    <m/>
    <x v="0"/>
    <s v="Gomukh Gold "/>
    <x v="50"/>
    <s v="PURANA BHOJPUR                                                                                      "/>
    <x v="11"/>
    <m/>
    <s v="Dumraon"/>
    <s v="Daya Society"/>
    <x v="122"/>
    <x v="0"/>
    <n v="0"/>
    <n v="0"/>
    <n v="2540"/>
    <n v="0"/>
    <n v="2540"/>
    <m/>
    <n v="0"/>
    <m/>
    <m/>
  </r>
  <r>
    <m/>
    <s v="01-05-2026 to 07-05-2026"/>
    <m/>
    <x v="0"/>
    <s v="Gomukh Gold "/>
    <x v="51"/>
    <s v="Gomukh Dhakaich"/>
    <x v="11"/>
    <m/>
    <s v="Dumraon"/>
    <s v="Daya Society"/>
    <x v="123"/>
    <x v="0"/>
    <n v="0"/>
    <n v="0"/>
    <n v="650"/>
    <n v="0"/>
    <n v="650"/>
    <m/>
    <n v="0"/>
    <m/>
    <m/>
  </r>
  <r>
    <m/>
    <s v="01-05-2026 to 07-05-2026"/>
    <m/>
    <x v="0"/>
    <s v="Gomukh Gold "/>
    <x v="52"/>
    <s v="Gangauli"/>
    <x v="47"/>
    <m/>
    <s v="Dumraon"/>
    <s v="Daya Society"/>
    <x v="124"/>
    <x v="0"/>
    <n v="0"/>
    <n v="0"/>
    <n v="1300"/>
    <n v="0"/>
    <n v="1300"/>
    <m/>
    <n v="1300"/>
    <m/>
    <m/>
  </r>
  <r>
    <m/>
    <s v="01-05-2026 to 07-05-2026"/>
    <m/>
    <x v="0"/>
    <s v="Gomukh Gold "/>
    <x v="53"/>
    <s v="Gomukh Bari chak Gogri"/>
    <x v="11"/>
    <m/>
    <s v="Araria"/>
    <s v="Daya Society"/>
    <x v="125"/>
    <x v="0"/>
    <n v="1"/>
    <n v="1300"/>
    <n v="1300"/>
    <n v="1"/>
    <n v="1300"/>
    <m/>
    <n v="0"/>
    <m/>
    <m/>
  </r>
  <r>
    <m/>
    <s v="01-05-2026 to 07-05-2026"/>
    <m/>
    <x v="0"/>
    <s v="Gomukh Gold "/>
    <x v="53"/>
    <s v="Gomukh Bari chak Gogri"/>
    <x v="16"/>
    <m/>
    <s v="Araria"/>
    <s v="Daya Society"/>
    <x v="126"/>
    <x v="0"/>
    <n v="1"/>
    <n v="1300"/>
    <n v="1300"/>
    <n v="1"/>
    <n v="1300"/>
    <m/>
    <n v="0"/>
    <m/>
    <m/>
  </r>
  <r>
    <m/>
    <s v="01-05-2026 to 07-05-2026"/>
    <m/>
    <x v="0"/>
    <s v="Gomukh Gold "/>
    <x v="53"/>
    <s v="Gomukh Bari chak Gogri"/>
    <x v="23"/>
    <m/>
    <s v="Araria"/>
    <s v="Daya Society"/>
    <x v="127"/>
    <x v="0"/>
    <n v="1"/>
    <n v="1300"/>
    <n v="1300"/>
    <n v="1"/>
    <n v="1300"/>
    <m/>
    <n v="0"/>
    <m/>
    <m/>
  </r>
  <r>
    <m/>
    <s v="01-05-2026 to 07-05-2026"/>
    <m/>
    <x v="0"/>
    <s v="Gomukh Gold "/>
    <x v="54"/>
    <s v="Gomukh Bandehra Purbi"/>
    <x v="11"/>
    <m/>
    <s v="Araria"/>
    <s v="Daya Society"/>
    <x v="128"/>
    <x v="0"/>
    <n v="10"/>
    <n v="1300"/>
    <n v="13000"/>
    <n v="10"/>
    <n v="13000"/>
    <m/>
    <n v="0"/>
    <m/>
    <m/>
  </r>
  <r>
    <m/>
    <s v="01-05-2026 to 07-05-2026"/>
    <m/>
    <x v="0"/>
    <s v="Gomukh Gold "/>
    <x v="55"/>
    <s v="Gomukh Madhawpur"/>
    <x v="11"/>
    <m/>
    <s v="Parbatta"/>
    <s v="Daya Society"/>
    <x v="129"/>
    <x v="0"/>
    <n v="5"/>
    <n v="1300"/>
    <n v="6500"/>
    <n v="5"/>
    <n v="6500"/>
    <m/>
    <n v="6500"/>
    <m/>
    <m/>
  </r>
  <r>
    <m/>
    <s v="01-05-2026 to 07-05-2026"/>
    <m/>
    <x v="0"/>
    <s v="Gomukh Gold "/>
    <x v="55"/>
    <s v="Gomukh Madhawpur"/>
    <x v="16"/>
    <m/>
    <s v="Parbatta"/>
    <s v="Daya Society"/>
    <x v="130"/>
    <x v="0"/>
    <n v="5"/>
    <n v="1300"/>
    <n v="6500"/>
    <n v="5"/>
    <n v="6500"/>
    <m/>
    <n v="6500"/>
    <m/>
    <m/>
  </r>
  <r>
    <m/>
    <s v="01-05-2026 to 07-05-2026"/>
    <m/>
    <x v="0"/>
    <s v="Gomukh Gold "/>
    <x v="56"/>
    <s v="Gomukh Tabhka"/>
    <x v="11"/>
    <m/>
    <s v="DalsinghSarai"/>
    <s v="Daya Society"/>
    <x v="131"/>
    <x v="0"/>
    <n v="3"/>
    <n v="1350"/>
    <n v="4050"/>
    <n v="3"/>
    <n v="4050"/>
    <m/>
    <n v="4050"/>
    <m/>
    <s v="Unregister Farmer"/>
  </r>
  <r>
    <m/>
    <s v="01-05-2026 to 07-05-2026"/>
    <m/>
    <x v="0"/>
    <s v="Gomukh Buffalo Special"/>
    <x v="57"/>
    <s v="Mordiba"/>
    <x v="11"/>
    <m/>
    <s v="DalsinghSarai"/>
    <s v="Daya Society"/>
    <x v="132"/>
    <x v="0"/>
    <n v="2"/>
    <n v="1500"/>
    <n v="3000"/>
    <n v="2"/>
    <n v="3000"/>
    <m/>
    <n v="3000"/>
    <m/>
    <m/>
  </r>
  <r>
    <m/>
    <s v="01-05-2026 to 07-05-2026"/>
    <m/>
    <x v="0"/>
    <s v="Gomukh Gold "/>
    <x v="57"/>
    <s v="Mordiba"/>
    <x v="23"/>
    <m/>
    <s v="DalsinghSarai"/>
    <s v="Daya Society"/>
    <x v="133"/>
    <x v="0"/>
    <n v="1"/>
    <n v="1350"/>
    <n v="1350"/>
    <n v="1"/>
    <n v="1350"/>
    <m/>
    <n v="0"/>
    <m/>
    <m/>
  </r>
  <r>
    <m/>
    <s v="01-05-2026 to 07-05-2026"/>
    <m/>
    <x v="0"/>
    <s v="Gomukh Gold "/>
    <x v="40"/>
    <s v="Gomukh Mordiwa East"/>
    <x v="11"/>
    <m/>
    <s v="DalsinghSarai"/>
    <s v="Daya Society"/>
    <x v="111"/>
    <x v="0"/>
    <n v="1"/>
    <n v="1350"/>
    <n v="1350"/>
    <n v="1"/>
    <n v="1350"/>
    <m/>
    <n v="1350"/>
    <m/>
    <m/>
  </r>
  <r>
    <m/>
    <s v="01-05-2026 to 07-05-2026"/>
    <m/>
    <x v="0"/>
    <s v="Gomukh Gold "/>
    <x v="58"/>
    <s v="Gomukh Jhaura Tabhka"/>
    <x v="11"/>
    <m/>
    <s v="DalsinghSarai"/>
    <s v="Daya Society"/>
    <x v="134"/>
    <x v="0"/>
    <n v="2"/>
    <n v="1350"/>
    <n v="2700"/>
    <n v="2"/>
    <n v="2700"/>
    <m/>
    <n v="2700"/>
    <m/>
    <m/>
  </r>
  <r>
    <m/>
    <s v="01-05-2026 to 07-05-2026"/>
    <m/>
    <x v="0"/>
    <s v="Gomukh Gold "/>
    <x v="59"/>
    <s v="Sato Ghachchhi"/>
    <x v="15"/>
    <m/>
    <s v="DalsinghSarai"/>
    <s v="Daya Society"/>
    <x v="135"/>
    <x v="0"/>
    <n v="0"/>
    <n v="0"/>
    <n v="460"/>
    <n v="0"/>
    <n v="460"/>
    <m/>
    <n v="460"/>
    <m/>
    <m/>
  </r>
  <r>
    <m/>
    <s v="01-05-2026 to 07-05-2026"/>
    <m/>
    <x v="0"/>
    <s v="Gomukh Gold "/>
    <x v="59"/>
    <s v="Sato Ghachchhi"/>
    <x v="16"/>
    <m/>
    <s v="DalsinghSarai"/>
    <s v="Daya Society"/>
    <x v="136"/>
    <x v="0"/>
    <n v="0"/>
    <n v="0"/>
    <n v="900"/>
    <n v="0"/>
    <n v="900"/>
    <m/>
    <n v="900"/>
    <m/>
    <m/>
  </r>
  <r>
    <m/>
    <s v="01-05-2026 to 07-05-2026"/>
    <m/>
    <x v="0"/>
    <s v="Gomukh Gold "/>
    <x v="60"/>
    <s v="Rasalpur"/>
    <x v="11"/>
    <m/>
    <s v="DalsinghSarai"/>
    <s v="Daya Society"/>
    <x v="137"/>
    <x v="0"/>
    <n v="1"/>
    <n v="1350"/>
    <n v="1350"/>
    <n v="1"/>
    <n v="1350"/>
    <m/>
    <n v="1350"/>
    <m/>
    <m/>
  </r>
  <r>
    <m/>
    <s v="01-05-2026 to 07-05-2026"/>
    <m/>
    <x v="0"/>
    <s v="Gomukh Gold "/>
    <x v="61"/>
    <s v="GOMUKH BEHORBA"/>
    <x v="11"/>
    <m/>
    <s v="Aluali"/>
    <s v="Daya Society"/>
    <x v="138"/>
    <x v="0"/>
    <n v="0"/>
    <n v="0"/>
    <n v="14434"/>
    <n v="0"/>
    <n v="14434"/>
    <m/>
    <n v="14036"/>
    <m/>
    <m/>
  </r>
  <r>
    <m/>
    <s v="01-05-2026 to 07-05-2026"/>
    <m/>
    <x v="0"/>
    <s v="Gomukh Gold "/>
    <x v="62"/>
    <s v="GOMUKH PARRI"/>
    <x v="36"/>
    <m/>
    <s v="Aluali"/>
    <s v="Daya Society"/>
    <x v="139"/>
    <x v="0"/>
    <n v="1"/>
    <n v="1350"/>
    <n v="1350"/>
    <n v="1"/>
    <n v="1350"/>
    <m/>
    <n v="0"/>
    <m/>
    <m/>
  </r>
  <r>
    <m/>
    <s v="01-05-2026 to 07-05-2026"/>
    <m/>
    <x v="0"/>
    <s v="Gomukh Gold "/>
    <x v="62"/>
    <s v="GOMUKH PARRI"/>
    <x v="30"/>
    <m/>
    <s v="Aluali"/>
    <s v="Daya Society"/>
    <x v="140"/>
    <x v="0"/>
    <n v="1"/>
    <n v="1350"/>
    <n v="1350"/>
    <n v="1"/>
    <n v="1350"/>
    <m/>
    <n v="1350"/>
    <m/>
    <m/>
  </r>
  <r>
    <m/>
    <s v="01-05-2026 to 07-05-2026"/>
    <m/>
    <x v="0"/>
    <s v="Gomukh Gold "/>
    <x v="63"/>
    <s v="GOMUKH GHAMARIYA"/>
    <x v="11"/>
    <m/>
    <s v="Aluali"/>
    <s v="Daya Society"/>
    <x v="141"/>
    <x v="0"/>
    <n v="0"/>
    <n v="0"/>
    <n v="3255"/>
    <n v="0"/>
    <n v="3255"/>
    <m/>
    <n v="641"/>
    <m/>
    <m/>
  </r>
  <r>
    <m/>
    <s v="01-05-2026 to 07-05-2026"/>
    <m/>
    <x v="0"/>
    <s v="Gomukh Gold "/>
    <x v="64"/>
    <s v="GOMUKH PHULTAURA"/>
    <x v="11"/>
    <m/>
    <s v="Aluali"/>
    <s v="Daya Society"/>
    <x v="142"/>
    <x v="0"/>
    <n v="0"/>
    <n v="0"/>
    <n v="1857"/>
    <n v="0"/>
    <n v="1857"/>
    <m/>
    <n v="1596"/>
    <m/>
    <m/>
  </r>
  <r>
    <m/>
    <s v="01-05-2026 to 07-05-2026"/>
    <m/>
    <x v="0"/>
    <s v="Gomukh Gold "/>
    <x v="65"/>
    <s v="GOMUKH BATHNAMA"/>
    <x v="23"/>
    <m/>
    <s v="Aluali"/>
    <s v="Daya Society"/>
    <x v="143"/>
    <x v="0"/>
    <n v="0"/>
    <n v="0"/>
    <n v="1352"/>
    <n v="0"/>
    <n v="1352"/>
    <m/>
    <n v="1352"/>
    <m/>
    <m/>
  </r>
  <r>
    <m/>
    <s v="01-05-2026 to 07-05-2026"/>
    <m/>
    <x v="0"/>
    <s v="Gomukh Gold "/>
    <x v="65"/>
    <s v="GOMUKH BATHNAMA"/>
    <x v="16"/>
    <m/>
    <s v="Aluali"/>
    <s v="Daya Society"/>
    <x v="144"/>
    <x v="0"/>
    <n v="0"/>
    <n v="0"/>
    <n v="1250"/>
    <n v="0"/>
    <n v="1250"/>
    <m/>
    <n v="609"/>
    <m/>
    <m/>
  </r>
  <r>
    <m/>
    <s v="01-05-2026 to 07-05-2026"/>
    <m/>
    <x v="0"/>
    <s v="Gomukh Gold "/>
    <x v="65"/>
    <s v="GOMUKH BATHNAMA"/>
    <x v="48"/>
    <m/>
    <s v="Aluali"/>
    <s v="Daya Society"/>
    <x v="145"/>
    <x v="0"/>
    <n v="0"/>
    <n v="0"/>
    <n v="1233"/>
    <n v="0"/>
    <n v="1233"/>
    <m/>
    <n v="1233"/>
    <m/>
    <m/>
  </r>
  <r>
    <m/>
    <s v="01-05-2026 to 07-05-2026"/>
    <m/>
    <x v="0"/>
    <s v="Gomukh Gold "/>
    <x v="65"/>
    <s v="GOMUKH BATHNAMA"/>
    <x v="12"/>
    <m/>
    <s v="Aluali"/>
    <s v="Daya Society"/>
    <x v="146"/>
    <x v="0"/>
    <n v="0"/>
    <n v="0"/>
    <n v="1200"/>
    <n v="0"/>
    <n v="1200"/>
    <m/>
    <n v="1200"/>
    <m/>
    <m/>
  </r>
  <r>
    <m/>
    <s v="01-05-2026 to 07-05-2026"/>
    <m/>
    <x v="0"/>
    <s v="Gomukh Gold "/>
    <x v="66"/>
    <s v="GOMUKH RANI 3"/>
    <x v="47"/>
    <m/>
    <s v="Teghra"/>
    <s v="Daya Society"/>
    <x v="147"/>
    <x v="0"/>
    <n v="2"/>
    <n v="1300"/>
    <n v="2600"/>
    <n v="2"/>
    <n v="2600"/>
    <m/>
    <n v="2600"/>
    <m/>
    <m/>
  </r>
  <r>
    <m/>
    <s v="01-05-2026 to 07-05-2026"/>
    <m/>
    <x v="0"/>
    <s v="Gomukh Gold "/>
    <x v="67"/>
    <s v="GomukhGehuni"/>
    <x v="11"/>
    <m/>
    <s v="Teghra"/>
    <s v="Daya Society"/>
    <x v="148"/>
    <x v="0"/>
    <n v="2"/>
    <n v="1300"/>
    <n v="2600"/>
    <n v="2"/>
    <n v="2600"/>
    <m/>
    <n v="404"/>
    <m/>
    <m/>
  </r>
  <r>
    <m/>
    <s v="01-05-2026 to 07-05-2026"/>
    <m/>
    <x v="0"/>
    <s v="Gomukh Gold "/>
    <x v="67"/>
    <s v="GomukhGehuni"/>
    <x v="38"/>
    <m/>
    <s v="Teghra"/>
    <s v="Daya Society"/>
    <x v="149"/>
    <x v="0"/>
    <n v="2"/>
    <n v="1300"/>
    <n v="2600"/>
    <n v="2"/>
    <n v="2600"/>
    <m/>
    <n v="2025"/>
    <m/>
    <m/>
  </r>
  <r>
    <m/>
    <s v="01-05-2026 to 07-05-2026"/>
    <m/>
    <x v="0"/>
    <s v="Gomukh Gold "/>
    <x v="68"/>
    <s v="GOMUKH NONPUR"/>
    <x v="11"/>
    <m/>
    <s v="Teghra"/>
    <s v="Daya Society"/>
    <x v="150"/>
    <x v="0"/>
    <n v="3"/>
    <n v="1300"/>
    <n v="3900"/>
    <n v="3"/>
    <n v="3900"/>
    <m/>
    <n v="3900"/>
    <m/>
    <s v="Deduction by any code"/>
  </r>
  <r>
    <m/>
    <s v="01-05-2026 to 07-05-2026"/>
    <m/>
    <x v="0"/>
    <s v="Gomukh Buffalo Special"/>
    <x v="68"/>
    <s v="GOMUKH NONPUR"/>
    <x v="11"/>
    <m/>
    <s v="Teghra"/>
    <s v="Daya Society"/>
    <x v="150"/>
    <x v="0"/>
    <n v="2"/>
    <n v="1450"/>
    <n v="2900"/>
    <n v="2"/>
    <n v="2900"/>
    <m/>
    <n v="2900"/>
    <m/>
    <s v="Deduction by any code"/>
  </r>
  <r>
    <m/>
    <s v="01-05-2026 to 07-05-2026"/>
    <m/>
    <x v="0"/>
    <s v="Gomukh Gold "/>
    <x v="69"/>
    <s v="Mukhtiyarpur"/>
    <x v="11"/>
    <m/>
    <s v="Teghra"/>
    <s v="Daya Society"/>
    <x v="151"/>
    <x v="0"/>
    <n v="3"/>
    <n v="1300"/>
    <n v="3900"/>
    <n v="3"/>
    <n v="3900"/>
    <m/>
    <n v="3900"/>
    <m/>
    <s v="Farmer code-04 chhod kar Deduction by any code"/>
  </r>
  <r>
    <m/>
    <s v="01-05-2026 to 07-05-2026"/>
    <m/>
    <x v="0"/>
    <s v="Gomukh Gold "/>
    <x v="69"/>
    <s v="Mukhtiyarpur"/>
    <x v="16"/>
    <m/>
    <s v="Teghra"/>
    <s v="Daya Society"/>
    <x v="152"/>
    <x v="0"/>
    <n v="2"/>
    <n v="1300"/>
    <n v="2600"/>
    <n v="2"/>
    <n v="2600"/>
    <m/>
    <n v="2600"/>
    <m/>
    <s v="Farmer code-04 chhod kar Deduction by any code"/>
  </r>
  <r>
    <m/>
    <s v="01-05-2026 to 07-05-2026"/>
    <m/>
    <x v="0"/>
    <s v="Gomukh Gold "/>
    <x v="66"/>
    <s v="GOMUKH RANI 3"/>
    <x v="47"/>
    <m/>
    <s v="Teghra"/>
    <s v="Daya Society"/>
    <x v="147"/>
    <x v="0"/>
    <n v="0"/>
    <n v="0"/>
    <n v="740"/>
    <n v="0"/>
    <n v="740"/>
    <m/>
    <n v="740"/>
    <m/>
    <m/>
  </r>
  <r>
    <m/>
    <s v="01-05-2026 to 07-05-2026"/>
    <m/>
    <x v="0"/>
    <s v="Gomukh Gold "/>
    <x v="70"/>
    <s v="Gomukh Bochaha"/>
    <x v="11"/>
    <m/>
    <s v="DalsinghSarai"/>
    <s v="Daya Society"/>
    <x v="153"/>
    <x v="0"/>
    <n v="5"/>
    <n v="1350"/>
    <n v="6750"/>
    <n v="5"/>
    <n v="6750"/>
    <m/>
    <n v="6750"/>
    <m/>
    <s v="Unregister Farmer"/>
  </r>
  <r>
    <m/>
    <s v="01-05-2026 to 07-05-2026"/>
    <m/>
    <x v="0"/>
    <s v="Gomukh Gold "/>
    <x v="71"/>
    <s v="Gomukh Chapra"/>
    <x v="11"/>
    <m/>
    <s v="DalsinghSarai"/>
    <s v="Daya Society"/>
    <x v="154"/>
    <x v="1"/>
    <n v="20"/>
    <n v="1250"/>
    <n v="25000"/>
    <n v="20"/>
    <n v="25000"/>
    <m/>
    <n v="20582"/>
    <m/>
    <m/>
  </r>
  <r>
    <m/>
    <s v="01-05-2026 to 07-05-2026"/>
    <m/>
    <x v="0"/>
    <s v="Gomukh Gold "/>
    <x v="72"/>
    <s v="GOMUKH SUBHANPUR"/>
    <x v="11"/>
    <m/>
    <s v="DalsinghSarai"/>
    <s v="Daya Society"/>
    <x v="155"/>
    <x v="1"/>
    <n v="1"/>
    <n v="1350"/>
    <n v="1350"/>
    <n v="1"/>
    <n v="1350"/>
    <m/>
    <n v="1350"/>
    <m/>
    <m/>
  </r>
  <r>
    <m/>
    <s v="01-05-2026 to 07-05-2026"/>
    <m/>
    <x v="0"/>
    <s v="Gomukh Buffalo Special"/>
    <x v="72"/>
    <s v="GOMUKH SUBHANPUR"/>
    <x v="11"/>
    <m/>
    <s v="DalsinghSarai"/>
    <s v="Daya Society"/>
    <x v="155"/>
    <x v="1"/>
    <n v="1"/>
    <n v="1500"/>
    <n v="1500"/>
    <n v="1"/>
    <n v="1500"/>
    <m/>
    <n v="1500"/>
    <m/>
    <m/>
  </r>
  <r>
    <m/>
    <s v="01-05-2026 to 07-05-2026"/>
    <m/>
    <x v="0"/>
    <s v="Gomukh Buffalo Special"/>
    <x v="72"/>
    <s v="GOMUKH SUBHANPUR"/>
    <x v="11"/>
    <m/>
    <s v="DalsinghSarai"/>
    <s v="Daya Society"/>
    <x v="155"/>
    <x v="1"/>
    <n v="1"/>
    <n v="1500"/>
    <n v="1500"/>
    <n v="1"/>
    <n v="1500"/>
    <m/>
    <n v="1500"/>
    <m/>
    <m/>
  </r>
  <r>
    <m/>
    <s v="01-05-2026 to 07-05-2026"/>
    <m/>
    <x v="0"/>
    <s v="Gomukh Buffalo Special"/>
    <x v="73"/>
    <s v="Gomukh ID Sararanjan"/>
    <x v="11"/>
    <m/>
    <s v="Musrigharari"/>
    <s v="Daya Society"/>
    <x v="156"/>
    <x v="1"/>
    <n v="2"/>
    <n v="1500"/>
    <n v="3000"/>
    <n v="2"/>
    <n v="3000"/>
    <m/>
    <n v="3000"/>
    <m/>
    <m/>
  </r>
  <r>
    <m/>
    <s v="01-05-2026 to 07-05-2026"/>
    <m/>
    <x v="0"/>
    <s v="Gomukh Buffalo Special"/>
    <x v="74"/>
    <s v="Nauachak-Pankaj"/>
    <x v="11"/>
    <m/>
    <s v="Musrigharari"/>
    <s v="Daya Society"/>
    <x v="157"/>
    <x v="1"/>
    <n v="1"/>
    <n v="1500"/>
    <n v="1500"/>
    <n v="1"/>
    <n v="1500"/>
    <m/>
    <n v="1500"/>
    <m/>
    <m/>
  </r>
  <r>
    <m/>
    <s v="01-05-2026 to 07-05-2026"/>
    <m/>
    <x v="0"/>
    <s v="Gomukh Gold "/>
    <x v="75"/>
    <s v="Harsingpur"/>
    <x v="11"/>
    <m/>
    <s v="Musrigharari"/>
    <s v="Daya Society"/>
    <x v="158"/>
    <x v="1"/>
    <n v="1"/>
    <n v="1350"/>
    <n v="1350"/>
    <n v="1"/>
    <n v="1350"/>
    <m/>
    <n v="1350"/>
    <m/>
    <m/>
  </r>
  <r>
    <m/>
    <s v="01-05-2026 to 07-05-2026"/>
    <m/>
    <x v="0"/>
    <s v="Gomukh Gold "/>
    <x v="76"/>
    <s v="Gomukha Vishanupatti II"/>
    <x v="11"/>
    <m/>
    <s v="Musrigharari"/>
    <s v="Daya Society"/>
    <x v="159"/>
    <x v="1"/>
    <n v="2"/>
    <n v="1350"/>
    <n v="2700"/>
    <n v="2"/>
    <n v="2700"/>
    <m/>
    <n v="2700"/>
    <m/>
    <m/>
  </r>
  <r>
    <m/>
    <s v="01-05-2026 to 07-05-2026"/>
    <m/>
    <x v="0"/>
    <s v="Gomukh Buffalo Special"/>
    <x v="77"/>
    <s v="MURTUJAPUR"/>
    <x v="11"/>
    <m/>
    <s v="Musrigharari"/>
    <s v="Daya Society"/>
    <x v="160"/>
    <x v="1"/>
    <n v="2"/>
    <n v="1500"/>
    <n v="3000"/>
    <n v="2"/>
    <n v="3000"/>
    <m/>
    <n v="3000"/>
    <m/>
    <m/>
  </r>
  <r>
    <m/>
    <s v="01-05-2026 to 07-05-2026"/>
    <m/>
    <x v="0"/>
    <s v="Gomukh Buffalo Special"/>
    <x v="78"/>
    <s v="GOMUKH Singhiya ward 11"/>
    <x v="11"/>
    <m/>
    <s v="Kalyanpur"/>
    <s v="Daya Society"/>
    <x v="161"/>
    <x v="1"/>
    <n v="2"/>
    <n v="1500"/>
    <n v="3000"/>
    <n v="2"/>
    <n v="3000"/>
    <m/>
    <n v="3000"/>
    <m/>
    <m/>
  </r>
  <r>
    <m/>
    <s v="01-05-2026 to 07-05-2026"/>
    <m/>
    <x v="0"/>
    <s v="Gomukh Buffalo Special"/>
    <x v="79"/>
    <s v="Gomukh Gopalpur"/>
    <x v="11"/>
    <m/>
    <s v="Kalyanpur"/>
    <s v="Daya Society"/>
    <x v="162"/>
    <x v="1"/>
    <n v="1"/>
    <n v="1500"/>
    <n v="1500"/>
    <n v="1"/>
    <n v="1500"/>
    <m/>
    <n v="1500"/>
    <m/>
    <m/>
  </r>
  <r>
    <m/>
    <s v="01-05-2026 to 07-05-2026"/>
    <m/>
    <x v="0"/>
    <s v="Gomukh Gold "/>
    <x v="80"/>
    <s v="KHANPUR SOBHA"/>
    <x v="11"/>
    <m/>
    <s v="Kalyanpur"/>
    <s v="Daya Society"/>
    <x v="163"/>
    <x v="1"/>
    <n v="1"/>
    <n v="1350"/>
    <n v="1350"/>
    <n v="1"/>
    <n v="1350"/>
    <m/>
    <n v="1350"/>
    <m/>
    <m/>
  </r>
  <r>
    <m/>
    <s v="01-05-2026 to 07-05-2026"/>
    <m/>
    <x v="0"/>
    <s v="Gomukh Buffalo Special"/>
    <x v="81"/>
    <s v="Gomukh Bazidpur"/>
    <x v="47"/>
    <m/>
    <s v="Kalyanpur"/>
    <s v="Daya Society"/>
    <x v="164"/>
    <x v="1"/>
    <n v="5"/>
    <n v="1500"/>
    <n v="7500"/>
    <n v="5"/>
    <n v="7500"/>
    <m/>
    <n v="7500"/>
    <m/>
    <m/>
  </r>
  <r>
    <m/>
    <s v="01-05-2026 to 07-05-2026"/>
    <m/>
    <x v="0"/>
    <s v="Gomukh Gold "/>
    <x v="82"/>
    <s v="Gomukh ID Chaidha"/>
    <x v="11"/>
    <m/>
    <s v="Araria"/>
    <s v="Daya Society"/>
    <x v="165"/>
    <x v="1"/>
    <n v="5"/>
    <n v="1300"/>
    <n v="6500"/>
    <n v="5"/>
    <n v="6500"/>
    <m/>
    <n v="6500"/>
    <m/>
    <m/>
  </r>
  <r>
    <m/>
    <s v="01-05-2026 to 07-05-2026"/>
    <m/>
    <x v="0"/>
    <s v="Gomukh Gold "/>
    <x v="83"/>
    <s v="Janganath Pur"/>
    <x v="11"/>
    <m/>
    <s v="DalsinghSarai"/>
    <s v="Daya Society"/>
    <x v="166"/>
    <x v="1"/>
    <n v="3"/>
    <n v="1350"/>
    <n v="4050"/>
    <n v="3"/>
    <n v="4050"/>
    <m/>
    <n v="4050"/>
    <m/>
    <m/>
  </r>
  <r>
    <m/>
    <s v="01-05-2026 to 07-05-2026"/>
    <m/>
    <x v="0"/>
    <s v="Gomukh Gold "/>
    <x v="84"/>
    <s v="Bhatgama"/>
    <x v="11"/>
    <m/>
    <s v="DalsinghSarai"/>
    <s v="Daya Society"/>
    <x v="167"/>
    <x v="1"/>
    <n v="2"/>
    <n v="1350"/>
    <n v="2700"/>
    <n v="2"/>
    <n v="2700"/>
    <m/>
    <n v="2700"/>
    <m/>
    <m/>
  </r>
  <r>
    <m/>
    <s v="01-05-2026 to 07-05-2026"/>
    <m/>
    <x v="0"/>
    <s v="Gomukh Gold "/>
    <x v="85"/>
    <s v="Gomukh Belsandi"/>
    <x v="11"/>
    <m/>
    <s v="Kalyanpur"/>
    <s v="Daya Society"/>
    <x v="168"/>
    <x v="1"/>
    <n v="1"/>
    <n v="1350"/>
    <n v="1350"/>
    <n v="1"/>
    <n v="1350"/>
    <m/>
    <n v="1350"/>
    <m/>
    <m/>
  </r>
  <r>
    <m/>
    <s v="01-05-2026 to 07-05-2026"/>
    <m/>
    <x v="0"/>
    <s v="Gomukh Gold "/>
    <x v="86"/>
    <s v="Gomukh Godhna"/>
    <x v="11"/>
    <m/>
    <s v="Teghra"/>
    <s v="Daya Society"/>
    <x v="169"/>
    <x v="1"/>
    <n v="1"/>
    <n v="1300"/>
    <n v="1300"/>
    <n v="1"/>
    <n v="1300"/>
    <m/>
    <n v="1300"/>
    <m/>
    <m/>
  </r>
  <r>
    <m/>
    <s v="01-05-2026 to 07-05-2026"/>
    <m/>
    <x v="0"/>
    <s v="Gomukh Gold "/>
    <x v="87"/>
    <s v="Gomukh ID Akashpur"/>
    <x v="11"/>
    <m/>
    <s v="Teghra"/>
    <s v="Daya Society"/>
    <x v="170"/>
    <x v="1"/>
    <n v="5"/>
    <n v="1300"/>
    <n v="6500"/>
    <n v="5"/>
    <n v="6500"/>
    <m/>
    <n v="6500"/>
    <m/>
    <m/>
  </r>
  <r>
    <m/>
    <s v="01-05-2026 to 07-05-2026"/>
    <m/>
    <x v="0"/>
    <s v="Gomukh Gold "/>
    <x v="88"/>
    <s v="Mohanpur"/>
    <x v="35"/>
    <m/>
    <s v="Majhaul"/>
    <s v="Daya Society"/>
    <x v="171"/>
    <x v="2"/>
    <n v="1"/>
    <n v="1300"/>
    <n v="1300"/>
    <n v="1"/>
    <n v="1300"/>
    <m/>
    <n v="0"/>
    <m/>
    <m/>
  </r>
  <r>
    <m/>
    <s v="01-05-2026 to 07-05-2026"/>
    <m/>
    <x v="0"/>
    <s v="Gomukh Buffalo Special"/>
    <x v="89"/>
    <s v="Bhuskoul"/>
    <x v="16"/>
    <m/>
    <s v="Kalyanpur"/>
    <s v="Daya Society"/>
    <x v="172"/>
    <x v="2"/>
    <n v="1"/>
    <n v="1500"/>
    <n v="1500"/>
    <n v="1"/>
    <n v="1500"/>
    <m/>
    <n v="0"/>
    <m/>
    <m/>
  </r>
  <r>
    <m/>
    <s v="01-05-2026 to 07-05-2026"/>
    <m/>
    <x v="0"/>
    <s v="Gomukh Gold "/>
    <x v="90"/>
    <s v="Hardiya"/>
    <x v="11"/>
    <m/>
    <s v="Dumraon"/>
    <s v="Daya Society"/>
    <x v="173"/>
    <x v="2"/>
    <n v="0"/>
    <n v="0"/>
    <n v="2600"/>
    <n v="0"/>
    <n v="2600"/>
    <m/>
    <n v="0"/>
    <m/>
    <m/>
  </r>
  <r>
    <m/>
    <s v="01-05-2026 to 07-05-2026"/>
    <m/>
    <x v="0"/>
    <s v="Gomukh Gold "/>
    <x v="91"/>
    <s v="Khaguriya"/>
    <x v="11"/>
    <m/>
    <s v="Dumraon"/>
    <s v="Daya Society"/>
    <x v="174"/>
    <x v="2"/>
    <n v="0"/>
    <n v="0"/>
    <n v="2600"/>
    <n v="0"/>
    <n v="2600"/>
    <m/>
    <n v="0"/>
    <m/>
    <m/>
  </r>
  <r>
    <m/>
    <s v="01-05-2026 to 07-05-2026"/>
    <m/>
    <x v="0"/>
    <s v="Gomukh Gold "/>
    <x v="92"/>
    <s v="Hathvan"/>
    <x v="11"/>
    <m/>
    <s v="Aluali"/>
    <s v="Daya Society"/>
    <x v="175"/>
    <x v="2"/>
    <n v="5"/>
    <n v="1350"/>
    <n v="6750"/>
    <n v="5"/>
    <n v="6750"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61219-A48C-45AB-8C00-AE1BA562200B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84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m="1" x="1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2">
        <item m="1" x="141"/>
        <item m="1" x="93"/>
        <item x="67"/>
        <item x="66"/>
        <item m="1" x="94"/>
        <item m="1" x="95"/>
        <item x="72"/>
        <item m="1" x="96"/>
        <item m="1" x="97"/>
        <item x="0"/>
        <item x="83"/>
        <item m="1" x="98"/>
        <item x="59"/>
        <item x="84"/>
        <item m="1" x="99"/>
        <item x="39"/>
        <item x="9"/>
        <item m="1" x="100"/>
        <item m="1" x="101"/>
        <item m="1" x="102"/>
        <item x="56"/>
        <item m="1" x="103"/>
        <item m="1" x="104"/>
        <item m="1" x="105"/>
        <item m="1" x="106"/>
        <item m="1" x="107"/>
        <item x="10"/>
        <item m="1" x="108"/>
        <item m="1" x="109"/>
        <item m="1" x="110"/>
        <item m="1" x="111"/>
        <item m="1" x="112"/>
        <item m="1" x="113"/>
        <item x="57"/>
        <item x="6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x="76"/>
        <item m="1" x="124"/>
        <item x="75"/>
        <item m="1" x="125"/>
        <item m="1" x="126"/>
        <item m="1" x="127"/>
        <item m="1" x="128"/>
        <item m="1" x="129"/>
        <item x="77"/>
        <item m="1" x="130"/>
        <item m="1" x="131"/>
        <item x="73"/>
        <item m="1" x="132"/>
        <item m="1" x="133"/>
        <item m="1" x="134"/>
        <item m="1" x="135"/>
        <item x="15"/>
        <item m="1" x="136"/>
        <item x="14"/>
        <item m="1" x="137"/>
        <item m="1" x="138"/>
        <item m="1" x="139"/>
        <item m="1" x="140"/>
        <item x="1"/>
        <item x="2"/>
        <item x="3"/>
        <item x="4"/>
        <item x="71"/>
        <item x="5"/>
        <item x="7"/>
        <item x="8"/>
        <item x="74"/>
        <item x="11"/>
        <item x="12"/>
        <item x="13"/>
        <item x="16"/>
        <item x="88"/>
        <item x="17"/>
        <item x="18"/>
        <item x="19"/>
        <item x="20"/>
        <item x="21"/>
        <item x="22"/>
        <item x="23"/>
        <item x="24"/>
        <item x="78"/>
        <item x="79"/>
        <item x="80"/>
        <item x="25"/>
        <item x="26"/>
        <item x="27"/>
        <item x="28"/>
        <item x="29"/>
        <item x="30"/>
        <item x="31"/>
        <item x="32"/>
        <item x="33"/>
        <item x="89"/>
        <item x="81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90"/>
        <item x="91"/>
        <item x="47"/>
        <item x="48"/>
        <item x="49"/>
        <item x="50"/>
        <item x="51"/>
        <item x="52"/>
        <item x="53"/>
        <item x="54"/>
        <item x="55"/>
        <item x="82"/>
        <item x="58"/>
        <item x="60"/>
        <item x="85"/>
        <item x="61"/>
        <item x="62"/>
        <item x="63"/>
        <item x="64"/>
        <item x="92"/>
        <item x="65"/>
        <item x="68"/>
        <item x="69"/>
        <item x="86"/>
        <item x="87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7">
        <item x="11"/>
        <item x="16"/>
        <item x="18"/>
        <item x="23"/>
        <item x="12"/>
        <item x="8"/>
        <item x="14"/>
        <item x="10"/>
        <item x="2"/>
        <item x="9"/>
        <item m="1" x="54"/>
        <item x="38"/>
        <item x="40"/>
        <item m="1" x="55"/>
        <item x="3"/>
        <item m="1" x="49"/>
        <item m="1" x="50"/>
        <item m="1" x="51"/>
        <item m="1" x="52"/>
        <item m="1" x="53"/>
        <item x="5"/>
        <item x="0"/>
        <item x="1"/>
        <item x="4"/>
        <item x="6"/>
        <item x="7"/>
        <item x="13"/>
        <item x="15"/>
        <item x="17"/>
        <item x="35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47"/>
        <item x="39"/>
        <item x="41"/>
        <item x="42"/>
        <item x="43"/>
        <item x="44"/>
        <item x="45"/>
        <item x="46"/>
        <item x="4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m="1" x="3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7"/>
  </rowFields>
  <rowItems count="180">
    <i>
      <x/>
      <x v="2"/>
      <x/>
    </i>
    <i r="2">
      <x v="11"/>
    </i>
    <i r="1">
      <x v="3"/>
      <x v="47"/>
    </i>
    <i r="1">
      <x v="9"/>
      <x v="8"/>
    </i>
    <i r="2">
      <x v="14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8"/>
    </i>
    <i r="1">
      <x v="12"/>
      <x v="1"/>
    </i>
    <i r="2">
      <x v="27"/>
    </i>
    <i r="1">
      <x v="15"/>
      <x/>
    </i>
    <i r="2">
      <x v="1"/>
    </i>
    <i r="2">
      <x v="3"/>
    </i>
    <i r="1">
      <x v="16"/>
      <x/>
    </i>
    <i r="1">
      <x v="20"/>
      <x/>
    </i>
    <i r="1">
      <x v="26"/>
      <x/>
    </i>
    <i r="1">
      <x v="33"/>
      <x/>
    </i>
    <i r="2">
      <x v="3"/>
    </i>
    <i r="1">
      <x v="34"/>
      <x/>
    </i>
    <i r="1">
      <x v="61"/>
      <x/>
    </i>
    <i r="1">
      <x v="63"/>
      <x v="1"/>
    </i>
    <i r="1">
      <x v="68"/>
      <x v="4"/>
    </i>
    <i r="2">
      <x v="5"/>
    </i>
    <i r="2">
      <x v="6"/>
    </i>
    <i r="2">
      <x v="26"/>
    </i>
    <i r="2">
      <x v="27"/>
    </i>
    <i r="1">
      <x v="69"/>
      <x/>
    </i>
    <i r="2">
      <x v="4"/>
    </i>
    <i r="2">
      <x v="5"/>
    </i>
    <i r="2">
      <x v="7"/>
    </i>
    <i r="2">
      <x v="9"/>
    </i>
    <i r="1">
      <x v="70"/>
      <x/>
    </i>
    <i r="1">
      <x v="71"/>
      <x/>
    </i>
    <i r="1">
      <x v="73"/>
      <x/>
    </i>
    <i r="1">
      <x v="74"/>
      <x/>
    </i>
    <i r="1">
      <x v="75"/>
      <x/>
    </i>
    <i r="1">
      <x v="77"/>
      <x v="1"/>
    </i>
    <i r="1">
      <x v="78"/>
      <x/>
    </i>
    <i r="1">
      <x v="79"/>
      <x/>
    </i>
    <i r="1">
      <x v="80"/>
      <x/>
    </i>
    <i r="1">
      <x v="82"/>
      <x/>
    </i>
    <i r="1">
      <x v="83"/>
      <x/>
    </i>
    <i r="2">
      <x v="2"/>
    </i>
    <i r="2">
      <x v="30"/>
    </i>
    <i r="2">
      <x v="31"/>
    </i>
    <i r="2">
      <x v="32"/>
    </i>
    <i r="2">
      <x v="33"/>
    </i>
    <i r="1">
      <x v="84"/>
      <x/>
    </i>
    <i r="2">
      <x v="2"/>
    </i>
    <i r="2">
      <x v="4"/>
    </i>
    <i r="1">
      <x v="85"/>
      <x v="2"/>
    </i>
    <i r="2">
      <x v="3"/>
    </i>
    <i r="1">
      <x v="86"/>
      <x/>
    </i>
    <i r="2">
      <x v="34"/>
    </i>
    <i r="2">
      <x v="35"/>
    </i>
    <i r="2">
      <x v="36"/>
    </i>
    <i r="1">
      <x v="87"/>
      <x v="2"/>
    </i>
    <i r="2">
      <x v="37"/>
    </i>
    <i r="1">
      <x v="88"/>
      <x v="38"/>
    </i>
    <i r="2">
      <x v="39"/>
    </i>
    <i r="1">
      <x v="89"/>
      <x v="40"/>
    </i>
    <i r="1">
      <x v="93"/>
      <x v="26"/>
    </i>
    <i r="2">
      <x v="35"/>
    </i>
    <i r="2">
      <x v="41"/>
    </i>
    <i r="2">
      <x v="42"/>
    </i>
    <i r="1">
      <x v="94"/>
      <x v="27"/>
    </i>
    <i r="1">
      <x v="95"/>
      <x/>
    </i>
    <i r="2">
      <x v="26"/>
    </i>
    <i r="2">
      <x v="40"/>
    </i>
    <i r="1">
      <x v="96"/>
      <x/>
    </i>
    <i r="2">
      <x v="1"/>
    </i>
    <i r="2">
      <x v="2"/>
    </i>
    <i r="2">
      <x v="4"/>
    </i>
    <i r="2">
      <x v="30"/>
    </i>
    <i r="2">
      <x v="43"/>
    </i>
    <i r="2">
      <x v="44"/>
    </i>
    <i r="1">
      <x v="97"/>
      <x v="29"/>
    </i>
    <i r="2">
      <x v="45"/>
    </i>
    <i r="1">
      <x v="98"/>
      <x/>
    </i>
    <i r="1">
      <x v="99"/>
      <x v="1"/>
    </i>
    <i r="2">
      <x v="5"/>
    </i>
    <i r="2">
      <x v="6"/>
    </i>
    <i r="1">
      <x v="100"/>
      <x v="5"/>
    </i>
    <i r="2">
      <x v="9"/>
    </i>
    <i r="2">
      <x v="11"/>
    </i>
    <i r="2">
      <x v="14"/>
    </i>
    <i r="2">
      <x v="46"/>
    </i>
    <i r="1">
      <x v="101"/>
      <x/>
    </i>
    <i r="2">
      <x v="1"/>
    </i>
    <i r="2">
      <x v="2"/>
    </i>
    <i r="1">
      <x v="104"/>
      <x/>
    </i>
    <i r="2">
      <x v="2"/>
    </i>
    <i r="2">
      <x v="4"/>
    </i>
    <i r="2">
      <x v="5"/>
    </i>
    <i r="2">
      <x v="12"/>
    </i>
    <i r="2">
      <x v="26"/>
    </i>
    <i r="2">
      <x v="48"/>
    </i>
    <i r="2">
      <x v="49"/>
    </i>
    <i r="2">
      <x v="50"/>
    </i>
    <i r="1">
      <x v="105"/>
      <x v="5"/>
    </i>
    <i r="2">
      <x v="26"/>
    </i>
    <i r="2">
      <x v="30"/>
    </i>
    <i r="2">
      <x v="31"/>
    </i>
    <i r="1">
      <x v="106"/>
      <x/>
    </i>
    <i r="2">
      <x v="12"/>
    </i>
    <i r="2">
      <x v="30"/>
    </i>
    <i r="2">
      <x v="37"/>
    </i>
    <i r="2">
      <x v="40"/>
    </i>
    <i r="1">
      <x v="107"/>
      <x/>
    </i>
    <i r="2">
      <x v="7"/>
    </i>
    <i r="2">
      <x v="30"/>
    </i>
    <i r="2">
      <x v="51"/>
    </i>
    <i r="2">
      <x v="52"/>
    </i>
    <i r="2">
      <x v="53"/>
    </i>
    <i r="1">
      <x v="108"/>
      <x v="1"/>
    </i>
    <i r="1">
      <x v="109"/>
      <x/>
    </i>
    <i r="1">
      <x v="110"/>
      <x v="54"/>
    </i>
    <i r="1">
      <x v="111"/>
      <x/>
    </i>
    <i r="1">
      <x v="112"/>
      <x/>
    </i>
    <i r="1">
      <x v="113"/>
      <x v="1"/>
    </i>
    <i r="1">
      <x v="114"/>
      <x/>
    </i>
    <i r="1">
      <x v="115"/>
      <x/>
    </i>
    <i r="2">
      <x v="1"/>
    </i>
    <i r="1">
      <x v="118"/>
      <x/>
    </i>
    <i r="1">
      <x v="119"/>
      <x/>
    </i>
    <i r="1">
      <x v="120"/>
      <x/>
    </i>
    <i r="1">
      <x v="121"/>
      <x/>
    </i>
    <i r="1">
      <x v="122"/>
      <x/>
    </i>
    <i r="1">
      <x v="123"/>
      <x v="47"/>
    </i>
    <i r="1">
      <x v="124"/>
      <x/>
    </i>
    <i r="2">
      <x v="1"/>
    </i>
    <i r="2">
      <x v="3"/>
    </i>
    <i r="1">
      <x v="125"/>
      <x/>
    </i>
    <i r="1">
      <x v="126"/>
      <x/>
    </i>
    <i r="2">
      <x v="1"/>
    </i>
    <i r="1">
      <x v="128"/>
      <x/>
    </i>
    <i r="1">
      <x v="129"/>
      <x/>
    </i>
    <i r="1">
      <x v="131"/>
      <x/>
    </i>
    <i r="1">
      <x v="132"/>
      <x v="40"/>
    </i>
    <i r="2">
      <x v="45"/>
    </i>
    <i r="1">
      <x v="133"/>
      <x/>
    </i>
    <i r="1">
      <x v="134"/>
      <x/>
    </i>
    <i r="1">
      <x v="136"/>
      <x v="1"/>
    </i>
    <i r="2">
      <x v="3"/>
    </i>
    <i r="2">
      <x v="4"/>
    </i>
    <i r="2">
      <x v="55"/>
    </i>
    <i r="1">
      <x v="137"/>
      <x/>
    </i>
    <i r="1">
      <x v="138"/>
      <x/>
    </i>
    <i r="2">
      <x v="1"/>
    </i>
    <i r="1">
      <x v="141"/>
      <x/>
    </i>
    <i t="default">
      <x/>
    </i>
    <i>
      <x v="1"/>
      <x v="6"/>
      <x/>
    </i>
    <i r="1">
      <x v="10"/>
      <x/>
    </i>
    <i r="1">
      <x v="13"/>
      <x/>
    </i>
    <i r="1">
      <x v="45"/>
      <x/>
    </i>
    <i r="1">
      <x v="47"/>
      <x/>
    </i>
    <i r="1">
      <x v="53"/>
      <x/>
    </i>
    <i r="1">
      <x v="56"/>
      <x/>
    </i>
    <i r="1">
      <x v="72"/>
      <x/>
    </i>
    <i r="1">
      <x v="76"/>
      <x/>
    </i>
    <i r="1">
      <x v="90"/>
      <x/>
    </i>
    <i r="1">
      <x v="91"/>
      <x/>
    </i>
    <i r="1">
      <x v="92"/>
      <x/>
    </i>
    <i r="1">
      <x v="103"/>
      <x v="47"/>
    </i>
    <i r="1">
      <x v="127"/>
      <x/>
    </i>
    <i r="1">
      <x v="130"/>
      <x/>
    </i>
    <i r="1">
      <x v="139"/>
      <x/>
    </i>
    <i r="1">
      <x v="140"/>
      <x/>
    </i>
    <i t="default">
      <x v="1"/>
    </i>
    <i>
      <x v="3"/>
      <x v="81"/>
      <x v="29"/>
    </i>
    <i r="1">
      <x v="102"/>
      <x v="1"/>
    </i>
    <i r="1">
      <x v="116"/>
      <x/>
    </i>
    <i r="1">
      <x v="117"/>
      <x/>
    </i>
    <i r="1">
      <x v="135"/>
      <x/>
    </i>
    <i t="default">
      <x v="3"/>
    </i>
    <i t="grand">
      <x/>
    </i>
  </rowItems>
  <colFields count="1">
    <field x="3"/>
  </colFields>
  <colItems count="2">
    <i>
      <x/>
    </i>
    <i t="grand">
      <x/>
    </i>
  </colItems>
  <dataFields count="1">
    <dataField name="Sum of Final Amount" fld="1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63FAB-ED68-46CD-9A85-1EB87E4102E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98" firstHeaderRow="2" firstDataRow="2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3">
        <item m="1" x="141"/>
        <item x="16"/>
        <item x="88"/>
        <item x="82"/>
        <item x="54"/>
        <item x="53"/>
        <item x="86"/>
        <item x="87"/>
        <item m="1" x="93"/>
        <item x="67"/>
        <item x="66"/>
        <item x="68"/>
        <item m="1" x="94"/>
        <item m="1" x="95"/>
        <item x="69"/>
        <item x="55"/>
        <item x="4"/>
        <item x="65"/>
        <item x="3"/>
        <item x="2"/>
        <item x="1"/>
        <item x="63"/>
        <item x="61"/>
        <item x="64"/>
        <item x="72"/>
        <item m="1" x="96"/>
        <item m="1" x="97"/>
        <item x="0"/>
        <item x="83"/>
        <item m="1" x="98"/>
        <item x="59"/>
        <item x="84"/>
        <item m="1" x="99"/>
        <item x="60"/>
        <item x="39"/>
        <item x="9"/>
        <item m="1" x="100"/>
        <item m="1" x="101"/>
        <item m="1" x="102"/>
        <item x="56"/>
        <item m="1" x="103"/>
        <item m="1" x="104"/>
        <item m="1" x="105"/>
        <item m="1" x="106"/>
        <item m="1" x="107"/>
        <item x="10"/>
        <item m="1" x="108"/>
        <item m="1" x="109"/>
        <item m="1" x="110"/>
        <item m="1" x="111"/>
        <item m="1" x="112"/>
        <item m="1" x="113"/>
        <item x="57"/>
        <item x="6"/>
        <item m="1" x="114"/>
        <item m="1" x="115"/>
        <item m="1" x="116"/>
        <item m="1" x="117"/>
        <item x="7"/>
        <item x="5"/>
        <item x="58"/>
        <item x="70"/>
        <item x="71"/>
        <item x="40"/>
        <item x="8"/>
        <item m="1" x="118"/>
        <item m="1" x="119"/>
        <item m="1" x="120"/>
        <item m="1" x="121"/>
        <item m="1" x="122"/>
        <item m="1" x="123"/>
        <item x="76"/>
        <item m="1" x="124"/>
        <item x="75"/>
        <item m="1" x="125"/>
        <item m="1" x="126"/>
        <item m="1" x="127"/>
        <item m="1" x="128"/>
        <item m="1" x="129"/>
        <item x="77"/>
        <item m="1" x="130"/>
        <item m="1" x="131"/>
        <item x="73"/>
        <item m="1" x="132"/>
        <item m="1" x="133"/>
        <item m="1" x="134"/>
        <item m="1" x="135"/>
        <item x="15"/>
        <item m="1" x="136"/>
        <item x="14"/>
        <item m="1" x="137"/>
        <item m="1" x="138"/>
        <item m="1" x="139"/>
        <item m="1" x="140"/>
        <item x="12"/>
        <item x="11"/>
        <item x="74"/>
        <item x="13"/>
        <item x="41"/>
        <item x="52"/>
        <item x="50"/>
        <item x="48"/>
        <item x="51"/>
        <item x="45"/>
        <item x="49"/>
        <item x="42"/>
        <item x="18"/>
        <item x="25"/>
        <item x="27"/>
        <item x="81"/>
        <item x="85"/>
        <item x="79"/>
        <item x="24"/>
        <item x="36"/>
        <item x="22"/>
        <item x="37"/>
        <item x="78"/>
        <item x="38"/>
        <item x="33"/>
        <item x="29"/>
        <item x="35"/>
        <item x="32"/>
        <item x="23"/>
        <item x="28"/>
        <item x="80"/>
        <item x="31"/>
        <item x="21"/>
        <item x="17"/>
        <item x="26"/>
        <item x="19"/>
        <item x="34"/>
        <item x="30"/>
        <item x="20"/>
        <item x="89"/>
        <item x="62"/>
        <item x="92"/>
        <item x="44"/>
        <item x="46"/>
        <item x="43"/>
        <item x="47"/>
        <item x="91"/>
        <item x="9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5"/>
  </rowFields>
  <rowItems count="94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7"/>
    </i>
    <i>
      <x v="28"/>
    </i>
    <i>
      <x v="30"/>
    </i>
    <i>
      <x v="31"/>
    </i>
    <i>
      <x v="33"/>
    </i>
    <i>
      <x v="34"/>
    </i>
    <i>
      <x v="35"/>
    </i>
    <i>
      <x v="39"/>
    </i>
    <i>
      <x v="45"/>
    </i>
    <i>
      <x v="52"/>
    </i>
    <i>
      <x v="53"/>
    </i>
    <i>
      <x v="58"/>
    </i>
    <i>
      <x v="59"/>
    </i>
    <i>
      <x v="60"/>
    </i>
    <i>
      <x v="61"/>
    </i>
    <i>
      <x v="62"/>
    </i>
    <i>
      <x v="63"/>
    </i>
    <i>
      <x v="64"/>
    </i>
    <i>
      <x v="71"/>
    </i>
    <i>
      <x v="73"/>
    </i>
    <i>
      <x v="79"/>
    </i>
    <i>
      <x v="82"/>
    </i>
    <i>
      <x v="87"/>
    </i>
    <i>
      <x v="89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Items count="1">
    <i/>
  </colItems>
  <dataFields count="1">
    <dataField name="Sum of CF Deduction" fld="19" baseField="5" baseItem="2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3B60D-1989-46EE-8482-8C44DE5037F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D184" firstHeaderRow="2" firstDataRow="2" firstDataCol="3" rowPageCount="1" colPageCount="1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m="1" x="2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2">
        <item m="1" x="141"/>
        <item x="0"/>
        <item x="83"/>
        <item x="84"/>
        <item x="39"/>
        <item m="1" x="102"/>
        <item m="1" x="105"/>
        <item m="1" x="108"/>
        <item m="1" x="109"/>
        <item m="1" x="111"/>
        <item m="1" x="112"/>
        <item m="1" x="113"/>
        <item x="57"/>
        <item x="6"/>
        <item m="1" x="114"/>
        <item m="1" x="117"/>
        <item m="1" x="118"/>
        <item m="1" x="119"/>
        <item m="1" x="120"/>
        <item m="1" x="121"/>
        <item m="1" x="122"/>
        <item m="1" x="123"/>
        <item x="76"/>
        <item m="1" x="124"/>
        <item m="1" x="125"/>
        <item m="1" x="127"/>
        <item m="1" x="128"/>
        <item m="1" x="129"/>
        <item x="77"/>
        <item m="1" x="130"/>
        <item m="1" x="131"/>
        <item m="1" x="132"/>
        <item m="1" x="134"/>
        <item m="1" x="135"/>
        <item x="15"/>
        <item m="1" x="136"/>
        <item x="14"/>
        <item m="1" x="137"/>
        <item m="1" x="98"/>
        <item m="1" x="99"/>
        <item x="9"/>
        <item x="73"/>
        <item m="1" x="138"/>
        <item m="1" x="139"/>
        <item m="1" x="140"/>
        <item m="1" x="97"/>
        <item x="59"/>
        <item m="1" x="101"/>
        <item x="56"/>
        <item m="1" x="104"/>
        <item m="1" x="106"/>
        <item m="1" x="110"/>
        <item m="1" x="116"/>
        <item x="75"/>
        <item m="1" x="133"/>
        <item x="72"/>
        <item m="1" x="96"/>
        <item m="1" x="100"/>
        <item m="1" x="103"/>
        <item m="1" x="107"/>
        <item x="10"/>
        <item m="1" x="115"/>
        <item m="1" x="126"/>
        <item x="66"/>
        <item m="1" x="93"/>
        <item x="67"/>
        <item m="1" x="94"/>
        <item m="1" x="95"/>
        <item x="1"/>
        <item x="2"/>
        <item x="3"/>
        <item x="4"/>
        <item x="71"/>
        <item x="5"/>
        <item x="7"/>
        <item x="8"/>
        <item x="74"/>
        <item x="11"/>
        <item x="12"/>
        <item x="13"/>
        <item x="16"/>
        <item x="88"/>
        <item x="17"/>
        <item x="18"/>
        <item x="19"/>
        <item x="20"/>
        <item x="21"/>
        <item x="22"/>
        <item x="23"/>
        <item x="24"/>
        <item x="78"/>
        <item x="79"/>
        <item x="80"/>
        <item x="25"/>
        <item x="26"/>
        <item x="27"/>
        <item x="28"/>
        <item x="29"/>
        <item x="30"/>
        <item x="31"/>
        <item x="32"/>
        <item x="33"/>
        <item x="89"/>
        <item x="81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90"/>
        <item x="91"/>
        <item x="47"/>
        <item x="48"/>
        <item x="49"/>
        <item x="50"/>
        <item x="51"/>
        <item x="52"/>
        <item x="53"/>
        <item x="54"/>
        <item x="55"/>
        <item x="82"/>
        <item x="58"/>
        <item x="60"/>
        <item x="85"/>
        <item x="61"/>
        <item x="62"/>
        <item x="63"/>
        <item x="64"/>
        <item x="92"/>
        <item x="65"/>
        <item x="68"/>
        <item x="69"/>
        <item x="86"/>
        <item x="87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51">
        <item m="1" x="247"/>
        <item m="1" x="248"/>
        <item m="1" x="249"/>
        <item m="1" x="182"/>
        <item x="3"/>
        <item m="1" x="183"/>
        <item m="1" x="184"/>
        <item m="1" x="185"/>
        <item m="1" x="186"/>
        <item m="1" x="187"/>
        <item x="5"/>
        <item x="166"/>
        <item x="167"/>
        <item x="108"/>
        <item m="1" x="193"/>
        <item m="1" x="196"/>
        <item m="1" x="199"/>
        <item m="1" x="200"/>
        <item m="1" x="202"/>
        <item m="1" x="203"/>
        <item m="1" x="204"/>
        <item x="132"/>
        <item m="1" x="205"/>
        <item m="1" x="206"/>
        <item m="1" x="207"/>
        <item m="1" x="208"/>
        <item m="1" x="209"/>
        <item m="1" x="210"/>
        <item m="1" x="213"/>
        <item m="1" x="214"/>
        <item m="1" x="215"/>
        <item m="1" x="216"/>
        <item m="1" x="217"/>
        <item m="1" x="218"/>
        <item m="1" x="219"/>
        <item x="159"/>
        <item m="1" x="220"/>
        <item m="1" x="221"/>
        <item m="1" x="223"/>
        <item m="1" x="224"/>
        <item m="1" x="225"/>
        <item x="160"/>
        <item m="1" x="226"/>
        <item m="1" x="227"/>
        <item m="1" x="228"/>
        <item m="1" x="230"/>
        <item m="1" x="232"/>
        <item m="1" x="233"/>
        <item x="31"/>
        <item m="1" x="234"/>
        <item m="1" x="235"/>
        <item m="1" x="236"/>
        <item m="1" x="188"/>
        <item m="1" x="190"/>
        <item x="24"/>
        <item x="156"/>
        <item m="1" x="237"/>
        <item m="1" x="238"/>
        <item m="1" x="239"/>
        <item m="1" x="240"/>
        <item m="1" x="246"/>
        <item m="1" x="181"/>
        <item m="1" x="189"/>
        <item m="1" x="192"/>
        <item x="131"/>
        <item m="1" x="195"/>
        <item m="1" x="197"/>
        <item m="1" x="201"/>
        <item x="133"/>
        <item m="1" x="212"/>
        <item x="158"/>
        <item m="1" x="229"/>
        <item m="1" x="231"/>
        <item x="30"/>
        <item m="1" x="242"/>
        <item x="155"/>
        <item m="1" x="180"/>
        <item m="1" x="191"/>
        <item m="1" x="194"/>
        <item m="1" x="198"/>
        <item x="25"/>
        <item m="1" x="241"/>
        <item m="1" x="245"/>
        <item m="1" x="211"/>
        <item m="1" x="244"/>
        <item m="1" x="243"/>
        <item m="1" x="222"/>
        <item m="1" x="177"/>
        <item m="1" x="176"/>
        <item x="148"/>
        <item m="1" x="178"/>
        <item m="1" x="179"/>
        <item x="0"/>
        <item x="1"/>
        <item x="2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154"/>
        <item x="20"/>
        <item x="21"/>
        <item x="22"/>
        <item x="23"/>
        <item x="157"/>
        <item x="26"/>
        <item x="27"/>
        <item x="28"/>
        <item x="29"/>
        <item x="32"/>
        <item x="17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161"/>
        <item x="162"/>
        <item x="16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172"/>
        <item x="16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3"/>
        <item x="114"/>
        <item x="115"/>
        <item x="116"/>
        <item x="117"/>
        <item x="173"/>
        <item x="118"/>
        <item x="174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65"/>
        <item x="134"/>
        <item x="135"/>
        <item x="136"/>
        <item x="137"/>
        <item x="168"/>
        <item x="138"/>
        <item x="139"/>
        <item x="140"/>
        <item x="141"/>
        <item x="142"/>
        <item x="175"/>
        <item x="143"/>
        <item x="144"/>
        <item x="145"/>
        <item x="146"/>
        <item x="147"/>
        <item x="149"/>
        <item x="150"/>
        <item x="151"/>
        <item x="152"/>
        <item x="169"/>
        <item x="170"/>
        <item x="15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m="1" x="3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11"/>
  </rowFields>
  <rowItems count="180">
    <i>
      <x/>
      <x v="1"/>
      <x v="4"/>
    </i>
    <i r="2">
      <x v="10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119"/>
    </i>
    <i r="1">
      <x v="4"/>
      <x v="13"/>
    </i>
    <i r="2">
      <x v="202"/>
    </i>
    <i r="2">
      <x v="203"/>
    </i>
    <i r="1">
      <x v="12"/>
      <x v="21"/>
    </i>
    <i r="2">
      <x v="68"/>
    </i>
    <i r="1">
      <x v="13"/>
      <x v="112"/>
    </i>
    <i r="1">
      <x v="34"/>
      <x v="48"/>
    </i>
    <i r="1">
      <x v="36"/>
      <x v="73"/>
    </i>
    <i r="1">
      <x v="40"/>
      <x v="54"/>
    </i>
    <i r="1">
      <x v="46"/>
      <x v="228"/>
    </i>
    <i r="2">
      <x v="229"/>
    </i>
    <i r="1">
      <x v="48"/>
      <x v="64"/>
    </i>
    <i r="1">
      <x v="60"/>
      <x v="80"/>
    </i>
    <i r="1">
      <x v="63"/>
      <x v="242"/>
    </i>
    <i r="1">
      <x v="65"/>
      <x v="89"/>
    </i>
    <i r="2">
      <x v="243"/>
    </i>
    <i r="1">
      <x v="68"/>
      <x v="98"/>
    </i>
    <i r="2">
      <x v="104"/>
    </i>
    <i r="2">
      <x v="105"/>
    </i>
    <i r="2">
      <x v="106"/>
    </i>
    <i r="2">
      <x v="107"/>
    </i>
    <i r="1">
      <x v="69"/>
      <x v="99"/>
    </i>
    <i r="2">
      <x v="100"/>
    </i>
    <i r="2">
      <x v="101"/>
    </i>
    <i r="2">
      <x v="102"/>
    </i>
    <i r="2">
      <x v="103"/>
    </i>
    <i r="1">
      <x v="70"/>
      <x v="108"/>
    </i>
    <i r="1">
      <x v="71"/>
      <x v="109"/>
    </i>
    <i r="1">
      <x v="73"/>
      <x v="111"/>
    </i>
    <i r="1">
      <x v="74"/>
      <x v="113"/>
    </i>
    <i r="1">
      <x v="75"/>
      <x v="114"/>
    </i>
    <i r="1">
      <x v="77"/>
      <x v="116"/>
    </i>
    <i r="1">
      <x v="78"/>
      <x v="117"/>
    </i>
    <i r="1">
      <x v="79"/>
      <x v="118"/>
    </i>
    <i r="1">
      <x v="80"/>
      <x v="120"/>
    </i>
    <i r="1">
      <x v="82"/>
      <x v="122"/>
    </i>
    <i r="1">
      <x v="83"/>
      <x v="123"/>
    </i>
    <i r="2">
      <x v="124"/>
    </i>
    <i r="2">
      <x v="125"/>
    </i>
    <i r="2">
      <x v="126"/>
    </i>
    <i r="2">
      <x v="127"/>
    </i>
    <i r="2">
      <x v="128"/>
    </i>
    <i r="1">
      <x v="84"/>
      <x v="129"/>
    </i>
    <i r="2">
      <x v="130"/>
    </i>
    <i r="2">
      <x v="131"/>
    </i>
    <i r="1">
      <x v="85"/>
      <x v="132"/>
    </i>
    <i r="2">
      <x v="133"/>
    </i>
    <i r="1">
      <x v="86"/>
      <x v="134"/>
    </i>
    <i r="2">
      <x v="135"/>
    </i>
    <i r="2">
      <x v="136"/>
    </i>
    <i r="2">
      <x v="137"/>
    </i>
    <i r="1">
      <x v="87"/>
      <x v="138"/>
    </i>
    <i r="2">
      <x v="139"/>
    </i>
    <i r="1">
      <x v="88"/>
      <x v="140"/>
    </i>
    <i r="2">
      <x v="141"/>
    </i>
    <i r="1">
      <x v="89"/>
      <x v="142"/>
    </i>
    <i r="1">
      <x v="93"/>
      <x v="146"/>
    </i>
    <i r="2">
      <x v="147"/>
    </i>
    <i r="2">
      <x v="148"/>
    </i>
    <i r="2">
      <x v="149"/>
    </i>
    <i r="1">
      <x v="94"/>
      <x v="150"/>
    </i>
    <i r="1">
      <x v="95"/>
      <x v="151"/>
    </i>
    <i r="2">
      <x v="152"/>
    </i>
    <i r="2">
      <x v="153"/>
    </i>
    <i r="1">
      <x v="96"/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1">
      <x v="97"/>
      <x v="161"/>
    </i>
    <i r="2">
      <x v="162"/>
    </i>
    <i r="1">
      <x v="98"/>
      <x v="163"/>
    </i>
    <i r="1">
      <x v="99"/>
      <x v="164"/>
    </i>
    <i r="2">
      <x v="165"/>
    </i>
    <i r="2">
      <x v="166"/>
    </i>
    <i r="1">
      <x v="100"/>
      <x v="167"/>
    </i>
    <i r="2">
      <x v="168"/>
    </i>
    <i r="2">
      <x v="169"/>
    </i>
    <i r="2">
      <x v="170"/>
    </i>
    <i r="2">
      <x v="171"/>
    </i>
    <i r="1">
      <x v="101"/>
      <x v="172"/>
    </i>
    <i r="2">
      <x v="173"/>
    </i>
    <i r="2">
      <x v="193"/>
    </i>
    <i r="1">
      <x v="104"/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1">
      <x v="105"/>
      <x v="185"/>
    </i>
    <i r="2">
      <x v="192"/>
    </i>
    <i r="2">
      <x v="194"/>
    </i>
    <i r="2">
      <x v="195"/>
    </i>
    <i r="1">
      <x v="106"/>
      <x v="186"/>
    </i>
    <i r="2">
      <x v="187"/>
    </i>
    <i r="2">
      <x v="188"/>
    </i>
    <i r="2">
      <x v="189"/>
    </i>
    <i r="2">
      <x v="190"/>
    </i>
    <i r="1">
      <x v="107"/>
      <x v="191"/>
    </i>
    <i r="2">
      <x v="196"/>
    </i>
    <i r="2">
      <x v="197"/>
    </i>
    <i r="2">
      <x v="198"/>
    </i>
    <i r="2">
      <x v="199"/>
    </i>
    <i r="2">
      <x v="200"/>
    </i>
    <i r="1">
      <x v="108"/>
      <x v="201"/>
    </i>
    <i r="1">
      <x v="109"/>
      <x v="204"/>
    </i>
    <i r="1">
      <x v="110"/>
      <x v="205"/>
    </i>
    <i r="1">
      <x v="111"/>
      <x v="206"/>
    </i>
    <i r="1">
      <x v="112"/>
      <x v="207"/>
    </i>
    <i r="1">
      <x v="113"/>
      <x v="208"/>
    </i>
    <i r="1">
      <x v="114"/>
      <x v="209"/>
    </i>
    <i r="1">
      <x v="115"/>
      <x v="210"/>
    </i>
    <i r="2">
      <x v="212"/>
    </i>
    <i r="1">
      <x v="118"/>
      <x v="214"/>
    </i>
    <i r="1">
      <x v="119"/>
      <x v="215"/>
    </i>
    <i r="1">
      <x v="120"/>
      <x v="216"/>
    </i>
    <i r="1">
      <x v="121"/>
      <x v="217"/>
    </i>
    <i r="1">
      <x v="122"/>
      <x v="218"/>
    </i>
    <i r="1">
      <x v="123"/>
      <x v="219"/>
    </i>
    <i r="1">
      <x v="124"/>
      <x v="220"/>
    </i>
    <i r="2">
      <x v="221"/>
    </i>
    <i r="2">
      <x v="222"/>
    </i>
    <i r="1">
      <x v="125"/>
      <x v="223"/>
    </i>
    <i r="1">
      <x v="126"/>
      <x v="224"/>
    </i>
    <i r="2">
      <x v="225"/>
    </i>
    <i r="1">
      <x v="128"/>
      <x v="227"/>
    </i>
    <i r="1">
      <x v="129"/>
      <x v="230"/>
    </i>
    <i r="1">
      <x v="131"/>
      <x v="232"/>
    </i>
    <i r="1">
      <x v="132"/>
      <x v="233"/>
    </i>
    <i r="2">
      <x v="234"/>
    </i>
    <i r="1">
      <x v="133"/>
      <x v="235"/>
    </i>
    <i r="1">
      <x v="134"/>
      <x v="236"/>
    </i>
    <i r="1">
      <x v="136"/>
      <x v="238"/>
    </i>
    <i r="2">
      <x v="239"/>
    </i>
    <i r="2">
      <x v="240"/>
    </i>
    <i r="2">
      <x v="241"/>
    </i>
    <i r="1">
      <x v="137"/>
      <x v="244"/>
    </i>
    <i r="1">
      <x v="138"/>
      <x v="245"/>
    </i>
    <i r="2">
      <x v="246"/>
    </i>
    <i r="1">
      <x v="141"/>
      <x v="249"/>
    </i>
    <i t="default">
      <x/>
    </i>
    <i>
      <x v="2"/>
      <x v="2"/>
      <x v="11"/>
    </i>
    <i r="1">
      <x v="3"/>
      <x v="12"/>
    </i>
    <i r="1">
      <x v="22"/>
      <x v="35"/>
    </i>
    <i r="1">
      <x v="28"/>
      <x v="41"/>
    </i>
    <i r="1">
      <x v="41"/>
      <x v="55"/>
    </i>
    <i r="1">
      <x v="53"/>
      <x v="70"/>
    </i>
    <i r="1">
      <x v="55"/>
      <x v="75"/>
    </i>
    <i r="1">
      <x v="72"/>
      <x v="110"/>
    </i>
    <i r="1">
      <x v="76"/>
      <x v="115"/>
    </i>
    <i r="1">
      <x v="90"/>
      <x v="143"/>
    </i>
    <i r="1">
      <x v="91"/>
      <x v="144"/>
    </i>
    <i r="1">
      <x v="92"/>
      <x v="145"/>
    </i>
    <i r="1">
      <x v="103"/>
      <x v="175"/>
    </i>
    <i r="1">
      <x v="127"/>
      <x v="226"/>
    </i>
    <i r="1">
      <x v="130"/>
      <x v="231"/>
    </i>
    <i r="1">
      <x v="139"/>
      <x v="247"/>
    </i>
    <i r="1">
      <x v="140"/>
      <x v="248"/>
    </i>
    <i t="default">
      <x v="2"/>
    </i>
    <i>
      <x v="3"/>
      <x v="81"/>
      <x v="121"/>
    </i>
    <i r="1">
      <x v="102"/>
      <x v="174"/>
    </i>
    <i r="1">
      <x v="116"/>
      <x v="211"/>
    </i>
    <i r="1">
      <x v="117"/>
      <x v="213"/>
    </i>
    <i r="1">
      <x v="135"/>
      <x v="237"/>
    </i>
    <i t="default">
      <x v="3"/>
    </i>
    <i t="grand">
      <x/>
    </i>
  </rowItems>
  <colItems count="1">
    <i/>
  </colItems>
  <pageFields count="1">
    <pageField fld="3" hier="-1"/>
  </pageFields>
  <dataFields count="1">
    <dataField name="Sum of Final Amount" fld="17" baseField="0" baseItem="0"/>
  </dataFields>
  <formats count="12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12" type="button" dataOnly="0" labelOnly="1" outline="0" axis="axisRow" fieldPosition="0"/>
    </format>
    <format dxfId="20">
      <pivotArea field="5" type="button" dataOnly="0" labelOnly="1" outline="0" axis="axisRow" fieldPosition="1"/>
    </format>
    <format dxfId="19">
      <pivotArea field="11" type="button" dataOnly="0" labelOnly="1" outline="0" axis="axisRow" fieldPosition="2"/>
    </format>
    <format dxfId="18">
      <pivotArea dataOnly="0" labelOnly="1" outline="0" fieldPosition="0">
        <references count="1">
          <reference field="12" count="1">
            <x v="0"/>
          </reference>
        </references>
      </pivotArea>
    </format>
    <format dxfId="17">
      <pivotArea dataOnly="0" labelOnly="1" outline="0" fieldPosition="0">
        <references count="1">
          <reference field="12" count="1" defaultSubtotal="1">
            <x v="0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2">
          <reference field="5" count="1">
            <x v="0"/>
          </reference>
          <reference field="12" count="1" selected="0">
            <x v="0"/>
          </reference>
        </references>
      </pivotArea>
    </format>
    <format dxfId="14">
      <pivotArea dataOnly="0" labelOnly="1" outline="0" fieldPosition="0">
        <references count="3">
          <reference field="5" count="1" selected="0">
            <x v="0"/>
          </reference>
          <reference field="11" count="2">
            <x v="1"/>
            <x v="2"/>
          </reference>
          <reference field="12" count="1" selected="0">
            <x v="0"/>
          </reference>
        </references>
      </pivotArea>
    </format>
    <format dxfId="13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0E2D3-4CED-4D0D-A318-4905644389CD}" name="Table1" displayName="Table1" ref="A1:V191" totalsRowCount="1" headerRowDxfId="49">
  <autoFilter ref="A1:V190" xr:uid="{CC70E2D3-4CED-4D0D-A318-4905644389CD}"/>
  <sortState xmlns:xlrd2="http://schemas.microsoft.com/office/spreadsheetml/2017/richdata2" ref="A2:V190">
    <sortCondition ref="M1:M190"/>
  </sortState>
  <tableColumns count="22">
    <tableColumn id="1" xr3:uid="{1AFF2D1C-78DC-4878-A2E0-03D07EBA17BA}" name="_x000a_Order Date "/>
    <tableColumn id="2" xr3:uid="{067C0BEC-8788-4ED5-87AF-C3FF16021922}" name="Deduction Cycle"/>
    <tableColumn id="20" xr3:uid="{F03A1EED-896A-457C-BB29-9BA630466034}" name="Deduction Type"/>
    <tableColumn id="3" xr3:uid="{940711B4-0FAC-4A9B-9E68-B930B5B9AF11}" name="Category" dataDxfId="48" totalsRowDxfId="47">
      <calculatedColumnFormula>VLOOKUP(Table1[[#This Row],[
Item Name ]],Rates!$A$2:$B$22,2,0)</calculatedColumnFormula>
    </tableColumn>
    <tableColumn id="4" xr3:uid="{15AD15A3-11CA-4A00-9230-6D6CEC5230DC}" name="_x000a_Item Name "/>
    <tableColumn id="5" xr3:uid="{C0B3333E-22B9-4062-B2DC-B46BB813FF69}" name="_x000a__x000a_MPG Code  "/>
    <tableColumn id="6" xr3:uid="{2BAEA2CC-8AC2-4A68-A839-4C63970ECDD3}" name="_x000a_MPG Name " dataDxfId="46">
      <calculatedColumnFormula>VLOOKUP(Table1[[#This Row],[
MPG Code  ]],[2]Master!$B:$G,6,0)</calculatedColumnFormula>
    </tableColumn>
    <tableColumn id="7" xr3:uid="{4759338C-29B2-483C-9BA6-F443817ECBEF}" name="_x000a__x000a_Farmer code  "/>
    <tableColumn id="8" xr3:uid="{46BE87E7-74FA-4E48-989C-85458D48DCC8}" name="_x000a__x000a_Farmer name  "/>
    <tableColumn id="9" xr3:uid="{6FA5B363-96F7-48BF-A95F-6A1FF81B1042}" name="_x000a__x000a_BMC Name  " dataDxfId="45">
      <calculatedColumnFormula>VLOOKUP(Table1[[#This Row],[
MPG Code  ]],[2]Master!$B:$N,13,0)</calculatedColumnFormula>
    </tableColumn>
    <tableColumn id="10" xr3:uid="{9EE75776-BFCF-4D2C-9DF7-C2A09CF2829C}" name="_x000a__x000a_CSP  "/>
    <tableColumn id="13" xr3:uid="{0EAD0954-856A-4594-A3E5-08C105A29E0F}" name="ID" dataDxfId="44">
      <calculatedColumnFormula>CONCATENATE(Table1[[#This Row],[
MPG Code  ]],Table1[[#This Row],[
Farmer code  ]])</calculatedColumnFormula>
    </tableColumn>
    <tableColumn id="15" xr3:uid="{E923C403-4838-4A7B-8CE3-D6F2CDDB56C1}" name="Payment Type" dataDxfId="43">
      <calculatedColumnFormula>VLOOKUP(Table1[[#This Row],[
MPG Code  ]],[2]Master!$B:$F,5,0)</calculatedColumnFormula>
    </tableColumn>
    <tableColumn id="11" xr3:uid="{2EE26533-E7C5-4E5E-8DB6-E03B3126652C}" name="Indent Qty" totalsRowFunction="custom" dataDxfId="42" totalsRowDxfId="41">
      <totalsRowFormula>SUBTOTAL(9,Table1[Indent Qty])</totalsRowFormula>
    </tableColumn>
    <tableColumn id="12" xr3:uid="{8AB76A8C-DC14-4ED5-AAE3-8B78595504CF}" name="_x000a_Rate " dataDxfId="40" totalsRowDxfId="39" dataCellStyle="Comma">
      <calculatedColumnFormula>VLOOKUP(Table1[[#This Row],[
Item Name ]],Rates!$A$2:$F$22,6,0)</calculatedColumnFormula>
    </tableColumn>
    <tableColumn id="14" xr3:uid="{13E95374-CACF-425C-8D1D-88C6CB1E4927}" name="Amount" totalsRowFunction="custom" dataDxfId="38" totalsRowDxfId="37" dataCellStyle="Comma">
      <calculatedColumnFormula>Table1[[#This Row],[Indent Qty]]*Table1[[#This Row],[
Rate ]]</calculatedColumnFormula>
      <totalsRowFormula>SUBTOTAL(9,Table1[Amount])</totalsRowFormula>
    </tableColumn>
    <tableColumn id="17" xr3:uid="{4346C6B3-E523-4D28-8F5C-62EAAC76AAEA}" name="Final Qty" totalsRowFunction="custom" dataDxfId="36" totalsRowDxfId="35">
      <calculatedColumnFormula>Table1[[#This Row],[Indent Qty]]</calculatedColumnFormula>
      <totalsRowFormula>SUBTOTAL(9,Table1[Final Qty])</totalsRowFormula>
    </tableColumn>
    <tableColumn id="18" xr3:uid="{34420632-EA0A-4932-B080-FC0B3A7F2194}" name="Final Amount" totalsRowFunction="custom" dataDxfId="34" totalsRowDxfId="33">
      <calculatedColumnFormula>Table1[[#This Row],[
Rate ]]*Table1[[#This Row],[Final Qty]]</calculatedColumnFormula>
      <totalsRowFormula>SUBTOTAL(9,Table1[Final Amount])</totalsRowFormula>
    </tableColumn>
    <tableColumn id="19" xr3:uid="{5D7ED6E1-A401-45E7-87DD-4F9DFFDDE408}" name="Milk Amount" dataDxfId="32" totalsRowDxfId="31"/>
    <tableColumn id="22" xr3:uid="{07F8411B-27E8-405C-B37B-53D33EA8493C}" name="CF Deduction" totalsRowFunction="sum" dataDxfId="30" totalsRowDxfId="29"/>
    <tableColumn id="21" xr3:uid="{8919AA3B-276B-4373-8C90-DCF8668FD695}" name="FS Deduction" dataDxfId="28" totalsRowDxfId="27"/>
    <tableColumn id="16" xr3:uid="{8918A5BF-DA7C-484C-8C0F-7F0C055FD90F}" name="Remarks" dataDxfId="26" totalsRowDxfId="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70C8-1C4E-4B4D-B115-A40912256EC3}">
  <dimension ref="A1:J22"/>
  <sheetViews>
    <sheetView workbookViewId="0">
      <selection activeCell="A14" sqref="A14"/>
    </sheetView>
  </sheetViews>
  <sheetFormatPr defaultRowHeight="15" x14ac:dyDescent="0.25"/>
  <cols>
    <col min="1" max="1" width="31.42578125" bestFit="1" customWidth="1"/>
    <col min="3" max="3" width="12.5703125" bestFit="1" customWidth="1"/>
    <col min="4" max="4" width="9.140625" bestFit="1" customWidth="1"/>
    <col min="5" max="5" width="10.5703125" customWidth="1"/>
    <col min="6" max="6" width="14.85546875" customWidth="1"/>
  </cols>
  <sheetData>
    <row r="1" spans="1:10" ht="32.25" thickBot="1" x14ac:dyDescent="0.3">
      <c r="A1" s="8" t="s">
        <v>0</v>
      </c>
      <c r="B1" s="8" t="s">
        <v>42</v>
      </c>
      <c r="C1" s="9" t="s">
        <v>1</v>
      </c>
      <c r="D1" s="10" t="s">
        <v>2</v>
      </c>
      <c r="E1" s="10" t="s">
        <v>3</v>
      </c>
      <c r="F1" s="1" t="s">
        <v>4</v>
      </c>
      <c r="H1" s="12" t="s">
        <v>58</v>
      </c>
      <c r="J1" t="s">
        <v>87</v>
      </c>
    </row>
    <row r="2" spans="1:10" ht="16.5" thickBot="1" x14ac:dyDescent="0.3">
      <c r="A2" s="2" t="s">
        <v>5</v>
      </c>
      <c r="B2" s="7" t="s">
        <v>43</v>
      </c>
      <c r="C2" s="3" t="s">
        <v>6</v>
      </c>
      <c r="D2" s="4">
        <v>4980</v>
      </c>
      <c r="E2" s="5" t="s">
        <v>99</v>
      </c>
      <c r="F2" s="16">
        <v>3740</v>
      </c>
      <c r="H2" t="s">
        <v>59</v>
      </c>
      <c r="J2" t="s">
        <v>88</v>
      </c>
    </row>
    <row r="3" spans="1:10" ht="16.5" thickBot="1" x14ac:dyDescent="0.3">
      <c r="A3" s="2" t="s">
        <v>7</v>
      </c>
      <c r="B3" s="7" t="s">
        <v>43</v>
      </c>
      <c r="C3" s="3" t="s">
        <v>8</v>
      </c>
      <c r="D3" s="3" t="s">
        <v>9</v>
      </c>
      <c r="E3" s="5" t="s">
        <v>100</v>
      </c>
      <c r="F3" s="16">
        <v>264</v>
      </c>
    </row>
    <row r="4" spans="1:10" ht="16.5" thickBot="1" x14ac:dyDescent="0.3">
      <c r="A4" s="2" t="s">
        <v>10</v>
      </c>
      <c r="B4" s="7" t="s">
        <v>43</v>
      </c>
      <c r="C4" s="3" t="s">
        <v>11</v>
      </c>
      <c r="D4" s="4">
        <v>1405</v>
      </c>
      <c r="E4" s="5" t="s">
        <v>101</v>
      </c>
      <c r="F4" s="3">
        <v>1161</v>
      </c>
    </row>
    <row r="5" spans="1:10" ht="16.5" thickBot="1" x14ac:dyDescent="0.3">
      <c r="A5" s="2" t="s">
        <v>12</v>
      </c>
      <c r="B5" s="7" t="s">
        <v>43</v>
      </c>
      <c r="C5" s="3" t="s">
        <v>13</v>
      </c>
      <c r="D5" s="3" t="s">
        <v>14</v>
      </c>
      <c r="E5" s="5">
        <v>170</v>
      </c>
      <c r="F5" s="16">
        <v>242</v>
      </c>
    </row>
    <row r="6" spans="1:10" ht="16.5" thickBot="1" x14ac:dyDescent="0.3">
      <c r="A6" s="2" t="s">
        <v>15</v>
      </c>
      <c r="B6" s="7" t="s">
        <v>43</v>
      </c>
      <c r="C6" s="3" t="s">
        <v>16</v>
      </c>
      <c r="D6" s="3" t="s">
        <v>17</v>
      </c>
      <c r="E6" s="5" t="s">
        <v>102</v>
      </c>
      <c r="F6" s="16">
        <v>242</v>
      </c>
    </row>
    <row r="7" spans="1:10" ht="16.5" thickBot="1" x14ac:dyDescent="0.3">
      <c r="A7" s="2" t="s">
        <v>18</v>
      </c>
      <c r="B7" s="7" t="s">
        <v>43</v>
      </c>
      <c r="C7" s="3" t="s">
        <v>19</v>
      </c>
      <c r="D7" s="3" t="s">
        <v>20</v>
      </c>
      <c r="E7" s="5" t="s">
        <v>103</v>
      </c>
      <c r="F7" s="16">
        <v>242</v>
      </c>
    </row>
    <row r="8" spans="1:10" ht="16.5" thickBot="1" x14ac:dyDescent="0.3">
      <c r="A8" s="2" t="s">
        <v>21</v>
      </c>
      <c r="B8" s="7" t="s">
        <v>43</v>
      </c>
      <c r="C8" s="3" t="s">
        <v>22</v>
      </c>
      <c r="D8" s="3" t="s">
        <v>23</v>
      </c>
      <c r="E8" s="5" t="s">
        <v>104</v>
      </c>
      <c r="F8" s="16">
        <v>143</v>
      </c>
    </row>
    <row r="9" spans="1:10" ht="16.5" thickBot="1" x14ac:dyDescent="0.3">
      <c r="A9" s="2" t="s">
        <v>24</v>
      </c>
      <c r="B9" s="7" t="s">
        <v>43</v>
      </c>
      <c r="C9" s="3" t="s">
        <v>19</v>
      </c>
      <c r="D9" s="3" t="s">
        <v>25</v>
      </c>
      <c r="E9" s="5" t="s">
        <v>102</v>
      </c>
      <c r="F9" s="16">
        <v>242</v>
      </c>
    </row>
    <row r="10" spans="1:10" ht="16.5" thickBot="1" x14ac:dyDescent="0.3">
      <c r="A10" s="2" t="s">
        <v>26</v>
      </c>
      <c r="B10" s="7" t="s">
        <v>43</v>
      </c>
      <c r="C10" s="3" t="s">
        <v>27</v>
      </c>
      <c r="D10" s="4">
        <v>4130</v>
      </c>
      <c r="E10" s="5" t="s">
        <v>105</v>
      </c>
      <c r="F10" s="16">
        <v>3300</v>
      </c>
    </row>
    <row r="11" spans="1:10" ht="16.5" thickBot="1" x14ac:dyDescent="0.3">
      <c r="A11" s="2" t="s">
        <v>28</v>
      </c>
      <c r="B11" s="7" t="s">
        <v>43</v>
      </c>
      <c r="C11" s="3" t="s">
        <v>29</v>
      </c>
      <c r="D11" s="4">
        <v>2103</v>
      </c>
      <c r="E11" s="5" t="s">
        <v>106</v>
      </c>
      <c r="F11" s="16">
        <v>1760</v>
      </c>
    </row>
    <row r="12" spans="1:10" ht="16.5" thickBot="1" x14ac:dyDescent="0.3">
      <c r="A12" s="2" t="s">
        <v>30</v>
      </c>
      <c r="B12" s="7" t="s">
        <v>43</v>
      </c>
      <c r="C12" s="3" t="s">
        <v>31</v>
      </c>
      <c r="D12" s="4">
        <v>1092</v>
      </c>
      <c r="E12" s="5" t="s">
        <v>107</v>
      </c>
      <c r="F12" s="16">
        <v>897</v>
      </c>
    </row>
    <row r="13" spans="1:10" ht="16.5" thickBot="1" x14ac:dyDescent="0.3">
      <c r="A13" s="2" t="s">
        <v>98</v>
      </c>
      <c r="B13" s="7" t="s">
        <v>43</v>
      </c>
      <c r="C13" s="3" t="s">
        <v>33</v>
      </c>
      <c r="D13" s="4">
        <v>810</v>
      </c>
      <c r="E13" s="5">
        <v>400</v>
      </c>
      <c r="F13" s="16">
        <v>440</v>
      </c>
    </row>
    <row r="14" spans="1:10" ht="16.5" thickBot="1" x14ac:dyDescent="0.3">
      <c r="A14" s="2" t="s">
        <v>32</v>
      </c>
      <c r="B14" s="7" t="s">
        <v>43</v>
      </c>
      <c r="C14" s="3" t="s">
        <v>33</v>
      </c>
      <c r="D14" s="3" t="s">
        <v>34</v>
      </c>
      <c r="E14" s="5" t="s">
        <v>108</v>
      </c>
      <c r="F14" s="16">
        <v>184</v>
      </c>
    </row>
    <row r="15" spans="1:10" ht="16.5" thickBot="1" x14ac:dyDescent="0.3">
      <c r="A15" s="2" t="s">
        <v>35</v>
      </c>
      <c r="B15" s="7" t="s">
        <v>43</v>
      </c>
      <c r="C15" s="3" t="s">
        <v>36</v>
      </c>
      <c r="D15" s="3" t="s">
        <v>37</v>
      </c>
      <c r="E15" s="5" t="s">
        <v>109</v>
      </c>
      <c r="F15" s="16">
        <v>803</v>
      </c>
    </row>
    <row r="16" spans="1:10" ht="16.5" thickBot="1" x14ac:dyDescent="0.3">
      <c r="A16" s="2" t="s">
        <v>38</v>
      </c>
      <c r="B16" s="7" t="s">
        <v>44</v>
      </c>
      <c r="C16" s="3" t="s">
        <v>39</v>
      </c>
      <c r="D16" s="6"/>
      <c r="E16" s="5">
        <v>1300</v>
      </c>
      <c r="F16" s="16">
        <v>1350</v>
      </c>
    </row>
    <row r="17" spans="1:6" ht="16.5" thickBot="1" x14ac:dyDescent="0.3">
      <c r="A17" s="2" t="s">
        <v>40</v>
      </c>
      <c r="B17" s="7" t="s">
        <v>44</v>
      </c>
      <c r="C17" s="3" t="s">
        <v>39</v>
      </c>
      <c r="D17" s="6"/>
      <c r="E17" s="5">
        <v>1450</v>
      </c>
      <c r="F17" s="16">
        <v>1500</v>
      </c>
    </row>
    <row r="18" spans="1:6" ht="16.5" thickBot="1" x14ac:dyDescent="0.3">
      <c r="A18" s="2" t="s">
        <v>41</v>
      </c>
      <c r="B18" s="7" t="s">
        <v>44</v>
      </c>
      <c r="C18" s="3" t="s">
        <v>39</v>
      </c>
      <c r="D18" s="6"/>
      <c r="E18" s="5">
        <v>1220</v>
      </c>
      <c r="F18" s="16">
        <v>1270</v>
      </c>
    </row>
    <row r="19" spans="1:6" ht="16.5" thickBot="1" x14ac:dyDescent="0.3">
      <c r="A19" s="2" t="s">
        <v>92</v>
      </c>
      <c r="B19" s="7" t="s">
        <v>43</v>
      </c>
      <c r="C19" s="3" t="s">
        <v>36</v>
      </c>
      <c r="D19" s="6"/>
      <c r="E19" s="5">
        <v>49</v>
      </c>
      <c r="F19" s="16">
        <v>49</v>
      </c>
    </row>
    <row r="20" spans="1:6" ht="16.5" thickBot="1" x14ac:dyDescent="0.3">
      <c r="A20" s="2" t="s">
        <v>93</v>
      </c>
      <c r="B20" s="7" t="s">
        <v>43</v>
      </c>
      <c r="C20" s="3" t="s">
        <v>94</v>
      </c>
      <c r="D20" s="6"/>
      <c r="E20" s="5">
        <v>75.5</v>
      </c>
      <c r="F20" s="16">
        <v>75.5</v>
      </c>
    </row>
    <row r="21" spans="1:6" ht="16.5" thickBot="1" x14ac:dyDescent="0.3">
      <c r="A21" s="2" t="s">
        <v>95</v>
      </c>
      <c r="B21" s="7" t="s">
        <v>43</v>
      </c>
      <c r="C21" s="3" t="s">
        <v>97</v>
      </c>
      <c r="D21" s="6"/>
      <c r="E21" s="5">
        <v>1500</v>
      </c>
      <c r="F21" s="16">
        <v>1500</v>
      </c>
    </row>
    <row r="22" spans="1:6" ht="16.5" thickBot="1" x14ac:dyDescent="0.3">
      <c r="A22" s="2" t="s">
        <v>96</v>
      </c>
      <c r="B22" s="7" t="s">
        <v>43</v>
      </c>
      <c r="C22" s="3" t="s">
        <v>33</v>
      </c>
      <c r="D22" s="6"/>
      <c r="E22" s="5">
        <v>650</v>
      </c>
      <c r="F22" s="16">
        <v>650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60C1-BE40-4450-B6D3-269CD5EEBCCE}">
  <dimension ref="A3:Z184"/>
  <sheetViews>
    <sheetView topLeftCell="D1" workbookViewId="0">
      <selection activeCell="Z23" sqref="Z23"/>
    </sheetView>
  </sheetViews>
  <sheetFormatPr defaultRowHeight="15" x14ac:dyDescent="0.25"/>
  <cols>
    <col min="1" max="2" width="16" bestFit="1" customWidth="1"/>
    <col min="3" max="3" width="17.5703125" bestFit="1" customWidth="1"/>
    <col min="4" max="4" width="11.140625" bestFit="1" customWidth="1"/>
    <col min="5" max="6" width="11.28515625" bestFit="1" customWidth="1"/>
    <col min="10" max="10" width="13.140625" bestFit="1" customWidth="1"/>
    <col min="11" max="12" width="13.7109375" bestFit="1" customWidth="1"/>
    <col min="13" max="13" width="15.28515625" bestFit="1" customWidth="1"/>
    <col min="14" max="14" width="9" bestFit="1" customWidth="1"/>
    <col min="15" max="15" width="11.28515625" bestFit="1" customWidth="1"/>
  </cols>
  <sheetData>
    <row r="3" spans="1:26" x14ac:dyDescent="0.25">
      <c r="A3" s="23" t="s">
        <v>85</v>
      </c>
      <c r="D3" s="23" t="s">
        <v>42</v>
      </c>
    </row>
    <row r="4" spans="1:26" x14ac:dyDescent="0.25">
      <c r="A4" s="23" t="s">
        <v>57</v>
      </c>
      <c r="B4" s="23" t="s">
        <v>48</v>
      </c>
      <c r="C4" s="23" t="s">
        <v>50</v>
      </c>
      <c r="D4" t="s">
        <v>44</v>
      </c>
      <c r="E4" t="s">
        <v>60</v>
      </c>
      <c r="J4" s="24" t="s">
        <v>55</v>
      </c>
      <c r="K4" s="24" t="s">
        <v>57</v>
      </c>
      <c r="L4" s="24" t="s">
        <v>48</v>
      </c>
      <c r="M4" s="24" t="s">
        <v>50</v>
      </c>
      <c r="N4" s="24" t="s">
        <v>44</v>
      </c>
      <c r="O4" s="24" t="s">
        <v>60</v>
      </c>
      <c r="P4" s="24" t="s">
        <v>334</v>
      </c>
      <c r="U4" s="24" t="s">
        <v>57</v>
      </c>
      <c r="V4" s="24" t="s">
        <v>48</v>
      </c>
      <c r="W4" s="24" t="s">
        <v>50</v>
      </c>
      <c r="X4" s="24" t="s">
        <v>44</v>
      </c>
      <c r="Y4" s="24" t="s">
        <v>60</v>
      </c>
      <c r="Z4" s="24" t="s">
        <v>334</v>
      </c>
    </row>
    <row r="5" spans="1:26" x14ac:dyDescent="0.25">
      <c r="A5" t="s">
        <v>58</v>
      </c>
      <c r="B5">
        <v>10080016</v>
      </c>
      <c r="C5" t="s">
        <v>113</v>
      </c>
      <c r="D5" s="19">
        <v>2600</v>
      </c>
      <c r="E5" s="19">
        <v>2600</v>
      </c>
      <c r="J5" t="str">
        <f>CONCATENATE(L5,M5)</f>
        <v>100800160002</v>
      </c>
      <c r="K5" s="25" t="s">
        <v>58</v>
      </c>
      <c r="L5" s="25">
        <v>10080016</v>
      </c>
      <c r="M5" t="s">
        <v>113</v>
      </c>
      <c r="N5" s="19">
        <v>2600</v>
      </c>
      <c r="O5" s="19">
        <v>2600</v>
      </c>
      <c r="P5">
        <f>IFERROR(VLOOKUP(J5,'[1]Farmer Payment Calc'!$A$2:$M$5286,13,0),0)</f>
        <v>404</v>
      </c>
      <c r="U5" s="25" t="s">
        <v>59</v>
      </c>
      <c r="V5" s="25">
        <v>10120001</v>
      </c>
      <c r="W5" t="s">
        <v>113</v>
      </c>
      <c r="X5" s="19">
        <v>4350</v>
      </c>
      <c r="Y5" s="19">
        <v>4350</v>
      </c>
      <c r="Z5">
        <f>IFERROR(VLOOKUP(V5,'[1]MPG Payment'!$C$3:$T$928,17,0),0)</f>
        <v>4700</v>
      </c>
    </row>
    <row r="6" spans="1:26" x14ac:dyDescent="0.25">
      <c r="A6" t="s">
        <v>58</v>
      </c>
      <c r="B6">
        <v>10080016</v>
      </c>
      <c r="C6" t="s">
        <v>154</v>
      </c>
      <c r="D6" s="19">
        <v>2600</v>
      </c>
      <c r="E6" s="19">
        <v>2600</v>
      </c>
      <c r="J6" t="str">
        <f t="shared" ref="J6:J69" si="0">CONCATENATE(L6,M6)</f>
        <v>100800160018</v>
      </c>
      <c r="K6" s="25" t="s">
        <v>58</v>
      </c>
      <c r="L6" s="25">
        <v>10080016</v>
      </c>
      <c r="M6" t="s">
        <v>154</v>
      </c>
      <c r="N6" s="19">
        <v>2600</v>
      </c>
      <c r="O6" s="19">
        <v>2600</v>
      </c>
      <c r="P6">
        <f>IFERROR(VLOOKUP(J6,'[1]Farmer Payment Calc'!$A$2:$M$5286,13,0),0)</f>
        <v>2025</v>
      </c>
      <c r="U6" s="25" t="s">
        <v>59</v>
      </c>
      <c r="V6" s="25">
        <v>10120010</v>
      </c>
      <c r="W6" t="s">
        <v>113</v>
      </c>
      <c r="X6" s="19">
        <v>4050</v>
      </c>
      <c r="Y6" s="19">
        <v>4050</v>
      </c>
      <c r="Z6">
        <f>IFERROR(VLOOKUP(V6,'[1]MPG Payment'!$C$3:$T$928,17,0),0)</f>
        <v>4050</v>
      </c>
    </row>
    <row r="7" spans="1:26" x14ac:dyDescent="0.25">
      <c r="A7" t="s">
        <v>58</v>
      </c>
      <c r="B7">
        <v>10080048</v>
      </c>
      <c r="C7" t="s">
        <v>157</v>
      </c>
      <c r="D7" s="19">
        <v>3340</v>
      </c>
      <c r="E7" s="19">
        <v>3340</v>
      </c>
      <c r="J7" t="str">
        <f t="shared" si="0"/>
        <v>100800480017</v>
      </c>
      <c r="K7" s="25" t="s">
        <v>58</v>
      </c>
      <c r="L7" s="25">
        <v>10080048</v>
      </c>
      <c r="M7" t="s">
        <v>157</v>
      </c>
      <c r="N7" s="19">
        <v>3340</v>
      </c>
      <c r="O7" s="19">
        <v>3340</v>
      </c>
      <c r="P7">
        <f>IFERROR(VLOOKUP(J7,'[1]Farmer Payment Calc'!$A$2:$M$5286,13,0),0)</f>
        <v>3340</v>
      </c>
      <c r="U7" s="25" t="s">
        <v>59</v>
      </c>
      <c r="V7" s="25">
        <v>10120013</v>
      </c>
      <c r="W7" t="s">
        <v>113</v>
      </c>
      <c r="X7" s="19">
        <v>2700</v>
      </c>
      <c r="Y7" s="19">
        <v>2700</v>
      </c>
      <c r="Z7">
        <f>IFERROR(VLOOKUP(V7,'[1]MPG Payment'!$C$3:$T$928,17,0),0)</f>
        <v>2700</v>
      </c>
    </row>
    <row r="8" spans="1:26" x14ac:dyDescent="0.25">
      <c r="A8" t="s">
        <v>58</v>
      </c>
      <c r="B8">
        <v>10120007</v>
      </c>
      <c r="C8" t="s">
        <v>127</v>
      </c>
      <c r="D8" s="19">
        <v>1350</v>
      </c>
      <c r="E8" s="19">
        <v>1350</v>
      </c>
      <c r="J8" t="str">
        <f t="shared" si="0"/>
        <v>101200070014</v>
      </c>
      <c r="K8" s="25" t="s">
        <v>58</v>
      </c>
      <c r="L8" s="25">
        <v>10120007</v>
      </c>
      <c r="M8" t="s">
        <v>127</v>
      </c>
      <c r="N8" s="19">
        <v>1350</v>
      </c>
      <c r="O8" s="19">
        <v>1350</v>
      </c>
      <c r="P8">
        <f>IFERROR(VLOOKUP(J8,'[1]Farmer Payment Calc'!$A$2:$M$5286,13,0),0)</f>
        <v>507</v>
      </c>
      <c r="U8" s="25" t="s">
        <v>59</v>
      </c>
      <c r="V8" s="25">
        <v>10130015</v>
      </c>
      <c r="W8" t="s">
        <v>113</v>
      </c>
      <c r="X8" s="19">
        <v>2700</v>
      </c>
      <c r="Y8" s="19">
        <v>2700</v>
      </c>
      <c r="Z8">
        <f>IFERROR(VLOOKUP(V8,'[1]MPG Payment'!$C$3:$T$928,17,0),0)</f>
        <v>2700</v>
      </c>
    </row>
    <row r="9" spans="1:26" x14ac:dyDescent="0.25">
      <c r="A9" t="s">
        <v>58</v>
      </c>
      <c r="B9">
        <v>10120007</v>
      </c>
      <c r="C9" t="s">
        <v>130</v>
      </c>
      <c r="D9" s="19">
        <v>1350</v>
      </c>
      <c r="E9" s="19">
        <v>1350</v>
      </c>
      <c r="J9" t="str">
        <f t="shared" si="0"/>
        <v>101200070040</v>
      </c>
      <c r="K9" s="25" t="s">
        <v>58</v>
      </c>
      <c r="L9" s="25">
        <v>10120007</v>
      </c>
      <c r="M9" t="s">
        <v>130</v>
      </c>
      <c r="N9" s="19">
        <v>1350</v>
      </c>
      <c r="O9" s="19">
        <v>1350</v>
      </c>
      <c r="P9">
        <f>IFERROR(VLOOKUP(J9,'[1]Farmer Payment Calc'!$A$2:$M$5286,13,0),0)</f>
        <v>1295</v>
      </c>
      <c r="U9" s="25" t="s">
        <v>59</v>
      </c>
      <c r="V9" s="25">
        <v>10130018</v>
      </c>
      <c r="W9" t="s">
        <v>113</v>
      </c>
      <c r="X9" s="19">
        <v>1350</v>
      </c>
      <c r="Y9" s="19">
        <v>1350</v>
      </c>
      <c r="Z9">
        <f>IFERROR(VLOOKUP(V9,'[1]MPG Payment'!$C$3:$T$928,17,0),0)</f>
        <v>1350</v>
      </c>
    </row>
    <row r="10" spans="1:26" x14ac:dyDescent="0.25">
      <c r="A10" t="s">
        <v>58</v>
      </c>
      <c r="B10">
        <v>10120007</v>
      </c>
      <c r="C10" t="s">
        <v>125</v>
      </c>
      <c r="D10" s="19">
        <v>703</v>
      </c>
      <c r="E10" s="19">
        <v>703</v>
      </c>
      <c r="J10" t="str">
        <f t="shared" si="0"/>
        <v>101200070149</v>
      </c>
      <c r="K10" s="25" t="s">
        <v>58</v>
      </c>
      <c r="L10" s="25">
        <v>10120007</v>
      </c>
      <c r="M10" t="s">
        <v>125</v>
      </c>
      <c r="N10" s="19">
        <v>703</v>
      </c>
      <c r="O10" s="19">
        <v>703</v>
      </c>
      <c r="P10">
        <f>IFERROR(VLOOKUP(J10,'[1]Farmer Payment Calc'!$A$2:$M$5286,13,0),0)</f>
        <v>703</v>
      </c>
      <c r="U10" s="25" t="s">
        <v>59</v>
      </c>
      <c r="V10" s="25">
        <v>10130025</v>
      </c>
      <c r="W10" t="s">
        <v>113</v>
      </c>
      <c r="X10" s="19">
        <v>3000</v>
      </c>
      <c r="Y10" s="19">
        <v>3000</v>
      </c>
      <c r="Z10">
        <f>IFERROR(VLOOKUP(V10,'[1]MPG Payment'!$C$3:$T$928,17,0),0)</f>
        <v>3000</v>
      </c>
    </row>
    <row r="11" spans="1:26" x14ac:dyDescent="0.25">
      <c r="A11" t="s">
        <v>58</v>
      </c>
      <c r="B11">
        <v>10120007</v>
      </c>
      <c r="C11" t="s">
        <v>124</v>
      </c>
      <c r="D11" s="19">
        <v>2601</v>
      </c>
      <c r="E11" s="19">
        <v>2601</v>
      </c>
      <c r="J11" t="str">
        <f t="shared" si="0"/>
        <v>101200070107</v>
      </c>
      <c r="K11" s="25" t="s">
        <v>58</v>
      </c>
      <c r="L11" s="25">
        <v>10120007</v>
      </c>
      <c r="M11" t="s">
        <v>124</v>
      </c>
      <c r="N11" s="19">
        <v>2601</v>
      </c>
      <c r="O11" s="19">
        <v>2601</v>
      </c>
      <c r="P11">
        <f>IFERROR(VLOOKUP(J11,'[1]Farmer Payment Calc'!$A$2:$M$5286,13,0),0)</f>
        <v>2601</v>
      </c>
      <c r="U11" s="25" t="s">
        <v>59</v>
      </c>
      <c r="V11" s="25">
        <v>10130031</v>
      </c>
      <c r="W11" t="s">
        <v>113</v>
      </c>
      <c r="X11" s="19">
        <v>3000</v>
      </c>
      <c r="Y11" s="19">
        <v>3000</v>
      </c>
      <c r="Z11">
        <f>IFERROR(VLOOKUP(V11,'[1]MPG Payment'!$C$3:$T$928,17,0),0)</f>
        <v>3000</v>
      </c>
    </row>
    <row r="12" spans="1:26" x14ac:dyDescent="0.25">
      <c r="A12" t="s">
        <v>58</v>
      </c>
      <c r="B12">
        <v>10120007</v>
      </c>
      <c r="C12" t="s">
        <v>143</v>
      </c>
      <c r="D12" s="19">
        <v>1350</v>
      </c>
      <c r="E12" s="19">
        <v>1350</v>
      </c>
      <c r="J12" t="str">
        <f t="shared" si="0"/>
        <v>101200070099</v>
      </c>
      <c r="K12" s="25" t="s">
        <v>58</v>
      </c>
      <c r="L12" s="25">
        <v>10120007</v>
      </c>
      <c r="M12" t="s">
        <v>143</v>
      </c>
      <c r="N12" s="19">
        <v>1350</v>
      </c>
      <c r="O12" s="19">
        <v>1350</v>
      </c>
      <c r="P12">
        <f>IFERROR(VLOOKUP(J12,'[1]Farmer Payment Calc'!$A$2:$M$5286,13,0),0)</f>
        <v>1350</v>
      </c>
      <c r="U12" s="25" t="s">
        <v>59</v>
      </c>
      <c r="V12" s="25">
        <v>10120096</v>
      </c>
      <c r="W12" t="s">
        <v>113</v>
      </c>
      <c r="X12" s="19">
        <v>25000</v>
      </c>
      <c r="Y12" s="19">
        <v>25000</v>
      </c>
      <c r="Z12">
        <f>IFERROR(VLOOKUP(V12,'[1]MPG Payment'!$C$3:$T$928,17,0),0)</f>
        <v>20582</v>
      </c>
    </row>
    <row r="13" spans="1:26" x14ac:dyDescent="0.25">
      <c r="A13" t="s">
        <v>58</v>
      </c>
      <c r="B13">
        <v>10120007</v>
      </c>
      <c r="C13" t="s">
        <v>131</v>
      </c>
      <c r="D13" s="19">
        <v>1350</v>
      </c>
      <c r="E13" s="19">
        <v>1350</v>
      </c>
      <c r="J13" t="str">
        <f t="shared" si="0"/>
        <v>101200070079</v>
      </c>
      <c r="K13" s="25" t="s">
        <v>58</v>
      </c>
      <c r="L13" s="25">
        <v>10120007</v>
      </c>
      <c r="M13" t="s">
        <v>131</v>
      </c>
      <c r="N13" s="19">
        <v>1350</v>
      </c>
      <c r="O13" s="19">
        <v>1350</v>
      </c>
      <c r="P13">
        <f>IFERROR(VLOOKUP(J13,'[1]Farmer Payment Calc'!$A$2:$M$5286,13,0),0)</f>
        <v>839</v>
      </c>
      <c r="U13" s="25" t="s">
        <v>59</v>
      </c>
      <c r="V13" s="25">
        <v>10130080</v>
      </c>
      <c r="W13" t="s">
        <v>113</v>
      </c>
      <c r="X13" s="19">
        <v>1500</v>
      </c>
      <c r="Y13" s="19">
        <v>1500</v>
      </c>
      <c r="Z13">
        <f>IFERROR(VLOOKUP(V13,'[1]MPG Payment'!$C$3:$T$928,17,0),0)</f>
        <v>1500</v>
      </c>
    </row>
    <row r="14" spans="1:26" x14ac:dyDescent="0.25">
      <c r="A14" t="s">
        <v>58</v>
      </c>
      <c r="B14">
        <v>10120007</v>
      </c>
      <c r="C14" t="s">
        <v>128</v>
      </c>
      <c r="D14" s="19">
        <v>305</v>
      </c>
      <c r="E14" s="19">
        <v>305</v>
      </c>
      <c r="J14" t="str">
        <f t="shared" si="0"/>
        <v>101200070093</v>
      </c>
      <c r="K14" s="25" t="s">
        <v>58</v>
      </c>
      <c r="L14" s="25">
        <v>10120007</v>
      </c>
      <c r="M14" t="s">
        <v>128</v>
      </c>
      <c r="N14" s="19">
        <v>305</v>
      </c>
      <c r="O14" s="19">
        <v>305</v>
      </c>
      <c r="P14">
        <f>IFERROR(VLOOKUP(J14,'[1]Farmer Payment Calc'!$A$2:$M$5286,13,0),0)</f>
        <v>305</v>
      </c>
      <c r="U14" s="25" t="s">
        <v>59</v>
      </c>
      <c r="V14" s="25">
        <v>10530063</v>
      </c>
      <c r="W14" t="s">
        <v>113</v>
      </c>
      <c r="X14" s="19">
        <v>3000</v>
      </c>
      <c r="Y14" s="19">
        <v>3000</v>
      </c>
      <c r="Z14">
        <f>IFERROR(VLOOKUP(V14,'[1]MPG Payment'!$C$3:$T$928,17,0),0)</f>
        <v>3000</v>
      </c>
    </row>
    <row r="15" spans="1:26" x14ac:dyDescent="0.25">
      <c r="A15" t="s">
        <v>58</v>
      </c>
      <c r="B15">
        <v>10120007</v>
      </c>
      <c r="C15" t="s">
        <v>126</v>
      </c>
      <c r="D15" s="19">
        <v>232</v>
      </c>
      <c r="E15" s="19">
        <v>232</v>
      </c>
      <c r="J15" t="str">
        <f t="shared" si="0"/>
        <v>101200070076</v>
      </c>
      <c r="K15" s="25" t="s">
        <v>58</v>
      </c>
      <c r="L15" s="25">
        <v>10120007</v>
      </c>
      <c r="M15" t="s">
        <v>126</v>
      </c>
      <c r="N15" s="19">
        <v>232</v>
      </c>
      <c r="O15" s="19">
        <v>232</v>
      </c>
      <c r="P15">
        <f>IFERROR(VLOOKUP(J15,'[1]Farmer Payment Calc'!$A$2:$M$5286,13,0),0)</f>
        <v>232</v>
      </c>
      <c r="U15" s="25" t="s">
        <v>59</v>
      </c>
      <c r="V15" s="25">
        <v>10530031</v>
      </c>
      <c r="W15" t="s">
        <v>113</v>
      </c>
      <c r="X15" s="19">
        <v>1500</v>
      </c>
      <c r="Y15" s="19">
        <v>1500</v>
      </c>
      <c r="Z15">
        <f>IFERROR(VLOOKUP(V15,'[1]MPG Payment'!$C$3:$T$928,17,0),0)</f>
        <v>1500</v>
      </c>
    </row>
    <row r="16" spans="1:26" x14ac:dyDescent="0.25">
      <c r="A16" t="s">
        <v>58</v>
      </c>
      <c r="B16">
        <v>10120007</v>
      </c>
      <c r="C16" t="s">
        <v>145</v>
      </c>
      <c r="D16" s="19">
        <v>1350</v>
      </c>
      <c r="E16" s="19">
        <v>1350</v>
      </c>
      <c r="J16" t="str">
        <f t="shared" si="0"/>
        <v>101200070077</v>
      </c>
      <c r="K16" s="25" t="s">
        <v>58</v>
      </c>
      <c r="L16" s="25">
        <v>10120007</v>
      </c>
      <c r="M16" t="s">
        <v>145</v>
      </c>
      <c r="N16" s="19">
        <v>1350</v>
      </c>
      <c r="O16" s="19">
        <v>1350</v>
      </c>
      <c r="P16">
        <f>IFERROR(VLOOKUP(J16,'[1]Farmer Payment Calc'!$A$2:$M$5286,13,0),0)</f>
        <v>1350</v>
      </c>
      <c r="U16" s="25" t="s">
        <v>59</v>
      </c>
      <c r="V16" s="25">
        <v>10530089</v>
      </c>
      <c r="W16" t="s">
        <v>113</v>
      </c>
      <c r="X16" s="19">
        <v>1350</v>
      </c>
      <c r="Y16" s="19">
        <v>1350</v>
      </c>
      <c r="Z16">
        <f>IFERROR(VLOOKUP(V16,'[1]MPG Payment'!$C$3:$T$928,17,0),0)</f>
        <v>1350</v>
      </c>
    </row>
    <row r="17" spans="1:26" x14ac:dyDescent="0.25">
      <c r="A17" t="s">
        <v>58</v>
      </c>
      <c r="B17">
        <v>10120012</v>
      </c>
      <c r="C17" t="s">
        <v>111</v>
      </c>
      <c r="D17" s="19">
        <v>900</v>
      </c>
      <c r="E17" s="19">
        <v>900</v>
      </c>
      <c r="J17" t="str">
        <f t="shared" si="0"/>
        <v>101200120003</v>
      </c>
      <c r="K17" s="25" t="s">
        <v>58</v>
      </c>
      <c r="L17" s="25">
        <v>10120012</v>
      </c>
      <c r="M17" t="s">
        <v>111</v>
      </c>
      <c r="N17" s="19">
        <v>900</v>
      </c>
      <c r="O17" s="19">
        <v>900</v>
      </c>
      <c r="P17">
        <f>IFERROR(VLOOKUP(J17,'[1]Farmer Payment Calc'!$A$2:$M$5286,13,0),0)</f>
        <v>900</v>
      </c>
      <c r="U17" s="25" t="s">
        <v>59</v>
      </c>
      <c r="V17" s="25">
        <v>10530017</v>
      </c>
      <c r="W17" t="s">
        <v>157</v>
      </c>
      <c r="X17" s="19">
        <v>7500</v>
      </c>
      <c r="Y17" s="19">
        <v>7500</v>
      </c>
      <c r="Z17">
        <f>IFERROR(VLOOKUP(V17,'[1]MPG Payment'!$C$3:$T$928,17,0),0)</f>
        <v>7500</v>
      </c>
    </row>
    <row r="18" spans="1:26" x14ac:dyDescent="0.25">
      <c r="A18" t="s">
        <v>58</v>
      </c>
      <c r="B18">
        <v>10120012</v>
      </c>
      <c r="C18" t="s">
        <v>114</v>
      </c>
      <c r="D18" s="19">
        <v>460</v>
      </c>
      <c r="E18" s="19">
        <v>460</v>
      </c>
      <c r="J18" t="str">
        <f t="shared" si="0"/>
        <v>101200120026</v>
      </c>
      <c r="K18" s="25" t="s">
        <v>58</v>
      </c>
      <c r="L18" s="25">
        <v>10120012</v>
      </c>
      <c r="M18" t="s">
        <v>114</v>
      </c>
      <c r="N18" s="19">
        <v>460</v>
      </c>
      <c r="O18" s="19">
        <v>460</v>
      </c>
      <c r="P18">
        <f>IFERROR(VLOOKUP(J18,'[1]Farmer Payment Calc'!$A$2:$M$5286,13,0),0)</f>
        <v>460</v>
      </c>
      <c r="U18" s="25" t="s">
        <v>59</v>
      </c>
      <c r="V18" s="25">
        <v>10070003</v>
      </c>
      <c r="W18" t="s">
        <v>113</v>
      </c>
      <c r="X18" s="19">
        <v>6500</v>
      </c>
      <c r="Y18" s="19">
        <v>6500</v>
      </c>
      <c r="Z18">
        <f>IFERROR(VLOOKUP(V18,'[1]MPG Payment'!$C$3:$T$928,17,0),0)</f>
        <v>6500</v>
      </c>
    </row>
    <row r="19" spans="1:26" x14ac:dyDescent="0.25">
      <c r="A19" t="s">
        <v>58</v>
      </c>
      <c r="B19">
        <v>10120016</v>
      </c>
      <c r="C19" t="s">
        <v>113</v>
      </c>
      <c r="D19" s="19">
        <v>500</v>
      </c>
      <c r="E19" s="19">
        <v>500</v>
      </c>
      <c r="J19" t="str">
        <f t="shared" si="0"/>
        <v>101200160002</v>
      </c>
      <c r="K19" s="25" t="s">
        <v>58</v>
      </c>
      <c r="L19" s="25">
        <v>10120016</v>
      </c>
      <c r="M19" t="s">
        <v>113</v>
      </c>
      <c r="N19" s="19">
        <v>500</v>
      </c>
      <c r="O19" s="19">
        <v>500</v>
      </c>
      <c r="P19">
        <f>IFERROR(VLOOKUP(J19,'[1]Farmer Payment Calc'!$A$2:$M$5286,13,0),0)</f>
        <v>500</v>
      </c>
      <c r="U19" s="25" t="s">
        <v>59</v>
      </c>
      <c r="V19" s="25">
        <v>10530018</v>
      </c>
      <c r="W19" t="s">
        <v>113</v>
      </c>
      <c r="X19" s="19">
        <v>1350</v>
      </c>
      <c r="Y19" s="19">
        <v>1350</v>
      </c>
      <c r="Z19">
        <f>IFERROR(VLOOKUP(V19,'[1]MPG Payment'!$C$3:$T$928,17,0),0)</f>
        <v>1350</v>
      </c>
    </row>
    <row r="20" spans="1:26" x14ac:dyDescent="0.25">
      <c r="A20" t="s">
        <v>58</v>
      </c>
      <c r="B20">
        <v>10120016</v>
      </c>
      <c r="C20" t="s">
        <v>111</v>
      </c>
      <c r="D20" s="19">
        <v>600</v>
      </c>
      <c r="E20" s="19">
        <v>600</v>
      </c>
      <c r="J20" t="str">
        <f t="shared" si="0"/>
        <v>101200160003</v>
      </c>
      <c r="K20" s="25" t="s">
        <v>58</v>
      </c>
      <c r="L20" s="25">
        <v>10120016</v>
      </c>
      <c r="M20" t="s">
        <v>111</v>
      </c>
      <c r="N20" s="19">
        <v>600</v>
      </c>
      <c r="O20" s="19">
        <v>600</v>
      </c>
      <c r="P20">
        <f>IFERROR(VLOOKUP(J20,'[1]Farmer Payment Calc'!$A$2:$M$5286,13,0),0)</f>
        <v>600</v>
      </c>
      <c r="U20" s="25" t="s">
        <v>59</v>
      </c>
      <c r="V20" s="25">
        <v>10080004</v>
      </c>
      <c r="W20" t="s">
        <v>113</v>
      </c>
      <c r="X20" s="19">
        <v>1300</v>
      </c>
      <c r="Y20" s="19">
        <v>1300</v>
      </c>
      <c r="Z20">
        <f>IFERROR(VLOOKUP(V20,'[1]MPG Payment'!$C$3:$T$928,17,0),0)</f>
        <v>1300</v>
      </c>
    </row>
    <row r="21" spans="1:26" x14ac:dyDescent="0.25">
      <c r="A21" t="s">
        <v>58</v>
      </c>
      <c r="B21">
        <v>10120016</v>
      </c>
      <c r="C21" t="s">
        <v>112</v>
      </c>
      <c r="D21" s="19">
        <v>638</v>
      </c>
      <c r="E21" s="19">
        <v>638</v>
      </c>
      <c r="J21" t="str">
        <f t="shared" si="0"/>
        <v>101200160005</v>
      </c>
      <c r="K21" s="25" t="s">
        <v>58</v>
      </c>
      <c r="L21" s="25">
        <v>10120016</v>
      </c>
      <c r="M21" t="s">
        <v>112</v>
      </c>
      <c r="N21" s="19">
        <v>638</v>
      </c>
      <c r="O21" s="19">
        <v>638</v>
      </c>
      <c r="P21">
        <f>IFERROR(VLOOKUP(J21,'[1]Farmer Payment Calc'!$A$2:$M$5286,13,0),0)</f>
        <v>638</v>
      </c>
      <c r="U21" s="26" t="s">
        <v>59</v>
      </c>
      <c r="V21" s="25">
        <v>10080013</v>
      </c>
      <c r="W21" t="s">
        <v>113</v>
      </c>
      <c r="X21" s="19">
        <v>6500</v>
      </c>
      <c r="Y21" s="19">
        <v>6500</v>
      </c>
      <c r="Z21">
        <f>IFERROR(VLOOKUP(V21,'[1]MPG Payment'!$C$3:$T$928,17,0),0)</f>
        <v>6500</v>
      </c>
    </row>
    <row r="22" spans="1:26" x14ac:dyDescent="0.25">
      <c r="A22" t="s">
        <v>58</v>
      </c>
      <c r="B22">
        <v>10120017</v>
      </c>
      <c r="C22" t="s">
        <v>113</v>
      </c>
      <c r="D22" s="19">
        <v>6750</v>
      </c>
      <c r="E22" s="19">
        <v>6750</v>
      </c>
      <c r="J22" t="str">
        <f t="shared" si="0"/>
        <v>101200170002</v>
      </c>
      <c r="K22" s="25" t="s">
        <v>58</v>
      </c>
      <c r="L22" s="25">
        <v>10120017</v>
      </c>
      <c r="M22" t="s">
        <v>113</v>
      </c>
      <c r="N22" s="19">
        <v>6750</v>
      </c>
      <c r="O22" s="19">
        <v>6750</v>
      </c>
      <c r="P22">
        <f>IFERROR(VLOOKUP(J22,'[1]Farmer Payment Calc'!$A$2:$M$5286,13,0),0)</f>
        <v>6750</v>
      </c>
      <c r="U22" s="27" t="s">
        <v>75</v>
      </c>
      <c r="V22" s="27"/>
      <c r="W22" s="27"/>
      <c r="X22" s="28">
        <v>76650</v>
      </c>
      <c r="Y22" s="28">
        <v>76650</v>
      </c>
      <c r="Z22" s="28">
        <f>SUM(Z5:Z21)</f>
        <v>72582</v>
      </c>
    </row>
    <row r="23" spans="1:26" x14ac:dyDescent="0.25">
      <c r="A23" t="s">
        <v>58</v>
      </c>
      <c r="B23">
        <v>10120025</v>
      </c>
      <c r="C23" t="s">
        <v>113</v>
      </c>
      <c r="D23" s="19">
        <v>4050</v>
      </c>
      <c r="E23" s="19">
        <v>4050</v>
      </c>
      <c r="J23" t="str">
        <f t="shared" si="0"/>
        <v>101200250002</v>
      </c>
      <c r="K23" s="25" t="s">
        <v>58</v>
      </c>
      <c r="L23" s="25">
        <v>10120025</v>
      </c>
      <c r="M23" t="s">
        <v>113</v>
      </c>
      <c r="N23" s="19">
        <v>4050</v>
      </c>
      <c r="O23" s="19">
        <v>4050</v>
      </c>
      <c r="P23">
        <f>IFERROR(VLOOKUP(J23,'[1]Farmer Payment Calc'!$A$2:$M$5286,13,0),0)</f>
        <v>0</v>
      </c>
    </row>
    <row r="24" spans="1:26" x14ac:dyDescent="0.25">
      <c r="A24" t="s">
        <v>58</v>
      </c>
      <c r="B24">
        <v>10120034</v>
      </c>
      <c r="C24" t="s">
        <v>113</v>
      </c>
      <c r="D24" s="19">
        <v>1200</v>
      </c>
      <c r="E24" s="19">
        <v>1200</v>
      </c>
      <c r="J24" t="str">
        <f t="shared" si="0"/>
        <v>101200340002</v>
      </c>
      <c r="K24" s="25" t="s">
        <v>58</v>
      </c>
      <c r="L24" s="25">
        <v>10120034</v>
      </c>
      <c r="M24" t="s">
        <v>113</v>
      </c>
      <c r="N24" s="19">
        <v>1200</v>
      </c>
      <c r="O24" s="19">
        <v>1200</v>
      </c>
      <c r="P24">
        <f>IFERROR(VLOOKUP(J24,'[1]Farmer Payment Calc'!$A$2:$M$5286,13,0),0)</f>
        <v>1200</v>
      </c>
    </row>
    <row r="25" spans="1:26" x14ac:dyDescent="0.25">
      <c r="A25" t="s">
        <v>58</v>
      </c>
      <c r="B25">
        <v>10120052</v>
      </c>
      <c r="C25" t="s">
        <v>113</v>
      </c>
      <c r="D25" s="19">
        <v>3000</v>
      </c>
      <c r="E25" s="19">
        <v>3000</v>
      </c>
      <c r="J25" t="str">
        <f t="shared" si="0"/>
        <v>101200520002</v>
      </c>
      <c r="K25" s="25" t="s">
        <v>58</v>
      </c>
      <c r="L25" s="25">
        <v>10120052</v>
      </c>
      <c r="M25" t="s">
        <v>113</v>
      </c>
      <c r="N25" s="19">
        <v>3000</v>
      </c>
      <c r="O25" s="19">
        <v>3000</v>
      </c>
      <c r="P25">
        <f>IFERROR(VLOOKUP(J25,'[1]Farmer Payment Calc'!$A$2:$M$5286,13,0),0)</f>
        <v>3000</v>
      </c>
    </row>
    <row r="26" spans="1:26" x14ac:dyDescent="0.25">
      <c r="A26" t="s">
        <v>58</v>
      </c>
      <c r="B26">
        <v>10120052</v>
      </c>
      <c r="C26" t="s">
        <v>112</v>
      </c>
      <c r="D26" s="19">
        <v>1350</v>
      </c>
      <c r="E26" s="19">
        <v>1350</v>
      </c>
      <c r="J26" t="str">
        <f t="shared" si="0"/>
        <v>101200520005</v>
      </c>
      <c r="K26" s="25" t="s">
        <v>58</v>
      </c>
      <c r="L26" s="25">
        <v>10120052</v>
      </c>
      <c r="M26" t="s">
        <v>112</v>
      </c>
      <c r="N26" s="19">
        <v>1350</v>
      </c>
      <c r="O26" s="19">
        <v>1350</v>
      </c>
      <c r="P26">
        <f>IFERROR(VLOOKUP(J26,'[1]Farmer Payment Calc'!$A$2:$M$5286,13,0),0)</f>
        <v>0</v>
      </c>
    </row>
    <row r="27" spans="1:26" x14ac:dyDescent="0.25">
      <c r="A27" t="s">
        <v>58</v>
      </c>
      <c r="B27">
        <v>10120053</v>
      </c>
      <c r="C27" t="s">
        <v>113</v>
      </c>
      <c r="D27" s="19">
        <v>757</v>
      </c>
      <c r="E27" s="19">
        <v>757</v>
      </c>
      <c r="J27" t="str">
        <f t="shared" si="0"/>
        <v>101200530002</v>
      </c>
      <c r="K27" s="25" t="s">
        <v>58</v>
      </c>
      <c r="L27" s="25">
        <v>10120053</v>
      </c>
      <c r="M27" t="s">
        <v>113</v>
      </c>
      <c r="N27" s="19">
        <v>757</v>
      </c>
      <c r="O27" s="19">
        <v>757</v>
      </c>
      <c r="P27">
        <f>IFERROR(VLOOKUP(J27,'[1]Farmer Payment Calc'!$A$2:$M$5286,13,0),0)</f>
        <v>757</v>
      </c>
    </row>
    <row r="28" spans="1:26" x14ac:dyDescent="0.25">
      <c r="A28" t="s">
        <v>58</v>
      </c>
      <c r="B28">
        <v>10130044</v>
      </c>
      <c r="C28" t="s">
        <v>113</v>
      </c>
      <c r="D28" s="19">
        <v>3000</v>
      </c>
      <c r="E28" s="19">
        <v>3000</v>
      </c>
      <c r="J28" t="str">
        <f t="shared" si="0"/>
        <v>101300440002</v>
      </c>
      <c r="K28" s="25" t="s">
        <v>58</v>
      </c>
      <c r="L28" s="25">
        <v>10130044</v>
      </c>
      <c r="M28" t="s">
        <v>113</v>
      </c>
      <c r="N28" s="19">
        <v>3000</v>
      </c>
      <c r="O28" s="19">
        <v>3000</v>
      </c>
      <c r="P28">
        <f>IFERROR(VLOOKUP(J28,'[1]Farmer Payment Calc'!$A$2:$M$5286,13,0),0)</f>
        <v>0</v>
      </c>
    </row>
    <row r="29" spans="1:26" x14ac:dyDescent="0.25">
      <c r="A29" t="s">
        <v>58</v>
      </c>
      <c r="B29">
        <v>10130046</v>
      </c>
      <c r="C29" t="s">
        <v>111</v>
      </c>
      <c r="D29" s="19">
        <v>2700</v>
      </c>
      <c r="E29" s="19">
        <v>2700</v>
      </c>
      <c r="J29" t="str">
        <f t="shared" si="0"/>
        <v>101300460003</v>
      </c>
      <c r="K29" s="25" t="s">
        <v>58</v>
      </c>
      <c r="L29" s="25">
        <v>10130046</v>
      </c>
      <c r="M29" t="s">
        <v>111</v>
      </c>
      <c r="N29" s="19">
        <v>2700</v>
      </c>
      <c r="O29" s="19">
        <v>2700</v>
      </c>
      <c r="P29">
        <f>IFERROR(VLOOKUP(J29,'[1]Farmer Payment Calc'!$A$2:$M$5286,13,0),0)</f>
        <v>871</v>
      </c>
    </row>
    <row r="30" spans="1:26" x14ac:dyDescent="0.25">
      <c r="A30" t="s">
        <v>58</v>
      </c>
      <c r="B30">
        <v>10110124</v>
      </c>
      <c r="C30" t="s">
        <v>118</v>
      </c>
      <c r="D30" s="19">
        <v>1350</v>
      </c>
      <c r="E30" s="19">
        <v>1350</v>
      </c>
      <c r="J30" t="str">
        <f t="shared" si="0"/>
        <v>101101240006</v>
      </c>
      <c r="K30" s="25" t="s">
        <v>58</v>
      </c>
      <c r="L30" s="25">
        <v>10110124</v>
      </c>
      <c r="M30" t="s">
        <v>118</v>
      </c>
      <c r="N30" s="19">
        <v>1350</v>
      </c>
      <c r="O30" s="19">
        <v>1350</v>
      </c>
      <c r="P30">
        <f>IFERROR(VLOOKUP(J30,'[1]Farmer Payment Calc'!$A$2:$M$5286,13,0),0)</f>
        <v>1350</v>
      </c>
    </row>
    <row r="31" spans="1:26" x14ac:dyDescent="0.25">
      <c r="A31" t="s">
        <v>58</v>
      </c>
      <c r="B31">
        <v>10110124</v>
      </c>
      <c r="C31" t="s">
        <v>122</v>
      </c>
      <c r="D31" s="19">
        <v>5400</v>
      </c>
      <c r="E31" s="19">
        <v>5400</v>
      </c>
      <c r="J31" t="str">
        <f t="shared" si="0"/>
        <v>101101240007</v>
      </c>
      <c r="K31" s="25" t="s">
        <v>58</v>
      </c>
      <c r="L31" s="25">
        <v>10110124</v>
      </c>
      <c r="M31" t="s">
        <v>122</v>
      </c>
      <c r="N31" s="19">
        <v>5400</v>
      </c>
      <c r="O31" s="19">
        <v>5400</v>
      </c>
      <c r="P31">
        <f>IFERROR(VLOOKUP(J31,'[1]Farmer Payment Calc'!$A$2:$M$5286,13,0),0)</f>
        <v>0</v>
      </c>
    </row>
    <row r="32" spans="1:26" x14ac:dyDescent="0.25">
      <c r="A32" t="s">
        <v>58</v>
      </c>
      <c r="B32">
        <v>10110124</v>
      </c>
      <c r="C32" t="s">
        <v>120</v>
      </c>
      <c r="D32" s="19">
        <v>1350</v>
      </c>
      <c r="E32" s="19">
        <v>1350</v>
      </c>
      <c r="J32" t="str">
        <f t="shared" si="0"/>
        <v>101101240009</v>
      </c>
      <c r="K32" s="25" t="s">
        <v>58</v>
      </c>
      <c r="L32" s="25">
        <v>10110124</v>
      </c>
      <c r="M32" t="s">
        <v>120</v>
      </c>
      <c r="N32" s="19">
        <v>1350</v>
      </c>
      <c r="O32" s="19">
        <v>1350</v>
      </c>
      <c r="P32">
        <f>IFERROR(VLOOKUP(J32,'[1]Farmer Payment Calc'!$A$2:$M$5286,13,0),0)</f>
        <v>1350</v>
      </c>
    </row>
    <row r="33" spans="1:16" x14ac:dyDescent="0.25">
      <c r="A33" t="s">
        <v>58</v>
      </c>
      <c r="B33">
        <v>10110124</v>
      </c>
      <c r="C33" t="s">
        <v>119</v>
      </c>
      <c r="D33" s="19">
        <v>1350</v>
      </c>
      <c r="E33" s="19">
        <v>1350</v>
      </c>
      <c r="J33" t="str">
        <f t="shared" si="0"/>
        <v>101101240008</v>
      </c>
      <c r="K33" s="25" t="s">
        <v>58</v>
      </c>
      <c r="L33" s="25">
        <v>10110124</v>
      </c>
      <c r="M33" t="s">
        <v>119</v>
      </c>
      <c r="N33" s="19">
        <v>1350</v>
      </c>
      <c r="O33" s="19">
        <v>1350</v>
      </c>
      <c r="P33">
        <f>IFERROR(VLOOKUP(J33,'[1]Farmer Payment Calc'!$A$2:$M$5286,13,0),0)</f>
        <v>1350</v>
      </c>
    </row>
    <row r="34" spans="1:16" x14ac:dyDescent="0.25">
      <c r="A34" t="s">
        <v>58</v>
      </c>
      <c r="B34">
        <v>10110124</v>
      </c>
      <c r="C34" t="s">
        <v>114</v>
      </c>
      <c r="D34" s="19">
        <v>1350</v>
      </c>
      <c r="E34" s="19">
        <v>1350</v>
      </c>
      <c r="J34" t="str">
        <f t="shared" si="0"/>
        <v>101101240026</v>
      </c>
      <c r="K34" s="25" t="s">
        <v>58</v>
      </c>
      <c r="L34" s="25">
        <v>10110124</v>
      </c>
      <c r="M34" t="s">
        <v>114</v>
      </c>
      <c r="N34" s="19">
        <v>1350</v>
      </c>
      <c r="O34" s="19">
        <v>1350</v>
      </c>
      <c r="P34">
        <f>IFERROR(VLOOKUP(J34,'[1]Farmer Payment Calc'!$A$2:$M$5286,13,0),0)</f>
        <v>1350</v>
      </c>
    </row>
    <row r="35" spans="1:16" x14ac:dyDescent="0.25">
      <c r="A35" t="s">
        <v>58</v>
      </c>
      <c r="B35">
        <v>10110123</v>
      </c>
      <c r="C35" t="s">
        <v>113</v>
      </c>
      <c r="D35" s="19">
        <v>2600</v>
      </c>
      <c r="E35" s="19">
        <v>2600</v>
      </c>
      <c r="J35" t="str">
        <f t="shared" si="0"/>
        <v>101101230002</v>
      </c>
      <c r="K35" s="25" t="s">
        <v>58</v>
      </c>
      <c r="L35" s="25">
        <v>10110123</v>
      </c>
      <c r="M35" t="s">
        <v>113</v>
      </c>
      <c r="N35" s="19">
        <v>2600</v>
      </c>
      <c r="O35" s="19">
        <v>2600</v>
      </c>
      <c r="P35">
        <f>IFERROR(VLOOKUP(J35,'[1]Farmer Payment Calc'!$A$2:$M$5286,13,0),0)</f>
        <v>2600</v>
      </c>
    </row>
    <row r="36" spans="1:16" x14ac:dyDescent="0.25">
      <c r="A36" t="s">
        <v>58</v>
      </c>
      <c r="B36">
        <v>10110123</v>
      </c>
      <c r="C36" t="s">
        <v>118</v>
      </c>
      <c r="D36" s="19">
        <v>1350</v>
      </c>
      <c r="E36" s="19">
        <v>1350</v>
      </c>
      <c r="J36" t="str">
        <f t="shared" si="0"/>
        <v>101101230006</v>
      </c>
      <c r="K36" s="25" t="s">
        <v>58</v>
      </c>
      <c r="L36" s="25">
        <v>10110123</v>
      </c>
      <c r="M36" t="s">
        <v>118</v>
      </c>
      <c r="N36" s="19">
        <v>1350</v>
      </c>
      <c r="O36" s="19">
        <v>1350</v>
      </c>
      <c r="P36">
        <f>IFERROR(VLOOKUP(J36,'[1]Farmer Payment Calc'!$A$2:$M$5286,13,0),0)</f>
        <v>1350</v>
      </c>
    </row>
    <row r="37" spans="1:16" x14ac:dyDescent="0.25">
      <c r="A37" t="s">
        <v>58</v>
      </c>
      <c r="B37">
        <v>10110123</v>
      </c>
      <c r="C37" t="s">
        <v>122</v>
      </c>
      <c r="D37" s="19">
        <v>5400</v>
      </c>
      <c r="E37" s="19">
        <v>5400</v>
      </c>
      <c r="J37" t="str">
        <f t="shared" si="0"/>
        <v>101101230007</v>
      </c>
      <c r="K37" s="25" t="s">
        <v>58</v>
      </c>
      <c r="L37" s="25">
        <v>10110123</v>
      </c>
      <c r="M37" t="s">
        <v>122</v>
      </c>
      <c r="N37" s="19">
        <v>5400</v>
      </c>
      <c r="O37" s="19">
        <v>5400</v>
      </c>
      <c r="P37">
        <f>IFERROR(VLOOKUP(J37,'[1]Farmer Payment Calc'!$A$2:$M$5286,13,0),0)</f>
        <v>4621</v>
      </c>
    </row>
    <row r="38" spans="1:16" x14ac:dyDescent="0.25">
      <c r="A38" t="s">
        <v>58</v>
      </c>
      <c r="B38">
        <v>10110123</v>
      </c>
      <c r="C38" t="s">
        <v>144</v>
      </c>
      <c r="D38" s="19">
        <v>2700</v>
      </c>
      <c r="E38" s="19">
        <v>2700</v>
      </c>
      <c r="J38" t="str">
        <f t="shared" si="0"/>
        <v>101101230011</v>
      </c>
      <c r="K38" s="25" t="s">
        <v>58</v>
      </c>
      <c r="L38" s="25">
        <v>10110123</v>
      </c>
      <c r="M38" t="s">
        <v>144</v>
      </c>
      <c r="N38" s="19">
        <v>2700</v>
      </c>
      <c r="O38" s="19">
        <v>2700</v>
      </c>
      <c r="P38">
        <f>IFERROR(VLOOKUP(J38,'[1]Farmer Payment Calc'!$A$2:$M$5286,13,0),0)</f>
        <v>2700</v>
      </c>
    </row>
    <row r="39" spans="1:16" x14ac:dyDescent="0.25">
      <c r="A39" t="s">
        <v>58</v>
      </c>
      <c r="B39">
        <v>10110123</v>
      </c>
      <c r="C39" t="s">
        <v>132</v>
      </c>
      <c r="D39" s="19">
        <v>1350</v>
      </c>
      <c r="E39" s="19">
        <v>1350</v>
      </c>
      <c r="J39" t="str">
        <f t="shared" si="0"/>
        <v>101101230015</v>
      </c>
      <c r="K39" s="25" t="s">
        <v>58</v>
      </c>
      <c r="L39" s="25">
        <v>10110123</v>
      </c>
      <c r="M39" t="s">
        <v>132</v>
      </c>
      <c r="N39" s="19">
        <v>1350</v>
      </c>
      <c r="O39" s="19">
        <v>1350</v>
      </c>
      <c r="P39">
        <f>IFERROR(VLOOKUP(J39,'[1]Farmer Payment Calc'!$A$2:$M$5286,13,0),0)</f>
        <v>1350</v>
      </c>
    </row>
    <row r="40" spans="1:16" x14ac:dyDescent="0.25">
      <c r="A40" t="s">
        <v>58</v>
      </c>
      <c r="B40">
        <v>10110110</v>
      </c>
      <c r="C40" t="s">
        <v>113</v>
      </c>
      <c r="D40" s="19">
        <v>2600</v>
      </c>
      <c r="E40" s="19">
        <v>2600</v>
      </c>
      <c r="J40" t="str">
        <f t="shared" si="0"/>
        <v>101101100002</v>
      </c>
      <c r="K40" s="25" t="s">
        <v>58</v>
      </c>
      <c r="L40" s="25">
        <v>10110110</v>
      </c>
      <c r="M40" t="s">
        <v>113</v>
      </c>
      <c r="N40" s="19">
        <v>2600</v>
      </c>
      <c r="O40" s="19">
        <v>2600</v>
      </c>
      <c r="P40">
        <f>IFERROR(VLOOKUP(J40,'[1]Farmer Payment Calc'!$A$2:$M$5286,13,0),0)</f>
        <v>0</v>
      </c>
    </row>
    <row r="41" spans="1:16" x14ac:dyDescent="0.25">
      <c r="A41" t="s">
        <v>58</v>
      </c>
      <c r="B41">
        <v>10110001</v>
      </c>
      <c r="C41" t="s">
        <v>113</v>
      </c>
      <c r="D41" s="19">
        <v>2600</v>
      </c>
      <c r="E41" s="19">
        <v>2600</v>
      </c>
      <c r="J41" t="str">
        <f t="shared" si="0"/>
        <v>101100010002</v>
      </c>
      <c r="K41" s="25" t="s">
        <v>58</v>
      </c>
      <c r="L41" s="25">
        <v>10110001</v>
      </c>
      <c r="M41" t="s">
        <v>113</v>
      </c>
      <c r="N41" s="19">
        <v>2600</v>
      </c>
      <c r="O41" s="19">
        <v>2600</v>
      </c>
      <c r="P41">
        <f>IFERROR(VLOOKUP(J41,'[1]Farmer Payment Calc'!$A$2:$M$5286,13,0),0)</f>
        <v>2600</v>
      </c>
    </row>
    <row r="42" spans="1:16" x14ac:dyDescent="0.25">
      <c r="A42" t="s">
        <v>58</v>
      </c>
      <c r="B42">
        <v>10120084</v>
      </c>
      <c r="C42" t="s">
        <v>113</v>
      </c>
      <c r="D42" s="19">
        <v>6750</v>
      </c>
      <c r="E42" s="19">
        <v>6750</v>
      </c>
      <c r="J42" t="str">
        <f t="shared" si="0"/>
        <v>101200840002</v>
      </c>
      <c r="K42" s="25" t="s">
        <v>58</v>
      </c>
      <c r="L42" s="25">
        <v>10120084</v>
      </c>
      <c r="M42" t="s">
        <v>113</v>
      </c>
      <c r="N42" s="19">
        <v>6750</v>
      </c>
      <c r="O42" s="19">
        <v>6750</v>
      </c>
      <c r="P42">
        <f>IFERROR(VLOOKUP(J42,'[1]Farmer Payment Calc'!$A$2:$M$5286,13,0),0)</f>
        <v>0</v>
      </c>
    </row>
    <row r="43" spans="1:16" x14ac:dyDescent="0.25">
      <c r="A43" t="s">
        <v>58</v>
      </c>
      <c r="B43">
        <v>10120083</v>
      </c>
      <c r="C43" t="s">
        <v>113</v>
      </c>
      <c r="D43" s="19">
        <v>25757</v>
      </c>
      <c r="E43" s="19">
        <v>25757</v>
      </c>
      <c r="J43" t="str">
        <f t="shared" si="0"/>
        <v>101200830002</v>
      </c>
      <c r="K43" s="25" t="s">
        <v>58</v>
      </c>
      <c r="L43" s="25">
        <v>10120083</v>
      </c>
      <c r="M43" t="s">
        <v>113</v>
      </c>
      <c r="N43" s="19">
        <v>25757</v>
      </c>
      <c r="O43" s="19">
        <v>25757</v>
      </c>
      <c r="P43">
        <f>IFERROR(VLOOKUP(J43,'[1]Farmer Payment Calc'!$A$2:$M$5286,13,0),0)</f>
        <v>10397</v>
      </c>
    </row>
    <row r="44" spans="1:16" x14ac:dyDescent="0.25">
      <c r="A44" t="s">
        <v>58</v>
      </c>
      <c r="B44">
        <v>10120123</v>
      </c>
      <c r="C44" t="s">
        <v>113</v>
      </c>
      <c r="D44" s="19">
        <v>1500</v>
      </c>
      <c r="E44" s="19">
        <v>1500</v>
      </c>
      <c r="J44" t="str">
        <f t="shared" si="0"/>
        <v>101201230002</v>
      </c>
      <c r="K44" s="25" t="s">
        <v>58</v>
      </c>
      <c r="L44" s="25">
        <v>10120123</v>
      </c>
      <c r="M44" t="s">
        <v>113</v>
      </c>
      <c r="N44" s="19">
        <v>1500</v>
      </c>
      <c r="O44" s="19">
        <v>1500</v>
      </c>
      <c r="P44">
        <f>IFERROR(VLOOKUP(J44,'[1]Farmer Payment Calc'!$A$2:$M$5286,13,0),0)</f>
        <v>1500</v>
      </c>
    </row>
    <row r="45" spans="1:16" x14ac:dyDescent="0.25">
      <c r="A45" t="s">
        <v>58</v>
      </c>
      <c r="B45">
        <v>10130077</v>
      </c>
      <c r="C45" t="s">
        <v>111</v>
      </c>
      <c r="D45" s="19">
        <v>1350</v>
      </c>
      <c r="E45" s="19">
        <v>1350</v>
      </c>
      <c r="J45" t="str">
        <f t="shared" si="0"/>
        <v>101300770003</v>
      </c>
      <c r="K45" s="25" t="s">
        <v>58</v>
      </c>
      <c r="L45" s="25">
        <v>10130077</v>
      </c>
      <c r="M45" t="s">
        <v>111</v>
      </c>
      <c r="N45" s="19">
        <v>1350</v>
      </c>
      <c r="O45" s="19">
        <v>1350</v>
      </c>
      <c r="P45">
        <f>IFERROR(VLOOKUP(J45,'[1]Farmer Payment Calc'!$A$2:$M$5286,13,0),0)</f>
        <v>1350</v>
      </c>
    </row>
    <row r="46" spans="1:16" x14ac:dyDescent="0.25">
      <c r="A46" t="s">
        <v>58</v>
      </c>
      <c r="B46">
        <v>10130073</v>
      </c>
      <c r="C46" t="s">
        <v>113</v>
      </c>
      <c r="D46" s="19">
        <v>1500</v>
      </c>
      <c r="E46" s="19">
        <v>1500</v>
      </c>
      <c r="J46" t="str">
        <f t="shared" si="0"/>
        <v>101300730002</v>
      </c>
      <c r="K46" s="25" t="s">
        <v>58</v>
      </c>
      <c r="L46" s="25">
        <v>10130073</v>
      </c>
      <c r="M46" t="s">
        <v>113</v>
      </c>
      <c r="N46" s="19">
        <v>1500</v>
      </c>
      <c r="O46" s="19">
        <v>1500</v>
      </c>
      <c r="P46">
        <f>IFERROR(VLOOKUP(J46,'[1]Farmer Payment Calc'!$A$2:$M$5286,13,0),0)</f>
        <v>1372</v>
      </c>
    </row>
    <row r="47" spans="1:16" x14ac:dyDescent="0.25">
      <c r="A47" t="s">
        <v>58</v>
      </c>
      <c r="B47">
        <v>10130116</v>
      </c>
      <c r="C47" t="s">
        <v>113</v>
      </c>
      <c r="D47" s="19">
        <v>1350</v>
      </c>
      <c r="E47" s="19">
        <v>1350</v>
      </c>
      <c r="J47" t="str">
        <f t="shared" si="0"/>
        <v>101301160002</v>
      </c>
      <c r="K47" s="25" t="s">
        <v>58</v>
      </c>
      <c r="L47" s="25">
        <v>10130116</v>
      </c>
      <c r="M47" t="s">
        <v>113</v>
      </c>
      <c r="N47" s="19">
        <v>1350</v>
      </c>
      <c r="O47" s="19">
        <v>1350</v>
      </c>
      <c r="P47">
        <f>IFERROR(VLOOKUP(J47,'[1]Farmer Payment Calc'!$A$2:$M$5286,13,0),0)</f>
        <v>568</v>
      </c>
    </row>
    <row r="48" spans="1:16" x14ac:dyDescent="0.25">
      <c r="A48" t="s">
        <v>58</v>
      </c>
      <c r="B48">
        <v>10010038</v>
      </c>
      <c r="C48" t="s">
        <v>113</v>
      </c>
      <c r="D48" s="19">
        <v>12500</v>
      </c>
      <c r="E48" s="19">
        <v>12500</v>
      </c>
      <c r="J48" t="str">
        <f t="shared" si="0"/>
        <v>100100380002</v>
      </c>
      <c r="K48" s="25" t="s">
        <v>58</v>
      </c>
      <c r="L48" s="25">
        <v>10010038</v>
      </c>
      <c r="M48" t="s">
        <v>113</v>
      </c>
      <c r="N48" s="19">
        <v>12500</v>
      </c>
      <c r="O48" s="19">
        <v>12500</v>
      </c>
      <c r="P48">
        <f>IFERROR(VLOOKUP(J48,'[1]Farmer Payment Calc'!$A$2:$M$5286,13,0),0)</f>
        <v>10640</v>
      </c>
    </row>
    <row r="49" spans="1:16" x14ac:dyDescent="0.25">
      <c r="A49" t="s">
        <v>58</v>
      </c>
      <c r="B49">
        <v>10530096</v>
      </c>
      <c r="C49" t="s">
        <v>113</v>
      </c>
      <c r="D49" s="19">
        <v>19174</v>
      </c>
      <c r="E49" s="19">
        <v>19174</v>
      </c>
      <c r="J49" t="str">
        <f t="shared" si="0"/>
        <v>105300960002</v>
      </c>
      <c r="K49" s="25" t="s">
        <v>58</v>
      </c>
      <c r="L49" s="25">
        <v>10530096</v>
      </c>
      <c r="M49" t="s">
        <v>113</v>
      </c>
      <c r="N49" s="19">
        <v>19174</v>
      </c>
      <c r="O49" s="19">
        <v>19174</v>
      </c>
      <c r="P49">
        <f>IFERROR(VLOOKUP(J49,'[1]Farmer Payment Calc'!$A$2:$M$5286,13,0),0)</f>
        <v>18323</v>
      </c>
    </row>
    <row r="50" spans="1:16" x14ac:dyDescent="0.25">
      <c r="A50" t="s">
        <v>58</v>
      </c>
      <c r="B50">
        <v>10530002</v>
      </c>
      <c r="C50" t="s">
        <v>113</v>
      </c>
      <c r="D50" s="19">
        <v>5400</v>
      </c>
      <c r="E50" s="19">
        <v>5400</v>
      </c>
      <c r="J50" t="str">
        <f t="shared" si="0"/>
        <v>105300020002</v>
      </c>
      <c r="K50" s="25" t="s">
        <v>58</v>
      </c>
      <c r="L50" s="25">
        <v>10530002</v>
      </c>
      <c r="M50" t="s">
        <v>113</v>
      </c>
      <c r="N50" s="19">
        <v>5400</v>
      </c>
      <c r="O50" s="19">
        <v>5400</v>
      </c>
      <c r="P50">
        <f>IFERROR(VLOOKUP(J50,'[1]Farmer Payment Calc'!$A$2:$M$5286,13,0),0)</f>
        <v>4834</v>
      </c>
    </row>
    <row r="51" spans="1:16" x14ac:dyDescent="0.25">
      <c r="A51" t="s">
        <v>58</v>
      </c>
      <c r="B51">
        <v>10530002</v>
      </c>
      <c r="C51" t="s">
        <v>116</v>
      </c>
      <c r="D51" s="19">
        <v>2700</v>
      </c>
      <c r="E51" s="19">
        <v>2700</v>
      </c>
      <c r="J51" t="str">
        <f t="shared" si="0"/>
        <v>105300020004</v>
      </c>
      <c r="K51" s="25" t="s">
        <v>58</v>
      </c>
      <c r="L51" s="25">
        <v>10530002</v>
      </c>
      <c r="M51" t="s">
        <v>116</v>
      </c>
      <c r="N51" s="19">
        <v>2700</v>
      </c>
      <c r="O51" s="19">
        <v>2700</v>
      </c>
      <c r="P51">
        <f>IFERROR(VLOOKUP(J51,'[1]Farmer Payment Calc'!$A$2:$M$5286,13,0),0)</f>
        <v>2700</v>
      </c>
    </row>
    <row r="52" spans="1:16" x14ac:dyDescent="0.25">
      <c r="A52" t="s">
        <v>58</v>
      </c>
      <c r="B52">
        <v>10530002</v>
      </c>
      <c r="C52" t="s">
        <v>115</v>
      </c>
      <c r="D52" s="19">
        <v>1350</v>
      </c>
      <c r="E52" s="19">
        <v>1350</v>
      </c>
      <c r="J52" t="str">
        <f t="shared" si="0"/>
        <v>105300020019</v>
      </c>
      <c r="K52" s="25" t="s">
        <v>58</v>
      </c>
      <c r="L52" s="25">
        <v>10530002</v>
      </c>
      <c r="M52" t="s">
        <v>115</v>
      </c>
      <c r="N52" s="19">
        <v>1350</v>
      </c>
      <c r="O52" s="19">
        <v>1350</v>
      </c>
      <c r="P52">
        <f>IFERROR(VLOOKUP(J52,'[1]Farmer Payment Calc'!$A$2:$M$5286,13,0),0)</f>
        <v>1350</v>
      </c>
    </row>
    <row r="53" spans="1:16" x14ac:dyDescent="0.25">
      <c r="A53" t="s">
        <v>58</v>
      </c>
      <c r="B53">
        <v>10530002</v>
      </c>
      <c r="C53" t="s">
        <v>123</v>
      </c>
      <c r="D53" s="19">
        <v>1350</v>
      </c>
      <c r="E53" s="19">
        <v>1350</v>
      </c>
      <c r="J53" t="str">
        <f t="shared" si="0"/>
        <v>105300020028</v>
      </c>
      <c r="K53" s="25" t="s">
        <v>58</v>
      </c>
      <c r="L53" s="25">
        <v>10530002</v>
      </c>
      <c r="M53" t="s">
        <v>123</v>
      </c>
      <c r="N53" s="19">
        <v>1350</v>
      </c>
      <c r="O53" s="19">
        <v>1350</v>
      </c>
      <c r="P53">
        <f>IFERROR(VLOOKUP(J53,'[1]Farmer Payment Calc'!$A$2:$M$5286,13,0),0)</f>
        <v>1350</v>
      </c>
    </row>
    <row r="54" spans="1:16" x14ac:dyDescent="0.25">
      <c r="A54" t="s">
        <v>58</v>
      </c>
      <c r="B54">
        <v>10530002</v>
      </c>
      <c r="C54" t="s">
        <v>149</v>
      </c>
      <c r="D54" s="19">
        <v>2700</v>
      </c>
      <c r="E54" s="19">
        <v>2700</v>
      </c>
      <c r="J54" t="str">
        <f t="shared" si="0"/>
        <v>105300020036</v>
      </c>
      <c r="K54" s="25" t="s">
        <v>58</v>
      </c>
      <c r="L54" s="25">
        <v>10530002</v>
      </c>
      <c r="M54" t="s">
        <v>149</v>
      </c>
      <c r="N54" s="19">
        <v>2700</v>
      </c>
      <c r="O54" s="19">
        <v>2700</v>
      </c>
      <c r="P54">
        <f>IFERROR(VLOOKUP(J54,'[1]Farmer Payment Calc'!$A$2:$M$5286,13,0),0)</f>
        <v>2329</v>
      </c>
    </row>
    <row r="55" spans="1:16" x14ac:dyDescent="0.25">
      <c r="A55" t="s">
        <v>58</v>
      </c>
      <c r="B55">
        <v>10530002</v>
      </c>
      <c r="C55" t="s">
        <v>150</v>
      </c>
      <c r="D55" s="19">
        <v>2700</v>
      </c>
      <c r="E55" s="19">
        <v>2700</v>
      </c>
      <c r="J55" t="str">
        <f t="shared" si="0"/>
        <v>105300020041</v>
      </c>
      <c r="K55" s="25" t="s">
        <v>58</v>
      </c>
      <c r="L55" s="25">
        <v>10530002</v>
      </c>
      <c r="M55" t="s">
        <v>150</v>
      </c>
      <c r="N55" s="19">
        <v>2700</v>
      </c>
      <c r="O55" s="19">
        <v>2700</v>
      </c>
      <c r="P55">
        <f>IFERROR(VLOOKUP(J55,'[1]Farmer Payment Calc'!$A$2:$M$5286,13,0),0)</f>
        <v>2700</v>
      </c>
    </row>
    <row r="56" spans="1:16" x14ac:dyDescent="0.25">
      <c r="A56" t="s">
        <v>58</v>
      </c>
      <c r="B56">
        <v>10530100</v>
      </c>
      <c r="C56" t="s">
        <v>113</v>
      </c>
      <c r="D56" s="19">
        <v>1350</v>
      </c>
      <c r="E56" s="19">
        <v>1350</v>
      </c>
      <c r="J56" t="str">
        <f t="shared" si="0"/>
        <v>105301000002</v>
      </c>
      <c r="K56" s="25" t="s">
        <v>58</v>
      </c>
      <c r="L56" s="25">
        <v>10530100</v>
      </c>
      <c r="M56" t="s">
        <v>113</v>
      </c>
      <c r="N56" s="19">
        <v>1350</v>
      </c>
      <c r="O56" s="19">
        <v>1350</v>
      </c>
      <c r="P56">
        <f>IFERROR(VLOOKUP(J56,'[1]Farmer Payment Calc'!$A$2:$M$5286,13,0),0)</f>
        <v>650</v>
      </c>
    </row>
    <row r="57" spans="1:16" x14ac:dyDescent="0.25">
      <c r="A57" t="s">
        <v>58</v>
      </c>
      <c r="B57">
        <v>10530100</v>
      </c>
      <c r="C57" t="s">
        <v>116</v>
      </c>
      <c r="D57" s="19">
        <v>1350</v>
      </c>
      <c r="E57" s="19">
        <v>1350</v>
      </c>
      <c r="J57" t="str">
        <f t="shared" si="0"/>
        <v>105301000004</v>
      </c>
      <c r="K57" s="25" t="s">
        <v>58</v>
      </c>
      <c r="L57" s="25">
        <v>10530100</v>
      </c>
      <c r="M57" t="s">
        <v>116</v>
      </c>
      <c r="N57" s="19">
        <v>1350</v>
      </c>
      <c r="O57" s="19">
        <v>1350</v>
      </c>
      <c r="P57">
        <f>IFERROR(VLOOKUP(J57,'[1]Farmer Payment Calc'!$A$2:$M$5286,13,0),0)</f>
        <v>1350</v>
      </c>
    </row>
    <row r="58" spans="1:16" x14ac:dyDescent="0.25">
      <c r="A58" t="s">
        <v>58</v>
      </c>
      <c r="B58">
        <v>10530100</v>
      </c>
      <c r="C58" t="s">
        <v>118</v>
      </c>
      <c r="D58" s="19">
        <v>1350</v>
      </c>
      <c r="E58" s="19">
        <v>1350</v>
      </c>
      <c r="J58" t="str">
        <f t="shared" si="0"/>
        <v>105301000006</v>
      </c>
      <c r="K58" s="25" t="s">
        <v>58</v>
      </c>
      <c r="L58" s="25">
        <v>10530100</v>
      </c>
      <c r="M58" t="s">
        <v>118</v>
      </c>
      <c r="N58" s="19">
        <v>1350</v>
      </c>
      <c r="O58" s="19">
        <v>1350</v>
      </c>
      <c r="P58">
        <f>IFERROR(VLOOKUP(J58,'[1]Farmer Payment Calc'!$A$2:$M$5286,13,0),0)</f>
        <v>1350</v>
      </c>
    </row>
    <row r="59" spans="1:16" x14ac:dyDescent="0.25">
      <c r="A59" t="s">
        <v>58</v>
      </c>
      <c r="B59">
        <v>10530109</v>
      </c>
      <c r="C59" t="s">
        <v>116</v>
      </c>
      <c r="D59" s="19">
        <v>15000</v>
      </c>
      <c r="E59" s="19">
        <v>15000</v>
      </c>
      <c r="J59" t="str">
        <f t="shared" si="0"/>
        <v>105301090004</v>
      </c>
      <c r="K59" s="25" t="s">
        <v>58</v>
      </c>
      <c r="L59" s="25">
        <v>10530109</v>
      </c>
      <c r="M59" t="s">
        <v>116</v>
      </c>
      <c r="N59" s="19">
        <v>15000</v>
      </c>
      <c r="O59" s="19">
        <v>15000</v>
      </c>
      <c r="P59">
        <f>IFERROR(VLOOKUP(J59,'[1]Farmer Payment Calc'!$A$2:$M$5286,13,0),0)</f>
        <v>15000</v>
      </c>
    </row>
    <row r="60" spans="1:16" x14ac:dyDescent="0.25">
      <c r="A60" t="s">
        <v>58</v>
      </c>
      <c r="B60">
        <v>10530109</v>
      </c>
      <c r="C60" t="s">
        <v>112</v>
      </c>
      <c r="D60" s="19">
        <v>12882</v>
      </c>
      <c r="E60" s="19">
        <v>12882</v>
      </c>
      <c r="J60" t="str">
        <f t="shared" si="0"/>
        <v>105301090005</v>
      </c>
      <c r="K60" s="25" t="s">
        <v>58</v>
      </c>
      <c r="L60" s="25">
        <v>10530109</v>
      </c>
      <c r="M60" t="s">
        <v>112</v>
      </c>
      <c r="N60" s="19">
        <v>12882</v>
      </c>
      <c r="O60" s="19">
        <v>12882</v>
      </c>
      <c r="P60">
        <f>IFERROR(VLOOKUP(J60,'[1]Farmer Payment Calc'!$A$2:$M$5286,13,0),0)</f>
        <v>12882</v>
      </c>
    </row>
    <row r="61" spans="1:16" x14ac:dyDescent="0.25">
      <c r="A61" t="s">
        <v>58</v>
      </c>
      <c r="B61">
        <v>10530093</v>
      </c>
      <c r="C61" t="s">
        <v>113</v>
      </c>
      <c r="D61" s="19">
        <v>1500</v>
      </c>
      <c r="E61" s="19">
        <v>1500</v>
      </c>
      <c r="J61" t="str">
        <f t="shared" si="0"/>
        <v>105300930002</v>
      </c>
      <c r="K61" s="25" t="s">
        <v>58</v>
      </c>
      <c r="L61" s="25">
        <v>10530093</v>
      </c>
      <c r="M61" t="s">
        <v>113</v>
      </c>
      <c r="N61" s="19">
        <v>1500</v>
      </c>
      <c r="O61" s="19">
        <v>1500</v>
      </c>
      <c r="P61">
        <f>IFERROR(VLOOKUP(J61,'[1]Farmer Payment Calc'!$A$2:$M$5286,13,0),0)</f>
        <v>1500</v>
      </c>
    </row>
    <row r="62" spans="1:16" x14ac:dyDescent="0.25">
      <c r="A62" t="s">
        <v>58</v>
      </c>
      <c r="B62">
        <v>10530093</v>
      </c>
      <c r="C62" t="s">
        <v>134</v>
      </c>
      <c r="D62" s="19">
        <v>1500</v>
      </c>
      <c r="E62" s="19">
        <v>1500</v>
      </c>
      <c r="J62" t="str">
        <f t="shared" si="0"/>
        <v>105300930032</v>
      </c>
      <c r="K62" s="25" t="s">
        <v>58</v>
      </c>
      <c r="L62" s="25">
        <v>10530093</v>
      </c>
      <c r="M62" t="s">
        <v>134</v>
      </c>
      <c r="N62" s="19">
        <v>1500</v>
      </c>
      <c r="O62" s="19">
        <v>1500</v>
      </c>
      <c r="P62">
        <f>IFERROR(VLOOKUP(J62,'[1]Farmer Payment Calc'!$A$2:$M$5286,13,0),0)</f>
        <v>1500</v>
      </c>
    </row>
    <row r="63" spans="1:16" x14ac:dyDescent="0.25">
      <c r="A63" t="s">
        <v>58</v>
      </c>
      <c r="B63">
        <v>10530093</v>
      </c>
      <c r="C63" t="s">
        <v>136</v>
      </c>
      <c r="D63" s="19">
        <v>3000</v>
      </c>
      <c r="E63" s="19">
        <v>3000</v>
      </c>
      <c r="J63" t="str">
        <f t="shared" si="0"/>
        <v>105300930044</v>
      </c>
      <c r="K63" s="25" t="s">
        <v>58</v>
      </c>
      <c r="L63" s="25">
        <v>10530093</v>
      </c>
      <c r="M63" t="s">
        <v>136</v>
      </c>
      <c r="N63" s="19">
        <v>3000</v>
      </c>
      <c r="O63" s="19">
        <v>3000</v>
      </c>
      <c r="P63">
        <f>IFERROR(VLOOKUP(J63,'[1]Farmer Payment Calc'!$A$2:$M$5286,13,0),0)</f>
        <v>2701</v>
      </c>
    </row>
    <row r="64" spans="1:16" x14ac:dyDescent="0.25">
      <c r="A64" t="s">
        <v>58</v>
      </c>
      <c r="B64">
        <v>10530093</v>
      </c>
      <c r="C64" t="s">
        <v>151</v>
      </c>
      <c r="D64" s="19">
        <v>1500</v>
      </c>
      <c r="E64" s="19">
        <v>1500</v>
      </c>
      <c r="J64" t="str">
        <f t="shared" si="0"/>
        <v>105300930053</v>
      </c>
      <c r="K64" s="25" t="s">
        <v>58</v>
      </c>
      <c r="L64" s="25">
        <v>10530093</v>
      </c>
      <c r="M64" t="s">
        <v>151</v>
      </c>
      <c r="N64" s="19">
        <v>1500</v>
      </c>
      <c r="O64" s="19">
        <v>1500</v>
      </c>
      <c r="P64">
        <f>IFERROR(VLOOKUP(J64,'[1]Farmer Payment Calc'!$A$2:$M$5286,13,0),0)</f>
        <v>1203</v>
      </c>
    </row>
    <row r="65" spans="1:16" x14ac:dyDescent="0.25">
      <c r="A65" t="s">
        <v>58</v>
      </c>
      <c r="B65">
        <v>10530040</v>
      </c>
      <c r="C65" t="s">
        <v>116</v>
      </c>
      <c r="D65" s="19">
        <v>776</v>
      </c>
      <c r="E65" s="19">
        <v>776</v>
      </c>
      <c r="J65" t="str">
        <f t="shared" si="0"/>
        <v>105300400004</v>
      </c>
      <c r="K65" s="25" t="s">
        <v>58</v>
      </c>
      <c r="L65" s="25">
        <v>10530040</v>
      </c>
      <c r="M65" t="s">
        <v>116</v>
      </c>
      <c r="N65" s="19">
        <v>776</v>
      </c>
      <c r="O65" s="19">
        <v>776</v>
      </c>
      <c r="P65">
        <f>IFERROR(VLOOKUP(J65,'[1]Farmer Payment Calc'!$A$2:$M$5286,13,0),0)</f>
        <v>776</v>
      </c>
    </row>
    <row r="66" spans="1:16" x14ac:dyDescent="0.25">
      <c r="A66" t="s">
        <v>58</v>
      </c>
      <c r="B66">
        <v>10530040</v>
      </c>
      <c r="C66" t="s">
        <v>152</v>
      </c>
      <c r="D66" s="19">
        <v>1500</v>
      </c>
      <c r="E66" s="19">
        <v>1500</v>
      </c>
      <c r="J66" t="str">
        <f t="shared" si="0"/>
        <v>105300400048</v>
      </c>
      <c r="K66" s="25" t="s">
        <v>58</v>
      </c>
      <c r="L66" s="25">
        <v>10530040</v>
      </c>
      <c r="M66" t="s">
        <v>152</v>
      </c>
      <c r="N66" s="19">
        <v>1500</v>
      </c>
      <c r="O66" s="19">
        <v>1500</v>
      </c>
      <c r="P66">
        <f>IFERROR(VLOOKUP(J66,'[1]Farmer Payment Calc'!$A$2:$M$5286,13,0),0)</f>
        <v>1500</v>
      </c>
    </row>
    <row r="67" spans="1:16" x14ac:dyDescent="0.25">
      <c r="A67" t="s">
        <v>58</v>
      </c>
      <c r="B67">
        <v>10530084</v>
      </c>
      <c r="C67" t="s">
        <v>153</v>
      </c>
      <c r="D67" s="19">
        <v>1500</v>
      </c>
      <c r="E67" s="19">
        <v>1500</v>
      </c>
      <c r="J67" t="str">
        <f t="shared" si="0"/>
        <v>105300840065</v>
      </c>
      <c r="K67" s="25" t="s">
        <v>58</v>
      </c>
      <c r="L67" s="25">
        <v>10530084</v>
      </c>
      <c r="M67" t="s">
        <v>153</v>
      </c>
      <c r="N67" s="19">
        <v>1500</v>
      </c>
      <c r="O67" s="19">
        <v>1500</v>
      </c>
      <c r="P67">
        <f>IFERROR(VLOOKUP(J67,'[1]Farmer Payment Calc'!$A$2:$M$5286,13,0),0)</f>
        <v>1500</v>
      </c>
    </row>
    <row r="68" spans="1:16" x14ac:dyDescent="0.25">
      <c r="A68" t="s">
        <v>58</v>
      </c>
      <c r="B68">
        <v>10530084</v>
      </c>
      <c r="C68" t="s">
        <v>133</v>
      </c>
      <c r="D68" s="19">
        <v>427</v>
      </c>
      <c r="E68" s="19">
        <v>427</v>
      </c>
      <c r="J68" t="str">
        <f t="shared" si="0"/>
        <v>105300840063</v>
      </c>
      <c r="K68" s="25" t="s">
        <v>58</v>
      </c>
      <c r="L68" s="25">
        <v>10530084</v>
      </c>
      <c r="M68" t="s">
        <v>133</v>
      </c>
      <c r="N68" s="19">
        <v>427</v>
      </c>
      <c r="O68" s="19">
        <v>427</v>
      </c>
      <c r="P68">
        <f>IFERROR(VLOOKUP(J68,'[1]Farmer Payment Calc'!$A$2:$M$5286,13,0),0)</f>
        <v>427</v>
      </c>
    </row>
    <row r="69" spans="1:16" x14ac:dyDescent="0.25">
      <c r="A69" t="s">
        <v>58</v>
      </c>
      <c r="B69">
        <v>10530032</v>
      </c>
      <c r="C69" t="s">
        <v>121</v>
      </c>
      <c r="D69" s="19">
        <v>1500</v>
      </c>
      <c r="E69" s="19">
        <v>1500</v>
      </c>
      <c r="J69" t="str">
        <f t="shared" si="0"/>
        <v>105300320010</v>
      </c>
      <c r="K69" s="25" t="s">
        <v>58</v>
      </c>
      <c r="L69" s="25">
        <v>10530032</v>
      </c>
      <c r="M69" t="s">
        <v>121</v>
      </c>
      <c r="N69" s="19">
        <v>1500</v>
      </c>
      <c r="O69" s="19">
        <v>1500</v>
      </c>
      <c r="P69">
        <f>IFERROR(VLOOKUP(J69,'[1]Farmer Payment Calc'!$A$2:$M$5286,13,0),0)</f>
        <v>1500</v>
      </c>
    </row>
    <row r="70" spans="1:16" x14ac:dyDescent="0.25">
      <c r="A70" t="s">
        <v>58</v>
      </c>
      <c r="B70">
        <v>10530003</v>
      </c>
      <c r="C70" t="s">
        <v>119</v>
      </c>
      <c r="D70" s="19">
        <v>598</v>
      </c>
      <c r="E70" s="19">
        <v>598</v>
      </c>
      <c r="J70" t="str">
        <f t="shared" ref="J70:J133" si="1">CONCATENATE(L70,M70)</f>
        <v>105300030008</v>
      </c>
      <c r="K70" s="25" t="s">
        <v>58</v>
      </c>
      <c r="L70" s="25">
        <v>10530003</v>
      </c>
      <c r="M70" t="s">
        <v>119</v>
      </c>
      <c r="N70" s="19">
        <v>598</v>
      </c>
      <c r="O70" s="19">
        <v>598</v>
      </c>
      <c r="P70">
        <f>IFERROR(VLOOKUP(J70,'[1]Farmer Payment Calc'!$A$2:$M$5286,13,0),0)</f>
        <v>525</v>
      </c>
    </row>
    <row r="71" spans="1:16" x14ac:dyDescent="0.25">
      <c r="A71" t="s">
        <v>58</v>
      </c>
      <c r="B71">
        <v>10530003</v>
      </c>
      <c r="C71" t="s">
        <v>136</v>
      </c>
      <c r="D71" s="19">
        <v>80</v>
      </c>
      <c r="E71" s="19">
        <v>80</v>
      </c>
      <c r="J71" t="str">
        <f t="shared" si="1"/>
        <v>105300030044</v>
      </c>
      <c r="K71" s="25" t="s">
        <v>58</v>
      </c>
      <c r="L71" s="25">
        <v>10530003</v>
      </c>
      <c r="M71" t="s">
        <v>136</v>
      </c>
      <c r="N71" s="19">
        <v>80</v>
      </c>
      <c r="O71" s="19">
        <v>80</v>
      </c>
      <c r="P71">
        <f>IFERROR(VLOOKUP(J71,'[1]Farmer Payment Calc'!$A$2:$M$5286,13,0),0)</f>
        <v>80</v>
      </c>
    </row>
    <row r="72" spans="1:16" x14ac:dyDescent="0.25">
      <c r="A72" t="s">
        <v>58</v>
      </c>
      <c r="B72">
        <v>10530003</v>
      </c>
      <c r="C72" t="s">
        <v>137</v>
      </c>
      <c r="D72" s="19">
        <v>79</v>
      </c>
      <c r="E72" s="19">
        <v>79</v>
      </c>
      <c r="J72" t="str">
        <f t="shared" si="1"/>
        <v>105300030086</v>
      </c>
      <c r="K72" s="25" t="s">
        <v>58</v>
      </c>
      <c r="L72" s="25">
        <v>10530003</v>
      </c>
      <c r="M72" t="s">
        <v>137</v>
      </c>
      <c r="N72" s="19">
        <v>79</v>
      </c>
      <c r="O72" s="19">
        <v>79</v>
      </c>
      <c r="P72">
        <f>IFERROR(VLOOKUP(J72,'[1]Farmer Payment Calc'!$A$2:$M$5286,13,0),0)</f>
        <v>79</v>
      </c>
    </row>
    <row r="73" spans="1:16" x14ac:dyDescent="0.25">
      <c r="A73" t="s">
        <v>58</v>
      </c>
      <c r="B73">
        <v>10530003</v>
      </c>
      <c r="C73" t="s">
        <v>138</v>
      </c>
      <c r="D73" s="19">
        <v>190</v>
      </c>
      <c r="E73" s="19">
        <v>190</v>
      </c>
      <c r="J73" t="str">
        <f t="shared" si="1"/>
        <v>105300030095</v>
      </c>
      <c r="K73" s="25" t="s">
        <v>58</v>
      </c>
      <c r="L73" s="25">
        <v>10530003</v>
      </c>
      <c r="M73" t="s">
        <v>138</v>
      </c>
      <c r="N73" s="19">
        <v>190</v>
      </c>
      <c r="O73" s="19">
        <v>190</v>
      </c>
      <c r="P73">
        <f>IFERROR(VLOOKUP(J73,'[1]Farmer Payment Calc'!$A$2:$M$5286,13,0),0)</f>
        <v>190</v>
      </c>
    </row>
    <row r="74" spans="1:16" x14ac:dyDescent="0.25">
      <c r="A74" t="s">
        <v>58</v>
      </c>
      <c r="B74">
        <v>10530097</v>
      </c>
      <c r="C74" t="s">
        <v>114</v>
      </c>
      <c r="D74" s="19">
        <v>1500</v>
      </c>
      <c r="E74" s="19">
        <v>1500</v>
      </c>
      <c r="J74" t="str">
        <f t="shared" si="1"/>
        <v>105300970026</v>
      </c>
      <c r="K74" s="25" t="s">
        <v>58</v>
      </c>
      <c r="L74" s="25">
        <v>10530097</v>
      </c>
      <c r="M74" t="s">
        <v>114</v>
      </c>
      <c r="N74" s="19">
        <v>1500</v>
      </c>
      <c r="O74" s="19">
        <v>1500</v>
      </c>
      <c r="P74">
        <f>IFERROR(VLOOKUP(J74,'[1]Farmer Payment Calc'!$A$2:$M$5286,13,0),0)</f>
        <v>1500</v>
      </c>
    </row>
    <row r="75" spans="1:16" x14ac:dyDescent="0.25">
      <c r="A75" t="s">
        <v>58</v>
      </c>
      <c r="B75">
        <v>10530005</v>
      </c>
      <c r="C75" t="s">
        <v>113</v>
      </c>
      <c r="D75" s="19">
        <v>130</v>
      </c>
      <c r="E75" s="19">
        <v>130</v>
      </c>
      <c r="J75" t="str">
        <f t="shared" si="1"/>
        <v>105300050002</v>
      </c>
      <c r="K75" s="25" t="s">
        <v>58</v>
      </c>
      <c r="L75" s="25">
        <v>10530005</v>
      </c>
      <c r="M75" t="s">
        <v>113</v>
      </c>
      <c r="N75" s="19">
        <v>130</v>
      </c>
      <c r="O75" s="19">
        <v>130</v>
      </c>
      <c r="P75">
        <f>IFERROR(VLOOKUP(J75,'[1]Farmer Payment Calc'!$A$2:$M$5286,13,0),0)</f>
        <v>65</v>
      </c>
    </row>
    <row r="76" spans="1:16" x14ac:dyDescent="0.25">
      <c r="A76" t="s">
        <v>58</v>
      </c>
      <c r="B76">
        <v>10530005</v>
      </c>
      <c r="C76" t="s">
        <v>119</v>
      </c>
      <c r="D76" s="19">
        <v>919</v>
      </c>
      <c r="E76" s="19">
        <v>919</v>
      </c>
      <c r="J76" t="str">
        <f t="shared" si="1"/>
        <v>105300050008</v>
      </c>
      <c r="K76" s="25" t="s">
        <v>58</v>
      </c>
      <c r="L76" s="25">
        <v>10530005</v>
      </c>
      <c r="M76" t="s">
        <v>119</v>
      </c>
      <c r="N76" s="19">
        <v>919</v>
      </c>
      <c r="O76" s="19">
        <v>919</v>
      </c>
      <c r="P76">
        <f>IFERROR(VLOOKUP(J76,'[1]Farmer Payment Calc'!$A$2:$M$5286,13,0),0)</f>
        <v>647</v>
      </c>
    </row>
    <row r="77" spans="1:16" x14ac:dyDescent="0.25">
      <c r="A77" t="s">
        <v>58</v>
      </c>
      <c r="B77">
        <v>10530005</v>
      </c>
      <c r="C77" t="s">
        <v>121</v>
      </c>
      <c r="D77" s="19">
        <v>1350</v>
      </c>
      <c r="E77" s="19">
        <v>1350</v>
      </c>
      <c r="J77" t="str">
        <f t="shared" si="1"/>
        <v>105300050010</v>
      </c>
      <c r="K77" s="25" t="s">
        <v>58</v>
      </c>
      <c r="L77" s="25">
        <v>10530005</v>
      </c>
      <c r="M77" t="s">
        <v>121</v>
      </c>
      <c r="N77" s="19">
        <v>1350</v>
      </c>
      <c r="O77" s="19">
        <v>1350</v>
      </c>
      <c r="P77">
        <f>IFERROR(VLOOKUP(J77,'[1]Farmer Payment Calc'!$A$2:$M$5286,13,0),0)</f>
        <v>1350</v>
      </c>
    </row>
    <row r="78" spans="1:16" x14ac:dyDescent="0.25">
      <c r="A78" t="s">
        <v>58</v>
      </c>
      <c r="B78">
        <v>10530085</v>
      </c>
      <c r="C78" t="s">
        <v>113</v>
      </c>
      <c r="D78" s="19">
        <v>2700</v>
      </c>
      <c r="E78" s="19">
        <v>2700</v>
      </c>
      <c r="J78" t="str">
        <f t="shared" si="1"/>
        <v>105300850002</v>
      </c>
      <c r="K78" s="25" t="s">
        <v>58</v>
      </c>
      <c r="L78" s="25">
        <v>10530085</v>
      </c>
      <c r="M78" t="s">
        <v>113</v>
      </c>
      <c r="N78" s="19">
        <v>2700</v>
      </c>
      <c r="O78" s="19">
        <v>2700</v>
      </c>
      <c r="P78">
        <f>IFERROR(VLOOKUP(J78,'[1]Farmer Payment Calc'!$A$2:$M$5286,13,0),0)</f>
        <v>2669</v>
      </c>
    </row>
    <row r="79" spans="1:16" x14ac:dyDescent="0.25">
      <c r="A79" t="s">
        <v>58</v>
      </c>
      <c r="B79">
        <v>10530085</v>
      </c>
      <c r="C79" t="s">
        <v>111</v>
      </c>
      <c r="D79" s="19">
        <v>2700</v>
      </c>
      <c r="E79" s="19">
        <v>2700</v>
      </c>
      <c r="J79" t="str">
        <f t="shared" si="1"/>
        <v>105300850003</v>
      </c>
      <c r="K79" s="25" t="s">
        <v>58</v>
      </c>
      <c r="L79" s="25">
        <v>10530085</v>
      </c>
      <c r="M79" t="s">
        <v>111</v>
      </c>
      <c r="N79" s="19">
        <v>2700</v>
      </c>
      <c r="O79" s="19">
        <v>2700</v>
      </c>
      <c r="P79">
        <f>IFERROR(VLOOKUP(J79,'[1]Farmer Payment Calc'!$A$2:$M$5286,13,0),0)</f>
        <v>2700</v>
      </c>
    </row>
    <row r="80" spans="1:16" x14ac:dyDescent="0.25">
      <c r="A80" t="s">
        <v>58</v>
      </c>
      <c r="B80">
        <v>10530085</v>
      </c>
      <c r="C80" t="s">
        <v>116</v>
      </c>
      <c r="D80" s="19">
        <v>1350</v>
      </c>
      <c r="E80" s="19">
        <v>1350</v>
      </c>
      <c r="J80" t="str">
        <f t="shared" si="1"/>
        <v>105300850004</v>
      </c>
      <c r="K80" s="25" t="s">
        <v>58</v>
      </c>
      <c r="L80" s="25">
        <v>10530085</v>
      </c>
      <c r="M80" t="s">
        <v>116</v>
      </c>
      <c r="N80" s="19">
        <v>1350</v>
      </c>
      <c r="O80" s="19">
        <v>1350</v>
      </c>
      <c r="P80">
        <f>IFERROR(VLOOKUP(J80,'[1]Farmer Payment Calc'!$A$2:$M$5286,13,0),0)</f>
        <v>871</v>
      </c>
    </row>
    <row r="81" spans="1:16" x14ac:dyDescent="0.25">
      <c r="A81" t="s">
        <v>58</v>
      </c>
      <c r="B81">
        <v>10530085</v>
      </c>
      <c r="C81" t="s">
        <v>118</v>
      </c>
      <c r="D81" s="19">
        <v>1350</v>
      </c>
      <c r="E81" s="19">
        <v>1350</v>
      </c>
      <c r="J81" t="str">
        <f t="shared" si="1"/>
        <v>105300850006</v>
      </c>
      <c r="K81" s="25" t="s">
        <v>58</v>
      </c>
      <c r="L81" s="25">
        <v>10530085</v>
      </c>
      <c r="M81" t="s">
        <v>118</v>
      </c>
      <c r="N81" s="19">
        <v>1350</v>
      </c>
      <c r="O81" s="19">
        <v>1350</v>
      </c>
      <c r="P81">
        <f>IFERROR(VLOOKUP(J81,'[1]Farmer Payment Calc'!$A$2:$M$5286,13,0),0)</f>
        <v>1350</v>
      </c>
    </row>
    <row r="82" spans="1:16" x14ac:dyDescent="0.25">
      <c r="A82" t="s">
        <v>58</v>
      </c>
      <c r="B82">
        <v>10530085</v>
      </c>
      <c r="C82" t="s">
        <v>115</v>
      </c>
      <c r="D82" s="19">
        <v>2700</v>
      </c>
      <c r="E82" s="19">
        <v>2700</v>
      </c>
      <c r="J82" t="str">
        <f t="shared" si="1"/>
        <v>105300850019</v>
      </c>
      <c r="K82" s="25" t="s">
        <v>58</v>
      </c>
      <c r="L82" s="25">
        <v>10530085</v>
      </c>
      <c r="M82" t="s">
        <v>115</v>
      </c>
      <c r="N82" s="19">
        <v>2700</v>
      </c>
      <c r="O82" s="19">
        <v>2700</v>
      </c>
      <c r="P82">
        <f>IFERROR(VLOOKUP(J82,'[1]Farmer Payment Calc'!$A$2:$M$5286,13,0),0)</f>
        <v>2179</v>
      </c>
    </row>
    <row r="83" spans="1:16" x14ac:dyDescent="0.25">
      <c r="A83" t="s">
        <v>58</v>
      </c>
      <c r="B83">
        <v>10530085</v>
      </c>
      <c r="C83" t="s">
        <v>140</v>
      </c>
      <c r="D83" s="19">
        <v>1350</v>
      </c>
      <c r="E83" s="19">
        <v>1350</v>
      </c>
      <c r="J83" t="str">
        <f t="shared" si="1"/>
        <v>105300850046</v>
      </c>
      <c r="K83" s="25" t="s">
        <v>58</v>
      </c>
      <c r="L83" s="25">
        <v>10530085</v>
      </c>
      <c r="M83" t="s">
        <v>140</v>
      </c>
      <c r="N83" s="19">
        <v>1350</v>
      </c>
      <c r="O83" s="19">
        <v>1350</v>
      </c>
      <c r="P83">
        <f>IFERROR(VLOOKUP(J83,'[1]Farmer Payment Calc'!$A$2:$M$5286,13,0),0)</f>
        <v>1350</v>
      </c>
    </row>
    <row r="84" spans="1:16" x14ac:dyDescent="0.25">
      <c r="A84" t="s">
        <v>58</v>
      </c>
      <c r="B84">
        <v>10530085</v>
      </c>
      <c r="C84" t="s">
        <v>135</v>
      </c>
      <c r="D84" s="19">
        <v>1350</v>
      </c>
      <c r="E84" s="19">
        <v>1350</v>
      </c>
      <c r="J84" t="str">
        <f t="shared" si="1"/>
        <v>105300850027</v>
      </c>
      <c r="K84" s="25" t="s">
        <v>58</v>
      </c>
      <c r="L84" s="25">
        <v>10530085</v>
      </c>
      <c r="M84" t="s">
        <v>135</v>
      </c>
      <c r="N84" s="19">
        <v>1350</v>
      </c>
      <c r="O84" s="19">
        <v>1350</v>
      </c>
      <c r="P84">
        <f>IFERROR(VLOOKUP(J84,'[1]Farmer Payment Calc'!$A$2:$M$5286,13,0),0)</f>
        <v>1350</v>
      </c>
    </row>
    <row r="85" spans="1:16" x14ac:dyDescent="0.25">
      <c r="A85" t="s">
        <v>58</v>
      </c>
      <c r="B85">
        <v>10530067</v>
      </c>
      <c r="C85" t="s">
        <v>117</v>
      </c>
      <c r="D85" s="19">
        <v>1500</v>
      </c>
      <c r="E85" s="19">
        <v>1500</v>
      </c>
      <c r="J85" t="str">
        <f t="shared" si="1"/>
        <v>105300670013</v>
      </c>
      <c r="K85" s="25" t="s">
        <v>58</v>
      </c>
      <c r="L85" s="25">
        <v>10530067</v>
      </c>
      <c r="M85" t="s">
        <v>117</v>
      </c>
      <c r="N85" s="19">
        <v>1500</v>
      </c>
      <c r="O85" s="19">
        <v>1500</v>
      </c>
      <c r="P85">
        <f>IFERROR(VLOOKUP(J85,'[1]Farmer Payment Calc'!$A$2:$M$5286,13,0),0)</f>
        <v>1500</v>
      </c>
    </row>
    <row r="86" spans="1:16" x14ac:dyDescent="0.25">
      <c r="A86" t="s">
        <v>58</v>
      </c>
      <c r="B86">
        <v>10530067</v>
      </c>
      <c r="C86" t="s">
        <v>139</v>
      </c>
      <c r="D86" s="19">
        <v>1500</v>
      </c>
      <c r="E86" s="19">
        <v>1500</v>
      </c>
      <c r="J86" t="str">
        <f t="shared" si="1"/>
        <v>105300670035</v>
      </c>
      <c r="K86" s="25" t="s">
        <v>58</v>
      </c>
      <c r="L86" s="25">
        <v>10530067</v>
      </c>
      <c r="M86" t="s">
        <v>139</v>
      </c>
      <c r="N86" s="19">
        <v>1500</v>
      </c>
      <c r="O86" s="19">
        <v>1500</v>
      </c>
      <c r="P86">
        <f>IFERROR(VLOOKUP(J86,'[1]Farmer Payment Calc'!$A$2:$M$5286,13,0),0)</f>
        <v>1035</v>
      </c>
    </row>
    <row r="87" spans="1:16" x14ac:dyDescent="0.25">
      <c r="A87" t="s">
        <v>58</v>
      </c>
      <c r="B87">
        <v>10530106</v>
      </c>
      <c r="C87" t="s">
        <v>113</v>
      </c>
      <c r="D87" s="19">
        <v>2700</v>
      </c>
      <c r="E87" s="19">
        <v>2700</v>
      </c>
      <c r="J87" t="str">
        <f t="shared" si="1"/>
        <v>105301060002</v>
      </c>
      <c r="K87" s="25" t="s">
        <v>58</v>
      </c>
      <c r="L87" s="25">
        <v>10530106</v>
      </c>
      <c r="M87" t="s">
        <v>113</v>
      </c>
      <c r="N87" s="19">
        <v>2700</v>
      </c>
      <c r="O87" s="19">
        <v>2700</v>
      </c>
      <c r="P87">
        <f>IFERROR(VLOOKUP(J87,'[1]Farmer Payment Calc'!$A$2:$M$5286,13,0),0)</f>
        <v>2700</v>
      </c>
    </row>
    <row r="88" spans="1:16" x14ac:dyDescent="0.25">
      <c r="A88" t="s">
        <v>58</v>
      </c>
      <c r="B88">
        <v>10530092</v>
      </c>
      <c r="C88" t="s">
        <v>111</v>
      </c>
      <c r="D88" s="19">
        <v>3024</v>
      </c>
      <c r="E88" s="19">
        <v>3024</v>
      </c>
      <c r="J88" t="str">
        <f t="shared" si="1"/>
        <v>105300920003</v>
      </c>
      <c r="K88" s="25" t="s">
        <v>58</v>
      </c>
      <c r="L88" s="25">
        <v>10530092</v>
      </c>
      <c r="M88" t="s">
        <v>111</v>
      </c>
      <c r="N88" s="19">
        <v>3024</v>
      </c>
      <c r="O88" s="19">
        <v>3024</v>
      </c>
      <c r="P88">
        <f>IFERROR(VLOOKUP(J88,'[1]Farmer Payment Calc'!$A$2:$M$5286,13,0),0)</f>
        <v>3024</v>
      </c>
    </row>
    <row r="89" spans="1:16" x14ac:dyDescent="0.25">
      <c r="A89" t="s">
        <v>58</v>
      </c>
      <c r="B89">
        <v>10530092</v>
      </c>
      <c r="C89" t="s">
        <v>122</v>
      </c>
      <c r="D89" s="19">
        <v>1350</v>
      </c>
      <c r="E89" s="19">
        <v>1350</v>
      </c>
      <c r="J89" t="str">
        <f t="shared" si="1"/>
        <v>105300920007</v>
      </c>
      <c r="K89" s="25" t="s">
        <v>58</v>
      </c>
      <c r="L89" s="25">
        <v>10530092</v>
      </c>
      <c r="M89" t="s">
        <v>122</v>
      </c>
      <c r="N89" s="19">
        <v>1350</v>
      </c>
      <c r="O89" s="19">
        <v>1350</v>
      </c>
      <c r="P89">
        <f>IFERROR(VLOOKUP(J89,'[1]Farmer Payment Calc'!$A$2:$M$5286,13,0),0)</f>
        <v>946</v>
      </c>
    </row>
    <row r="90" spans="1:16" x14ac:dyDescent="0.25">
      <c r="A90" t="s">
        <v>58</v>
      </c>
      <c r="B90">
        <v>10530092</v>
      </c>
      <c r="C90" t="s">
        <v>120</v>
      </c>
      <c r="D90" s="19">
        <v>1500</v>
      </c>
      <c r="E90" s="19">
        <v>1500</v>
      </c>
      <c r="J90" t="str">
        <f t="shared" si="1"/>
        <v>105300920009</v>
      </c>
      <c r="K90" s="25" t="s">
        <v>58</v>
      </c>
      <c r="L90" s="25">
        <v>10530092</v>
      </c>
      <c r="M90" t="s">
        <v>120</v>
      </c>
      <c r="N90" s="19">
        <v>1500</v>
      </c>
      <c r="O90" s="19">
        <v>1500</v>
      </c>
      <c r="P90">
        <f>IFERROR(VLOOKUP(J90,'[1]Farmer Payment Calc'!$A$2:$M$5286,13,0),0)</f>
        <v>1500</v>
      </c>
    </row>
    <row r="91" spans="1:16" x14ac:dyDescent="0.25">
      <c r="A91" t="s">
        <v>58</v>
      </c>
      <c r="B91">
        <v>10530082</v>
      </c>
      <c r="C91" t="s">
        <v>122</v>
      </c>
      <c r="D91" s="19">
        <v>1500</v>
      </c>
      <c r="E91" s="19">
        <v>1500</v>
      </c>
      <c r="J91" t="str">
        <f t="shared" si="1"/>
        <v>105300820007</v>
      </c>
      <c r="K91" s="25" t="s">
        <v>58</v>
      </c>
      <c r="L91" s="25">
        <v>10530082</v>
      </c>
      <c r="M91" t="s">
        <v>122</v>
      </c>
      <c r="N91" s="19">
        <v>1500</v>
      </c>
      <c r="O91" s="19">
        <v>1500</v>
      </c>
      <c r="P91">
        <f>IFERROR(VLOOKUP(J91,'[1]Farmer Payment Calc'!$A$2:$M$5286,13,0),0)</f>
        <v>708</v>
      </c>
    </row>
    <row r="92" spans="1:16" x14ac:dyDescent="0.25">
      <c r="A92" t="s">
        <v>58</v>
      </c>
      <c r="B92">
        <v>10530082</v>
      </c>
      <c r="C92" t="s">
        <v>132</v>
      </c>
      <c r="D92" s="19">
        <v>4500</v>
      </c>
      <c r="E92" s="19">
        <v>4500</v>
      </c>
      <c r="J92" t="str">
        <f t="shared" si="1"/>
        <v>105300820015</v>
      </c>
      <c r="K92" s="25" t="s">
        <v>58</v>
      </c>
      <c r="L92" s="25">
        <v>10530082</v>
      </c>
      <c r="M92" t="s">
        <v>132</v>
      </c>
      <c r="N92" s="19">
        <v>4500</v>
      </c>
      <c r="O92" s="19">
        <v>4500</v>
      </c>
      <c r="P92">
        <f>IFERROR(VLOOKUP(J92,'[1]Farmer Payment Calc'!$A$2:$M$5286,13,0),0)</f>
        <v>4500</v>
      </c>
    </row>
    <row r="93" spans="1:16" x14ac:dyDescent="0.25">
      <c r="A93" t="s">
        <v>58</v>
      </c>
      <c r="B93">
        <v>10530082</v>
      </c>
      <c r="C93" t="s">
        <v>154</v>
      </c>
      <c r="D93" s="19">
        <v>3000</v>
      </c>
      <c r="E93" s="19">
        <v>3000</v>
      </c>
      <c r="J93" t="str">
        <f t="shared" si="1"/>
        <v>105300820018</v>
      </c>
      <c r="K93" s="25" t="s">
        <v>58</v>
      </c>
      <c r="L93" s="25">
        <v>10530082</v>
      </c>
      <c r="M93" t="s">
        <v>154</v>
      </c>
      <c r="N93" s="19">
        <v>3000</v>
      </c>
      <c r="O93" s="19">
        <v>3000</v>
      </c>
      <c r="P93">
        <f>IFERROR(VLOOKUP(J93,'[1]Farmer Payment Calc'!$A$2:$M$5286,13,0),0)</f>
        <v>2536</v>
      </c>
    </row>
    <row r="94" spans="1:16" x14ac:dyDescent="0.25">
      <c r="A94" t="s">
        <v>58</v>
      </c>
      <c r="B94">
        <v>10530082</v>
      </c>
      <c r="C94" t="s">
        <v>130</v>
      </c>
      <c r="D94" s="19">
        <v>3000</v>
      </c>
      <c r="E94" s="19">
        <v>3000</v>
      </c>
      <c r="J94" t="str">
        <f t="shared" si="1"/>
        <v>105300820040</v>
      </c>
      <c r="K94" s="25" t="s">
        <v>58</v>
      </c>
      <c r="L94" s="25">
        <v>10530082</v>
      </c>
      <c r="M94" t="s">
        <v>130</v>
      </c>
      <c r="N94" s="19">
        <v>3000</v>
      </c>
      <c r="O94" s="19">
        <v>3000</v>
      </c>
      <c r="P94">
        <f>IFERROR(VLOOKUP(J94,'[1]Farmer Payment Calc'!$A$2:$M$5286,13,0),0)</f>
        <v>3000</v>
      </c>
    </row>
    <row r="95" spans="1:16" x14ac:dyDescent="0.25">
      <c r="A95" t="s">
        <v>58</v>
      </c>
      <c r="B95">
        <v>10530082</v>
      </c>
      <c r="C95" t="s">
        <v>129</v>
      </c>
      <c r="D95" s="19">
        <v>3000</v>
      </c>
      <c r="E95" s="19">
        <v>3000</v>
      </c>
      <c r="J95" t="str">
        <f t="shared" si="1"/>
        <v>105300820020</v>
      </c>
      <c r="K95" s="25" t="s">
        <v>58</v>
      </c>
      <c r="L95" s="25">
        <v>10530082</v>
      </c>
      <c r="M95" t="s">
        <v>129</v>
      </c>
      <c r="N95" s="19">
        <v>3000</v>
      </c>
      <c r="O95" s="19">
        <v>3000</v>
      </c>
      <c r="P95">
        <f>IFERROR(VLOOKUP(J95,'[1]Farmer Payment Calc'!$A$2:$M$5286,13,0),0)</f>
        <v>2100</v>
      </c>
    </row>
    <row r="96" spans="1:16" x14ac:dyDescent="0.25">
      <c r="A96" t="s">
        <v>58</v>
      </c>
      <c r="B96">
        <v>10530065</v>
      </c>
      <c r="C96" t="s">
        <v>113</v>
      </c>
      <c r="D96" s="19">
        <v>1350</v>
      </c>
      <c r="E96" s="19">
        <v>1350</v>
      </c>
      <c r="J96" t="str">
        <f t="shared" si="1"/>
        <v>105300650002</v>
      </c>
      <c r="K96" s="25" t="s">
        <v>58</v>
      </c>
      <c r="L96" s="25">
        <v>10530065</v>
      </c>
      <c r="M96" t="s">
        <v>113</v>
      </c>
      <c r="N96" s="19">
        <v>1350</v>
      </c>
      <c r="O96" s="19">
        <v>1350</v>
      </c>
      <c r="P96">
        <f>IFERROR(VLOOKUP(J96,'[1]Farmer Payment Calc'!$A$2:$M$5286,13,0),0)</f>
        <v>1263</v>
      </c>
    </row>
    <row r="97" spans="1:16" x14ac:dyDescent="0.25">
      <c r="A97" t="s">
        <v>58</v>
      </c>
      <c r="B97">
        <v>10530065</v>
      </c>
      <c r="C97" t="s">
        <v>111</v>
      </c>
      <c r="D97" s="19">
        <v>6000</v>
      </c>
      <c r="E97" s="19">
        <v>6000</v>
      </c>
      <c r="J97" t="str">
        <f t="shared" si="1"/>
        <v>105300650003</v>
      </c>
      <c r="K97" s="25" t="s">
        <v>58</v>
      </c>
      <c r="L97" s="25">
        <v>10530065</v>
      </c>
      <c r="M97" t="s">
        <v>111</v>
      </c>
      <c r="N97" s="19">
        <v>6000</v>
      </c>
      <c r="O97" s="19">
        <v>6000</v>
      </c>
      <c r="P97">
        <f>IFERROR(VLOOKUP(J97,'[1]Farmer Payment Calc'!$A$2:$M$5286,13,0),0)</f>
        <v>6000</v>
      </c>
    </row>
    <row r="98" spans="1:16" x14ac:dyDescent="0.25">
      <c r="A98" t="s">
        <v>58</v>
      </c>
      <c r="B98">
        <v>10530065</v>
      </c>
      <c r="C98" t="s">
        <v>116</v>
      </c>
      <c r="D98" s="19">
        <v>9000</v>
      </c>
      <c r="E98" s="19">
        <v>9000</v>
      </c>
      <c r="J98" t="str">
        <f t="shared" si="1"/>
        <v>105300650004</v>
      </c>
      <c r="K98" s="25" t="s">
        <v>58</v>
      </c>
      <c r="L98" s="25">
        <v>10530065</v>
      </c>
      <c r="M98" t="s">
        <v>116</v>
      </c>
      <c r="N98" s="19">
        <v>9000</v>
      </c>
      <c r="O98" s="19">
        <v>9000</v>
      </c>
      <c r="P98">
        <f>IFERROR(VLOOKUP(J98,'[1]Farmer Payment Calc'!$A$2:$M$5286,13,0),0)</f>
        <v>9000</v>
      </c>
    </row>
    <row r="99" spans="1:16" x14ac:dyDescent="0.25">
      <c r="A99" t="s">
        <v>58</v>
      </c>
      <c r="B99">
        <v>10530103</v>
      </c>
      <c r="C99" t="s">
        <v>113</v>
      </c>
      <c r="D99" s="19">
        <v>2700</v>
      </c>
      <c r="E99" s="19">
        <v>2700</v>
      </c>
      <c r="J99" t="str">
        <f t="shared" si="1"/>
        <v>105301030002</v>
      </c>
      <c r="K99" s="25" t="s">
        <v>58</v>
      </c>
      <c r="L99" s="25">
        <v>10530103</v>
      </c>
      <c r="M99" t="s">
        <v>113</v>
      </c>
      <c r="N99" s="19">
        <v>2700</v>
      </c>
      <c r="O99" s="19">
        <v>2700</v>
      </c>
      <c r="P99">
        <f>IFERROR(VLOOKUP(J99,'[1]Farmer Payment Calc'!$A$2:$M$5286,13,0),0)</f>
        <v>2700</v>
      </c>
    </row>
    <row r="100" spans="1:16" x14ac:dyDescent="0.25">
      <c r="A100" t="s">
        <v>58</v>
      </c>
      <c r="B100">
        <v>10530103</v>
      </c>
      <c r="C100" t="s">
        <v>116</v>
      </c>
      <c r="D100" s="19">
        <v>1350</v>
      </c>
      <c r="E100" s="19">
        <v>1350</v>
      </c>
      <c r="J100" t="str">
        <f t="shared" si="1"/>
        <v>105301030004</v>
      </c>
      <c r="K100" s="25" t="s">
        <v>58</v>
      </c>
      <c r="L100" s="25">
        <v>10530103</v>
      </c>
      <c r="M100" t="s">
        <v>116</v>
      </c>
      <c r="N100" s="19">
        <v>1350</v>
      </c>
      <c r="O100" s="19">
        <v>1350</v>
      </c>
      <c r="P100">
        <f>IFERROR(VLOOKUP(J100,'[1]Farmer Payment Calc'!$A$2:$M$5286,13,0),0)</f>
        <v>1350</v>
      </c>
    </row>
    <row r="101" spans="1:16" x14ac:dyDescent="0.25">
      <c r="A101" t="s">
        <v>58</v>
      </c>
      <c r="B101">
        <v>10530103</v>
      </c>
      <c r="C101" t="s">
        <v>118</v>
      </c>
      <c r="D101" s="19">
        <v>1350</v>
      </c>
      <c r="E101" s="19">
        <v>1350</v>
      </c>
      <c r="J101" t="str">
        <f t="shared" si="1"/>
        <v>105301030006</v>
      </c>
      <c r="K101" s="25" t="s">
        <v>58</v>
      </c>
      <c r="L101" s="25">
        <v>10530103</v>
      </c>
      <c r="M101" t="s">
        <v>118</v>
      </c>
      <c r="N101" s="19">
        <v>1350</v>
      </c>
      <c r="O101" s="19">
        <v>1350</v>
      </c>
      <c r="P101">
        <f>IFERROR(VLOOKUP(J101,'[1]Farmer Payment Calc'!$A$2:$M$5286,13,0),0)</f>
        <v>1350</v>
      </c>
    </row>
    <row r="102" spans="1:16" x14ac:dyDescent="0.25">
      <c r="A102" t="s">
        <v>58</v>
      </c>
      <c r="B102">
        <v>10530103</v>
      </c>
      <c r="C102" t="s">
        <v>122</v>
      </c>
      <c r="D102" s="19">
        <v>1350</v>
      </c>
      <c r="E102" s="19">
        <v>1350</v>
      </c>
      <c r="J102" t="str">
        <f t="shared" si="1"/>
        <v>105301030007</v>
      </c>
      <c r="K102" s="25" t="s">
        <v>58</v>
      </c>
      <c r="L102" s="25">
        <v>10530103</v>
      </c>
      <c r="M102" t="s">
        <v>122</v>
      </c>
      <c r="N102" s="19">
        <v>1350</v>
      </c>
      <c r="O102" s="19">
        <v>1350</v>
      </c>
      <c r="P102">
        <f>IFERROR(VLOOKUP(J102,'[1]Farmer Payment Calc'!$A$2:$M$5286,13,0),0)</f>
        <v>1350</v>
      </c>
    </row>
    <row r="103" spans="1:16" x14ac:dyDescent="0.25">
      <c r="A103" t="s">
        <v>58</v>
      </c>
      <c r="B103">
        <v>10530103</v>
      </c>
      <c r="C103" t="s">
        <v>159</v>
      </c>
      <c r="D103" s="19">
        <v>1350</v>
      </c>
      <c r="E103" s="19">
        <v>1350</v>
      </c>
      <c r="J103" t="str">
        <f t="shared" si="1"/>
        <v>105301030022</v>
      </c>
      <c r="K103" s="25" t="s">
        <v>58</v>
      </c>
      <c r="L103" s="25">
        <v>10530103</v>
      </c>
      <c r="M103" t="s">
        <v>159</v>
      </c>
      <c r="N103" s="19">
        <v>1350</v>
      </c>
      <c r="O103" s="19">
        <v>1350</v>
      </c>
      <c r="P103">
        <f>IFERROR(VLOOKUP(J103,'[1]Farmer Payment Calc'!$A$2:$M$5286,13,0),0)</f>
        <v>1350</v>
      </c>
    </row>
    <row r="104" spans="1:16" x14ac:dyDescent="0.25">
      <c r="A104" t="s">
        <v>58</v>
      </c>
      <c r="B104">
        <v>10530103</v>
      </c>
      <c r="C104" t="s">
        <v>119</v>
      </c>
      <c r="D104" s="19">
        <v>1350</v>
      </c>
      <c r="E104" s="19">
        <v>1350</v>
      </c>
      <c r="J104" t="str">
        <f t="shared" si="1"/>
        <v>105301030008</v>
      </c>
      <c r="K104" s="25" t="s">
        <v>58</v>
      </c>
      <c r="L104" s="25">
        <v>10530103</v>
      </c>
      <c r="M104" t="s">
        <v>119</v>
      </c>
      <c r="N104" s="19">
        <v>1350</v>
      </c>
      <c r="O104" s="19">
        <v>1350</v>
      </c>
      <c r="P104">
        <f>IFERROR(VLOOKUP(J104,'[1]Farmer Payment Calc'!$A$2:$M$5286,13,0),0)</f>
        <v>1350</v>
      </c>
    </row>
    <row r="105" spans="1:16" x14ac:dyDescent="0.25">
      <c r="A105" t="s">
        <v>58</v>
      </c>
      <c r="B105">
        <v>10530103</v>
      </c>
      <c r="C105" t="s">
        <v>158</v>
      </c>
      <c r="D105" s="19">
        <v>1350</v>
      </c>
      <c r="E105" s="19">
        <v>1350</v>
      </c>
      <c r="J105" t="str">
        <f t="shared" si="1"/>
        <v>105301030023</v>
      </c>
      <c r="K105" s="25" t="s">
        <v>58</v>
      </c>
      <c r="L105" s="25">
        <v>10530103</v>
      </c>
      <c r="M105" t="s">
        <v>158</v>
      </c>
      <c r="N105" s="19">
        <v>1350</v>
      </c>
      <c r="O105" s="19">
        <v>1350</v>
      </c>
      <c r="P105">
        <f>IFERROR(VLOOKUP(J105,'[1]Farmer Payment Calc'!$A$2:$M$5286,13,0),0)</f>
        <v>1350</v>
      </c>
    </row>
    <row r="106" spans="1:16" x14ac:dyDescent="0.25">
      <c r="A106" t="s">
        <v>58</v>
      </c>
      <c r="B106">
        <v>10530103</v>
      </c>
      <c r="C106" t="s">
        <v>160</v>
      </c>
      <c r="D106" s="19">
        <v>1350</v>
      </c>
      <c r="E106" s="19">
        <v>1350</v>
      </c>
      <c r="J106" t="str">
        <f t="shared" si="1"/>
        <v>105301030030</v>
      </c>
      <c r="K106" s="25" t="s">
        <v>58</v>
      </c>
      <c r="L106" s="25">
        <v>10530103</v>
      </c>
      <c r="M106" t="s">
        <v>160</v>
      </c>
      <c r="N106" s="19">
        <v>1350</v>
      </c>
      <c r="O106" s="19">
        <v>1350</v>
      </c>
      <c r="P106">
        <f>IFERROR(VLOOKUP(J106,'[1]Farmer Payment Calc'!$A$2:$M$5286,13,0),0)</f>
        <v>1350</v>
      </c>
    </row>
    <row r="107" spans="1:16" x14ac:dyDescent="0.25">
      <c r="A107" t="s">
        <v>58</v>
      </c>
      <c r="B107">
        <v>10530103</v>
      </c>
      <c r="C107" t="s">
        <v>161</v>
      </c>
      <c r="D107" s="19">
        <v>1350</v>
      </c>
      <c r="E107" s="19">
        <v>1350</v>
      </c>
      <c r="J107" t="str">
        <f t="shared" si="1"/>
        <v>105301030021</v>
      </c>
      <c r="K107" s="25" t="s">
        <v>58</v>
      </c>
      <c r="L107" s="25">
        <v>10530103</v>
      </c>
      <c r="M107" t="s">
        <v>161</v>
      </c>
      <c r="N107" s="19">
        <v>1350</v>
      </c>
      <c r="O107" s="19">
        <v>1350</v>
      </c>
      <c r="P107">
        <f>IFERROR(VLOOKUP(J107,'[1]Farmer Payment Calc'!$A$2:$M$5286,13,0),0)</f>
        <v>1350</v>
      </c>
    </row>
    <row r="108" spans="1:16" x14ac:dyDescent="0.25">
      <c r="A108" t="s">
        <v>58</v>
      </c>
      <c r="B108">
        <v>10530074</v>
      </c>
      <c r="C108" t="s">
        <v>122</v>
      </c>
      <c r="D108" s="19">
        <v>2276</v>
      </c>
      <c r="E108" s="19">
        <v>2276</v>
      </c>
      <c r="J108" t="str">
        <f t="shared" si="1"/>
        <v>105300740007</v>
      </c>
      <c r="K108" s="25" t="s">
        <v>58</v>
      </c>
      <c r="L108" s="25">
        <v>10530074</v>
      </c>
      <c r="M108" t="s">
        <v>122</v>
      </c>
      <c r="N108" s="19">
        <v>2276</v>
      </c>
      <c r="O108" s="19">
        <v>2276</v>
      </c>
      <c r="P108">
        <f>IFERROR(VLOOKUP(J108,'[1]Farmer Payment Calc'!$A$2:$M$5286,13,0),0)</f>
        <v>2276</v>
      </c>
    </row>
    <row r="109" spans="1:16" x14ac:dyDescent="0.25">
      <c r="A109" t="s">
        <v>58</v>
      </c>
      <c r="B109">
        <v>10530074</v>
      </c>
      <c r="C109" t="s">
        <v>119</v>
      </c>
      <c r="D109" s="19">
        <v>233</v>
      </c>
      <c r="E109" s="19">
        <v>233</v>
      </c>
      <c r="J109" t="str">
        <f t="shared" si="1"/>
        <v>105300740008</v>
      </c>
      <c r="K109" s="25" t="s">
        <v>58</v>
      </c>
      <c r="L109" s="25">
        <v>10530074</v>
      </c>
      <c r="M109" t="s">
        <v>119</v>
      </c>
      <c r="N109" s="19">
        <v>233</v>
      </c>
      <c r="O109" s="19">
        <v>233</v>
      </c>
      <c r="P109">
        <f>IFERROR(VLOOKUP(J109,'[1]Farmer Payment Calc'!$A$2:$M$5286,13,0),0)</f>
        <v>233</v>
      </c>
    </row>
    <row r="110" spans="1:16" x14ac:dyDescent="0.25">
      <c r="A110" t="s">
        <v>58</v>
      </c>
      <c r="B110">
        <v>10530074</v>
      </c>
      <c r="C110" t="s">
        <v>115</v>
      </c>
      <c r="D110" s="19">
        <v>1500</v>
      </c>
      <c r="E110" s="19">
        <v>1500</v>
      </c>
      <c r="J110" t="str">
        <f t="shared" si="1"/>
        <v>105300740019</v>
      </c>
      <c r="K110" s="25" t="s">
        <v>58</v>
      </c>
      <c r="L110" s="25">
        <v>10530074</v>
      </c>
      <c r="M110" t="s">
        <v>115</v>
      </c>
      <c r="N110" s="19">
        <v>1500</v>
      </c>
      <c r="O110" s="19">
        <v>1500</v>
      </c>
      <c r="P110">
        <f>IFERROR(VLOOKUP(J110,'[1]Farmer Payment Calc'!$A$2:$M$5286,13,0),0)</f>
        <v>506</v>
      </c>
    </row>
    <row r="111" spans="1:16" x14ac:dyDescent="0.25">
      <c r="A111" t="s">
        <v>58</v>
      </c>
      <c r="B111">
        <v>10530074</v>
      </c>
      <c r="C111" t="s">
        <v>123</v>
      </c>
      <c r="D111" s="19">
        <v>65</v>
      </c>
      <c r="E111" s="19">
        <v>65</v>
      </c>
      <c r="J111" t="str">
        <f t="shared" si="1"/>
        <v>105300740028</v>
      </c>
      <c r="K111" s="25" t="s">
        <v>58</v>
      </c>
      <c r="L111" s="25">
        <v>10530074</v>
      </c>
      <c r="M111" t="s">
        <v>123</v>
      </c>
      <c r="N111" s="19">
        <v>65</v>
      </c>
      <c r="O111" s="19">
        <v>65</v>
      </c>
      <c r="P111">
        <f>IFERROR(VLOOKUP(J111,'[1]Farmer Payment Calc'!$A$2:$M$5286,13,0),0)</f>
        <v>65</v>
      </c>
    </row>
    <row r="112" spans="1:16" x14ac:dyDescent="0.25">
      <c r="A112" t="s">
        <v>58</v>
      </c>
      <c r="B112">
        <v>10530035</v>
      </c>
      <c r="C112" t="s">
        <v>113</v>
      </c>
      <c r="D112" s="19">
        <v>1500</v>
      </c>
      <c r="E112" s="19">
        <v>1500</v>
      </c>
      <c r="J112" t="str">
        <f t="shared" si="1"/>
        <v>105300350002</v>
      </c>
      <c r="K112" s="25" t="s">
        <v>58</v>
      </c>
      <c r="L112" s="25">
        <v>10530035</v>
      </c>
      <c r="M112" t="s">
        <v>113</v>
      </c>
      <c r="N112" s="19">
        <v>1500</v>
      </c>
      <c r="O112" s="19">
        <v>1500</v>
      </c>
      <c r="P112">
        <f>IFERROR(VLOOKUP(J112,'[1]Farmer Payment Calc'!$A$2:$M$5286,13,0),0)</f>
        <v>925</v>
      </c>
    </row>
    <row r="113" spans="1:16" x14ac:dyDescent="0.25">
      <c r="A113" t="s">
        <v>58</v>
      </c>
      <c r="B113">
        <v>10530035</v>
      </c>
      <c r="C113" t="s">
        <v>159</v>
      </c>
      <c r="D113" s="19">
        <v>1500</v>
      </c>
      <c r="E113" s="19">
        <v>1500</v>
      </c>
      <c r="J113" t="str">
        <f t="shared" si="1"/>
        <v>105300350022</v>
      </c>
      <c r="K113" s="25" t="s">
        <v>58</v>
      </c>
      <c r="L113" s="25">
        <v>10530035</v>
      </c>
      <c r="M113" t="s">
        <v>159</v>
      </c>
      <c r="N113" s="19">
        <v>1500</v>
      </c>
      <c r="O113" s="19">
        <v>1500</v>
      </c>
      <c r="P113">
        <f>IFERROR(VLOOKUP(J113,'[1]Farmer Payment Calc'!$A$2:$M$5286,13,0),0)</f>
        <v>1500</v>
      </c>
    </row>
    <row r="114" spans="1:16" x14ac:dyDescent="0.25">
      <c r="A114" t="s">
        <v>58</v>
      </c>
      <c r="B114">
        <v>10530035</v>
      </c>
      <c r="C114" t="s">
        <v>115</v>
      </c>
      <c r="D114" s="19">
        <v>1500</v>
      </c>
      <c r="E114" s="19">
        <v>1500</v>
      </c>
      <c r="J114" t="str">
        <f t="shared" si="1"/>
        <v>105300350019</v>
      </c>
      <c r="K114" s="25" t="s">
        <v>58</v>
      </c>
      <c r="L114" s="25">
        <v>10530035</v>
      </c>
      <c r="M114" t="s">
        <v>115</v>
      </c>
      <c r="N114" s="19">
        <v>1500</v>
      </c>
      <c r="O114" s="19">
        <v>1500</v>
      </c>
      <c r="P114">
        <f>IFERROR(VLOOKUP(J114,'[1]Farmer Payment Calc'!$A$2:$M$5286,13,0),0)</f>
        <v>1457</v>
      </c>
    </row>
    <row r="115" spans="1:16" x14ac:dyDescent="0.25">
      <c r="A115" t="s">
        <v>58</v>
      </c>
      <c r="B115">
        <v>10530035</v>
      </c>
      <c r="C115" t="s">
        <v>152</v>
      </c>
      <c r="D115" s="19">
        <v>1500</v>
      </c>
      <c r="E115" s="19">
        <v>1500</v>
      </c>
      <c r="J115" t="str">
        <f t="shared" si="1"/>
        <v>105300350048</v>
      </c>
      <c r="K115" s="25" t="s">
        <v>58</v>
      </c>
      <c r="L115" s="25">
        <v>10530035</v>
      </c>
      <c r="M115" t="s">
        <v>152</v>
      </c>
      <c r="N115" s="19">
        <v>1500</v>
      </c>
      <c r="O115" s="19">
        <v>1500</v>
      </c>
      <c r="P115">
        <f>IFERROR(VLOOKUP(J115,'[1]Farmer Payment Calc'!$A$2:$M$5286,13,0),0)</f>
        <v>1500</v>
      </c>
    </row>
    <row r="116" spans="1:16" x14ac:dyDescent="0.25">
      <c r="A116" t="s">
        <v>58</v>
      </c>
      <c r="B116">
        <v>10530035</v>
      </c>
      <c r="C116" t="s">
        <v>121</v>
      </c>
      <c r="D116" s="19">
        <v>1500</v>
      </c>
      <c r="E116" s="19">
        <v>1500</v>
      </c>
      <c r="J116" t="str">
        <f t="shared" si="1"/>
        <v>105300350010</v>
      </c>
      <c r="K116" s="25" t="s">
        <v>58</v>
      </c>
      <c r="L116" s="25">
        <v>10530035</v>
      </c>
      <c r="M116" t="s">
        <v>121</v>
      </c>
      <c r="N116" s="19">
        <v>1500</v>
      </c>
      <c r="O116" s="19">
        <v>1500</v>
      </c>
      <c r="P116">
        <f>IFERROR(VLOOKUP(J116,'[1]Farmer Payment Calc'!$A$2:$M$5286,13,0),0)</f>
        <v>1500</v>
      </c>
    </row>
    <row r="117" spans="1:16" x14ac:dyDescent="0.25">
      <c r="A117" t="s">
        <v>58</v>
      </c>
      <c r="B117">
        <v>10530055</v>
      </c>
      <c r="C117" t="s">
        <v>113</v>
      </c>
      <c r="D117" s="19">
        <v>556</v>
      </c>
      <c r="E117" s="19">
        <v>556</v>
      </c>
      <c r="J117" t="str">
        <f t="shared" si="1"/>
        <v>105300550002</v>
      </c>
      <c r="K117" s="25" t="s">
        <v>58</v>
      </c>
      <c r="L117" s="25">
        <v>10530055</v>
      </c>
      <c r="M117" t="s">
        <v>113</v>
      </c>
      <c r="N117" s="19">
        <v>556</v>
      </c>
      <c r="O117" s="19">
        <v>556</v>
      </c>
      <c r="P117">
        <f>IFERROR(VLOOKUP(J117,'[1]Farmer Payment Calc'!$A$2:$M$5286,13,0),0)</f>
        <v>556</v>
      </c>
    </row>
    <row r="118" spans="1:16" x14ac:dyDescent="0.25">
      <c r="A118" t="s">
        <v>58</v>
      </c>
      <c r="B118">
        <v>10530055</v>
      </c>
      <c r="C118" t="s">
        <v>144</v>
      </c>
      <c r="D118" s="19">
        <v>1359</v>
      </c>
      <c r="E118" s="19">
        <v>1359</v>
      </c>
      <c r="J118" t="str">
        <f t="shared" si="1"/>
        <v>105300550011</v>
      </c>
      <c r="K118" s="25" t="s">
        <v>58</v>
      </c>
      <c r="L118" s="25">
        <v>10530055</v>
      </c>
      <c r="M118" t="s">
        <v>144</v>
      </c>
      <c r="N118" s="19">
        <v>1359</v>
      </c>
      <c r="O118" s="19">
        <v>1359</v>
      </c>
      <c r="P118">
        <f>IFERROR(VLOOKUP(J118,'[1]Farmer Payment Calc'!$A$2:$M$5286,13,0),0)</f>
        <v>1359</v>
      </c>
    </row>
    <row r="119" spans="1:16" x14ac:dyDescent="0.25">
      <c r="A119" t="s">
        <v>58</v>
      </c>
      <c r="B119">
        <v>10530055</v>
      </c>
      <c r="C119" t="s">
        <v>115</v>
      </c>
      <c r="D119" s="19">
        <v>1500</v>
      </c>
      <c r="E119" s="19">
        <v>1500</v>
      </c>
      <c r="J119" t="str">
        <f t="shared" si="1"/>
        <v>105300550019</v>
      </c>
      <c r="K119" s="25" t="s">
        <v>58</v>
      </c>
      <c r="L119" s="25">
        <v>10530055</v>
      </c>
      <c r="M119" t="s">
        <v>115</v>
      </c>
      <c r="N119" s="19">
        <v>1500</v>
      </c>
      <c r="O119" s="19">
        <v>1500</v>
      </c>
      <c r="P119">
        <f>IFERROR(VLOOKUP(J119,'[1]Farmer Payment Calc'!$A$2:$M$5286,13,0),0)</f>
        <v>1500</v>
      </c>
    </row>
    <row r="120" spans="1:16" x14ac:dyDescent="0.25">
      <c r="A120" t="s">
        <v>58</v>
      </c>
      <c r="B120">
        <v>10530055</v>
      </c>
      <c r="C120" t="s">
        <v>162</v>
      </c>
      <c r="D120" s="19">
        <v>473</v>
      </c>
      <c r="E120" s="19">
        <v>473</v>
      </c>
      <c r="J120" t="str">
        <f t="shared" si="1"/>
        <v>105300550029</v>
      </c>
      <c r="K120" s="25" t="s">
        <v>58</v>
      </c>
      <c r="L120" s="25">
        <v>10530055</v>
      </c>
      <c r="M120" t="s">
        <v>162</v>
      </c>
      <c r="N120" s="19">
        <v>473</v>
      </c>
      <c r="O120" s="19">
        <v>473</v>
      </c>
      <c r="P120">
        <f>IFERROR(VLOOKUP(J120,'[1]Farmer Payment Calc'!$A$2:$M$5286,13,0),0)</f>
        <v>473</v>
      </c>
    </row>
    <row r="121" spans="1:16" x14ac:dyDescent="0.25">
      <c r="A121" t="s">
        <v>58</v>
      </c>
      <c r="B121">
        <v>10530055</v>
      </c>
      <c r="C121" t="s">
        <v>163</v>
      </c>
      <c r="D121" s="19">
        <v>510</v>
      </c>
      <c r="E121" s="19">
        <v>510</v>
      </c>
      <c r="J121" t="str">
        <f t="shared" si="1"/>
        <v>105300550082</v>
      </c>
      <c r="K121" s="25" t="s">
        <v>58</v>
      </c>
      <c r="L121" s="25">
        <v>10530055</v>
      </c>
      <c r="M121" t="s">
        <v>163</v>
      </c>
      <c r="N121" s="19">
        <v>510</v>
      </c>
      <c r="O121" s="19">
        <v>510</v>
      </c>
      <c r="P121">
        <f>IFERROR(VLOOKUP(J121,'[1]Farmer Payment Calc'!$A$2:$M$5286,13,0),0)</f>
        <v>510</v>
      </c>
    </row>
    <row r="122" spans="1:16" x14ac:dyDescent="0.25">
      <c r="A122" t="s">
        <v>58</v>
      </c>
      <c r="B122">
        <v>10530055</v>
      </c>
      <c r="C122" t="s">
        <v>164</v>
      </c>
      <c r="D122" s="19">
        <v>845</v>
      </c>
      <c r="E122" s="19">
        <v>845</v>
      </c>
      <c r="J122" t="str">
        <f t="shared" si="1"/>
        <v>105300550025</v>
      </c>
      <c r="K122" s="25" t="s">
        <v>58</v>
      </c>
      <c r="L122" s="25">
        <v>10530055</v>
      </c>
      <c r="M122" t="s">
        <v>164</v>
      </c>
      <c r="N122" s="19">
        <v>845</v>
      </c>
      <c r="O122" s="19">
        <v>845</v>
      </c>
      <c r="P122">
        <f>IFERROR(VLOOKUP(J122,'[1]Farmer Payment Calc'!$A$2:$M$5286,13,0),0)</f>
        <v>845</v>
      </c>
    </row>
    <row r="123" spans="1:16" x14ac:dyDescent="0.25">
      <c r="A123" t="s">
        <v>58</v>
      </c>
      <c r="B123">
        <v>10530064</v>
      </c>
      <c r="C123" t="s">
        <v>111</v>
      </c>
      <c r="D123" s="19">
        <v>7</v>
      </c>
      <c r="E123" s="19">
        <v>7</v>
      </c>
      <c r="J123" t="str">
        <f t="shared" si="1"/>
        <v>105300640003</v>
      </c>
      <c r="K123" s="25" t="s">
        <v>58</v>
      </c>
      <c r="L123" s="25">
        <v>10530064</v>
      </c>
      <c r="M123" t="s">
        <v>111</v>
      </c>
      <c r="N123" s="19">
        <v>7</v>
      </c>
      <c r="O123" s="19">
        <v>7</v>
      </c>
      <c r="P123">
        <f>IFERROR(VLOOKUP(J123,'[1]Farmer Payment Calc'!$A$2:$M$5286,13,0),0)</f>
        <v>7</v>
      </c>
    </row>
    <row r="124" spans="1:16" x14ac:dyDescent="0.25">
      <c r="A124" t="s">
        <v>58</v>
      </c>
      <c r="B124">
        <v>10120104</v>
      </c>
      <c r="C124" t="s">
        <v>113</v>
      </c>
      <c r="D124" s="19">
        <v>1434</v>
      </c>
      <c r="E124" s="19">
        <v>1434</v>
      </c>
      <c r="J124" t="str">
        <f t="shared" si="1"/>
        <v>101201040002</v>
      </c>
      <c r="K124" s="25" t="s">
        <v>58</v>
      </c>
      <c r="L124" s="25">
        <v>10120104</v>
      </c>
      <c r="M124" t="s">
        <v>113</v>
      </c>
      <c r="N124" s="19">
        <v>1434</v>
      </c>
      <c r="O124" s="19">
        <v>1434</v>
      </c>
      <c r="P124">
        <f>IFERROR(VLOOKUP(J124,'[1]Farmer Payment Calc'!$A$2:$M$5286,13,0),0)</f>
        <v>1434</v>
      </c>
    </row>
    <row r="125" spans="1:16" x14ac:dyDescent="0.25">
      <c r="A125" t="s">
        <v>58</v>
      </c>
      <c r="B125">
        <v>10140001</v>
      </c>
      <c r="C125" t="s">
        <v>169</v>
      </c>
      <c r="D125" s="19">
        <v>2102.7800000000002</v>
      </c>
      <c r="E125" s="19">
        <v>2102.7800000000002</v>
      </c>
      <c r="J125" t="str">
        <f t="shared" si="1"/>
        <v>101400010038</v>
      </c>
      <c r="K125" s="25" t="s">
        <v>58</v>
      </c>
      <c r="L125" s="25">
        <v>10140001</v>
      </c>
      <c r="M125" t="s">
        <v>169</v>
      </c>
      <c r="N125" s="19">
        <v>2102.7800000000002</v>
      </c>
      <c r="O125" s="19">
        <v>2102.7800000000002</v>
      </c>
      <c r="P125">
        <f>IFERROR(VLOOKUP(J125,'[1]Farmer Payment Calc'!$A$2:$M$5286,13,0),0)</f>
        <v>0</v>
      </c>
    </row>
    <row r="126" spans="1:16" x14ac:dyDescent="0.25">
      <c r="A126" t="s">
        <v>58</v>
      </c>
      <c r="B126">
        <v>10140194</v>
      </c>
      <c r="C126" t="s">
        <v>113</v>
      </c>
      <c r="D126" s="19">
        <v>541</v>
      </c>
      <c r="E126" s="19">
        <v>541</v>
      </c>
      <c r="J126" t="str">
        <f t="shared" si="1"/>
        <v>101401940002</v>
      </c>
      <c r="K126" s="25" t="s">
        <v>58</v>
      </c>
      <c r="L126" s="25">
        <v>10140194</v>
      </c>
      <c r="M126" t="s">
        <v>113</v>
      </c>
      <c r="N126" s="19">
        <v>541</v>
      </c>
      <c r="O126" s="19">
        <v>541</v>
      </c>
      <c r="P126">
        <f>IFERROR(VLOOKUP(J126,'[1]Farmer Payment Calc'!$A$2:$M$5286,13,0),0)</f>
        <v>541</v>
      </c>
    </row>
    <row r="127" spans="1:16" x14ac:dyDescent="0.25">
      <c r="A127" t="s">
        <v>58</v>
      </c>
      <c r="B127">
        <v>10600005</v>
      </c>
      <c r="C127" t="s">
        <v>113</v>
      </c>
      <c r="D127" s="19">
        <v>6400</v>
      </c>
      <c r="E127" s="19">
        <v>6400</v>
      </c>
      <c r="J127" t="str">
        <f t="shared" si="1"/>
        <v>106000050002</v>
      </c>
      <c r="K127" s="25" t="s">
        <v>58</v>
      </c>
      <c r="L127" s="25">
        <v>10600005</v>
      </c>
      <c r="M127" t="s">
        <v>113</v>
      </c>
      <c r="N127" s="19">
        <v>6400</v>
      </c>
      <c r="O127" s="19">
        <v>6400</v>
      </c>
      <c r="P127">
        <f>IFERROR(VLOOKUP(J127,'[1]Farmer Payment Calc'!$A$2:$M$5286,13,0),0)</f>
        <v>5120</v>
      </c>
    </row>
    <row r="128" spans="1:16" x14ac:dyDescent="0.25">
      <c r="A128" t="s">
        <v>58</v>
      </c>
      <c r="B128">
        <v>10600001</v>
      </c>
      <c r="C128" t="s">
        <v>111</v>
      </c>
      <c r="D128" s="19">
        <v>10859</v>
      </c>
      <c r="E128" s="19">
        <v>10859</v>
      </c>
      <c r="J128" t="str">
        <f t="shared" si="1"/>
        <v>106000010003</v>
      </c>
      <c r="K128" s="25" t="s">
        <v>58</v>
      </c>
      <c r="L128" s="25">
        <v>10600001</v>
      </c>
      <c r="M128" t="s">
        <v>111</v>
      </c>
      <c r="N128" s="19">
        <v>10859</v>
      </c>
      <c r="O128" s="19">
        <v>10859</v>
      </c>
      <c r="P128">
        <f>IFERROR(VLOOKUP(J128,'[1]Farmer Payment Calc'!$A$2:$M$5286,13,0),0)</f>
        <v>10859</v>
      </c>
    </row>
    <row r="129" spans="1:16" x14ac:dyDescent="0.25">
      <c r="A129" t="s">
        <v>58</v>
      </c>
      <c r="B129">
        <v>10140180</v>
      </c>
      <c r="C129" t="s">
        <v>113</v>
      </c>
      <c r="D129" s="19">
        <v>2560</v>
      </c>
      <c r="E129" s="19">
        <v>2560</v>
      </c>
      <c r="J129" t="str">
        <f t="shared" si="1"/>
        <v>101401800002</v>
      </c>
      <c r="K129" s="25" t="s">
        <v>58</v>
      </c>
      <c r="L129" s="25">
        <v>10140180</v>
      </c>
      <c r="M129" t="s">
        <v>113</v>
      </c>
      <c r="N129" s="19">
        <v>2560</v>
      </c>
      <c r="O129" s="19">
        <v>2560</v>
      </c>
      <c r="P129">
        <f>IFERROR(VLOOKUP(J129,'[1]Farmer Payment Calc'!$A$2:$M$5286,13,0),0)</f>
        <v>2560</v>
      </c>
    </row>
    <row r="130" spans="1:16" x14ac:dyDescent="0.25">
      <c r="A130" t="s">
        <v>58</v>
      </c>
      <c r="B130">
        <v>10600004</v>
      </c>
      <c r="C130" t="s">
        <v>113</v>
      </c>
      <c r="D130" s="19">
        <v>189</v>
      </c>
      <c r="E130" s="19">
        <v>189</v>
      </c>
      <c r="J130" t="str">
        <f t="shared" si="1"/>
        <v>106000040002</v>
      </c>
      <c r="K130" s="25" t="s">
        <v>58</v>
      </c>
      <c r="L130" s="25">
        <v>10600004</v>
      </c>
      <c r="M130" t="s">
        <v>113</v>
      </c>
      <c r="N130" s="19">
        <v>189</v>
      </c>
      <c r="O130" s="19">
        <v>189</v>
      </c>
      <c r="P130">
        <f>IFERROR(VLOOKUP(J130,'[1]Farmer Payment Calc'!$A$2:$M$5286,13,0),0)</f>
        <v>0</v>
      </c>
    </row>
    <row r="131" spans="1:16" x14ac:dyDescent="0.25">
      <c r="A131" t="s">
        <v>58</v>
      </c>
      <c r="B131">
        <v>10600004</v>
      </c>
      <c r="C131" t="s">
        <v>111</v>
      </c>
      <c r="D131" s="19">
        <v>4931</v>
      </c>
      <c r="E131" s="19">
        <v>4931</v>
      </c>
      <c r="J131" t="str">
        <f t="shared" si="1"/>
        <v>106000040003</v>
      </c>
      <c r="K131" s="25" t="s">
        <v>58</v>
      </c>
      <c r="L131" s="25">
        <v>10600004</v>
      </c>
      <c r="M131" t="s">
        <v>111</v>
      </c>
      <c r="N131" s="19">
        <v>4931</v>
      </c>
      <c r="O131" s="19">
        <v>4931</v>
      </c>
      <c r="P131">
        <f>IFERROR(VLOOKUP(J131,'[1]Farmer Payment Calc'!$A$2:$M$5286,13,0),0)</f>
        <v>4636</v>
      </c>
    </row>
    <row r="132" spans="1:16" x14ac:dyDescent="0.25">
      <c r="A132" t="s">
        <v>58</v>
      </c>
      <c r="B132">
        <v>10600008</v>
      </c>
      <c r="C132" t="s">
        <v>113</v>
      </c>
      <c r="D132" s="19">
        <v>4752</v>
      </c>
      <c r="E132" s="19">
        <v>4752</v>
      </c>
      <c r="J132" t="str">
        <f t="shared" si="1"/>
        <v>106000080002</v>
      </c>
      <c r="K132" s="25" t="s">
        <v>58</v>
      </c>
      <c r="L132" s="25">
        <v>10600008</v>
      </c>
      <c r="M132" t="s">
        <v>113</v>
      </c>
      <c r="N132" s="19">
        <v>4752</v>
      </c>
      <c r="O132" s="19">
        <v>4752</v>
      </c>
      <c r="P132">
        <f>IFERROR(VLOOKUP(J132,'[1]Farmer Payment Calc'!$A$2:$M$5286,13,0),0)</f>
        <v>4752</v>
      </c>
    </row>
    <row r="133" spans="1:16" x14ac:dyDescent="0.25">
      <c r="A133" t="s">
        <v>58</v>
      </c>
      <c r="B133">
        <v>10140098</v>
      </c>
      <c r="C133" t="s">
        <v>113</v>
      </c>
      <c r="D133" s="19">
        <v>15818</v>
      </c>
      <c r="E133" s="19">
        <v>15818</v>
      </c>
      <c r="J133" t="str">
        <f t="shared" si="1"/>
        <v>101400980002</v>
      </c>
      <c r="K133" s="25" t="s">
        <v>58</v>
      </c>
      <c r="L133" s="25">
        <v>10140098</v>
      </c>
      <c r="M133" t="s">
        <v>113</v>
      </c>
      <c r="N133" s="19">
        <v>15818</v>
      </c>
      <c r="O133" s="19">
        <v>15818</v>
      </c>
      <c r="P133">
        <f>IFERROR(VLOOKUP(J133,'[1]Farmer Payment Calc'!$A$2:$M$5286,13,0),0)</f>
        <v>15818</v>
      </c>
    </row>
    <row r="134" spans="1:16" x14ac:dyDescent="0.25">
      <c r="A134" t="s">
        <v>58</v>
      </c>
      <c r="B134">
        <v>10140185</v>
      </c>
      <c r="C134" t="s">
        <v>113</v>
      </c>
      <c r="D134" s="19">
        <v>6400</v>
      </c>
      <c r="E134" s="19">
        <v>6400</v>
      </c>
      <c r="J134" t="str">
        <f t="shared" ref="J134:J158" si="2">CONCATENATE(L134,M134)</f>
        <v>101401850002</v>
      </c>
      <c r="K134" s="25" t="s">
        <v>58</v>
      </c>
      <c r="L134" s="25">
        <v>10140185</v>
      </c>
      <c r="M134" t="s">
        <v>113</v>
      </c>
      <c r="N134" s="19">
        <v>6400</v>
      </c>
      <c r="O134" s="19">
        <v>6400</v>
      </c>
      <c r="P134">
        <f>IFERROR(VLOOKUP(J134,'[1]Farmer Payment Calc'!$A$2:$M$5286,13,0),0)</f>
        <v>0</v>
      </c>
    </row>
    <row r="135" spans="1:16" x14ac:dyDescent="0.25">
      <c r="A135" t="s">
        <v>58</v>
      </c>
      <c r="B135">
        <v>10140055</v>
      </c>
      <c r="C135" t="s">
        <v>113</v>
      </c>
      <c r="D135" s="19">
        <v>2540</v>
      </c>
      <c r="E135" s="19">
        <v>2540</v>
      </c>
      <c r="J135" t="str">
        <f t="shared" si="2"/>
        <v>101400550002</v>
      </c>
      <c r="K135" s="25" t="s">
        <v>58</v>
      </c>
      <c r="L135" s="25">
        <v>10140055</v>
      </c>
      <c r="M135" t="s">
        <v>113</v>
      </c>
      <c r="N135" s="19">
        <v>2540</v>
      </c>
      <c r="O135" s="19">
        <v>2540</v>
      </c>
      <c r="P135">
        <f>IFERROR(VLOOKUP(J135,'[1]Farmer Payment Calc'!$A$2:$M$5286,13,0),0)</f>
        <v>0</v>
      </c>
    </row>
    <row r="136" spans="1:16" x14ac:dyDescent="0.25">
      <c r="A136" t="s">
        <v>58</v>
      </c>
      <c r="B136">
        <v>10140099</v>
      </c>
      <c r="C136" t="s">
        <v>113</v>
      </c>
      <c r="D136" s="19">
        <v>650</v>
      </c>
      <c r="E136" s="19">
        <v>650</v>
      </c>
      <c r="J136" t="str">
        <f t="shared" si="2"/>
        <v>101400990002</v>
      </c>
      <c r="K136" s="25" t="s">
        <v>58</v>
      </c>
      <c r="L136" s="25">
        <v>10140099</v>
      </c>
      <c r="M136" t="s">
        <v>113</v>
      </c>
      <c r="N136" s="19">
        <v>650</v>
      </c>
      <c r="O136" s="19">
        <v>650</v>
      </c>
      <c r="P136">
        <f>IFERROR(VLOOKUP(J136,'[1]Farmer Payment Calc'!$A$2:$M$5286,13,0),0)</f>
        <v>0</v>
      </c>
    </row>
    <row r="137" spans="1:16" x14ac:dyDescent="0.25">
      <c r="A137" t="s">
        <v>58</v>
      </c>
      <c r="B137">
        <v>10140012</v>
      </c>
      <c r="C137" t="s">
        <v>157</v>
      </c>
      <c r="D137" s="19">
        <v>1300</v>
      </c>
      <c r="E137" s="19">
        <v>1300</v>
      </c>
      <c r="J137" t="str">
        <f t="shared" si="2"/>
        <v>101400120017</v>
      </c>
      <c r="K137" s="25" t="s">
        <v>58</v>
      </c>
      <c r="L137" s="25">
        <v>10140012</v>
      </c>
      <c r="M137" t="s">
        <v>157</v>
      </c>
      <c r="N137" s="19">
        <v>1300</v>
      </c>
      <c r="O137" s="19">
        <v>1300</v>
      </c>
      <c r="P137">
        <f>IFERROR(VLOOKUP(J137,'[1]Farmer Payment Calc'!$A$2:$M$5286,13,0),0)</f>
        <v>1300</v>
      </c>
    </row>
    <row r="138" spans="1:16" x14ac:dyDescent="0.25">
      <c r="A138" t="s">
        <v>58</v>
      </c>
      <c r="B138">
        <v>10070077</v>
      </c>
      <c r="C138" t="s">
        <v>113</v>
      </c>
      <c r="D138" s="19">
        <v>1300</v>
      </c>
      <c r="E138" s="19">
        <v>1300</v>
      </c>
      <c r="J138" t="str">
        <f t="shared" si="2"/>
        <v>100700770002</v>
      </c>
      <c r="K138" s="25" t="s">
        <v>58</v>
      </c>
      <c r="L138" s="25">
        <v>10070077</v>
      </c>
      <c r="M138" t="s">
        <v>113</v>
      </c>
      <c r="N138" s="19">
        <v>1300</v>
      </c>
      <c r="O138" s="19">
        <v>1300</v>
      </c>
      <c r="P138">
        <f>IFERROR(VLOOKUP(J138,'[1]Farmer Payment Calc'!$A$2:$M$5286,13,0),0)</f>
        <v>3900</v>
      </c>
    </row>
    <row r="139" spans="1:16" x14ac:dyDescent="0.25">
      <c r="A139" t="s">
        <v>58</v>
      </c>
      <c r="B139">
        <v>10070077</v>
      </c>
      <c r="C139" t="s">
        <v>111</v>
      </c>
      <c r="D139" s="19">
        <v>1300</v>
      </c>
      <c r="E139" s="19">
        <v>1300</v>
      </c>
      <c r="J139" t="str">
        <f t="shared" si="2"/>
        <v>100700770003</v>
      </c>
      <c r="K139" s="25" t="s">
        <v>58</v>
      </c>
      <c r="L139" s="25">
        <v>10070077</v>
      </c>
      <c r="M139" t="s">
        <v>111</v>
      </c>
      <c r="N139" s="19">
        <v>1300</v>
      </c>
      <c r="O139" s="19">
        <v>1300</v>
      </c>
      <c r="P139">
        <f>IFERROR(VLOOKUP(J139,'[1]Farmer Payment Calc'!$A$2:$M$5286,13,0),0)</f>
        <v>0</v>
      </c>
    </row>
    <row r="140" spans="1:16" x14ac:dyDescent="0.25">
      <c r="A140" t="s">
        <v>58</v>
      </c>
      <c r="B140">
        <v>10070077</v>
      </c>
      <c r="C140" t="s">
        <v>112</v>
      </c>
      <c r="D140" s="19">
        <v>1300</v>
      </c>
      <c r="E140" s="19">
        <v>1300</v>
      </c>
      <c r="J140" t="str">
        <f t="shared" si="2"/>
        <v>100700770005</v>
      </c>
      <c r="K140" s="25" t="s">
        <v>58</v>
      </c>
      <c r="L140" s="25">
        <v>10070077</v>
      </c>
      <c r="M140" t="s">
        <v>112</v>
      </c>
      <c r="N140" s="19">
        <v>1300</v>
      </c>
      <c r="O140" s="19">
        <v>1300</v>
      </c>
      <c r="P140">
        <f>IFERROR(VLOOKUP(J140,'[1]Farmer Payment Calc'!$A$2:$M$5286,13,0),0)</f>
        <v>0</v>
      </c>
    </row>
    <row r="141" spans="1:16" x14ac:dyDescent="0.25">
      <c r="A141" t="s">
        <v>58</v>
      </c>
      <c r="B141">
        <v>10070063</v>
      </c>
      <c r="C141" t="s">
        <v>113</v>
      </c>
      <c r="D141" s="19">
        <v>13000</v>
      </c>
      <c r="E141" s="19">
        <v>13000</v>
      </c>
      <c r="J141" t="str">
        <f t="shared" si="2"/>
        <v>100700630002</v>
      </c>
      <c r="K141" s="25" t="s">
        <v>58</v>
      </c>
      <c r="L141" s="25">
        <v>10070063</v>
      </c>
      <c r="M141" t="s">
        <v>113</v>
      </c>
      <c r="N141" s="19">
        <v>13000</v>
      </c>
      <c r="O141" s="19">
        <v>13000</v>
      </c>
      <c r="P141">
        <f>IFERROR(VLOOKUP(J141,'[1]Farmer Payment Calc'!$A$2:$M$5286,13,0),0)</f>
        <v>0</v>
      </c>
    </row>
    <row r="142" spans="1:16" x14ac:dyDescent="0.25">
      <c r="A142" t="s">
        <v>58</v>
      </c>
      <c r="B142">
        <v>10100003</v>
      </c>
      <c r="C142" t="s">
        <v>113</v>
      </c>
      <c r="D142" s="19">
        <v>6500</v>
      </c>
      <c r="E142" s="19">
        <v>6500</v>
      </c>
      <c r="J142" t="str">
        <f t="shared" si="2"/>
        <v>101000030002</v>
      </c>
      <c r="K142" s="25" t="s">
        <v>58</v>
      </c>
      <c r="L142" s="25">
        <v>10100003</v>
      </c>
      <c r="M142" t="s">
        <v>113</v>
      </c>
      <c r="N142" s="19">
        <v>6500</v>
      </c>
      <c r="O142" s="19">
        <v>6500</v>
      </c>
      <c r="P142">
        <f>IFERROR(VLOOKUP(J142,'[1]Farmer Payment Calc'!$A$2:$M$5286,13,0),0)</f>
        <v>6500</v>
      </c>
    </row>
    <row r="143" spans="1:16" x14ac:dyDescent="0.25">
      <c r="A143" t="s">
        <v>58</v>
      </c>
      <c r="B143">
        <v>10100003</v>
      </c>
      <c r="C143" t="s">
        <v>111</v>
      </c>
      <c r="D143" s="19">
        <v>6500</v>
      </c>
      <c r="E143" s="19">
        <v>6500</v>
      </c>
      <c r="J143" t="str">
        <f t="shared" si="2"/>
        <v>101000030003</v>
      </c>
      <c r="K143" s="25" t="s">
        <v>58</v>
      </c>
      <c r="L143" s="25">
        <v>10100003</v>
      </c>
      <c r="M143" t="s">
        <v>111</v>
      </c>
      <c r="N143" s="19">
        <v>6500</v>
      </c>
      <c r="O143" s="19">
        <v>6500</v>
      </c>
      <c r="P143">
        <f>IFERROR(VLOOKUP(J143,'[1]Farmer Payment Calc'!$A$2:$M$5286,13,0),0)</f>
        <v>6500</v>
      </c>
    </row>
    <row r="144" spans="1:16" x14ac:dyDescent="0.25">
      <c r="A144" t="s">
        <v>58</v>
      </c>
      <c r="B144">
        <v>10120089</v>
      </c>
      <c r="C144" t="s">
        <v>113</v>
      </c>
      <c r="D144" s="19">
        <v>2700</v>
      </c>
      <c r="E144" s="19">
        <v>2700</v>
      </c>
      <c r="J144" t="str">
        <f t="shared" si="2"/>
        <v>101200890002</v>
      </c>
      <c r="K144" s="25" t="s">
        <v>58</v>
      </c>
      <c r="L144" s="25">
        <v>10120089</v>
      </c>
      <c r="M144" t="s">
        <v>113</v>
      </c>
      <c r="N144" s="19">
        <v>2700</v>
      </c>
      <c r="O144" s="19">
        <v>2700</v>
      </c>
      <c r="P144">
        <f>IFERROR(VLOOKUP(J144,'[1]Farmer Payment Calc'!$A$2:$M$5286,13,0),0)</f>
        <v>2700</v>
      </c>
    </row>
    <row r="145" spans="1:16" x14ac:dyDescent="0.25">
      <c r="A145" t="s">
        <v>58</v>
      </c>
      <c r="B145">
        <v>10120015</v>
      </c>
      <c r="C145" t="s">
        <v>113</v>
      </c>
      <c r="D145" s="19">
        <v>1350</v>
      </c>
      <c r="E145" s="19">
        <v>1350</v>
      </c>
      <c r="J145" t="str">
        <f t="shared" si="2"/>
        <v>101200150002</v>
      </c>
      <c r="K145" s="25" t="s">
        <v>58</v>
      </c>
      <c r="L145" s="25">
        <v>10120015</v>
      </c>
      <c r="M145" t="s">
        <v>113</v>
      </c>
      <c r="N145" s="19">
        <v>1350</v>
      </c>
      <c r="O145" s="19">
        <v>1350</v>
      </c>
      <c r="P145">
        <f>IFERROR(VLOOKUP(J145,'[1]Farmer Payment Calc'!$A$2:$M$5286,13,0),0)</f>
        <v>1350</v>
      </c>
    </row>
    <row r="146" spans="1:16" x14ac:dyDescent="0.25">
      <c r="A146" t="s">
        <v>58</v>
      </c>
      <c r="B146">
        <v>10110144</v>
      </c>
      <c r="C146" t="s">
        <v>113</v>
      </c>
      <c r="D146" s="19">
        <v>14434</v>
      </c>
      <c r="E146" s="19">
        <v>14434</v>
      </c>
      <c r="J146" t="str">
        <f t="shared" si="2"/>
        <v>101101440002</v>
      </c>
      <c r="K146" s="25" t="s">
        <v>58</v>
      </c>
      <c r="L146" s="25">
        <v>10110144</v>
      </c>
      <c r="M146" t="s">
        <v>113</v>
      </c>
      <c r="N146" s="19">
        <v>14434</v>
      </c>
      <c r="O146" s="19">
        <v>14434</v>
      </c>
      <c r="P146">
        <f>IFERROR(VLOOKUP(J146,'[1]Farmer Payment Calc'!$A$2:$M$5286,13,0),0)</f>
        <v>14036</v>
      </c>
    </row>
    <row r="147" spans="1:16" x14ac:dyDescent="0.25">
      <c r="A147" t="s">
        <v>58</v>
      </c>
      <c r="B147">
        <v>10540008</v>
      </c>
      <c r="C147" t="s">
        <v>121</v>
      </c>
      <c r="D147" s="19">
        <v>1350</v>
      </c>
      <c r="E147" s="19">
        <v>1350</v>
      </c>
      <c r="J147" t="str">
        <f t="shared" si="2"/>
        <v>105400080010</v>
      </c>
      <c r="K147" s="25" t="s">
        <v>58</v>
      </c>
      <c r="L147" s="25">
        <v>10540008</v>
      </c>
      <c r="M147" t="s">
        <v>121</v>
      </c>
      <c r="N147" s="19">
        <v>1350</v>
      </c>
      <c r="O147" s="19">
        <v>1350</v>
      </c>
      <c r="P147">
        <f>IFERROR(VLOOKUP(J147,'[1]Farmer Payment Calc'!$A$2:$M$5286,13,0),0)</f>
        <v>1350</v>
      </c>
    </row>
    <row r="148" spans="1:16" x14ac:dyDescent="0.25">
      <c r="A148" t="s">
        <v>58</v>
      </c>
      <c r="B148">
        <v>10540008</v>
      </c>
      <c r="C148" t="s">
        <v>139</v>
      </c>
      <c r="D148" s="19">
        <v>1350</v>
      </c>
      <c r="E148" s="19">
        <v>1350</v>
      </c>
      <c r="J148" t="str">
        <f t="shared" si="2"/>
        <v>105400080035</v>
      </c>
      <c r="K148" s="25" t="s">
        <v>58</v>
      </c>
      <c r="L148" s="25">
        <v>10540008</v>
      </c>
      <c r="M148" t="s">
        <v>139</v>
      </c>
      <c r="N148" s="19">
        <v>1350</v>
      </c>
      <c r="O148" s="19">
        <v>1350</v>
      </c>
      <c r="P148">
        <f>IFERROR(VLOOKUP(J148,'[1]Farmer Payment Calc'!$A$2:$M$5286,13,0),0)</f>
        <v>0</v>
      </c>
    </row>
    <row r="149" spans="1:16" x14ac:dyDescent="0.25">
      <c r="A149" t="s">
        <v>58</v>
      </c>
      <c r="B149">
        <v>10110140</v>
      </c>
      <c r="C149" t="s">
        <v>113</v>
      </c>
      <c r="D149" s="19">
        <v>3255</v>
      </c>
      <c r="E149" s="19">
        <v>3255</v>
      </c>
      <c r="J149" t="str">
        <f t="shared" si="2"/>
        <v>101101400002</v>
      </c>
      <c r="K149" s="25" t="s">
        <v>58</v>
      </c>
      <c r="L149" s="25">
        <v>10110140</v>
      </c>
      <c r="M149" t="s">
        <v>113</v>
      </c>
      <c r="N149" s="19">
        <v>3255</v>
      </c>
      <c r="O149" s="19">
        <v>3255</v>
      </c>
      <c r="P149">
        <f>IFERROR(VLOOKUP(J149,'[1]Farmer Payment Calc'!$A$2:$M$5286,13,0),0)</f>
        <v>641</v>
      </c>
    </row>
    <row r="150" spans="1:16" x14ac:dyDescent="0.25">
      <c r="A150" t="s">
        <v>58</v>
      </c>
      <c r="B150">
        <v>10110149</v>
      </c>
      <c r="C150" t="s">
        <v>113</v>
      </c>
      <c r="D150" s="19">
        <v>1857</v>
      </c>
      <c r="E150" s="19">
        <v>1857</v>
      </c>
      <c r="J150" t="str">
        <f t="shared" si="2"/>
        <v>101101490002</v>
      </c>
      <c r="K150" s="25" t="s">
        <v>58</v>
      </c>
      <c r="L150" s="25">
        <v>10110149</v>
      </c>
      <c r="M150" t="s">
        <v>113</v>
      </c>
      <c r="N150" s="19">
        <v>1857</v>
      </c>
      <c r="O150" s="19">
        <v>1857</v>
      </c>
      <c r="P150">
        <f>IFERROR(VLOOKUP(J150,'[1]Farmer Payment Calc'!$A$2:$M$5286,13,0),0)</f>
        <v>1596</v>
      </c>
    </row>
    <row r="151" spans="1:16" x14ac:dyDescent="0.25">
      <c r="A151" t="s">
        <v>58</v>
      </c>
      <c r="B151">
        <v>10110100</v>
      </c>
      <c r="C151" t="s">
        <v>111</v>
      </c>
      <c r="D151" s="19">
        <v>1250</v>
      </c>
      <c r="E151" s="19">
        <v>1250</v>
      </c>
      <c r="J151" t="str">
        <f t="shared" si="2"/>
        <v>101101000003</v>
      </c>
      <c r="K151" s="25" t="s">
        <v>58</v>
      </c>
      <c r="L151" s="25">
        <v>10110100</v>
      </c>
      <c r="M151" t="s">
        <v>111</v>
      </c>
      <c r="N151" s="19">
        <v>1250</v>
      </c>
      <c r="O151" s="19">
        <v>1250</v>
      </c>
      <c r="P151">
        <f>IFERROR(VLOOKUP(J151,'[1]Farmer Payment Calc'!$A$2:$M$5286,13,0),0)</f>
        <v>609</v>
      </c>
    </row>
    <row r="152" spans="1:16" x14ac:dyDescent="0.25">
      <c r="A152" t="s">
        <v>58</v>
      </c>
      <c r="B152">
        <v>10110100</v>
      </c>
      <c r="C152" t="s">
        <v>112</v>
      </c>
      <c r="D152" s="19">
        <v>1352</v>
      </c>
      <c r="E152" s="19">
        <v>1352</v>
      </c>
      <c r="J152" t="str">
        <f t="shared" si="2"/>
        <v>101101000005</v>
      </c>
      <c r="K152" s="25" t="s">
        <v>58</v>
      </c>
      <c r="L152" s="25">
        <v>10110100</v>
      </c>
      <c r="M152" t="s">
        <v>112</v>
      </c>
      <c r="N152" s="19">
        <v>1352</v>
      </c>
      <c r="O152" s="19">
        <v>1352</v>
      </c>
      <c r="P152">
        <f>IFERROR(VLOOKUP(J152,'[1]Farmer Payment Calc'!$A$2:$M$5286,13,0),0)</f>
        <v>1352</v>
      </c>
    </row>
    <row r="153" spans="1:16" x14ac:dyDescent="0.25">
      <c r="A153" t="s">
        <v>58</v>
      </c>
      <c r="B153">
        <v>10110100</v>
      </c>
      <c r="C153" t="s">
        <v>118</v>
      </c>
      <c r="D153" s="19">
        <v>1200</v>
      </c>
      <c r="E153" s="19">
        <v>1200</v>
      </c>
      <c r="J153" t="str">
        <f t="shared" si="2"/>
        <v>101101000006</v>
      </c>
      <c r="K153" s="25" t="s">
        <v>58</v>
      </c>
      <c r="L153" s="25">
        <v>10110100</v>
      </c>
      <c r="M153" t="s">
        <v>118</v>
      </c>
      <c r="N153" s="19">
        <v>1200</v>
      </c>
      <c r="O153" s="19">
        <v>1200</v>
      </c>
      <c r="P153">
        <f>IFERROR(VLOOKUP(J153,'[1]Farmer Payment Calc'!$A$2:$M$5286,13,0),0)</f>
        <v>1200</v>
      </c>
    </row>
    <row r="154" spans="1:16" x14ac:dyDescent="0.25">
      <c r="A154" t="s">
        <v>58</v>
      </c>
      <c r="B154">
        <v>10110100</v>
      </c>
      <c r="C154" t="s">
        <v>170</v>
      </c>
      <c r="D154" s="19">
        <v>1233</v>
      </c>
      <c r="E154" s="19">
        <v>1233</v>
      </c>
      <c r="J154" t="str">
        <f t="shared" si="2"/>
        <v>101101000031</v>
      </c>
      <c r="K154" s="25" t="s">
        <v>58</v>
      </c>
      <c r="L154" s="25">
        <v>10110100</v>
      </c>
      <c r="M154" t="s">
        <v>170</v>
      </c>
      <c r="N154" s="19">
        <v>1233</v>
      </c>
      <c r="O154" s="19">
        <v>1233</v>
      </c>
      <c r="P154">
        <f>IFERROR(VLOOKUP(J154,'[1]Farmer Payment Calc'!$A$2:$M$5286,13,0),0)</f>
        <v>1233</v>
      </c>
    </row>
    <row r="155" spans="1:16" x14ac:dyDescent="0.25">
      <c r="A155" t="s">
        <v>58</v>
      </c>
      <c r="B155">
        <v>10080052</v>
      </c>
      <c r="C155" t="s">
        <v>113</v>
      </c>
      <c r="D155" s="19">
        <v>6800</v>
      </c>
      <c r="E155" s="19">
        <v>6800</v>
      </c>
      <c r="J155" t="str">
        <f t="shared" si="2"/>
        <v>100800520002</v>
      </c>
      <c r="K155" s="25" t="s">
        <v>58</v>
      </c>
      <c r="L155" s="25">
        <v>10080052</v>
      </c>
      <c r="M155" t="s">
        <v>113</v>
      </c>
      <c r="N155" s="19">
        <v>6800</v>
      </c>
      <c r="O155" s="19">
        <v>6800</v>
      </c>
      <c r="P155">
        <f>IFERROR(VLOOKUP(J155,'[1]Farmer Payment Calc'!$A$2:$M$5286,13,0),0)</f>
        <v>6800</v>
      </c>
    </row>
    <row r="156" spans="1:16" x14ac:dyDescent="0.25">
      <c r="A156" t="s">
        <v>58</v>
      </c>
      <c r="B156">
        <v>10080119</v>
      </c>
      <c r="C156" t="s">
        <v>113</v>
      </c>
      <c r="D156" s="19">
        <v>3900</v>
      </c>
      <c r="E156" s="19">
        <v>3900</v>
      </c>
      <c r="J156" t="str">
        <f t="shared" si="2"/>
        <v>100801190002</v>
      </c>
      <c r="K156" s="25" t="s">
        <v>58</v>
      </c>
      <c r="L156" s="25">
        <v>10080119</v>
      </c>
      <c r="M156" t="s">
        <v>113</v>
      </c>
      <c r="N156" s="19">
        <v>3900</v>
      </c>
      <c r="O156" s="19">
        <v>3900</v>
      </c>
      <c r="P156">
        <f>IFERROR(VLOOKUP(J156,'[1]Farmer Payment Calc'!$A$2:$M$5286,13,0),0)</f>
        <v>747</v>
      </c>
    </row>
    <row r="157" spans="1:16" x14ac:dyDescent="0.25">
      <c r="A157" t="s">
        <v>58</v>
      </c>
      <c r="B157">
        <v>10080119</v>
      </c>
      <c r="C157" t="s">
        <v>111</v>
      </c>
      <c r="D157" s="19">
        <v>2600</v>
      </c>
      <c r="E157" s="19">
        <v>2600</v>
      </c>
      <c r="J157" t="str">
        <f t="shared" si="2"/>
        <v>100801190003</v>
      </c>
      <c r="K157" s="25" t="s">
        <v>58</v>
      </c>
      <c r="L157" s="25">
        <v>10080119</v>
      </c>
      <c r="M157" t="s">
        <v>111</v>
      </c>
      <c r="N157" s="19">
        <v>2600</v>
      </c>
      <c r="O157" s="19">
        <v>2600</v>
      </c>
      <c r="P157">
        <f>IFERROR(VLOOKUP(J157,'[1]Farmer Payment Calc'!$A$2:$M$5286,13,0),0)</f>
        <v>5753</v>
      </c>
    </row>
    <row r="158" spans="1:16" x14ac:dyDescent="0.25">
      <c r="A158" t="s">
        <v>58</v>
      </c>
      <c r="B158">
        <v>10120094</v>
      </c>
      <c r="C158" t="s">
        <v>113</v>
      </c>
      <c r="D158" s="19">
        <v>6750</v>
      </c>
      <c r="E158" s="19">
        <v>6750</v>
      </c>
      <c r="J158" t="str">
        <f t="shared" si="2"/>
        <v>101200940002</v>
      </c>
      <c r="K158" s="26" t="s">
        <v>58</v>
      </c>
      <c r="L158" s="25">
        <v>10120094</v>
      </c>
      <c r="M158" t="s">
        <v>113</v>
      </c>
      <c r="N158" s="19">
        <v>6750</v>
      </c>
      <c r="O158" s="19">
        <v>6750</v>
      </c>
      <c r="P158">
        <f>IFERROR(VLOOKUP(J158,'[1]Farmer Payment Calc'!$A$2:$M$5286,13,0),0)</f>
        <v>3510</v>
      </c>
    </row>
    <row r="159" spans="1:16" x14ac:dyDescent="0.25">
      <c r="A159" t="s">
        <v>62</v>
      </c>
      <c r="D159" s="19">
        <v>439003.78</v>
      </c>
      <c r="E159" s="19">
        <v>439003.78</v>
      </c>
      <c r="J159" s="27" t="s">
        <v>62</v>
      </c>
      <c r="K159" s="27"/>
      <c r="L159" s="27"/>
      <c r="M159" s="27"/>
      <c r="N159" s="28">
        <v>439003.78</v>
      </c>
      <c r="O159" s="28">
        <v>439003.78</v>
      </c>
      <c r="P159" s="28">
        <f>SUM(P5:P158)</f>
        <v>346726</v>
      </c>
    </row>
    <row r="160" spans="1:16" x14ac:dyDescent="0.25">
      <c r="A160" t="s">
        <v>59</v>
      </c>
      <c r="B160">
        <v>10120001</v>
      </c>
      <c r="C160" t="s">
        <v>113</v>
      </c>
      <c r="D160" s="19">
        <v>4350</v>
      </c>
      <c r="E160" s="19">
        <v>4350</v>
      </c>
    </row>
    <row r="161" spans="1:5" x14ac:dyDescent="0.25">
      <c r="A161" t="s">
        <v>59</v>
      </c>
      <c r="B161">
        <v>10120010</v>
      </c>
      <c r="C161" t="s">
        <v>113</v>
      </c>
      <c r="D161" s="19">
        <v>4050</v>
      </c>
      <c r="E161" s="19">
        <v>4050</v>
      </c>
    </row>
    <row r="162" spans="1:5" x14ac:dyDescent="0.25">
      <c r="A162" t="s">
        <v>59</v>
      </c>
      <c r="B162">
        <v>10120013</v>
      </c>
      <c r="C162" t="s">
        <v>113</v>
      </c>
      <c r="D162" s="19">
        <v>2700</v>
      </c>
      <c r="E162" s="19">
        <v>2700</v>
      </c>
    </row>
    <row r="163" spans="1:5" x14ac:dyDescent="0.25">
      <c r="A163" t="s">
        <v>59</v>
      </c>
      <c r="B163">
        <v>10130015</v>
      </c>
      <c r="C163" t="s">
        <v>113</v>
      </c>
      <c r="D163" s="19">
        <v>2700</v>
      </c>
      <c r="E163" s="19">
        <v>2700</v>
      </c>
    </row>
    <row r="164" spans="1:5" x14ac:dyDescent="0.25">
      <c r="A164" t="s">
        <v>59</v>
      </c>
      <c r="B164">
        <v>10130018</v>
      </c>
      <c r="C164" t="s">
        <v>113</v>
      </c>
      <c r="D164" s="19">
        <v>1350</v>
      </c>
      <c r="E164" s="19">
        <v>1350</v>
      </c>
    </row>
    <row r="165" spans="1:5" x14ac:dyDescent="0.25">
      <c r="A165" t="s">
        <v>59</v>
      </c>
      <c r="B165">
        <v>10130025</v>
      </c>
      <c r="C165" t="s">
        <v>113</v>
      </c>
      <c r="D165" s="19">
        <v>3000</v>
      </c>
      <c r="E165" s="19">
        <v>3000</v>
      </c>
    </row>
    <row r="166" spans="1:5" x14ac:dyDescent="0.25">
      <c r="A166" t="s">
        <v>59</v>
      </c>
      <c r="B166">
        <v>10130031</v>
      </c>
      <c r="C166" t="s">
        <v>113</v>
      </c>
      <c r="D166" s="19">
        <v>3000</v>
      </c>
      <c r="E166" s="19">
        <v>3000</v>
      </c>
    </row>
    <row r="167" spans="1:5" x14ac:dyDescent="0.25">
      <c r="A167" t="s">
        <v>59</v>
      </c>
      <c r="B167">
        <v>10120096</v>
      </c>
      <c r="C167" t="s">
        <v>113</v>
      </c>
      <c r="D167" s="19">
        <v>25000</v>
      </c>
      <c r="E167" s="19">
        <v>25000</v>
      </c>
    </row>
    <row r="168" spans="1:5" x14ac:dyDescent="0.25">
      <c r="A168" t="s">
        <v>59</v>
      </c>
      <c r="B168">
        <v>10130080</v>
      </c>
      <c r="C168" t="s">
        <v>113</v>
      </c>
      <c r="D168" s="19">
        <v>1500</v>
      </c>
      <c r="E168" s="19">
        <v>1500</v>
      </c>
    </row>
    <row r="169" spans="1:5" x14ac:dyDescent="0.25">
      <c r="A169" t="s">
        <v>59</v>
      </c>
      <c r="B169">
        <v>10530063</v>
      </c>
      <c r="C169" t="s">
        <v>113</v>
      </c>
      <c r="D169" s="19">
        <v>3000</v>
      </c>
      <c r="E169" s="19">
        <v>3000</v>
      </c>
    </row>
    <row r="170" spans="1:5" x14ac:dyDescent="0.25">
      <c r="A170" t="s">
        <v>59</v>
      </c>
      <c r="B170">
        <v>10530031</v>
      </c>
      <c r="C170" t="s">
        <v>113</v>
      </c>
      <c r="D170" s="19">
        <v>1500</v>
      </c>
      <c r="E170" s="19">
        <v>1500</v>
      </c>
    </row>
    <row r="171" spans="1:5" x14ac:dyDescent="0.25">
      <c r="A171" t="s">
        <v>59</v>
      </c>
      <c r="B171">
        <v>10530089</v>
      </c>
      <c r="C171" t="s">
        <v>113</v>
      </c>
      <c r="D171" s="19">
        <v>1350</v>
      </c>
      <c r="E171" s="19">
        <v>1350</v>
      </c>
    </row>
    <row r="172" spans="1:5" x14ac:dyDescent="0.25">
      <c r="A172" t="s">
        <v>59</v>
      </c>
      <c r="B172">
        <v>10530017</v>
      </c>
      <c r="C172" t="s">
        <v>157</v>
      </c>
      <c r="D172" s="19">
        <v>7500</v>
      </c>
      <c r="E172" s="19">
        <v>7500</v>
      </c>
    </row>
    <row r="173" spans="1:5" x14ac:dyDescent="0.25">
      <c r="A173" t="s">
        <v>59</v>
      </c>
      <c r="B173">
        <v>10070003</v>
      </c>
      <c r="C173" t="s">
        <v>113</v>
      </c>
      <c r="D173" s="19">
        <v>6500</v>
      </c>
      <c r="E173" s="19">
        <v>6500</v>
      </c>
    </row>
    <row r="174" spans="1:5" x14ac:dyDescent="0.25">
      <c r="A174" t="s">
        <v>59</v>
      </c>
      <c r="B174">
        <v>10530018</v>
      </c>
      <c r="C174" t="s">
        <v>113</v>
      </c>
      <c r="D174" s="19">
        <v>1350</v>
      </c>
      <c r="E174" s="19">
        <v>1350</v>
      </c>
    </row>
    <row r="175" spans="1:5" x14ac:dyDescent="0.25">
      <c r="A175" t="s">
        <v>59</v>
      </c>
      <c r="B175">
        <v>10080004</v>
      </c>
      <c r="C175" t="s">
        <v>113</v>
      </c>
      <c r="D175" s="19">
        <v>1300</v>
      </c>
      <c r="E175" s="19">
        <v>1300</v>
      </c>
    </row>
    <row r="176" spans="1:5" x14ac:dyDescent="0.25">
      <c r="A176" t="s">
        <v>59</v>
      </c>
      <c r="B176">
        <v>10080013</v>
      </c>
      <c r="C176" t="s">
        <v>113</v>
      </c>
      <c r="D176" s="19">
        <v>6500</v>
      </c>
      <c r="E176" s="19">
        <v>6500</v>
      </c>
    </row>
    <row r="177" spans="1:5" x14ac:dyDescent="0.25">
      <c r="A177" t="s">
        <v>75</v>
      </c>
      <c r="D177" s="19">
        <v>76650</v>
      </c>
      <c r="E177" s="19">
        <v>76650</v>
      </c>
    </row>
    <row r="178" spans="1:5" x14ac:dyDescent="0.25">
      <c r="A178" t="s">
        <v>174</v>
      </c>
      <c r="B178">
        <v>10010145</v>
      </c>
      <c r="C178" t="s">
        <v>117</v>
      </c>
      <c r="D178" s="19">
        <v>1300</v>
      </c>
      <c r="E178" s="19">
        <v>1300</v>
      </c>
    </row>
    <row r="179" spans="1:5" x14ac:dyDescent="0.25">
      <c r="A179" t="s">
        <v>174</v>
      </c>
      <c r="B179">
        <v>10530111</v>
      </c>
      <c r="C179" t="s">
        <v>111</v>
      </c>
      <c r="D179" s="19">
        <v>1500</v>
      </c>
      <c r="E179" s="19">
        <v>1500</v>
      </c>
    </row>
    <row r="180" spans="1:5" x14ac:dyDescent="0.25">
      <c r="A180" t="s">
        <v>174</v>
      </c>
      <c r="B180">
        <v>10600013</v>
      </c>
      <c r="C180" t="s">
        <v>113</v>
      </c>
      <c r="D180" s="19">
        <v>2600</v>
      </c>
      <c r="E180" s="19">
        <v>2600</v>
      </c>
    </row>
    <row r="181" spans="1:5" x14ac:dyDescent="0.25">
      <c r="A181" t="s">
        <v>174</v>
      </c>
      <c r="B181">
        <v>10600012</v>
      </c>
      <c r="C181" t="s">
        <v>113</v>
      </c>
      <c r="D181" s="19">
        <v>2600</v>
      </c>
      <c r="E181" s="19">
        <v>2600</v>
      </c>
    </row>
    <row r="182" spans="1:5" x14ac:dyDescent="0.25">
      <c r="A182" t="s">
        <v>174</v>
      </c>
      <c r="B182">
        <v>10540046</v>
      </c>
      <c r="C182" t="s">
        <v>113</v>
      </c>
      <c r="D182" s="19">
        <v>6750</v>
      </c>
      <c r="E182" s="19">
        <v>6750</v>
      </c>
    </row>
    <row r="183" spans="1:5" x14ac:dyDescent="0.25">
      <c r="A183" t="s">
        <v>175</v>
      </c>
      <c r="D183" s="19">
        <v>14750</v>
      </c>
      <c r="E183" s="19">
        <v>14750</v>
      </c>
    </row>
    <row r="184" spans="1:5" x14ac:dyDescent="0.25">
      <c r="A184" t="s">
        <v>60</v>
      </c>
      <c r="D184" s="19">
        <v>530403.78</v>
      </c>
      <c r="E184" s="19">
        <v>530403.78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A041-BC96-4D4F-99BE-47BF2834A8FC}">
  <dimension ref="A3:B98"/>
  <sheetViews>
    <sheetView topLeftCell="A4" workbookViewId="0">
      <selection activeCell="B4" sqref="B4"/>
    </sheetView>
  </sheetViews>
  <sheetFormatPr defaultRowHeight="15" x14ac:dyDescent="0.25"/>
  <cols>
    <col min="1" max="1" width="19.5703125" bestFit="1" customWidth="1"/>
    <col min="2" max="2" width="7" bestFit="1" customWidth="1"/>
  </cols>
  <sheetData>
    <row r="3" spans="1:2" x14ac:dyDescent="0.25">
      <c r="A3" s="23" t="s">
        <v>336</v>
      </c>
    </row>
    <row r="4" spans="1:2" x14ac:dyDescent="0.25">
      <c r="A4" s="23" t="s">
        <v>48</v>
      </c>
      <c r="B4" t="s">
        <v>61</v>
      </c>
    </row>
    <row r="5" spans="1:2" x14ac:dyDescent="0.25">
      <c r="A5">
        <v>10010038</v>
      </c>
      <c r="B5">
        <v>12500</v>
      </c>
    </row>
    <row r="6" spans="1:2" x14ac:dyDescent="0.25">
      <c r="A6">
        <v>10010145</v>
      </c>
      <c r="B6">
        <v>0</v>
      </c>
    </row>
    <row r="7" spans="1:2" x14ac:dyDescent="0.25">
      <c r="A7">
        <v>10070003</v>
      </c>
      <c r="B7">
        <v>6500</v>
      </c>
    </row>
    <row r="8" spans="1:2" x14ac:dyDescent="0.25">
      <c r="A8">
        <v>10070063</v>
      </c>
      <c r="B8">
        <v>0</v>
      </c>
    </row>
    <row r="9" spans="1:2" x14ac:dyDescent="0.25">
      <c r="A9">
        <v>10070077</v>
      </c>
      <c r="B9">
        <v>0</v>
      </c>
    </row>
    <row r="10" spans="1:2" x14ac:dyDescent="0.25">
      <c r="A10">
        <v>10080004</v>
      </c>
      <c r="B10">
        <v>1300</v>
      </c>
    </row>
    <row r="11" spans="1:2" x14ac:dyDescent="0.25">
      <c r="A11">
        <v>10080013</v>
      </c>
      <c r="B11">
        <v>6500</v>
      </c>
    </row>
    <row r="12" spans="1:2" x14ac:dyDescent="0.25">
      <c r="A12">
        <v>10080016</v>
      </c>
      <c r="B12">
        <v>2429</v>
      </c>
    </row>
    <row r="13" spans="1:2" x14ac:dyDescent="0.25">
      <c r="A13">
        <v>10080048</v>
      </c>
      <c r="B13">
        <v>3340</v>
      </c>
    </row>
    <row r="14" spans="1:2" x14ac:dyDescent="0.25">
      <c r="A14">
        <v>10080052</v>
      </c>
      <c r="B14">
        <v>6800</v>
      </c>
    </row>
    <row r="15" spans="1:2" x14ac:dyDescent="0.25">
      <c r="A15">
        <v>10080119</v>
      </c>
      <c r="B15">
        <v>6500</v>
      </c>
    </row>
    <row r="16" spans="1:2" x14ac:dyDescent="0.25">
      <c r="A16">
        <v>10100003</v>
      </c>
      <c r="B16">
        <v>13000</v>
      </c>
    </row>
    <row r="17" spans="1:2" x14ac:dyDescent="0.25">
      <c r="A17">
        <v>10110001</v>
      </c>
      <c r="B17">
        <v>2600</v>
      </c>
    </row>
    <row r="18" spans="1:2" x14ac:dyDescent="0.25">
      <c r="A18">
        <v>10110100</v>
      </c>
      <c r="B18">
        <v>4394</v>
      </c>
    </row>
    <row r="19" spans="1:2" x14ac:dyDescent="0.25">
      <c r="A19">
        <v>10110110</v>
      </c>
      <c r="B19">
        <v>0</v>
      </c>
    </row>
    <row r="20" spans="1:2" x14ac:dyDescent="0.25">
      <c r="A20">
        <v>10110123</v>
      </c>
      <c r="B20">
        <v>12621</v>
      </c>
    </row>
    <row r="21" spans="1:2" x14ac:dyDescent="0.25">
      <c r="A21">
        <v>10110124</v>
      </c>
      <c r="B21">
        <v>5400</v>
      </c>
    </row>
    <row r="22" spans="1:2" x14ac:dyDescent="0.25">
      <c r="A22">
        <v>10110140</v>
      </c>
      <c r="B22">
        <v>641</v>
      </c>
    </row>
    <row r="23" spans="1:2" x14ac:dyDescent="0.25">
      <c r="A23">
        <v>10110144</v>
      </c>
      <c r="B23">
        <v>14036</v>
      </c>
    </row>
    <row r="24" spans="1:2" x14ac:dyDescent="0.25">
      <c r="A24">
        <v>10110149</v>
      </c>
      <c r="B24">
        <v>1596</v>
      </c>
    </row>
    <row r="25" spans="1:2" x14ac:dyDescent="0.25">
      <c r="A25">
        <v>10120001</v>
      </c>
      <c r="B25">
        <v>4350</v>
      </c>
    </row>
    <row r="26" spans="1:2" x14ac:dyDescent="0.25">
      <c r="A26">
        <v>10120007</v>
      </c>
      <c r="B26">
        <v>9182</v>
      </c>
    </row>
    <row r="27" spans="1:2" x14ac:dyDescent="0.25">
      <c r="A27">
        <v>10120010</v>
      </c>
      <c r="B27">
        <v>4050</v>
      </c>
    </row>
    <row r="28" spans="1:2" x14ac:dyDescent="0.25">
      <c r="A28">
        <v>10120012</v>
      </c>
      <c r="B28">
        <v>1360</v>
      </c>
    </row>
    <row r="29" spans="1:2" x14ac:dyDescent="0.25">
      <c r="A29">
        <v>10120013</v>
      </c>
      <c r="B29">
        <v>2700</v>
      </c>
    </row>
    <row r="30" spans="1:2" x14ac:dyDescent="0.25">
      <c r="A30">
        <v>10120015</v>
      </c>
      <c r="B30">
        <v>1350</v>
      </c>
    </row>
    <row r="31" spans="1:2" x14ac:dyDescent="0.25">
      <c r="A31">
        <v>10120016</v>
      </c>
      <c r="B31">
        <v>1738</v>
      </c>
    </row>
    <row r="32" spans="1:2" x14ac:dyDescent="0.25">
      <c r="A32">
        <v>10120017</v>
      </c>
      <c r="B32">
        <v>6750</v>
      </c>
    </row>
    <row r="33" spans="1:2" x14ac:dyDescent="0.25">
      <c r="A33">
        <v>10120025</v>
      </c>
      <c r="B33">
        <v>4050</v>
      </c>
    </row>
    <row r="34" spans="1:2" x14ac:dyDescent="0.25">
      <c r="A34">
        <v>10120034</v>
      </c>
      <c r="B34">
        <v>1200</v>
      </c>
    </row>
    <row r="35" spans="1:2" x14ac:dyDescent="0.25">
      <c r="A35">
        <v>10120052</v>
      </c>
      <c r="B35">
        <v>3000</v>
      </c>
    </row>
    <row r="36" spans="1:2" x14ac:dyDescent="0.25">
      <c r="A36">
        <v>10120053</v>
      </c>
      <c r="B36">
        <v>757</v>
      </c>
    </row>
    <row r="37" spans="1:2" x14ac:dyDescent="0.25">
      <c r="A37">
        <v>10120083</v>
      </c>
      <c r="B37">
        <v>10397</v>
      </c>
    </row>
    <row r="38" spans="1:2" x14ac:dyDescent="0.25">
      <c r="A38">
        <v>10120084</v>
      </c>
      <c r="B38">
        <v>6750</v>
      </c>
    </row>
    <row r="39" spans="1:2" x14ac:dyDescent="0.25">
      <c r="A39">
        <v>10120089</v>
      </c>
      <c r="B39">
        <v>2700</v>
      </c>
    </row>
    <row r="40" spans="1:2" x14ac:dyDescent="0.25">
      <c r="A40">
        <v>10120094</v>
      </c>
      <c r="B40">
        <v>6750</v>
      </c>
    </row>
    <row r="41" spans="1:2" x14ac:dyDescent="0.25">
      <c r="A41">
        <v>10120096</v>
      </c>
      <c r="B41">
        <v>20582</v>
      </c>
    </row>
    <row r="42" spans="1:2" x14ac:dyDescent="0.25">
      <c r="A42">
        <v>10120104</v>
      </c>
      <c r="B42">
        <v>1434</v>
      </c>
    </row>
    <row r="43" spans="1:2" x14ac:dyDescent="0.25">
      <c r="A43">
        <v>10120123</v>
      </c>
      <c r="B43">
        <v>1500</v>
      </c>
    </row>
    <row r="44" spans="1:2" x14ac:dyDescent="0.25">
      <c r="A44">
        <v>10130015</v>
      </c>
      <c r="B44">
        <v>2700</v>
      </c>
    </row>
    <row r="45" spans="1:2" x14ac:dyDescent="0.25">
      <c r="A45">
        <v>10130018</v>
      </c>
      <c r="B45">
        <v>1350</v>
      </c>
    </row>
    <row r="46" spans="1:2" x14ac:dyDescent="0.25">
      <c r="A46">
        <v>10130025</v>
      </c>
      <c r="B46">
        <v>3000</v>
      </c>
    </row>
    <row r="47" spans="1:2" x14ac:dyDescent="0.25">
      <c r="A47">
        <v>10130031</v>
      </c>
      <c r="B47">
        <v>3000</v>
      </c>
    </row>
    <row r="48" spans="1:2" x14ac:dyDescent="0.25">
      <c r="A48">
        <v>10130044</v>
      </c>
      <c r="B48">
        <v>0</v>
      </c>
    </row>
    <row r="49" spans="1:2" x14ac:dyDescent="0.25">
      <c r="A49">
        <v>10130046</v>
      </c>
      <c r="B49">
        <v>871</v>
      </c>
    </row>
    <row r="50" spans="1:2" x14ac:dyDescent="0.25">
      <c r="A50">
        <v>10130073</v>
      </c>
      <c r="B50">
        <v>1372</v>
      </c>
    </row>
    <row r="51" spans="1:2" x14ac:dyDescent="0.25">
      <c r="A51">
        <v>10130077</v>
      </c>
      <c r="B51">
        <v>1350</v>
      </c>
    </row>
    <row r="52" spans="1:2" x14ac:dyDescent="0.25">
      <c r="A52">
        <v>10130080</v>
      </c>
      <c r="B52">
        <v>1500</v>
      </c>
    </row>
    <row r="53" spans="1:2" x14ac:dyDescent="0.25">
      <c r="A53">
        <v>10130116</v>
      </c>
      <c r="B53">
        <v>568</v>
      </c>
    </row>
    <row r="54" spans="1:2" x14ac:dyDescent="0.25">
      <c r="A54">
        <v>10140001</v>
      </c>
      <c r="B54">
        <v>0</v>
      </c>
    </row>
    <row r="55" spans="1:2" x14ac:dyDescent="0.25">
      <c r="A55">
        <v>10140012</v>
      </c>
      <c r="B55">
        <v>1300</v>
      </c>
    </row>
    <row r="56" spans="1:2" x14ac:dyDescent="0.25">
      <c r="A56">
        <v>10140055</v>
      </c>
      <c r="B56">
        <v>0</v>
      </c>
    </row>
    <row r="57" spans="1:2" x14ac:dyDescent="0.25">
      <c r="A57">
        <v>10140098</v>
      </c>
      <c r="B57">
        <v>15818</v>
      </c>
    </row>
    <row r="58" spans="1:2" x14ac:dyDescent="0.25">
      <c r="A58">
        <v>10140099</v>
      </c>
      <c r="B58">
        <v>0</v>
      </c>
    </row>
    <row r="59" spans="1:2" x14ac:dyDescent="0.25">
      <c r="A59">
        <v>10140180</v>
      </c>
      <c r="B59">
        <v>2560</v>
      </c>
    </row>
    <row r="60" spans="1:2" x14ac:dyDescent="0.25">
      <c r="A60">
        <v>10140185</v>
      </c>
      <c r="B60">
        <v>0</v>
      </c>
    </row>
    <row r="61" spans="1:2" x14ac:dyDescent="0.25">
      <c r="A61">
        <v>10140194</v>
      </c>
      <c r="B61">
        <v>0</v>
      </c>
    </row>
    <row r="62" spans="1:2" x14ac:dyDescent="0.25">
      <c r="A62">
        <v>10530002</v>
      </c>
      <c r="B62">
        <v>15263</v>
      </c>
    </row>
    <row r="63" spans="1:2" x14ac:dyDescent="0.25">
      <c r="A63">
        <v>10530003</v>
      </c>
      <c r="B63">
        <v>874</v>
      </c>
    </row>
    <row r="64" spans="1:2" x14ac:dyDescent="0.25">
      <c r="A64">
        <v>10530005</v>
      </c>
      <c r="B64">
        <v>2062</v>
      </c>
    </row>
    <row r="65" spans="1:2" x14ac:dyDescent="0.25">
      <c r="A65">
        <v>10530017</v>
      </c>
      <c r="B65">
        <v>7500</v>
      </c>
    </row>
    <row r="66" spans="1:2" x14ac:dyDescent="0.25">
      <c r="A66">
        <v>10530018</v>
      </c>
      <c r="B66">
        <v>1350</v>
      </c>
    </row>
    <row r="67" spans="1:2" x14ac:dyDescent="0.25">
      <c r="A67">
        <v>10530031</v>
      </c>
      <c r="B67">
        <v>1500</v>
      </c>
    </row>
    <row r="68" spans="1:2" x14ac:dyDescent="0.25">
      <c r="A68">
        <v>10530032</v>
      </c>
      <c r="B68">
        <v>1500</v>
      </c>
    </row>
    <row r="69" spans="1:2" x14ac:dyDescent="0.25">
      <c r="A69">
        <v>10530035</v>
      </c>
      <c r="B69">
        <v>6882</v>
      </c>
    </row>
    <row r="70" spans="1:2" x14ac:dyDescent="0.25">
      <c r="A70">
        <v>10530040</v>
      </c>
      <c r="B70">
        <v>2276</v>
      </c>
    </row>
    <row r="71" spans="1:2" x14ac:dyDescent="0.25">
      <c r="A71">
        <v>10530055</v>
      </c>
      <c r="B71">
        <v>5243</v>
      </c>
    </row>
    <row r="72" spans="1:2" x14ac:dyDescent="0.25">
      <c r="A72">
        <v>10530063</v>
      </c>
      <c r="B72">
        <v>3000</v>
      </c>
    </row>
    <row r="73" spans="1:2" x14ac:dyDescent="0.25">
      <c r="A73">
        <v>10530064</v>
      </c>
      <c r="B73">
        <v>7</v>
      </c>
    </row>
    <row r="74" spans="1:2" x14ac:dyDescent="0.25">
      <c r="A74">
        <v>10530065</v>
      </c>
      <c r="B74">
        <v>16263</v>
      </c>
    </row>
    <row r="75" spans="1:2" x14ac:dyDescent="0.25">
      <c r="A75">
        <v>10530067</v>
      </c>
      <c r="B75">
        <v>2535</v>
      </c>
    </row>
    <row r="76" spans="1:2" x14ac:dyDescent="0.25">
      <c r="A76">
        <v>10530074</v>
      </c>
      <c r="B76">
        <v>3080</v>
      </c>
    </row>
    <row r="77" spans="1:2" x14ac:dyDescent="0.25">
      <c r="A77">
        <v>10530082</v>
      </c>
      <c r="B77">
        <v>12844</v>
      </c>
    </row>
    <row r="78" spans="1:2" x14ac:dyDescent="0.25">
      <c r="A78">
        <v>10530084</v>
      </c>
      <c r="B78">
        <v>1927</v>
      </c>
    </row>
    <row r="79" spans="1:2" x14ac:dyDescent="0.25">
      <c r="A79">
        <v>10530085</v>
      </c>
      <c r="B79">
        <v>12469</v>
      </c>
    </row>
    <row r="80" spans="1:2" x14ac:dyDescent="0.25">
      <c r="A80">
        <v>10530089</v>
      </c>
      <c r="B80">
        <v>1350</v>
      </c>
    </row>
    <row r="81" spans="1:2" x14ac:dyDescent="0.25">
      <c r="A81">
        <v>10530092</v>
      </c>
      <c r="B81">
        <v>5470</v>
      </c>
    </row>
    <row r="82" spans="1:2" x14ac:dyDescent="0.25">
      <c r="A82">
        <v>10530093</v>
      </c>
      <c r="B82">
        <v>6904</v>
      </c>
    </row>
    <row r="83" spans="1:2" x14ac:dyDescent="0.25">
      <c r="A83">
        <v>10530096</v>
      </c>
      <c r="B83">
        <v>18323</v>
      </c>
    </row>
    <row r="84" spans="1:2" x14ac:dyDescent="0.25">
      <c r="A84">
        <v>10530097</v>
      </c>
      <c r="B84">
        <v>1500</v>
      </c>
    </row>
    <row r="85" spans="1:2" x14ac:dyDescent="0.25">
      <c r="A85">
        <v>10530100</v>
      </c>
      <c r="B85">
        <v>3350</v>
      </c>
    </row>
    <row r="86" spans="1:2" x14ac:dyDescent="0.25">
      <c r="A86">
        <v>10530103</v>
      </c>
      <c r="B86">
        <v>13500</v>
      </c>
    </row>
    <row r="87" spans="1:2" x14ac:dyDescent="0.25">
      <c r="A87">
        <v>10530106</v>
      </c>
      <c r="B87">
        <v>2700</v>
      </c>
    </row>
    <row r="88" spans="1:2" x14ac:dyDescent="0.25">
      <c r="A88">
        <v>10530109</v>
      </c>
      <c r="B88">
        <v>27882</v>
      </c>
    </row>
    <row r="89" spans="1:2" x14ac:dyDescent="0.25">
      <c r="A89">
        <v>10530111</v>
      </c>
      <c r="B89">
        <v>0</v>
      </c>
    </row>
    <row r="90" spans="1:2" x14ac:dyDescent="0.25">
      <c r="A90">
        <v>10540008</v>
      </c>
      <c r="B90">
        <v>1350</v>
      </c>
    </row>
    <row r="91" spans="1:2" x14ac:dyDescent="0.25">
      <c r="A91">
        <v>10540046</v>
      </c>
      <c r="B91">
        <v>0</v>
      </c>
    </row>
    <row r="92" spans="1:2" x14ac:dyDescent="0.25">
      <c r="A92">
        <v>10600001</v>
      </c>
      <c r="B92">
        <v>10859</v>
      </c>
    </row>
    <row r="93" spans="1:2" x14ac:dyDescent="0.25">
      <c r="A93">
        <v>10600004</v>
      </c>
      <c r="B93">
        <v>4636</v>
      </c>
    </row>
    <row r="94" spans="1:2" x14ac:dyDescent="0.25">
      <c r="A94">
        <v>10600005</v>
      </c>
      <c r="B94">
        <v>0</v>
      </c>
    </row>
    <row r="95" spans="1:2" x14ac:dyDescent="0.25">
      <c r="A95">
        <v>10600008</v>
      </c>
      <c r="B95">
        <v>0</v>
      </c>
    </row>
    <row r="96" spans="1:2" x14ac:dyDescent="0.25">
      <c r="A96">
        <v>10600012</v>
      </c>
      <c r="B96">
        <v>0</v>
      </c>
    </row>
    <row r="97" spans="1:2" x14ac:dyDescent="0.25">
      <c r="A97">
        <v>10600013</v>
      </c>
      <c r="B97">
        <v>0</v>
      </c>
    </row>
    <row r="98" spans="1:2" x14ac:dyDescent="0.25">
      <c r="A98" t="s">
        <v>60</v>
      </c>
      <c r="B98">
        <v>420545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5461-7D72-4D0D-BA9F-8AE9F39BCDED}">
  <dimension ref="A1:X203"/>
  <sheetViews>
    <sheetView zoomScale="90" zoomScaleNormal="90" workbookViewId="0">
      <pane xSplit="2" ySplit="1" topLeftCell="H158" activePane="bottomRight" state="frozen"/>
      <selection pane="topRight" activeCell="C1" sqref="C1"/>
      <selection pane="bottomLeft" activeCell="A2" sqref="A2"/>
      <selection pane="bottomRight" activeCell="Y187" sqref="Y187"/>
    </sheetView>
  </sheetViews>
  <sheetFormatPr defaultRowHeight="15" x14ac:dyDescent="0.25"/>
  <cols>
    <col min="1" max="1" width="10.5703125" bestFit="1" customWidth="1"/>
    <col min="2" max="2" width="25.28515625" customWidth="1"/>
    <col min="3" max="3" width="15" customWidth="1"/>
    <col min="4" max="4" width="13.140625" customWidth="1"/>
    <col min="5" max="5" width="32.140625" customWidth="1"/>
    <col min="6" max="6" width="14.42578125" customWidth="1"/>
    <col min="7" max="7" width="20.7109375" customWidth="1"/>
    <col min="8" max="8" width="13.140625" bestFit="1" customWidth="1"/>
    <col min="9" max="9" width="13.7109375" customWidth="1"/>
    <col min="10" max="10" width="16.42578125" customWidth="1"/>
    <col min="11" max="11" width="16.28515625" customWidth="1"/>
    <col min="12" max="13" width="12.85546875" customWidth="1"/>
    <col min="14" max="14" width="9.140625" bestFit="1" customWidth="1"/>
    <col min="15" max="15" width="9.42578125" customWidth="1"/>
    <col min="16" max="16" width="10.42578125" customWidth="1"/>
    <col min="17" max="17" width="10" customWidth="1"/>
    <col min="18" max="18" width="11.28515625" bestFit="1" customWidth="1"/>
    <col min="19" max="21" width="11.28515625" customWidth="1"/>
    <col min="22" max="22" width="40.7109375" style="14" customWidth="1"/>
    <col min="23" max="23" width="7.140625" style="14" bestFit="1" customWidth="1"/>
    <col min="24" max="24" width="9.85546875" style="14" customWidth="1"/>
    <col min="27" max="27" width="19.140625" bestFit="1" customWidth="1"/>
    <col min="28" max="28" width="13.42578125" bestFit="1" customWidth="1"/>
    <col min="29" max="29" width="6.140625" bestFit="1" customWidth="1"/>
    <col min="30" max="30" width="5.42578125" bestFit="1" customWidth="1"/>
  </cols>
  <sheetData>
    <row r="1" spans="1:22" x14ac:dyDescent="0.25">
      <c r="A1" s="15" t="s">
        <v>45</v>
      </c>
      <c r="B1" s="15" t="s">
        <v>46</v>
      </c>
      <c r="C1" s="15" t="s">
        <v>86</v>
      </c>
      <c r="D1" s="15" t="s">
        <v>42</v>
      </c>
      <c r="E1" s="15" t="s">
        <v>47</v>
      </c>
      <c r="F1" s="15" t="s">
        <v>48</v>
      </c>
      <c r="G1" s="15" t="s">
        <v>49</v>
      </c>
      <c r="H1" s="15" t="s">
        <v>50</v>
      </c>
      <c r="I1" s="15" t="s">
        <v>51</v>
      </c>
      <c r="J1" s="15" t="s">
        <v>52</v>
      </c>
      <c r="K1" s="15" t="s">
        <v>53</v>
      </c>
      <c r="L1" s="15" t="s">
        <v>55</v>
      </c>
      <c r="M1" s="15" t="s">
        <v>57</v>
      </c>
      <c r="N1" s="15" t="s">
        <v>82</v>
      </c>
      <c r="O1" s="15" t="s">
        <v>54</v>
      </c>
      <c r="P1" s="15" t="s">
        <v>56</v>
      </c>
      <c r="Q1" s="17" t="s">
        <v>83</v>
      </c>
      <c r="R1" s="17" t="s">
        <v>84</v>
      </c>
      <c r="S1" s="17" t="s">
        <v>89</v>
      </c>
      <c r="T1" s="17" t="s">
        <v>334</v>
      </c>
      <c r="U1" s="17" t="s">
        <v>335</v>
      </c>
      <c r="V1" s="15" t="s">
        <v>90</v>
      </c>
    </row>
    <row r="2" spans="1:22" x14ac:dyDescent="0.25">
      <c r="B2" t="s">
        <v>141</v>
      </c>
      <c r="D2" s="14" t="str">
        <f>VLOOKUP(Table1[[#This Row],[
Item Name ]],Rates!$A$2:$B$22,2,0)</f>
        <v>CF</v>
      </c>
      <c r="E2" t="s">
        <v>38</v>
      </c>
      <c r="F2" s="22">
        <v>10120007</v>
      </c>
      <c r="G2" t="str">
        <f>VLOOKUP(Table1[[#This Row],[
MPG Code  ]],[2]Master!$B:$G,6,0)</f>
        <v>ARMAULI-2</v>
      </c>
      <c r="H2" s="20" t="s">
        <v>124</v>
      </c>
      <c r="J2" t="str">
        <f>VLOOKUP(Table1[[#This Row],[
MPG Code  ]],[2]Master!$B:$N,13,0)</f>
        <v>DalsinghSarai</v>
      </c>
      <c r="K2" t="s">
        <v>91</v>
      </c>
      <c r="L2" t="str">
        <f>CONCATENATE(Table1[[#This Row],[
MPG Code  ]],Table1[[#This Row],[
Farmer code  ]])</f>
        <v>101200070107</v>
      </c>
      <c r="M2" t="str">
        <f>VLOOKUP(Table1[[#This Row],[
MPG Code  ]],[2]Master!$B:$F,5,0)</f>
        <v>Direct</v>
      </c>
      <c r="N2" s="14">
        <v>1</v>
      </c>
      <c r="O2" s="11">
        <f>VLOOKUP(Table1[[#This Row],[
Item Name ]],Rates!$A$2:$F$22,6,0)</f>
        <v>1350</v>
      </c>
      <c r="P2" s="11">
        <f>Table1[[#This Row],[Indent Qty]]*Table1[[#This Row],[
Rate ]]</f>
        <v>1350</v>
      </c>
      <c r="Q2" s="14">
        <f>Table1[[#This Row],[Indent Qty]]</f>
        <v>1</v>
      </c>
      <c r="R2" s="18">
        <f>Table1[[#This Row],[
Rate ]]*Table1[[#This Row],[Final Qty]]</f>
        <v>1350</v>
      </c>
      <c r="S2" s="14"/>
      <c r="T2" s="14">
        <v>1350</v>
      </c>
      <c r="U2" s="14"/>
    </row>
    <row r="3" spans="1:22" x14ac:dyDescent="0.25">
      <c r="B3" t="s">
        <v>141</v>
      </c>
      <c r="D3" s="14" t="str">
        <f>VLOOKUP(Table1[[#This Row],[
Item Name ]],Rates!$A$2:$B$22,2,0)</f>
        <v>CF</v>
      </c>
      <c r="E3" t="s">
        <v>38</v>
      </c>
      <c r="F3" s="22">
        <v>10120007</v>
      </c>
      <c r="G3" t="str">
        <f>VLOOKUP(Table1[[#This Row],[
MPG Code  ]],[2]Master!$B:$G,6,0)</f>
        <v>ARMAULI-2</v>
      </c>
      <c r="H3" s="20" t="s">
        <v>143</v>
      </c>
      <c r="J3" t="str">
        <f>VLOOKUP(Table1[[#This Row],[
MPG Code  ]],[2]Master!$B:$N,13,0)</f>
        <v>DalsinghSarai</v>
      </c>
      <c r="K3" t="s">
        <v>91</v>
      </c>
      <c r="L3" t="str">
        <f>CONCATENATE(Table1[[#This Row],[
MPG Code  ]],Table1[[#This Row],[
Farmer code  ]])</f>
        <v>101200070099</v>
      </c>
      <c r="M3" t="str">
        <f>VLOOKUP(Table1[[#This Row],[
MPG Code  ]],[2]Master!$B:$F,5,0)</f>
        <v>Direct</v>
      </c>
      <c r="N3" s="14">
        <v>1</v>
      </c>
      <c r="O3" s="11">
        <f>VLOOKUP(Table1[[#This Row],[
Item Name ]],Rates!$A$2:$F$22,6,0)</f>
        <v>1350</v>
      </c>
      <c r="P3" s="11">
        <f>Table1[[#This Row],[Indent Qty]]*Table1[[#This Row],[
Rate ]]</f>
        <v>1350</v>
      </c>
      <c r="Q3" s="14">
        <f>Table1[[#This Row],[Indent Qty]]</f>
        <v>1</v>
      </c>
      <c r="R3" s="18">
        <f>Table1[[#This Row],[
Rate ]]*Table1[[#This Row],[Final Qty]]</f>
        <v>1350</v>
      </c>
      <c r="S3" s="14"/>
      <c r="T3" s="14">
        <v>1350</v>
      </c>
      <c r="U3" s="14"/>
    </row>
    <row r="4" spans="1:22" x14ac:dyDescent="0.25">
      <c r="B4" t="s">
        <v>141</v>
      </c>
      <c r="D4" s="14" t="str">
        <f>VLOOKUP(Table1[[#This Row],[
Item Name ]],Rates!$A$2:$B$22,2,0)</f>
        <v>CF</v>
      </c>
      <c r="E4" t="s">
        <v>38</v>
      </c>
      <c r="F4" s="22">
        <v>10120007</v>
      </c>
      <c r="G4" t="str">
        <f>VLOOKUP(Table1[[#This Row],[
MPG Code  ]],[2]Master!$B:$G,6,0)</f>
        <v>ARMAULI-2</v>
      </c>
      <c r="H4" s="20" t="s">
        <v>127</v>
      </c>
      <c r="J4" t="str">
        <f>VLOOKUP(Table1[[#This Row],[
MPG Code  ]],[2]Master!$B:$N,13,0)</f>
        <v>DalsinghSarai</v>
      </c>
      <c r="K4" t="s">
        <v>91</v>
      </c>
      <c r="L4" t="str">
        <f>CONCATENATE(Table1[[#This Row],[
MPG Code  ]],Table1[[#This Row],[
Farmer code  ]])</f>
        <v>101200070014</v>
      </c>
      <c r="M4" t="str">
        <f>VLOOKUP(Table1[[#This Row],[
MPG Code  ]],[2]Master!$B:$F,5,0)</f>
        <v>Direct</v>
      </c>
      <c r="N4" s="14">
        <v>1</v>
      </c>
      <c r="O4" s="11">
        <f>VLOOKUP(Table1[[#This Row],[
Item Name ]],Rates!$A$2:$F$22,6,0)</f>
        <v>1350</v>
      </c>
      <c r="P4" s="11">
        <f>Table1[[#This Row],[Indent Qty]]*Table1[[#This Row],[
Rate ]]</f>
        <v>1350</v>
      </c>
      <c r="Q4" s="14">
        <f>Table1[[#This Row],[Indent Qty]]</f>
        <v>1</v>
      </c>
      <c r="R4" s="18">
        <f>Table1[[#This Row],[
Rate ]]*Table1[[#This Row],[Final Qty]]</f>
        <v>1350</v>
      </c>
      <c r="S4" s="14"/>
      <c r="T4" s="14">
        <v>507</v>
      </c>
      <c r="U4" s="14"/>
    </row>
    <row r="5" spans="1:22" x14ac:dyDescent="0.25">
      <c r="B5" t="s">
        <v>141</v>
      </c>
      <c r="D5" s="14" t="str">
        <f>VLOOKUP(Table1[[#This Row],[
Item Name ]],Rates!$A$2:$B$22,2,0)</f>
        <v>CF</v>
      </c>
      <c r="E5" t="s">
        <v>38</v>
      </c>
      <c r="F5" s="22">
        <v>10120007</v>
      </c>
      <c r="G5" t="str">
        <f>VLOOKUP(Table1[[#This Row],[
MPG Code  ]],[2]Master!$B:$G,6,0)</f>
        <v>ARMAULI-2</v>
      </c>
      <c r="H5" s="20" t="s">
        <v>130</v>
      </c>
      <c r="J5" t="str">
        <f>VLOOKUP(Table1[[#This Row],[
MPG Code  ]],[2]Master!$B:$N,13,0)</f>
        <v>DalsinghSarai</v>
      </c>
      <c r="K5" t="s">
        <v>91</v>
      </c>
      <c r="L5" t="str">
        <f>CONCATENATE(Table1[[#This Row],[
MPG Code  ]],Table1[[#This Row],[
Farmer code  ]])</f>
        <v>101200070040</v>
      </c>
      <c r="M5" t="str">
        <f>VLOOKUP(Table1[[#This Row],[
MPG Code  ]],[2]Master!$B:$F,5,0)</f>
        <v>Direct</v>
      </c>
      <c r="N5" s="14">
        <v>1</v>
      </c>
      <c r="O5" s="11">
        <f>VLOOKUP(Table1[[#This Row],[
Item Name ]],Rates!$A$2:$F$22,6,0)</f>
        <v>1350</v>
      </c>
      <c r="P5" s="11">
        <f>Table1[[#This Row],[Indent Qty]]*Table1[[#This Row],[
Rate ]]</f>
        <v>1350</v>
      </c>
      <c r="Q5" s="14">
        <f>Table1[[#This Row],[Indent Qty]]</f>
        <v>1</v>
      </c>
      <c r="R5" s="18">
        <f>Table1[[#This Row],[
Rate ]]*Table1[[#This Row],[Final Qty]]</f>
        <v>1350</v>
      </c>
      <c r="S5" s="14"/>
      <c r="T5" s="14">
        <v>1295</v>
      </c>
      <c r="U5" s="14"/>
    </row>
    <row r="6" spans="1:22" x14ac:dyDescent="0.25">
      <c r="B6" t="s">
        <v>141</v>
      </c>
      <c r="D6" s="14" t="str">
        <f>VLOOKUP(Table1[[#This Row],[
Item Name ]],Rates!$A$2:$B$22,2,0)</f>
        <v>CF</v>
      </c>
      <c r="E6" t="s">
        <v>38</v>
      </c>
      <c r="F6" s="22">
        <v>10120007</v>
      </c>
      <c r="G6" t="str">
        <f>VLOOKUP(Table1[[#This Row],[
MPG Code  ]],[2]Master!$B:$G,6,0)</f>
        <v>ARMAULI-2</v>
      </c>
      <c r="H6" s="20" t="s">
        <v>131</v>
      </c>
      <c r="J6" t="str">
        <f>VLOOKUP(Table1[[#This Row],[
MPG Code  ]],[2]Master!$B:$N,13,0)</f>
        <v>DalsinghSarai</v>
      </c>
      <c r="K6" t="s">
        <v>91</v>
      </c>
      <c r="L6" t="str">
        <f>CONCATENATE(Table1[[#This Row],[
MPG Code  ]],Table1[[#This Row],[
Farmer code  ]])</f>
        <v>101200070079</v>
      </c>
      <c r="M6" t="str">
        <f>VLOOKUP(Table1[[#This Row],[
MPG Code  ]],[2]Master!$B:$F,5,0)</f>
        <v>Direct</v>
      </c>
      <c r="N6" s="14">
        <v>1</v>
      </c>
      <c r="O6" s="11">
        <f>VLOOKUP(Table1[[#This Row],[
Item Name ]],Rates!$A$2:$F$22,6,0)</f>
        <v>1350</v>
      </c>
      <c r="P6" s="11">
        <f>Table1[[#This Row],[Indent Qty]]*Table1[[#This Row],[
Rate ]]</f>
        <v>1350</v>
      </c>
      <c r="Q6" s="14">
        <f>Table1[[#This Row],[Indent Qty]]</f>
        <v>1</v>
      </c>
      <c r="R6" s="18">
        <f>Table1[[#This Row],[
Rate ]]*Table1[[#This Row],[Final Qty]]</f>
        <v>1350</v>
      </c>
      <c r="S6" s="14"/>
      <c r="T6" s="14">
        <v>839</v>
      </c>
      <c r="U6" s="14"/>
    </row>
    <row r="7" spans="1:22" x14ac:dyDescent="0.25">
      <c r="B7" t="s">
        <v>141</v>
      </c>
      <c r="D7" s="14" t="str">
        <f>VLOOKUP(Table1[[#This Row],[
Item Name ]],Rates!$A$2:$B$22,2,0)</f>
        <v>CF</v>
      </c>
      <c r="E7" t="s">
        <v>38</v>
      </c>
      <c r="F7" s="22">
        <v>10120007</v>
      </c>
      <c r="G7" t="str">
        <f>VLOOKUP(Table1[[#This Row],[
MPG Code  ]],[2]Master!$B:$G,6,0)</f>
        <v>ARMAULI-2</v>
      </c>
      <c r="H7" s="20" t="s">
        <v>124</v>
      </c>
      <c r="J7" t="str">
        <f>VLOOKUP(Table1[[#This Row],[
MPG Code  ]],[2]Master!$B:$N,13,0)</f>
        <v>DalsinghSarai</v>
      </c>
      <c r="K7" t="s">
        <v>91</v>
      </c>
      <c r="L7" t="str">
        <f>CONCATENATE(Table1[[#This Row],[
MPG Code  ]],Table1[[#This Row],[
Farmer code  ]])</f>
        <v>101200070107</v>
      </c>
      <c r="M7" t="str">
        <f>VLOOKUP(Table1[[#This Row],[
MPG Code  ]],[2]Master!$B:$F,5,0)</f>
        <v>Direct</v>
      </c>
      <c r="N7" s="14">
        <v>0</v>
      </c>
      <c r="O7" s="11">
        <v>0</v>
      </c>
      <c r="P7" s="11">
        <v>1251</v>
      </c>
      <c r="Q7" s="14">
        <f>Table1[[#This Row],[Indent Qty]]</f>
        <v>0</v>
      </c>
      <c r="R7" s="18">
        <v>1251</v>
      </c>
      <c r="S7" s="14"/>
      <c r="T7" s="14">
        <v>1251</v>
      </c>
      <c r="U7" s="14"/>
    </row>
    <row r="8" spans="1:22" x14ac:dyDescent="0.25">
      <c r="B8" t="s">
        <v>141</v>
      </c>
      <c r="D8" s="14" t="str">
        <f>VLOOKUP(Table1[[#This Row],[
Item Name ]],Rates!$A$2:$B$22,2,0)</f>
        <v>CF</v>
      </c>
      <c r="E8" t="s">
        <v>38</v>
      </c>
      <c r="F8" s="22">
        <v>10120007</v>
      </c>
      <c r="G8" t="str">
        <f>VLOOKUP(Table1[[#This Row],[
MPG Code  ]],[2]Master!$B:$G,6,0)</f>
        <v>ARMAULI-2</v>
      </c>
      <c r="H8" s="20" t="s">
        <v>125</v>
      </c>
      <c r="J8" t="str">
        <f>VLOOKUP(Table1[[#This Row],[
MPG Code  ]],[2]Master!$B:$N,13,0)</f>
        <v>DalsinghSarai</v>
      </c>
      <c r="K8" t="s">
        <v>91</v>
      </c>
      <c r="L8" t="str">
        <f>CONCATENATE(Table1[[#This Row],[
MPG Code  ]],Table1[[#This Row],[
Farmer code  ]])</f>
        <v>101200070149</v>
      </c>
      <c r="M8" t="str">
        <f>VLOOKUP(Table1[[#This Row],[
MPG Code  ]],[2]Master!$B:$F,5,0)</f>
        <v>Direct</v>
      </c>
      <c r="N8" s="14">
        <v>0</v>
      </c>
      <c r="O8" s="11">
        <v>0</v>
      </c>
      <c r="P8" s="11">
        <v>703</v>
      </c>
      <c r="Q8" s="14">
        <f>Table1[[#This Row],[Indent Qty]]</f>
        <v>0</v>
      </c>
      <c r="R8" s="18">
        <v>703</v>
      </c>
      <c r="S8" s="14"/>
      <c r="T8" s="14">
        <v>703</v>
      </c>
      <c r="U8" s="14"/>
    </row>
    <row r="9" spans="1:22" x14ac:dyDescent="0.25">
      <c r="B9" t="s">
        <v>141</v>
      </c>
      <c r="D9" s="14" t="str">
        <f>VLOOKUP(Table1[[#This Row],[
Item Name ]],Rates!$A$2:$B$22,2,0)</f>
        <v>CF</v>
      </c>
      <c r="E9" t="s">
        <v>38</v>
      </c>
      <c r="F9" s="22">
        <v>10120007</v>
      </c>
      <c r="G9" t="str">
        <f>VLOOKUP(Table1[[#This Row],[
MPG Code  ]],[2]Master!$B:$G,6,0)</f>
        <v>ARMAULI-2</v>
      </c>
      <c r="H9" s="20" t="s">
        <v>128</v>
      </c>
      <c r="J9" t="str">
        <f>VLOOKUP(Table1[[#This Row],[
MPG Code  ]],[2]Master!$B:$N,13,0)</f>
        <v>DalsinghSarai</v>
      </c>
      <c r="K9" t="s">
        <v>91</v>
      </c>
      <c r="L9" t="str">
        <f>CONCATENATE(Table1[[#This Row],[
MPG Code  ]],Table1[[#This Row],[
Farmer code  ]])</f>
        <v>101200070093</v>
      </c>
      <c r="M9" t="str">
        <f>VLOOKUP(Table1[[#This Row],[
MPG Code  ]],[2]Master!$B:$F,5,0)</f>
        <v>Direct</v>
      </c>
      <c r="N9" s="14">
        <v>0</v>
      </c>
      <c r="O9" s="11">
        <v>0</v>
      </c>
      <c r="P9" s="11">
        <v>305</v>
      </c>
      <c r="Q9" s="14">
        <f>Table1[[#This Row],[Indent Qty]]</f>
        <v>0</v>
      </c>
      <c r="R9" s="18">
        <v>305</v>
      </c>
      <c r="S9" s="14"/>
      <c r="T9" s="14">
        <v>305</v>
      </c>
      <c r="U9" s="14"/>
    </row>
    <row r="10" spans="1:22" x14ac:dyDescent="0.25">
      <c r="B10" t="s">
        <v>141</v>
      </c>
      <c r="D10" s="14" t="str">
        <f>VLOOKUP(Table1[[#This Row],[
Item Name ]],Rates!$A$2:$B$22,2,0)</f>
        <v>CF</v>
      </c>
      <c r="E10" t="s">
        <v>38</v>
      </c>
      <c r="F10" s="22">
        <v>10120007</v>
      </c>
      <c r="G10" t="str">
        <f>VLOOKUP(Table1[[#This Row],[
MPG Code  ]],[2]Master!$B:$G,6,0)</f>
        <v>ARMAULI-2</v>
      </c>
      <c r="H10" s="20" t="s">
        <v>126</v>
      </c>
      <c r="J10" t="str">
        <f>VLOOKUP(Table1[[#This Row],[
MPG Code  ]],[2]Master!$B:$N,13,0)</f>
        <v>DalsinghSarai</v>
      </c>
      <c r="K10" t="s">
        <v>91</v>
      </c>
      <c r="L10" t="str">
        <f>CONCATENATE(Table1[[#This Row],[
MPG Code  ]],Table1[[#This Row],[
Farmer code  ]])</f>
        <v>101200070076</v>
      </c>
      <c r="M10" t="str">
        <f>VLOOKUP(Table1[[#This Row],[
MPG Code  ]],[2]Master!$B:$F,5,0)</f>
        <v>Direct</v>
      </c>
      <c r="N10" s="14">
        <v>0</v>
      </c>
      <c r="O10" s="11">
        <v>0</v>
      </c>
      <c r="P10" s="11">
        <v>232</v>
      </c>
      <c r="Q10" s="14">
        <f>Table1[[#This Row],[Indent Qty]]</f>
        <v>0</v>
      </c>
      <c r="R10" s="18">
        <v>232</v>
      </c>
      <c r="S10" s="14"/>
      <c r="T10" s="14">
        <v>232</v>
      </c>
      <c r="U10" s="14"/>
    </row>
    <row r="11" spans="1:22" x14ac:dyDescent="0.25">
      <c r="B11" t="s">
        <v>141</v>
      </c>
      <c r="D11" s="14" t="str">
        <f>VLOOKUP(Table1[[#This Row],[
Item Name ]],Rates!$A$2:$B$22,2,0)</f>
        <v>CF</v>
      </c>
      <c r="E11" t="s">
        <v>38</v>
      </c>
      <c r="F11" s="21">
        <v>10110124</v>
      </c>
      <c r="G11" t="str">
        <f>VLOOKUP(Table1[[#This Row],[
MPG Code  ]],[2]Master!$B:$G,6,0)</f>
        <v>GOMUKH ASHRAPHA DIYARA</v>
      </c>
      <c r="H11" s="20" t="s">
        <v>122</v>
      </c>
      <c r="J11" t="s">
        <v>142</v>
      </c>
      <c r="K11" t="s">
        <v>91</v>
      </c>
      <c r="L11" t="str">
        <f>CONCATENATE(Table1[[#This Row],[
MPG Code  ]],Table1[[#This Row],[
Farmer code  ]])</f>
        <v>101101240007</v>
      </c>
      <c r="M11" t="str">
        <f>VLOOKUP(Table1[[#This Row],[
MPG Code  ]],[2]Master!$B:$F,5,0)</f>
        <v>Direct</v>
      </c>
      <c r="N11" s="14">
        <v>4</v>
      </c>
      <c r="O11" s="11">
        <f>VLOOKUP(Table1[[#This Row],[
Item Name ]],Rates!$A$2:$F$22,6,0)</f>
        <v>1350</v>
      </c>
      <c r="P11" s="11">
        <f>Table1[[#This Row],[Indent Qty]]*Table1[[#This Row],[
Rate ]]</f>
        <v>5400</v>
      </c>
      <c r="Q11" s="14">
        <f>Table1[[#This Row],[Indent Qty]]</f>
        <v>4</v>
      </c>
      <c r="R11" s="18">
        <f>Table1[[#This Row],[
Rate ]]*Table1[[#This Row],[Final Qty]]</f>
        <v>5400</v>
      </c>
      <c r="S11" s="14"/>
      <c r="T11" s="14">
        <v>0</v>
      </c>
      <c r="U11" s="14"/>
    </row>
    <row r="12" spans="1:22" x14ac:dyDescent="0.25">
      <c r="B12" t="s">
        <v>141</v>
      </c>
      <c r="D12" s="14" t="str">
        <f>VLOOKUP(Table1[[#This Row],[
Item Name ]],Rates!$A$2:$B$22,2,0)</f>
        <v>CF</v>
      </c>
      <c r="E12" t="s">
        <v>38</v>
      </c>
      <c r="F12" s="21">
        <v>10110123</v>
      </c>
      <c r="G12" t="str">
        <f>VLOOKUP(Table1[[#This Row],[
MPG Code  ]],[2]Master!$B:$G,6,0)</f>
        <v>GOMUKH SHADIPUR</v>
      </c>
      <c r="H12" s="20" t="s">
        <v>122</v>
      </c>
      <c r="J12" t="s">
        <v>142</v>
      </c>
      <c r="K12" t="s">
        <v>91</v>
      </c>
      <c r="L12" t="str">
        <f>CONCATENATE(Table1[[#This Row],[
MPG Code  ]],Table1[[#This Row],[
Farmer code  ]])</f>
        <v>101101230007</v>
      </c>
      <c r="M12" t="str">
        <f>VLOOKUP(Table1[[#This Row],[
MPG Code  ]],[2]Master!$B:$F,5,0)</f>
        <v>Direct</v>
      </c>
      <c r="N12" s="14">
        <v>4</v>
      </c>
      <c r="O12" s="11">
        <f>VLOOKUP(Table1[[#This Row],[
Item Name ]],Rates!$A$2:$F$22,6,0)</f>
        <v>1350</v>
      </c>
      <c r="P12" s="11">
        <f>Table1[[#This Row],[Indent Qty]]*Table1[[#This Row],[
Rate ]]</f>
        <v>5400</v>
      </c>
      <c r="Q12" s="14">
        <f>Table1[[#This Row],[Indent Qty]]</f>
        <v>4</v>
      </c>
      <c r="R12" s="18">
        <f>Table1[[#This Row],[
Rate ]]*Table1[[#This Row],[Final Qty]]</f>
        <v>5400</v>
      </c>
      <c r="S12" s="14"/>
      <c r="T12" s="14">
        <v>4621</v>
      </c>
      <c r="U12" s="14"/>
    </row>
    <row r="13" spans="1:22" x14ac:dyDescent="0.25">
      <c r="B13" t="s">
        <v>141</v>
      </c>
      <c r="D13" s="14" t="str">
        <f>VLOOKUP(Table1[[#This Row],[
Item Name ]],Rates!$A$2:$B$22,2,0)</f>
        <v>CF</v>
      </c>
      <c r="E13" t="s">
        <v>38</v>
      </c>
      <c r="F13" s="21">
        <v>10110123</v>
      </c>
      <c r="G13" t="str">
        <f>VLOOKUP(Table1[[#This Row],[
MPG Code  ]],[2]Master!$B:$G,6,0)</f>
        <v>GOMUKH SHADIPUR</v>
      </c>
      <c r="H13" s="20" t="s">
        <v>132</v>
      </c>
      <c r="J13" t="s">
        <v>142</v>
      </c>
      <c r="K13" t="s">
        <v>91</v>
      </c>
      <c r="L13" t="str">
        <f>CONCATENATE(Table1[[#This Row],[
MPG Code  ]],Table1[[#This Row],[
Farmer code  ]])</f>
        <v>101101230015</v>
      </c>
      <c r="M13" t="str">
        <f>VLOOKUP(Table1[[#This Row],[
MPG Code  ]],[2]Master!$B:$F,5,0)</f>
        <v>Direct</v>
      </c>
      <c r="N13" s="14">
        <v>1</v>
      </c>
      <c r="O13" s="11">
        <f>VLOOKUP(Table1[[#This Row],[
Item Name ]],Rates!$A$2:$F$22,6,0)</f>
        <v>1350</v>
      </c>
      <c r="P13" s="11">
        <f>Table1[[#This Row],[Indent Qty]]*Table1[[#This Row],[
Rate ]]</f>
        <v>1350</v>
      </c>
      <c r="Q13" s="14">
        <f>Table1[[#This Row],[Indent Qty]]</f>
        <v>1</v>
      </c>
      <c r="R13" s="18">
        <f>Table1[[#This Row],[
Rate ]]*Table1[[#This Row],[Final Qty]]</f>
        <v>1350</v>
      </c>
      <c r="S13" s="14"/>
      <c r="T13" s="14">
        <v>1350</v>
      </c>
      <c r="U13" s="14"/>
    </row>
    <row r="14" spans="1:22" x14ac:dyDescent="0.25">
      <c r="B14" t="s">
        <v>141</v>
      </c>
      <c r="D14" s="14" t="str">
        <f>VLOOKUP(Table1[[#This Row],[
Item Name ]],Rates!$A$2:$B$22,2,0)</f>
        <v>CF</v>
      </c>
      <c r="E14" t="s">
        <v>38</v>
      </c>
      <c r="F14" s="21">
        <v>10110123</v>
      </c>
      <c r="G14" t="str">
        <f>VLOOKUP(Table1[[#This Row],[
MPG Code  ]],[2]Master!$B:$G,6,0)</f>
        <v>GOMUKH SHADIPUR</v>
      </c>
      <c r="H14" s="20" t="s">
        <v>144</v>
      </c>
      <c r="J14" t="s">
        <v>142</v>
      </c>
      <c r="K14" t="s">
        <v>91</v>
      </c>
      <c r="L14" t="str">
        <f>CONCATENATE(Table1[[#This Row],[
MPG Code  ]],Table1[[#This Row],[
Farmer code  ]])</f>
        <v>101101230011</v>
      </c>
      <c r="M14" t="str">
        <f>VLOOKUP(Table1[[#This Row],[
MPG Code  ]],[2]Master!$B:$F,5,0)</f>
        <v>Direct</v>
      </c>
      <c r="N14" s="14">
        <v>2</v>
      </c>
      <c r="O14" s="11">
        <f>VLOOKUP(Table1[[#This Row],[
Item Name ]],Rates!$A$2:$F$22,6,0)</f>
        <v>1350</v>
      </c>
      <c r="P14" s="11">
        <f>Table1[[#This Row],[Indent Qty]]*Table1[[#This Row],[
Rate ]]</f>
        <v>2700</v>
      </c>
      <c r="Q14" s="14">
        <f>Table1[[#This Row],[Indent Qty]]</f>
        <v>2</v>
      </c>
      <c r="R14" s="18">
        <f>Table1[[#This Row],[
Rate ]]*Table1[[#This Row],[Final Qty]]</f>
        <v>2700</v>
      </c>
      <c r="S14" s="14"/>
      <c r="T14" s="14">
        <v>2700</v>
      </c>
      <c r="U14" s="14"/>
    </row>
    <row r="15" spans="1:22" x14ac:dyDescent="0.25">
      <c r="B15" t="s">
        <v>141</v>
      </c>
      <c r="D15" s="14" t="str">
        <f>VLOOKUP(Table1[[#This Row],[
Item Name ]],Rates!$A$2:$B$22,2,0)</f>
        <v>CF</v>
      </c>
      <c r="E15" t="s">
        <v>38</v>
      </c>
      <c r="F15" s="21">
        <v>10110123</v>
      </c>
      <c r="G15" t="str">
        <f>VLOOKUP(Table1[[#This Row],[
MPG Code  ]],[2]Master!$B:$G,6,0)</f>
        <v>GOMUKH SHADIPUR</v>
      </c>
      <c r="H15" s="20" t="s">
        <v>113</v>
      </c>
      <c r="J15" t="s">
        <v>142</v>
      </c>
      <c r="K15" t="s">
        <v>91</v>
      </c>
      <c r="L15" t="str">
        <f>CONCATENATE(Table1[[#This Row],[
MPG Code  ]],Table1[[#This Row],[
Farmer code  ]])</f>
        <v>101101230002</v>
      </c>
      <c r="M15" t="str">
        <f>VLOOKUP(Table1[[#This Row],[
MPG Code  ]],[2]Master!$B:$F,5,0)</f>
        <v>Direct</v>
      </c>
      <c r="N15" s="14">
        <v>2</v>
      </c>
      <c r="O15" s="11">
        <v>1300</v>
      </c>
      <c r="P15" s="11">
        <f>Table1[[#This Row],[Indent Qty]]*Table1[[#This Row],[
Rate ]]</f>
        <v>2600</v>
      </c>
      <c r="Q15" s="14">
        <f>Table1[[#This Row],[Indent Qty]]</f>
        <v>2</v>
      </c>
      <c r="R15" s="18">
        <f>Table1[[#This Row],[
Rate ]]*Table1[[#This Row],[Final Qty]]</f>
        <v>2600</v>
      </c>
      <c r="S15" s="14"/>
      <c r="T15" s="14">
        <v>2600</v>
      </c>
      <c r="U15" s="14"/>
    </row>
    <row r="16" spans="1:22" x14ac:dyDescent="0.25">
      <c r="B16" t="s">
        <v>141</v>
      </c>
      <c r="D16" s="14" t="str">
        <f>VLOOKUP(Table1[[#This Row],[
Item Name ]],Rates!$A$2:$B$22,2,0)</f>
        <v>CF</v>
      </c>
      <c r="E16" t="s">
        <v>38</v>
      </c>
      <c r="F16" s="21">
        <v>10110123</v>
      </c>
      <c r="G16" t="str">
        <f>VLOOKUP(Table1[[#This Row],[
MPG Code  ]],[2]Master!$B:$G,6,0)</f>
        <v>GOMUKH SHADIPUR</v>
      </c>
      <c r="H16" s="20" t="s">
        <v>118</v>
      </c>
      <c r="J16" t="s">
        <v>142</v>
      </c>
      <c r="K16" t="s">
        <v>91</v>
      </c>
      <c r="L16" t="str">
        <f>CONCATENATE(Table1[[#This Row],[
MPG Code  ]],Table1[[#This Row],[
Farmer code  ]])</f>
        <v>101101230006</v>
      </c>
      <c r="M16" t="str">
        <f>VLOOKUP(Table1[[#This Row],[
MPG Code  ]],[2]Master!$B:$F,5,0)</f>
        <v>Direct</v>
      </c>
      <c r="N16" s="14">
        <v>1</v>
      </c>
      <c r="O16" s="11">
        <f>VLOOKUP(Table1[[#This Row],[
Item Name ]],Rates!$A$2:$F$22,6,0)</f>
        <v>1350</v>
      </c>
      <c r="P16" s="11">
        <f>Table1[[#This Row],[Indent Qty]]*Table1[[#This Row],[
Rate ]]</f>
        <v>1350</v>
      </c>
      <c r="Q16" s="14">
        <f>Table1[[#This Row],[Indent Qty]]</f>
        <v>1</v>
      </c>
      <c r="R16" s="18">
        <f>Table1[[#This Row],[
Rate ]]*Table1[[#This Row],[Final Qty]]</f>
        <v>1350</v>
      </c>
      <c r="S16" s="14"/>
      <c r="T16" s="14">
        <v>1350</v>
      </c>
      <c r="U16" s="14"/>
    </row>
    <row r="17" spans="2:22" x14ac:dyDescent="0.25">
      <c r="B17" t="s">
        <v>141</v>
      </c>
      <c r="D17" s="14" t="str">
        <f>VLOOKUP(Table1[[#This Row],[
Item Name ]],Rates!$A$2:$B$22,2,0)</f>
        <v>CF</v>
      </c>
      <c r="E17" t="s">
        <v>38</v>
      </c>
      <c r="F17" s="21">
        <v>10110124</v>
      </c>
      <c r="G17" t="str">
        <f>VLOOKUP(Table1[[#This Row],[
MPG Code  ]],[2]Master!$B:$G,6,0)</f>
        <v>GOMUKH ASHRAPHA DIYARA</v>
      </c>
      <c r="H17" s="20" t="s">
        <v>118</v>
      </c>
      <c r="J17" t="s">
        <v>142</v>
      </c>
      <c r="K17" t="s">
        <v>91</v>
      </c>
      <c r="L17" t="str">
        <f>CONCATENATE(Table1[[#This Row],[
MPG Code  ]],Table1[[#This Row],[
Farmer code  ]])</f>
        <v>101101240006</v>
      </c>
      <c r="M17" t="str">
        <f>VLOOKUP(Table1[[#This Row],[
MPG Code  ]],[2]Master!$B:$F,5,0)</f>
        <v>Direct</v>
      </c>
      <c r="N17" s="14">
        <v>1</v>
      </c>
      <c r="O17" s="11">
        <f>VLOOKUP(Table1[[#This Row],[
Item Name ]],Rates!$A$2:$F$22,6,0)</f>
        <v>1350</v>
      </c>
      <c r="P17" s="11">
        <f>Table1[[#This Row],[Indent Qty]]*Table1[[#This Row],[
Rate ]]</f>
        <v>1350</v>
      </c>
      <c r="Q17" s="14">
        <f>Table1[[#This Row],[Indent Qty]]</f>
        <v>1</v>
      </c>
      <c r="R17" s="18">
        <f>Table1[[#This Row],[
Rate ]]*Table1[[#This Row],[Final Qty]]</f>
        <v>1350</v>
      </c>
      <c r="S17" s="14"/>
      <c r="T17" s="14">
        <v>1350</v>
      </c>
      <c r="U17" s="14"/>
    </row>
    <row r="18" spans="2:22" x14ac:dyDescent="0.25">
      <c r="B18" t="s">
        <v>141</v>
      </c>
      <c r="D18" s="14" t="str">
        <f>VLOOKUP(Table1[[#This Row],[
Item Name ]],Rates!$A$2:$B$22,2,0)</f>
        <v>CF</v>
      </c>
      <c r="E18" t="s">
        <v>38</v>
      </c>
      <c r="F18" s="21">
        <v>10110124</v>
      </c>
      <c r="G18" t="str">
        <f>VLOOKUP(Table1[[#This Row],[
MPG Code  ]],[2]Master!$B:$G,6,0)</f>
        <v>GOMUKH ASHRAPHA DIYARA</v>
      </c>
      <c r="H18" s="20" t="s">
        <v>119</v>
      </c>
      <c r="J18" t="s">
        <v>142</v>
      </c>
      <c r="K18" t="s">
        <v>91</v>
      </c>
      <c r="L18" t="str">
        <f>CONCATENATE(Table1[[#This Row],[
MPG Code  ]],Table1[[#This Row],[
Farmer code  ]])</f>
        <v>101101240008</v>
      </c>
      <c r="M18" t="str">
        <f>VLOOKUP(Table1[[#This Row],[
MPG Code  ]],[2]Master!$B:$F,5,0)</f>
        <v>Direct</v>
      </c>
      <c r="N18" s="14">
        <v>1</v>
      </c>
      <c r="O18" s="11">
        <f>VLOOKUP(Table1[[#This Row],[
Item Name ]],Rates!$A$2:$F$22,6,0)</f>
        <v>1350</v>
      </c>
      <c r="P18" s="11">
        <f>Table1[[#This Row],[Indent Qty]]*Table1[[#This Row],[
Rate ]]</f>
        <v>1350</v>
      </c>
      <c r="Q18" s="14">
        <f>Table1[[#This Row],[Indent Qty]]</f>
        <v>1</v>
      </c>
      <c r="R18" s="18">
        <f>Table1[[#This Row],[
Rate ]]*Table1[[#This Row],[Final Qty]]</f>
        <v>1350</v>
      </c>
      <c r="S18" s="14"/>
      <c r="T18" s="14">
        <v>1350</v>
      </c>
      <c r="U18" s="14"/>
    </row>
    <row r="19" spans="2:22" x14ac:dyDescent="0.25">
      <c r="B19" t="s">
        <v>141</v>
      </c>
      <c r="D19" s="14" t="str">
        <f>VLOOKUP(Table1[[#This Row],[
Item Name ]],Rates!$A$2:$B$22,2,0)</f>
        <v>CF</v>
      </c>
      <c r="E19" t="s">
        <v>38</v>
      </c>
      <c r="F19" s="21">
        <v>10110124</v>
      </c>
      <c r="G19" t="str">
        <f>VLOOKUP(Table1[[#This Row],[
MPG Code  ]],[2]Master!$B:$G,6,0)</f>
        <v>GOMUKH ASHRAPHA DIYARA</v>
      </c>
      <c r="H19" s="20" t="s">
        <v>120</v>
      </c>
      <c r="J19" t="s">
        <v>142</v>
      </c>
      <c r="K19" t="s">
        <v>91</v>
      </c>
      <c r="L19" t="str">
        <f>CONCATENATE(Table1[[#This Row],[
MPG Code  ]],Table1[[#This Row],[
Farmer code  ]])</f>
        <v>101101240009</v>
      </c>
      <c r="M19" t="str">
        <f>VLOOKUP(Table1[[#This Row],[
MPG Code  ]],[2]Master!$B:$F,5,0)</f>
        <v>Direct</v>
      </c>
      <c r="N19" s="14">
        <v>1</v>
      </c>
      <c r="O19" s="11">
        <f>VLOOKUP(Table1[[#This Row],[
Item Name ]],Rates!$A$2:$F$22,6,0)</f>
        <v>1350</v>
      </c>
      <c r="P19" s="11">
        <f>Table1[[#This Row],[Indent Qty]]*Table1[[#This Row],[
Rate ]]</f>
        <v>1350</v>
      </c>
      <c r="Q19" s="14">
        <f>Table1[[#This Row],[Indent Qty]]</f>
        <v>1</v>
      </c>
      <c r="R19" s="18">
        <f>Table1[[#This Row],[
Rate ]]*Table1[[#This Row],[Final Qty]]</f>
        <v>1350</v>
      </c>
      <c r="S19" s="14"/>
      <c r="T19" s="14">
        <v>1350</v>
      </c>
      <c r="U19" s="14"/>
    </row>
    <row r="20" spans="2:22" x14ac:dyDescent="0.25">
      <c r="B20" t="s">
        <v>141</v>
      </c>
      <c r="D20" s="14" t="str">
        <f>VLOOKUP(Table1[[#This Row],[
Item Name ]],Rates!$A$2:$B$22,2,0)</f>
        <v>CF</v>
      </c>
      <c r="E20" t="s">
        <v>38</v>
      </c>
      <c r="F20" s="21">
        <v>10110124</v>
      </c>
      <c r="G20" t="str">
        <f>VLOOKUP(Table1[[#This Row],[
MPG Code  ]],[2]Master!$B:$G,6,0)</f>
        <v>GOMUKH ASHRAPHA DIYARA</v>
      </c>
      <c r="H20" s="20" t="s">
        <v>114</v>
      </c>
      <c r="J20" t="s">
        <v>142</v>
      </c>
      <c r="K20" t="s">
        <v>91</v>
      </c>
      <c r="L20" t="str">
        <f>CONCATENATE(Table1[[#This Row],[
MPG Code  ]],Table1[[#This Row],[
Farmer code  ]])</f>
        <v>101101240026</v>
      </c>
      <c r="M20" t="str">
        <f>VLOOKUP(Table1[[#This Row],[
MPG Code  ]],[2]Master!$B:$F,5,0)</f>
        <v>Direct</v>
      </c>
      <c r="N20" s="14">
        <v>1</v>
      </c>
      <c r="O20" s="11">
        <f>VLOOKUP(Table1[[#This Row],[
Item Name ]],Rates!$A$2:$F$22,6,0)</f>
        <v>1350</v>
      </c>
      <c r="P20" s="11">
        <f>Table1[[#This Row],[Indent Qty]]*Table1[[#This Row],[
Rate ]]</f>
        <v>1350</v>
      </c>
      <c r="Q20" s="14">
        <f>Table1[[#This Row],[Indent Qty]]</f>
        <v>1</v>
      </c>
      <c r="R20" s="18">
        <f>Table1[[#This Row],[
Rate ]]*Table1[[#This Row],[Final Qty]]</f>
        <v>1350</v>
      </c>
      <c r="S20" s="14"/>
      <c r="T20" s="14">
        <v>1350</v>
      </c>
      <c r="U20" s="14"/>
    </row>
    <row r="21" spans="2:22" x14ac:dyDescent="0.25">
      <c r="B21" t="s">
        <v>141</v>
      </c>
      <c r="D21" s="14" t="str">
        <f>VLOOKUP(Table1[[#This Row],[
Item Name ]],Rates!$A$2:$B$22,2,0)</f>
        <v>CF</v>
      </c>
      <c r="E21" t="s">
        <v>38</v>
      </c>
      <c r="F21" s="21">
        <v>10110110</v>
      </c>
      <c r="G21" t="str">
        <f>VLOOKUP(Table1[[#This Row],[
MPG Code  ]],[2]Master!$B:$G,6,0)</f>
        <v>GOMUKH HANSPUR</v>
      </c>
      <c r="H21" s="20" t="s">
        <v>113</v>
      </c>
      <c r="J21" t="s">
        <v>142</v>
      </c>
      <c r="K21" t="s">
        <v>91</v>
      </c>
      <c r="L21" t="str">
        <f>CONCATENATE(Table1[[#This Row],[
MPG Code  ]],Table1[[#This Row],[
Farmer code  ]])</f>
        <v>101101100002</v>
      </c>
      <c r="M21" t="str">
        <f>VLOOKUP(Table1[[#This Row],[
MPG Code  ]],[2]Master!$B:$F,5,0)</f>
        <v>Direct</v>
      </c>
      <c r="N21" s="14">
        <v>2</v>
      </c>
      <c r="O21" s="11">
        <v>1300</v>
      </c>
      <c r="P21" s="11">
        <f>Table1[[#This Row],[Indent Qty]]*Table1[[#This Row],[
Rate ]]</f>
        <v>2600</v>
      </c>
      <c r="Q21" s="14">
        <f>Table1[[#This Row],[Indent Qty]]</f>
        <v>2</v>
      </c>
      <c r="R21" s="18">
        <f>Table1[[#This Row],[
Rate ]]*Table1[[#This Row],[Final Qty]]</f>
        <v>2600</v>
      </c>
      <c r="S21" s="14"/>
      <c r="T21" s="14">
        <v>0</v>
      </c>
      <c r="U21" s="14"/>
    </row>
    <row r="22" spans="2:22" x14ac:dyDescent="0.25">
      <c r="B22" t="s">
        <v>141</v>
      </c>
      <c r="D22" s="14" t="str">
        <f>VLOOKUP(Table1[[#This Row],[
Item Name ]],Rates!$A$2:$B$22,2,0)</f>
        <v>CF</v>
      </c>
      <c r="E22" t="s">
        <v>38</v>
      </c>
      <c r="F22" s="21">
        <v>10110001</v>
      </c>
      <c r="G22" t="str">
        <f>VLOOKUP(Table1[[#This Row],[
MPG Code  ]],[2]Master!$B:$G,6,0)</f>
        <v>Gomukh Mahendrapur</v>
      </c>
      <c r="H22" s="20" t="s">
        <v>113</v>
      </c>
      <c r="J22" t="s">
        <v>142</v>
      </c>
      <c r="K22" t="s">
        <v>91</v>
      </c>
      <c r="L22" t="str">
        <f>CONCATENATE(Table1[[#This Row],[
MPG Code  ]],Table1[[#This Row],[
Farmer code  ]])</f>
        <v>101100010002</v>
      </c>
      <c r="M22" t="str">
        <f>VLOOKUP(Table1[[#This Row],[
MPG Code  ]],[2]Master!$B:$F,5,0)</f>
        <v>Direct</v>
      </c>
      <c r="N22" s="14">
        <v>2</v>
      </c>
      <c r="O22" s="11">
        <v>1300</v>
      </c>
      <c r="P22" s="11">
        <f>Table1[[#This Row],[Indent Qty]]*Table1[[#This Row],[
Rate ]]</f>
        <v>2600</v>
      </c>
      <c r="Q22" s="14">
        <f>Table1[[#This Row],[Indent Qty]]</f>
        <v>2</v>
      </c>
      <c r="R22" s="18">
        <f>Table1[[#This Row],[
Rate ]]*Table1[[#This Row],[Final Qty]]</f>
        <v>2600</v>
      </c>
      <c r="S22" s="14"/>
      <c r="T22" s="14">
        <v>2600</v>
      </c>
      <c r="U22" s="14"/>
    </row>
    <row r="23" spans="2:22" x14ac:dyDescent="0.25">
      <c r="B23" t="s">
        <v>141</v>
      </c>
      <c r="D23" s="14" t="str">
        <f>VLOOKUP(Table1[[#This Row],[
Item Name ]],Rates!$A$2:$B$22,2,0)</f>
        <v>CF</v>
      </c>
      <c r="E23" t="s">
        <v>38</v>
      </c>
      <c r="F23" s="21">
        <v>10120084</v>
      </c>
      <c r="G23" t="str">
        <f>VLOOKUP(Table1[[#This Row],[
MPG Code  ]],[2]Master!$B:$G,6,0)</f>
        <v>Mahmmadipur</v>
      </c>
      <c r="H23" s="20" t="s">
        <v>113</v>
      </c>
      <c r="J23" t="str">
        <f>VLOOKUP(Table1[[#This Row],[
MPG Code  ]],[2]Master!$B:$N,13,0)</f>
        <v>DalsinghSarai</v>
      </c>
      <c r="K23" t="s">
        <v>91</v>
      </c>
      <c r="L23" t="str">
        <f>CONCATENATE(Table1[[#This Row],[
MPG Code  ]],Table1[[#This Row],[
Farmer code  ]])</f>
        <v>101200840002</v>
      </c>
      <c r="M23" t="str">
        <f>VLOOKUP(Table1[[#This Row],[
MPG Code  ]],[2]Master!$B:$F,5,0)</f>
        <v>Direct</v>
      </c>
      <c r="N23" s="14">
        <v>5</v>
      </c>
      <c r="O23" s="11">
        <f>VLOOKUP(Table1[[#This Row],[
Item Name ]],Rates!$A$2:$F$22,6,0)</f>
        <v>1350</v>
      </c>
      <c r="P23" s="11">
        <f>Table1[[#This Row],[Indent Qty]]*Table1[[#This Row],[
Rate ]]</f>
        <v>6750</v>
      </c>
      <c r="Q23" s="14">
        <f>Table1[[#This Row],[Indent Qty]]</f>
        <v>5</v>
      </c>
      <c r="R23" s="18">
        <f>Table1[[#This Row],[
Rate ]]*Table1[[#This Row],[Final Qty]]</f>
        <v>6750</v>
      </c>
      <c r="S23" s="14"/>
      <c r="T23" s="14">
        <v>6750</v>
      </c>
      <c r="U23" s="14"/>
      <c r="V23" s="14" t="s">
        <v>110</v>
      </c>
    </row>
    <row r="24" spans="2:22" x14ac:dyDescent="0.25">
      <c r="B24" t="s">
        <v>141</v>
      </c>
      <c r="D24" s="14" t="str">
        <f>VLOOKUP(Table1[[#This Row],[
Item Name ]],Rates!$A$2:$B$22,2,0)</f>
        <v>CF</v>
      </c>
      <c r="E24" t="s">
        <v>38</v>
      </c>
      <c r="F24" s="21">
        <v>10120053</v>
      </c>
      <c r="G24" t="str">
        <f>VLOOKUP(Table1[[#This Row],[
MPG Code  ]],[2]Master!$B:$G,6,0)</f>
        <v>Jagdispur</v>
      </c>
      <c r="H24" s="20" t="s">
        <v>113</v>
      </c>
      <c r="J24" t="str">
        <f>VLOOKUP(Table1[[#This Row],[
MPG Code  ]],[2]Master!$B:$N,13,0)</f>
        <v>DalsinghSarai</v>
      </c>
      <c r="K24" t="s">
        <v>91</v>
      </c>
      <c r="L24" t="str">
        <f>CONCATENATE(Table1[[#This Row],[
MPG Code  ]],Table1[[#This Row],[
Farmer code  ]])</f>
        <v>101200530002</v>
      </c>
      <c r="M24" t="str">
        <f>VLOOKUP(Table1[[#This Row],[
MPG Code  ]],[2]Master!$B:$F,5,0)</f>
        <v>Direct</v>
      </c>
      <c r="N24" s="14">
        <v>0</v>
      </c>
      <c r="O24" s="11">
        <v>0</v>
      </c>
      <c r="P24" s="11">
        <v>757</v>
      </c>
      <c r="Q24" s="14">
        <f>Table1[[#This Row],[Indent Qty]]</f>
        <v>0</v>
      </c>
      <c r="R24" s="18">
        <v>757</v>
      </c>
      <c r="S24" s="14"/>
      <c r="T24" s="14">
        <v>757</v>
      </c>
      <c r="U24" s="14"/>
    </row>
    <row r="25" spans="2:22" x14ac:dyDescent="0.25">
      <c r="B25" t="s">
        <v>141</v>
      </c>
      <c r="D25" s="14" t="str">
        <f>VLOOKUP(Table1[[#This Row],[
Item Name ]],Rates!$A$2:$B$22,2,0)</f>
        <v>CF</v>
      </c>
      <c r="E25" t="s">
        <v>38</v>
      </c>
      <c r="F25" s="21">
        <v>10120083</v>
      </c>
      <c r="G25" t="str">
        <f>VLOOKUP(Table1[[#This Row],[
MPG Code  ]],[2]Master!$B:$G,6,0)</f>
        <v>Beri</v>
      </c>
      <c r="H25" s="20" t="s">
        <v>113</v>
      </c>
      <c r="J25" t="str">
        <f>VLOOKUP(Table1[[#This Row],[
MPG Code  ]],[2]Master!$B:$N,13,0)</f>
        <v>DalsinghSarai</v>
      </c>
      <c r="K25" t="s">
        <v>91</v>
      </c>
      <c r="L25" t="str">
        <f>CONCATENATE(Table1[[#This Row],[
MPG Code  ]],Table1[[#This Row],[
Farmer code  ]])</f>
        <v>101200830002</v>
      </c>
      <c r="M25" t="str">
        <f>VLOOKUP(Table1[[#This Row],[
MPG Code  ]],[2]Master!$B:$F,5,0)</f>
        <v>Direct</v>
      </c>
      <c r="N25" s="14">
        <v>0</v>
      </c>
      <c r="O25" s="11">
        <v>0</v>
      </c>
      <c r="P25" s="11">
        <v>757</v>
      </c>
      <c r="Q25" s="14">
        <f>Table1[[#This Row],[Indent Qty]]</f>
        <v>0</v>
      </c>
      <c r="R25" s="18">
        <v>757</v>
      </c>
      <c r="S25" s="14"/>
      <c r="T25" s="14">
        <v>0</v>
      </c>
      <c r="U25" s="14"/>
    </row>
    <row r="26" spans="2:22" x14ac:dyDescent="0.25">
      <c r="B26" t="s">
        <v>141</v>
      </c>
      <c r="D26" s="14" t="str">
        <f>VLOOKUP(Table1[[#This Row],[
Item Name ]],Rates!$A$2:$B$22,2,0)</f>
        <v>CF</v>
      </c>
      <c r="E26" t="s">
        <v>38</v>
      </c>
      <c r="F26" s="21">
        <v>10120083</v>
      </c>
      <c r="G26" t="str">
        <f>VLOOKUP(Table1[[#This Row],[
MPG Code  ]],[2]Master!$B:$G,6,0)</f>
        <v>Beri</v>
      </c>
      <c r="H26" s="20" t="s">
        <v>113</v>
      </c>
      <c r="J26" t="str">
        <f>VLOOKUP(Table1[[#This Row],[
MPG Code  ]],[2]Master!$B:$N,13,0)</f>
        <v>DalsinghSarai</v>
      </c>
      <c r="K26" t="s">
        <v>91</v>
      </c>
      <c r="L26" t="str">
        <f>CONCATENATE(Table1[[#This Row],[
MPG Code  ]],Table1[[#This Row],[
Farmer code  ]])</f>
        <v>101200830002</v>
      </c>
      <c r="M26" t="str">
        <f>VLOOKUP(Table1[[#This Row],[
MPG Code  ]],[2]Master!$B:$F,5,0)</f>
        <v>Direct</v>
      </c>
      <c r="N26" s="14">
        <v>20</v>
      </c>
      <c r="O26" s="11">
        <v>1250</v>
      </c>
      <c r="P26" s="11">
        <f>Table1[[#This Row],[Indent Qty]]*Table1[[#This Row],[
Rate ]]</f>
        <v>25000</v>
      </c>
      <c r="Q26" s="14">
        <f>Table1[[#This Row],[Indent Qty]]</f>
        <v>20</v>
      </c>
      <c r="R26" s="18">
        <f>Table1[[#This Row],[
Rate ]]*Table1[[#This Row],[Final Qty]]</f>
        <v>25000</v>
      </c>
      <c r="S26" s="14"/>
      <c r="T26" s="14">
        <v>10397</v>
      </c>
      <c r="U26" s="14"/>
    </row>
    <row r="27" spans="2:22" x14ac:dyDescent="0.25">
      <c r="B27" t="s">
        <v>141</v>
      </c>
      <c r="D27" s="14" t="str">
        <f>VLOOKUP(Table1[[#This Row],[
Item Name ]],Rates!$A$2:$B$22,2,0)</f>
        <v>CF</v>
      </c>
      <c r="E27" t="s">
        <v>38</v>
      </c>
      <c r="F27" s="21">
        <v>10120123</v>
      </c>
      <c r="G27" t="str">
        <f>VLOOKUP(Table1[[#This Row],[
MPG Code  ]],[2]Master!$B:$G,6,0)</f>
        <v>GOMUKH Chakhale dad</v>
      </c>
      <c r="H27" s="20" t="s">
        <v>113</v>
      </c>
      <c r="J27" t="str">
        <f>VLOOKUP(Table1[[#This Row],[
MPG Code  ]],[2]Master!$B:$N,13,0)</f>
        <v>DalsinghSarai</v>
      </c>
      <c r="K27" t="s">
        <v>91</v>
      </c>
      <c r="L27" t="str">
        <f>CONCATENATE(Table1[[#This Row],[
MPG Code  ]],Table1[[#This Row],[
Farmer code  ]])</f>
        <v>101201230002</v>
      </c>
      <c r="M27" t="str">
        <f>VLOOKUP(Table1[[#This Row],[
MPG Code  ]],[2]Master!$B:$F,5,0)</f>
        <v>Direct</v>
      </c>
      <c r="N27" s="14">
        <v>1</v>
      </c>
      <c r="O27" s="11">
        <f>VLOOKUP(Table1[[#This Row],[
Item Name ]],Rates!$A$2:$F$22,6,0)</f>
        <v>1350</v>
      </c>
      <c r="P27" s="11">
        <f>Table1[[#This Row],[Indent Qty]]*Table1[[#This Row],[
Rate ]]</f>
        <v>1350</v>
      </c>
      <c r="Q27" s="14">
        <f>Table1[[#This Row],[Indent Qty]]</f>
        <v>1</v>
      </c>
      <c r="R27" s="18">
        <f>Table1[[#This Row],[
Rate ]]*Table1[[#This Row],[Final Qty]]</f>
        <v>1350</v>
      </c>
      <c r="S27" s="14"/>
      <c r="T27" s="14">
        <v>1350</v>
      </c>
      <c r="U27" s="14"/>
    </row>
    <row r="28" spans="2:22" x14ac:dyDescent="0.25">
      <c r="B28" t="s">
        <v>141</v>
      </c>
      <c r="D28" s="14" t="str">
        <f>VLOOKUP(Table1[[#This Row],[
Item Name ]],Rates!$A$2:$B$22,2,0)</f>
        <v>CF</v>
      </c>
      <c r="E28" t="s">
        <v>38</v>
      </c>
      <c r="F28" s="21">
        <v>10120017</v>
      </c>
      <c r="G28" t="str">
        <f>VLOOKUP(Table1[[#This Row],[
MPG Code  ]],[2]Master!$B:$G,6,0)</f>
        <v>Gomukh Dumduma</v>
      </c>
      <c r="H28" s="20" t="s">
        <v>113</v>
      </c>
      <c r="J28" t="str">
        <f>VLOOKUP(Table1[[#This Row],[
MPG Code  ]],[2]Master!$B:$N,13,0)</f>
        <v>DalsinghSarai</v>
      </c>
      <c r="K28" t="s">
        <v>91</v>
      </c>
      <c r="L28" t="str">
        <f>CONCATENATE(Table1[[#This Row],[
MPG Code  ]],Table1[[#This Row],[
Farmer code  ]])</f>
        <v>101200170002</v>
      </c>
      <c r="M28" t="str">
        <f>VLOOKUP(Table1[[#This Row],[
MPG Code  ]],[2]Master!$B:$F,5,0)</f>
        <v>Direct</v>
      </c>
      <c r="N28" s="14">
        <v>5</v>
      </c>
      <c r="O28" s="11">
        <f>VLOOKUP(Table1[[#This Row],[
Item Name ]],Rates!$A$2:$F$22,6,0)</f>
        <v>1350</v>
      </c>
      <c r="P28" s="11">
        <f>Table1[[#This Row],[Indent Qty]]*Table1[[#This Row],[
Rate ]]</f>
        <v>6750</v>
      </c>
      <c r="Q28" s="14">
        <f>Table1[[#This Row],[Indent Qty]]</f>
        <v>5</v>
      </c>
      <c r="R28" s="18">
        <f>Table1[[#This Row],[
Rate ]]*Table1[[#This Row],[Final Qty]]</f>
        <v>6750</v>
      </c>
      <c r="S28" s="14"/>
      <c r="T28" s="14">
        <v>6750</v>
      </c>
      <c r="U28" s="14"/>
    </row>
    <row r="29" spans="2:22" x14ac:dyDescent="0.25">
      <c r="B29" t="s">
        <v>141</v>
      </c>
      <c r="D29" s="14" t="str">
        <f>VLOOKUP(Table1[[#This Row],[
Item Name ]],Rates!$A$2:$B$22,2,0)</f>
        <v>CF</v>
      </c>
      <c r="E29" t="s">
        <v>38</v>
      </c>
      <c r="F29" s="21">
        <v>10120034</v>
      </c>
      <c r="G29" t="str">
        <f>VLOOKUP(Table1[[#This Row],[
MPG Code  ]],[2]Master!$B:$G,6,0)</f>
        <v>Matior</v>
      </c>
      <c r="H29" s="20" t="s">
        <v>113</v>
      </c>
      <c r="J29" t="str">
        <f>VLOOKUP(Table1[[#This Row],[
MPG Code  ]],[2]Master!$B:$N,13,0)</f>
        <v>DalsinghSarai</v>
      </c>
      <c r="K29" t="s">
        <v>91</v>
      </c>
      <c r="L29" t="str">
        <f>CONCATENATE(Table1[[#This Row],[
MPG Code  ]],Table1[[#This Row],[
Farmer code  ]])</f>
        <v>101200340002</v>
      </c>
      <c r="M29" t="str">
        <f>VLOOKUP(Table1[[#This Row],[
MPG Code  ]],[2]Master!$B:$F,5,0)</f>
        <v>Direct</v>
      </c>
      <c r="N29" s="14">
        <v>0</v>
      </c>
      <c r="O29" s="11">
        <v>0</v>
      </c>
      <c r="P29" s="11">
        <v>1200</v>
      </c>
      <c r="Q29" s="14">
        <f>Table1[[#This Row],[Indent Qty]]</f>
        <v>0</v>
      </c>
      <c r="R29" s="18">
        <v>1200</v>
      </c>
      <c r="S29" s="14"/>
      <c r="T29" s="14">
        <v>1200</v>
      </c>
      <c r="U29" s="14"/>
    </row>
    <row r="30" spans="2:22" x14ac:dyDescent="0.25">
      <c r="B30" t="s">
        <v>141</v>
      </c>
      <c r="D30" s="14" t="str">
        <f>VLOOKUP(Table1[[#This Row],[
Item Name ]],Rates!$A$2:$B$22,2,0)</f>
        <v>CF</v>
      </c>
      <c r="E30" t="s">
        <v>38</v>
      </c>
      <c r="F30" s="21">
        <v>10120123</v>
      </c>
      <c r="G30" t="str">
        <f>VLOOKUP(Table1[[#This Row],[
MPG Code  ]],[2]Master!$B:$G,6,0)</f>
        <v>GOMUKH Chakhale dad</v>
      </c>
      <c r="H30" s="20" t="s">
        <v>113</v>
      </c>
      <c r="J30" t="str">
        <f>VLOOKUP(Table1[[#This Row],[
MPG Code  ]],[2]Master!$B:$N,13,0)</f>
        <v>DalsinghSarai</v>
      </c>
      <c r="K30" t="s">
        <v>91</v>
      </c>
      <c r="L30" t="str">
        <f>CONCATENATE(Table1[[#This Row],[
MPG Code  ]],Table1[[#This Row],[
Farmer code  ]])</f>
        <v>101201230002</v>
      </c>
      <c r="M30" t="str">
        <f>VLOOKUP(Table1[[#This Row],[
MPG Code  ]],[2]Master!$B:$F,5,0)</f>
        <v>Direct</v>
      </c>
      <c r="N30" s="14">
        <v>0</v>
      </c>
      <c r="O30" s="11">
        <v>0</v>
      </c>
      <c r="P30" s="11">
        <v>150</v>
      </c>
      <c r="Q30" s="14">
        <f>Table1[[#This Row],[Indent Qty]]</f>
        <v>0</v>
      </c>
      <c r="R30" s="18">
        <v>150</v>
      </c>
      <c r="S30" s="14"/>
      <c r="T30" s="14">
        <v>150</v>
      </c>
      <c r="U30" s="14"/>
    </row>
    <row r="31" spans="2:22" x14ac:dyDescent="0.25">
      <c r="B31" t="s">
        <v>141</v>
      </c>
      <c r="D31" s="14" t="str">
        <f>VLOOKUP(Table1[[#This Row],[
Item Name ]],Rates!$A$2:$B$22,2,0)</f>
        <v>CF</v>
      </c>
      <c r="E31" t="s">
        <v>38</v>
      </c>
      <c r="F31" s="21">
        <v>10130077</v>
      </c>
      <c r="G31" t="str">
        <f>VLOOKUP(Table1[[#This Row],[
MPG Code  ]],[2]Master!$B:$G,6,0)</f>
        <v>Gomukh Akaha</v>
      </c>
      <c r="H31" s="20" t="s">
        <v>111</v>
      </c>
      <c r="J31" t="str">
        <f>VLOOKUP(Table1[[#This Row],[
MPG Code  ]],[2]Master!$B:$N,13,0)</f>
        <v>Musrigharari</v>
      </c>
      <c r="K31" t="s">
        <v>91</v>
      </c>
      <c r="L31" t="str">
        <f>CONCATENATE(Table1[[#This Row],[
MPG Code  ]],Table1[[#This Row],[
Farmer code  ]])</f>
        <v>101300770003</v>
      </c>
      <c r="M31" t="str">
        <f>VLOOKUP(Table1[[#This Row],[
MPG Code  ]],[2]Master!$B:$F,5,0)</f>
        <v>Direct</v>
      </c>
      <c r="N31" s="14">
        <v>1</v>
      </c>
      <c r="O31" s="11">
        <f>VLOOKUP(Table1[[#This Row],[
Item Name ]],Rates!$A$2:$F$22,6,0)</f>
        <v>1350</v>
      </c>
      <c r="P31" s="11">
        <f>Table1[[#This Row],[Indent Qty]]*Table1[[#This Row],[
Rate ]]</f>
        <v>1350</v>
      </c>
      <c r="Q31" s="14">
        <f>Table1[[#This Row],[Indent Qty]]</f>
        <v>1</v>
      </c>
      <c r="R31" s="18">
        <f>Table1[[#This Row],[
Rate ]]*Table1[[#This Row],[Final Qty]]</f>
        <v>1350</v>
      </c>
      <c r="S31" s="14"/>
      <c r="T31" s="14">
        <v>1350</v>
      </c>
      <c r="U31" s="14"/>
    </row>
    <row r="32" spans="2:22" x14ac:dyDescent="0.25">
      <c r="B32" t="s">
        <v>141</v>
      </c>
      <c r="D32" s="14" t="str">
        <f>VLOOKUP(Table1[[#This Row],[
Item Name ]],Rates!$A$2:$B$22,2,0)</f>
        <v>CF</v>
      </c>
      <c r="E32" t="s">
        <v>40</v>
      </c>
      <c r="F32" s="21">
        <v>10130073</v>
      </c>
      <c r="G32" t="str">
        <f>VLOOKUP(Table1[[#This Row],[
MPG Code  ]],[2]Master!$B:$G,6,0)</f>
        <v>Dagarua</v>
      </c>
      <c r="H32" s="20" t="s">
        <v>113</v>
      </c>
      <c r="J32" t="str">
        <f>VLOOKUP(Table1[[#This Row],[
MPG Code  ]],[2]Master!$B:$N,13,0)</f>
        <v>Musrigharari</v>
      </c>
      <c r="K32" t="s">
        <v>91</v>
      </c>
      <c r="L32" t="str">
        <f>CONCATENATE(Table1[[#This Row],[
MPG Code  ]],Table1[[#This Row],[
Farmer code  ]])</f>
        <v>101300730002</v>
      </c>
      <c r="M32" t="str">
        <f>VLOOKUP(Table1[[#This Row],[
MPG Code  ]],[2]Master!$B:$F,5,0)</f>
        <v>Direct</v>
      </c>
      <c r="N32" s="14">
        <v>1</v>
      </c>
      <c r="O32" s="11">
        <f>VLOOKUP(Table1[[#This Row],[
Item Name ]],Rates!$A$2:$F$22,6,0)</f>
        <v>1500</v>
      </c>
      <c r="P32" s="11">
        <f>Table1[[#This Row],[Indent Qty]]*Table1[[#This Row],[
Rate ]]</f>
        <v>1500</v>
      </c>
      <c r="Q32" s="14">
        <f>Table1[[#This Row],[Indent Qty]]</f>
        <v>1</v>
      </c>
      <c r="R32" s="18">
        <f>Table1[[#This Row],[
Rate ]]*Table1[[#This Row],[Final Qty]]</f>
        <v>1500</v>
      </c>
      <c r="S32" s="14"/>
      <c r="T32" s="14">
        <v>1372</v>
      </c>
      <c r="U32" s="14"/>
    </row>
    <row r="33" spans="2:22" x14ac:dyDescent="0.25">
      <c r="B33" t="s">
        <v>141</v>
      </c>
      <c r="D33" s="14" t="str">
        <f>VLOOKUP(Table1[[#This Row],[
Item Name ]],Rates!$A$2:$B$22,2,0)</f>
        <v>CF</v>
      </c>
      <c r="E33" t="s">
        <v>38</v>
      </c>
      <c r="F33" s="21">
        <v>10130116</v>
      </c>
      <c r="G33" t="str">
        <f>VLOOKUP(Table1[[#This Row],[
MPG Code  ]],[2]Master!$B:$G,6,0)</f>
        <v>GOMUKH CHAKIRDI</v>
      </c>
      <c r="H33" s="20" t="s">
        <v>113</v>
      </c>
      <c r="J33" t="str">
        <f>VLOOKUP(Table1[[#This Row],[
MPG Code  ]],[2]Master!$B:$N,13,0)</f>
        <v>Musrigharari</v>
      </c>
      <c r="K33" t="s">
        <v>91</v>
      </c>
      <c r="L33" t="str">
        <f>CONCATENATE(Table1[[#This Row],[
MPG Code  ]],Table1[[#This Row],[
Farmer code  ]])</f>
        <v>101301160002</v>
      </c>
      <c r="M33" t="str">
        <f>VLOOKUP(Table1[[#This Row],[
MPG Code  ]],[2]Master!$B:$F,5,0)</f>
        <v>Direct</v>
      </c>
      <c r="N33" s="14">
        <v>1</v>
      </c>
      <c r="O33" s="11">
        <f>VLOOKUP(Table1[[#This Row],[
Item Name ]],Rates!$A$2:$F$22,6,0)</f>
        <v>1350</v>
      </c>
      <c r="P33" s="11">
        <f>Table1[[#This Row],[Indent Qty]]*Table1[[#This Row],[
Rate ]]</f>
        <v>1350</v>
      </c>
      <c r="Q33" s="14">
        <f>Table1[[#This Row],[Indent Qty]]</f>
        <v>1</v>
      </c>
      <c r="R33" s="18">
        <f>Table1[[#This Row],[
Rate ]]*Table1[[#This Row],[Final Qty]]</f>
        <v>1350</v>
      </c>
      <c r="S33" s="14"/>
      <c r="T33" s="14">
        <v>568</v>
      </c>
      <c r="U33" s="14"/>
    </row>
    <row r="34" spans="2:22" x14ac:dyDescent="0.25">
      <c r="B34" t="s">
        <v>141</v>
      </c>
      <c r="D34" s="14" t="str">
        <f>VLOOKUP(Table1[[#This Row],[
Item Name ]],Rates!$A$2:$B$22,2,0)</f>
        <v>CF</v>
      </c>
      <c r="E34" t="s">
        <v>38</v>
      </c>
      <c r="F34" s="21">
        <v>10120007</v>
      </c>
      <c r="G34" t="str">
        <f>VLOOKUP(Table1[[#This Row],[
MPG Code  ]],[2]Master!$B:$G,6,0)</f>
        <v>ARMAULI-2</v>
      </c>
      <c r="H34" s="20" t="s">
        <v>145</v>
      </c>
      <c r="J34" t="str">
        <f>VLOOKUP(Table1[[#This Row],[
MPG Code  ]],[2]Master!$B:$N,13,0)</f>
        <v>DalsinghSarai</v>
      </c>
      <c r="K34" t="s">
        <v>91</v>
      </c>
      <c r="L34" t="str">
        <f>CONCATENATE(Table1[[#This Row],[
MPG Code  ]],Table1[[#This Row],[
Farmer code  ]])</f>
        <v>101200070077</v>
      </c>
      <c r="M34" t="str">
        <f>VLOOKUP(Table1[[#This Row],[
MPG Code  ]],[2]Master!$B:$F,5,0)</f>
        <v>Direct</v>
      </c>
      <c r="N34" s="14">
        <v>1</v>
      </c>
      <c r="O34" s="11">
        <f>VLOOKUP(Table1[[#This Row],[
Item Name ]],Rates!$A$2:$F$22,6,0)</f>
        <v>1350</v>
      </c>
      <c r="P34" s="11">
        <f>Table1[[#This Row],[Indent Qty]]*Table1[[#This Row],[
Rate ]]</f>
        <v>1350</v>
      </c>
      <c r="Q34" s="14">
        <f>Table1[[#This Row],[Indent Qty]]</f>
        <v>1</v>
      </c>
      <c r="R34" s="18">
        <f>Table1[[#This Row],[
Rate ]]*Table1[[#This Row],[Final Qty]]</f>
        <v>1350</v>
      </c>
      <c r="S34" s="14"/>
      <c r="T34" s="14">
        <v>1350</v>
      </c>
      <c r="U34" s="14"/>
    </row>
    <row r="35" spans="2:22" x14ac:dyDescent="0.25">
      <c r="B35" t="s">
        <v>141</v>
      </c>
      <c r="D35" s="14" t="str">
        <f>VLOOKUP(Table1[[#This Row],[
Item Name ]],Rates!$A$2:$B$22,2,0)</f>
        <v>CF</v>
      </c>
      <c r="E35" t="s">
        <v>38</v>
      </c>
      <c r="F35" s="21">
        <v>10130046</v>
      </c>
      <c r="G35" t="str">
        <f>VLOOKUP(Table1[[#This Row],[
MPG Code  ]],[2]Master!$B:$G,6,0)</f>
        <v>Jahangipur Salkhanni</v>
      </c>
      <c r="H35" s="20" t="s">
        <v>111</v>
      </c>
      <c r="J35" t="str">
        <f>VLOOKUP(Table1[[#This Row],[
MPG Code  ]],[2]Master!$B:$N,13,0)</f>
        <v>Musrigharari</v>
      </c>
      <c r="K35" t="s">
        <v>91</v>
      </c>
      <c r="L35" t="str">
        <f>CONCATENATE(Table1[[#This Row],[
MPG Code  ]],Table1[[#This Row],[
Farmer code  ]])</f>
        <v>101300460003</v>
      </c>
      <c r="M35" t="str">
        <f>VLOOKUP(Table1[[#This Row],[
MPG Code  ]],[2]Master!$B:$F,5,0)</f>
        <v>Direct</v>
      </c>
      <c r="N35" s="14">
        <v>2</v>
      </c>
      <c r="O35" s="11">
        <f>VLOOKUP(Table1[[#This Row],[
Item Name ]],Rates!$A$2:$F$22,6,0)</f>
        <v>1350</v>
      </c>
      <c r="P35" s="11">
        <f>Table1[[#This Row],[Indent Qty]]*Table1[[#This Row],[
Rate ]]</f>
        <v>2700</v>
      </c>
      <c r="Q35" s="14">
        <f>Table1[[#This Row],[Indent Qty]]</f>
        <v>2</v>
      </c>
      <c r="R35" s="18">
        <f>Table1[[#This Row],[
Rate ]]*Table1[[#This Row],[Final Qty]]</f>
        <v>2700</v>
      </c>
      <c r="S35" s="14"/>
      <c r="T35" s="14">
        <v>871</v>
      </c>
      <c r="U35" s="14"/>
    </row>
    <row r="36" spans="2:22" x14ac:dyDescent="0.25">
      <c r="B36" t="s">
        <v>141</v>
      </c>
      <c r="D36" s="14" t="str">
        <f>VLOOKUP(Table1[[#This Row],[
Item Name ]],Rates!$A$2:$B$22,2,0)</f>
        <v>CF</v>
      </c>
      <c r="E36" t="s">
        <v>40</v>
      </c>
      <c r="F36">
        <v>10130044</v>
      </c>
      <c r="G36" t="str">
        <f>VLOOKUP(Table1[[#This Row],[
MPG Code  ]],[2]Master!$B:$G,6,0)</f>
        <v>Lakshmipur Western Tol - Rajeev</v>
      </c>
      <c r="H36" s="20" t="s">
        <v>113</v>
      </c>
      <c r="J36" t="str">
        <f>VLOOKUP(Table1[[#This Row],[
MPG Code  ]],[2]Master!$B:$N,13,0)</f>
        <v>Musrigharari</v>
      </c>
      <c r="K36" t="s">
        <v>91</v>
      </c>
      <c r="L36" t="str">
        <f>CONCATENATE(Table1[[#This Row],[
MPG Code  ]],Table1[[#This Row],[
Farmer code  ]])</f>
        <v>101300440002</v>
      </c>
      <c r="M36" t="str">
        <f>VLOOKUP(Table1[[#This Row],[
MPG Code  ]],[2]Master!$B:$F,5,0)</f>
        <v>Direct</v>
      </c>
      <c r="N36" s="14">
        <v>2</v>
      </c>
      <c r="O36" s="11">
        <f>VLOOKUP(Table1[[#This Row],[
Item Name ]],Rates!$A$2:$F$22,6,0)</f>
        <v>1500</v>
      </c>
      <c r="P36" s="11">
        <f>Table1[[#This Row],[Indent Qty]]*Table1[[#This Row],[
Rate ]]</f>
        <v>3000</v>
      </c>
      <c r="Q36" s="14">
        <f>Table1[[#This Row],[Indent Qty]]</f>
        <v>2</v>
      </c>
      <c r="R36" s="18">
        <f>Table1[[#This Row],[
Rate ]]*Table1[[#This Row],[Final Qty]]</f>
        <v>3000</v>
      </c>
      <c r="S36" s="14"/>
      <c r="T36" s="14">
        <v>0</v>
      </c>
      <c r="U36" s="14"/>
    </row>
    <row r="37" spans="2:22" x14ac:dyDescent="0.25">
      <c r="B37" t="s">
        <v>141</v>
      </c>
      <c r="D37" s="14" t="str">
        <f>VLOOKUP(Table1[[#This Row],[
Item Name ]],Rates!$A$2:$B$22,2,0)</f>
        <v>CF</v>
      </c>
      <c r="E37" t="s">
        <v>38</v>
      </c>
      <c r="F37">
        <v>10010038</v>
      </c>
      <c r="G37" t="str">
        <f>VLOOKUP(Table1[[#This Row],[
MPG Code  ]],[2]Master!$B:$G,6,0)</f>
        <v>Gomukh Goriyari</v>
      </c>
      <c r="H37" s="20" t="s">
        <v>113</v>
      </c>
      <c r="J37" t="str">
        <f>VLOOKUP(Table1[[#This Row],[
MPG Code  ]],[2]Master!$B:$N,13,0)</f>
        <v>Majhaul</v>
      </c>
      <c r="K37" t="s">
        <v>91</v>
      </c>
      <c r="L37" t="str">
        <f>CONCATENATE(Table1[[#This Row],[
MPG Code  ]],Table1[[#This Row],[
Farmer code  ]])</f>
        <v>100100380002</v>
      </c>
      <c r="M37" t="str">
        <f>VLOOKUP(Table1[[#This Row],[
MPG Code  ]],[2]Master!$B:$F,5,0)</f>
        <v>Direct</v>
      </c>
      <c r="N37" s="14">
        <v>10</v>
      </c>
      <c r="O37" s="11">
        <v>1250</v>
      </c>
      <c r="P37" s="11">
        <f>Table1[[#This Row],[Indent Qty]]*Table1[[#This Row],[
Rate ]]</f>
        <v>12500</v>
      </c>
      <c r="Q37" s="14">
        <f>Table1[[#This Row],[Indent Qty]]</f>
        <v>10</v>
      </c>
      <c r="R37" s="18">
        <f>Table1[[#This Row],[
Rate ]]*Table1[[#This Row],[Final Qty]]</f>
        <v>12500</v>
      </c>
      <c r="S37" s="14"/>
      <c r="T37" s="14">
        <v>12500</v>
      </c>
      <c r="U37" s="14"/>
      <c r="V37" s="14" t="s">
        <v>146</v>
      </c>
    </row>
    <row r="38" spans="2:22" x14ac:dyDescent="0.25">
      <c r="B38" t="s">
        <v>141</v>
      </c>
      <c r="D38" s="14" t="str">
        <f>VLOOKUP(Table1[[#This Row],[
Item Name ]],Rates!$A$2:$B$22,2,0)</f>
        <v>CF</v>
      </c>
      <c r="E38" t="s">
        <v>38</v>
      </c>
      <c r="F38">
        <v>10530096</v>
      </c>
      <c r="G38" t="str">
        <f>VLOOKUP(Table1[[#This Row],[
MPG Code  ]],[2]Master!$B:$G,6,0)</f>
        <v>GOMUKH BHARJA</v>
      </c>
      <c r="H38" s="20" t="s">
        <v>113</v>
      </c>
      <c r="J38" t="str">
        <f>VLOOKUP(Table1[[#This Row],[
MPG Code  ]],[2]Master!$B:$N,13,0)</f>
        <v>Kalyanpur</v>
      </c>
      <c r="K38" t="s">
        <v>91</v>
      </c>
      <c r="L38" t="str">
        <f>CONCATENATE(Table1[[#This Row],[
MPG Code  ]],Table1[[#This Row],[
Farmer code  ]])</f>
        <v>105300960002</v>
      </c>
      <c r="M38" t="str">
        <f>VLOOKUP(Table1[[#This Row],[
MPG Code  ]],[2]Master!$B:$F,5,0)</f>
        <v>Direct</v>
      </c>
      <c r="N38" s="14">
        <v>10</v>
      </c>
      <c r="O38" s="11">
        <f>VLOOKUP(Table1[[#This Row],[
Item Name ]],Rates!$A$2:$F$22,6,0)</f>
        <v>1350</v>
      </c>
      <c r="P38" s="11">
        <f>Table1[[#This Row],[Indent Qty]]*Table1[[#This Row],[
Rate ]]</f>
        <v>13500</v>
      </c>
      <c r="Q38" s="14">
        <f>Table1[[#This Row],[Indent Qty]]</f>
        <v>10</v>
      </c>
      <c r="R38" s="18">
        <f>Table1[[#This Row],[
Rate ]]*Table1[[#This Row],[Final Qty]]</f>
        <v>13500</v>
      </c>
      <c r="S38" s="14"/>
      <c r="T38" s="14">
        <v>13500</v>
      </c>
      <c r="U38" s="14"/>
    </row>
    <row r="39" spans="2:22" x14ac:dyDescent="0.25">
      <c r="B39" t="s">
        <v>141</v>
      </c>
      <c r="D39" s="14" t="str">
        <f>VLOOKUP(Table1[[#This Row],[
Item Name ]],Rates!$A$2:$B$22,2,0)</f>
        <v>CF</v>
      </c>
      <c r="E39" t="s">
        <v>38</v>
      </c>
      <c r="F39">
        <v>10530096</v>
      </c>
      <c r="G39" t="str">
        <f>VLOOKUP(Table1[[#This Row],[
MPG Code  ]],[2]Master!$B:$G,6,0)</f>
        <v>GOMUKH BHARJA</v>
      </c>
      <c r="H39" s="20" t="s">
        <v>113</v>
      </c>
      <c r="J39" t="str">
        <f>VLOOKUP(Table1[[#This Row],[
MPG Code  ]],[2]Master!$B:$N,13,0)</f>
        <v>Kalyanpur</v>
      </c>
      <c r="K39" t="s">
        <v>91</v>
      </c>
      <c r="L39" t="str">
        <f>CONCATENATE(Table1[[#This Row],[
MPG Code  ]],Table1[[#This Row],[
Farmer code  ]])</f>
        <v>105300960002</v>
      </c>
      <c r="M39" t="str">
        <f>VLOOKUP(Table1[[#This Row],[
MPG Code  ]],[2]Master!$B:$F,5,0)</f>
        <v>Direct</v>
      </c>
      <c r="N39" s="14">
        <v>0</v>
      </c>
      <c r="O39" s="11">
        <v>0</v>
      </c>
      <c r="P39" s="11">
        <v>5674</v>
      </c>
      <c r="Q39" s="14">
        <f>Table1[[#This Row],[Indent Qty]]</f>
        <v>0</v>
      </c>
      <c r="R39" s="18">
        <v>5674</v>
      </c>
      <c r="S39" s="14"/>
      <c r="T39" s="14">
        <v>4823</v>
      </c>
      <c r="U39" s="14"/>
    </row>
    <row r="40" spans="2:22" x14ac:dyDescent="0.25">
      <c r="B40" t="s">
        <v>141</v>
      </c>
      <c r="D40" s="14" t="str">
        <f>VLOOKUP(Table1[[#This Row],[
Item Name ]],Rates!$A$2:$B$22,2,0)</f>
        <v>CF</v>
      </c>
      <c r="E40" t="s">
        <v>38</v>
      </c>
      <c r="F40">
        <v>10530002</v>
      </c>
      <c r="G40" t="str">
        <f>VLOOKUP(Table1[[#This Row],[
MPG Code  ]],[2]Master!$B:$G,6,0)</f>
        <v>GOMUKH HATHA</v>
      </c>
      <c r="H40" s="20" t="s">
        <v>113</v>
      </c>
      <c r="J40" t="str">
        <f>VLOOKUP(Table1[[#This Row],[
MPG Code  ]],[2]Master!$B:$N,13,0)</f>
        <v>Kalyanpur</v>
      </c>
      <c r="K40" t="s">
        <v>91</v>
      </c>
      <c r="L40" t="str">
        <f>CONCATENATE(Table1[[#This Row],[
MPG Code  ]],Table1[[#This Row],[
Farmer code  ]])</f>
        <v>105300020002</v>
      </c>
      <c r="M40" t="str">
        <f>VLOOKUP(Table1[[#This Row],[
MPG Code  ]],[2]Master!$B:$F,5,0)</f>
        <v>Direct</v>
      </c>
      <c r="N40" s="14">
        <v>4</v>
      </c>
      <c r="O40" s="11">
        <f>VLOOKUP(Table1[[#This Row],[
Item Name ]],Rates!$A$2:$F$22,6,0)</f>
        <v>1350</v>
      </c>
      <c r="P40" s="11">
        <f>Table1[[#This Row],[Indent Qty]]*Table1[[#This Row],[
Rate ]]</f>
        <v>5400</v>
      </c>
      <c r="Q40" s="14">
        <f>Table1[[#This Row],[Indent Qty]]</f>
        <v>4</v>
      </c>
      <c r="R40" s="18">
        <f>Table1[[#This Row],[
Rate ]]*Table1[[#This Row],[Final Qty]]</f>
        <v>5400</v>
      </c>
      <c r="S40" s="14"/>
      <c r="T40" s="14">
        <v>4834</v>
      </c>
      <c r="U40" s="14"/>
    </row>
    <row r="41" spans="2:22" x14ac:dyDescent="0.25">
      <c r="B41" t="s">
        <v>141</v>
      </c>
      <c r="D41" s="14" t="str">
        <f>VLOOKUP(Table1[[#This Row],[
Item Name ]],Rates!$A$2:$B$22,2,0)</f>
        <v>CF</v>
      </c>
      <c r="E41" t="s">
        <v>38</v>
      </c>
      <c r="F41">
        <v>10530002</v>
      </c>
      <c r="G41" t="str">
        <f>VLOOKUP(Table1[[#This Row],[
MPG Code  ]],[2]Master!$B:$G,6,0)</f>
        <v>GOMUKH HATHA</v>
      </c>
      <c r="H41" s="20" t="s">
        <v>116</v>
      </c>
      <c r="J41" t="str">
        <f>VLOOKUP(Table1[[#This Row],[
MPG Code  ]],[2]Master!$B:$N,13,0)</f>
        <v>Kalyanpur</v>
      </c>
      <c r="K41" t="s">
        <v>91</v>
      </c>
      <c r="L41" t="str">
        <f>CONCATENATE(Table1[[#This Row],[
MPG Code  ]],Table1[[#This Row],[
Farmer code  ]])</f>
        <v>105300020004</v>
      </c>
      <c r="M41" t="str">
        <f>VLOOKUP(Table1[[#This Row],[
MPG Code  ]],[2]Master!$B:$F,5,0)</f>
        <v>Direct</v>
      </c>
      <c r="N41" s="14">
        <v>2</v>
      </c>
      <c r="O41" s="11">
        <f>VLOOKUP(Table1[[#This Row],[
Item Name ]],Rates!$A$2:$F$22,6,0)</f>
        <v>1350</v>
      </c>
      <c r="P41" s="11">
        <f>Table1[[#This Row],[Indent Qty]]*Table1[[#This Row],[
Rate ]]</f>
        <v>2700</v>
      </c>
      <c r="Q41" s="14">
        <f>Table1[[#This Row],[Indent Qty]]</f>
        <v>2</v>
      </c>
      <c r="R41" s="18">
        <f>Table1[[#This Row],[
Rate ]]*Table1[[#This Row],[Final Qty]]</f>
        <v>2700</v>
      </c>
      <c r="S41" s="14"/>
      <c r="T41" s="14">
        <v>2700</v>
      </c>
      <c r="U41" s="14"/>
    </row>
    <row r="42" spans="2:22" x14ac:dyDescent="0.25">
      <c r="B42" t="s">
        <v>141</v>
      </c>
      <c r="D42" s="14" t="str">
        <f>VLOOKUP(Table1[[#This Row],[
Item Name ]],Rates!$A$2:$B$22,2,0)</f>
        <v>CF</v>
      </c>
      <c r="E42" t="s">
        <v>38</v>
      </c>
      <c r="F42">
        <v>10530002</v>
      </c>
      <c r="G42" t="str">
        <f>VLOOKUP(Table1[[#This Row],[
MPG Code  ]],[2]Master!$B:$G,6,0)</f>
        <v>GOMUKH HATHA</v>
      </c>
      <c r="H42" s="20" t="s">
        <v>115</v>
      </c>
      <c r="J42" t="str">
        <f>VLOOKUP(Table1[[#This Row],[
MPG Code  ]],[2]Master!$B:$N,13,0)</f>
        <v>Kalyanpur</v>
      </c>
      <c r="K42" t="s">
        <v>91</v>
      </c>
      <c r="L42" t="str">
        <f>CONCATENATE(Table1[[#This Row],[
MPG Code  ]],Table1[[#This Row],[
Farmer code  ]])</f>
        <v>105300020019</v>
      </c>
      <c r="M42" t="str">
        <f>VLOOKUP(Table1[[#This Row],[
MPG Code  ]],[2]Master!$B:$F,5,0)</f>
        <v>Direct</v>
      </c>
      <c r="N42" s="14">
        <v>1</v>
      </c>
      <c r="O42" s="11">
        <f>VLOOKUP(Table1[[#This Row],[
Item Name ]],Rates!$A$2:$F$22,6,0)</f>
        <v>1350</v>
      </c>
      <c r="P42" s="11">
        <f>Table1[[#This Row],[Indent Qty]]*Table1[[#This Row],[
Rate ]]</f>
        <v>1350</v>
      </c>
      <c r="Q42" s="14">
        <f>Table1[[#This Row],[Indent Qty]]</f>
        <v>1</v>
      </c>
      <c r="R42" s="18">
        <f>Table1[[#This Row],[
Rate ]]*Table1[[#This Row],[Final Qty]]</f>
        <v>1350</v>
      </c>
      <c r="S42" s="14"/>
      <c r="T42" s="14">
        <v>1350</v>
      </c>
      <c r="U42" s="14"/>
    </row>
    <row r="43" spans="2:22" x14ac:dyDescent="0.25">
      <c r="B43" t="s">
        <v>141</v>
      </c>
      <c r="D43" s="14" t="str">
        <f>VLOOKUP(Table1[[#This Row],[
Item Name ]],Rates!$A$2:$B$22,2,0)</f>
        <v>CF</v>
      </c>
      <c r="E43" t="s">
        <v>38</v>
      </c>
      <c r="F43">
        <v>10530002</v>
      </c>
      <c r="G43" t="str">
        <f>VLOOKUP(Table1[[#This Row],[
MPG Code  ]],[2]Master!$B:$G,6,0)</f>
        <v>GOMUKH HATHA</v>
      </c>
      <c r="H43" s="20" t="s">
        <v>123</v>
      </c>
      <c r="J43" t="str">
        <f>VLOOKUP(Table1[[#This Row],[
MPG Code  ]],[2]Master!$B:$N,13,0)</f>
        <v>Kalyanpur</v>
      </c>
      <c r="K43" t="s">
        <v>91</v>
      </c>
      <c r="L43" t="str">
        <f>CONCATENATE(Table1[[#This Row],[
MPG Code  ]],Table1[[#This Row],[
Farmer code  ]])</f>
        <v>105300020028</v>
      </c>
      <c r="M43" t="str">
        <f>VLOOKUP(Table1[[#This Row],[
MPG Code  ]],[2]Master!$B:$F,5,0)</f>
        <v>Direct</v>
      </c>
      <c r="N43" s="14">
        <v>1</v>
      </c>
      <c r="O43" s="11">
        <f>VLOOKUP(Table1[[#This Row],[
Item Name ]],Rates!$A$2:$F$22,6,0)</f>
        <v>1350</v>
      </c>
      <c r="P43" s="11">
        <f>Table1[[#This Row],[Indent Qty]]*Table1[[#This Row],[
Rate ]]</f>
        <v>1350</v>
      </c>
      <c r="Q43" s="14">
        <f>Table1[[#This Row],[Indent Qty]]</f>
        <v>1</v>
      </c>
      <c r="R43" s="18">
        <f>Table1[[#This Row],[
Rate ]]*Table1[[#This Row],[Final Qty]]</f>
        <v>1350</v>
      </c>
      <c r="S43" s="14"/>
      <c r="T43" s="14">
        <v>1350</v>
      </c>
      <c r="U43" s="14"/>
    </row>
    <row r="44" spans="2:22" x14ac:dyDescent="0.25">
      <c r="B44" t="s">
        <v>141</v>
      </c>
      <c r="D44" s="14" t="str">
        <f>VLOOKUP(Table1[[#This Row],[
Item Name ]],Rates!$A$2:$B$22,2,0)</f>
        <v>CF</v>
      </c>
      <c r="E44" t="s">
        <v>38</v>
      </c>
      <c r="F44">
        <v>10530002</v>
      </c>
      <c r="G44" t="str">
        <f>VLOOKUP(Table1[[#This Row],[
MPG Code  ]],[2]Master!$B:$G,6,0)</f>
        <v>GOMUKH HATHA</v>
      </c>
      <c r="H44" s="20" t="s">
        <v>149</v>
      </c>
      <c r="J44" t="str">
        <f>VLOOKUP(Table1[[#This Row],[
MPG Code  ]],[2]Master!$B:$N,13,0)</f>
        <v>Kalyanpur</v>
      </c>
      <c r="K44" t="s">
        <v>91</v>
      </c>
      <c r="L44" t="str">
        <f>CONCATENATE(Table1[[#This Row],[
MPG Code  ]],Table1[[#This Row],[
Farmer code  ]])</f>
        <v>105300020036</v>
      </c>
      <c r="M44" t="str">
        <f>VLOOKUP(Table1[[#This Row],[
MPG Code  ]],[2]Master!$B:$F,5,0)</f>
        <v>Direct</v>
      </c>
      <c r="N44" s="14">
        <v>2</v>
      </c>
      <c r="O44" s="11">
        <f>VLOOKUP(Table1[[#This Row],[
Item Name ]],Rates!$A$2:$F$22,6,0)</f>
        <v>1350</v>
      </c>
      <c r="P44" s="11">
        <f>Table1[[#This Row],[Indent Qty]]*Table1[[#This Row],[
Rate ]]</f>
        <v>2700</v>
      </c>
      <c r="Q44" s="14">
        <f>Table1[[#This Row],[Indent Qty]]</f>
        <v>2</v>
      </c>
      <c r="R44" s="18">
        <f>Table1[[#This Row],[
Rate ]]*Table1[[#This Row],[Final Qty]]</f>
        <v>2700</v>
      </c>
      <c r="S44" s="14"/>
      <c r="T44" s="14">
        <v>2329</v>
      </c>
      <c r="U44" s="14"/>
    </row>
    <row r="45" spans="2:22" x14ac:dyDescent="0.25">
      <c r="B45" t="s">
        <v>141</v>
      </c>
      <c r="D45" s="14" t="str">
        <f>VLOOKUP(Table1[[#This Row],[
Item Name ]],Rates!$A$2:$B$22,2,0)</f>
        <v>CF</v>
      </c>
      <c r="E45" t="s">
        <v>38</v>
      </c>
      <c r="F45">
        <v>10530002</v>
      </c>
      <c r="G45" t="str">
        <f>VLOOKUP(Table1[[#This Row],[
MPG Code  ]],[2]Master!$B:$G,6,0)</f>
        <v>GOMUKH HATHA</v>
      </c>
      <c r="H45" s="20" t="s">
        <v>150</v>
      </c>
      <c r="J45" t="str">
        <f>VLOOKUP(Table1[[#This Row],[
MPG Code  ]],[2]Master!$B:$N,13,0)</f>
        <v>Kalyanpur</v>
      </c>
      <c r="K45" t="s">
        <v>91</v>
      </c>
      <c r="L45" t="str">
        <f>CONCATENATE(Table1[[#This Row],[
MPG Code  ]],Table1[[#This Row],[
Farmer code  ]])</f>
        <v>105300020041</v>
      </c>
      <c r="M45" t="str">
        <f>VLOOKUP(Table1[[#This Row],[
MPG Code  ]],[2]Master!$B:$F,5,0)</f>
        <v>Direct</v>
      </c>
      <c r="N45" s="14">
        <v>2</v>
      </c>
      <c r="O45" s="11">
        <f>VLOOKUP(Table1[[#This Row],[
Item Name ]],Rates!$A$2:$F$22,6,0)</f>
        <v>1350</v>
      </c>
      <c r="P45" s="11">
        <f>Table1[[#This Row],[Indent Qty]]*Table1[[#This Row],[
Rate ]]</f>
        <v>2700</v>
      </c>
      <c r="Q45" s="14">
        <f>Table1[[#This Row],[Indent Qty]]</f>
        <v>2</v>
      </c>
      <c r="R45" s="18">
        <f>Table1[[#This Row],[
Rate ]]*Table1[[#This Row],[Final Qty]]</f>
        <v>2700</v>
      </c>
      <c r="S45" s="14"/>
      <c r="T45" s="14">
        <v>2700</v>
      </c>
      <c r="U45" s="14"/>
    </row>
    <row r="46" spans="2:22" x14ac:dyDescent="0.25">
      <c r="B46" t="s">
        <v>141</v>
      </c>
      <c r="D46" s="14" t="str">
        <f>VLOOKUP(Table1[[#This Row],[
Item Name ]],Rates!$A$2:$B$22,2,0)</f>
        <v>CF</v>
      </c>
      <c r="E46" t="s">
        <v>38</v>
      </c>
      <c r="F46">
        <v>10530100</v>
      </c>
      <c r="G46" t="str">
        <f>VLOOKUP(Table1[[#This Row],[
MPG Code  ]],[2]Master!$B:$G,6,0)</f>
        <v>GOMUKH CHAKKI</v>
      </c>
      <c r="H46" s="20" t="s">
        <v>118</v>
      </c>
      <c r="J46" t="str">
        <f>VLOOKUP(Table1[[#This Row],[
MPG Code  ]],[2]Master!$B:$N,13,0)</f>
        <v>Kalyanpur</v>
      </c>
      <c r="K46" t="s">
        <v>91</v>
      </c>
      <c r="L46" t="str">
        <f>CONCATENATE(Table1[[#This Row],[
MPG Code  ]],Table1[[#This Row],[
Farmer code  ]])</f>
        <v>105301000006</v>
      </c>
      <c r="M46" t="str">
        <f>VLOOKUP(Table1[[#This Row],[
MPG Code  ]],[2]Master!$B:$F,5,0)</f>
        <v>Direct</v>
      </c>
      <c r="N46" s="14">
        <v>1</v>
      </c>
      <c r="O46" s="11">
        <f>VLOOKUP(Table1[[#This Row],[
Item Name ]],Rates!$A$2:$F$22,6,0)</f>
        <v>1350</v>
      </c>
      <c r="P46" s="11">
        <f>Table1[[#This Row],[Indent Qty]]*Table1[[#This Row],[
Rate ]]</f>
        <v>1350</v>
      </c>
      <c r="Q46" s="14">
        <f>Table1[[#This Row],[Indent Qty]]</f>
        <v>1</v>
      </c>
      <c r="R46" s="18">
        <f>Table1[[#This Row],[
Rate ]]*Table1[[#This Row],[Final Qty]]</f>
        <v>1350</v>
      </c>
      <c r="S46" s="14"/>
      <c r="T46" s="14">
        <v>1350</v>
      </c>
      <c r="U46" s="14"/>
    </row>
    <row r="47" spans="2:22" x14ac:dyDescent="0.25">
      <c r="B47" t="s">
        <v>141</v>
      </c>
      <c r="D47" s="14" t="str">
        <f>VLOOKUP(Table1[[#This Row],[
Item Name ]],Rates!$A$2:$B$22,2,0)</f>
        <v>CF</v>
      </c>
      <c r="E47" t="s">
        <v>38</v>
      </c>
      <c r="F47">
        <v>10530100</v>
      </c>
      <c r="G47" t="str">
        <f>VLOOKUP(Table1[[#This Row],[
MPG Code  ]],[2]Master!$B:$G,6,0)</f>
        <v>GOMUKH CHAKKI</v>
      </c>
      <c r="H47" s="20" t="s">
        <v>116</v>
      </c>
      <c r="J47" t="str">
        <f>VLOOKUP(Table1[[#This Row],[
MPG Code  ]],[2]Master!$B:$N,13,0)</f>
        <v>Kalyanpur</v>
      </c>
      <c r="K47" t="s">
        <v>91</v>
      </c>
      <c r="L47" t="str">
        <f>CONCATENATE(Table1[[#This Row],[
MPG Code  ]],Table1[[#This Row],[
Farmer code  ]])</f>
        <v>105301000004</v>
      </c>
      <c r="M47" t="str">
        <f>VLOOKUP(Table1[[#This Row],[
MPG Code  ]],[2]Master!$B:$F,5,0)</f>
        <v>Direct</v>
      </c>
      <c r="N47" s="14">
        <v>1</v>
      </c>
      <c r="O47" s="11">
        <f>VLOOKUP(Table1[[#This Row],[
Item Name ]],Rates!$A$2:$F$22,6,0)</f>
        <v>1350</v>
      </c>
      <c r="P47" s="11">
        <f>Table1[[#This Row],[Indent Qty]]*Table1[[#This Row],[
Rate ]]</f>
        <v>1350</v>
      </c>
      <c r="Q47" s="14">
        <f>Table1[[#This Row],[Indent Qty]]</f>
        <v>1</v>
      </c>
      <c r="R47" s="18">
        <f>Table1[[#This Row],[
Rate ]]*Table1[[#This Row],[Final Qty]]</f>
        <v>1350</v>
      </c>
      <c r="S47" s="14"/>
      <c r="T47" s="14">
        <v>1350</v>
      </c>
      <c r="U47" s="14"/>
    </row>
    <row r="48" spans="2:22" x14ac:dyDescent="0.25">
      <c r="B48" t="s">
        <v>141</v>
      </c>
      <c r="D48" s="14" t="str">
        <f>VLOOKUP(Table1[[#This Row],[
Item Name ]],Rates!$A$2:$B$22,2,0)</f>
        <v>CF</v>
      </c>
      <c r="E48" t="s">
        <v>38</v>
      </c>
      <c r="F48">
        <v>10530100</v>
      </c>
      <c r="G48" t="str">
        <f>VLOOKUP(Table1[[#This Row],[
MPG Code  ]],[2]Master!$B:$G,6,0)</f>
        <v>GOMUKH CHAKKI</v>
      </c>
      <c r="H48" s="20" t="s">
        <v>113</v>
      </c>
      <c r="J48" t="str">
        <f>VLOOKUP(Table1[[#This Row],[
MPG Code  ]],[2]Master!$B:$N,13,0)</f>
        <v>Kalyanpur</v>
      </c>
      <c r="K48" t="s">
        <v>91</v>
      </c>
      <c r="L48" t="str">
        <f>CONCATENATE(Table1[[#This Row],[
MPG Code  ]],Table1[[#This Row],[
Farmer code  ]])</f>
        <v>105301000002</v>
      </c>
      <c r="M48" t="str">
        <f>VLOOKUP(Table1[[#This Row],[
MPG Code  ]],[2]Master!$B:$F,5,0)</f>
        <v>Direct</v>
      </c>
      <c r="N48" s="14">
        <v>1</v>
      </c>
      <c r="O48" s="11">
        <f>VLOOKUP(Table1[[#This Row],[
Item Name ]],Rates!$A$2:$F$22,6,0)</f>
        <v>1350</v>
      </c>
      <c r="P48" s="11">
        <f>Table1[[#This Row],[Indent Qty]]*Table1[[#This Row],[
Rate ]]</f>
        <v>1350</v>
      </c>
      <c r="Q48" s="14">
        <f>Table1[[#This Row],[Indent Qty]]</f>
        <v>1</v>
      </c>
      <c r="R48" s="18">
        <f>Table1[[#This Row],[
Rate ]]*Table1[[#This Row],[Final Qty]]</f>
        <v>1350</v>
      </c>
      <c r="S48" s="14"/>
      <c r="T48" s="14">
        <v>650</v>
      </c>
      <c r="U48" s="14"/>
    </row>
    <row r="49" spans="2:21" x14ac:dyDescent="0.25">
      <c r="B49" t="s">
        <v>141</v>
      </c>
      <c r="D49" s="14" t="str">
        <f>VLOOKUP(Table1[[#This Row],[
Item Name ]],Rates!$A$2:$B$22,2,0)</f>
        <v>CF</v>
      </c>
      <c r="E49" t="s">
        <v>40</v>
      </c>
      <c r="F49">
        <v>10530109</v>
      </c>
      <c r="G49" t="str">
        <f>VLOOKUP(Table1[[#This Row],[
MPG Code  ]],[2]Master!$B:$G,6,0)</f>
        <v>GOMUKH SAKARI</v>
      </c>
      <c r="H49" s="20" t="s">
        <v>116</v>
      </c>
      <c r="J49" t="str">
        <f>VLOOKUP(Table1[[#This Row],[
MPG Code  ]],[2]Master!$B:$N,13,0)</f>
        <v>Kalyanpur</v>
      </c>
      <c r="K49" t="s">
        <v>91</v>
      </c>
      <c r="L49" t="str">
        <f>CONCATENATE(Table1[[#This Row],[
MPG Code  ]],Table1[[#This Row],[
Farmer code  ]])</f>
        <v>105301090004</v>
      </c>
      <c r="M49" t="str">
        <f>VLOOKUP(Table1[[#This Row],[
MPG Code  ]],[2]Master!$B:$F,5,0)</f>
        <v>Direct</v>
      </c>
      <c r="N49" s="14">
        <v>10</v>
      </c>
      <c r="O49" s="11">
        <f>VLOOKUP(Table1[[#This Row],[
Item Name ]],Rates!$A$2:$F$22,6,0)</f>
        <v>1500</v>
      </c>
      <c r="P49" s="11">
        <f>Table1[[#This Row],[Indent Qty]]*Table1[[#This Row],[
Rate ]]</f>
        <v>15000</v>
      </c>
      <c r="Q49" s="14">
        <f>Table1[[#This Row],[Indent Qty]]</f>
        <v>10</v>
      </c>
      <c r="R49" s="18">
        <f>Table1[[#This Row],[
Rate ]]*Table1[[#This Row],[Final Qty]]</f>
        <v>15000</v>
      </c>
      <c r="S49" s="14"/>
      <c r="T49" s="14">
        <v>15000</v>
      </c>
      <c r="U49" s="14"/>
    </row>
    <row r="50" spans="2:21" x14ac:dyDescent="0.25">
      <c r="B50" t="s">
        <v>141</v>
      </c>
      <c r="D50" s="14" t="str">
        <f>VLOOKUP(Table1[[#This Row],[
Item Name ]],Rates!$A$2:$B$22,2,0)</f>
        <v>CF</v>
      </c>
      <c r="E50" t="s">
        <v>38</v>
      </c>
      <c r="F50">
        <v>10530109</v>
      </c>
      <c r="G50" t="str">
        <f>VLOOKUP(Table1[[#This Row],[
MPG Code  ]],[2]Master!$B:$G,6,0)</f>
        <v>GOMUKH SAKARI</v>
      </c>
      <c r="H50" s="20" t="s">
        <v>112</v>
      </c>
      <c r="J50" t="str">
        <f>VLOOKUP(Table1[[#This Row],[
MPG Code  ]],[2]Master!$B:$N,13,0)</f>
        <v>Kalyanpur</v>
      </c>
      <c r="K50" t="s">
        <v>91</v>
      </c>
      <c r="L50" t="str">
        <f>CONCATENATE(Table1[[#This Row],[
MPG Code  ]],Table1[[#This Row],[
Farmer code  ]])</f>
        <v>105301090005</v>
      </c>
      <c r="M50" t="str">
        <f>VLOOKUP(Table1[[#This Row],[
MPG Code  ]],[2]Master!$B:$F,5,0)</f>
        <v>Direct</v>
      </c>
      <c r="N50" s="14">
        <v>0</v>
      </c>
      <c r="O50" s="11">
        <v>0</v>
      </c>
      <c r="P50" s="11">
        <v>12882</v>
      </c>
      <c r="Q50" s="14">
        <f>Table1[[#This Row],[Indent Qty]]</f>
        <v>0</v>
      </c>
      <c r="R50" s="18">
        <v>12882</v>
      </c>
      <c r="S50" s="14"/>
      <c r="T50" s="14">
        <v>12882</v>
      </c>
      <c r="U50" s="14"/>
    </row>
    <row r="51" spans="2:21" x14ac:dyDescent="0.25">
      <c r="B51" t="s">
        <v>141</v>
      </c>
      <c r="D51" s="14" t="str">
        <f>VLOOKUP(Table1[[#This Row],[
Item Name ]],Rates!$A$2:$B$22,2,0)</f>
        <v>CF</v>
      </c>
      <c r="E51" t="s">
        <v>40</v>
      </c>
      <c r="F51">
        <v>10530093</v>
      </c>
      <c r="G51" t="str">
        <f>VLOOKUP(Table1[[#This Row],[
MPG Code  ]],[2]Master!$B:$G,6,0)</f>
        <v>GOMUKH BAKHITIYARPUR</v>
      </c>
      <c r="H51" s="20" t="s">
        <v>134</v>
      </c>
      <c r="J51" t="str">
        <f>VLOOKUP(Table1[[#This Row],[
MPG Code  ]],[2]Master!$B:$N,13,0)</f>
        <v>Kalyanpur</v>
      </c>
      <c r="K51" t="s">
        <v>91</v>
      </c>
      <c r="L51" t="str">
        <f>CONCATENATE(Table1[[#This Row],[
MPG Code  ]],Table1[[#This Row],[
Farmer code  ]])</f>
        <v>105300930032</v>
      </c>
      <c r="M51" t="str">
        <f>VLOOKUP(Table1[[#This Row],[
MPG Code  ]],[2]Master!$B:$F,5,0)</f>
        <v>Direct</v>
      </c>
      <c r="N51" s="14">
        <v>1</v>
      </c>
      <c r="O51" s="11">
        <f>VLOOKUP(Table1[[#This Row],[
Item Name ]],Rates!$A$2:$F$22,6,0)</f>
        <v>1500</v>
      </c>
      <c r="P51" s="11">
        <f>Table1[[#This Row],[Indent Qty]]*Table1[[#This Row],[
Rate ]]</f>
        <v>1500</v>
      </c>
      <c r="Q51" s="14">
        <f>Table1[[#This Row],[Indent Qty]]</f>
        <v>1</v>
      </c>
      <c r="R51" s="18">
        <f>Table1[[#This Row],[
Rate ]]*Table1[[#This Row],[Final Qty]]</f>
        <v>1500</v>
      </c>
      <c r="S51" s="14"/>
      <c r="T51" s="14">
        <v>1500</v>
      </c>
      <c r="U51" s="14"/>
    </row>
    <row r="52" spans="2:21" x14ac:dyDescent="0.25">
      <c r="B52" t="s">
        <v>141</v>
      </c>
      <c r="D52" s="14" t="str">
        <f>VLOOKUP(Table1[[#This Row],[
Item Name ]],Rates!$A$2:$B$22,2,0)</f>
        <v>CF</v>
      </c>
      <c r="E52" t="s">
        <v>40</v>
      </c>
      <c r="F52">
        <v>10530093</v>
      </c>
      <c r="G52" t="str">
        <f>VLOOKUP(Table1[[#This Row],[
MPG Code  ]],[2]Master!$B:$G,6,0)</f>
        <v>GOMUKH BAKHITIYARPUR</v>
      </c>
      <c r="H52" s="20" t="s">
        <v>136</v>
      </c>
      <c r="J52" t="str">
        <f>VLOOKUP(Table1[[#This Row],[
MPG Code  ]],[2]Master!$B:$N,13,0)</f>
        <v>Kalyanpur</v>
      </c>
      <c r="K52" t="s">
        <v>91</v>
      </c>
      <c r="L52" t="str">
        <f>CONCATENATE(Table1[[#This Row],[
MPG Code  ]],Table1[[#This Row],[
Farmer code  ]])</f>
        <v>105300930044</v>
      </c>
      <c r="M52" t="str">
        <f>VLOOKUP(Table1[[#This Row],[
MPG Code  ]],[2]Master!$B:$F,5,0)</f>
        <v>Direct</v>
      </c>
      <c r="N52" s="14">
        <v>2</v>
      </c>
      <c r="O52" s="11">
        <f>VLOOKUP(Table1[[#This Row],[
Item Name ]],Rates!$A$2:$F$22,6,0)</f>
        <v>1500</v>
      </c>
      <c r="P52" s="11">
        <f>Table1[[#This Row],[Indent Qty]]*Table1[[#This Row],[
Rate ]]</f>
        <v>3000</v>
      </c>
      <c r="Q52" s="14">
        <f>Table1[[#This Row],[Indent Qty]]</f>
        <v>2</v>
      </c>
      <c r="R52" s="18">
        <f>Table1[[#This Row],[
Rate ]]*Table1[[#This Row],[Final Qty]]</f>
        <v>3000</v>
      </c>
      <c r="S52" s="14"/>
      <c r="T52" s="14">
        <v>2701</v>
      </c>
      <c r="U52" s="14"/>
    </row>
    <row r="53" spans="2:21" x14ac:dyDescent="0.25">
      <c r="B53" t="s">
        <v>141</v>
      </c>
      <c r="D53" s="14" t="str">
        <f>VLOOKUP(Table1[[#This Row],[
Item Name ]],Rates!$A$2:$B$22,2,0)</f>
        <v>CF</v>
      </c>
      <c r="E53" t="s">
        <v>40</v>
      </c>
      <c r="F53">
        <v>10530093</v>
      </c>
      <c r="G53" t="str">
        <f>VLOOKUP(Table1[[#This Row],[
MPG Code  ]],[2]Master!$B:$G,6,0)</f>
        <v>GOMUKH BAKHITIYARPUR</v>
      </c>
      <c r="H53" s="20" t="s">
        <v>151</v>
      </c>
      <c r="J53" t="str">
        <f>VLOOKUP(Table1[[#This Row],[
MPG Code  ]],[2]Master!$B:$N,13,0)</f>
        <v>Kalyanpur</v>
      </c>
      <c r="K53" t="s">
        <v>91</v>
      </c>
      <c r="L53" t="str">
        <f>CONCATENATE(Table1[[#This Row],[
MPG Code  ]],Table1[[#This Row],[
Farmer code  ]])</f>
        <v>105300930053</v>
      </c>
      <c r="M53" t="str">
        <f>VLOOKUP(Table1[[#This Row],[
MPG Code  ]],[2]Master!$B:$F,5,0)</f>
        <v>Direct</v>
      </c>
      <c r="N53" s="14">
        <v>1</v>
      </c>
      <c r="O53" s="11">
        <f>VLOOKUP(Table1[[#This Row],[
Item Name ]],Rates!$A$2:$F$22,6,0)</f>
        <v>1500</v>
      </c>
      <c r="P53" s="11">
        <f>Table1[[#This Row],[Indent Qty]]*Table1[[#This Row],[
Rate ]]</f>
        <v>1500</v>
      </c>
      <c r="Q53" s="14">
        <f>Table1[[#This Row],[Indent Qty]]</f>
        <v>1</v>
      </c>
      <c r="R53" s="18">
        <f>Table1[[#This Row],[
Rate ]]*Table1[[#This Row],[Final Qty]]</f>
        <v>1500</v>
      </c>
      <c r="S53" s="14"/>
      <c r="T53" s="14">
        <v>1203</v>
      </c>
      <c r="U53" s="14"/>
    </row>
    <row r="54" spans="2:21" x14ac:dyDescent="0.25">
      <c r="B54" t="s">
        <v>141</v>
      </c>
      <c r="D54" s="14" t="str">
        <f>VLOOKUP(Table1[[#This Row],[
Item Name ]],Rates!$A$2:$B$22,2,0)</f>
        <v>CF</v>
      </c>
      <c r="E54" t="s">
        <v>40</v>
      </c>
      <c r="F54">
        <v>10530093</v>
      </c>
      <c r="G54" t="str">
        <f>VLOOKUP(Table1[[#This Row],[
MPG Code  ]],[2]Master!$B:$G,6,0)</f>
        <v>GOMUKH BAKHITIYARPUR</v>
      </c>
      <c r="H54" s="20" t="s">
        <v>113</v>
      </c>
      <c r="J54" t="str">
        <f>VLOOKUP(Table1[[#This Row],[
MPG Code  ]],[2]Master!$B:$N,13,0)</f>
        <v>Kalyanpur</v>
      </c>
      <c r="K54" t="s">
        <v>91</v>
      </c>
      <c r="L54" t="str">
        <f>CONCATENATE(Table1[[#This Row],[
MPG Code  ]],Table1[[#This Row],[
Farmer code  ]])</f>
        <v>105300930002</v>
      </c>
      <c r="M54" t="str">
        <f>VLOOKUP(Table1[[#This Row],[
MPG Code  ]],[2]Master!$B:$F,5,0)</f>
        <v>Direct</v>
      </c>
      <c r="N54" s="14">
        <v>1</v>
      </c>
      <c r="O54" s="11">
        <f>VLOOKUP(Table1[[#This Row],[
Item Name ]],Rates!$A$2:$F$22,6,0)</f>
        <v>1500</v>
      </c>
      <c r="P54" s="11">
        <f>Table1[[#This Row],[Indent Qty]]*Table1[[#This Row],[
Rate ]]</f>
        <v>1500</v>
      </c>
      <c r="Q54" s="14">
        <f>Table1[[#This Row],[Indent Qty]]</f>
        <v>1</v>
      </c>
      <c r="R54" s="18">
        <f>Table1[[#This Row],[
Rate ]]*Table1[[#This Row],[Final Qty]]</f>
        <v>1500</v>
      </c>
      <c r="S54" s="14"/>
      <c r="T54" s="14">
        <v>1500</v>
      </c>
      <c r="U54" s="14"/>
    </row>
    <row r="55" spans="2:21" x14ac:dyDescent="0.25">
      <c r="B55" t="s">
        <v>141</v>
      </c>
      <c r="D55" s="14" t="str">
        <f>VLOOKUP(Table1[[#This Row],[
Item Name ]],Rates!$A$2:$B$22,2,0)</f>
        <v>CF</v>
      </c>
      <c r="E55" t="s">
        <v>40</v>
      </c>
      <c r="F55">
        <v>10530040</v>
      </c>
      <c r="G55" t="str">
        <f>VLOOKUP(Table1[[#This Row],[
MPG Code  ]],[2]Master!$B:$G,6,0)</f>
        <v>Gomukh Khanua</v>
      </c>
      <c r="H55" s="20" t="s">
        <v>152</v>
      </c>
      <c r="J55" t="str">
        <f>VLOOKUP(Table1[[#This Row],[
MPG Code  ]],[2]Master!$B:$N,13,0)</f>
        <v>Kalyanpur</v>
      </c>
      <c r="K55" t="s">
        <v>91</v>
      </c>
      <c r="L55" t="str">
        <f>CONCATENATE(Table1[[#This Row],[
MPG Code  ]],Table1[[#This Row],[
Farmer code  ]])</f>
        <v>105300400048</v>
      </c>
      <c r="M55" t="str">
        <f>VLOOKUP(Table1[[#This Row],[
MPG Code  ]],[2]Master!$B:$F,5,0)</f>
        <v>Direct</v>
      </c>
      <c r="N55" s="14">
        <v>1</v>
      </c>
      <c r="O55" s="11">
        <f>VLOOKUP(Table1[[#This Row],[
Item Name ]],Rates!$A$2:$F$22,6,0)</f>
        <v>1500</v>
      </c>
      <c r="P55" s="11">
        <f>Table1[[#This Row],[Indent Qty]]*Table1[[#This Row],[
Rate ]]</f>
        <v>1500</v>
      </c>
      <c r="Q55" s="14">
        <f>Table1[[#This Row],[Indent Qty]]</f>
        <v>1</v>
      </c>
      <c r="R55" s="18">
        <f>Table1[[#This Row],[
Rate ]]*Table1[[#This Row],[Final Qty]]</f>
        <v>1500</v>
      </c>
      <c r="S55" s="14"/>
      <c r="T55" s="14">
        <v>1500</v>
      </c>
      <c r="U55" s="14"/>
    </row>
    <row r="56" spans="2:21" x14ac:dyDescent="0.25">
      <c r="B56" t="s">
        <v>141</v>
      </c>
      <c r="D56" s="14" t="str">
        <f>VLOOKUP(Table1[[#This Row],[
Item Name ]],Rates!$A$2:$B$22,2,0)</f>
        <v>CF</v>
      </c>
      <c r="E56" t="s">
        <v>38</v>
      </c>
      <c r="F56">
        <v>10530040</v>
      </c>
      <c r="G56" t="str">
        <f>VLOOKUP(Table1[[#This Row],[
MPG Code  ]],[2]Master!$B:$G,6,0)</f>
        <v>Gomukh Khanua</v>
      </c>
      <c r="H56" s="20" t="s">
        <v>116</v>
      </c>
      <c r="J56" t="str">
        <f>VLOOKUP(Table1[[#This Row],[
MPG Code  ]],[2]Master!$B:$N,13,0)</f>
        <v>Kalyanpur</v>
      </c>
      <c r="K56" t="s">
        <v>91</v>
      </c>
      <c r="L56" t="str">
        <f>CONCATENATE(Table1[[#This Row],[
MPG Code  ]],Table1[[#This Row],[
Farmer code  ]])</f>
        <v>105300400004</v>
      </c>
      <c r="M56" t="str">
        <f>VLOOKUP(Table1[[#This Row],[
MPG Code  ]],[2]Master!$B:$F,5,0)</f>
        <v>Direct</v>
      </c>
      <c r="N56" s="14">
        <v>0</v>
      </c>
      <c r="O56" s="11">
        <v>0</v>
      </c>
      <c r="P56" s="11">
        <v>776</v>
      </c>
      <c r="Q56" s="14">
        <f>Table1[[#This Row],[Indent Qty]]</f>
        <v>0</v>
      </c>
      <c r="R56" s="18">
        <v>776</v>
      </c>
      <c r="S56" s="14"/>
      <c r="T56" s="14">
        <v>776</v>
      </c>
      <c r="U56" s="14"/>
    </row>
    <row r="57" spans="2:21" x14ac:dyDescent="0.25">
      <c r="B57" t="s">
        <v>141</v>
      </c>
      <c r="D57" s="14" t="str">
        <f>VLOOKUP(Table1[[#This Row],[
Item Name ]],Rates!$A$2:$B$22,2,0)</f>
        <v>CF</v>
      </c>
      <c r="E57" t="s">
        <v>40</v>
      </c>
      <c r="F57">
        <v>10530084</v>
      </c>
      <c r="G57" t="str">
        <f>VLOOKUP(Table1[[#This Row],[
MPG Code  ]],[2]Master!$B:$G,6,0)</f>
        <v>GOMUKH JITWARIYA W-6</v>
      </c>
      <c r="H57" s="20" t="s">
        <v>153</v>
      </c>
      <c r="J57" t="str">
        <f>VLOOKUP(Table1[[#This Row],[
MPG Code  ]],[2]Master!$B:$N,13,0)</f>
        <v>Kalyanpur</v>
      </c>
      <c r="K57" t="s">
        <v>91</v>
      </c>
      <c r="L57" t="str">
        <f>CONCATENATE(Table1[[#This Row],[
MPG Code  ]],Table1[[#This Row],[
Farmer code  ]])</f>
        <v>105300840065</v>
      </c>
      <c r="M57" t="str">
        <f>VLOOKUP(Table1[[#This Row],[
MPG Code  ]],[2]Master!$B:$F,5,0)</f>
        <v>Direct</v>
      </c>
      <c r="N57" s="14">
        <v>1</v>
      </c>
      <c r="O57" s="11">
        <f>VLOOKUP(Table1[[#This Row],[
Item Name ]],Rates!$A$2:$F$22,6,0)</f>
        <v>1500</v>
      </c>
      <c r="P57" s="11">
        <f>Table1[[#This Row],[Indent Qty]]*Table1[[#This Row],[
Rate ]]</f>
        <v>1500</v>
      </c>
      <c r="Q57" s="14">
        <f>Table1[[#This Row],[Indent Qty]]</f>
        <v>1</v>
      </c>
      <c r="R57" s="18">
        <f>Table1[[#This Row],[
Rate ]]*Table1[[#This Row],[Final Qty]]</f>
        <v>1500</v>
      </c>
      <c r="S57" s="14"/>
      <c r="T57" s="14">
        <v>1500</v>
      </c>
      <c r="U57" s="14"/>
    </row>
    <row r="58" spans="2:21" x14ac:dyDescent="0.25">
      <c r="B58" t="s">
        <v>141</v>
      </c>
      <c r="D58" s="14" t="str">
        <f>VLOOKUP(Table1[[#This Row],[
Item Name ]],Rates!$A$2:$B$22,2,0)</f>
        <v>CF</v>
      </c>
      <c r="E58" t="s">
        <v>38</v>
      </c>
      <c r="F58">
        <v>10530084</v>
      </c>
      <c r="G58" t="str">
        <f>VLOOKUP(Table1[[#This Row],[
MPG Code  ]],[2]Master!$B:$G,6,0)</f>
        <v>GOMUKH JITWARIYA W-6</v>
      </c>
      <c r="H58" s="20" t="s">
        <v>133</v>
      </c>
      <c r="J58" t="str">
        <f>VLOOKUP(Table1[[#This Row],[
MPG Code  ]],[2]Master!$B:$N,13,0)</f>
        <v>Kalyanpur</v>
      </c>
      <c r="K58" t="s">
        <v>91</v>
      </c>
      <c r="L58" t="str">
        <f>CONCATENATE(Table1[[#This Row],[
MPG Code  ]],Table1[[#This Row],[
Farmer code  ]])</f>
        <v>105300840063</v>
      </c>
      <c r="M58" t="str">
        <f>VLOOKUP(Table1[[#This Row],[
MPG Code  ]],[2]Master!$B:$F,5,0)</f>
        <v>Direct</v>
      </c>
      <c r="N58" s="14">
        <v>0</v>
      </c>
      <c r="O58" s="11">
        <v>0</v>
      </c>
      <c r="P58" s="11">
        <v>427</v>
      </c>
      <c r="Q58" s="14">
        <f>Table1[[#This Row],[Indent Qty]]</f>
        <v>0</v>
      </c>
      <c r="R58" s="18">
        <v>427</v>
      </c>
      <c r="S58" s="14"/>
      <c r="T58" s="14">
        <v>427</v>
      </c>
      <c r="U58" s="14"/>
    </row>
    <row r="59" spans="2:21" x14ac:dyDescent="0.25">
      <c r="B59" t="s">
        <v>141</v>
      </c>
      <c r="D59" s="14" t="str">
        <f>VLOOKUP(Table1[[#This Row],[
Item Name ]],Rates!$A$2:$B$22,2,0)</f>
        <v>CF</v>
      </c>
      <c r="E59" t="s">
        <v>40</v>
      </c>
      <c r="F59">
        <v>10530032</v>
      </c>
      <c r="G59" t="str">
        <f>VLOOKUP(Table1[[#This Row],[
MPG Code  ]],[2]Master!$B:$G,6,0)</f>
        <v>Gomukh Bharav</v>
      </c>
      <c r="H59" s="20" t="s">
        <v>121</v>
      </c>
      <c r="J59" t="str">
        <f>VLOOKUP(Table1[[#This Row],[
MPG Code  ]],[2]Master!$B:$N,13,0)</f>
        <v>Kalyanpur</v>
      </c>
      <c r="K59" t="s">
        <v>91</v>
      </c>
      <c r="L59" t="str">
        <f>CONCATENATE(Table1[[#This Row],[
MPG Code  ]],Table1[[#This Row],[
Farmer code  ]])</f>
        <v>105300320010</v>
      </c>
      <c r="M59" t="str">
        <f>VLOOKUP(Table1[[#This Row],[
MPG Code  ]],[2]Master!$B:$F,5,0)</f>
        <v>Direct</v>
      </c>
      <c r="N59" s="14">
        <v>1</v>
      </c>
      <c r="O59" s="11">
        <f>VLOOKUP(Table1[[#This Row],[
Item Name ]],Rates!$A$2:$F$22,6,0)</f>
        <v>1500</v>
      </c>
      <c r="P59" s="11">
        <f>Table1[[#This Row],[Indent Qty]]*Table1[[#This Row],[
Rate ]]</f>
        <v>1500</v>
      </c>
      <c r="Q59" s="14">
        <f>Table1[[#This Row],[Indent Qty]]</f>
        <v>1</v>
      </c>
      <c r="R59" s="18">
        <f>Table1[[#This Row],[
Rate ]]*Table1[[#This Row],[Final Qty]]</f>
        <v>1500</v>
      </c>
      <c r="S59" s="14"/>
      <c r="T59" s="14">
        <v>1500</v>
      </c>
      <c r="U59" s="14"/>
    </row>
    <row r="60" spans="2:21" x14ac:dyDescent="0.25">
      <c r="B60" t="s">
        <v>141</v>
      </c>
      <c r="D60" s="14" t="str">
        <f>VLOOKUP(Table1[[#This Row],[
Item Name ]],Rates!$A$2:$B$22,2,0)</f>
        <v>CF</v>
      </c>
      <c r="E60" t="s">
        <v>38</v>
      </c>
      <c r="F60">
        <v>10530003</v>
      </c>
      <c r="G60" t="str">
        <f>VLOOKUP(Table1[[#This Row],[
MPG Code  ]],[2]Master!$B:$G,6,0)</f>
        <v>GOMUKH VADEYA</v>
      </c>
      <c r="H60" s="20" t="s">
        <v>119</v>
      </c>
      <c r="J60" t="str">
        <f>VLOOKUP(Table1[[#This Row],[
MPG Code  ]],[2]Master!$B:$N,13,0)</f>
        <v>Kalyanpur</v>
      </c>
      <c r="K60" t="s">
        <v>91</v>
      </c>
      <c r="L60" t="str">
        <f>CONCATENATE(Table1[[#This Row],[
MPG Code  ]],Table1[[#This Row],[
Farmer code  ]])</f>
        <v>105300030008</v>
      </c>
      <c r="M60" t="str">
        <f>VLOOKUP(Table1[[#This Row],[
MPG Code  ]],[2]Master!$B:$F,5,0)</f>
        <v>Direct</v>
      </c>
      <c r="N60" s="14">
        <v>0</v>
      </c>
      <c r="O60" s="11">
        <v>0</v>
      </c>
      <c r="P60" s="11">
        <v>598</v>
      </c>
      <c r="Q60" s="14">
        <f>Table1[[#This Row],[Indent Qty]]</f>
        <v>0</v>
      </c>
      <c r="R60" s="11">
        <v>598</v>
      </c>
      <c r="S60" s="14"/>
      <c r="T60" s="14">
        <v>525</v>
      </c>
      <c r="U60" s="14"/>
    </row>
    <row r="61" spans="2:21" x14ac:dyDescent="0.25">
      <c r="B61" t="s">
        <v>141</v>
      </c>
      <c r="D61" s="14" t="str">
        <f>VLOOKUP(Table1[[#This Row],[
Item Name ]],Rates!$A$2:$B$22,2,0)</f>
        <v>CF</v>
      </c>
      <c r="E61" t="s">
        <v>38</v>
      </c>
      <c r="F61">
        <v>10530003</v>
      </c>
      <c r="G61" t="str">
        <f>VLOOKUP(Table1[[#This Row],[
MPG Code  ]],[2]Master!$B:$G,6,0)</f>
        <v>GOMUKH VADEYA</v>
      </c>
      <c r="H61" s="20" t="s">
        <v>136</v>
      </c>
      <c r="J61" t="str">
        <f>VLOOKUP(Table1[[#This Row],[
MPG Code  ]],[2]Master!$B:$N,13,0)</f>
        <v>Kalyanpur</v>
      </c>
      <c r="K61" t="s">
        <v>91</v>
      </c>
      <c r="L61" t="str">
        <f>CONCATENATE(Table1[[#This Row],[
MPG Code  ]],Table1[[#This Row],[
Farmer code  ]])</f>
        <v>105300030044</v>
      </c>
      <c r="M61" t="str">
        <f>VLOOKUP(Table1[[#This Row],[
MPG Code  ]],[2]Master!$B:$F,5,0)</f>
        <v>Direct</v>
      </c>
      <c r="N61" s="14">
        <v>0</v>
      </c>
      <c r="O61" s="11">
        <v>0</v>
      </c>
      <c r="P61" s="11">
        <v>80</v>
      </c>
      <c r="Q61" s="14">
        <f>Table1[[#This Row],[Indent Qty]]</f>
        <v>0</v>
      </c>
      <c r="R61" s="11">
        <v>80</v>
      </c>
      <c r="S61" s="14"/>
      <c r="T61" s="14">
        <v>80</v>
      </c>
      <c r="U61" s="14"/>
    </row>
    <row r="62" spans="2:21" x14ac:dyDescent="0.25">
      <c r="B62" t="s">
        <v>141</v>
      </c>
      <c r="D62" s="14" t="str">
        <f>VLOOKUP(Table1[[#This Row],[
Item Name ]],Rates!$A$2:$B$22,2,0)</f>
        <v>CF</v>
      </c>
      <c r="E62" t="s">
        <v>38</v>
      </c>
      <c r="F62">
        <v>10530003</v>
      </c>
      <c r="G62" t="str">
        <f>VLOOKUP(Table1[[#This Row],[
MPG Code  ]],[2]Master!$B:$G,6,0)</f>
        <v>GOMUKH VADEYA</v>
      </c>
      <c r="H62" s="20" t="s">
        <v>137</v>
      </c>
      <c r="J62" t="str">
        <f>VLOOKUP(Table1[[#This Row],[
MPG Code  ]],[2]Master!$B:$N,13,0)</f>
        <v>Kalyanpur</v>
      </c>
      <c r="K62" t="s">
        <v>91</v>
      </c>
      <c r="L62" t="str">
        <f>CONCATENATE(Table1[[#This Row],[
MPG Code  ]],Table1[[#This Row],[
Farmer code  ]])</f>
        <v>105300030086</v>
      </c>
      <c r="M62" t="str">
        <f>VLOOKUP(Table1[[#This Row],[
MPG Code  ]],[2]Master!$B:$F,5,0)</f>
        <v>Direct</v>
      </c>
      <c r="N62" s="14">
        <v>0</v>
      </c>
      <c r="O62" s="11">
        <v>0</v>
      </c>
      <c r="P62" s="11">
        <v>79</v>
      </c>
      <c r="Q62" s="14">
        <f>Table1[[#This Row],[Indent Qty]]</f>
        <v>0</v>
      </c>
      <c r="R62" s="11">
        <v>79</v>
      </c>
      <c r="S62" s="14"/>
      <c r="T62" s="14">
        <v>79</v>
      </c>
      <c r="U62" s="14"/>
    </row>
    <row r="63" spans="2:21" x14ac:dyDescent="0.25">
      <c r="B63" t="s">
        <v>141</v>
      </c>
      <c r="D63" s="14" t="str">
        <f>VLOOKUP(Table1[[#This Row],[
Item Name ]],Rates!$A$2:$B$22,2,0)</f>
        <v>CF</v>
      </c>
      <c r="E63" t="s">
        <v>38</v>
      </c>
      <c r="F63">
        <v>10530003</v>
      </c>
      <c r="G63" t="str">
        <f>VLOOKUP(Table1[[#This Row],[
MPG Code  ]],[2]Master!$B:$G,6,0)</f>
        <v>GOMUKH VADEYA</v>
      </c>
      <c r="H63" s="20" t="s">
        <v>138</v>
      </c>
      <c r="J63" t="str">
        <f>VLOOKUP(Table1[[#This Row],[
MPG Code  ]],[2]Master!$B:$N,13,0)</f>
        <v>Kalyanpur</v>
      </c>
      <c r="K63" t="s">
        <v>91</v>
      </c>
      <c r="L63" t="str">
        <f>CONCATENATE(Table1[[#This Row],[
MPG Code  ]],Table1[[#This Row],[
Farmer code  ]])</f>
        <v>105300030095</v>
      </c>
      <c r="M63" t="str">
        <f>VLOOKUP(Table1[[#This Row],[
MPG Code  ]],[2]Master!$B:$F,5,0)</f>
        <v>Direct</v>
      </c>
      <c r="N63" s="14">
        <v>0</v>
      </c>
      <c r="O63" s="11">
        <v>0</v>
      </c>
      <c r="P63" s="11">
        <v>190</v>
      </c>
      <c r="Q63" s="14">
        <f>Table1[[#This Row],[Indent Qty]]</f>
        <v>0</v>
      </c>
      <c r="R63" s="11">
        <v>190</v>
      </c>
      <c r="S63" s="14"/>
      <c r="T63" s="14">
        <v>190</v>
      </c>
      <c r="U63" s="14"/>
    </row>
    <row r="64" spans="2:21" x14ac:dyDescent="0.25">
      <c r="B64" t="s">
        <v>141</v>
      </c>
      <c r="D64" s="14" t="str">
        <f>VLOOKUP(Table1[[#This Row],[
Item Name ]],Rates!$A$2:$B$22,2,0)</f>
        <v>CF</v>
      </c>
      <c r="E64" t="s">
        <v>40</v>
      </c>
      <c r="F64">
        <v>10530097</v>
      </c>
      <c r="G64" t="str">
        <f>VLOOKUP(Table1[[#This Row],[
MPG Code  ]],[2]Master!$B:$G,6,0)</f>
        <v>GOMUKH NAWABGANJ</v>
      </c>
      <c r="H64" s="20" t="s">
        <v>114</v>
      </c>
      <c r="J64" t="str">
        <f>VLOOKUP(Table1[[#This Row],[
MPG Code  ]],[2]Master!$B:$N,13,0)</f>
        <v>Kalyanpur</v>
      </c>
      <c r="K64" t="s">
        <v>91</v>
      </c>
      <c r="L64" t="str">
        <f>CONCATENATE(Table1[[#This Row],[
MPG Code  ]],Table1[[#This Row],[
Farmer code  ]])</f>
        <v>105300970026</v>
      </c>
      <c r="M64" t="str">
        <f>VLOOKUP(Table1[[#This Row],[
MPG Code  ]],[2]Master!$B:$F,5,0)</f>
        <v>Direct</v>
      </c>
      <c r="N64" s="14">
        <v>1</v>
      </c>
      <c r="O64" s="11">
        <f>VLOOKUP(Table1[[#This Row],[
Item Name ]],Rates!$A$2:$F$22,6,0)</f>
        <v>1500</v>
      </c>
      <c r="P64" s="11">
        <f>Table1[[#This Row],[Indent Qty]]*Table1[[#This Row],[
Rate ]]</f>
        <v>1500</v>
      </c>
      <c r="Q64" s="14">
        <f>Table1[[#This Row],[Indent Qty]]</f>
        <v>1</v>
      </c>
      <c r="R64" s="18">
        <f>Table1[[#This Row],[
Rate ]]*Table1[[#This Row],[Final Qty]]</f>
        <v>1500</v>
      </c>
      <c r="S64" s="14"/>
      <c r="T64" s="14">
        <v>1500</v>
      </c>
      <c r="U64" s="14"/>
    </row>
    <row r="65" spans="2:21" x14ac:dyDescent="0.25">
      <c r="B65" t="s">
        <v>141</v>
      </c>
      <c r="D65" s="14" t="str">
        <f>VLOOKUP(Table1[[#This Row],[
Item Name ]],Rates!$A$2:$B$22,2,0)</f>
        <v>CF</v>
      </c>
      <c r="E65" t="s">
        <v>38</v>
      </c>
      <c r="F65">
        <v>10530005</v>
      </c>
      <c r="G65" t="str">
        <f>VLOOKUP(Table1[[#This Row],[
MPG Code  ]],[2]Master!$B:$G,6,0)</f>
        <v>GOMUKH CHANDPURA</v>
      </c>
      <c r="H65" s="20" t="s">
        <v>113</v>
      </c>
      <c r="J65" t="str">
        <f>VLOOKUP(Table1[[#This Row],[
MPG Code  ]],[2]Master!$B:$N,13,0)</f>
        <v>Kalyanpur</v>
      </c>
      <c r="K65" t="s">
        <v>91</v>
      </c>
      <c r="L65" t="str">
        <f>CONCATENATE(Table1[[#This Row],[
MPG Code  ]],Table1[[#This Row],[
Farmer code  ]])</f>
        <v>105300050002</v>
      </c>
      <c r="M65" t="str">
        <f>VLOOKUP(Table1[[#This Row],[
MPG Code  ]],[2]Master!$B:$F,5,0)</f>
        <v>Direct</v>
      </c>
      <c r="N65" s="14">
        <v>0</v>
      </c>
      <c r="O65" s="11">
        <v>0</v>
      </c>
      <c r="P65" s="11">
        <v>130</v>
      </c>
      <c r="Q65" s="14">
        <f>Table1[[#This Row],[Indent Qty]]</f>
        <v>0</v>
      </c>
      <c r="R65" s="11">
        <v>130</v>
      </c>
      <c r="S65" s="14"/>
      <c r="T65" s="14">
        <v>65</v>
      </c>
      <c r="U65" s="14"/>
    </row>
    <row r="66" spans="2:21" x14ac:dyDescent="0.25">
      <c r="B66" t="s">
        <v>141</v>
      </c>
      <c r="D66" s="14" t="str">
        <f>VLOOKUP(Table1[[#This Row],[
Item Name ]],Rates!$A$2:$B$22,2,0)</f>
        <v>CF</v>
      </c>
      <c r="E66" t="s">
        <v>38</v>
      </c>
      <c r="F66">
        <v>10530005</v>
      </c>
      <c r="G66" t="str">
        <f>VLOOKUP(Table1[[#This Row],[
MPG Code  ]],[2]Master!$B:$G,6,0)</f>
        <v>GOMUKH CHANDPURA</v>
      </c>
      <c r="H66" s="20" t="s">
        <v>119</v>
      </c>
      <c r="J66" t="str">
        <f>VLOOKUP(Table1[[#This Row],[
MPG Code  ]],[2]Master!$B:$N,13,0)</f>
        <v>Kalyanpur</v>
      </c>
      <c r="K66" t="s">
        <v>91</v>
      </c>
      <c r="L66" t="str">
        <f>CONCATENATE(Table1[[#This Row],[
MPG Code  ]],Table1[[#This Row],[
Farmer code  ]])</f>
        <v>105300050008</v>
      </c>
      <c r="M66" t="str">
        <f>VLOOKUP(Table1[[#This Row],[
MPG Code  ]],[2]Master!$B:$F,5,0)</f>
        <v>Direct</v>
      </c>
      <c r="N66" s="14">
        <v>0</v>
      </c>
      <c r="O66" s="11">
        <v>0</v>
      </c>
      <c r="P66" s="11">
        <v>919</v>
      </c>
      <c r="Q66" s="14">
        <f>Table1[[#This Row],[Indent Qty]]</f>
        <v>0</v>
      </c>
      <c r="R66" s="18">
        <v>919</v>
      </c>
      <c r="S66" s="14"/>
      <c r="T66" s="14">
        <v>647</v>
      </c>
      <c r="U66" s="14"/>
    </row>
    <row r="67" spans="2:21" x14ac:dyDescent="0.25">
      <c r="B67" t="s">
        <v>141</v>
      </c>
      <c r="D67" s="14" t="str">
        <f>VLOOKUP(Table1[[#This Row],[
Item Name ]],Rates!$A$2:$B$22,2,0)</f>
        <v>CF</v>
      </c>
      <c r="E67" t="s">
        <v>38</v>
      </c>
      <c r="F67">
        <v>10530005</v>
      </c>
      <c r="G67" t="str">
        <f>VLOOKUP(Table1[[#This Row],[
MPG Code  ]],[2]Master!$B:$G,6,0)</f>
        <v>GOMUKH CHANDPURA</v>
      </c>
      <c r="H67" s="20" t="s">
        <v>121</v>
      </c>
      <c r="J67" t="str">
        <f>VLOOKUP(Table1[[#This Row],[
MPG Code  ]],[2]Master!$B:$N,13,0)</f>
        <v>Kalyanpur</v>
      </c>
      <c r="K67" t="s">
        <v>91</v>
      </c>
      <c r="L67" t="str">
        <f>CONCATENATE(Table1[[#This Row],[
MPG Code  ]],Table1[[#This Row],[
Farmer code  ]])</f>
        <v>105300050010</v>
      </c>
      <c r="M67" t="str">
        <f>VLOOKUP(Table1[[#This Row],[
MPG Code  ]],[2]Master!$B:$F,5,0)</f>
        <v>Direct</v>
      </c>
      <c r="N67" s="14">
        <v>1</v>
      </c>
      <c r="O67" s="11">
        <f>VLOOKUP(Table1[[#This Row],[
Item Name ]],Rates!$A$2:$F$22,6,0)</f>
        <v>1350</v>
      </c>
      <c r="P67" s="11">
        <f>Table1[[#This Row],[Indent Qty]]*Table1[[#This Row],[
Rate ]]</f>
        <v>1350</v>
      </c>
      <c r="Q67" s="14">
        <f>Table1[[#This Row],[Indent Qty]]</f>
        <v>1</v>
      </c>
      <c r="R67" s="18">
        <f>Table1[[#This Row],[
Rate ]]*Table1[[#This Row],[Final Qty]]</f>
        <v>1350</v>
      </c>
      <c r="S67" s="14"/>
      <c r="T67" s="14">
        <v>1350</v>
      </c>
      <c r="U67" s="14"/>
    </row>
    <row r="68" spans="2:21" x14ac:dyDescent="0.25">
      <c r="B68" t="s">
        <v>141</v>
      </c>
      <c r="D68" s="14" t="str">
        <f>VLOOKUP(Table1[[#This Row],[
Item Name ]],Rates!$A$2:$B$22,2,0)</f>
        <v>CF</v>
      </c>
      <c r="E68" t="s">
        <v>38</v>
      </c>
      <c r="F68">
        <v>10530085</v>
      </c>
      <c r="G68" t="str">
        <f>VLOOKUP(Table1[[#This Row],[
MPG Code  ]],[2]Master!$B:$G,6,0)</f>
        <v>GOMUKH SUSTA</v>
      </c>
      <c r="H68" s="20" t="s">
        <v>118</v>
      </c>
      <c r="J68" t="str">
        <f>VLOOKUP(Table1[[#This Row],[
MPG Code  ]],[2]Master!$B:$N,13,0)</f>
        <v>Kalyanpur</v>
      </c>
      <c r="K68" t="s">
        <v>91</v>
      </c>
      <c r="L68" t="str">
        <f>CONCATENATE(Table1[[#This Row],[
MPG Code  ]],Table1[[#This Row],[
Farmer code  ]])</f>
        <v>105300850006</v>
      </c>
      <c r="M68" t="str">
        <f>VLOOKUP(Table1[[#This Row],[
MPG Code  ]],[2]Master!$B:$F,5,0)</f>
        <v>Direct</v>
      </c>
      <c r="N68" s="14">
        <v>1</v>
      </c>
      <c r="O68" s="11">
        <f>VLOOKUP(Table1[[#This Row],[
Item Name ]],Rates!$A$2:$F$22,6,0)</f>
        <v>1350</v>
      </c>
      <c r="P68" s="11">
        <f>Table1[[#This Row],[Indent Qty]]*Table1[[#This Row],[
Rate ]]</f>
        <v>1350</v>
      </c>
      <c r="Q68" s="14">
        <f>Table1[[#This Row],[Indent Qty]]</f>
        <v>1</v>
      </c>
      <c r="R68" s="18">
        <f>Table1[[#This Row],[
Rate ]]*Table1[[#This Row],[Final Qty]]</f>
        <v>1350</v>
      </c>
      <c r="S68" s="14"/>
      <c r="T68" s="14">
        <v>1350</v>
      </c>
      <c r="U68" s="14"/>
    </row>
    <row r="69" spans="2:21" x14ac:dyDescent="0.25">
      <c r="B69" t="s">
        <v>141</v>
      </c>
      <c r="D69" s="14" t="str">
        <f>VLOOKUP(Table1[[#This Row],[
Item Name ]],Rates!$A$2:$B$22,2,0)</f>
        <v>CF</v>
      </c>
      <c r="E69" t="s">
        <v>38</v>
      </c>
      <c r="F69">
        <v>10530085</v>
      </c>
      <c r="G69" t="str">
        <f>VLOOKUP(Table1[[#This Row],[
MPG Code  ]],[2]Master!$B:$G,6,0)</f>
        <v>GOMUKH SUSTA</v>
      </c>
      <c r="H69" s="20" t="s">
        <v>140</v>
      </c>
      <c r="J69" t="str">
        <f>VLOOKUP(Table1[[#This Row],[
MPG Code  ]],[2]Master!$B:$N,13,0)</f>
        <v>Kalyanpur</v>
      </c>
      <c r="K69" t="s">
        <v>91</v>
      </c>
      <c r="L69" t="str">
        <f>CONCATENATE(Table1[[#This Row],[
MPG Code  ]],Table1[[#This Row],[
Farmer code  ]])</f>
        <v>105300850046</v>
      </c>
      <c r="M69" t="str">
        <f>VLOOKUP(Table1[[#This Row],[
MPG Code  ]],[2]Master!$B:$F,5,0)</f>
        <v>Direct</v>
      </c>
      <c r="N69" s="14">
        <v>1</v>
      </c>
      <c r="O69" s="11">
        <f>VLOOKUP(Table1[[#This Row],[
Item Name ]],Rates!$A$2:$F$22,6,0)</f>
        <v>1350</v>
      </c>
      <c r="P69" s="11">
        <f>Table1[[#This Row],[Indent Qty]]*Table1[[#This Row],[
Rate ]]</f>
        <v>1350</v>
      </c>
      <c r="Q69" s="14">
        <f>Table1[[#This Row],[Indent Qty]]</f>
        <v>1</v>
      </c>
      <c r="R69" s="18">
        <f>Table1[[#This Row],[
Rate ]]*Table1[[#This Row],[Final Qty]]</f>
        <v>1350</v>
      </c>
      <c r="S69" s="14"/>
      <c r="T69" s="14">
        <v>1350</v>
      </c>
      <c r="U69" s="14"/>
    </row>
    <row r="70" spans="2:21" x14ac:dyDescent="0.25">
      <c r="B70" t="s">
        <v>141</v>
      </c>
      <c r="D70" s="14" t="str">
        <f>VLOOKUP(Table1[[#This Row],[
Item Name ]],Rates!$A$2:$B$22,2,0)</f>
        <v>CF</v>
      </c>
      <c r="E70" t="s">
        <v>38</v>
      </c>
      <c r="F70">
        <v>10530085</v>
      </c>
      <c r="G70" t="str">
        <f>VLOOKUP(Table1[[#This Row],[
MPG Code  ]],[2]Master!$B:$G,6,0)</f>
        <v>GOMUKH SUSTA</v>
      </c>
      <c r="H70" s="20" t="s">
        <v>111</v>
      </c>
      <c r="J70" t="str">
        <f>VLOOKUP(Table1[[#This Row],[
MPG Code  ]],[2]Master!$B:$N,13,0)</f>
        <v>Kalyanpur</v>
      </c>
      <c r="K70" t="s">
        <v>91</v>
      </c>
      <c r="L70" t="str">
        <f>CONCATENATE(Table1[[#This Row],[
MPG Code  ]],Table1[[#This Row],[
Farmer code  ]])</f>
        <v>105300850003</v>
      </c>
      <c r="M70" t="str">
        <f>VLOOKUP(Table1[[#This Row],[
MPG Code  ]],[2]Master!$B:$F,5,0)</f>
        <v>Direct</v>
      </c>
      <c r="N70" s="14">
        <v>2</v>
      </c>
      <c r="O70" s="11">
        <f>VLOOKUP(Table1[[#This Row],[
Item Name ]],Rates!$A$2:$F$22,6,0)</f>
        <v>1350</v>
      </c>
      <c r="P70" s="11">
        <f>Table1[[#This Row],[Indent Qty]]*Table1[[#This Row],[
Rate ]]</f>
        <v>2700</v>
      </c>
      <c r="Q70" s="14">
        <f>Table1[[#This Row],[Indent Qty]]</f>
        <v>2</v>
      </c>
      <c r="R70" s="18">
        <f>Table1[[#This Row],[
Rate ]]*Table1[[#This Row],[Final Qty]]</f>
        <v>2700</v>
      </c>
      <c r="S70" s="14"/>
      <c r="T70" s="14">
        <v>2700</v>
      </c>
      <c r="U70" s="14"/>
    </row>
    <row r="71" spans="2:21" x14ac:dyDescent="0.25">
      <c r="B71" t="s">
        <v>141</v>
      </c>
      <c r="D71" s="14" t="str">
        <f>VLOOKUP(Table1[[#This Row],[
Item Name ]],Rates!$A$2:$B$22,2,0)</f>
        <v>CF</v>
      </c>
      <c r="E71" t="s">
        <v>38</v>
      </c>
      <c r="F71">
        <v>10530085</v>
      </c>
      <c r="G71" t="str">
        <f>VLOOKUP(Table1[[#This Row],[
MPG Code  ]],[2]Master!$B:$G,6,0)</f>
        <v>GOMUKH SUSTA</v>
      </c>
      <c r="H71" s="20" t="s">
        <v>115</v>
      </c>
      <c r="J71" t="str">
        <f>VLOOKUP(Table1[[#This Row],[
MPG Code  ]],[2]Master!$B:$N,13,0)</f>
        <v>Kalyanpur</v>
      </c>
      <c r="K71" t="s">
        <v>91</v>
      </c>
      <c r="L71" t="str">
        <f>CONCATENATE(Table1[[#This Row],[
MPG Code  ]],Table1[[#This Row],[
Farmer code  ]])</f>
        <v>105300850019</v>
      </c>
      <c r="M71" t="str">
        <f>VLOOKUP(Table1[[#This Row],[
MPG Code  ]],[2]Master!$B:$F,5,0)</f>
        <v>Direct</v>
      </c>
      <c r="N71" s="14">
        <v>2</v>
      </c>
      <c r="O71" s="11">
        <f>VLOOKUP(Table1[[#This Row],[
Item Name ]],Rates!$A$2:$F$22,6,0)</f>
        <v>1350</v>
      </c>
      <c r="P71" s="11">
        <f>Table1[[#This Row],[Indent Qty]]*Table1[[#This Row],[
Rate ]]</f>
        <v>2700</v>
      </c>
      <c r="Q71" s="14">
        <f>Table1[[#This Row],[Indent Qty]]</f>
        <v>2</v>
      </c>
      <c r="R71" s="18">
        <f>Table1[[#This Row],[
Rate ]]*Table1[[#This Row],[Final Qty]]</f>
        <v>2700</v>
      </c>
      <c r="S71" s="14"/>
      <c r="T71" s="14">
        <v>2179</v>
      </c>
      <c r="U71" s="14"/>
    </row>
    <row r="72" spans="2:21" x14ac:dyDescent="0.25">
      <c r="B72" t="s">
        <v>141</v>
      </c>
      <c r="D72" s="14" t="str">
        <f>VLOOKUP(Table1[[#This Row],[
Item Name ]],Rates!$A$2:$B$22,2,0)</f>
        <v>CF</v>
      </c>
      <c r="E72" t="s">
        <v>38</v>
      </c>
      <c r="F72">
        <v>10530085</v>
      </c>
      <c r="G72" t="str">
        <f>VLOOKUP(Table1[[#This Row],[
MPG Code  ]],[2]Master!$B:$G,6,0)</f>
        <v>GOMUKH SUSTA</v>
      </c>
      <c r="H72" s="20" t="s">
        <v>116</v>
      </c>
      <c r="J72" t="str">
        <f>VLOOKUP(Table1[[#This Row],[
MPG Code  ]],[2]Master!$B:$N,13,0)</f>
        <v>Kalyanpur</v>
      </c>
      <c r="K72" t="s">
        <v>91</v>
      </c>
      <c r="L72" t="str">
        <f>CONCATENATE(Table1[[#This Row],[
MPG Code  ]],Table1[[#This Row],[
Farmer code  ]])</f>
        <v>105300850004</v>
      </c>
      <c r="M72" t="str">
        <f>VLOOKUP(Table1[[#This Row],[
MPG Code  ]],[2]Master!$B:$F,5,0)</f>
        <v>Direct</v>
      </c>
      <c r="N72" s="14">
        <v>1</v>
      </c>
      <c r="O72" s="11">
        <f>VLOOKUP(Table1[[#This Row],[
Item Name ]],Rates!$A$2:$F$22,6,0)</f>
        <v>1350</v>
      </c>
      <c r="P72" s="11">
        <f>Table1[[#This Row],[Indent Qty]]*Table1[[#This Row],[
Rate ]]</f>
        <v>1350</v>
      </c>
      <c r="Q72" s="14">
        <f>Table1[[#This Row],[Indent Qty]]</f>
        <v>1</v>
      </c>
      <c r="R72" s="18">
        <f>Table1[[#This Row],[
Rate ]]*Table1[[#This Row],[Final Qty]]</f>
        <v>1350</v>
      </c>
      <c r="S72" s="14"/>
      <c r="T72" s="14">
        <v>871</v>
      </c>
      <c r="U72" s="14"/>
    </row>
    <row r="73" spans="2:21" x14ac:dyDescent="0.25">
      <c r="B73" t="s">
        <v>141</v>
      </c>
      <c r="D73" s="14" t="str">
        <f>VLOOKUP(Table1[[#This Row],[
Item Name ]],Rates!$A$2:$B$22,2,0)</f>
        <v>CF</v>
      </c>
      <c r="E73" t="s">
        <v>38</v>
      </c>
      <c r="F73">
        <v>10530085</v>
      </c>
      <c r="G73" t="str">
        <f>VLOOKUP(Table1[[#This Row],[
MPG Code  ]],[2]Master!$B:$G,6,0)</f>
        <v>GOMUKH SUSTA</v>
      </c>
      <c r="H73" s="20" t="s">
        <v>135</v>
      </c>
      <c r="J73" t="str">
        <f>VLOOKUP(Table1[[#This Row],[
MPG Code  ]],[2]Master!$B:$N,13,0)</f>
        <v>Kalyanpur</v>
      </c>
      <c r="K73" t="s">
        <v>91</v>
      </c>
      <c r="L73" t="str">
        <f>CONCATENATE(Table1[[#This Row],[
MPG Code  ]],Table1[[#This Row],[
Farmer code  ]])</f>
        <v>105300850027</v>
      </c>
      <c r="M73" t="str">
        <f>VLOOKUP(Table1[[#This Row],[
MPG Code  ]],[2]Master!$B:$F,5,0)</f>
        <v>Direct</v>
      </c>
      <c r="N73" s="14">
        <v>1</v>
      </c>
      <c r="O73" s="11">
        <f>VLOOKUP(Table1[[#This Row],[
Item Name ]],Rates!$A$2:$F$22,6,0)</f>
        <v>1350</v>
      </c>
      <c r="P73" s="11">
        <f>Table1[[#This Row],[Indent Qty]]*Table1[[#This Row],[
Rate ]]</f>
        <v>1350</v>
      </c>
      <c r="Q73" s="14">
        <f>Table1[[#This Row],[Indent Qty]]</f>
        <v>1</v>
      </c>
      <c r="R73" s="18">
        <f>Table1[[#This Row],[
Rate ]]*Table1[[#This Row],[Final Qty]]</f>
        <v>1350</v>
      </c>
      <c r="S73" s="14"/>
      <c r="T73" s="14">
        <v>1350</v>
      </c>
      <c r="U73" s="14"/>
    </row>
    <row r="74" spans="2:21" x14ac:dyDescent="0.25">
      <c r="B74" t="s">
        <v>141</v>
      </c>
      <c r="D74" s="14" t="str">
        <f>VLOOKUP(Table1[[#This Row],[
Item Name ]],Rates!$A$2:$B$22,2,0)</f>
        <v>CF</v>
      </c>
      <c r="E74" t="s">
        <v>38</v>
      </c>
      <c r="F74">
        <v>10530085</v>
      </c>
      <c r="G74" t="str">
        <f>VLOOKUP(Table1[[#This Row],[
MPG Code  ]],[2]Master!$B:$G,6,0)</f>
        <v>GOMUKH SUSTA</v>
      </c>
      <c r="H74" s="20" t="s">
        <v>113</v>
      </c>
      <c r="J74" t="str">
        <f>VLOOKUP(Table1[[#This Row],[
MPG Code  ]],[2]Master!$B:$N,13,0)</f>
        <v>Kalyanpur</v>
      </c>
      <c r="K74" t="s">
        <v>91</v>
      </c>
      <c r="L74" t="str">
        <f>CONCATENATE(Table1[[#This Row],[
MPG Code  ]],Table1[[#This Row],[
Farmer code  ]])</f>
        <v>105300850002</v>
      </c>
      <c r="M74" t="str">
        <f>VLOOKUP(Table1[[#This Row],[
MPG Code  ]],[2]Master!$B:$F,5,0)</f>
        <v>Direct</v>
      </c>
      <c r="N74" s="14">
        <v>2</v>
      </c>
      <c r="O74" s="11">
        <f>VLOOKUP(Table1[[#This Row],[
Item Name ]],Rates!$A$2:$F$22,6,0)</f>
        <v>1350</v>
      </c>
      <c r="P74" s="11">
        <f>Table1[[#This Row],[Indent Qty]]*Table1[[#This Row],[
Rate ]]</f>
        <v>2700</v>
      </c>
      <c r="Q74" s="14">
        <f>Table1[[#This Row],[Indent Qty]]</f>
        <v>2</v>
      </c>
      <c r="R74" s="18">
        <f>Table1[[#This Row],[
Rate ]]*Table1[[#This Row],[Final Qty]]</f>
        <v>2700</v>
      </c>
      <c r="S74" s="14"/>
      <c r="T74" s="14">
        <v>2669</v>
      </c>
      <c r="U74" s="14"/>
    </row>
    <row r="75" spans="2:21" x14ac:dyDescent="0.25">
      <c r="B75" t="s">
        <v>141</v>
      </c>
      <c r="D75" s="14" t="str">
        <f>VLOOKUP(Table1[[#This Row],[
Item Name ]],Rates!$A$2:$B$22,2,0)</f>
        <v>CF</v>
      </c>
      <c r="E75" t="s">
        <v>40</v>
      </c>
      <c r="F75">
        <v>10530067</v>
      </c>
      <c r="G75" t="str">
        <f>VLOOKUP(Table1[[#This Row],[
MPG Code  ]],[2]Master!$B:$G,6,0)</f>
        <v>GOMUKH BANDRA W-6</v>
      </c>
      <c r="H75" s="20" t="s">
        <v>117</v>
      </c>
      <c r="J75" t="str">
        <f>VLOOKUP(Table1[[#This Row],[
MPG Code  ]],[2]Master!$B:$N,13,0)</f>
        <v>Kalyanpur</v>
      </c>
      <c r="K75" t="s">
        <v>91</v>
      </c>
      <c r="L75" t="str">
        <f>CONCATENATE(Table1[[#This Row],[
MPG Code  ]],Table1[[#This Row],[
Farmer code  ]])</f>
        <v>105300670013</v>
      </c>
      <c r="M75" t="str">
        <f>VLOOKUP(Table1[[#This Row],[
MPG Code  ]],[2]Master!$B:$F,5,0)</f>
        <v>Direct</v>
      </c>
      <c r="N75" s="14">
        <v>1</v>
      </c>
      <c r="O75" s="11">
        <f>VLOOKUP(Table1[[#This Row],[
Item Name ]],Rates!$A$2:$F$22,6,0)</f>
        <v>1500</v>
      </c>
      <c r="P75" s="11">
        <f>Table1[[#This Row],[Indent Qty]]*Table1[[#This Row],[
Rate ]]</f>
        <v>1500</v>
      </c>
      <c r="Q75" s="14">
        <f>Table1[[#This Row],[Indent Qty]]</f>
        <v>1</v>
      </c>
      <c r="R75" s="18">
        <f>Table1[[#This Row],[
Rate ]]*Table1[[#This Row],[Final Qty]]</f>
        <v>1500</v>
      </c>
      <c r="S75" s="14"/>
      <c r="T75" s="14">
        <v>1500</v>
      </c>
      <c r="U75" s="14"/>
    </row>
    <row r="76" spans="2:21" x14ac:dyDescent="0.25">
      <c r="B76" t="s">
        <v>141</v>
      </c>
      <c r="D76" s="14" t="str">
        <f>VLOOKUP(Table1[[#This Row],[
Item Name ]],Rates!$A$2:$B$22,2,0)</f>
        <v>CF</v>
      </c>
      <c r="E76" t="s">
        <v>40</v>
      </c>
      <c r="F76">
        <v>10530067</v>
      </c>
      <c r="G76" t="str">
        <f>VLOOKUP(Table1[[#This Row],[
MPG Code  ]],[2]Master!$B:$G,6,0)</f>
        <v>GOMUKH BANDRA W-6</v>
      </c>
      <c r="H76" s="20" t="s">
        <v>139</v>
      </c>
      <c r="J76" t="str">
        <f>VLOOKUP(Table1[[#This Row],[
MPG Code  ]],[2]Master!$B:$N,13,0)</f>
        <v>Kalyanpur</v>
      </c>
      <c r="K76" t="s">
        <v>91</v>
      </c>
      <c r="L76" t="str">
        <f>CONCATENATE(Table1[[#This Row],[
MPG Code  ]],Table1[[#This Row],[
Farmer code  ]])</f>
        <v>105300670035</v>
      </c>
      <c r="M76" t="str">
        <f>VLOOKUP(Table1[[#This Row],[
MPG Code  ]],[2]Master!$B:$F,5,0)</f>
        <v>Direct</v>
      </c>
      <c r="N76" s="14">
        <v>1</v>
      </c>
      <c r="O76" s="11">
        <f>VLOOKUP(Table1[[#This Row],[
Item Name ]],Rates!$A$2:$F$22,6,0)</f>
        <v>1500</v>
      </c>
      <c r="P76" s="11">
        <f>Table1[[#This Row],[Indent Qty]]*Table1[[#This Row],[
Rate ]]</f>
        <v>1500</v>
      </c>
      <c r="Q76" s="14">
        <f>Table1[[#This Row],[Indent Qty]]</f>
        <v>1</v>
      </c>
      <c r="R76" s="18">
        <f>Table1[[#This Row],[
Rate ]]*Table1[[#This Row],[Final Qty]]</f>
        <v>1500</v>
      </c>
      <c r="S76" s="14"/>
      <c r="T76" s="14">
        <v>1035</v>
      </c>
      <c r="U76" s="14"/>
    </row>
    <row r="77" spans="2:21" x14ac:dyDescent="0.25">
      <c r="B77" t="s">
        <v>141</v>
      </c>
      <c r="D77" s="14" t="str">
        <f>VLOOKUP(Table1[[#This Row],[
Item Name ]],Rates!$A$2:$B$22,2,0)</f>
        <v>CF</v>
      </c>
      <c r="E77" t="s">
        <v>38</v>
      </c>
      <c r="F77">
        <v>10530106</v>
      </c>
      <c r="G77" t="str">
        <f>VLOOKUP(Table1[[#This Row],[
MPG Code  ]],[2]Master!$B:$G,6,0)</f>
        <v>GOMUKH Keotsa</v>
      </c>
      <c r="H77" s="20" t="s">
        <v>113</v>
      </c>
      <c r="J77" t="str">
        <f>VLOOKUP(Table1[[#This Row],[
MPG Code  ]],[2]Master!$B:$N,13,0)</f>
        <v>Kalyanpur</v>
      </c>
      <c r="K77" t="s">
        <v>91</v>
      </c>
      <c r="L77" t="str">
        <f>CONCATENATE(Table1[[#This Row],[
MPG Code  ]],Table1[[#This Row],[
Farmer code  ]])</f>
        <v>105301060002</v>
      </c>
      <c r="M77" t="str">
        <f>VLOOKUP(Table1[[#This Row],[
MPG Code  ]],[2]Master!$B:$F,5,0)</f>
        <v>Direct</v>
      </c>
      <c r="N77" s="14">
        <v>2</v>
      </c>
      <c r="O77" s="11">
        <f>VLOOKUP(Table1[[#This Row],[
Item Name ]],Rates!$A$2:$F$22,6,0)</f>
        <v>1350</v>
      </c>
      <c r="P77" s="11">
        <f>Table1[[#This Row],[Indent Qty]]*Table1[[#This Row],[
Rate ]]</f>
        <v>2700</v>
      </c>
      <c r="Q77" s="14">
        <f>Table1[[#This Row],[Indent Qty]]</f>
        <v>2</v>
      </c>
      <c r="R77" s="18">
        <f>Table1[[#This Row],[
Rate ]]*Table1[[#This Row],[Final Qty]]</f>
        <v>2700</v>
      </c>
      <c r="S77" s="14"/>
      <c r="T77" s="14">
        <v>2700</v>
      </c>
      <c r="U77" s="14"/>
    </row>
    <row r="78" spans="2:21" x14ac:dyDescent="0.25">
      <c r="B78" t="s">
        <v>141</v>
      </c>
      <c r="D78" s="14" t="str">
        <f>VLOOKUP(Table1[[#This Row],[
Item Name ]],Rates!$A$2:$B$22,2,0)</f>
        <v>CF</v>
      </c>
      <c r="E78" t="s">
        <v>38</v>
      </c>
      <c r="F78">
        <v>10530092</v>
      </c>
      <c r="G78" t="str">
        <f>VLOOKUP(Table1[[#This Row],[
MPG Code  ]],[2]Master!$B:$G,6,0)</f>
        <v>GOMUKH SHIVNAGAR</v>
      </c>
      <c r="H78" s="20" t="s">
        <v>111</v>
      </c>
      <c r="J78" t="str">
        <f>VLOOKUP(Table1[[#This Row],[
MPG Code  ]],[2]Master!$B:$N,13,0)</f>
        <v>Kalyanpur</v>
      </c>
      <c r="K78" t="s">
        <v>91</v>
      </c>
      <c r="L78" t="str">
        <f>CONCATENATE(Table1[[#This Row],[
MPG Code  ]],Table1[[#This Row],[
Farmer code  ]])</f>
        <v>105300920003</v>
      </c>
      <c r="M78" t="str">
        <f>VLOOKUP(Table1[[#This Row],[
MPG Code  ]],[2]Master!$B:$F,5,0)</f>
        <v>Direct</v>
      </c>
      <c r="N78" s="14">
        <v>2</v>
      </c>
      <c r="O78" s="11">
        <f>VLOOKUP(Table1[[#This Row],[
Item Name ]],Rates!$A$2:$F$22,6,0)</f>
        <v>1350</v>
      </c>
      <c r="P78" s="11">
        <f>Table1[[#This Row],[Indent Qty]]*Table1[[#This Row],[
Rate ]]</f>
        <v>2700</v>
      </c>
      <c r="Q78" s="14">
        <f>Table1[[#This Row],[Indent Qty]]</f>
        <v>2</v>
      </c>
      <c r="R78" s="18">
        <f>Table1[[#This Row],[
Rate ]]*Table1[[#This Row],[Final Qty]]</f>
        <v>2700</v>
      </c>
      <c r="S78" s="14"/>
      <c r="T78" s="14">
        <v>2700</v>
      </c>
      <c r="U78" s="14"/>
    </row>
    <row r="79" spans="2:21" x14ac:dyDescent="0.25">
      <c r="B79" t="s">
        <v>141</v>
      </c>
      <c r="D79" s="14" t="str">
        <f>VLOOKUP(Table1[[#This Row],[
Item Name ]],Rates!$A$2:$B$22,2,0)</f>
        <v>CF</v>
      </c>
      <c r="E79" t="s">
        <v>38</v>
      </c>
      <c r="F79">
        <v>10530092</v>
      </c>
      <c r="G79" t="str">
        <f>VLOOKUP(Table1[[#This Row],[
MPG Code  ]],[2]Master!$B:$G,6,0)</f>
        <v>GOMUKH SHIVNAGAR</v>
      </c>
      <c r="H79" s="20" t="s">
        <v>122</v>
      </c>
      <c r="J79" t="str">
        <f>VLOOKUP(Table1[[#This Row],[
MPG Code  ]],[2]Master!$B:$N,13,0)</f>
        <v>Kalyanpur</v>
      </c>
      <c r="K79" t="s">
        <v>91</v>
      </c>
      <c r="L79" t="str">
        <f>CONCATENATE(Table1[[#This Row],[
MPG Code  ]],Table1[[#This Row],[
Farmer code  ]])</f>
        <v>105300920007</v>
      </c>
      <c r="M79" t="str">
        <f>VLOOKUP(Table1[[#This Row],[
MPG Code  ]],[2]Master!$B:$F,5,0)</f>
        <v>Direct</v>
      </c>
      <c r="N79" s="14">
        <v>1</v>
      </c>
      <c r="O79" s="11">
        <f>VLOOKUP(Table1[[#This Row],[
Item Name ]],Rates!$A$2:$F$22,6,0)</f>
        <v>1350</v>
      </c>
      <c r="P79" s="11">
        <f>Table1[[#This Row],[Indent Qty]]*Table1[[#This Row],[
Rate ]]</f>
        <v>1350</v>
      </c>
      <c r="Q79" s="14">
        <f>Table1[[#This Row],[Indent Qty]]</f>
        <v>1</v>
      </c>
      <c r="R79" s="18">
        <f>Table1[[#This Row],[
Rate ]]*Table1[[#This Row],[Final Qty]]</f>
        <v>1350</v>
      </c>
      <c r="S79" s="14"/>
      <c r="T79" s="14">
        <v>946</v>
      </c>
      <c r="U79" s="14"/>
    </row>
    <row r="80" spans="2:21" x14ac:dyDescent="0.25">
      <c r="B80" t="s">
        <v>141</v>
      </c>
      <c r="D80" s="14" t="str">
        <f>VLOOKUP(Table1[[#This Row],[
Item Name ]],Rates!$A$2:$B$22,2,0)</f>
        <v>CF</v>
      </c>
      <c r="E80" t="s">
        <v>40</v>
      </c>
      <c r="F80">
        <v>10530092</v>
      </c>
      <c r="G80" t="str">
        <f>VLOOKUP(Table1[[#This Row],[
MPG Code  ]],[2]Master!$B:$G,6,0)</f>
        <v>GOMUKH SHIVNAGAR</v>
      </c>
      <c r="H80" s="20" t="s">
        <v>120</v>
      </c>
      <c r="J80" t="str">
        <f>VLOOKUP(Table1[[#This Row],[
MPG Code  ]],[2]Master!$B:$N,13,0)</f>
        <v>Kalyanpur</v>
      </c>
      <c r="K80" t="s">
        <v>91</v>
      </c>
      <c r="L80" t="str">
        <f>CONCATENATE(Table1[[#This Row],[
MPG Code  ]],Table1[[#This Row],[
Farmer code  ]])</f>
        <v>105300920009</v>
      </c>
      <c r="M80" t="str">
        <f>VLOOKUP(Table1[[#This Row],[
MPG Code  ]],[2]Master!$B:$F,5,0)</f>
        <v>Direct</v>
      </c>
      <c r="N80" s="14">
        <v>1</v>
      </c>
      <c r="O80" s="11">
        <f>VLOOKUP(Table1[[#This Row],[
Item Name ]],Rates!$A$2:$F$22,6,0)</f>
        <v>1500</v>
      </c>
      <c r="P80" s="11">
        <f>Table1[[#This Row],[Indent Qty]]*Table1[[#This Row],[
Rate ]]</f>
        <v>1500</v>
      </c>
      <c r="Q80" s="14">
        <f>Table1[[#This Row],[Indent Qty]]</f>
        <v>1</v>
      </c>
      <c r="R80" s="18">
        <f>Table1[[#This Row],[
Rate ]]*Table1[[#This Row],[Final Qty]]</f>
        <v>1500</v>
      </c>
      <c r="S80" s="14"/>
      <c r="T80" s="14">
        <v>1500</v>
      </c>
      <c r="U80" s="14"/>
    </row>
    <row r="81" spans="2:21" x14ac:dyDescent="0.25">
      <c r="B81" t="s">
        <v>141</v>
      </c>
      <c r="D81" s="14" t="str">
        <f>VLOOKUP(Table1[[#This Row],[
Item Name ]],Rates!$A$2:$B$22,2,0)</f>
        <v>CF</v>
      </c>
      <c r="E81" t="s">
        <v>40</v>
      </c>
      <c r="F81">
        <v>10530092</v>
      </c>
      <c r="G81" t="str">
        <f>VLOOKUP(Table1[[#This Row],[
MPG Code  ]],[2]Master!$B:$G,6,0)</f>
        <v>GOMUKH SHIVNAGAR</v>
      </c>
      <c r="H81" s="20" t="s">
        <v>111</v>
      </c>
      <c r="J81" t="str">
        <f>VLOOKUP(Table1[[#This Row],[
MPG Code  ]],[2]Master!$B:$N,13,0)</f>
        <v>Kalyanpur</v>
      </c>
      <c r="K81" t="s">
        <v>91</v>
      </c>
      <c r="L81" t="str">
        <f>CONCATENATE(Table1[[#This Row],[
MPG Code  ]],Table1[[#This Row],[
Farmer code  ]])</f>
        <v>105300920003</v>
      </c>
      <c r="M81" t="str">
        <f>VLOOKUP(Table1[[#This Row],[
MPG Code  ]],[2]Master!$B:$F,5,0)</f>
        <v>Direct</v>
      </c>
      <c r="N81" s="14">
        <v>0</v>
      </c>
      <c r="O81" s="11">
        <v>0</v>
      </c>
      <c r="P81" s="11">
        <v>324</v>
      </c>
      <c r="Q81" s="14">
        <f>Table1[[#This Row],[Indent Qty]]</f>
        <v>0</v>
      </c>
      <c r="R81" s="18">
        <v>324</v>
      </c>
      <c r="S81" s="14"/>
      <c r="T81" s="14">
        <v>324</v>
      </c>
      <c r="U81" s="14"/>
    </row>
    <row r="82" spans="2:21" x14ac:dyDescent="0.25">
      <c r="B82" t="s">
        <v>141</v>
      </c>
      <c r="D82" s="14" t="str">
        <f>VLOOKUP(Table1[[#This Row],[
Item Name ]],Rates!$A$2:$B$22,2,0)</f>
        <v>CF</v>
      </c>
      <c r="E82" t="s">
        <v>40</v>
      </c>
      <c r="F82">
        <v>10530082</v>
      </c>
      <c r="G82" t="str">
        <f>VLOOKUP(Table1[[#This Row],[
MPG Code  ]],[2]Master!$B:$G,6,0)</f>
        <v>GOMUKH PREMNAGAR</v>
      </c>
      <c r="H82" s="20" t="s">
        <v>132</v>
      </c>
      <c r="J82" t="str">
        <f>VLOOKUP(Table1[[#This Row],[
MPG Code  ]],[2]Master!$B:$N,13,0)</f>
        <v>Kalyanpur</v>
      </c>
      <c r="K82" t="s">
        <v>91</v>
      </c>
      <c r="L82" t="str">
        <f>CONCATENATE(Table1[[#This Row],[
MPG Code  ]],Table1[[#This Row],[
Farmer code  ]])</f>
        <v>105300820015</v>
      </c>
      <c r="M82" t="str">
        <f>VLOOKUP(Table1[[#This Row],[
MPG Code  ]],[2]Master!$B:$F,5,0)</f>
        <v>Direct</v>
      </c>
      <c r="N82" s="14">
        <v>3</v>
      </c>
      <c r="O82" s="11">
        <f>VLOOKUP(Table1[[#This Row],[
Item Name ]],Rates!$A$2:$F$22,6,0)</f>
        <v>1500</v>
      </c>
      <c r="P82" s="11">
        <f>Table1[[#This Row],[Indent Qty]]*Table1[[#This Row],[
Rate ]]</f>
        <v>4500</v>
      </c>
      <c r="Q82" s="14">
        <f>Table1[[#This Row],[Indent Qty]]</f>
        <v>3</v>
      </c>
      <c r="R82" s="18">
        <f>Table1[[#This Row],[
Rate ]]*Table1[[#This Row],[Final Qty]]</f>
        <v>4500</v>
      </c>
      <c r="S82" s="14"/>
      <c r="T82" s="14">
        <v>4500</v>
      </c>
      <c r="U82" s="14"/>
    </row>
    <row r="83" spans="2:21" x14ac:dyDescent="0.25">
      <c r="B83" t="s">
        <v>141</v>
      </c>
      <c r="D83" s="14" t="str">
        <f>VLOOKUP(Table1[[#This Row],[
Item Name ]],Rates!$A$2:$B$22,2,0)</f>
        <v>CF</v>
      </c>
      <c r="E83" t="s">
        <v>40</v>
      </c>
      <c r="F83">
        <v>10530082</v>
      </c>
      <c r="G83" t="str">
        <f>VLOOKUP(Table1[[#This Row],[
MPG Code  ]],[2]Master!$B:$G,6,0)</f>
        <v>GOMUKH PREMNAGAR</v>
      </c>
      <c r="H83" s="20" t="s">
        <v>129</v>
      </c>
      <c r="J83" t="str">
        <f>VLOOKUP(Table1[[#This Row],[
MPG Code  ]],[2]Master!$B:$N,13,0)</f>
        <v>Kalyanpur</v>
      </c>
      <c r="K83" t="s">
        <v>91</v>
      </c>
      <c r="L83" t="str">
        <f>CONCATENATE(Table1[[#This Row],[
MPG Code  ]],Table1[[#This Row],[
Farmer code  ]])</f>
        <v>105300820020</v>
      </c>
      <c r="M83" t="str">
        <f>VLOOKUP(Table1[[#This Row],[
MPG Code  ]],[2]Master!$B:$F,5,0)</f>
        <v>Direct</v>
      </c>
      <c r="N83" s="14">
        <v>2</v>
      </c>
      <c r="O83" s="11">
        <f>VLOOKUP(Table1[[#This Row],[
Item Name ]],Rates!$A$2:$F$22,6,0)</f>
        <v>1500</v>
      </c>
      <c r="P83" s="11">
        <f>Table1[[#This Row],[Indent Qty]]*Table1[[#This Row],[
Rate ]]</f>
        <v>3000</v>
      </c>
      <c r="Q83" s="14">
        <f>Table1[[#This Row],[Indent Qty]]</f>
        <v>2</v>
      </c>
      <c r="R83" s="18">
        <f>Table1[[#This Row],[
Rate ]]*Table1[[#This Row],[Final Qty]]</f>
        <v>3000</v>
      </c>
      <c r="S83" s="14"/>
      <c r="T83" s="14">
        <v>2100</v>
      </c>
      <c r="U83" s="14"/>
    </row>
    <row r="84" spans="2:21" x14ac:dyDescent="0.25">
      <c r="B84" t="s">
        <v>141</v>
      </c>
      <c r="D84" s="14" t="str">
        <f>VLOOKUP(Table1[[#This Row],[
Item Name ]],Rates!$A$2:$B$22,2,0)</f>
        <v>CF</v>
      </c>
      <c r="E84" t="s">
        <v>40</v>
      </c>
      <c r="F84">
        <v>10530082</v>
      </c>
      <c r="G84" t="str">
        <f>VLOOKUP(Table1[[#This Row],[
MPG Code  ]],[2]Master!$B:$G,6,0)</f>
        <v>GOMUKH PREMNAGAR</v>
      </c>
      <c r="H84" s="20" t="s">
        <v>130</v>
      </c>
      <c r="J84" t="str">
        <f>VLOOKUP(Table1[[#This Row],[
MPG Code  ]],[2]Master!$B:$N,13,0)</f>
        <v>Kalyanpur</v>
      </c>
      <c r="K84" t="s">
        <v>91</v>
      </c>
      <c r="L84" t="str">
        <f>CONCATENATE(Table1[[#This Row],[
MPG Code  ]],Table1[[#This Row],[
Farmer code  ]])</f>
        <v>105300820040</v>
      </c>
      <c r="M84" t="str">
        <f>VLOOKUP(Table1[[#This Row],[
MPG Code  ]],[2]Master!$B:$F,5,0)</f>
        <v>Direct</v>
      </c>
      <c r="N84" s="14">
        <v>2</v>
      </c>
      <c r="O84" s="11">
        <f>VLOOKUP(Table1[[#This Row],[
Item Name ]],Rates!$A$2:$F$22,6,0)</f>
        <v>1500</v>
      </c>
      <c r="P84" s="11">
        <f>Table1[[#This Row],[Indent Qty]]*Table1[[#This Row],[
Rate ]]</f>
        <v>3000</v>
      </c>
      <c r="Q84" s="14">
        <f>Table1[[#This Row],[Indent Qty]]</f>
        <v>2</v>
      </c>
      <c r="R84" s="18">
        <f>Table1[[#This Row],[
Rate ]]*Table1[[#This Row],[Final Qty]]</f>
        <v>3000</v>
      </c>
      <c r="S84" s="14"/>
      <c r="T84" s="14">
        <v>3000</v>
      </c>
      <c r="U84" s="14"/>
    </row>
    <row r="85" spans="2:21" x14ac:dyDescent="0.25">
      <c r="B85" t="s">
        <v>141</v>
      </c>
      <c r="D85" s="14" t="str">
        <f>VLOOKUP(Table1[[#This Row],[
Item Name ]],Rates!$A$2:$B$22,2,0)</f>
        <v>CF</v>
      </c>
      <c r="E85" t="s">
        <v>40</v>
      </c>
      <c r="F85">
        <v>10530082</v>
      </c>
      <c r="G85" t="str">
        <f>VLOOKUP(Table1[[#This Row],[
MPG Code  ]],[2]Master!$B:$G,6,0)</f>
        <v>GOMUKH PREMNAGAR</v>
      </c>
      <c r="H85" s="20" t="s">
        <v>154</v>
      </c>
      <c r="J85" t="str">
        <f>VLOOKUP(Table1[[#This Row],[
MPG Code  ]],[2]Master!$B:$N,13,0)</f>
        <v>Kalyanpur</v>
      </c>
      <c r="K85" t="s">
        <v>91</v>
      </c>
      <c r="L85" t="str">
        <f>CONCATENATE(Table1[[#This Row],[
MPG Code  ]],Table1[[#This Row],[
Farmer code  ]])</f>
        <v>105300820018</v>
      </c>
      <c r="M85" t="str">
        <f>VLOOKUP(Table1[[#This Row],[
MPG Code  ]],[2]Master!$B:$F,5,0)</f>
        <v>Direct</v>
      </c>
      <c r="N85" s="14">
        <v>2</v>
      </c>
      <c r="O85" s="11">
        <f>VLOOKUP(Table1[[#This Row],[
Item Name ]],Rates!$A$2:$F$22,6,0)</f>
        <v>1500</v>
      </c>
      <c r="P85" s="11">
        <f>Table1[[#This Row],[Indent Qty]]*Table1[[#This Row],[
Rate ]]</f>
        <v>3000</v>
      </c>
      <c r="Q85" s="14">
        <f>Table1[[#This Row],[Indent Qty]]</f>
        <v>2</v>
      </c>
      <c r="R85" s="18">
        <f>Table1[[#This Row],[
Rate ]]*Table1[[#This Row],[Final Qty]]</f>
        <v>3000</v>
      </c>
      <c r="S85" s="14"/>
      <c r="T85" s="14">
        <v>2536</v>
      </c>
      <c r="U85" s="14"/>
    </row>
    <row r="86" spans="2:21" x14ac:dyDescent="0.25">
      <c r="B86" t="s">
        <v>141</v>
      </c>
      <c r="D86" s="14" t="str">
        <f>VLOOKUP(Table1[[#This Row],[
Item Name ]],Rates!$A$2:$B$22,2,0)</f>
        <v>CF</v>
      </c>
      <c r="E86" t="s">
        <v>40</v>
      </c>
      <c r="F86">
        <v>10530082</v>
      </c>
      <c r="G86" t="str">
        <f>VLOOKUP(Table1[[#This Row],[
MPG Code  ]],[2]Master!$B:$G,6,0)</f>
        <v>GOMUKH PREMNAGAR</v>
      </c>
      <c r="H86" s="20" t="s">
        <v>122</v>
      </c>
      <c r="J86" t="str">
        <f>VLOOKUP(Table1[[#This Row],[
MPG Code  ]],[2]Master!$B:$N,13,0)</f>
        <v>Kalyanpur</v>
      </c>
      <c r="K86" t="s">
        <v>91</v>
      </c>
      <c r="L86" t="str">
        <f>CONCATENATE(Table1[[#This Row],[
MPG Code  ]],Table1[[#This Row],[
Farmer code  ]])</f>
        <v>105300820007</v>
      </c>
      <c r="M86" t="str">
        <f>VLOOKUP(Table1[[#This Row],[
MPG Code  ]],[2]Master!$B:$F,5,0)</f>
        <v>Direct</v>
      </c>
      <c r="N86" s="14">
        <v>1</v>
      </c>
      <c r="O86" s="11">
        <f>VLOOKUP(Table1[[#This Row],[
Item Name ]],Rates!$A$2:$F$22,6,0)</f>
        <v>1500</v>
      </c>
      <c r="P86" s="11">
        <f>Table1[[#This Row],[Indent Qty]]*Table1[[#This Row],[
Rate ]]</f>
        <v>1500</v>
      </c>
      <c r="Q86" s="14">
        <f>Table1[[#This Row],[Indent Qty]]</f>
        <v>1</v>
      </c>
      <c r="R86" s="18">
        <f>Table1[[#This Row],[
Rate ]]*Table1[[#This Row],[Final Qty]]</f>
        <v>1500</v>
      </c>
      <c r="S86" s="14"/>
      <c r="T86" s="14">
        <v>708</v>
      </c>
      <c r="U86" s="14"/>
    </row>
    <row r="87" spans="2:21" x14ac:dyDescent="0.25">
      <c r="B87" t="s">
        <v>141</v>
      </c>
      <c r="D87" s="14" t="str">
        <f>VLOOKUP(Table1[[#This Row],[
Item Name ]],Rates!$A$2:$B$22,2,0)</f>
        <v>CF</v>
      </c>
      <c r="E87" t="s">
        <v>40</v>
      </c>
      <c r="F87">
        <v>10530065</v>
      </c>
      <c r="G87" t="str">
        <f>VLOOKUP(Table1[[#This Row],[
MPG Code  ]],[2]Master!$B:$G,6,0)</f>
        <v>GOMUKH DIGHRA W-6</v>
      </c>
      <c r="H87" s="20" t="s">
        <v>111</v>
      </c>
      <c r="J87" t="str">
        <f>VLOOKUP(Table1[[#This Row],[
MPG Code  ]],[2]Master!$B:$N,13,0)</f>
        <v>Kalyanpur</v>
      </c>
      <c r="K87" t="s">
        <v>91</v>
      </c>
      <c r="L87" t="str">
        <f>CONCATENATE(Table1[[#This Row],[
MPG Code  ]],Table1[[#This Row],[
Farmer code  ]])</f>
        <v>105300650003</v>
      </c>
      <c r="M87" t="str">
        <f>VLOOKUP(Table1[[#This Row],[
MPG Code  ]],[2]Master!$B:$F,5,0)</f>
        <v>Direct</v>
      </c>
      <c r="N87" s="14">
        <v>4</v>
      </c>
      <c r="O87" s="11">
        <f>VLOOKUP(Table1[[#This Row],[
Item Name ]],Rates!$A$2:$F$22,6,0)</f>
        <v>1500</v>
      </c>
      <c r="P87" s="11">
        <f>Table1[[#This Row],[Indent Qty]]*Table1[[#This Row],[
Rate ]]</f>
        <v>6000</v>
      </c>
      <c r="Q87" s="14">
        <f>Table1[[#This Row],[Indent Qty]]</f>
        <v>4</v>
      </c>
      <c r="R87" s="18">
        <f>Table1[[#This Row],[
Rate ]]*Table1[[#This Row],[Final Qty]]</f>
        <v>6000</v>
      </c>
      <c r="S87" s="14"/>
      <c r="T87" s="14">
        <v>6000</v>
      </c>
      <c r="U87" s="14"/>
    </row>
    <row r="88" spans="2:21" x14ac:dyDescent="0.25">
      <c r="B88" t="s">
        <v>141</v>
      </c>
      <c r="D88" s="14" t="str">
        <f>VLOOKUP(Table1[[#This Row],[
Item Name ]],Rates!$A$2:$B$22,2,0)</f>
        <v>CF</v>
      </c>
      <c r="E88" t="s">
        <v>40</v>
      </c>
      <c r="F88">
        <v>10530065</v>
      </c>
      <c r="G88" t="str">
        <f>VLOOKUP(Table1[[#This Row],[
MPG Code  ]],[2]Master!$B:$G,6,0)</f>
        <v>GOMUKH DIGHRA W-6</v>
      </c>
      <c r="H88" s="20" t="s">
        <v>116</v>
      </c>
      <c r="J88" t="str">
        <f>VLOOKUP(Table1[[#This Row],[
MPG Code  ]],[2]Master!$B:$N,13,0)</f>
        <v>Kalyanpur</v>
      </c>
      <c r="K88" t="s">
        <v>91</v>
      </c>
      <c r="L88" t="str">
        <f>CONCATENATE(Table1[[#This Row],[
MPG Code  ]],Table1[[#This Row],[
Farmer code  ]])</f>
        <v>105300650004</v>
      </c>
      <c r="M88" t="str">
        <f>VLOOKUP(Table1[[#This Row],[
MPG Code  ]],[2]Master!$B:$F,5,0)</f>
        <v>Direct</v>
      </c>
      <c r="N88" s="14">
        <v>6</v>
      </c>
      <c r="O88" s="11">
        <f>VLOOKUP(Table1[[#This Row],[
Item Name ]],Rates!$A$2:$F$22,6,0)</f>
        <v>1500</v>
      </c>
      <c r="P88" s="11">
        <f>Table1[[#This Row],[Indent Qty]]*Table1[[#This Row],[
Rate ]]</f>
        <v>9000</v>
      </c>
      <c r="Q88" s="14">
        <f>Table1[[#This Row],[Indent Qty]]</f>
        <v>6</v>
      </c>
      <c r="R88" s="18">
        <f>Table1[[#This Row],[
Rate ]]*Table1[[#This Row],[Final Qty]]</f>
        <v>9000</v>
      </c>
      <c r="S88" s="14"/>
      <c r="T88" s="14">
        <v>9000</v>
      </c>
      <c r="U88" s="14"/>
    </row>
    <row r="89" spans="2:21" x14ac:dyDescent="0.25">
      <c r="B89" t="s">
        <v>141</v>
      </c>
      <c r="D89" s="14" t="str">
        <f>VLOOKUP(Table1[[#This Row],[
Item Name ]],Rates!$A$2:$B$22,2,0)</f>
        <v>CF</v>
      </c>
      <c r="E89" t="s">
        <v>38</v>
      </c>
      <c r="F89">
        <v>10530103</v>
      </c>
      <c r="G89" t="str">
        <f>VLOOKUP(Table1[[#This Row],[
MPG Code  ]],[2]Master!$B:$G,6,0)</f>
        <v>GOMUKH JHAHURI</v>
      </c>
      <c r="H89" s="20" t="s">
        <v>118</v>
      </c>
      <c r="J89" t="str">
        <f>VLOOKUP(Table1[[#This Row],[
MPG Code  ]],[2]Master!$B:$N,13,0)</f>
        <v>Kalyanpur</v>
      </c>
      <c r="K89" t="s">
        <v>91</v>
      </c>
      <c r="L89" t="str">
        <f>CONCATENATE(Table1[[#This Row],[
MPG Code  ]],Table1[[#This Row],[
Farmer code  ]])</f>
        <v>105301030006</v>
      </c>
      <c r="M89" t="str">
        <f>VLOOKUP(Table1[[#This Row],[
MPG Code  ]],[2]Master!$B:$F,5,0)</f>
        <v>Direct</v>
      </c>
      <c r="N89" s="14">
        <v>1</v>
      </c>
      <c r="O89" s="11">
        <f>VLOOKUP(Table1[[#This Row],[
Item Name ]],Rates!$A$2:$F$22,6,0)</f>
        <v>1350</v>
      </c>
      <c r="P89" s="11">
        <f>Table1[[#This Row],[Indent Qty]]*Table1[[#This Row],[
Rate ]]</f>
        <v>1350</v>
      </c>
      <c r="Q89" s="14">
        <f>Table1[[#This Row],[Indent Qty]]</f>
        <v>1</v>
      </c>
      <c r="R89" s="18">
        <f>Table1[[#This Row],[
Rate ]]*Table1[[#This Row],[Final Qty]]</f>
        <v>1350</v>
      </c>
      <c r="S89" s="14"/>
      <c r="T89" s="14">
        <v>1350</v>
      </c>
      <c r="U89" s="14"/>
    </row>
    <row r="90" spans="2:21" x14ac:dyDescent="0.25">
      <c r="B90" t="s">
        <v>141</v>
      </c>
      <c r="D90" s="14" t="str">
        <f>VLOOKUP(Table1[[#This Row],[
Item Name ]],Rates!$A$2:$B$22,2,0)</f>
        <v>CF</v>
      </c>
      <c r="E90" t="s">
        <v>38</v>
      </c>
      <c r="F90">
        <v>10530103</v>
      </c>
      <c r="G90" t="str">
        <f>VLOOKUP(Table1[[#This Row],[
MPG Code  ]],[2]Master!$B:$G,6,0)</f>
        <v>GOMUKH JHAHURI</v>
      </c>
      <c r="H90" s="20" t="s">
        <v>122</v>
      </c>
      <c r="J90" t="str">
        <f>VLOOKUP(Table1[[#This Row],[
MPG Code  ]],[2]Master!$B:$N,13,0)</f>
        <v>Kalyanpur</v>
      </c>
      <c r="K90" t="s">
        <v>91</v>
      </c>
      <c r="L90" t="str">
        <f>CONCATENATE(Table1[[#This Row],[
MPG Code  ]],Table1[[#This Row],[
Farmer code  ]])</f>
        <v>105301030007</v>
      </c>
      <c r="M90" t="str">
        <f>VLOOKUP(Table1[[#This Row],[
MPG Code  ]],[2]Master!$B:$F,5,0)</f>
        <v>Direct</v>
      </c>
      <c r="N90" s="14">
        <v>1</v>
      </c>
      <c r="O90" s="11">
        <f>VLOOKUP(Table1[[#This Row],[
Item Name ]],Rates!$A$2:$F$22,6,0)</f>
        <v>1350</v>
      </c>
      <c r="P90" s="11">
        <f>Table1[[#This Row],[Indent Qty]]*Table1[[#This Row],[
Rate ]]</f>
        <v>1350</v>
      </c>
      <c r="Q90" s="14">
        <f>Table1[[#This Row],[Indent Qty]]</f>
        <v>1</v>
      </c>
      <c r="R90" s="18">
        <f>Table1[[#This Row],[
Rate ]]*Table1[[#This Row],[Final Qty]]</f>
        <v>1350</v>
      </c>
      <c r="S90" s="14"/>
      <c r="T90" s="14">
        <v>1350</v>
      </c>
      <c r="U90" s="14"/>
    </row>
    <row r="91" spans="2:21" x14ac:dyDescent="0.25">
      <c r="B91" t="s">
        <v>141</v>
      </c>
      <c r="D91" s="14" t="str">
        <f>VLOOKUP(Table1[[#This Row],[
Item Name ]],Rates!$A$2:$B$22,2,0)</f>
        <v>CF</v>
      </c>
      <c r="E91" t="s">
        <v>38</v>
      </c>
      <c r="F91">
        <v>10530103</v>
      </c>
      <c r="G91" t="str">
        <f>VLOOKUP(Table1[[#This Row],[
MPG Code  ]],[2]Master!$B:$G,6,0)</f>
        <v>GOMUKH JHAHURI</v>
      </c>
      <c r="H91" s="20" t="s">
        <v>158</v>
      </c>
      <c r="J91" t="str">
        <f>VLOOKUP(Table1[[#This Row],[
MPG Code  ]],[2]Master!$B:$N,13,0)</f>
        <v>Kalyanpur</v>
      </c>
      <c r="K91" t="s">
        <v>91</v>
      </c>
      <c r="L91" t="str">
        <f>CONCATENATE(Table1[[#This Row],[
MPG Code  ]],Table1[[#This Row],[
Farmer code  ]])</f>
        <v>105301030023</v>
      </c>
      <c r="M91" t="str">
        <f>VLOOKUP(Table1[[#This Row],[
MPG Code  ]],[2]Master!$B:$F,5,0)</f>
        <v>Direct</v>
      </c>
      <c r="N91" s="14">
        <v>1</v>
      </c>
      <c r="O91" s="11">
        <f>VLOOKUP(Table1[[#This Row],[
Item Name ]],Rates!$A$2:$F$22,6,0)</f>
        <v>1350</v>
      </c>
      <c r="P91" s="11">
        <f>Table1[[#This Row],[Indent Qty]]*Table1[[#This Row],[
Rate ]]</f>
        <v>1350</v>
      </c>
      <c r="Q91" s="14">
        <f>Table1[[#This Row],[Indent Qty]]</f>
        <v>1</v>
      </c>
      <c r="R91" s="18">
        <f>Table1[[#This Row],[
Rate ]]*Table1[[#This Row],[Final Qty]]</f>
        <v>1350</v>
      </c>
      <c r="S91" s="14"/>
      <c r="T91" s="14">
        <v>1350</v>
      </c>
      <c r="U91" s="14"/>
    </row>
    <row r="92" spans="2:21" x14ac:dyDescent="0.25">
      <c r="B92" t="s">
        <v>141</v>
      </c>
      <c r="D92" s="14" t="str">
        <f>VLOOKUP(Table1[[#This Row],[
Item Name ]],Rates!$A$2:$B$22,2,0)</f>
        <v>CF</v>
      </c>
      <c r="E92" t="s">
        <v>38</v>
      </c>
      <c r="F92">
        <v>10530103</v>
      </c>
      <c r="G92" t="str">
        <f>VLOOKUP(Table1[[#This Row],[
MPG Code  ]],[2]Master!$B:$G,6,0)</f>
        <v>GOMUKH JHAHURI</v>
      </c>
      <c r="H92" s="20" t="s">
        <v>119</v>
      </c>
      <c r="J92" t="str">
        <f>VLOOKUP(Table1[[#This Row],[
MPG Code  ]],[2]Master!$B:$N,13,0)</f>
        <v>Kalyanpur</v>
      </c>
      <c r="K92" t="s">
        <v>91</v>
      </c>
      <c r="L92" t="str">
        <f>CONCATENATE(Table1[[#This Row],[
MPG Code  ]],Table1[[#This Row],[
Farmer code  ]])</f>
        <v>105301030008</v>
      </c>
      <c r="M92" t="str">
        <f>VLOOKUP(Table1[[#This Row],[
MPG Code  ]],[2]Master!$B:$F,5,0)</f>
        <v>Direct</v>
      </c>
      <c r="N92" s="14">
        <v>1</v>
      </c>
      <c r="O92" s="11">
        <f>VLOOKUP(Table1[[#This Row],[
Item Name ]],Rates!$A$2:$F$22,6,0)</f>
        <v>1350</v>
      </c>
      <c r="P92" s="11">
        <f>Table1[[#This Row],[Indent Qty]]*Table1[[#This Row],[
Rate ]]</f>
        <v>1350</v>
      </c>
      <c r="Q92" s="14">
        <f>Table1[[#This Row],[Indent Qty]]</f>
        <v>1</v>
      </c>
      <c r="R92" s="18">
        <f>Table1[[#This Row],[
Rate ]]*Table1[[#This Row],[Final Qty]]</f>
        <v>1350</v>
      </c>
      <c r="S92" s="14"/>
      <c r="T92" s="14">
        <v>1350</v>
      </c>
      <c r="U92" s="14"/>
    </row>
    <row r="93" spans="2:21" x14ac:dyDescent="0.25">
      <c r="B93" t="s">
        <v>141</v>
      </c>
      <c r="D93" s="14" t="str">
        <f>VLOOKUP(Table1[[#This Row],[
Item Name ]],Rates!$A$2:$B$22,2,0)</f>
        <v>CF</v>
      </c>
      <c r="E93" t="s">
        <v>38</v>
      </c>
      <c r="F93">
        <v>10530103</v>
      </c>
      <c r="G93" t="str">
        <f>VLOOKUP(Table1[[#This Row],[
MPG Code  ]],[2]Master!$B:$G,6,0)</f>
        <v>GOMUKH JHAHURI</v>
      </c>
      <c r="H93" s="20" t="s">
        <v>159</v>
      </c>
      <c r="J93" t="str">
        <f>VLOOKUP(Table1[[#This Row],[
MPG Code  ]],[2]Master!$B:$N,13,0)</f>
        <v>Kalyanpur</v>
      </c>
      <c r="K93" t="s">
        <v>91</v>
      </c>
      <c r="L93" t="str">
        <f>CONCATENATE(Table1[[#This Row],[
MPG Code  ]],Table1[[#This Row],[
Farmer code  ]])</f>
        <v>105301030022</v>
      </c>
      <c r="M93" t="str">
        <f>VLOOKUP(Table1[[#This Row],[
MPG Code  ]],[2]Master!$B:$F,5,0)</f>
        <v>Direct</v>
      </c>
      <c r="N93" s="14">
        <v>1</v>
      </c>
      <c r="O93" s="11">
        <f>VLOOKUP(Table1[[#This Row],[
Item Name ]],Rates!$A$2:$F$22,6,0)</f>
        <v>1350</v>
      </c>
      <c r="P93" s="11">
        <f>Table1[[#This Row],[Indent Qty]]*Table1[[#This Row],[
Rate ]]</f>
        <v>1350</v>
      </c>
      <c r="Q93" s="14">
        <f>Table1[[#This Row],[Indent Qty]]</f>
        <v>1</v>
      </c>
      <c r="R93" s="18">
        <f>Table1[[#This Row],[
Rate ]]*Table1[[#This Row],[Final Qty]]</f>
        <v>1350</v>
      </c>
      <c r="S93" s="14"/>
      <c r="T93" s="14">
        <v>1350</v>
      </c>
      <c r="U93" s="14"/>
    </row>
    <row r="94" spans="2:21" x14ac:dyDescent="0.25">
      <c r="B94" t="s">
        <v>141</v>
      </c>
      <c r="D94" s="14" t="str">
        <f>VLOOKUP(Table1[[#This Row],[
Item Name ]],Rates!$A$2:$B$22,2,0)</f>
        <v>CF</v>
      </c>
      <c r="E94" t="s">
        <v>38</v>
      </c>
      <c r="F94">
        <v>10530103</v>
      </c>
      <c r="G94" t="str">
        <f>VLOOKUP(Table1[[#This Row],[
MPG Code  ]],[2]Master!$B:$G,6,0)</f>
        <v>GOMUKH JHAHURI</v>
      </c>
      <c r="H94" s="20" t="s">
        <v>113</v>
      </c>
      <c r="J94" t="str">
        <f>VLOOKUP(Table1[[#This Row],[
MPG Code  ]],[2]Master!$B:$N,13,0)</f>
        <v>Kalyanpur</v>
      </c>
      <c r="K94" t="s">
        <v>91</v>
      </c>
      <c r="L94" t="str">
        <f>CONCATENATE(Table1[[#This Row],[
MPG Code  ]],Table1[[#This Row],[
Farmer code  ]])</f>
        <v>105301030002</v>
      </c>
      <c r="M94" t="str">
        <f>VLOOKUP(Table1[[#This Row],[
MPG Code  ]],[2]Master!$B:$F,5,0)</f>
        <v>Direct</v>
      </c>
      <c r="N94" s="14">
        <v>2</v>
      </c>
      <c r="O94" s="11">
        <f>VLOOKUP(Table1[[#This Row],[
Item Name ]],Rates!$A$2:$F$22,6,0)</f>
        <v>1350</v>
      </c>
      <c r="P94" s="11">
        <f>Table1[[#This Row],[Indent Qty]]*Table1[[#This Row],[
Rate ]]</f>
        <v>2700</v>
      </c>
      <c r="Q94" s="14">
        <f>Table1[[#This Row],[Indent Qty]]</f>
        <v>2</v>
      </c>
      <c r="R94" s="18">
        <f>Table1[[#This Row],[
Rate ]]*Table1[[#This Row],[Final Qty]]</f>
        <v>2700</v>
      </c>
      <c r="S94" s="14"/>
      <c r="T94" s="14">
        <v>2700</v>
      </c>
      <c r="U94" s="14"/>
    </row>
    <row r="95" spans="2:21" x14ac:dyDescent="0.25">
      <c r="B95" t="s">
        <v>141</v>
      </c>
      <c r="D95" s="14" t="str">
        <f>VLOOKUP(Table1[[#This Row],[
Item Name ]],Rates!$A$2:$B$22,2,0)</f>
        <v>CF</v>
      </c>
      <c r="E95" t="s">
        <v>38</v>
      </c>
      <c r="F95">
        <v>10530103</v>
      </c>
      <c r="G95" t="str">
        <f>VLOOKUP(Table1[[#This Row],[
MPG Code  ]],[2]Master!$B:$G,6,0)</f>
        <v>GOMUKH JHAHURI</v>
      </c>
      <c r="H95" s="20" t="s">
        <v>116</v>
      </c>
      <c r="J95" t="str">
        <f>VLOOKUP(Table1[[#This Row],[
MPG Code  ]],[2]Master!$B:$N,13,0)</f>
        <v>Kalyanpur</v>
      </c>
      <c r="K95" t="s">
        <v>91</v>
      </c>
      <c r="L95" t="str">
        <f>CONCATENATE(Table1[[#This Row],[
MPG Code  ]],Table1[[#This Row],[
Farmer code  ]])</f>
        <v>105301030004</v>
      </c>
      <c r="M95" t="str">
        <f>VLOOKUP(Table1[[#This Row],[
MPG Code  ]],[2]Master!$B:$F,5,0)</f>
        <v>Direct</v>
      </c>
      <c r="N95" s="14">
        <v>1</v>
      </c>
      <c r="O95" s="11">
        <f>VLOOKUP(Table1[[#This Row],[
Item Name ]],Rates!$A$2:$F$22,6,0)</f>
        <v>1350</v>
      </c>
      <c r="P95" s="11">
        <f>Table1[[#This Row],[Indent Qty]]*Table1[[#This Row],[
Rate ]]</f>
        <v>1350</v>
      </c>
      <c r="Q95" s="14">
        <f>Table1[[#This Row],[Indent Qty]]</f>
        <v>1</v>
      </c>
      <c r="R95" s="18">
        <f>Table1[[#This Row],[
Rate ]]*Table1[[#This Row],[Final Qty]]</f>
        <v>1350</v>
      </c>
      <c r="S95" s="14"/>
      <c r="T95" s="14">
        <v>1350</v>
      </c>
      <c r="U95" s="14"/>
    </row>
    <row r="96" spans="2:21" x14ac:dyDescent="0.25">
      <c r="B96" t="s">
        <v>141</v>
      </c>
      <c r="D96" s="14" t="str">
        <f>VLOOKUP(Table1[[#This Row],[
Item Name ]],Rates!$A$2:$B$22,2,0)</f>
        <v>CF</v>
      </c>
      <c r="E96" t="s">
        <v>38</v>
      </c>
      <c r="F96">
        <v>10530103</v>
      </c>
      <c r="G96" t="str">
        <f>VLOOKUP(Table1[[#This Row],[
MPG Code  ]],[2]Master!$B:$G,6,0)</f>
        <v>GOMUKH JHAHURI</v>
      </c>
      <c r="H96" s="20" t="s">
        <v>160</v>
      </c>
      <c r="J96" t="str">
        <f>VLOOKUP(Table1[[#This Row],[
MPG Code  ]],[2]Master!$B:$N,13,0)</f>
        <v>Kalyanpur</v>
      </c>
      <c r="K96" t="s">
        <v>91</v>
      </c>
      <c r="L96" t="str">
        <f>CONCATENATE(Table1[[#This Row],[
MPG Code  ]],Table1[[#This Row],[
Farmer code  ]])</f>
        <v>105301030030</v>
      </c>
      <c r="M96" t="str">
        <f>VLOOKUP(Table1[[#This Row],[
MPG Code  ]],[2]Master!$B:$F,5,0)</f>
        <v>Direct</v>
      </c>
      <c r="N96" s="14">
        <v>1</v>
      </c>
      <c r="O96" s="11">
        <f>VLOOKUP(Table1[[#This Row],[
Item Name ]],Rates!$A$2:$F$22,6,0)</f>
        <v>1350</v>
      </c>
      <c r="P96" s="11">
        <f>Table1[[#This Row],[Indent Qty]]*Table1[[#This Row],[
Rate ]]</f>
        <v>1350</v>
      </c>
      <c r="Q96" s="14">
        <f>Table1[[#This Row],[Indent Qty]]</f>
        <v>1</v>
      </c>
      <c r="R96" s="18">
        <f>Table1[[#This Row],[
Rate ]]*Table1[[#This Row],[Final Qty]]</f>
        <v>1350</v>
      </c>
      <c r="S96" s="14"/>
      <c r="T96" s="14">
        <v>1350</v>
      </c>
      <c r="U96" s="14"/>
    </row>
    <row r="97" spans="2:21" x14ac:dyDescent="0.25">
      <c r="B97" t="s">
        <v>141</v>
      </c>
      <c r="D97" s="14" t="str">
        <f>VLOOKUP(Table1[[#This Row],[
Item Name ]],Rates!$A$2:$B$22,2,0)</f>
        <v>CF</v>
      </c>
      <c r="E97" t="s">
        <v>38</v>
      </c>
      <c r="F97">
        <v>10530103</v>
      </c>
      <c r="G97" t="str">
        <f>VLOOKUP(Table1[[#This Row],[
MPG Code  ]],[2]Master!$B:$G,6,0)</f>
        <v>GOMUKH JHAHURI</v>
      </c>
      <c r="H97" s="20" t="s">
        <v>161</v>
      </c>
      <c r="J97" t="str">
        <f>VLOOKUP(Table1[[#This Row],[
MPG Code  ]],[2]Master!$B:$N,13,0)</f>
        <v>Kalyanpur</v>
      </c>
      <c r="K97" t="s">
        <v>91</v>
      </c>
      <c r="L97" t="str">
        <f>CONCATENATE(Table1[[#This Row],[
MPG Code  ]],Table1[[#This Row],[
Farmer code  ]])</f>
        <v>105301030021</v>
      </c>
      <c r="M97" t="str">
        <f>VLOOKUP(Table1[[#This Row],[
MPG Code  ]],[2]Master!$B:$F,5,0)</f>
        <v>Direct</v>
      </c>
      <c r="N97" s="14">
        <v>1</v>
      </c>
      <c r="O97" s="11">
        <f>VLOOKUP(Table1[[#This Row],[
Item Name ]],Rates!$A$2:$F$22,6,0)</f>
        <v>1350</v>
      </c>
      <c r="P97" s="11">
        <f>Table1[[#This Row],[Indent Qty]]*Table1[[#This Row],[
Rate ]]</f>
        <v>1350</v>
      </c>
      <c r="Q97" s="14">
        <f>Table1[[#This Row],[Indent Qty]]</f>
        <v>1</v>
      </c>
      <c r="R97" s="18">
        <f>Table1[[#This Row],[
Rate ]]*Table1[[#This Row],[Final Qty]]</f>
        <v>1350</v>
      </c>
      <c r="S97" s="14"/>
      <c r="T97" s="14">
        <v>1350</v>
      </c>
      <c r="U97" s="14"/>
    </row>
    <row r="98" spans="2:21" x14ac:dyDescent="0.25">
      <c r="B98" t="s">
        <v>141</v>
      </c>
      <c r="D98" s="14" t="str">
        <f>VLOOKUP(Table1[[#This Row],[
Item Name ]],Rates!$A$2:$B$22,2,0)</f>
        <v>CF</v>
      </c>
      <c r="E98" t="s">
        <v>38</v>
      </c>
      <c r="F98">
        <v>10530074</v>
      </c>
      <c r="G98" t="str">
        <f>VLOOKUP(Table1[[#This Row],[
MPG Code  ]],[2]Master!$B:$G,6,0)</f>
        <v>GOMUKH BALAHA W-9</v>
      </c>
      <c r="H98" s="20" t="s">
        <v>122</v>
      </c>
      <c r="J98" t="str">
        <f>VLOOKUP(Table1[[#This Row],[
MPG Code  ]],[2]Master!$B:$N,13,0)</f>
        <v>Kalyanpur</v>
      </c>
      <c r="K98" t="s">
        <v>91</v>
      </c>
      <c r="L98" t="str">
        <f>CONCATENATE(Table1[[#This Row],[
MPG Code  ]],Table1[[#This Row],[
Farmer code  ]])</f>
        <v>105300740007</v>
      </c>
      <c r="M98" t="str">
        <f>VLOOKUP(Table1[[#This Row],[
MPG Code  ]],[2]Master!$B:$F,5,0)</f>
        <v>Direct</v>
      </c>
      <c r="N98" s="14">
        <v>1</v>
      </c>
      <c r="O98" s="11">
        <f>VLOOKUP(Table1[[#This Row],[
Item Name ]],Rates!$A$2:$F$22,6,0)</f>
        <v>1350</v>
      </c>
      <c r="P98" s="11">
        <f>Table1[[#This Row],[Indent Qty]]*Table1[[#This Row],[
Rate ]]</f>
        <v>1350</v>
      </c>
      <c r="Q98" s="14">
        <f>Table1[[#This Row],[Indent Qty]]</f>
        <v>1</v>
      </c>
      <c r="R98" s="18">
        <f>Table1[[#This Row],[
Rate ]]*Table1[[#This Row],[Final Qty]]</f>
        <v>1350</v>
      </c>
      <c r="S98" s="14"/>
      <c r="T98" s="14">
        <v>1350</v>
      </c>
      <c r="U98" s="14"/>
    </row>
    <row r="99" spans="2:21" x14ac:dyDescent="0.25">
      <c r="B99" t="s">
        <v>141</v>
      </c>
      <c r="D99" s="14" t="str">
        <f>VLOOKUP(Table1[[#This Row],[
Item Name ]],Rates!$A$2:$B$22,2,0)</f>
        <v>CF</v>
      </c>
      <c r="E99" t="s">
        <v>40</v>
      </c>
      <c r="F99">
        <v>10530035</v>
      </c>
      <c r="G99" t="str">
        <f>VLOOKUP(Table1[[#This Row],[
MPG Code  ]],[2]Master!$B:$G,6,0)</f>
        <v>Gomukh Birauli Khurd</v>
      </c>
      <c r="H99" s="20" t="s">
        <v>121</v>
      </c>
      <c r="J99" t="str">
        <f>VLOOKUP(Table1[[#This Row],[
MPG Code  ]],[2]Master!$B:$N,13,0)</f>
        <v>Kalyanpur</v>
      </c>
      <c r="K99" t="s">
        <v>91</v>
      </c>
      <c r="L99" t="str">
        <f>CONCATENATE(Table1[[#This Row],[
MPG Code  ]],Table1[[#This Row],[
Farmer code  ]])</f>
        <v>105300350010</v>
      </c>
      <c r="M99" t="str">
        <f>VLOOKUP(Table1[[#This Row],[
MPG Code  ]],[2]Master!$B:$F,5,0)</f>
        <v>Direct</v>
      </c>
      <c r="N99" s="14">
        <v>1</v>
      </c>
      <c r="O99" s="11">
        <f>VLOOKUP(Table1[[#This Row],[
Item Name ]],Rates!$A$2:$F$22,6,0)</f>
        <v>1500</v>
      </c>
      <c r="P99" s="11">
        <f>Table1[[#This Row],[Indent Qty]]*Table1[[#This Row],[
Rate ]]</f>
        <v>1500</v>
      </c>
      <c r="Q99" s="14">
        <f>Table1[[#This Row],[Indent Qty]]</f>
        <v>1</v>
      </c>
      <c r="R99" s="18">
        <f>Table1[[#This Row],[
Rate ]]*Table1[[#This Row],[Final Qty]]</f>
        <v>1500</v>
      </c>
      <c r="S99" s="14"/>
      <c r="T99" s="14">
        <v>1500</v>
      </c>
      <c r="U99" s="14"/>
    </row>
    <row r="100" spans="2:21" x14ac:dyDescent="0.25">
      <c r="B100" t="s">
        <v>141</v>
      </c>
      <c r="D100" s="14" t="str">
        <f>VLOOKUP(Table1[[#This Row],[
Item Name ]],Rates!$A$2:$B$22,2,0)</f>
        <v>CF</v>
      </c>
      <c r="E100" t="s">
        <v>40</v>
      </c>
      <c r="F100">
        <v>10530035</v>
      </c>
      <c r="G100" t="str">
        <f>VLOOKUP(Table1[[#This Row],[
MPG Code  ]],[2]Master!$B:$G,6,0)</f>
        <v>Gomukh Birauli Khurd</v>
      </c>
      <c r="H100" s="20" t="s">
        <v>115</v>
      </c>
      <c r="J100" t="str">
        <f>VLOOKUP(Table1[[#This Row],[
MPG Code  ]],[2]Master!$B:$N,13,0)</f>
        <v>Kalyanpur</v>
      </c>
      <c r="K100" t="s">
        <v>91</v>
      </c>
      <c r="L100" t="str">
        <f>CONCATENATE(Table1[[#This Row],[
MPG Code  ]],Table1[[#This Row],[
Farmer code  ]])</f>
        <v>105300350019</v>
      </c>
      <c r="M100" t="str">
        <f>VLOOKUP(Table1[[#This Row],[
MPG Code  ]],[2]Master!$B:$F,5,0)</f>
        <v>Direct</v>
      </c>
      <c r="N100" s="14">
        <v>1</v>
      </c>
      <c r="O100" s="11">
        <f>VLOOKUP(Table1[[#This Row],[
Item Name ]],Rates!$A$2:$F$22,6,0)</f>
        <v>1500</v>
      </c>
      <c r="P100" s="11">
        <f>Table1[[#This Row],[Indent Qty]]*Table1[[#This Row],[
Rate ]]</f>
        <v>1500</v>
      </c>
      <c r="Q100" s="14">
        <f>Table1[[#This Row],[Indent Qty]]</f>
        <v>1</v>
      </c>
      <c r="R100" s="18">
        <f>Table1[[#This Row],[
Rate ]]*Table1[[#This Row],[Final Qty]]</f>
        <v>1500</v>
      </c>
      <c r="S100" s="14"/>
      <c r="T100" s="14">
        <v>1457</v>
      </c>
      <c r="U100" s="14"/>
    </row>
    <row r="101" spans="2:21" x14ac:dyDescent="0.25">
      <c r="B101" t="s">
        <v>141</v>
      </c>
      <c r="D101" s="14" t="str">
        <f>VLOOKUP(Table1[[#This Row],[
Item Name ]],Rates!$A$2:$B$22,2,0)</f>
        <v>CF</v>
      </c>
      <c r="E101" t="s">
        <v>40</v>
      </c>
      <c r="F101">
        <v>10530035</v>
      </c>
      <c r="G101" t="str">
        <f>VLOOKUP(Table1[[#This Row],[
MPG Code  ]],[2]Master!$B:$G,6,0)</f>
        <v>Gomukh Birauli Khurd</v>
      </c>
      <c r="H101" s="20" t="s">
        <v>159</v>
      </c>
      <c r="J101" t="str">
        <f>VLOOKUP(Table1[[#This Row],[
MPG Code  ]],[2]Master!$B:$N,13,0)</f>
        <v>Kalyanpur</v>
      </c>
      <c r="K101" t="s">
        <v>91</v>
      </c>
      <c r="L101" t="str">
        <f>CONCATENATE(Table1[[#This Row],[
MPG Code  ]],Table1[[#This Row],[
Farmer code  ]])</f>
        <v>105300350022</v>
      </c>
      <c r="M101" t="str">
        <f>VLOOKUP(Table1[[#This Row],[
MPG Code  ]],[2]Master!$B:$F,5,0)</f>
        <v>Direct</v>
      </c>
      <c r="N101" s="14">
        <v>1</v>
      </c>
      <c r="O101" s="11">
        <f>VLOOKUP(Table1[[#This Row],[
Item Name ]],Rates!$A$2:$F$22,6,0)</f>
        <v>1500</v>
      </c>
      <c r="P101" s="11">
        <f>Table1[[#This Row],[Indent Qty]]*Table1[[#This Row],[
Rate ]]</f>
        <v>1500</v>
      </c>
      <c r="Q101" s="14">
        <f>Table1[[#This Row],[Indent Qty]]</f>
        <v>1</v>
      </c>
      <c r="R101" s="18">
        <f>Table1[[#This Row],[
Rate ]]*Table1[[#This Row],[Final Qty]]</f>
        <v>1500</v>
      </c>
      <c r="S101" s="14"/>
      <c r="T101" s="14">
        <v>1500</v>
      </c>
      <c r="U101" s="14"/>
    </row>
    <row r="102" spans="2:21" x14ac:dyDescent="0.25">
      <c r="B102" t="s">
        <v>141</v>
      </c>
      <c r="D102" s="14" t="str">
        <f>VLOOKUP(Table1[[#This Row],[
Item Name ]],Rates!$A$2:$B$22,2,0)</f>
        <v>CF</v>
      </c>
      <c r="E102" t="s">
        <v>40</v>
      </c>
      <c r="F102">
        <v>10530035</v>
      </c>
      <c r="G102" t="str">
        <f>VLOOKUP(Table1[[#This Row],[
MPG Code  ]],[2]Master!$B:$G,6,0)</f>
        <v>Gomukh Birauli Khurd</v>
      </c>
      <c r="H102" s="20" t="s">
        <v>152</v>
      </c>
      <c r="J102" t="str">
        <f>VLOOKUP(Table1[[#This Row],[
MPG Code  ]],[2]Master!$B:$N,13,0)</f>
        <v>Kalyanpur</v>
      </c>
      <c r="K102" t="s">
        <v>91</v>
      </c>
      <c r="L102" t="str">
        <f>CONCATENATE(Table1[[#This Row],[
MPG Code  ]],Table1[[#This Row],[
Farmer code  ]])</f>
        <v>105300350048</v>
      </c>
      <c r="M102" t="str">
        <f>VLOOKUP(Table1[[#This Row],[
MPG Code  ]],[2]Master!$B:$F,5,0)</f>
        <v>Direct</v>
      </c>
      <c r="N102" s="14">
        <v>1</v>
      </c>
      <c r="O102" s="11">
        <f>VLOOKUP(Table1[[#This Row],[
Item Name ]],Rates!$A$2:$F$22,6,0)</f>
        <v>1500</v>
      </c>
      <c r="P102" s="11">
        <f>Table1[[#This Row],[Indent Qty]]*Table1[[#This Row],[
Rate ]]</f>
        <v>1500</v>
      </c>
      <c r="Q102" s="14">
        <f>Table1[[#This Row],[Indent Qty]]</f>
        <v>1</v>
      </c>
      <c r="R102" s="18">
        <f>Table1[[#This Row],[
Rate ]]*Table1[[#This Row],[Final Qty]]</f>
        <v>1500</v>
      </c>
      <c r="S102" s="14"/>
      <c r="T102" s="14">
        <v>1500</v>
      </c>
      <c r="U102" s="14"/>
    </row>
    <row r="103" spans="2:21" x14ac:dyDescent="0.25">
      <c r="B103" t="s">
        <v>141</v>
      </c>
      <c r="D103" s="14" t="str">
        <f>VLOOKUP(Table1[[#This Row],[
Item Name ]],Rates!$A$2:$B$22,2,0)</f>
        <v>CF</v>
      </c>
      <c r="E103" t="s">
        <v>40</v>
      </c>
      <c r="F103">
        <v>10530035</v>
      </c>
      <c r="G103" t="str">
        <f>VLOOKUP(Table1[[#This Row],[
MPG Code  ]],[2]Master!$B:$G,6,0)</f>
        <v>Gomukh Birauli Khurd</v>
      </c>
      <c r="H103" s="20" t="s">
        <v>113</v>
      </c>
      <c r="J103" t="str">
        <f>VLOOKUP(Table1[[#This Row],[
MPG Code  ]],[2]Master!$B:$N,13,0)</f>
        <v>Kalyanpur</v>
      </c>
      <c r="K103" t="s">
        <v>91</v>
      </c>
      <c r="L103" t="str">
        <f>CONCATENATE(Table1[[#This Row],[
MPG Code  ]],Table1[[#This Row],[
Farmer code  ]])</f>
        <v>105300350002</v>
      </c>
      <c r="M103" t="str">
        <f>VLOOKUP(Table1[[#This Row],[
MPG Code  ]],[2]Master!$B:$F,5,0)</f>
        <v>Direct</v>
      </c>
      <c r="N103" s="14">
        <v>1</v>
      </c>
      <c r="O103" s="11">
        <f>VLOOKUP(Table1[[#This Row],[
Item Name ]],Rates!$A$2:$F$22,6,0)</f>
        <v>1500</v>
      </c>
      <c r="P103" s="11">
        <f>Table1[[#This Row],[Indent Qty]]*Table1[[#This Row],[
Rate ]]</f>
        <v>1500</v>
      </c>
      <c r="Q103" s="14">
        <f>Table1[[#This Row],[Indent Qty]]</f>
        <v>1</v>
      </c>
      <c r="R103" s="18">
        <f>Table1[[#This Row],[
Rate ]]*Table1[[#This Row],[Final Qty]]</f>
        <v>1500</v>
      </c>
      <c r="S103" s="14"/>
      <c r="T103" s="14">
        <v>925</v>
      </c>
      <c r="U103" s="14"/>
    </row>
    <row r="104" spans="2:21" x14ac:dyDescent="0.25">
      <c r="B104" t="s">
        <v>141</v>
      </c>
      <c r="D104" s="14" t="str">
        <f>VLOOKUP(Table1[[#This Row],[
Item Name ]],Rates!$A$2:$B$22,2,0)</f>
        <v>CF</v>
      </c>
      <c r="E104" t="s">
        <v>40</v>
      </c>
      <c r="F104">
        <v>10530055</v>
      </c>
      <c r="G104" t="str">
        <f>VLOOKUP(Table1[[#This Row],[
MPG Code  ]],[2]Master!$B:$G,6,0)</f>
        <v>GOMUKH HARPUR W-13</v>
      </c>
      <c r="H104" s="20" t="s">
        <v>115</v>
      </c>
      <c r="J104" t="str">
        <f>VLOOKUP(Table1[[#This Row],[
MPG Code  ]],[2]Master!$B:$N,13,0)</f>
        <v>Kalyanpur</v>
      </c>
      <c r="K104" t="s">
        <v>91</v>
      </c>
      <c r="L104" t="str">
        <f>CONCATENATE(Table1[[#This Row],[
MPG Code  ]],Table1[[#This Row],[
Farmer code  ]])</f>
        <v>105300550019</v>
      </c>
      <c r="M104" t="str">
        <f>VLOOKUP(Table1[[#This Row],[
MPG Code  ]],[2]Master!$B:$F,5,0)</f>
        <v>Direct</v>
      </c>
      <c r="N104" s="14">
        <v>1</v>
      </c>
      <c r="O104" s="11">
        <f>VLOOKUP(Table1[[#This Row],[
Item Name ]],Rates!$A$2:$F$22,6,0)</f>
        <v>1500</v>
      </c>
      <c r="P104" s="11">
        <f>Table1[[#This Row],[Indent Qty]]*Table1[[#This Row],[
Rate ]]</f>
        <v>1500</v>
      </c>
      <c r="Q104" s="14">
        <f>Table1[[#This Row],[Indent Qty]]</f>
        <v>1</v>
      </c>
      <c r="R104" s="18">
        <f>Table1[[#This Row],[
Rate ]]*Table1[[#This Row],[Final Qty]]</f>
        <v>1500</v>
      </c>
      <c r="S104" s="14"/>
      <c r="T104" s="14">
        <v>1500</v>
      </c>
      <c r="U104" s="14"/>
    </row>
    <row r="105" spans="2:21" x14ac:dyDescent="0.25">
      <c r="B105" t="s">
        <v>141</v>
      </c>
      <c r="D105" s="14" t="str">
        <f>VLOOKUP(Table1[[#This Row],[
Item Name ]],Rates!$A$2:$B$22,2,0)</f>
        <v>CF</v>
      </c>
      <c r="E105" t="s">
        <v>40</v>
      </c>
      <c r="F105">
        <v>10530074</v>
      </c>
      <c r="G105" t="str">
        <f>VLOOKUP(Table1[[#This Row],[
MPG Code  ]],[2]Master!$B:$G,6,0)</f>
        <v>GOMUKH BALAHA W-9</v>
      </c>
      <c r="H105" s="20" t="s">
        <v>115</v>
      </c>
      <c r="J105" t="str">
        <f>VLOOKUP(Table1[[#This Row],[
MPG Code  ]],[2]Master!$B:$N,13,0)</f>
        <v>Kalyanpur</v>
      </c>
      <c r="K105" t="s">
        <v>91</v>
      </c>
      <c r="L105" t="str">
        <f>CONCATENATE(Table1[[#This Row],[
MPG Code  ]],Table1[[#This Row],[
Farmer code  ]])</f>
        <v>105300740019</v>
      </c>
      <c r="M105" t="str">
        <f>VLOOKUP(Table1[[#This Row],[
MPG Code  ]],[2]Master!$B:$F,5,0)</f>
        <v>Direct</v>
      </c>
      <c r="N105" s="14">
        <v>1</v>
      </c>
      <c r="O105" s="11">
        <f>VLOOKUP(Table1[[#This Row],[
Item Name ]],Rates!$A$2:$F$22,6,0)</f>
        <v>1500</v>
      </c>
      <c r="P105" s="11">
        <f>Table1[[#This Row],[Indent Qty]]*Table1[[#This Row],[
Rate ]]</f>
        <v>1500</v>
      </c>
      <c r="Q105" s="14">
        <f>Table1[[#This Row],[Indent Qty]]</f>
        <v>1</v>
      </c>
      <c r="R105" s="18">
        <f>Table1[[#This Row],[
Rate ]]*Table1[[#This Row],[Final Qty]]</f>
        <v>1500</v>
      </c>
      <c r="S105" s="14"/>
      <c r="T105" s="14">
        <v>506</v>
      </c>
      <c r="U105" s="14"/>
    </row>
    <row r="106" spans="2:21" x14ac:dyDescent="0.25">
      <c r="B106" t="s">
        <v>141</v>
      </c>
      <c r="D106" s="14" t="str">
        <f>VLOOKUP(Table1[[#This Row],[
Item Name ]],Rates!$A$2:$B$22,2,0)</f>
        <v>CF</v>
      </c>
      <c r="E106" t="s">
        <v>38</v>
      </c>
      <c r="F106">
        <v>10530065</v>
      </c>
      <c r="G106" t="str">
        <f>VLOOKUP(Table1[[#This Row],[
MPG Code  ]],[2]Master!$B:$G,6,0)</f>
        <v>GOMUKH DIGHRA W-6</v>
      </c>
      <c r="H106" s="20" t="s">
        <v>113</v>
      </c>
      <c r="J106" t="str">
        <f>VLOOKUP(Table1[[#This Row],[
MPG Code  ]],[2]Master!$B:$N,13,0)</f>
        <v>Kalyanpur</v>
      </c>
      <c r="K106" t="s">
        <v>91</v>
      </c>
      <c r="L106" t="str">
        <f>CONCATENATE(Table1[[#This Row],[
MPG Code  ]],Table1[[#This Row],[
Farmer code  ]])</f>
        <v>105300650002</v>
      </c>
      <c r="M106" t="str">
        <f>VLOOKUP(Table1[[#This Row],[
MPG Code  ]],[2]Master!$B:$F,5,0)</f>
        <v>Direct</v>
      </c>
      <c r="N106" s="14">
        <v>1</v>
      </c>
      <c r="O106" s="11">
        <f>VLOOKUP(Table1[[#This Row],[
Item Name ]],Rates!$A$2:$F$22,6,0)</f>
        <v>1350</v>
      </c>
      <c r="P106" s="11">
        <f>Table1[[#This Row],[Indent Qty]]*Table1[[#This Row],[
Rate ]]</f>
        <v>1350</v>
      </c>
      <c r="Q106" s="14">
        <f>Table1[[#This Row],[Indent Qty]]</f>
        <v>1</v>
      </c>
      <c r="R106" s="18">
        <f>Table1[[#This Row],[
Rate ]]*Table1[[#This Row],[Final Qty]]</f>
        <v>1350</v>
      </c>
      <c r="S106" s="14"/>
      <c r="T106" s="14">
        <v>1263</v>
      </c>
      <c r="U106" s="14"/>
    </row>
    <row r="107" spans="2:21" x14ac:dyDescent="0.25">
      <c r="B107" t="s">
        <v>141</v>
      </c>
      <c r="D107" s="14" t="str">
        <f>VLOOKUP(Table1[[#This Row],[
Item Name ]],Rates!$A$2:$B$22,2,0)</f>
        <v>CF</v>
      </c>
      <c r="E107" t="s">
        <v>38</v>
      </c>
      <c r="F107">
        <v>10530074</v>
      </c>
      <c r="G107" t="str">
        <f>VLOOKUP(Table1[[#This Row],[
MPG Code  ]],[2]Master!$B:$G,6,0)</f>
        <v>GOMUKH BALAHA W-9</v>
      </c>
      <c r="H107" s="20" t="s">
        <v>123</v>
      </c>
      <c r="J107" t="str">
        <f>VLOOKUP(Table1[[#This Row],[
MPG Code  ]],[2]Master!$B:$N,13,0)</f>
        <v>Kalyanpur</v>
      </c>
      <c r="K107" t="s">
        <v>91</v>
      </c>
      <c r="L107" t="str">
        <f>CONCATENATE(Table1[[#This Row],[
MPG Code  ]],Table1[[#This Row],[
Farmer code  ]])</f>
        <v>105300740028</v>
      </c>
      <c r="M107" t="str">
        <f>VLOOKUP(Table1[[#This Row],[
MPG Code  ]],[2]Master!$B:$F,5,0)</f>
        <v>Direct</v>
      </c>
      <c r="N107" s="14">
        <v>0</v>
      </c>
      <c r="O107" s="11">
        <v>0</v>
      </c>
      <c r="P107" s="11">
        <v>65</v>
      </c>
      <c r="Q107" s="14">
        <f>Table1[[#This Row],[Indent Qty]]</f>
        <v>0</v>
      </c>
      <c r="R107" s="18">
        <v>65</v>
      </c>
      <c r="S107" s="14"/>
      <c r="T107" s="14">
        <v>65</v>
      </c>
      <c r="U107" s="14"/>
    </row>
    <row r="108" spans="2:21" x14ac:dyDescent="0.25">
      <c r="B108" t="s">
        <v>141</v>
      </c>
      <c r="D108" s="14" t="str">
        <f>VLOOKUP(Table1[[#This Row],[
Item Name ]],Rates!$A$2:$B$22,2,0)</f>
        <v>CF</v>
      </c>
      <c r="E108" t="s">
        <v>38</v>
      </c>
      <c r="F108">
        <v>10530074</v>
      </c>
      <c r="G108" t="str">
        <f>VLOOKUP(Table1[[#This Row],[
MPG Code  ]],[2]Master!$B:$G,6,0)</f>
        <v>GOMUKH BALAHA W-9</v>
      </c>
      <c r="H108" s="20" t="s">
        <v>119</v>
      </c>
      <c r="J108" t="str">
        <f>VLOOKUP(Table1[[#This Row],[
MPG Code  ]],[2]Master!$B:$N,13,0)</f>
        <v>Kalyanpur</v>
      </c>
      <c r="K108" t="s">
        <v>91</v>
      </c>
      <c r="L108" t="str">
        <f>CONCATENATE(Table1[[#This Row],[
MPG Code  ]],Table1[[#This Row],[
Farmer code  ]])</f>
        <v>105300740008</v>
      </c>
      <c r="M108" t="str">
        <f>VLOOKUP(Table1[[#This Row],[
MPG Code  ]],[2]Master!$B:$F,5,0)</f>
        <v>Direct</v>
      </c>
      <c r="N108" s="14">
        <v>0</v>
      </c>
      <c r="O108" s="11">
        <v>0</v>
      </c>
      <c r="P108" s="11">
        <v>233</v>
      </c>
      <c r="Q108" s="14">
        <f>Table1[[#This Row],[Indent Qty]]</f>
        <v>0</v>
      </c>
      <c r="R108" s="18">
        <v>233</v>
      </c>
      <c r="S108" s="14"/>
      <c r="T108" s="14">
        <v>233</v>
      </c>
      <c r="U108" s="14"/>
    </row>
    <row r="109" spans="2:21" x14ac:dyDescent="0.25">
      <c r="B109" t="s">
        <v>141</v>
      </c>
      <c r="D109" s="14" t="str">
        <f>VLOOKUP(Table1[[#This Row],[
Item Name ]],Rates!$A$2:$B$22,2,0)</f>
        <v>CF</v>
      </c>
      <c r="E109" t="s">
        <v>38</v>
      </c>
      <c r="F109">
        <v>10530074</v>
      </c>
      <c r="G109" t="str">
        <f>VLOOKUP(Table1[[#This Row],[
MPG Code  ]],[2]Master!$B:$G,6,0)</f>
        <v>GOMUKH BALAHA W-9</v>
      </c>
      <c r="H109" s="20" t="s">
        <v>122</v>
      </c>
      <c r="J109" t="str">
        <f>VLOOKUP(Table1[[#This Row],[
MPG Code  ]],[2]Master!$B:$N,13,0)</f>
        <v>Kalyanpur</v>
      </c>
      <c r="K109" t="s">
        <v>91</v>
      </c>
      <c r="L109" t="str">
        <f>CONCATENATE(Table1[[#This Row],[
MPG Code  ]],Table1[[#This Row],[
Farmer code  ]])</f>
        <v>105300740007</v>
      </c>
      <c r="M109" t="str">
        <f>VLOOKUP(Table1[[#This Row],[
MPG Code  ]],[2]Master!$B:$F,5,0)</f>
        <v>Direct</v>
      </c>
      <c r="N109" s="14">
        <v>0</v>
      </c>
      <c r="O109" s="11">
        <v>0</v>
      </c>
      <c r="P109" s="11">
        <v>926</v>
      </c>
      <c r="Q109" s="14">
        <f>Table1[[#This Row],[Indent Qty]]</f>
        <v>0</v>
      </c>
      <c r="R109" s="18">
        <v>926</v>
      </c>
      <c r="S109" s="14"/>
      <c r="T109" s="14">
        <v>926</v>
      </c>
      <c r="U109" s="14"/>
    </row>
    <row r="110" spans="2:21" x14ac:dyDescent="0.25">
      <c r="B110" t="s">
        <v>141</v>
      </c>
      <c r="D110" s="14" t="str">
        <f>VLOOKUP(Table1[[#This Row],[
Item Name ]],Rates!$A$2:$B$22,2,0)</f>
        <v>CF</v>
      </c>
      <c r="E110" t="s">
        <v>38</v>
      </c>
      <c r="F110">
        <v>10530055</v>
      </c>
      <c r="G110" t="str">
        <f>VLOOKUP(Table1[[#This Row],[
MPG Code  ]],[2]Master!$B:$G,6,0)</f>
        <v>GOMUKH HARPUR W-13</v>
      </c>
      <c r="H110" s="20" t="s">
        <v>144</v>
      </c>
      <c r="J110" t="str">
        <f>VLOOKUP(Table1[[#This Row],[
MPG Code  ]],[2]Master!$B:$N,13,0)</f>
        <v>Kalyanpur</v>
      </c>
      <c r="K110" t="s">
        <v>91</v>
      </c>
      <c r="L110" t="str">
        <f>CONCATENATE(Table1[[#This Row],[
MPG Code  ]],Table1[[#This Row],[
Farmer code  ]])</f>
        <v>105300550011</v>
      </c>
      <c r="M110" t="str">
        <f>VLOOKUP(Table1[[#This Row],[
MPG Code  ]],[2]Master!$B:$F,5,0)</f>
        <v>Direct</v>
      </c>
      <c r="N110" s="14">
        <v>0</v>
      </c>
      <c r="O110" s="11">
        <v>0</v>
      </c>
      <c r="P110" s="11">
        <v>1359</v>
      </c>
      <c r="Q110" s="14">
        <f>Table1[[#This Row],[Indent Qty]]</f>
        <v>0</v>
      </c>
      <c r="R110" s="11">
        <v>1359</v>
      </c>
      <c r="S110" s="14"/>
      <c r="T110" s="14">
        <v>1359</v>
      </c>
      <c r="U110" s="14"/>
    </row>
    <row r="111" spans="2:21" x14ac:dyDescent="0.25">
      <c r="B111" t="s">
        <v>141</v>
      </c>
      <c r="D111" s="14" t="str">
        <f>VLOOKUP(Table1[[#This Row],[
Item Name ]],Rates!$A$2:$B$22,2,0)</f>
        <v>CF</v>
      </c>
      <c r="E111" t="s">
        <v>38</v>
      </c>
      <c r="F111">
        <v>10530055</v>
      </c>
      <c r="G111" t="str">
        <f>VLOOKUP(Table1[[#This Row],[
MPG Code  ]],[2]Master!$B:$G,6,0)</f>
        <v>GOMUKH HARPUR W-13</v>
      </c>
      <c r="H111" s="20" t="s">
        <v>162</v>
      </c>
      <c r="J111" t="str">
        <f>VLOOKUP(Table1[[#This Row],[
MPG Code  ]],[2]Master!$B:$N,13,0)</f>
        <v>Kalyanpur</v>
      </c>
      <c r="K111" t="s">
        <v>91</v>
      </c>
      <c r="L111" t="str">
        <f>CONCATENATE(Table1[[#This Row],[
MPG Code  ]],Table1[[#This Row],[
Farmer code  ]])</f>
        <v>105300550029</v>
      </c>
      <c r="M111" t="str">
        <f>VLOOKUP(Table1[[#This Row],[
MPG Code  ]],[2]Master!$B:$F,5,0)</f>
        <v>Direct</v>
      </c>
      <c r="N111" s="14">
        <v>0</v>
      </c>
      <c r="O111" s="11">
        <v>0</v>
      </c>
      <c r="P111" s="11">
        <v>473</v>
      </c>
      <c r="Q111" s="14">
        <f>Table1[[#This Row],[Indent Qty]]</f>
        <v>0</v>
      </c>
      <c r="R111" s="11">
        <v>473</v>
      </c>
      <c r="S111" s="14"/>
      <c r="T111" s="14">
        <v>473</v>
      </c>
      <c r="U111" s="14"/>
    </row>
    <row r="112" spans="2:21" x14ac:dyDescent="0.25">
      <c r="B112" t="s">
        <v>141</v>
      </c>
      <c r="D112" s="14" t="str">
        <f>VLOOKUP(Table1[[#This Row],[
Item Name ]],Rates!$A$2:$B$22,2,0)</f>
        <v>CF</v>
      </c>
      <c r="E112" t="s">
        <v>38</v>
      </c>
      <c r="F112">
        <v>10530055</v>
      </c>
      <c r="G112" t="str">
        <f>VLOOKUP(Table1[[#This Row],[
MPG Code  ]],[2]Master!$B:$G,6,0)</f>
        <v>GOMUKH HARPUR W-13</v>
      </c>
      <c r="H112" s="20" t="s">
        <v>163</v>
      </c>
      <c r="J112" t="str">
        <f>VLOOKUP(Table1[[#This Row],[
MPG Code  ]],[2]Master!$B:$N,13,0)</f>
        <v>Kalyanpur</v>
      </c>
      <c r="K112" t="s">
        <v>91</v>
      </c>
      <c r="L112" t="str">
        <f>CONCATENATE(Table1[[#This Row],[
MPG Code  ]],Table1[[#This Row],[
Farmer code  ]])</f>
        <v>105300550082</v>
      </c>
      <c r="M112" t="str">
        <f>VLOOKUP(Table1[[#This Row],[
MPG Code  ]],[2]Master!$B:$F,5,0)</f>
        <v>Direct</v>
      </c>
      <c r="N112" s="14">
        <v>0</v>
      </c>
      <c r="O112" s="11">
        <v>0</v>
      </c>
      <c r="P112" s="11">
        <v>510</v>
      </c>
      <c r="Q112" s="14">
        <f>Table1[[#This Row],[Indent Qty]]</f>
        <v>0</v>
      </c>
      <c r="R112" s="11">
        <v>510</v>
      </c>
      <c r="S112" s="14"/>
      <c r="T112" s="14">
        <v>510</v>
      </c>
      <c r="U112" s="14"/>
    </row>
    <row r="113" spans="2:22" x14ac:dyDescent="0.25">
      <c r="B113" t="s">
        <v>141</v>
      </c>
      <c r="D113" s="14" t="str">
        <f>VLOOKUP(Table1[[#This Row],[
Item Name ]],Rates!$A$2:$B$22,2,0)</f>
        <v>CF</v>
      </c>
      <c r="E113" t="s">
        <v>38</v>
      </c>
      <c r="F113">
        <v>10530055</v>
      </c>
      <c r="G113" t="str">
        <f>VLOOKUP(Table1[[#This Row],[
MPG Code  ]],[2]Master!$B:$G,6,0)</f>
        <v>GOMUKH HARPUR W-13</v>
      </c>
      <c r="H113" s="20" t="s">
        <v>164</v>
      </c>
      <c r="J113" t="str">
        <f>VLOOKUP(Table1[[#This Row],[
MPG Code  ]],[2]Master!$B:$N,13,0)</f>
        <v>Kalyanpur</v>
      </c>
      <c r="K113" t="s">
        <v>91</v>
      </c>
      <c r="L113" t="str">
        <f>CONCATENATE(Table1[[#This Row],[
MPG Code  ]],Table1[[#This Row],[
Farmer code  ]])</f>
        <v>105300550025</v>
      </c>
      <c r="M113" t="str">
        <f>VLOOKUP(Table1[[#This Row],[
MPG Code  ]],[2]Master!$B:$F,5,0)</f>
        <v>Direct</v>
      </c>
      <c r="N113" s="14">
        <v>0</v>
      </c>
      <c r="O113" s="11">
        <v>0</v>
      </c>
      <c r="P113" s="11">
        <v>845</v>
      </c>
      <c r="Q113" s="14">
        <f>Table1[[#This Row],[Indent Qty]]</f>
        <v>0</v>
      </c>
      <c r="R113" s="11">
        <v>845</v>
      </c>
      <c r="S113" s="14"/>
      <c r="T113" s="14">
        <v>845</v>
      </c>
      <c r="U113" s="14"/>
    </row>
    <row r="114" spans="2:22" x14ac:dyDescent="0.25">
      <c r="B114" t="s">
        <v>141</v>
      </c>
      <c r="D114" s="14" t="str">
        <f>VLOOKUP(Table1[[#This Row],[
Item Name ]],Rates!$A$2:$B$22,2,0)</f>
        <v>CF</v>
      </c>
      <c r="E114" t="s">
        <v>38</v>
      </c>
      <c r="F114">
        <v>10530055</v>
      </c>
      <c r="G114" t="str">
        <f>VLOOKUP(Table1[[#This Row],[
MPG Code  ]],[2]Master!$B:$G,6,0)</f>
        <v>GOMUKH HARPUR W-13</v>
      </c>
      <c r="H114" s="20" t="s">
        <v>113</v>
      </c>
      <c r="J114" t="str">
        <f>VLOOKUP(Table1[[#This Row],[
MPG Code  ]],[2]Master!$B:$N,13,0)</f>
        <v>Kalyanpur</v>
      </c>
      <c r="K114" t="s">
        <v>91</v>
      </c>
      <c r="L114" t="str">
        <f>CONCATENATE(Table1[[#This Row],[
MPG Code  ]],Table1[[#This Row],[
Farmer code  ]])</f>
        <v>105300550002</v>
      </c>
      <c r="M114" t="str">
        <f>VLOOKUP(Table1[[#This Row],[
MPG Code  ]],[2]Master!$B:$F,5,0)</f>
        <v>Direct</v>
      </c>
      <c r="N114" s="14">
        <v>0</v>
      </c>
      <c r="O114" s="11">
        <v>0</v>
      </c>
      <c r="P114" s="11">
        <v>556</v>
      </c>
      <c r="Q114" s="14">
        <f>Table1[[#This Row],[Indent Qty]]</f>
        <v>0</v>
      </c>
      <c r="R114" s="11">
        <v>556</v>
      </c>
      <c r="S114" s="14"/>
      <c r="T114" s="14">
        <v>556</v>
      </c>
      <c r="U114" s="14"/>
    </row>
    <row r="115" spans="2:22" x14ac:dyDescent="0.25">
      <c r="B115" t="s">
        <v>141</v>
      </c>
      <c r="D115" s="14" t="str">
        <f>VLOOKUP(Table1[[#This Row],[
Item Name ]],Rates!$A$2:$B$22,2,0)</f>
        <v>CF</v>
      </c>
      <c r="E115" t="s">
        <v>38</v>
      </c>
      <c r="F115">
        <v>10530064</v>
      </c>
      <c r="G115" t="str">
        <f>VLOOKUP(Table1[[#This Row],[
MPG Code  ]],[2]Master!$B:$G,6,0)</f>
        <v>GOMUKH MANIYARPUR</v>
      </c>
      <c r="H115" s="20" t="s">
        <v>111</v>
      </c>
      <c r="J115" t="str">
        <f>VLOOKUP(Table1[[#This Row],[
MPG Code  ]],[2]Master!$B:$N,13,0)</f>
        <v>Kalyanpur</v>
      </c>
      <c r="K115" t="s">
        <v>91</v>
      </c>
      <c r="L115" t="str">
        <f>CONCATENATE(Table1[[#This Row],[
MPG Code  ]],Table1[[#This Row],[
Farmer code  ]])</f>
        <v>105300640003</v>
      </c>
      <c r="M115" t="str">
        <f>VLOOKUP(Table1[[#This Row],[
MPG Code  ]],[2]Master!$B:$F,5,0)</f>
        <v>Direct</v>
      </c>
      <c r="N115" s="14">
        <v>0</v>
      </c>
      <c r="O115" s="11">
        <v>0</v>
      </c>
      <c r="P115" s="11">
        <v>7</v>
      </c>
      <c r="Q115" s="14">
        <f>Table1[[#This Row],[Indent Qty]]</f>
        <v>0</v>
      </c>
      <c r="R115" s="18">
        <v>7</v>
      </c>
      <c r="S115" s="14"/>
      <c r="T115" s="14">
        <v>7</v>
      </c>
      <c r="U115" s="14"/>
    </row>
    <row r="116" spans="2:22" x14ac:dyDescent="0.25">
      <c r="B116" t="s">
        <v>141</v>
      </c>
      <c r="D116" s="14" t="str">
        <f>VLOOKUP(Table1[[#This Row],[
Item Name ]],Rates!$A$2:$B$22,2,0)</f>
        <v>CF</v>
      </c>
      <c r="E116" t="s">
        <v>38</v>
      </c>
      <c r="F116">
        <v>10120016</v>
      </c>
      <c r="G116" t="str">
        <f>VLOOKUP(Table1[[#This Row],[
MPG Code  ]],[2]Master!$B:$G,6,0)</f>
        <v>Narahan</v>
      </c>
      <c r="H116" s="20" t="s">
        <v>113</v>
      </c>
      <c r="J116" t="str">
        <f>VLOOKUP(Table1[[#This Row],[
MPG Code  ]],[2]Master!$B:$N,13,0)</f>
        <v>DalsinghSarai</v>
      </c>
      <c r="K116" t="s">
        <v>91</v>
      </c>
      <c r="L116" t="str">
        <f>CONCATENATE(Table1[[#This Row],[
MPG Code  ]],Table1[[#This Row],[
Farmer code  ]])</f>
        <v>101200160002</v>
      </c>
      <c r="M116" t="str">
        <f>VLOOKUP(Table1[[#This Row],[
MPG Code  ]],[2]Master!$B:$F,5,0)</f>
        <v>Direct</v>
      </c>
      <c r="N116" s="14">
        <v>0</v>
      </c>
      <c r="O116" s="11">
        <v>0</v>
      </c>
      <c r="P116" s="11">
        <v>500</v>
      </c>
      <c r="Q116" s="14">
        <f>Table1[[#This Row],[Indent Qty]]</f>
        <v>0</v>
      </c>
      <c r="R116" s="11">
        <v>500</v>
      </c>
      <c r="S116" s="14"/>
      <c r="T116" s="14">
        <v>500</v>
      </c>
      <c r="U116" s="14"/>
    </row>
    <row r="117" spans="2:22" x14ac:dyDescent="0.25">
      <c r="B117" t="s">
        <v>141</v>
      </c>
      <c r="D117" s="14" t="str">
        <f>VLOOKUP(Table1[[#This Row],[
Item Name ]],Rates!$A$2:$B$22,2,0)</f>
        <v>CF</v>
      </c>
      <c r="E117" t="s">
        <v>38</v>
      </c>
      <c r="F117">
        <v>10120016</v>
      </c>
      <c r="G117" t="str">
        <f>VLOOKUP(Table1[[#This Row],[
MPG Code  ]],[2]Master!$B:$G,6,0)</f>
        <v>Narahan</v>
      </c>
      <c r="H117" s="20" t="s">
        <v>111</v>
      </c>
      <c r="J117" t="str">
        <f>VLOOKUP(Table1[[#This Row],[
MPG Code  ]],[2]Master!$B:$N,13,0)</f>
        <v>DalsinghSarai</v>
      </c>
      <c r="K117" t="s">
        <v>91</v>
      </c>
      <c r="L117" t="str">
        <f>CONCATENATE(Table1[[#This Row],[
MPG Code  ]],Table1[[#This Row],[
Farmer code  ]])</f>
        <v>101200160003</v>
      </c>
      <c r="M117" t="str">
        <f>VLOOKUP(Table1[[#This Row],[
MPG Code  ]],[2]Master!$B:$F,5,0)</f>
        <v>Direct</v>
      </c>
      <c r="N117" s="14">
        <v>0</v>
      </c>
      <c r="O117" s="11">
        <v>0</v>
      </c>
      <c r="P117" s="11">
        <v>600</v>
      </c>
      <c r="Q117" s="14">
        <f>Table1[[#This Row],[Indent Qty]]</f>
        <v>0</v>
      </c>
      <c r="R117" s="11">
        <v>600</v>
      </c>
      <c r="S117" s="14"/>
      <c r="T117" s="14">
        <v>600</v>
      </c>
      <c r="U117" s="14"/>
    </row>
    <row r="118" spans="2:22" x14ac:dyDescent="0.25">
      <c r="B118" t="s">
        <v>141</v>
      </c>
      <c r="D118" s="14" t="str">
        <f>VLOOKUP(Table1[[#This Row],[
Item Name ]],Rates!$A$2:$B$22,2,0)</f>
        <v>CF</v>
      </c>
      <c r="E118" t="s">
        <v>38</v>
      </c>
      <c r="F118">
        <v>10120016</v>
      </c>
      <c r="G118" t="str">
        <f>VLOOKUP(Table1[[#This Row],[
MPG Code  ]],[2]Master!$B:$G,6,0)</f>
        <v>Narahan</v>
      </c>
      <c r="H118" s="20" t="s">
        <v>112</v>
      </c>
      <c r="J118" t="str">
        <f>VLOOKUP(Table1[[#This Row],[
MPG Code  ]],[2]Master!$B:$N,13,0)</f>
        <v>DalsinghSarai</v>
      </c>
      <c r="K118" t="s">
        <v>91</v>
      </c>
      <c r="L118" t="str">
        <f>CONCATENATE(Table1[[#This Row],[
MPG Code  ]],Table1[[#This Row],[
Farmer code  ]])</f>
        <v>101200160005</v>
      </c>
      <c r="M118" t="str">
        <f>VLOOKUP(Table1[[#This Row],[
MPG Code  ]],[2]Master!$B:$F,5,0)</f>
        <v>Direct</v>
      </c>
      <c r="N118" s="14">
        <v>0</v>
      </c>
      <c r="O118" s="11">
        <v>0</v>
      </c>
      <c r="P118" s="11">
        <v>638</v>
      </c>
      <c r="Q118" s="14">
        <f>Table1[[#This Row],[Indent Qty]]</f>
        <v>0</v>
      </c>
      <c r="R118" s="11">
        <v>638</v>
      </c>
      <c r="S118" s="14"/>
      <c r="T118" s="14">
        <v>638</v>
      </c>
      <c r="U118" s="14"/>
    </row>
    <row r="119" spans="2:22" x14ac:dyDescent="0.25">
      <c r="B119" t="s">
        <v>141</v>
      </c>
      <c r="D119" s="14" t="str">
        <f>VLOOKUP(Table1[[#This Row],[
Item Name ]],Rates!$A$2:$B$22,2,0)</f>
        <v>CF</v>
      </c>
      <c r="E119" t="s">
        <v>38</v>
      </c>
      <c r="F119">
        <v>10120104</v>
      </c>
      <c r="G119" t="str">
        <f>VLOOKUP(Table1[[#This Row],[
MPG Code  ]],[2]Master!$B:$G,6,0)</f>
        <v>Gomukh Mordiwa East</v>
      </c>
      <c r="H119" s="20" t="s">
        <v>113</v>
      </c>
      <c r="J119" t="str">
        <f>VLOOKUP(Table1[[#This Row],[
MPG Code  ]],[2]Master!$B:$N,13,0)</f>
        <v>DalsinghSarai</v>
      </c>
      <c r="K119" t="s">
        <v>91</v>
      </c>
      <c r="L119" t="str">
        <f>CONCATENATE(Table1[[#This Row],[
MPG Code  ]],Table1[[#This Row],[
Farmer code  ]])</f>
        <v>101201040002</v>
      </c>
      <c r="M119" t="str">
        <f>VLOOKUP(Table1[[#This Row],[
MPG Code  ]],[2]Master!$B:$F,5,0)</f>
        <v>Direct</v>
      </c>
      <c r="N119" s="14">
        <v>0</v>
      </c>
      <c r="O119" s="11">
        <v>0</v>
      </c>
      <c r="P119" s="11">
        <v>84</v>
      </c>
      <c r="Q119" s="14">
        <f>Table1[[#This Row],[Indent Qty]]</f>
        <v>0</v>
      </c>
      <c r="R119" s="18">
        <v>84</v>
      </c>
      <c r="S119" s="14"/>
      <c r="T119" s="14">
        <v>84</v>
      </c>
      <c r="U119" s="14"/>
      <c r="V119" s="14" t="s">
        <v>146</v>
      </c>
    </row>
    <row r="120" spans="2:22" x14ac:dyDescent="0.25">
      <c r="B120" t="s">
        <v>141</v>
      </c>
      <c r="D120" s="14" t="str">
        <f>VLOOKUP(Table1[[#This Row],[
Item Name ]],Rates!$A$2:$B$22,2,0)</f>
        <v>CF</v>
      </c>
      <c r="E120" t="s">
        <v>38</v>
      </c>
      <c r="F120">
        <v>10140001</v>
      </c>
      <c r="G120" t="str">
        <f>VLOOKUP(Table1[[#This Row],[
MPG Code  ]],[2]Master!$B:$G,6,0)</f>
        <v>Dumri Purvi Tola</v>
      </c>
      <c r="H120" s="20" t="s">
        <v>169</v>
      </c>
      <c r="J120" t="s">
        <v>167</v>
      </c>
      <c r="K120" t="s">
        <v>91</v>
      </c>
      <c r="L120" t="str">
        <f>CONCATENATE(Table1[[#This Row],[
MPG Code  ]],Table1[[#This Row],[
Farmer code  ]])</f>
        <v>101400010038</v>
      </c>
      <c r="M120" t="str">
        <f>VLOOKUP(Table1[[#This Row],[
MPG Code  ]],[2]Master!$B:$F,5,0)</f>
        <v>Direct</v>
      </c>
      <c r="N120" s="14">
        <v>0</v>
      </c>
      <c r="O120" s="11">
        <v>0</v>
      </c>
      <c r="P120" s="11">
        <v>2102.7800000000002</v>
      </c>
      <c r="Q120" s="14">
        <f>Table1[[#This Row],[Indent Qty]]</f>
        <v>0</v>
      </c>
      <c r="R120" s="18">
        <v>2102.7800000000002</v>
      </c>
      <c r="S120" s="14"/>
      <c r="T120" s="14">
        <v>0</v>
      </c>
      <c r="U120" s="14"/>
    </row>
    <row r="121" spans="2:22" x14ac:dyDescent="0.25">
      <c r="B121" t="s">
        <v>141</v>
      </c>
      <c r="D121" s="14" t="str">
        <f>VLOOKUP(Table1[[#This Row],[
Item Name ]],Rates!$A$2:$B$22,2,0)</f>
        <v>CF</v>
      </c>
      <c r="E121" t="s">
        <v>38</v>
      </c>
      <c r="F121">
        <v>10140194</v>
      </c>
      <c r="G121" t="str">
        <f>VLOOKUP(Table1[[#This Row],[
MPG Code  ]],[2]Master!$B:$G,6,0)</f>
        <v>Gumukh Orap Khurd</v>
      </c>
      <c r="H121" s="20" t="s">
        <v>113</v>
      </c>
      <c r="J121" t="s">
        <v>167</v>
      </c>
      <c r="K121" t="s">
        <v>91</v>
      </c>
      <c r="L121" t="str">
        <f>CONCATENATE(Table1[[#This Row],[
MPG Code  ]],Table1[[#This Row],[
Farmer code  ]])</f>
        <v>101401940002</v>
      </c>
      <c r="M121" t="str">
        <f>VLOOKUP(Table1[[#This Row],[
MPG Code  ]],[2]Master!$B:$F,5,0)</f>
        <v>Direct</v>
      </c>
      <c r="N121" s="14">
        <v>0</v>
      </c>
      <c r="O121" s="11">
        <v>0</v>
      </c>
      <c r="P121" s="11">
        <v>541</v>
      </c>
      <c r="Q121" s="14">
        <f>Table1[[#This Row],[Indent Qty]]</f>
        <v>0</v>
      </c>
      <c r="R121" s="18">
        <v>541</v>
      </c>
      <c r="S121" s="14"/>
      <c r="T121" s="14">
        <v>0</v>
      </c>
      <c r="U121" s="14"/>
    </row>
    <row r="122" spans="2:22" x14ac:dyDescent="0.25">
      <c r="B122" t="s">
        <v>141</v>
      </c>
      <c r="D122" s="14" t="str">
        <f>VLOOKUP(Table1[[#This Row],[
Item Name ]],Rates!$A$2:$B$22,2,0)</f>
        <v>CF</v>
      </c>
      <c r="E122" t="s">
        <v>38</v>
      </c>
      <c r="F122">
        <v>10600005</v>
      </c>
      <c r="G122" t="str">
        <f>VLOOKUP(Table1[[#This Row],[
MPG Code  ]],[2]Master!$B:$G,6,0)</f>
        <v>Gomukh Barja</v>
      </c>
      <c r="H122" s="20" t="s">
        <v>113</v>
      </c>
      <c r="J122" t="s">
        <v>168</v>
      </c>
      <c r="K122" t="s">
        <v>91</v>
      </c>
      <c r="L122" t="str">
        <f>CONCATENATE(Table1[[#This Row],[
MPG Code  ]],Table1[[#This Row],[
Farmer code  ]])</f>
        <v>106000050002</v>
      </c>
      <c r="M122" t="str">
        <f>VLOOKUP(Table1[[#This Row],[
MPG Code  ]],[2]Master!$B:$F,5,0)</f>
        <v>Direct</v>
      </c>
      <c r="N122" s="14">
        <v>0</v>
      </c>
      <c r="O122" s="11">
        <v>0</v>
      </c>
      <c r="P122" s="11">
        <v>6400</v>
      </c>
      <c r="Q122" s="14">
        <f>Table1[[#This Row],[Indent Qty]]</f>
        <v>0</v>
      </c>
      <c r="R122" s="18">
        <v>6400</v>
      </c>
      <c r="S122" s="14"/>
      <c r="T122" s="14">
        <v>0</v>
      </c>
      <c r="U122" s="14"/>
    </row>
    <row r="123" spans="2:22" x14ac:dyDescent="0.25">
      <c r="B123" t="s">
        <v>141</v>
      </c>
      <c r="D123" s="14" t="str">
        <f>VLOOKUP(Table1[[#This Row],[
Item Name ]],Rates!$A$2:$B$22,2,0)</f>
        <v>CF</v>
      </c>
      <c r="E123" t="s">
        <v>38</v>
      </c>
      <c r="F123">
        <v>10600001</v>
      </c>
      <c r="G123" t="str">
        <f>VLOOKUP(Table1[[#This Row],[
MPG Code  ]],[2]Master!$B:$G,6,0)</f>
        <v>Gomukh Karisath</v>
      </c>
      <c r="H123" s="20" t="s">
        <v>111</v>
      </c>
      <c r="J123" t="s">
        <v>168</v>
      </c>
      <c r="K123" t="s">
        <v>91</v>
      </c>
      <c r="L123" t="str">
        <f>CONCATENATE(Table1[[#This Row],[
MPG Code  ]],Table1[[#This Row],[
Farmer code  ]])</f>
        <v>106000010003</v>
      </c>
      <c r="M123" t="str">
        <f>VLOOKUP(Table1[[#This Row],[
MPG Code  ]],[2]Master!$B:$F,5,0)</f>
        <v>Direct</v>
      </c>
      <c r="N123" s="14">
        <v>0</v>
      </c>
      <c r="O123" s="11">
        <v>0</v>
      </c>
      <c r="P123" s="11">
        <v>3819</v>
      </c>
      <c r="Q123" s="14">
        <f>Table1[[#This Row],[Indent Qty]]</f>
        <v>0</v>
      </c>
      <c r="R123" s="18">
        <v>3819</v>
      </c>
      <c r="S123" s="14"/>
      <c r="T123" s="14">
        <v>3819</v>
      </c>
      <c r="U123" s="14"/>
    </row>
    <row r="124" spans="2:22" x14ac:dyDescent="0.25">
      <c r="B124" t="s">
        <v>141</v>
      </c>
      <c r="D124" s="14" t="str">
        <f>VLOOKUP(Table1[[#This Row],[
Item Name ]],Rates!$A$2:$B$22,2,0)</f>
        <v>CF</v>
      </c>
      <c r="E124" t="s">
        <v>38</v>
      </c>
      <c r="F124">
        <v>10140180</v>
      </c>
      <c r="G124" t="str">
        <f>VLOOKUP(Table1[[#This Row],[
MPG Code  ]],[2]Master!$B:$G,6,0)</f>
        <v>Gomukh Gangauli Dubha</v>
      </c>
      <c r="H124" s="20" t="s">
        <v>113</v>
      </c>
      <c r="J124" t="s">
        <v>167</v>
      </c>
      <c r="K124" t="s">
        <v>91</v>
      </c>
      <c r="L124" t="str">
        <f>CONCATENATE(Table1[[#This Row],[
MPG Code  ]],Table1[[#This Row],[
Farmer code  ]])</f>
        <v>101401800002</v>
      </c>
      <c r="M124" t="str">
        <f>VLOOKUP(Table1[[#This Row],[
MPG Code  ]],[2]Master!$B:$F,5,0)</f>
        <v>Direct</v>
      </c>
      <c r="N124" s="14">
        <v>0</v>
      </c>
      <c r="O124" s="11">
        <v>0</v>
      </c>
      <c r="P124" s="11">
        <v>2560</v>
      </c>
      <c r="Q124" s="14">
        <f>Table1[[#This Row],[Indent Qty]]</f>
        <v>0</v>
      </c>
      <c r="R124" s="18">
        <v>2560</v>
      </c>
      <c r="S124" s="14"/>
      <c r="T124" s="14">
        <v>2560</v>
      </c>
      <c r="U124" s="14"/>
    </row>
    <row r="125" spans="2:22" x14ac:dyDescent="0.25">
      <c r="B125" t="s">
        <v>141</v>
      </c>
      <c r="D125" s="14" t="str">
        <f>VLOOKUP(Table1[[#This Row],[
Item Name ]],Rates!$A$2:$B$22,2,0)</f>
        <v>CF</v>
      </c>
      <c r="E125" t="s">
        <v>38</v>
      </c>
      <c r="F125">
        <v>10600004</v>
      </c>
      <c r="G125" t="str">
        <f>VLOOKUP(Table1[[#This Row],[
MPG Code  ]],[2]Master!$B:$G,6,0)</f>
        <v>Gomukh Pawat</v>
      </c>
      <c r="H125" s="20" t="s">
        <v>111</v>
      </c>
      <c r="J125" t="s">
        <v>167</v>
      </c>
      <c r="K125" t="s">
        <v>91</v>
      </c>
      <c r="L125" t="str">
        <f>CONCATENATE(Table1[[#This Row],[
MPG Code  ]],Table1[[#This Row],[
Farmer code  ]])</f>
        <v>106000040003</v>
      </c>
      <c r="M125" t="str">
        <f>VLOOKUP(Table1[[#This Row],[
MPG Code  ]],[2]Master!$B:$F,5,0)</f>
        <v>Direct</v>
      </c>
      <c r="N125" s="14">
        <v>0</v>
      </c>
      <c r="O125" s="11">
        <v>0</v>
      </c>
      <c r="P125" s="11">
        <v>4931</v>
      </c>
      <c r="Q125" s="14">
        <f>Table1[[#This Row],[Indent Qty]]</f>
        <v>0</v>
      </c>
      <c r="R125" s="18">
        <v>4931</v>
      </c>
      <c r="S125" s="14"/>
      <c r="T125" s="14">
        <v>4636</v>
      </c>
      <c r="U125" s="14"/>
    </row>
    <row r="126" spans="2:22" x14ac:dyDescent="0.25">
      <c r="B126" t="s">
        <v>141</v>
      </c>
      <c r="D126" s="14" t="str">
        <f>VLOOKUP(Table1[[#This Row],[
Item Name ]],Rates!$A$2:$B$22,2,0)</f>
        <v>CF</v>
      </c>
      <c r="E126" t="s">
        <v>38</v>
      </c>
      <c r="F126">
        <v>10600004</v>
      </c>
      <c r="G126" t="str">
        <f>VLOOKUP(Table1[[#This Row],[
MPG Code  ]],[2]Master!$B:$G,6,0)</f>
        <v>Gomukh Pawat</v>
      </c>
      <c r="H126" s="20" t="s">
        <v>113</v>
      </c>
      <c r="J126" t="s">
        <v>167</v>
      </c>
      <c r="K126" t="s">
        <v>91</v>
      </c>
      <c r="L126" t="str">
        <f>CONCATENATE(Table1[[#This Row],[
MPG Code  ]],Table1[[#This Row],[
Farmer code  ]])</f>
        <v>106000040002</v>
      </c>
      <c r="M126" t="str">
        <f>VLOOKUP(Table1[[#This Row],[
MPG Code  ]],[2]Master!$B:$F,5,0)</f>
        <v>Direct</v>
      </c>
      <c r="N126" s="14">
        <v>0</v>
      </c>
      <c r="O126" s="11">
        <v>0</v>
      </c>
      <c r="P126" s="11">
        <v>189</v>
      </c>
      <c r="Q126" s="14">
        <f>Table1[[#This Row],[Indent Qty]]</f>
        <v>0</v>
      </c>
      <c r="R126" s="18">
        <v>189</v>
      </c>
      <c r="S126" s="14"/>
      <c r="T126" s="14">
        <v>0</v>
      </c>
      <c r="U126" s="14"/>
    </row>
    <row r="127" spans="2:22" x14ac:dyDescent="0.25">
      <c r="B127" t="s">
        <v>141</v>
      </c>
      <c r="D127" s="14" t="str">
        <f>VLOOKUP(Table1[[#This Row],[
Item Name ]],Rates!$A$2:$B$22,2,0)</f>
        <v>CF</v>
      </c>
      <c r="E127" t="s">
        <v>38</v>
      </c>
      <c r="F127">
        <v>10600001</v>
      </c>
      <c r="G127" t="str">
        <f>VLOOKUP(Table1[[#This Row],[
MPG Code  ]],[2]Master!$B:$G,6,0)</f>
        <v>Gomukh Karisath</v>
      </c>
      <c r="H127" s="20" t="s">
        <v>111</v>
      </c>
      <c r="J127" t="s">
        <v>167</v>
      </c>
      <c r="K127" t="s">
        <v>91</v>
      </c>
      <c r="L127" t="str">
        <f>CONCATENATE(Table1[[#This Row],[
MPG Code  ]],Table1[[#This Row],[
Farmer code  ]])</f>
        <v>106000010003</v>
      </c>
      <c r="M127" t="str">
        <f>VLOOKUP(Table1[[#This Row],[
MPG Code  ]],[2]Master!$B:$F,5,0)</f>
        <v>Direct</v>
      </c>
      <c r="N127" s="14">
        <v>0</v>
      </c>
      <c r="O127" s="11">
        <v>0</v>
      </c>
      <c r="P127" s="11">
        <v>3840</v>
      </c>
      <c r="Q127" s="14">
        <f>Table1[[#This Row],[Indent Qty]]</f>
        <v>0</v>
      </c>
      <c r="R127" s="18">
        <v>3840</v>
      </c>
      <c r="S127" s="14"/>
      <c r="T127" s="14">
        <v>3840</v>
      </c>
      <c r="U127" s="14"/>
    </row>
    <row r="128" spans="2:22" x14ac:dyDescent="0.25">
      <c r="B128" t="s">
        <v>141</v>
      </c>
      <c r="D128" s="14" t="str">
        <f>VLOOKUP(Table1[[#This Row],[
Item Name ]],Rates!$A$2:$B$22,2,0)</f>
        <v>CF</v>
      </c>
      <c r="E128" t="s">
        <v>38</v>
      </c>
      <c r="F128">
        <v>10600008</v>
      </c>
      <c r="G128" t="str">
        <f>VLOOKUP(Table1[[#This Row],[
MPG Code  ]],[2]Master!$B:$G,6,0)</f>
        <v>Gomukh Ramdihra</v>
      </c>
      <c r="H128" s="20" t="s">
        <v>113</v>
      </c>
      <c r="J128" t="s">
        <v>167</v>
      </c>
      <c r="K128" t="s">
        <v>91</v>
      </c>
      <c r="L128" t="str">
        <f>CONCATENATE(Table1[[#This Row],[
MPG Code  ]],Table1[[#This Row],[
Farmer code  ]])</f>
        <v>106000080002</v>
      </c>
      <c r="M128" t="str">
        <f>VLOOKUP(Table1[[#This Row],[
MPG Code  ]],[2]Master!$B:$F,5,0)</f>
        <v>Direct</v>
      </c>
      <c r="N128" s="14">
        <v>0</v>
      </c>
      <c r="O128" s="11">
        <v>0</v>
      </c>
      <c r="P128" s="11">
        <v>4752</v>
      </c>
      <c r="Q128" s="14">
        <f>Table1[[#This Row],[Indent Qty]]</f>
        <v>0</v>
      </c>
      <c r="R128" s="18">
        <v>4752</v>
      </c>
      <c r="S128" s="14"/>
      <c r="T128" s="14">
        <v>0</v>
      </c>
      <c r="U128" s="14"/>
    </row>
    <row r="129" spans="2:22" x14ac:dyDescent="0.25">
      <c r="B129" t="s">
        <v>141</v>
      </c>
      <c r="D129" s="14" t="str">
        <f>VLOOKUP(Table1[[#This Row],[
Item Name ]],Rates!$A$2:$B$22,2,0)</f>
        <v>CF</v>
      </c>
      <c r="E129" t="s">
        <v>38</v>
      </c>
      <c r="F129">
        <v>10600001</v>
      </c>
      <c r="G129" t="str">
        <f>VLOOKUP(Table1[[#This Row],[
MPG Code  ]],[2]Master!$B:$G,6,0)</f>
        <v>Gomukh Karisath</v>
      </c>
      <c r="H129" s="20" t="s">
        <v>111</v>
      </c>
      <c r="J129" t="s">
        <v>168</v>
      </c>
      <c r="K129" t="s">
        <v>91</v>
      </c>
      <c r="L129" t="str">
        <f>CONCATENATE(Table1[[#This Row],[
MPG Code  ]],Table1[[#This Row],[
Farmer code  ]])</f>
        <v>106000010003</v>
      </c>
      <c r="M129" t="str">
        <f>VLOOKUP(Table1[[#This Row],[
MPG Code  ]],[2]Master!$B:$F,5,0)</f>
        <v>Direct</v>
      </c>
      <c r="N129" s="14">
        <v>0</v>
      </c>
      <c r="O129" s="11">
        <v>0</v>
      </c>
      <c r="P129" s="11">
        <v>3200</v>
      </c>
      <c r="Q129" s="14">
        <f>Table1[[#This Row],[Indent Qty]]</f>
        <v>0</v>
      </c>
      <c r="R129" s="18">
        <v>3200</v>
      </c>
      <c r="S129" s="14"/>
      <c r="T129" s="14">
        <v>3200</v>
      </c>
      <c r="U129" s="14"/>
    </row>
    <row r="130" spans="2:22" x14ac:dyDescent="0.25">
      <c r="B130" t="s">
        <v>141</v>
      </c>
      <c r="D130" s="14" t="str">
        <f>VLOOKUP(Table1[[#This Row],[
Item Name ]],Rates!$A$2:$B$22,2,0)</f>
        <v>CF</v>
      </c>
      <c r="E130" t="s">
        <v>38</v>
      </c>
      <c r="F130">
        <v>10140098</v>
      </c>
      <c r="G130" t="str">
        <f>VLOOKUP(Table1[[#This Row],[
MPG Code  ]],[2]Master!$B:$G,6,0)</f>
        <v>Kulharia Agriculture Producer Company Limited</v>
      </c>
      <c r="H130" s="20" t="s">
        <v>113</v>
      </c>
      <c r="J130" t="s">
        <v>167</v>
      </c>
      <c r="K130" t="s">
        <v>91</v>
      </c>
      <c r="L130" t="str">
        <f>CONCATENATE(Table1[[#This Row],[
MPG Code  ]],Table1[[#This Row],[
Farmer code  ]])</f>
        <v>101400980002</v>
      </c>
      <c r="M130" t="str">
        <f>VLOOKUP(Table1[[#This Row],[
MPG Code  ]],[2]Master!$B:$F,5,0)</f>
        <v>Direct</v>
      </c>
      <c r="N130" s="14">
        <v>0</v>
      </c>
      <c r="O130" s="11">
        <v>0</v>
      </c>
      <c r="P130" s="11">
        <v>15818</v>
      </c>
      <c r="Q130" s="14">
        <f>Table1[[#This Row],[Indent Qty]]</f>
        <v>0</v>
      </c>
      <c r="R130" s="18">
        <v>15818</v>
      </c>
      <c r="S130" s="14"/>
      <c r="T130" s="14">
        <v>15818</v>
      </c>
      <c r="U130" s="14"/>
    </row>
    <row r="131" spans="2:22" x14ac:dyDescent="0.25">
      <c r="B131" t="s">
        <v>141</v>
      </c>
      <c r="D131" s="14" t="str">
        <f>VLOOKUP(Table1[[#This Row],[
Item Name ]],Rates!$A$2:$B$22,2,0)</f>
        <v>CF</v>
      </c>
      <c r="E131" t="s">
        <v>38</v>
      </c>
      <c r="F131">
        <v>10140185</v>
      </c>
      <c r="G131" t="str">
        <f>VLOOKUP(Table1[[#This Row],[
MPG Code  ]],[2]Master!$B:$G,6,0)</f>
        <v>Gomukh Jagdishpur</v>
      </c>
      <c r="H131" s="20" t="s">
        <v>113</v>
      </c>
      <c r="J131" t="s">
        <v>167</v>
      </c>
      <c r="K131" t="s">
        <v>91</v>
      </c>
      <c r="L131" t="str">
        <f>CONCATENATE(Table1[[#This Row],[
MPG Code  ]],Table1[[#This Row],[
Farmer code  ]])</f>
        <v>101401850002</v>
      </c>
      <c r="M131" t="str">
        <f>VLOOKUP(Table1[[#This Row],[
MPG Code  ]],[2]Master!$B:$F,5,0)</f>
        <v>Direct</v>
      </c>
      <c r="N131" s="14">
        <v>0</v>
      </c>
      <c r="O131" s="11">
        <v>0</v>
      </c>
      <c r="P131" s="11">
        <v>6400</v>
      </c>
      <c r="Q131" s="14">
        <f>Table1[[#This Row],[Indent Qty]]</f>
        <v>0</v>
      </c>
      <c r="R131" s="18">
        <v>6400</v>
      </c>
      <c r="S131" s="14"/>
      <c r="T131" s="14">
        <v>0</v>
      </c>
      <c r="U131" s="14"/>
    </row>
    <row r="132" spans="2:22" x14ac:dyDescent="0.25">
      <c r="B132" t="s">
        <v>141</v>
      </c>
      <c r="D132" s="14" t="str">
        <f>VLOOKUP(Table1[[#This Row],[
Item Name ]],Rates!$A$2:$B$22,2,0)</f>
        <v>CF</v>
      </c>
      <c r="E132" t="s">
        <v>38</v>
      </c>
      <c r="F132">
        <v>10140055</v>
      </c>
      <c r="G132" t="str">
        <f>VLOOKUP(Table1[[#This Row],[
MPG Code  ]],[2]Master!$B:$G,6,0)</f>
        <v xml:space="preserve">PURANA BHOJPUR                                                                                      </v>
      </c>
      <c r="H132" s="20" t="s">
        <v>113</v>
      </c>
      <c r="J132" t="s">
        <v>167</v>
      </c>
      <c r="K132" t="s">
        <v>91</v>
      </c>
      <c r="L132" t="str">
        <f>CONCATENATE(Table1[[#This Row],[
MPG Code  ]],Table1[[#This Row],[
Farmer code  ]])</f>
        <v>101400550002</v>
      </c>
      <c r="M132" t="str">
        <f>VLOOKUP(Table1[[#This Row],[
MPG Code  ]],[2]Master!$B:$F,5,0)</f>
        <v>Direct</v>
      </c>
      <c r="N132" s="14">
        <v>0</v>
      </c>
      <c r="O132" s="11">
        <v>0</v>
      </c>
      <c r="P132" s="11">
        <v>2540</v>
      </c>
      <c r="Q132" s="14">
        <f>Table1[[#This Row],[Indent Qty]]</f>
        <v>0</v>
      </c>
      <c r="R132" s="18">
        <v>2540</v>
      </c>
      <c r="S132" s="14"/>
      <c r="T132" s="14">
        <v>0</v>
      </c>
      <c r="U132" s="14"/>
    </row>
    <row r="133" spans="2:22" x14ac:dyDescent="0.25">
      <c r="B133" t="s">
        <v>141</v>
      </c>
      <c r="D133" s="14" t="str">
        <f>VLOOKUP(Table1[[#This Row],[
Item Name ]],Rates!$A$2:$B$22,2,0)</f>
        <v>CF</v>
      </c>
      <c r="E133" t="s">
        <v>38</v>
      </c>
      <c r="F133">
        <v>10140099</v>
      </c>
      <c r="G133" t="str">
        <f>VLOOKUP(Table1[[#This Row],[
MPG Code  ]],[2]Master!$B:$G,6,0)</f>
        <v>Gomukh Dhakaich</v>
      </c>
      <c r="H133" s="20" t="s">
        <v>113</v>
      </c>
      <c r="J133" t="s">
        <v>167</v>
      </c>
      <c r="K133" t="s">
        <v>91</v>
      </c>
      <c r="L133" t="str">
        <f>CONCATENATE(Table1[[#This Row],[
MPG Code  ]],Table1[[#This Row],[
Farmer code  ]])</f>
        <v>101400990002</v>
      </c>
      <c r="M133" t="str">
        <f>VLOOKUP(Table1[[#This Row],[
MPG Code  ]],[2]Master!$B:$F,5,0)</f>
        <v>Direct</v>
      </c>
      <c r="N133" s="14">
        <v>0</v>
      </c>
      <c r="O133" s="11">
        <v>0</v>
      </c>
      <c r="P133" s="11">
        <v>650</v>
      </c>
      <c r="Q133" s="14">
        <f>Table1[[#This Row],[Indent Qty]]</f>
        <v>0</v>
      </c>
      <c r="R133" s="18">
        <v>650</v>
      </c>
      <c r="S133" s="14"/>
      <c r="T133" s="14">
        <v>0</v>
      </c>
      <c r="U133" s="14"/>
    </row>
    <row r="134" spans="2:22" x14ac:dyDescent="0.25">
      <c r="B134" t="s">
        <v>141</v>
      </c>
      <c r="D134" s="14" t="str">
        <f>VLOOKUP(Table1[[#This Row],[
Item Name ]],Rates!$A$2:$B$22,2,0)</f>
        <v>CF</v>
      </c>
      <c r="E134" t="s">
        <v>38</v>
      </c>
      <c r="F134">
        <v>10140012</v>
      </c>
      <c r="G134" t="str">
        <f>VLOOKUP(Table1[[#This Row],[
MPG Code  ]],[2]Master!$B:$G,6,0)</f>
        <v>Gangauli</v>
      </c>
      <c r="H134" s="20" t="s">
        <v>157</v>
      </c>
      <c r="J134" t="s">
        <v>167</v>
      </c>
      <c r="K134" t="s">
        <v>91</v>
      </c>
      <c r="L134" t="str">
        <f>CONCATENATE(Table1[[#This Row],[
MPG Code  ]],Table1[[#This Row],[
Farmer code  ]])</f>
        <v>101400120017</v>
      </c>
      <c r="M134" t="str">
        <f>VLOOKUP(Table1[[#This Row],[
MPG Code  ]],[2]Master!$B:$F,5,0)</f>
        <v>Direct</v>
      </c>
      <c r="N134" s="14">
        <v>0</v>
      </c>
      <c r="O134" s="11">
        <v>0</v>
      </c>
      <c r="P134" s="11">
        <v>1300</v>
      </c>
      <c r="Q134" s="14">
        <f>Table1[[#This Row],[Indent Qty]]</f>
        <v>0</v>
      </c>
      <c r="R134" s="18">
        <v>1300</v>
      </c>
      <c r="S134" s="14"/>
      <c r="T134" s="14">
        <v>1300</v>
      </c>
      <c r="U134" s="14"/>
    </row>
    <row r="135" spans="2:22" x14ac:dyDescent="0.25">
      <c r="B135" t="s">
        <v>141</v>
      </c>
      <c r="D135" s="14" t="str">
        <f>VLOOKUP(Table1[[#This Row],[
Item Name ]],Rates!$A$2:$B$22,2,0)</f>
        <v>CF</v>
      </c>
      <c r="E135" t="s">
        <v>38</v>
      </c>
      <c r="F135">
        <v>10070077</v>
      </c>
      <c r="G135" t="str">
        <f>VLOOKUP(Table1[[#This Row],[
MPG Code  ]],[2]Master!$B:$G,6,0)</f>
        <v>Gomukh Bari chak Gogri</v>
      </c>
      <c r="H135" s="20" t="s">
        <v>113</v>
      </c>
      <c r="J135" t="str">
        <f>VLOOKUP(Table1[[#This Row],[
MPG Code  ]],[2]Master!$B:$N,13,0)</f>
        <v>Araria</v>
      </c>
      <c r="K135" t="s">
        <v>91</v>
      </c>
      <c r="L135" t="str">
        <f>CONCATENATE(Table1[[#This Row],[
MPG Code  ]],Table1[[#This Row],[
Farmer code  ]])</f>
        <v>100700770002</v>
      </c>
      <c r="M135" t="str">
        <f>VLOOKUP(Table1[[#This Row],[
MPG Code  ]],[2]Master!$B:$F,5,0)</f>
        <v>Direct</v>
      </c>
      <c r="N135" s="14">
        <v>1</v>
      </c>
      <c r="O135" s="11">
        <v>1300</v>
      </c>
      <c r="P135" s="11">
        <f>Table1[[#This Row],[Indent Qty]]*Table1[[#This Row],[
Rate ]]</f>
        <v>1300</v>
      </c>
      <c r="Q135" s="14">
        <f>Table1[[#This Row],[Indent Qty]]</f>
        <v>1</v>
      </c>
      <c r="R135" s="18">
        <f>Table1[[#This Row],[
Rate ]]*Table1[[#This Row],[Final Qty]]</f>
        <v>1300</v>
      </c>
      <c r="S135" s="14"/>
      <c r="T135" s="14">
        <v>0</v>
      </c>
      <c r="U135" s="14"/>
    </row>
    <row r="136" spans="2:22" x14ac:dyDescent="0.25">
      <c r="B136" t="s">
        <v>141</v>
      </c>
      <c r="D136" s="14" t="str">
        <f>VLOOKUP(Table1[[#This Row],[
Item Name ]],Rates!$A$2:$B$22,2,0)</f>
        <v>CF</v>
      </c>
      <c r="E136" t="s">
        <v>38</v>
      </c>
      <c r="F136">
        <v>10070077</v>
      </c>
      <c r="G136" t="str">
        <f>VLOOKUP(Table1[[#This Row],[
MPG Code  ]],[2]Master!$B:$G,6,0)</f>
        <v>Gomukh Bari chak Gogri</v>
      </c>
      <c r="H136" s="20" t="s">
        <v>111</v>
      </c>
      <c r="J136" t="str">
        <f>VLOOKUP(Table1[[#This Row],[
MPG Code  ]],[2]Master!$B:$N,13,0)</f>
        <v>Araria</v>
      </c>
      <c r="K136" t="s">
        <v>91</v>
      </c>
      <c r="L136" t="str">
        <f>CONCATENATE(Table1[[#This Row],[
MPG Code  ]],Table1[[#This Row],[
Farmer code  ]])</f>
        <v>100700770003</v>
      </c>
      <c r="M136" t="str">
        <f>VLOOKUP(Table1[[#This Row],[
MPG Code  ]],[2]Master!$B:$F,5,0)</f>
        <v>Direct</v>
      </c>
      <c r="N136" s="14">
        <v>1</v>
      </c>
      <c r="O136" s="11">
        <v>1300</v>
      </c>
      <c r="P136" s="11">
        <f>Table1[[#This Row],[Indent Qty]]*Table1[[#This Row],[
Rate ]]</f>
        <v>1300</v>
      </c>
      <c r="Q136" s="14">
        <f>Table1[[#This Row],[Indent Qty]]</f>
        <v>1</v>
      </c>
      <c r="R136" s="18">
        <f>Table1[[#This Row],[
Rate ]]*Table1[[#This Row],[Final Qty]]</f>
        <v>1300</v>
      </c>
      <c r="S136" s="14"/>
      <c r="T136" s="14">
        <v>0</v>
      </c>
      <c r="U136" s="14"/>
    </row>
    <row r="137" spans="2:22" x14ac:dyDescent="0.25">
      <c r="B137" t="s">
        <v>141</v>
      </c>
      <c r="D137" s="14" t="str">
        <f>VLOOKUP(Table1[[#This Row],[
Item Name ]],Rates!$A$2:$B$22,2,0)</f>
        <v>CF</v>
      </c>
      <c r="E137" t="s">
        <v>38</v>
      </c>
      <c r="F137">
        <v>10070077</v>
      </c>
      <c r="G137" t="str">
        <f>VLOOKUP(Table1[[#This Row],[
MPG Code  ]],[2]Master!$B:$G,6,0)</f>
        <v>Gomukh Bari chak Gogri</v>
      </c>
      <c r="H137" s="20" t="s">
        <v>112</v>
      </c>
      <c r="J137" t="str">
        <f>VLOOKUP(Table1[[#This Row],[
MPG Code  ]],[2]Master!$B:$N,13,0)</f>
        <v>Araria</v>
      </c>
      <c r="K137" t="s">
        <v>91</v>
      </c>
      <c r="L137" t="str">
        <f>CONCATENATE(Table1[[#This Row],[
MPG Code  ]],Table1[[#This Row],[
Farmer code  ]])</f>
        <v>100700770005</v>
      </c>
      <c r="M137" t="str">
        <f>VLOOKUP(Table1[[#This Row],[
MPG Code  ]],[2]Master!$B:$F,5,0)</f>
        <v>Direct</v>
      </c>
      <c r="N137" s="14">
        <v>1</v>
      </c>
      <c r="O137" s="11">
        <v>1300</v>
      </c>
      <c r="P137" s="11">
        <f>Table1[[#This Row],[Indent Qty]]*Table1[[#This Row],[
Rate ]]</f>
        <v>1300</v>
      </c>
      <c r="Q137" s="14">
        <f>Table1[[#This Row],[Indent Qty]]</f>
        <v>1</v>
      </c>
      <c r="R137" s="18">
        <f>Table1[[#This Row],[
Rate ]]*Table1[[#This Row],[Final Qty]]</f>
        <v>1300</v>
      </c>
      <c r="S137" s="14"/>
      <c r="T137" s="14">
        <v>0</v>
      </c>
      <c r="U137" s="14"/>
    </row>
    <row r="138" spans="2:22" x14ac:dyDescent="0.25">
      <c r="B138" t="s">
        <v>141</v>
      </c>
      <c r="D138" s="14" t="str">
        <f>VLOOKUP(Table1[[#This Row],[
Item Name ]],Rates!$A$2:$B$22,2,0)</f>
        <v>CF</v>
      </c>
      <c r="E138" t="s">
        <v>38</v>
      </c>
      <c r="F138">
        <v>10070063</v>
      </c>
      <c r="G138" t="str">
        <f>VLOOKUP(Table1[[#This Row],[
MPG Code  ]],[2]Master!$B:$G,6,0)</f>
        <v>Gomukh Bandehra Purbi</v>
      </c>
      <c r="H138" s="20" t="s">
        <v>113</v>
      </c>
      <c r="J138" t="str">
        <f>VLOOKUP(Table1[[#This Row],[
MPG Code  ]],[2]Master!$B:$N,13,0)</f>
        <v>Araria</v>
      </c>
      <c r="K138" t="s">
        <v>91</v>
      </c>
      <c r="L138" t="str">
        <f>CONCATENATE(Table1[[#This Row],[
MPG Code  ]],Table1[[#This Row],[
Farmer code  ]])</f>
        <v>100700630002</v>
      </c>
      <c r="M138" t="str">
        <f>VLOOKUP(Table1[[#This Row],[
MPG Code  ]],[2]Master!$B:$F,5,0)</f>
        <v>Direct</v>
      </c>
      <c r="N138" s="14">
        <v>10</v>
      </c>
      <c r="O138" s="11">
        <v>1300</v>
      </c>
      <c r="P138" s="11">
        <f>Table1[[#This Row],[Indent Qty]]*Table1[[#This Row],[
Rate ]]</f>
        <v>13000</v>
      </c>
      <c r="Q138" s="14">
        <f>Table1[[#This Row],[Indent Qty]]</f>
        <v>10</v>
      </c>
      <c r="R138" s="18">
        <f>Table1[[#This Row],[
Rate ]]*Table1[[#This Row],[Final Qty]]</f>
        <v>13000</v>
      </c>
      <c r="S138" s="14"/>
      <c r="T138" s="14">
        <v>0</v>
      </c>
      <c r="U138" s="14"/>
    </row>
    <row r="139" spans="2:22" x14ac:dyDescent="0.25">
      <c r="B139" t="s">
        <v>141</v>
      </c>
      <c r="D139" s="14" t="str">
        <f>VLOOKUP(Table1[[#This Row],[
Item Name ]],Rates!$A$2:$B$22,2,0)</f>
        <v>CF</v>
      </c>
      <c r="E139" t="s">
        <v>38</v>
      </c>
      <c r="F139">
        <v>10100003</v>
      </c>
      <c r="G139" t="str">
        <f>VLOOKUP(Table1[[#This Row],[
MPG Code  ]],[2]Master!$B:$G,6,0)</f>
        <v>Gomukh Madhawpur</v>
      </c>
      <c r="H139" s="20" t="s">
        <v>113</v>
      </c>
      <c r="J139" t="str">
        <f>VLOOKUP(Table1[[#This Row],[
MPG Code  ]],[2]Master!$B:$N,13,0)</f>
        <v>Parbatta</v>
      </c>
      <c r="K139" t="s">
        <v>91</v>
      </c>
      <c r="L139" t="str">
        <f>CONCATENATE(Table1[[#This Row],[
MPG Code  ]],Table1[[#This Row],[
Farmer code  ]])</f>
        <v>101000030002</v>
      </c>
      <c r="M139" t="str">
        <f>VLOOKUP(Table1[[#This Row],[
MPG Code  ]],[2]Master!$B:$F,5,0)</f>
        <v>Direct</v>
      </c>
      <c r="N139" s="14">
        <v>5</v>
      </c>
      <c r="O139" s="11">
        <v>1300</v>
      </c>
      <c r="P139" s="11">
        <f>Table1[[#This Row],[Indent Qty]]*Table1[[#This Row],[
Rate ]]</f>
        <v>6500</v>
      </c>
      <c r="Q139" s="14">
        <f>Table1[[#This Row],[Indent Qty]]</f>
        <v>5</v>
      </c>
      <c r="R139" s="18">
        <f>Table1[[#This Row],[
Rate ]]*Table1[[#This Row],[Final Qty]]</f>
        <v>6500</v>
      </c>
      <c r="S139" s="14"/>
      <c r="T139" s="14">
        <v>6500</v>
      </c>
      <c r="U139" s="14"/>
    </row>
    <row r="140" spans="2:22" x14ac:dyDescent="0.25">
      <c r="B140" t="s">
        <v>141</v>
      </c>
      <c r="D140" s="14" t="str">
        <f>VLOOKUP(Table1[[#This Row],[
Item Name ]],Rates!$A$2:$B$22,2,0)</f>
        <v>CF</v>
      </c>
      <c r="E140" t="s">
        <v>38</v>
      </c>
      <c r="F140">
        <v>10100003</v>
      </c>
      <c r="G140" t="str">
        <f>VLOOKUP(Table1[[#This Row],[
MPG Code  ]],[2]Master!$B:$G,6,0)</f>
        <v>Gomukh Madhawpur</v>
      </c>
      <c r="H140" s="20" t="s">
        <v>111</v>
      </c>
      <c r="J140" t="str">
        <f>VLOOKUP(Table1[[#This Row],[
MPG Code  ]],[2]Master!$B:$N,13,0)</f>
        <v>Parbatta</v>
      </c>
      <c r="K140" t="s">
        <v>91</v>
      </c>
      <c r="L140" t="str">
        <f>CONCATENATE(Table1[[#This Row],[
MPG Code  ]],Table1[[#This Row],[
Farmer code  ]])</f>
        <v>101000030003</v>
      </c>
      <c r="M140" t="str">
        <f>VLOOKUP(Table1[[#This Row],[
MPG Code  ]],[2]Master!$B:$F,5,0)</f>
        <v>Direct</v>
      </c>
      <c r="N140" s="14">
        <v>5</v>
      </c>
      <c r="O140" s="11">
        <v>1300</v>
      </c>
      <c r="P140" s="11">
        <f>Table1[[#This Row],[Indent Qty]]*Table1[[#This Row],[
Rate ]]</f>
        <v>6500</v>
      </c>
      <c r="Q140" s="14">
        <f>Table1[[#This Row],[Indent Qty]]</f>
        <v>5</v>
      </c>
      <c r="R140" s="18">
        <f>Table1[[#This Row],[
Rate ]]*Table1[[#This Row],[Final Qty]]</f>
        <v>6500</v>
      </c>
      <c r="S140" s="14"/>
      <c r="T140" s="14">
        <v>6500</v>
      </c>
      <c r="U140" s="14"/>
    </row>
    <row r="141" spans="2:22" x14ac:dyDescent="0.25">
      <c r="B141" t="s">
        <v>141</v>
      </c>
      <c r="D141" s="14" t="str">
        <f>VLOOKUP(Table1[[#This Row],[
Item Name ]],Rates!$A$2:$B$22,2,0)</f>
        <v>CF</v>
      </c>
      <c r="E141" t="s">
        <v>38</v>
      </c>
      <c r="F141">
        <v>10120025</v>
      </c>
      <c r="G141" t="str">
        <f>VLOOKUP(Table1[[#This Row],[
MPG Code  ]],[2]Master!$B:$G,6,0)</f>
        <v>Gomukh Tabhka</v>
      </c>
      <c r="H141" s="20" t="s">
        <v>113</v>
      </c>
      <c r="J141" t="str">
        <f>VLOOKUP(Table1[[#This Row],[
MPG Code  ]],[2]Master!$B:$N,13,0)</f>
        <v>DalsinghSarai</v>
      </c>
      <c r="K141" t="s">
        <v>91</v>
      </c>
      <c r="L141" t="str">
        <f>CONCATENATE(Table1[[#This Row],[
MPG Code  ]],Table1[[#This Row],[
Farmer code  ]])</f>
        <v>101200250002</v>
      </c>
      <c r="M141" t="str">
        <f>VLOOKUP(Table1[[#This Row],[
MPG Code  ]],[2]Master!$B:$F,5,0)</f>
        <v>Direct</v>
      </c>
      <c r="N141" s="14">
        <v>3</v>
      </c>
      <c r="O141" s="11">
        <f>VLOOKUP(Table1[[#This Row],[
Item Name ]],Rates!$A$2:$F$22,6,0)</f>
        <v>1350</v>
      </c>
      <c r="P141" s="11">
        <f>Table1[[#This Row],[Indent Qty]]*Table1[[#This Row],[
Rate ]]</f>
        <v>4050</v>
      </c>
      <c r="Q141" s="14">
        <f>Table1[[#This Row],[Indent Qty]]</f>
        <v>3</v>
      </c>
      <c r="R141" s="18">
        <f>Table1[[#This Row],[
Rate ]]*Table1[[#This Row],[Final Qty]]</f>
        <v>4050</v>
      </c>
      <c r="S141" s="14"/>
      <c r="T141" s="14">
        <v>4050</v>
      </c>
      <c r="U141" s="14"/>
      <c r="V141" s="14" t="s">
        <v>110</v>
      </c>
    </row>
    <row r="142" spans="2:22" x14ac:dyDescent="0.25">
      <c r="B142" t="s">
        <v>141</v>
      </c>
      <c r="D142" s="14" t="str">
        <f>VLOOKUP(Table1[[#This Row],[
Item Name ]],Rates!$A$2:$B$22,2,0)</f>
        <v>CF</v>
      </c>
      <c r="E142" t="s">
        <v>40</v>
      </c>
      <c r="F142">
        <v>10120052</v>
      </c>
      <c r="G142" t="str">
        <f>VLOOKUP(Table1[[#This Row],[
MPG Code  ]],[2]Master!$B:$G,6,0)</f>
        <v>Mordiba</v>
      </c>
      <c r="H142" s="20" t="s">
        <v>113</v>
      </c>
      <c r="J142" t="str">
        <f>VLOOKUP(Table1[[#This Row],[
MPG Code  ]],[2]Master!$B:$N,13,0)</f>
        <v>DalsinghSarai</v>
      </c>
      <c r="K142" t="s">
        <v>91</v>
      </c>
      <c r="L142" t="str">
        <f>CONCATENATE(Table1[[#This Row],[
MPG Code  ]],Table1[[#This Row],[
Farmer code  ]])</f>
        <v>101200520002</v>
      </c>
      <c r="M142" t="str">
        <f>VLOOKUP(Table1[[#This Row],[
MPG Code  ]],[2]Master!$B:$F,5,0)</f>
        <v>Direct</v>
      </c>
      <c r="N142" s="14">
        <v>2</v>
      </c>
      <c r="O142" s="11">
        <f>VLOOKUP(Table1[[#This Row],[
Item Name ]],Rates!$A$2:$F$22,6,0)</f>
        <v>1500</v>
      </c>
      <c r="P142" s="11">
        <f>Table1[[#This Row],[Indent Qty]]*Table1[[#This Row],[
Rate ]]</f>
        <v>3000</v>
      </c>
      <c r="Q142" s="14">
        <f>Table1[[#This Row],[Indent Qty]]</f>
        <v>2</v>
      </c>
      <c r="R142" s="18">
        <f>Table1[[#This Row],[
Rate ]]*Table1[[#This Row],[Final Qty]]</f>
        <v>3000</v>
      </c>
      <c r="S142" s="14"/>
      <c r="T142" s="14">
        <v>3000</v>
      </c>
      <c r="U142" s="14"/>
    </row>
    <row r="143" spans="2:22" x14ac:dyDescent="0.25">
      <c r="B143" t="s">
        <v>141</v>
      </c>
      <c r="D143" s="14" t="str">
        <f>VLOOKUP(Table1[[#This Row],[
Item Name ]],Rates!$A$2:$B$22,2,0)</f>
        <v>CF</v>
      </c>
      <c r="E143" t="s">
        <v>38</v>
      </c>
      <c r="F143">
        <v>10120052</v>
      </c>
      <c r="G143" t="str">
        <f>VLOOKUP(Table1[[#This Row],[
MPG Code  ]],[2]Master!$B:$G,6,0)</f>
        <v>Mordiba</v>
      </c>
      <c r="H143" s="20" t="s">
        <v>112</v>
      </c>
      <c r="J143" t="str">
        <f>VLOOKUP(Table1[[#This Row],[
MPG Code  ]],[2]Master!$B:$N,13,0)</f>
        <v>DalsinghSarai</v>
      </c>
      <c r="K143" t="s">
        <v>91</v>
      </c>
      <c r="L143" t="str">
        <f>CONCATENATE(Table1[[#This Row],[
MPG Code  ]],Table1[[#This Row],[
Farmer code  ]])</f>
        <v>101200520005</v>
      </c>
      <c r="M143" t="str">
        <f>VLOOKUP(Table1[[#This Row],[
MPG Code  ]],[2]Master!$B:$F,5,0)</f>
        <v>Direct</v>
      </c>
      <c r="N143" s="14">
        <v>1</v>
      </c>
      <c r="O143" s="11">
        <f>VLOOKUP(Table1[[#This Row],[
Item Name ]],Rates!$A$2:$F$22,6,0)</f>
        <v>1350</v>
      </c>
      <c r="P143" s="11">
        <f>Table1[[#This Row],[Indent Qty]]*Table1[[#This Row],[
Rate ]]</f>
        <v>1350</v>
      </c>
      <c r="Q143" s="14">
        <f>Table1[[#This Row],[Indent Qty]]</f>
        <v>1</v>
      </c>
      <c r="R143" s="18">
        <f>Table1[[#This Row],[
Rate ]]*Table1[[#This Row],[Final Qty]]</f>
        <v>1350</v>
      </c>
      <c r="S143" s="14"/>
      <c r="T143" s="14">
        <v>0</v>
      </c>
      <c r="U143" s="14"/>
    </row>
    <row r="144" spans="2:22" x14ac:dyDescent="0.25">
      <c r="B144" t="s">
        <v>141</v>
      </c>
      <c r="D144" s="14" t="str">
        <f>VLOOKUP(Table1[[#This Row],[
Item Name ]],Rates!$A$2:$B$22,2,0)</f>
        <v>CF</v>
      </c>
      <c r="E144" t="s">
        <v>38</v>
      </c>
      <c r="F144">
        <v>10120104</v>
      </c>
      <c r="G144" t="str">
        <f>VLOOKUP(Table1[[#This Row],[
MPG Code  ]],[2]Master!$B:$G,6,0)</f>
        <v>Gomukh Mordiwa East</v>
      </c>
      <c r="H144" s="20" t="s">
        <v>113</v>
      </c>
      <c r="J144" t="str">
        <f>VLOOKUP(Table1[[#This Row],[
MPG Code  ]],[2]Master!$B:$N,13,0)</f>
        <v>DalsinghSarai</v>
      </c>
      <c r="K144" t="s">
        <v>91</v>
      </c>
      <c r="L144" t="str">
        <f>CONCATENATE(Table1[[#This Row],[
MPG Code  ]],Table1[[#This Row],[
Farmer code  ]])</f>
        <v>101201040002</v>
      </c>
      <c r="M144" t="str">
        <f>VLOOKUP(Table1[[#This Row],[
MPG Code  ]],[2]Master!$B:$F,5,0)</f>
        <v>Direct</v>
      </c>
      <c r="N144" s="14">
        <v>1</v>
      </c>
      <c r="O144" s="11">
        <f>VLOOKUP(Table1[[#This Row],[
Item Name ]],Rates!$A$2:$F$22,6,0)</f>
        <v>1350</v>
      </c>
      <c r="P144" s="11">
        <f>Table1[[#This Row],[Indent Qty]]*Table1[[#This Row],[
Rate ]]</f>
        <v>1350</v>
      </c>
      <c r="Q144" s="14">
        <f>Table1[[#This Row],[Indent Qty]]</f>
        <v>1</v>
      </c>
      <c r="R144" s="18">
        <f>Table1[[#This Row],[
Rate ]]*Table1[[#This Row],[Final Qty]]</f>
        <v>1350</v>
      </c>
      <c r="S144" s="14"/>
      <c r="T144" s="14">
        <v>1350</v>
      </c>
      <c r="U144" s="14"/>
    </row>
    <row r="145" spans="2:21" x14ac:dyDescent="0.25">
      <c r="B145" t="s">
        <v>141</v>
      </c>
      <c r="D145" s="14" t="str">
        <f>VLOOKUP(Table1[[#This Row],[
Item Name ]],Rates!$A$2:$B$22,2,0)</f>
        <v>CF</v>
      </c>
      <c r="E145" t="s">
        <v>38</v>
      </c>
      <c r="F145">
        <v>10120089</v>
      </c>
      <c r="G145" t="str">
        <f>VLOOKUP(Table1[[#This Row],[
MPG Code  ]],[2]Master!$B:$G,6,0)</f>
        <v>Gomukh Jhaura Tabhka</v>
      </c>
      <c r="H145" s="20" t="s">
        <v>113</v>
      </c>
      <c r="J145" t="str">
        <f>VLOOKUP(Table1[[#This Row],[
MPG Code  ]],[2]Master!$B:$N,13,0)</f>
        <v>DalsinghSarai</v>
      </c>
      <c r="K145" t="s">
        <v>91</v>
      </c>
      <c r="L145" t="str">
        <f>CONCATENATE(Table1[[#This Row],[
MPG Code  ]],Table1[[#This Row],[
Farmer code  ]])</f>
        <v>101200890002</v>
      </c>
      <c r="M145" t="str">
        <f>VLOOKUP(Table1[[#This Row],[
MPG Code  ]],[2]Master!$B:$F,5,0)</f>
        <v>Direct</v>
      </c>
      <c r="N145" s="14">
        <v>2</v>
      </c>
      <c r="O145" s="11">
        <f>VLOOKUP(Table1[[#This Row],[
Item Name ]],Rates!$A$2:$F$22,6,0)</f>
        <v>1350</v>
      </c>
      <c r="P145" s="11">
        <f>Table1[[#This Row],[Indent Qty]]*Table1[[#This Row],[
Rate ]]</f>
        <v>2700</v>
      </c>
      <c r="Q145" s="14">
        <f>Table1[[#This Row],[Indent Qty]]</f>
        <v>2</v>
      </c>
      <c r="R145" s="18">
        <f>Table1[[#This Row],[
Rate ]]*Table1[[#This Row],[Final Qty]]</f>
        <v>2700</v>
      </c>
      <c r="S145" s="14"/>
      <c r="T145" s="14">
        <v>2700</v>
      </c>
      <c r="U145" s="14"/>
    </row>
    <row r="146" spans="2:21" x14ac:dyDescent="0.25">
      <c r="B146" t="s">
        <v>141</v>
      </c>
      <c r="D146" s="14" t="str">
        <f>VLOOKUP(Table1[[#This Row],[
Item Name ]],Rates!$A$2:$B$22,2,0)</f>
        <v>CF</v>
      </c>
      <c r="E146" t="s">
        <v>38</v>
      </c>
      <c r="F146">
        <v>10120012</v>
      </c>
      <c r="G146" t="str">
        <f>VLOOKUP(Table1[[#This Row],[
MPG Code  ]],[2]Master!$B:$G,6,0)</f>
        <v>Sato Ghachchhi</v>
      </c>
      <c r="H146" s="20" t="s">
        <v>114</v>
      </c>
      <c r="J146" t="str">
        <f>VLOOKUP(Table1[[#This Row],[
MPG Code  ]],[2]Master!$B:$N,13,0)</f>
        <v>DalsinghSarai</v>
      </c>
      <c r="K146" t="s">
        <v>91</v>
      </c>
      <c r="L146" t="str">
        <f>CONCATENATE(Table1[[#This Row],[
MPG Code  ]],Table1[[#This Row],[
Farmer code  ]])</f>
        <v>101200120026</v>
      </c>
      <c r="M146" t="str">
        <f>VLOOKUP(Table1[[#This Row],[
MPG Code  ]],[2]Master!$B:$F,5,0)</f>
        <v>Direct</v>
      </c>
      <c r="N146" s="14">
        <v>0</v>
      </c>
      <c r="O146" s="11">
        <v>0</v>
      </c>
      <c r="P146" s="11">
        <v>460</v>
      </c>
      <c r="Q146" s="14">
        <f>Table1[[#This Row],[Indent Qty]]</f>
        <v>0</v>
      </c>
      <c r="R146" s="18">
        <v>460</v>
      </c>
      <c r="S146" s="14"/>
      <c r="T146" s="14">
        <v>460</v>
      </c>
      <c r="U146" s="14"/>
    </row>
    <row r="147" spans="2:21" x14ac:dyDescent="0.25">
      <c r="B147" t="s">
        <v>141</v>
      </c>
      <c r="D147" s="14" t="str">
        <f>VLOOKUP(Table1[[#This Row],[
Item Name ]],Rates!$A$2:$B$22,2,0)</f>
        <v>CF</v>
      </c>
      <c r="E147" t="s">
        <v>38</v>
      </c>
      <c r="F147">
        <v>10120012</v>
      </c>
      <c r="G147" t="str">
        <f>VLOOKUP(Table1[[#This Row],[
MPG Code  ]],[2]Master!$B:$G,6,0)</f>
        <v>Sato Ghachchhi</v>
      </c>
      <c r="H147" s="20" t="s">
        <v>111</v>
      </c>
      <c r="J147" t="str">
        <f>VLOOKUP(Table1[[#This Row],[
MPG Code  ]],[2]Master!$B:$N,13,0)</f>
        <v>DalsinghSarai</v>
      </c>
      <c r="K147" t="s">
        <v>91</v>
      </c>
      <c r="L147" t="str">
        <f>CONCATENATE(Table1[[#This Row],[
MPG Code  ]],Table1[[#This Row],[
Farmer code  ]])</f>
        <v>101200120003</v>
      </c>
      <c r="M147" t="str">
        <f>VLOOKUP(Table1[[#This Row],[
MPG Code  ]],[2]Master!$B:$F,5,0)</f>
        <v>Direct</v>
      </c>
      <c r="N147" s="14">
        <v>0</v>
      </c>
      <c r="O147" s="11">
        <v>0</v>
      </c>
      <c r="P147" s="11">
        <v>900</v>
      </c>
      <c r="Q147" s="14">
        <f>Table1[[#This Row],[Indent Qty]]</f>
        <v>0</v>
      </c>
      <c r="R147" s="18">
        <v>900</v>
      </c>
      <c r="S147" s="14"/>
      <c r="T147" s="14">
        <v>900</v>
      </c>
      <c r="U147" s="14"/>
    </row>
    <row r="148" spans="2:21" x14ac:dyDescent="0.25">
      <c r="B148" t="s">
        <v>141</v>
      </c>
      <c r="D148" s="14" t="str">
        <f>VLOOKUP(Table1[[#This Row],[
Item Name ]],Rates!$A$2:$B$22,2,0)</f>
        <v>CF</v>
      </c>
      <c r="E148" t="s">
        <v>38</v>
      </c>
      <c r="F148">
        <v>10120015</v>
      </c>
      <c r="G148" t="str">
        <f>VLOOKUP(Table1[[#This Row],[
MPG Code  ]],[2]Master!$B:$G,6,0)</f>
        <v>Rasalpur</v>
      </c>
      <c r="H148" s="20" t="s">
        <v>113</v>
      </c>
      <c r="J148" t="str">
        <f>VLOOKUP(Table1[[#This Row],[
MPG Code  ]],[2]Master!$B:$N,13,0)</f>
        <v>DalsinghSarai</v>
      </c>
      <c r="K148" t="s">
        <v>91</v>
      </c>
      <c r="L148" t="str">
        <f>CONCATENATE(Table1[[#This Row],[
MPG Code  ]],Table1[[#This Row],[
Farmer code  ]])</f>
        <v>101200150002</v>
      </c>
      <c r="M148" t="str">
        <f>VLOOKUP(Table1[[#This Row],[
MPG Code  ]],[2]Master!$B:$F,5,0)</f>
        <v>Direct</v>
      </c>
      <c r="N148" s="14">
        <v>1</v>
      </c>
      <c r="O148" s="11">
        <f>VLOOKUP(Table1[[#This Row],[
Item Name ]],Rates!$A$2:$F$22,6,0)</f>
        <v>1350</v>
      </c>
      <c r="P148" s="11">
        <f>Table1[[#This Row],[Indent Qty]]*Table1[[#This Row],[
Rate ]]</f>
        <v>1350</v>
      </c>
      <c r="Q148" s="14">
        <f>Table1[[#This Row],[Indent Qty]]</f>
        <v>1</v>
      </c>
      <c r="R148" s="18">
        <f>Table1[[#This Row],[
Rate ]]*Table1[[#This Row],[Final Qty]]</f>
        <v>1350</v>
      </c>
      <c r="S148" s="14"/>
      <c r="T148" s="14">
        <v>1350</v>
      </c>
      <c r="U148" s="14"/>
    </row>
    <row r="149" spans="2:21" x14ac:dyDescent="0.25">
      <c r="B149" t="s">
        <v>141</v>
      </c>
      <c r="D149" s="14" t="str">
        <f>VLOOKUP(Table1[[#This Row],[
Item Name ]],Rates!$A$2:$B$22,2,0)</f>
        <v>CF</v>
      </c>
      <c r="E149" t="s">
        <v>38</v>
      </c>
      <c r="F149">
        <v>10110144</v>
      </c>
      <c r="G149" t="str">
        <f>VLOOKUP(Table1[[#This Row],[
MPG Code  ]],[2]Master!$B:$G,6,0)</f>
        <v>GOMUKH BEHORBA</v>
      </c>
      <c r="H149" s="20" t="s">
        <v>113</v>
      </c>
      <c r="J149" t="s">
        <v>171</v>
      </c>
      <c r="K149" t="s">
        <v>91</v>
      </c>
      <c r="L149" t="str">
        <f>CONCATENATE(Table1[[#This Row],[
MPG Code  ]],Table1[[#This Row],[
Farmer code  ]])</f>
        <v>101101440002</v>
      </c>
      <c r="M149" t="str">
        <f>VLOOKUP(Table1[[#This Row],[
MPG Code  ]],[2]Master!$B:$F,5,0)</f>
        <v>Direct</v>
      </c>
      <c r="N149" s="14">
        <v>0</v>
      </c>
      <c r="O149" s="11">
        <v>0</v>
      </c>
      <c r="P149" s="11">
        <v>14434</v>
      </c>
      <c r="Q149" s="14">
        <f>Table1[[#This Row],[Indent Qty]]</f>
        <v>0</v>
      </c>
      <c r="R149" s="18">
        <v>14434</v>
      </c>
      <c r="S149" s="14"/>
      <c r="T149" s="14">
        <v>14036</v>
      </c>
      <c r="U149" s="14"/>
    </row>
    <row r="150" spans="2:21" x14ac:dyDescent="0.25">
      <c r="B150" t="s">
        <v>141</v>
      </c>
      <c r="D150" s="14" t="str">
        <f>VLOOKUP(Table1[[#This Row],[
Item Name ]],Rates!$A$2:$B$22,2,0)</f>
        <v>CF</v>
      </c>
      <c r="E150" t="s">
        <v>38</v>
      </c>
      <c r="F150">
        <v>10540008</v>
      </c>
      <c r="G150" t="str">
        <f>VLOOKUP(Table1[[#This Row],[
MPG Code  ]],[2]Master!$B:$G,6,0)</f>
        <v>GOMUKH PARRI</v>
      </c>
      <c r="H150" s="20" t="s">
        <v>139</v>
      </c>
      <c r="J150" t="str">
        <f>VLOOKUP(Table1[[#This Row],[
MPG Code  ]],[2]Master!$B:$N,13,0)</f>
        <v>Aluali</v>
      </c>
      <c r="K150" t="s">
        <v>91</v>
      </c>
      <c r="L150" t="str">
        <f>CONCATENATE(Table1[[#This Row],[
MPG Code  ]],Table1[[#This Row],[
Farmer code  ]])</f>
        <v>105400080035</v>
      </c>
      <c r="M150" t="str">
        <f>VLOOKUP(Table1[[#This Row],[
MPG Code  ]],[2]Master!$B:$F,5,0)</f>
        <v>Direct</v>
      </c>
      <c r="N150" s="14">
        <v>1</v>
      </c>
      <c r="O150" s="11">
        <f>VLOOKUP(Table1[[#This Row],[
Item Name ]],Rates!$A$2:$F$22,6,0)</f>
        <v>1350</v>
      </c>
      <c r="P150" s="11">
        <f>Table1[[#This Row],[Indent Qty]]*Table1[[#This Row],[
Rate ]]</f>
        <v>1350</v>
      </c>
      <c r="Q150" s="14">
        <f>Table1[[#This Row],[Indent Qty]]</f>
        <v>1</v>
      </c>
      <c r="R150" s="18">
        <f>Table1[[#This Row],[
Rate ]]*Table1[[#This Row],[Final Qty]]</f>
        <v>1350</v>
      </c>
      <c r="S150" s="14"/>
      <c r="T150" s="14">
        <v>0</v>
      </c>
      <c r="U150" s="14"/>
    </row>
    <row r="151" spans="2:21" x14ac:dyDescent="0.25">
      <c r="B151" t="s">
        <v>141</v>
      </c>
      <c r="D151" s="14" t="str">
        <f>VLOOKUP(Table1[[#This Row],[
Item Name ]],Rates!$A$2:$B$22,2,0)</f>
        <v>CF</v>
      </c>
      <c r="E151" t="s">
        <v>38</v>
      </c>
      <c r="F151">
        <v>10540008</v>
      </c>
      <c r="G151" t="str">
        <f>VLOOKUP(Table1[[#This Row],[
MPG Code  ]],[2]Master!$B:$G,6,0)</f>
        <v>GOMUKH PARRI</v>
      </c>
      <c r="H151" s="20" t="s">
        <v>121</v>
      </c>
      <c r="J151" t="str">
        <f>VLOOKUP(Table1[[#This Row],[
MPG Code  ]],[2]Master!$B:$N,13,0)</f>
        <v>Aluali</v>
      </c>
      <c r="K151" t="s">
        <v>91</v>
      </c>
      <c r="L151" t="str">
        <f>CONCATENATE(Table1[[#This Row],[
MPG Code  ]],Table1[[#This Row],[
Farmer code  ]])</f>
        <v>105400080010</v>
      </c>
      <c r="M151" t="str">
        <f>VLOOKUP(Table1[[#This Row],[
MPG Code  ]],[2]Master!$B:$F,5,0)</f>
        <v>Direct</v>
      </c>
      <c r="N151" s="14">
        <v>1</v>
      </c>
      <c r="O151" s="11">
        <f>VLOOKUP(Table1[[#This Row],[
Item Name ]],Rates!$A$2:$F$22,6,0)</f>
        <v>1350</v>
      </c>
      <c r="P151" s="11">
        <f>Table1[[#This Row],[Indent Qty]]*Table1[[#This Row],[
Rate ]]</f>
        <v>1350</v>
      </c>
      <c r="Q151" s="14">
        <f>Table1[[#This Row],[Indent Qty]]</f>
        <v>1</v>
      </c>
      <c r="R151" s="18">
        <f>Table1[[#This Row],[
Rate ]]*Table1[[#This Row],[Final Qty]]</f>
        <v>1350</v>
      </c>
      <c r="S151" s="14"/>
      <c r="T151" s="14">
        <v>1350</v>
      </c>
      <c r="U151" s="14"/>
    </row>
    <row r="152" spans="2:21" x14ac:dyDescent="0.25">
      <c r="B152" t="s">
        <v>141</v>
      </c>
      <c r="D152" s="14" t="str">
        <f>VLOOKUP(Table1[[#This Row],[
Item Name ]],Rates!$A$2:$B$22,2,0)</f>
        <v>CF</v>
      </c>
      <c r="E152" t="s">
        <v>38</v>
      </c>
      <c r="F152">
        <v>10110140</v>
      </c>
      <c r="G152" t="str">
        <f>VLOOKUP(Table1[[#This Row],[
MPG Code  ]],[2]Master!$B:$G,6,0)</f>
        <v>GOMUKH GHAMARIYA</v>
      </c>
      <c r="H152" s="20" t="s">
        <v>113</v>
      </c>
      <c r="J152" t="s">
        <v>171</v>
      </c>
      <c r="K152" t="s">
        <v>91</v>
      </c>
      <c r="L152" t="str">
        <f>CONCATENATE(Table1[[#This Row],[
MPG Code  ]],Table1[[#This Row],[
Farmer code  ]])</f>
        <v>101101400002</v>
      </c>
      <c r="M152" t="str">
        <f>VLOOKUP(Table1[[#This Row],[
MPG Code  ]],[2]Master!$B:$F,5,0)</f>
        <v>Direct</v>
      </c>
      <c r="N152" s="14">
        <v>0</v>
      </c>
      <c r="O152" s="11">
        <v>0</v>
      </c>
      <c r="P152" s="11">
        <v>3255</v>
      </c>
      <c r="Q152" s="14">
        <f>Table1[[#This Row],[Indent Qty]]</f>
        <v>0</v>
      </c>
      <c r="R152" s="18">
        <v>3255</v>
      </c>
      <c r="S152" s="14"/>
      <c r="T152" s="14">
        <v>641</v>
      </c>
      <c r="U152" s="14"/>
    </row>
    <row r="153" spans="2:21" x14ac:dyDescent="0.25">
      <c r="B153" t="s">
        <v>141</v>
      </c>
      <c r="D153" s="14" t="str">
        <f>VLOOKUP(Table1[[#This Row],[
Item Name ]],Rates!$A$2:$B$22,2,0)</f>
        <v>CF</v>
      </c>
      <c r="E153" t="s">
        <v>38</v>
      </c>
      <c r="F153">
        <v>10110149</v>
      </c>
      <c r="G153" t="str">
        <f>VLOOKUP(Table1[[#This Row],[
MPG Code  ]],[2]Master!$B:$G,6,0)</f>
        <v>GOMUKH PHULTAURA</v>
      </c>
      <c r="H153" s="20" t="s">
        <v>113</v>
      </c>
      <c r="J153" t="s">
        <v>171</v>
      </c>
      <c r="K153" t="s">
        <v>91</v>
      </c>
      <c r="L153" t="str">
        <f>CONCATENATE(Table1[[#This Row],[
MPG Code  ]],Table1[[#This Row],[
Farmer code  ]])</f>
        <v>101101490002</v>
      </c>
      <c r="M153" t="str">
        <f>VLOOKUP(Table1[[#This Row],[
MPG Code  ]],[2]Master!$B:$F,5,0)</f>
        <v>Direct</v>
      </c>
      <c r="N153" s="14">
        <v>0</v>
      </c>
      <c r="O153" s="11">
        <v>0</v>
      </c>
      <c r="P153" s="11">
        <v>1857</v>
      </c>
      <c r="Q153" s="14">
        <f>Table1[[#This Row],[Indent Qty]]</f>
        <v>0</v>
      </c>
      <c r="R153" s="18">
        <v>1857</v>
      </c>
      <c r="S153" s="14"/>
      <c r="T153" s="14">
        <v>1596</v>
      </c>
      <c r="U153" s="14"/>
    </row>
    <row r="154" spans="2:21" x14ac:dyDescent="0.25">
      <c r="B154" t="s">
        <v>141</v>
      </c>
      <c r="D154" s="14" t="str">
        <f>VLOOKUP(Table1[[#This Row],[
Item Name ]],Rates!$A$2:$B$22,2,0)</f>
        <v>CF</v>
      </c>
      <c r="E154" t="s">
        <v>38</v>
      </c>
      <c r="F154">
        <v>10110100</v>
      </c>
      <c r="G154" t="str">
        <f>VLOOKUP(Table1[[#This Row],[
MPG Code  ]],[2]Master!$B:$G,6,0)</f>
        <v>GOMUKH BATHNAMA</v>
      </c>
      <c r="H154" s="20" t="s">
        <v>112</v>
      </c>
      <c r="J154" t="s">
        <v>171</v>
      </c>
      <c r="K154" t="s">
        <v>91</v>
      </c>
      <c r="L154" t="str">
        <f>CONCATENATE(Table1[[#This Row],[
MPG Code  ]],Table1[[#This Row],[
Farmer code  ]])</f>
        <v>101101000005</v>
      </c>
      <c r="M154" t="str">
        <f>VLOOKUP(Table1[[#This Row],[
MPG Code  ]],[2]Master!$B:$F,5,0)</f>
        <v>Direct</v>
      </c>
      <c r="N154" s="14">
        <v>0</v>
      </c>
      <c r="O154" s="11">
        <v>0</v>
      </c>
      <c r="P154" s="11">
        <v>1352</v>
      </c>
      <c r="Q154" s="14">
        <f>Table1[[#This Row],[Indent Qty]]</f>
        <v>0</v>
      </c>
      <c r="R154" s="11">
        <v>1352</v>
      </c>
      <c r="S154" s="14"/>
      <c r="T154" s="14">
        <v>1352</v>
      </c>
      <c r="U154" s="14"/>
    </row>
    <row r="155" spans="2:21" x14ac:dyDescent="0.25">
      <c r="B155" t="s">
        <v>141</v>
      </c>
      <c r="D155" s="14" t="str">
        <f>VLOOKUP(Table1[[#This Row],[
Item Name ]],Rates!$A$2:$B$22,2,0)</f>
        <v>CF</v>
      </c>
      <c r="E155" t="s">
        <v>38</v>
      </c>
      <c r="F155">
        <v>10110100</v>
      </c>
      <c r="G155" t="str">
        <f>VLOOKUP(Table1[[#This Row],[
MPG Code  ]],[2]Master!$B:$G,6,0)</f>
        <v>GOMUKH BATHNAMA</v>
      </c>
      <c r="H155" s="20" t="s">
        <v>111</v>
      </c>
      <c r="J155" t="s">
        <v>171</v>
      </c>
      <c r="K155" t="s">
        <v>91</v>
      </c>
      <c r="L155" t="str">
        <f>CONCATENATE(Table1[[#This Row],[
MPG Code  ]],Table1[[#This Row],[
Farmer code  ]])</f>
        <v>101101000003</v>
      </c>
      <c r="M155" t="str">
        <f>VLOOKUP(Table1[[#This Row],[
MPG Code  ]],[2]Master!$B:$F,5,0)</f>
        <v>Direct</v>
      </c>
      <c r="N155" s="14">
        <v>0</v>
      </c>
      <c r="O155" s="11">
        <v>0</v>
      </c>
      <c r="P155" s="11">
        <v>1250</v>
      </c>
      <c r="Q155" s="14">
        <f>Table1[[#This Row],[Indent Qty]]</f>
        <v>0</v>
      </c>
      <c r="R155" s="11">
        <v>1250</v>
      </c>
      <c r="S155" s="14"/>
      <c r="T155" s="14">
        <v>609</v>
      </c>
      <c r="U155" s="14"/>
    </row>
    <row r="156" spans="2:21" x14ac:dyDescent="0.25">
      <c r="B156" t="s">
        <v>141</v>
      </c>
      <c r="D156" s="14" t="str">
        <f>VLOOKUP(Table1[[#This Row],[
Item Name ]],Rates!$A$2:$B$22,2,0)</f>
        <v>CF</v>
      </c>
      <c r="E156" t="s">
        <v>38</v>
      </c>
      <c r="F156">
        <v>10110100</v>
      </c>
      <c r="G156" t="str">
        <f>VLOOKUP(Table1[[#This Row],[
MPG Code  ]],[2]Master!$B:$G,6,0)</f>
        <v>GOMUKH BATHNAMA</v>
      </c>
      <c r="H156" s="20" t="s">
        <v>170</v>
      </c>
      <c r="J156" t="s">
        <v>171</v>
      </c>
      <c r="K156" t="s">
        <v>91</v>
      </c>
      <c r="L156" t="str">
        <f>CONCATENATE(Table1[[#This Row],[
MPG Code  ]],Table1[[#This Row],[
Farmer code  ]])</f>
        <v>101101000031</v>
      </c>
      <c r="M156" t="str">
        <f>VLOOKUP(Table1[[#This Row],[
MPG Code  ]],[2]Master!$B:$F,5,0)</f>
        <v>Direct</v>
      </c>
      <c r="N156" s="14">
        <v>0</v>
      </c>
      <c r="O156" s="11">
        <v>0</v>
      </c>
      <c r="P156" s="11">
        <v>1233</v>
      </c>
      <c r="Q156" s="14">
        <f>Table1[[#This Row],[Indent Qty]]</f>
        <v>0</v>
      </c>
      <c r="R156" s="11">
        <v>1233</v>
      </c>
      <c r="S156" s="14"/>
      <c r="T156" s="14">
        <v>1233</v>
      </c>
      <c r="U156" s="14"/>
    </row>
    <row r="157" spans="2:21" x14ac:dyDescent="0.25">
      <c r="B157" t="s">
        <v>141</v>
      </c>
      <c r="D157" s="14" t="str">
        <f>VLOOKUP(Table1[[#This Row],[
Item Name ]],Rates!$A$2:$B$22,2,0)</f>
        <v>CF</v>
      </c>
      <c r="E157" t="s">
        <v>38</v>
      </c>
      <c r="F157">
        <v>10110100</v>
      </c>
      <c r="G157" t="str">
        <f>VLOOKUP(Table1[[#This Row],[
MPG Code  ]],[2]Master!$B:$G,6,0)</f>
        <v>GOMUKH BATHNAMA</v>
      </c>
      <c r="H157" s="20" t="s">
        <v>118</v>
      </c>
      <c r="J157" t="s">
        <v>171</v>
      </c>
      <c r="K157" t="s">
        <v>91</v>
      </c>
      <c r="L157" t="str">
        <f>CONCATENATE(Table1[[#This Row],[
MPG Code  ]],Table1[[#This Row],[
Farmer code  ]])</f>
        <v>101101000006</v>
      </c>
      <c r="M157" t="str">
        <f>VLOOKUP(Table1[[#This Row],[
MPG Code  ]],[2]Master!$B:$F,5,0)</f>
        <v>Direct</v>
      </c>
      <c r="N157" s="14">
        <v>0</v>
      </c>
      <c r="O157" s="11">
        <v>0</v>
      </c>
      <c r="P157" s="11">
        <v>1200</v>
      </c>
      <c r="Q157" s="14">
        <f>Table1[[#This Row],[Indent Qty]]</f>
        <v>0</v>
      </c>
      <c r="R157" s="11">
        <v>1200</v>
      </c>
      <c r="S157" s="14"/>
      <c r="T157" s="14">
        <v>1200</v>
      </c>
      <c r="U157" s="14"/>
    </row>
    <row r="158" spans="2:21" x14ac:dyDescent="0.25">
      <c r="B158" t="s">
        <v>141</v>
      </c>
      <c r="D158" s="14" t="str">
        <f>VLOOKUP(Table1[[#This Row],[
Item Name ]],Rates!$A$2:$B$22,2,0)</f>
        <v>CF</v>
      </c>
      <c r="E158" t="s">
        <v>38</v>
      </c>
      <c r="F158">
        <v>10080048</v>
      </c>
      <c r="G158" t="str">
        <f>VLOOKUP(Table1[[#This Row],[
MPG Code  ]],[2]Master!$B:$G,6,0)</f>
        <v>GOMUKH RANI 3</v>
      </c>
      <c r="H158" s="20" t="s">
        <v>157</v>
      </c>
      <c r="J158" t="str">
        <f>VLOOKUP(Table1[[#This Row],[
MPG Code  ]],[2]Master!$B:$N,13,0)</f>
        <v>Teghra</v>
      </c>
      <c r="K158" t="s">
        <v>91</v>
      </c>
      <c r="L158" t="str">
        <f>CONCATENATE(Table1[[#This Row],[
MPG Code  ]],Table1[[#This Row],[
Farmer code  ]])</f>
        <v>100800480017</v>
      </c>
      <c r="M158" t="str">
        <f>VLOOKUP(Table1[[#This Row],[
MPG Code  ]],[2]Master!$B:$F,5,0)</f>
        <v>Direct</v>
      </c>
      <c r="N158" s="14">
        <v>2</v>
      </c>
      <c r="O158" s="11">
        <v>1300</v>
      </c>
      <c r="P158" s="11">
        <f>Table1[[#This Row],[Indent Qty]]*Table1[[#This Row],[
Rate ]]</f>
        <v>2600</v>
      </c>
      <c r="Q158" s="14">
        <f>Table1[[#This Row],[Indent Qty]]</f>
        <v>2</v>
      </c>
      <c r="R158" s="18">
        <f>Table1[[#This Row],[
Rate ]]*Table1[[#This Row],[Final Qty]]</f>
        <v>2600</v>
      </c>
      <c r="S158" s="14"/>
      <c r="T158" s="14">
        <v>2600</v>
      </c>
      <c r="U158" s="14"/>
    </row>
    <row r="159" spans="2:21" x14ac:dyDescent="0.25">
      <c r="B159" t="s">
        <v>141</v>
      </c>
      <c r="D159" s="14" t="str">
        <f>VLOOKUP(Table1[[#This Row],[
Item Name ]],Rates!$A$2:$B$22,2,0)</f>
        <v>CF</v>
      </c>
      <c r="E159" t="s">
        <v>38</v>
      </c>
      <c r="F159">
        <v>10080016</v>
      </c>
      <c r="G159" t="str">
        <f>VLOOKUP(Table1[[#This Row],[
MPG Code  ]],[2]Master!$B:$G,6,0)</f>
        <v>GomukhGehuni</v>
      </c>
      <c r="H159" s="20" t="s">
        <v>113</v>
      </c>
      <c r="J159" t="str">
        <f>VLOOKUP(Table1[[#This Row],[
MPG Code  ]],[2]Master!$B:$N,13,0)</f>
        <v>Teghra</v>
      </c>
      <c r="K159" t="s">
        <v>91</v>
      </c>
      <c r="L159" t="str">
        <f>CONCATENATE(Table1[[#This Row],[
MPG Code  ]],Table1[[#This Row],[
Farmer code  ]])</f>
        <v>100800160002</v>
      </c>
      <c r="M159" t="str">
        <f>VLOOKUP(Table1[[#This Row],[
MPG Code  ]],[2]Master!$B:$F,5,0)</f>
        <v>Direct</v>
      </c>
      <c r="N159" s="14">
        <v>2</v>
      </c>
      <c r="O159" s="11">
        <v>1300</v>
      </c>
      <c r="P159" s="11">
        <f>Table1[[#This Row],[Indent Qty]]*Table1[[#This Row],[
Rate ]]</f>
        <v>2600</v>
      </c>
      <c r="Q159" s="14">
        <f>Table1[[#This Row],[Indent Qty]]</f>
        <v>2</v>
      </c>
      <c r="R159" s="18">
        <f>Table1[[#This Row],[
Rate ]]*Table1[[#This Row],[Final Qty]]</f>
        <v>2600</v>
      </c>
      <c r="S159" s="14"/>
      <c r="T159" s="14">
        <v>404</v>
      </c>
      <c r="U159" s="14"/>
    </row>
    <row r="160" spans="2:21" x14ac:dyDescent="0.25">
      <c r="B160" t="s">
        <v>141</v>
      </c>
      <c r="D160" s="14" t="str">
        <f>VLOOKUP(Table1[[#This Row],[
Item Name ]],Rates!$A$2:$B$22,2,0)</f>
        <v>CF</v>
      </c>
      <c r="E160" t="s">
        <v>38</v>
      </c>
      <c r="F160">
        <v>10080016</v>
      </c>
      <c r="G160" t="str">
        <f>VLOOKUP(Table1[[#This Row],[
MPG Code  ]],[2]Master!$B:$G,6,0)</f>
        <v>GomukhGehuni</v>
      </c>
      <c r="H160" s="20" t="s">
        <v>154</v>
      </c>
      <c r="J160" t="str">
        <f>VLOOKUP(Table1[[#This Row],[
MPG Code  ]],[2]Master!$B:$N,13,0)</f>
        <v>Teghra</v>
      </c>
      <c r="K160" t="s">
        <v>91</v>
      </c>
      <c r="L160" t="str">
        <f>CONCATENATE(Table1[[#This Row],[
MPG Code  ]],Table1[[#This Row],[
Farmer code  ]])</f>
        <v>100800160018</v>
      </c>
      <c r="M160" t="str">
        <f>VLOOKUP(Table1[[#This Row],[
MPG Code  ]],[2]Master!$B:$F,5,0)</f>
        <v>Direct</v>
      </c>
      <c r="N160" s="14">
        <v>2</v>
      </c>
      <c r="O160" s="11">
        <v>1300</v>
      </c>
      <c r="P160" s="11">
        <f>Table1[[#This Row],[Indent Qty]]*Table1[[#This Row],[
Rate ]]</f>
        <v>2600</v>
      </c>
      <c r="Q160" s="14">
        <f>Table1[[#This Row],[Indent Qty]]</f>
        <v>2</v>
      </c>
      <c r="R160" s="18">
        <f>Table1[[#This Row],[
Rate ]]*Table1[[#This Row],[Final Qty]]</f>
        <v>2600</v>
      </c>
      <c r="S160" s="14"/>
      <c r="T160" s="14">
        <v>2025</v>
      </c>
      <c r="U160" s="14"/>
    </row>
    <row r="161" spans="2:22" x14ac:dyDescent="0.25">
      <c r="B161" t="s">
        <v>141</v>
      </c>
      <c r="D161" s="14" t="str">
        <f>VLOOKUP(Table1[[#This Row],[
Item Name ]],Rates!$A$2:$B$22,2,0)</f>
        <v>CF</v>
      </c>
      <c r="E161" t="s">
        <v>38</v>
      </c>
      <c r="F161">
        <v>10080052</v>
      </c>
      <c r="G161" t="str">
        <f>VLOOKUP(Table1[[#This Row],[
MPG Code  ]],[2]Master!$B:$G,6,0)</f>
        <v>GOMUKH NONPUR</v>
      </c>
      <c r="H161" s="20" t="s">
        <v>113</v>
      </c>
      <c r="J161" t="str">
        <f>VLOOKUP(Table1[[#This Row],[
MPG Code  ]],[2]Master!$B:$N,13,0)</f>
        <v>Teghra</v>
      </c>
      <c r="K161" t="s">
        <v>91</v>
      </c>
      <c r="L161" t="str">
        <f>CONCATENATE(Table1[[#This Row],[
MPG Code  ]],Table1[[#This Row],[
Farmer code  ]])</f>
        <v>100800520002</v>
      </c>
      <c r="M161" t="str">
        <f>VLOOKUP(Table1[[#This Row],[
MPG Code  ]],[2]Master!$B:$F,5,0)</f>
        <v>Direct</v>
      </c>
      <c r="N161" s="14">
        <v>3</v>
      </c>
      <c r="O161" s="11">
        <v>1300</v>
      </c>
      <c r="P161" s="11">
        <f>Table1[[#This Row],[Indent Qty]]*Table1[[#This Row],[
Rate ]]</f>
        <v>3900</v>
      </c>
      <c r="Q161" s="14">
        <f>Table1[[#This Row],[Indent Qty]]</f>
        <v>3</v>
      </c>
      <c r="R161" s="18">
        <f>Table1[[#This Row],[
Rate ]]*Table1[[#This Row],[Final Qty]]</f>
        <v>3900</v>
      </c>
      <c r="S161" s="14"/>
      <c r="T161" s="14">
        <v>3900</v>
      </c>
      <c r="U161" s="14"/>
      <c r="V161" s="14" t="s">
        <v>146</v>
      </c>
    </row>
    <row r="162" spans="2:22" x14ac:dyDescent="0.25">
      <c r="B162" t="s">
        <v>141</v>
      </c>
      <c r="D162" s="14" t="str">
        <f>VLOOKUP(Table1[[#This Row],[
Item Name ]],Rates!$A$2:$B$22,2,0)</f>
        <v>CF</v>
      </c>
      <c r="E162" t="s">
        <v>40</v>
      </c>
      <c r="F162">
        <v>10080052</v>
      </c>
      <c r="G162" t="str">
        <f>VLOOKUP(Table1[[#This Row],[
MPG Code  ]],[2]Master!$B:$G,6,0)</f>
        <v>GOMUKH NONPUR</v>
      </c>
      <c r="H162" s="20" t="s">
        <v>113</v>
      </c>
      <c r="J162" t="str">
        <f>VLOOKUP(Table1[[#This Row],[
MPG Code  ]],[2]Master!$B:$N,13,0)</f>
        <v>Teghra</v>
      </c>
      <c r="K162" t="s">
        <v>91</v>
      </c>
      <c r="L162" t="str">
        <f>CONCATENATE(Table1[[#This Row],[
MPG Code  ]],Table1[[#This Row],[
Farmer code  ]])</f>
        <v>100800520002</v>
      </c>
      <c r="M162" t="str">
        <f>VLOOKUP(Table1[[#This Row],[
MPG Code  ]],[2]Master!$B:$F,5,0)</f>
        <v>Direct</v>
      </c>
      <c r="N162" s="14">
        <v>2</v>
      </c>
      <c r="O162" s="11">
        <v>1450</v>
      </c>
      <c r="P162" s="11">
        <f>Table1[[#This Row],[Indent Qty]]*Table1[[#This Row],[
Rate ]]</f>
        <v>2900</v>
      </c>
      <c r="Q162" s="14">
        <f>Table1[[#This Row],[Indent Qty]]</f>
        <v>2</v>
      </c>
      <c r="R162" s="18">
        <f>Table1[[#This Row],[
Rate ]]*Table1[[#This Row],[Final Qty]]</f>
        <v>2900</v>
      </c>
      <c r="S162" s="14"/>
      <c r="T162" s="14">
        <v>2900</v>
      </c>
      <c r="U162" s="14"/>
      <c r="V162" s="14" t="s">
        <v>146</v>
      </c>
    </row>
    <row r="163" spans="2:22" x14ac:dyDescent="0.25">
      <c r="B163" t="s">
        <v>141</v>
      </c>
      <c r="D163" s="14" t="str">
        <f>VLOOKUP(Table1[[#This Row],[
Item Name ]],Rates!$A$2:$B$22,2,0)</f>
        <v>CF</v>
      </c>
      <c r="E163" t="s">
        <v>38</v>
      </c>
      <c r="F163">
        <v>10080119</v>
      </c>
      <c r="G163" t="str">
        <f>VLOOKUP(Table1[[#This Row],[
MPG Code  ]],[2]Master!$B:$G,6,0)</f>
        <v>Mukhtiyarpur</v>
      </c>
      <c r="H163" s="20" t="s">
        <v>113</v>
      </c>
      <c r="J163" t="str">
        <f>VLOOKUP(Table1[[#This Row],[
MPG Code  ]],[2]Master!$B:$N,13,0)</f>
        <v>Teghra</v>
      </c>
      <c r="K163" t="s">
        <v>91</v>
      </c>
      <c r="L163" t="str">
        <f>CONCATENATE(Table1[[#This Row],[
MPG Code  ]],Table1[[#This Row],[
Farmer code  ]])</f>
        <v>100801190002</v>
      </c>
      <c r="M163" t="str">
        <f>VLOOKUP(Table1[[#This Row],[
MPG Code  ]],[2]Master!$B:$F,5,0)</f>
        <v>Direct</v>
      </c>
      <c r="N163" s="14">
        <v>3</v>
      </c>
      <c r="O163" s="11">
        <v>1300</v>
      </c>
      <c r="P163" s="11">
        <f>Table1[[#This Row],[Indent Qty]]*Table1[[#This Row],[
Rate ]]</f>
        <v>3900</v>
      </c>
      <c r="Q163" s="14">
        <f>Table1[[#This Row],[Indent Qty]]</f>
        <v>3</v>
      </c>
      <c r="R163" s="18">
        <f>Table1[[#This Row],[
Rate ]]*Table1[[#This Row],[Final Qty]]</f>
        <v>3900</v>
      </c>
      <c r="S163" s="14"/>
      <c r="T163" s="14">
        <v>3900</v>
      </c>
      <c r="U163" s="14"/>
      <c r="V163" s="14" t="s">
        <v>173</v>
      </c>
    </row>
    <row r="164" spans="2:22" x14ac:dyDescent="0.25">
      <c r="B164" t="s">
        <v>141</v>
      </c>
      <c r="D164" s="14" t="str">
        <f>VLOOKUP(Table1[[#This Row],[
Item Name ]],Rates!$A$2:$B$22,2,0)</f>
        <v>CF</v>
      </c>
      <c r="E164" t="s">
        <v>38</v>
      </c>
      <c r="F164">
        <v>10080119</v>
      </c>
      <c r="G164" t="str">
        <f>VLOOKUP(Table1[[#This Row],[
MPG Code  ]],[2]Master!$B:$G,6,0)</f>
        <v>Mukhtiyarpur</v>
      </c>
      <c r="H164" s="20" t="s">
        <v>111</v>
      </c>
      <c r="J164" t="str">
        <f>VLOOKUP(Table1[[#This Row],[
MPG Code  ]],[2]Master!$B:$N,13,0)</f>
        <v>Teghra</v>
      </c>
      <c r="K164" t="s">
        <v>91</v>
      </c>
      <c r="L164" t="str">
        <f>CONCATENATE(Table1[[#This Row],[
MPG Code  ]],Table1[[#This Row],[
Farmer code  ]])</f>
        <v>100801190003</v>
      </c>
      <c r="M164" t="str">
        <f>VLOOKUP(Table1[[#This Row],[
MPG Code  ]],[2]Master!$B:$F,5,0)</f>
        <v>Direct</v>
      </c>
      <c r="N164" s="14">
        <v>2</v>
      </c>
      <c r="O164" s="11">
        <v>1300</v>
      </c>
      <c r="P164" s="11">
        <f>Table1[[#This Row],[Indent Qty]]*Table1[[#This Row],[
Rate ]]</f>
        <v>2600</v>
      </c>
      <c r="Q164" s="14">
        <f>Table1[[#This Row],[Indent Qty]]</f>
        <v>2</v>
      </c>
      <c r="R164" s="18">
        <f>Table1[[#This Row],[
Rate ]]*Table1[[#This Row],[Final Qty]]</f>
        <v>2600</v>
      </c>
      <c r="S164" s="14"/>
      <c r="T164" s="14">
        <v>2600</v>
      </c>
      <c r="U164" s="14"/>
      <c r="V164" s="14" t="s">
        <v>173</v>
      </c>
    </row>
    <row r="165" spans="2:22" x14ac:dyDescent="0.25">
      <c r="B165" t="s">
        <v>141</v>
      </c>
      <c r="D165" s="14" t="str">
        <f>VLOOKUP(Table1[[#This Row],[
Item Name ]],Rates!$A$2:$B$22,2,0)</f>
        <v>CF</v>
      </c>
      <c r="E165" t="s">
        <v>38</v>
      </c>
      <c r="F165">
        <v>10080048</v>
      </c>
      <c r="G165" t="str">
        <f>VLOOKUP(Table1[[#This Row],[
MPG Code  ]],[2]Master!$B:$G,6,0)</f>
        <v>GOMUKH RANI 3</v>
      </c>
      <c r="H165" s="20" t="s">
        <v>157</v>
      </c>
      <c r="J165" t="str">
        <f>VLOOKUP(Table1[[#This Row],[
MPG Code  ]],[2]Master!$B:$N,13,0)</f>
        <v>Teghra</v>
      </c>
      <c r="K165" t="s">
        <v>91</v>
      </c>
      <c r="L165" t="str">
        <f>CONCATENATE(Table1[[#This Row],[
MPG Code  ]],Table1[[#This Row],[
Farmer code  ]])</f>
        <v>100800480017</v>
      </c>
      <c r="M165" t="str">
        <f>VLOOKUP(Table1[[#This Row],[
MPG Code  ]],[2]Master!$B:$F,5,0)</f>
        <v>Direct</v>
      </c>
      <c r="N165" s="14">
        <v>0</v>
      </c>
      <c r="O165" s="11">
        <v>0</v>
      </c>
      <c r="P165" s="11">
        <v>740</v>
      </c>
      <c r="Q165" s="14">
        <f>Table1[[#This Row],[Indent Qty]]</f>
        <v>0</v>
      </c>
      <c r="R165" s="18">
        <v>740</v>
      </c>
      <c r="S165" s="14"/>
      <c r="T165" s="14">
        <v>740</v>
      </c>
      <c r="U165" s="14"/>
    </row>
    <row r="166" spans="2:22" x14ac:dyDescent="0.25">
      <c r="B166" t="s">
        <v>141</v>
      </c>
      <c r="D166" s="14" t="str">
        <f>VLOOKUP(Table1[[#This Row],[
Item Name ]],Rates!$A$2:$B$22,2,0)</f>
        <v>CF</v>
      </c>
      <c r="E166" t="s">
        <v>38</v>
      </c>
      <c r="F166">
        <v>10120094</v>
      </c>
      <c r="G166" t="str">
        <f>VLOOKUP(Table1[[#This Row],[
MPG Code  ]],[2]Master!$B:$G,6,0)</f>
        <v>Gomukh Bochaha</v>
      </c>
      <c r="H166" s="20" t="s">
        <v>113</v>
      </c>
      <c r="J166" t="str">
        <f>VLOOKUP(Table1[[#This Row],[
MPG Code  ]],[2]Master!$B:$N,13,0)</f>
        <v>DalsinghSarai</v>
      </c>
      <c r="K166" t="s">
        <v>91</v>
      </c>
      <c r="L166" t="str">
        <f>CONCATENATE(Table1[[#This Row],[
MPG Code  ]],Table1[[#This Row],[
Farmer code  ]])</f>
        <v>101200940002</v>
      </c>
      <c r="M166" t="str">
        <f>VLOOKUP(Table1[[#This Row],[
MPG Code  ]],[2]Master!$B:$F,5,0)</f>
        <v>Direct</v>
      </c>
      <c r="N166" s="14">
        <v>5</v>
      </c>
      <c r="O166" s="11">
        <f>VLOOKUP(Table1[[#This Row],[
Item Name ]],Rates!$A$2:$F$22,6,0)</f>
        <v>1350</v>
      </c>
      <c r="P166" s="11">
        <f>Table1[[#This Row],[Indent Qty]]*Table1[[#This Row],[
Rate ]]</f>
        <v>6750</v>
      </c>
      <c r="Q166" s="14">
        <f>Table1[[#This Row],[Indent Qty]]</f>
        <v>5</v>
      </c>
      <c r="R166" s="18">
        <f>Table1[[#This Row],[
Rate ]]*Table1[[#This Row],[Final Qty]]</f>
        <v>6750</v>
      </c>
      <c r="S166" s="14"/>
      <c r="T166" s="14">
        <v>6750</v>
      </c>
      <c r="U166" s="14"/>
      <c r="V166" s="14" t="s">
        <v>110</v>
      </c>
    </row>
    <row r="167" spans="2:22" x14ac:dyDescent="0.25">
      <c r="B167" t="s">
        <v>141</v>
      </c>
      <c r="D167" s="14" t="str">
        <f>VLOOKUP(Table1[[#This Row],[
Item Name ]],Rates!$A$2:$B$22,2,0)</f>
        <v>CF</v>
      </c>
      <c r="E167" t="s">
        <v>38</v>
      </c>
      <c r="F167" s="21">
        <v>10120096</v>
      </c>
      <c r="G167" t="str">
        <f>VLOOKUP(Table1[[#This Row],[
MPG Code  ]],[2]Master!$B:$G,6,0)</f>
        <v>Gomukh Chapra</v>
      </c>
      <c r="H167" s="20" t="s">
        <v>113</v>
      </c>
      <c r="J167" t="str">
        <f>VLOOKUP(Table1[[#This Row],[
MPG Code  ]],[2]Master!$B:$N,13,0)</f>
        <v>DalsinghSarai</v>
      </c>
      <c r="K167" t="s">
        <v>91</v>
      </c>
      <c r="L167" t="str">
        <f>CONCATENATE(Table1[[#This Row],[
MPG Code  ]],Table1[[#This Row],[
Farmer code  ]])</f>
        <v>101200960002</v>
      </c>
      <c r="M167" t="str">
        <f>VLOOKUP(Table1[[#This Row],[
MPG Code  ]],[2]Master!$B:$F,5,0)</f>
        <v>Indirect</v>
      </c>
      <c r="N167" s="14">
        <v>20</v>
      </c>
      <c r="O167" s="11">
        <v>1250</v>
      </c>
      <c r="P167" s="11">
        <f>Table1[[#This Row],[Indent Qty]]*Table1[[#This Row],[
Rate ]]</f>
        <v>25000</v>
      </c>
      <c r="Q167" s="14">
        <f>Table1[[#This Row],[Indent Qty]]</f>
        <v>20</v>
      </c>
      <c r="R167" s="18">
        <f>Table1[[#This Row],[
Rate ]]*Table1[[#This Row],[Final Qty]]</f>
        <v>25000</v>
      </c>
      <c r="S167" s="14"/>
      <c r="T167" s="14">
        <v>20582</v>
      </c>
      <c r="U167" s="14"/>
    </row>
    <row r="168" spans="2:22" x14ac:dyDescent="0.25">
      <c r="B168" t="s">
        <v>141</v>
      </c>
      <c r="D168" s="14" t="str">
        <f>VLOOKUP(Table1[[#This Row],[
Item Name ]],Rates!$A$2:$B$22,2,0)</f>
        <v>CF</v>
      </c>
      <c r="E168" t="s">
        <v>38</v>
      </c>
      <c r="F168" s="21">
        <v>10120001</v>
      </c>
      <c r="G168" t="str">
        <f>VLOOKUP(Table1[[#This Row],[
MPG Code  ]],[2]Master!$B:$G,6,0)</f>
        <v>GOMUKH SUBHANPUR</v>
      </c>
      <c r="H168" s="20" t="s">
        <v>113</v>
      </c>
      <c r="J168" t="str">
        <f>VLOOKUP(Table1[[#This Row],[
MPG Code  ]],[2]Master!$B:$N,13,0)</f>
        <v>DalsinghSarai</v>
      </c>
      <c r="K168" t="s">
        <v>91</v>
      </c>
      <c r="L168" t="str">
        <f>CONCATENATE(Table1[[#This Row],[
MPG Code  ]],Table1[[#This Row],[
Farmer code  ]])</f>
        <v>101200010002</v>
      </c>
      <c r="M168" t="str">
        <f>VLOOKUP(Table1[[#This Row],[
MPG Code  ]],[2]Master!$B:$F,5,0)</f>
        <v>Indirect</v>
      </c>
      <c r="N168" s="14">
        <v>1</v>
      </c>
      <c r="O168" s="11">
        <f>VLOOKUP(Table1[[#This Row],[
Item Name ]],Rates!$A$2:$F$22,6,0)</f>
        <v>1350</v>
      </c>
      <c r="P168" s="11">
        <f>Table1[[#This Row],[Indent Qty]]*Table1[[#This Row],[
Rate ]]</f>
        <v>1350</v>
      </c>
      <c r="Q168" s="14">
        <f>Table1[[#This Row],[Indent Qty]]</f>
        <v>1</v>
      </c>
      <c r="R168" s="18">
        <f>Table1[[#This Row],[
Rate ]]*Table1[[#This Row],[Final Qty]]</f>
        <v>1350</v>
      </c>
      <c r="S168" s="14"/>
      <c r="T168" s="14">
        <v>1350</v>
      </c>
      <c r="U168" s="14"/>
    </row>
    <row r="169" spans="2:22" x14ac:dyDescent="0.25">
      <c r="B169" t="s">
        <v>141</v>
      </c>
      <c r="D169" s="14" t="str">
        <f>VLOOKUP(Table1[[#This Row],[
Item Name ]],Rates!$A$2:$B$22,2,0)</f>
        <v>CF</v>
      </c>
      <c r="E169" t="s">
        <v>40</v>
      </c>
      <c r="F169" s="21">
        <v>10120001</v>
      </c>
      <c r="G169" t="str">
        <f>VLOOKUP(Table1[[#This Row],[
MPG Code  ]],[2]Master!$B:$G,6,0)</f>
        <v>GOMUKH SUBHANPUR</v>
      </c>
      <c r="H169" s="20" t="s">
        <v>113</v>
      </c>
      <c r="J169" t="str">
        <f>VLOOKUP(Table1[[#This Row],[
MPG Code  ]],[2]Master!$B:$N,13,0)</f>
        <v>DalsinghSarai</v>
      </c>
      <c r="K169" t="s">
        <v>91</v>
      </c>
      <c r="L169" t="str">
        <f>CONCATENATE(Table1[[#This Row],[
MPG Code  ]],Table1[[#This Row],[
Farmer code  ]])</f>
        <v>101200010002</v>
      </c>
      <c r="M169" t="str">
        <f>VLOOKUP(Table1[[#This Row],[
MPG Code  ]],[2]Master!$B:$F,5,0)</f>
        <v>Indirect</v>
      </c>
      <c r="N169" s="14">
        <v>1</v>
      </c>
      <c r="O169" s="11">
        <f>VLOOKUP(Table1[[#This Row],[
Item Name ]],Rates!$A$2:$F$22,6,0)</f>
        <v>1500</v>
      </c>
      <c r="P169" s="11">
        <f>Table1[[#This Row],[Indent Qty]]*Table1[[#This Row],[
Rate ]]</f>
        <v>1500</v>
      </c>
      <c r="Q169" s="14">
        <f>Table1[[#This Row],[Indent Qty]]</f>
        <v>1</v>
      </c>
      <c r="R169" s="18">
        <f>Table1[[#This Row],[
Rate ]]*Table1[[#This Row],[Final Qty]]</f>
        <v>1500</v>
      </c>
      <c r="S169" s="14"/>
      <c r="T169" s="14">
        <v>1500</v>
      </c>
      <c r="U169" s="14"/>
    </row>
    <row r="170" spans="2:22" x14ac:dyDescent="0.25">
      <c r="B170" t="s">
        <v>141</v>
      </c>
      <c r="D170" s="14" t="str">
        <f>VLOOKUP(Table1[[#This Row],[
Item Name ]],Rates!$A$2:$B$22,2,0)</f>
        <v>CF</v>
      </c>
      <c r="E170" t="s">
        <v>40</v>
      </c>
      <c r="F170" s="21">
        <v>10120001</v>
      </c>
      <c r="G170" t="str">
        <f>VLOOKUP(Table1[[#This Row],[
MPG Code  ]],[2]Master!$B:$G,6,0)</f>
        <v>GOMUKH SUBHANPUR</v>
      </c>
      <c r="H170" s="20" t="s">
        <v>113</v>
      </c>
      <c r="J170" t="str">
        <f>VLOOKUP(Table1[[#This Row],[
MPG Code  ]],[2]Master!$B:$N,13,0)</f>
        <v>DalsinghSarai</v>
      </c>
      <c r="K170" t="s">
        <v>91</v>
      </c>
      <c r="L170" t="str">
        <f>CONCATENATE(Table1[[#This Row],[
MPG Code  ]],Table1[[#This Row],[
Farmer code  ]])</f>
        <v>101200010002</v>
      </c>
      <c r="M170" t="str">
        <f>VLOOKUP(Table1[[#This Row],[
MPG Code  ]],[2]Master!$B:$F,5,0)</f>
        <v>Indirect</v>
      </c>
      <c r="N170" s="14">
        <v>1</v>
      </c>
      <c r="O170" s="11">
        <f>VLOOKUP(Table1[[#This Row],[
Item Name ]],Rates!$A$2:$F$22,6,0)</f>
        <v>1500</v>
      </c>
      <c r="P170" s="11">
        <f>Table1[[#This Row],[Indent Qty]]*Table1[[#This Row],[
Rate ]]</f>
        <v>1500</v>
      </c>
      <c r="Q170" s="14">
        <f>Table1[[#This Row],[Indent Qty]]</f>
        <v>1</v>
      </c>
      <c r="R170" s="18">
        <f>Table1[[#This Row],[
Rate ]]*Table1[[#This Row],[Final Qty]]</f>
        <v>1500</v>
      </c>
      <c r="S170" s="14"/>
      <c r="T170" s="14">
        <v>1500</v>
      </c>
      <c r="U170" s="14"/>
    </row>
    <row r="171" spans="2:22" x14ac:dyDescent="0.25">
      <c r="B171" t="s">
        <v>141</v>
      </c>
      <c r="D171" s="14" t="str">
        <f>VLOOKUP(Table1[[#This Row],[
Item Name ]],Rates!$A$2:$B$22,2,0)</f>
        <v>CF</v>
      </c>
      <c r="E171" t="s">
        <v>40</v>
      </c>
      <c r="F171" s="21">
        <v>10130031</v>
      </c>
      <c r="G171" t="str">
        <f>VLOOKUP(Table1[[#This Row],[
MPG Code  ]],[2]Master!$B:$G,6,0)</f>
        <v>Gomukh ID Sararanjan</v>
      </c>
      <c r="H171" s="20" t="s">
        <v>113</v>
      </c>
      <c r="J171" t="str">
        <f>VLOOKUP(Table1[[#This Row],[
MPG Code  ]],[2]Master!$B:$N,13,0)</f>
        <v>Musrigharari</v>
      </c>
      <c r="K171" t="s">
        <v>91</v>
      </c>
      <c r="L171" t="str">
        <f>CONCATENATE(Table1[[#This Row],[
MPG Code  ]],Table1[[#This Row],[
Farmer code  ]])</f>
        <v>101300310002</v>
      </c>
      <c r="M171" t="str">
        <f>VLOOKUP(Table1[[#This Row],[
MPG Code  ]],[2]Master!$B:$F,5,0)</f>
        <v>Indirect</v>
      </c>
      <c r="N171" s="14">
        <v>2</v>
      </c>
      <c r="O171" s="11">
        <f>VLOOKUP(Table1[[#This Row],[
Item Name ]],Rates!$A$2:$F$22,6,0)</f>
        <v>1500</v>
      </c>
      <c r="P171" s="11">
        <f>Table1[[#This Row],[Indent Qty]]*Table1[[#This Row],[
Rate ]]</f>
        <v>3000</v>
      </c>
      <c r="Q171" s="14">
        <f>Table1[[#This Row],[Indent Qty]]</f>
        <v>2</v>
      </c>
      <c r="R171" s="18">
        <f>Table1[[#This Row],[
Rate ]]*Table1[[#This Row],[Final Qty]]</f>
        <v>3000</v>
      </c>
      <c r="S171" s="14"/>
      <c r="T171" s="14">
        <v>3000</v>
      </c>
      <c r="U171" s="14"/>
    </row>
    <row r="172" spans="2:22" x14ac:dyDescent="0.25">
      <c r="B172" t="s">
        <v>141</v>
      </c>
      <c r="D172" s="14" t="str">
        <f>VLOOKUP(Table1[[#This Row],[
Item Name ]],Rates!$A$2:$B$22,2,0)</f>
        <v>CF</v>
      </c>
      <c r="E172" t="s">
        <v>40</v>
      </c>
      <c r="F172" s="21">
        <v>10130080</v>
      </c>
      <c r="G172" t="str">
        <f>VLOOKUP(Table1[[#This Row],[
MPG Code  ]],[2]Master!$B:$G,6,0)</f>
        <v>Nauachak-Pankaj</v>
      </c>
      <c r="H172" s="20" t="s">
        <v>113</v>
      </c>
      <c r="J172" t="str">
        <f>VLOOKUP(Table1[[#This Row],[
MPG Code  ]],[2]Master!$B:$N,13,0)</f>
        <v>Musrigharari</v>
      </c>
      <c r="K172" t="s">
        <v>91</v>
      </c>
      <c r="L172" t="str">
        <f>CONCATENATE(Table1[[#This Row],[
MPG Code  ]],Table1[[#This Row],[
Farmer code  ]])</f>
        <v>101300800002</v>
      </c>
      <c r="M172" t="str">
        <f>VLOOKUP(Table1[[#This Row],[
MPG Code  ]],[2]Master!$B:$F,5,0)</f>
        <v>Indirect</v>
      </c>
      <c r="N172" s="14">
        <v>1</v>
      </c>
      <c r="O172" s="11">
        <f>VLOOKUP(Table1[[#This Row],[
Item Name ]],Rates!$A$2:$F$22,6,0)</f>
        <v>1500</v>
      </c>
      <c r="P172" s="11">
        <f>Table1[[#This Row],[Indent Qty]]*Table1[[#This Row],[
Rate ]]</f>
        <v>1500</v>
      </c>
      <c r="Q172" s="14">
        <f>Table1[[#This Row],[Indent Qty]]</f>
        <v>1</v>
      </c>
      <c r="R172" s="18">
        <f>Table1[[#This Row],[
Rate ]]*Table1[[#This Row],[Final Qty]]</f>
        <v>1500</v>
      </c>
      <c r="S172" s="14"/>
      <c r="T172" s="14">
        <v>1500</v>
      </c>
      <c r="U172" s="14"/>
    </row>
    <row r="173" spans="2:22" x14ac:dyDescent="0.25">
      <c r="B173" t="s">
        <v>141</v>
      </c>
      <c r="D173" s="14" t="str">
        <f>VLOOKUP(Table1[[#This Row],[
Item Name ]],Rates!$A$2:$B$22,2,0)</f>
        <v>CF</v>
      </c>
      <c r="E173" t="s">
        <v>38</v>
      </c>
      <c r="F173" s="21">
        <v>10130018</v>
      </c>
      <c r="G173" t="str">
        <f>VLOOKUP(Table1[[#This Row],[
MPG Code  ]],[2]Master!$B:$G,6,0)</f>
        <v>Harsingpur</v>
      </c>
      <c r="H173" s="20" t="s">
        <v>113</v>
      </c>
      <c r="J173" t="str">
        <f>VLOOKUP(Table1[[#This Row],[
MPG Code  ]],[2]Master!$B:$N,13,0)</f>
        <v>Musrigharari</v>
      </c>
      <c r="K173" t="s">
        <v>91</v>
      </c>
      <c r="L173" t="str">
        <f>CONCATENATE(Table1[[#This Row],[
MPG Code  ]],Table1[[#This Row],[
Farmer code  ]])</f>
        <v>101300180002</v>
      </c>
      <c r="M173" t="str">
        <f>VLOOKUP(Table1[[#This Row],[
MPG Code  ]],[2]Master!$B:$F,5,0)</f>
        <v>Indirect</v>
      </c>
      <c r="N173" s="14">
        <v>1</v>
      </c>
      <c r="O173" s="11">
        <f>VLOOKUP(Table1[[#This Row],[
Item Name ]],Rates!$A$2:$F$22,6,0)</f>
        <v>1350</v>
      </c>
      <c r="P173" s="11">
        <f>Table1[[#This Row],[Indent Qty]]*Table1[[#This Row],[
Rate ]]</f>
        <v>1350</v>
      </c>
      <c r="Q173" s="14">
        <f>Table1[[#This Row],[Indent Qty]]</f>
        <v>1</v>
      </c>
      <c r="R173" s="18">
        <f>Table1[[#This Row],[
Rate ]]*Table1[[#This Row],[Final Qty]]</f>
        <v>1350</v>
      </c>
      <c r="S173" s="14"/>
      <c r="T173" s="14">
        <v>1350</v>
      </c>
      <c r="U173" s="14"/>
    </row>
    <row r="174" spans="2:22" x14ac:dyDescent="0.25">
      <c r="B174" t="s">
        <v>141</v>
      </c>
      <c r="D174" s="14" t="str">
        <f>VLOOKUP(Table1[[#This Row],[
Item Name ]],Rates!$A$2:$B$22,2,0)</f>
        <v>CF</v>
      </c>
      <c r="E174" t="s">
        <v>38</v>
      </c>
      <c r="F174" s="21">
        <v>10130015</v>
      </c>
      <c r="G174" t="str">
        <f>VLOOKUP(Table1[[#This Row],[
MPG Code  ]],[2]Master!$B:$G,6,0)</f>
        <v>Gomukha Vishanupatti II</v>
      </c>
      <c r="H174" s="20" t="s">
        <v>113</v>
      </c>
      <c r="J174" t="str">
        <f>VLOOKUP(Table1[[#This Row],[
MPG Code  ]],[2]Master!$B:$N,13,0)</f>
        <v>Musrigharari</v>
      </c>
      <c r="K174" t="s">
        <v>91</v>
      </c>
      <c r="L174" t="str">
        <f>CONCATENATE(Table1[[#This Row],[
MPG Code  ]],Table1[[#This Row],[
Farmer code  ]])</f>
        <v>101300150002</v>
      </c>
      <c r="M174" t="str">
        <f>VLOOKUP(Table1[[#This Row],[
MPG Code  ]],[2]Master!$B:$F,5,0)</f>
        <v>Indirect</v>
      </c>
      <c r="N174" s="14">
        <v>2</v>
      </c>
      <c r="O174" s="11">
        <f>VLOOKUP(Table1[[#This Row],[
Item Name ]],Rates!$A$2:$F$22,6,0)</f>
        <v>1350</v>
      </c>
      <c r="P174" s="11">
        <f>Table1[[#This Row],[Indent Qty]]*Table1[[#This Row],[
Rate ]]</f>
        <v>2700</v>
      </c>
      <c r="Q174" s="14">
        <f>Table1[[#This Row],[Indent Qty]]</f>
        <v>2</v>
      </c>
      <c r="R174" s="18">
        <f>Table1[[#This Row],[
Rate ]]*Table1[[#This Row],[Final Qty]]</f>
        <v>2700</v>
      </c>
      <c r="S174" s="14"/>
      <c r="T174" s="14">
        <v>2700</v>
      </c>
      <c r="U174" s="14"/>
    </row>
    <row r="175" spans="2:22" x14ac:dyDescent="0.25">
      <c r="B175" t="s">
        <v>141</v>
      </c>
      <c r="D175" s="14" t="str">
        <f>VLOOKUP(Table1[[#This Row],[
Item Name ]],Rates!$A$2:$B$22,2,0)</f>
        <v>CF</v>
      </c>
      <c r="E175" t="s">
        <v>40</v>
      </c>
      <c r="F175" s="21">
        <v>10130025</v>
      </c>
      <c r="G175" t="str">
        <f>VLOOKUP(Table1[[#This Row],[
MPG Code  ]],[2]Master!$B:$G,6,0)</f>
        <v>MURTUJAPUR</v>
      </c>
      <c r="H175" s="20" t="s">
        <v>113</v>
      </c>
      <c r="J175" t="str">
        <f>VLOOKUP(Table1[[#This Row],[
MPG Code  ]],[2]Master!$B:$N,13,0)</f>
        <v>Musrigharari</v>
      </c>
      <c r="K175" t="s">
        <v>91</v>
      </c>
      <c r="L175" t="str">
        <f>CONCATENATE(Table1[[#This Row],[
MPG Code  ]],Table1[[#This Row],[
Farmer code  ]])</f>
        <v>101300250002</v>
      </c>
      <c r="M175" t="str">
        <f>VLOOKUP(Table1[[#This Row],[
MPG Code  ]],[2]Master!$B:$F,5,0)</f>
        <v>Indirect</v>
      </c>
      <c r="N175" s="14">
        <v>2</v>
      </c>
      <c r="O175" s="11">
        <f>VLOOKUP(Table1[[#This Row],[
Item Name ]],Rates!$A$2:$F$22,6,0)</f>
        <v>1500</v>
      </c>
      <c r="P175" s="11">
        <f>Table1[[#This Row],[Indent Qty]]*Table1[[#This Row],[
Rate ]]</f>
        <v>3000</v>
      </c>
      <c r="Q175" s="14">
        <f>Table1[[#This Row],[Indent Qty]]</f>
        <v>2</v>
      </c>
      <c r="R175" s="18">
        <f>Table1[[#This Row],[
Rate ]]*Table1[[#This Row],[Final Qty]]</f>
        <v>3000</v>
      </c>
      <c r="S175" s="14"/>
      <c r="T175" s="14">
        <v>3000</v>
      </c>
      <c r="U175" s="14"/>
    </row>
    <row r="176" spans="2:22" x14ac:dyDescent="0.25">
      <c r="B176" t="s">
        <v>141</v>
      </c>
      <c r="D176" s="14" t="str">
        <f>VLOOKUP(Table1[[#This Row],[
Item Name ]],Rates!$A$2:$B$22,2,0)</f>
        <v>CF</v>
      </c>
      <c r="E176" t="s">
        <v>40</v>
      </c>
      <c r="F176">
        <v>10530063</v>
      </c>
      <c r="G176" t="str">
        <f>VLOOKUP(Table1[[#This Row],[
MPG Code  ]],[2]Master!$B:$G,6,0)</f>
        <v>GOMUKH Singhiya ward 11</v>
      </c>
      <c r="H176" s="20" t="s">
        <v>113</v>
      </c>
      <c r="J176" t="str">
        <f>VLOOKUP(Table1[[#This Row],[
MPG Code  ]],[2]Master!$B:$N,13,0)</f>
        <v>Kalyanpur</v>
      </c>
      <c r="K176" t="s">
        <v>91</v>
      </c>
      <c r="L176" t="str">
        <f>CONCATENATE(Table1[[#This Row],[
MPG Code  ]],Table1[[#This Row],[
Farmer code  ]])</f>
        <v>105300630002</v>
      </c>
      <c r="M176" t="str">
        <f>VLOOKUP(Table1[[#This Row],[
MPG Code  ]],[2]Master!$B:$F,5,0)</f>
        <v>Indirect</v>
      </c>
      <c r="N176" s="14">
        <v>2</v>
      </c>
      <c r="O176" s="11">
        <f>VLOOKUP(Table1[[#This Row],[
Item Name ]],Rates!$A$2:$F$22,6,0)</f>
        <v>1500</v>
      </c>
      <c r="P176" s="11">
        <f>Table1[[#This Row],[Indent Qty]]*Table1[[#This Row],[
Rate ]]</f>
        <v>3000</v>
      </c>
      <c r="Q176" s="14">
        <f>Table1[[#This Row],[Indent Qty]]</f>
        <v>2</v>
      </c>
      <c r="R176" s="18">
        <f>Table1[[#This Row],[
Rate ]]*Table1[[#This Row],[Final Qty]]</f>
        <v>3000</v>
      </c>
      <c r="S176" s="14"/>
      <c r="T176" s="14">
        <v>3000</v>
      </c>
      <c r="U176" s="14"/>
    </row>
    <row r="177" spans="2:21" x14ac:dyDescent="0.25">
      <c r="B177" t="s">
        <v>141</v>
      </c>
      <c r="D177" s="14" t="str">
        <f>VLOOKUP(Table1[[#This Row],[
Item Name ]],Rates!$A$2:$B$22,2,0)</f>
        <v>CF</v>
      </c>
      <c r="E177" t="s">
        <v>40</v>
      </c>
      <c r="F177">
        <v>10530031</v>
      </c>
      <c r="G177" t="str">
        <f>VLOOKUP(Table1[[#This Row],[
MPG Code  ]],[2]Master!$B:$G,6,0)</f>
        <v>Gomukh Gopalpur</v>
      </c>
      <c r="H177" s="20" t="s">
        <v>113</v>
      </c>
      <c r="J177" t="str">
        <f>VLOOKUP(Table1[[#This Row],[
MPG Code  ]],[2]Master!$B:$N,13,0)</f>
        <v>Kalyanpur</v>
      </c>
      <c r="K177" t="s">
        <v>91</v>
      </c>
      <c r="L177" t="str">
        <f>CONCATENATE(Table1[[#This Row],[
MPG Code  ]],Table1[[#This Row],[
Farmer code  ]])</f>
        <v>105300310002</v>
      </c>
      <c r="M177" t="str">
        <f>VLOOKUP(Table1[[#This Row],[
MPG Code  ]],[2]Master!$B:$F,5,0)</f>
        <v>Indirect</v>
      </c>
      <c r="N177" s="14">
        <v>1</v>
      </c>
      <c r="O177" s="11">
        <f>VLOOKUP(Table1[[#This Row],[
Item Name ]],Rates!$A$2:$F$22,6,0)</f>
        <v>1500</v>
      </c>
      <c r="P177" s="11">
        <f>Table1[[#This Row],[Indent Qty]]*Table1[[#This Row],[
Rate ]]</f>
        <v>1500</v>
      </c>
      <c r="Q177" s="14">
        <f>Table1[[#This Row],[Indent Qty]]</f>
        <v>1</v>
      </c>
      <c r="R177" s="18">
        <f>Table1[[#This Row],[
Rate ]]*Table1[[#This Row],[Final Qty]]</f>
        <v>1500</v>
      </c>
      <c r="S177" s="14"/>
      <c r="T177" s="14">
        <v>1500</v>
      </c>
      <c r="U177" s="14"/>
    </row>
    <row r="178" spans="2:21" x14ac:dyDescent="0.25">
      <c r="B178" t="s">
        <v>141</v>
      </c>
      <c r="D178" s="14" t="str">
        <f>VLOOKUP(Table1[[#This Row],[
Item Name ]],Rates!$A$2:$B$22,2,0)</f>
        <v>CF</v>
      </c>
      <c r="E178" t="s">
        <v>38</v>
      </c>
      <c r="F178">
        <v>10530089</v>
      </c>
      <c r="G178" t="str">
        <f>VLOOKUP(Table1[[#This Row],[
MPG Code  ]],[2]Master!$B:$G,6,0)</f>
        <v>KHANPUR SOBHA</v>
      </c>
      <c r="H178" s="20" t="s">
        <v>113</v>
      </c>
      <c r="J178" t="str">
        <f>VLOOKUP(Table1[[#This Row],[
MPG Code  ]],[2]Master!$B:$N,13,0)</f>
        <v>Kalyanpur</v>
      </c>
      <c r="K178" t="s">
        <v>91</v>
      </c>
      <c r="L178" t="str">
        <f>CONCATENATE(Table1[[#This Row],[
MPG Code  ]],Table1[[#This Row],[
Farmer code  ]])</f>
        <v>105300890002</v>
      </c>
      <c r="M178" t="str">
        <f>VLOOKUP(Table1[[#This Row],[
MPG Code  ]],[2]Master!$B:$F,5,0)</f>
        <v>Indirect</v>
      </c>
      <c r="N178" s="14">
        <v>1</v>
      </c>
      <c r="O178" s="11">
        <f>VLOOKUP(Table1[[#This Row],[
Item Name ]],Rates!$A$2:$F$22,6,0)</f>
        <v>1350</v>
      </c>
      <c r="P178" s="11">
        <f>Table1[[#This Row],[Indent Qty]]*Table1[[#This Row],[
Rate ]]</f>
        <v>1350</v>
      </c>
      <c r="Q178" s="14">
        <f>Table1[[#This Row],[Indent Qty]]</f>
        <v>1</v>
      </c>
      <c r="R178" s="18">
        <f>Table1[[#This Row],[
Rate ]]*Table1[[#This Row],[Final Qty]]</f>
        <v>1350</v>
      </c>
      <c r="S178" s="14"/>
      <c r="T178" s="14">
        <v>1350</v>
      </c>
      <c r="U178" s="14"/>
    </row>
    <row r="179" spans="2:21" x14ac:dyDescent="0.25">
      <c r="B179" t="s">
        <v>141</v>
      </c>
      <c r="D179" s="14" t="str">
        <f>VLOOKUP(Table1[[#This Row],[
Item Name ]],Rates!$A$2:$B$22,2,0)</f>
        <v>CF</v>
      </c>
      <c r="E179" t="s">
        <v>40</v>
      </c>
      <c r="F179">
        <v>10530017</v>
      </c>
      <c r="G179" t="str">
        <f>VLOOKUP(Table1[[#This Row],[
MPG Code  ]],[2]Master!$B:$G,6,0)</f>
        <v>Gomukh Bazidpur</v>
      </c>
      <c r="H179" s="20" t="s">
        <v>157</v>
      </c>
      <c r="J179" t="str">
        <f>VLOOKUP(Table1[[#This Row],[
MPG Code  ]],[2]Master!$B:$N,13,0)</f>
        <v>Kalyanpur</v>
      </c>
      <c r="K179" t="s">
        <v>91</v>
      </c>
      <c r="L179" t="str">
        <f>CONCATENATE(Table1[[#This Row],[
MPG Code  ]],Table1[[#This Row],[
Farmer code  ]])</f>
        <v>105300170017</v>
      </c>
      <c r="M179" t="str">
        <f>VLOOKUP(Table1[[#This Row],[
MPG Code  ]],[2]Master!$B:$F,5,0)</f>
        <v>Indirect</v>
      </c>
      <c r="N179" s="14">
        <v>5</v>
      </c>
      <c r="O179" s="11">
        <f>VLOOKUP(Table1[[#This Row],[
Item Name ]],Rates!$A$2:$F$22,6,0)</f>
        <v>1500</v>
      </c>
      <c r="P179" s="11">
        <f>Table1[[#This Row],[Indent Qty]]*Table1[[#This Row],[
Rate ]]</f>
        <v>7500</v>
      </c>
      <c r="Q179" s="14">
        <f>Table1[[#This Row],[Indent Qty]]</f>
        <v>5</v>
      </c>
      <c r="R179" s="18">
        <f>Table1[[#This Row],[
Rate ]]*Table1[[#This Row],[Final Qty]]</f>
        <v>7500</v>
      </c>
      <c r="S179" s="14"/>
      <c r="T179" s="14">
        <v>7500</v>
      </c>
      <c r="U179" s="14"/>
    </row>
    <row r="180" spans="2:21" x14ac:dyDescent="0.25">
      <c r="B180" t="s">
        <v>141</v>
      </c>
      <c r="D180" s="14" t="str">
        <f>VLOOKUP(Table1[[#This Row],[
Item Name ]],Rates!$A$2:$B$22,2,0)</f>
        <v>CF</v>
      </c>
      <c r="E180" t="s">
        <v>38</v>
      </c>
      <c r="F180">
        <v>10070003</v>
      </c>
      <c r="G180" t="str">
        <f>VLOOKUP(Table1[[#This Row],[
MPG Code  ]],[2]Master!$B:$G,6,0)</f>
        <v>Gomukh ID Chaidha</v>
      </c>
      <c r="H180" s="20" t="s">
        <v>113</v>
      </c>
      <c r="J180" t="str">
        <f>VLOOKUP(Table1[[#This Row],[
MPG Code  ]],[2]Master!$B:$N,13,0)</f>
        <v>Araria</v>
      </c>
      <c r="K180" t="s">
        <v>91</v>
      </c>
      <c r="L180" t="str">
        <f>CONCATENATE(Table1[[#This Row],[
MPG Code  ]],Table1[[#This Row],[
Farmer code  ]])</f>
        <v>100700030002</v>
      </c>
      <c r="M180" t="str">
        <f>VLOOKUP(Table1[[#This Row],[
MPG Code  ]],[2]Master!$B:$F,5,0)</f>
        <v>Indirect</v>
      </c>
      <c r="N180" s="14">
        <v>5</v>
      </c>
      <c r="O180" s="11">
        <v>1300</v>
      </c>
      <c r="P180" s="11">
        <f>Table1[[#This Row],[Indent Qty]]*Table1[[#This Row],[
Rate ]]</f>
        <v>6500</v>
      </c>
      <c r="Q180" s="14">
        <f>Table1[[#This Row],[Indent Qty]]</f>
        <v>5</v>
      </c>
      <c r="R180" s="18">
        <f>Table1[[#This Row],[
Rate ]]*Table1[[#This Row],[Final Qty]]</f>
        <v>6500</v>
      </c>
      <c r="S180" s="14"/>
      <c r="T180" s="14">
        <v>6500</v>
      </c>
      <c r="U180" s="14"/>
    </row>
    <row r="181" spans="2:21" x14ac:dyDescent="0.25">
      <c r="B181" t="s">
        <v>141</v>
      </c>
      <c r="D181" s="14" t="str">
        <f>VLOOKUP(Table1[[#This Row],[
Item Name ]],Rates!$A$2:$B$22,2,0)</f>
        <v>CF</v>
      </c>
      <c r="E181" t="s">
        <v>38</v>
      </c>
      <c r="F181">
        <v>10120010</v>
      </c>
      <c r="G181" t="str">
        <f>VLOOKUP(Table1[[#This Row],[
MPG Code  ]],[2]Master!$B:$G,6,0)</f>
        <v>Janganath Pur</v>
      </c>
      <c r="H181" s="20" t="s">
        <v>113</v>
      </c>
      <c r="J181" t="str">
        <f>VLOOKUP(Table1[[#This Row],[
MPG Code  ]],[2]Master!$B:$N,13,0)</f>
        <v>DalsinghSarai</v>
      </c>
      <c r="K181" t="s">
        <v>91</v>
      </c>
      <c r="L181" t="str">
        <f>CONCATENATE(Table1[[#This Row],[
MPG Code  ]],Table1[[#This Row],[
Farmer code  ]])</f>
        <v>101200100002</v>
      </c>
      <c r="M181" t="str">
        <f>VLOOKUP(Table1[[#This Row],[
MPG Code  ]],[2]Master!$B:$F,5,0)</f>
        <v>Indirect</v>
      </c>
      <c r="N181" s="14">
        <v>3</v>
      </c>
      <c r="O181" s="11">
        <f>VLOOKUP(Table1[[#This Row],[
Item Name ]],Rates!$A$2:$F$22,6,0)</f>
        <v>1350</v>
      </c>
      <c r="P181" s="11">
        <f>Table1[[#This Row],[Indent Qty]]*Table1[[#This Row],[
Rate ]]</f>
        <v>4050</v>
      </c>
      <c r="Q181" s="14">
        <f>Table1[[#This Row],[Indent Qty]]</f>
        <v>3</v>
      </c>
      <c r="R181" s="18">
        <f>Table1[[#This Row],[
Rate ]]*Table1[[#This Row],[Final Qty]]</f>
        <v>4050</v>
      </c>
      <c r="S181" s="14"/>
      <c r="T181" s="14">
        <v>4050</v>
      </c>
      <c r="U181" s="14"/>
    </row>
    <row r="182" spans="2:21" x14ac:dyDescent="0.25">
      <c r="B182" t="s">
        <v>141</v>
      </c>
      <c r="D182" s="14" t="str">
        <f>VLOOKUP(Table1[[#This Row],[
Item Name ]],Rates!$A$2:$B$22,2,0)</f>
        <v>CF</v>
      </c>
      <c r="E182" t="s">
        <v>38</v>
      </c>
      <c r="F182">
        <v>10120013</v>
      </c>
      <c r="G182" t="str">
        <f>VLOOKUP(Table1[[#This Row],[
MPG Code  ]],[2]Master!$B:$G,6,0)</f>
        <v>Bhatgama</v>
      </c>
      <c r="H182" s="20" t="s">
        <v>113</v>
      </c>
      <c r="J182" t="str">
        <f>VLOOKUP(Table1[[#This Row],[
MPG Code  ]],[2]Master!$B:$N,13,0)</f>
        <v>DalsinghSarai</v>
      </c>
      <c r="K182" t="s">
        <v>91</v>
      </c>
      <c r="L182" t="str">
        <f>CONCATENATE(Table1[[#This Row],[
MPG Code  ]],Table1[[#This Row],[
Farmer code  ]])</f>
        <v>101200130002</v>
      </c>
      <c r="M182" t="str">
        <f>VLOOKUP(Table1[[#This Row],[
MPG Code  ]],[2]Master!$B:$F,5,0)</f>
        <v>Indirect</v>
      </c>
      <c r="N182" s="14">
        <v>2</v>
      </c>
      <c r="O182" s="11">
        <f>VLOOKUP(Table1[[#This Row],[
Item Name ]],Rates!$A$2:$F$22,6,0)</f>
        <v>1350</v>
      </c>
      <c r="P182" s="11">
        <f>Table1[[#This Row],[Indent Qty]]*Table1[[#This Row],[
Rate ]]</f>
        <v>2700</v>
      </c>
      <c r="Q182" s="14">
        <f>Table1[[#This Row],[Indent Qty]]</f>
        <v>2</v>
      </c>
      <c r="R182" s="18">
        <f>Table1[[#This Row],[
Rate ]]*Table1[[#This Row],[Final Qty]]</f>
        <v>2700</v>
      </c>
      <c r="S182" s="14"/>
      <c r="T182" s="14">
        <v>2700</v>
      </c>
      <c r="U182" s="14"/>
    </row>
    <row r="183" spans="2:21" x14ac:dyDescent="0.25">
      <c r="B183" t="s">
        <v>141</v>
      </c>
      <c r="D183" s="14" t="str">
        <f>VLOOKUP(Table1[[#This Row],[
Item Name ]],Rates!$A$2:$B$22,2,0)</f>
        <v>CF</v>
      </c>
      <c r="E183" t="s">
        <v>38</v>
      </c>
      <c r="F183">
        <v>10530018</v>
      </c>
      <c r="G183" t="str">
        <f>VLOOKUP(Table1[[#This Row],[
MPG Code  ]],[2]Master!$B:$G,6,0)</f>
        <v>Gomukh Belsandi</v>
      </c>
      <c r="H183" s="20" t="s">
        <v>113</v>
      </c>
      <c r="J183" t="str">
        <f>VLOOKUP(Table1[[#This Row],[
MPG Code  ]],[2]Master!$B:$N,13,0)</f>
        <v>Kalyanpur</v>
      </c>
      <c r="K183" t="s">
        <v>91</v>
      </c>
      <c r="L183" t="str">
        <f>CONCATENATE(Table1[[#This Row],[
MPG Code  ]],Table1[[#This Row],[
Farmer code  ]])</f>
        <v>105300180002</v>
      </c>
      <c r="M183" t="str">
        <f>VLOOKUP(Table1[[#This Row],[
MPG Code  ]],[2]Master!$B:$F,5,0)</f>
        <v>Indirect</v>
      </c>
      <c r="N183" s="14">
        <v>1</v>
      </c>
      <c r="O183" s="11">
        <f>VLOOKUP(Table1[[#This Row],[
Item Name ]],Rates!$A$2:$F$22,6,0)</f>
        <v>1350</v>
      </c>
      <c r="P183" s="11">
        <f>Table1[[#This Row],[Indent Qty]]*Table1[[#This Row],[
Rate ]]</f>
        <v>1350</v>
      </c>
      <c r="Q183" s="14">
        <f>Table1[[#This Row],[Indent Qty]]</f>
        <v>1</v>
      </c>
      <c r="R183" s="18">
        <f>Table1[[#This Row],[
Rate ]]*Table1[[#This Row],[Final Qty]]</f>
        <v>1350</v>
      </c>
      <c r="S183" s="14"/>
      <c r="T183" s="14">
        <v>1350</v>
      </c>
      <c r="U183" s="14"/>
    </row>
    <row r="184" spans="2:21" x14ac:dyDescent="0.25">
      <c r="B184" t="s">
        <v>141</v>
      </c>
      <c r="D184" s="14" t="str">
        <f>VLOOKUP(Table1[[#This Row],[
Item Name ]],Rates!$A$2:$B$22,2,0)</f>
        <v>CF</v>
      </c>
      <c r="E184" t="s">
        <v>38</v>
      </c>
      <c r="F184">
        <v>10080004</v>
      </c>
      <c r="G184" t="str">
        <f>VLOOKUP(Table1[[#This Row],[
MPG Code  ]],[2]Master!$B:$G,6,0)</f>
        <v>Gomukh Godhna</v>
      </c>
      <c r="H184" s="20" t="s">
        <v>113</v>
      </c>
      <c r="J184" t="str">
        <f>VLOOKUP(Table1[[#This Row],[
MPG Code  ]],[2]Master!$B:$N,13,0)</f>
        <v>Teghra</v>
      </c>
      <c r="K184" t="s">
        <v>91</v>
      </c>
      <c r="L184" t="str">
        <f>CONCATENATE(Table1[[#This Row],[
MPG Code  ]],Table1[[#This Row],[
Farmer code  ]])</f>
        <v>100800040002</v>
      </c>
      <c r="M184" t="str">
        <f>VLOOKUP(Table1[[#This Row],[
MPG Code  ]],[2]Master!$B:$F,5,0)</f>
        <v>Indirect</v>
      </c>
      <c r="N184" s="14">
        <v>1</v>
      </c>
      <c r="O184" s="11">
        <v>1300</v>
      </c>
      <c r="P184" s="11">
        <f>Table1[[#This Row],[Indent Qty]]*Table1[[#This Row],[
Rate ]]</f>
        <v>1300</v>
      </c>
      <c r="Q184" s="14">
        <f>Table1[[#This Row],[Indent Qty]]</f>
        <v>1</v>
      </c>
      <c r="R184" s="18">
        <f>Table1[[#This Row],[
Rate ]]*Table1[[#This Row],[Final Qty]]</f>
        <v>1300</v>
      </c>
      <c r="S184" s="14"/>
      <c r="T184" s="14">
        <v>1300</v>
      </c>
      <c r="U184" s="14"/>
    </row>
    <row r="185" spans="2:21" x14ac:dyDescent="0.25">
      <c r="B185" t="s">
        <v>141</v>
      </c>
      <c r="D185" s="14" t="str">
        <f>VLOOKUP(Table1[[#This Row],[
Item Name ]],Rates!$A$2:$B$22,2,0)</f>
        <v>CF</v>
      </c>
      <c r="E185" t="s">
        <v>38</v>
      </c>
      <c r="F185">
        <v>10080013</v>
      </c>
      <c r="G185" t="str">
        <f>VLOOKUP(Table1[[#This Row],[
MPG Code  ]],[2]Master!$B:$G,6,0)</f>
        <v>Gomukh ID Akashpur</v>
      </c>
      <c r="H185" s="20" t="s">
        <v>113</v>
      </c>
      <c r="J185" t="str">
        <f>VLOOKUP(Table1[[#This Row],[
MPG Code  ]],[2]Master!$B:$N,13,0)</f>
        <v>Teghra</v>
      </c>
      <c r="K185" t="s">
        <v>91</v>
      </c>
      <c r="L185" t="str">
        <f>CONCATENATE(Table1[[#This Row],[
MPG Code  ]],Table1[[#This Row],[
Farmer code  ]])</f>
        <v>100800130002</v>
      </c>
      <c r="M185" t="str">
        <f>VLOOKUP(Table1[[#This Row],[
MPG Code  ]],[2]Master!$B:$F,5,0)</f>
        <v>Indirect</v>
      </c>
      <c r="N185" s="14">
        <v>5</v>
      </c>
      <c r="O185" s="11">
        <v>1300</v>
      </c>
      <c r="P185" s="11">
        <f>Table1[[#This Row],[Indent Qty]]*Table1[[#This Row],[
Rate ]]</f>
        <v>6500</v>
      </c>
      <c r="Q185" s="14">
        <f>Table1[[#This Row],[Indent Qty]]</f>
        <v>5</v>
      </c>
      <c r="R185" s="18">
        <f>Table1[[#This Row],[
Rate ]]*Table1[[#This Row],[Final Qty]]</f>
        <v>6500</v>
      </c>
      <c r="S185" s="14"/>
      <c r="T185" s="14">
        <v>6500</v>
      </c>
      <c r="U185" s="14"/>
    </row>
    <row r="186" spans="2:21" x14ac:dyDescent="0.25">
      <c r="B186" t="s">
        <v>141</v>
      </c>
      <c r="D186" s="14" t="str">
        <f>VLOOKUP(Table1[[#This Row],[
Item Name ]],Rates!$A$2:$B$22,2,0)</f>
        <v>CF</v>
      </c>
      <c r="E186" t="s">
        <v>38</v>
      </c>
      <c r="F186">
        <v>10010145</v>
      </c>
      <c r="G186" t="s">
        <v>147</v>
      </c>
      <c r="H186" s="20" t="s">
        <v>117</v>
      </c>
      <c r="J186" t="s">
        <v>148</v>
      </c>
      <c r="K186" t="s">
        <v>91</v>
      </c>
      <c r="L186" t="str">
        <f>CONCATENATE(Table1[[#This Row],[
MPG Code  ]],Table1[[#This Row],[
Farmer code  ]])</f>
        <v>100101450013</v>
      </c>
      <c r="M186" t="e">
        <f>VLOOKUP(Table1[[#This Row],[
MPG Code  ]],[2]Master!$B:$F,5,0)</f>
        <v>#N/A</v>
      </c>
      <c r="N186" s="14">
        <v>1</v>
      </c>
      <c r="O186" s="11">
        <v>1300</v>
      </c>
      <c r="P186" s="11">
        <f>Table1[[#This Row],[Indent Qty]]*Table1[[#This Row],[
Rate ]]</f>
        <v>1300</v>
      </c>
      <c r="Q186" s="14">
        <f>Table1[[#This Row],[Indent Qty]]</f>
        <v>1</v>
      </c>
      <c r="R186" s="18">
        <f>Table1[[#This Row],[
Rate ]]*Table1[[#This Row],[Final Qty]]</f>
        <v>1300</v>
      </c>
      <c r="S186" s="14"/>
      <c r="T186" s="14">
        <v>0</v>
      </c>
      <c r="U186" s="14"/>
    </row>
    <row r="187" spans="2:21" x14ac:dyDescent="0.25">
      <c r="B187" t="s">
        <v>141</v>
      </c>
      <c r="D187" s="14" t="str">
        <f>VLOOKUP(Table1[[#This Row],[
Item Name ]],Rates!$A$2:$B$22,2,0)</f>
        <v>CF</v>
      </c>
      <c r="E187" t="s">
        <v>40</v>
      </c>
      <c r="F187">
        <v>10530111</v>
      </c>
      <c r="G187" t="s">
        <v>155</v>
      </c>
      <c r="H187" s="20" t="s">
        <v>111</v>
      </c>
      <c r="J187" t="s">
        <v>156</v>
      </c>
      <c r="K187" t="s">
        <v>91</v>
      </c>
      <c r="L187" t="str">
        <f>CONCATENATE(Table1[[#This Row],[
MPG Code  ]],Table1[[#This Row],[
Farmer code  ]])</f>
        <v>105301110003</v>
      </c>
      <c r="M187" t="e">
        <f>VLOOKUP(Table1[[#This Row],[
MPG Code  ]],[2]Master!$B:$F,5,0)</f>
        <v>#N/A</v>
      </c>
      <c r="N187" s="14">
        <v>1</v>
      </c>
      <c r="O187" s="11">
        <f>VLOOKUP(Table1[[#This Row],[
Item Name ]],Rates!$A$2:$F$22,6,0)</f>
        <v>1500</v>
      </c>
      <c r="P187" s="11">
        <f>Table1[[#This Row],[Indent Qty]]*Table1[[#This Row],[
Rate ]]</f>
        <v>1500</v>
      </c>
      <c r="Q187" s="14">
        <f>Table1[[#This Row],[Indent Qty]]</f>
        <v>1</v>
      </c>
      <c r="R187" s="18">
        <f>Table1[[#This Row],[
Rate ]]*Table1[[#This Row],[Final Qty]]</f>
        <v>1500</v>
      </c>
      <c r="S187" s="14"/>
      <c r="T187" s="14">
        <v>0</v>
      </c>
      <c r="U187" s="14"/>
    </row>
    <row r="188" spans="2:21" x14ac:dyDescent="0.25">
      <c r="B188" t="s">
        <v>141</v>
      </c>
      <c r="D188" s="14" t="str">
        <f>VLOOKUP(Table1[[#This Row],[
Item Name ]],Rates!$A$2:$B$22,2,0)</f>
        <v>CF</v>
      </c>
      <c r="E188" t="s">
        <v>38</v>
      </c>
      <c r="F188">
        <v>10600013</v>
      </c>
      <c r="G188" t="s">
        <v>165</v>
      </c>
      <c r="H188" s="20" t="s">
        <v>113</v>
      </c>
      <c r="J188" t="s">
        <v>167</v>
      </c>
      <c r="K188" t="s">
        <v>91</v>
      </c>
      <c r="L188" t="str">
        <f>CONCATENATE(Table1[[#This Row],[
MPG Code  ]],Table1[[#This Row],[
Farmer code  ]])</f>
        <v>106000130002</v>
      </c>
      <c r="M188" t="e">
        <f>VLOOKUP(Table1[[#This Row],[
MPG Code  ]],[2]Master!$B:$F,5,0)</f>
        <v>#N/A</v>
      </c>
      <c r="N188" s="14">
        <v>0</v>
      </c>
      <c r="O188" s="11">
        <v>0</v>
      </c>
      <c r="P188" s="11">
        <v>2600</v>
      </c>
      <c r="Q188" s="14">
        <f>Table1[[#This Row],[Indent Qty]]</f>
        <v>0</v>
      </c>
      <c r="R188" s="18">
        <v>2600</v>
      </c>
      <c r="S188" s="14"/>
      <c r="T188" s="14">
        <v>0</v>
      </c>
      <c r="U188" s="14"/>
    </row>
    <row r="189" spans="2:21" x14ac:dyDescent="0.25">
      <c r="B189" t="s">
        <v>141</v>
      </c>
      <c r="D189" s="14" t="str">
        <f>VLOOKUP(Table1[[#This Row],[
Item Name ]],Rates!$A$2:$B$22,2,0)</f>
        <v>CF</v>
      </c>
      <c r="E189" t="s">
        <v>38</v>
      </c>
      <c r="F189">
        <v>10600012</v>
      </c>
      <c r="G189" t="s">
        <v>166</v>
      </c>
      <c r="H189" s="20" t="s">
        <v>113</v>
      </c>
      <c r="J189" t="s">
        <v>167</v>
      </c>
      <c r="K189" t="s">
        <v>91</v>
      </c>
      <c r="L189" t="str">
        <f>CONCATENATE(Table1[[#This Row],[
MPG Code  ]],Table1[[#This Row],[
Farmer code  ]])</f>
        <v>106000120002</v>
      </c>
      <c r="M189" t="e">
        <f>VLOOKUP(Table1[[#This Row],[
MPG Code  ]],[2]Master!$B:$F,5,0)</f>
        <v>#N/A</v>
      </c>
      <c r="N189" s="14">
        <v>0</v>
      </c>
      <c r="O189" s="11">
        <v>0</v>
      </c>
      <c r="P189" s="11">
        <v>2600</v>
      </c>
      <c r="Q189" s="14">
        <f>Table1[[#This Row],[Indent Qty]]</f>
        <v>0</v>
      </c>
      <c r="R189" s="18">
        <v>2600</v>
      </c>
      <c r="S189" s="14"/>
      <c r="T189" s="14">
        <v>0</v>
      </c>
      <c r="U189" s="14"/>
    </row>
    <row r="190" spans="2:21" x14ac:dyDescent="0.25">
      <c r="B190" t="s">
        <v>141</v>
      </c>
      <c r="D190" s="14" t="str">
        <f>VLOOKUP(Table1[[#This Row],[
Item Name ]],Rates!$A$2:$B$22,2,0)</f>
        <v>CF</v>
      </c>
      <c r="E190" t="s">
        <v>38</v>
      </c>
      <c r="F190">
        <v>10540046</v>
      </c>
      <c r="G190" t="s">
        <v>172</v>
      </c>
      <c r="H190" s="20" t="s">
        <v>113</v>
      </c>
      <c r="J190" t="s">
        <v>171</v>
      </c>
      <c r="K190" t="s">
        <v>91</v>
      </c>
      <c r="L190" t="str">
        <f>CONCATENATE(Table1[[#This Row],[
MPG Code  ]],Table1[[#This Row],[
Farmer code  ]])</f>
        <v>105400460002</v>
      </c>
      <c r="M190" t="e">
        <f>VLOOKUP(Table1[[#This Row],[
MPG Code  ]],[2]Master!$B:$F,5,0)</f>
        <v>#N/A</v>
      </c>
      <c r="N190" s="14">
        <v>5</v>
      </c>
      <c r="O190" s="11">
        <f>VLOOKUP(Table1[[#This Row],[
Item Name ]],Rates!$A$2:$F$22,6,0)</f>
        <v>1350</v>
      </c>
      <c r="P190" s="11">
        <f>Table1[[#This Row],[Indent Qty]]*Table1[[#This Row],[
Rate ]]</f>
        <v>6750</v>
      </c>
      <c r="Q190" s="14">
        <f>Table1[[#This Row],[Indent Qty]]</f>
        <v>5</v>
      </c>
      <c r="R190" s="18">
        <f>Table1[[#This Row],[
Rate ]]*Table1[[#This Row],[Final Qty]]</f>
        <v>6750</v>
      </c>
      <c r="S190" s="14"/>
      <c r="T190" s="14">
        <v>0</v>
      </c>
      <c r="U190" s="14"/>
    </row>
    <row r="191" spans="2:21" x14ac:dyDescent="0.25">
      <c r="D191" s="14"/>
      <c r="N191" s="14">
        <f>SUBTOTAL(9,Table1[Indent Qty])</f>
        <v>298</v>
      </c>
      <c r="O191" s="19"/>
      <c r="P191" s="19">
        <f>SUBTOTAL(9,Table1[Amount])</f>
        <v>530403.78</v>
      </c>
      <c r="Q191" s="14">
        <f>SUBTOTAL(9,Table1[Final Qty])</f>
        <v>298</v>
      </c>
      <c r="R191" s="18">
        <f>SUBTOTAL(9,Table1[Final Amount])</f>
        <v>530403.78</v>
      </c>
      <c r="S191" s="14"/>
      <c r="T191" s="29">
        <f>SUBTOTAL(109,Table1[CF Deduction])</f>
        <v>420545</v>
      </c>
      <c r="U191" s="14"/>
    </row>
    <row r="193" spans="20:20" x14ac:dyDescent="0.25">
      <c r="T193">
        <v>110233</v>
      </c>
    </row>
    <row r="194" spans="20:20" x14ac:dyDescent="0.25">
      <c r="T194" s="30">
        <f>T193+Table1[[#Totals],[CF Deduction]]</f>
        <v>530778</v>
      </c>
    </row>
    <row r="195" spans="20:20" x14ac:dyDescent="0.25">
      <c r="T195">
        <v>530778</v>
      </c>
    </row>
    <row r="196" spans="20:20" x14ac:dyDescent="0.25">
      <c r="T196" s="30">
        <f>T195-T194</f>
        <v>0</v>
      </c>
    </row>
    <row r="201" spans="20:20" x14ac:dyDescent="0.25">
      <c r="T201">
        <v>3510</v>
      </c>
    </row>
    <row r="202" spans="20:20" x14ac:dyDescent="0.25">
      <c r="T202">
        <v>6750</v>
      </c>
    </row>
    <row r="203" spans="20:20" x14ac:dyDescent="0.25">
      <c r="T203">
        <f>T202-T201</f>
        <v>3240</v>
      </c>
    </row>
  </sheetData>
  <phoneticPr fontId="6" type="noConversion"/>
  <conditionalFormatting sqref="L1:L1048576">
    <cfRule type="duplicateValues" dxfId="12" priority="1"/>
  </conditionalFormatting>
  <dataValidations count="2">
    <dataValidation type="textLength" operator="equal" allowBlank="1" showInputMessage="1" showErrorMessage="1" sqref="H2:H190" xr:uid="{43BBBEC4-E23C-43DC-B5D5-2EF7F077E4F2}">
      <formula1>4</formula1>
    </dataValidation>
    <dataValidation type="textLength" operator="equal" allowBlank="1" showInputMessage="1" showErrorMessage="1" sqref="F2:F190" xr:uid="{88DFBC1C-D9D7-4679-9FA5-92BF51D408FE}">
      <formula1>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8CDF64-5B71-4E42-92CE-DB56AD1ED9DB}">
          <x14:formula1>
            <xm:f>Rates!$A$2:$A$18</xm:f>
          </x14:formula1>
          <xm:sqref>E2:E190</xm:sqref>
        </x14:dataValidation>
        <x14:dataValidation type="list" allowBlank="1" showInputMessage="1" showErrorMessage="1" xr:uid="{B2C478A8-B7FB-480A-ABF3-69D6C07FD773}">
          <x14:formula1>
            <xm:f>Rates!$H$1:$H$2</xm:f>
          </x14:formula1>
          <xm:sqref>M2:M190</xm:sqref>
        </x14:dataValidation>
        <x14:dataValidation type="list" allowBlank="1" showInputMessage="1" showErrorMessage="1" xr:uid="{0A329BD3-1CB2-4194-9FFE-2266A37DB054}">
          <x14:formula1>
            <xm:f>Rates!$B$15:$B$16</xm:f>
          </x14:formula1>
          <xm:sqref>D2:D190</xm:sqref>
        </x14:dataValidation>
        <x14:dataValidation type="list" allowBlank="1" showInputMessage="1" showErrorMessage="1" xr:uid="{293AC238-8034-46CF-8F86-B906F25B0BDD}">
          <x14:formula1>
            <xm:f>Rates!$J$1:$J$2</xm:f>
          </x14:formula1>
          <xm:sqref>C2:C190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6D95-4F65-4676-8544-C518E7DBF6D6}">
  <dimension ref="A1:AD927"/>
  <sheetViews>
    <sheetView tabSelected="1" workbookViewId="0">
      <selection activeCell="C1" sqref="C1"/>
    </sheetView>
  </sheetViews>
  <sheetFormatPr defaultRowHeight="15" x14ac:dyDescent="0.25"/>
  <cols>
    <col min="13" max="13" width="33.28515625" bestFit="1" customWidth="1"/>
    <col min="14" max="14" width="12.85546875" bestFit="1" customWidth="1"/>
  </cols>
  <sheetData>
    <row r="1" spans="1:30" s="42" customFormat="1" ht="47.25" customHeight="1" x14ac:dyDescent="0.25">
      <c r="A1" s="32" t="s">
        <v>337</v>
      </c>
      <c r="B1" s="32" t="s">
        <v>338</v>
      </c>
      <c r="C1" s="32" t="s">
        <v>339</v>
      </c>
      <c r="D1" s="33" t="s">
        <v>340</v>
      </c>
      <c r="E1" s="32" t="s">
        <v>341</v>
      </c>
      <c r="F1" s="32" t="s">
        <v>342</v>
      </c>
      <c r="G1" s="34" t="s">
        <v>343</v>
      </c>
      <c r="H1" s="34" t="s">
        <v>344</v>
      </c>
      <c r="I1" s="35" t="s">
        <v>345</v>
      </c>
      <c r="J1" s="35" t="s">
        <v>334</v>
      </c>
      <c r="K1" s="35" t="s">
        <v>346</v>
      </c>
      <c r="L1" s="36" t="s">
        <v>347</v>
      </c>
      <c r="M1" s="37" t="s">
        <v>348</v>
      </c>
      <c r="N1" s="37" t="s">
        <v>349</v>
      </c>
      <c r="O1" s="20"/>
      <c r="P1" s="38" t="s">
        <v>350</v>
      </c>
      <c r="Q1" s="38" t="s">
        <v>351</v>
      </c>
      <c r="R1" s="38" t="s">
        <v>352</v>
      </c>
      <c r="S1" s="38" t="s">
        <v>353</v>
      </c>
      <c r="T1" s="38" t="s">
        <v>354</v>
      </c>
      <c r="U1" s="39" t="s">
        <v>355</v>
      </c>
      <c r="V1" s="39" t="s">
        <v>356</v>
      </c>
      <c r="W1" s="39" t="s">
        <v>357</v>
      </c>
      <c r="X1" s="39" t="s">
        <v>358</v>
      </c>
      <c r="Y1" s="39" t="s">
        <v>61</v>
      </c>
      <c r="Z1" s="39" t="s">
        <v>359</v>
      </c>
      <c r="AA1" s="39" t="s">
        <v>360</v>
      </c>
      <c r="AB1" s="40" t="s">
        <v>361</v>
      </c>
      <c r="AC1" s="41" t="s">
        <v>362</v>
      </c>
    </row>
    <row r="2" spans="1:30" x14ac:dyDescent="0.25">
      <c r="A2" s="43">
        <v>1001</v>
      </c>
      <c r="B2" s="44" t="s">
        <v>148</v>
      </c>
      <c r="C2" s="45">
        <v>10010013</v>
      </c>
      <c r="D2" s="46" t="s">
        <v>363</v>
      </c>
      <c r="E2" s="47" t="s">
        <v>364</v>
      </c>
      <c r="F2" s="47" t="s">
        <v>58</v>
      </c>
      <c r="G2" s="48">
        <v>768.5</v>
      </c>
      <c r="H2" s="48">
        <v>29428.73</v>
      </c>
      <c r="I2" s="49">
        <v>0</v>
      </c>
      <c r="J2" s="49">
        <v>0</v>
      </c>
      <c r="K2" s="49">
        <v>0</v>
      </c>
      <c r="L2" s="50">
        <v>0</v>
      </c>
      <c r="M2" s="51"/>
      <c r="N2" s="52" t="s">
        <v>1300</v>
      </c>
      <c r="O2" s="31"/>
      <c r="P2" s="53">
        <v>1.6382631345637385E-2</v>
      </c>
      <c r="Q2" s="54">
        <v>19</v>
      </c>
      <c r="R2" s="55">
        <v>0</v>
      </c>
      <c r="S2" s="55">
        <v>0</v>
      </c>
      <c r="T2" s="56">
        <v>0</v>
      </c>
      <c r="U2" s="57"/>
      <c r="V2" s="55">
        <v>0</v>
      </c>
      <c r="W2" s="55">
        <v>0</v>
      </c>
      <c r="X2" s="58">
        <v>0</v>
      </c>
      <c r="Y2" s="59">
        <v>0</v>
      </c>
      <c r="Z2" s="58">
        <v>0</v>
      </c>
      <c r="AA2" s="56">
        <v>0</v>
      </c>
      <c r="AB2" s="56">
        <v>0</v>
      </c>
      <c r="AC2" s="60">
        <v>46142</v>
      </c>
    </row>
    <row r="3" spans="1:30" x14ac:dyDescent="0.25">
      <c r="A3" s="43">
        <v>1008</v>
      </c>
      <c r="B3" s="44" t="s">
        <v>1282</v>
      </c>
      <c r="C3" s="43">
        <v>10010017</v>
      </c>
      <c r="D3" s="46" t="s">
        <v>365</v>
      </c>
      <c r="E3" s="47" t="s">
        <v>364</v>
      </c>
      <c r="F3" s="47" t="s">
        <v>58</v>
      </c>
      <c r="G3" s="48">
        <v>49.45</v>
      </c>
      <c r="H3" s="48">
        <v>1708.9199999999998</v>
      </c>
      <c r="I3" s="49">
        <v>0</v>
      </c>
      <c r="J3" s="49">
        <v>0</v>
      </c>
      <c r="K3" s="49">
        <v>72.41</v>
      </c>
      <c r="L3" s="50" t="s">
        <v>366</v>
      </c>
      <c r="M3" s="51" t="s">
        <v>367</v>
      </c>
      <c r="N3" s="52" t="s">
        <v>1300</v>
      </c>
      <c r="O3" s="31"/>
      <c r="P3" s="53">
        <v>-3.7693560143250838E-3</v>
      </c>
      <c r="Q3" s="54">
        <v>1</v>
      </c>
      <c r="R3" s="55">
        <v>0</v>
      </c>
      <c r="S3" s="55">
        <v>0</v>
      </c>
      <c r="T3" s="56">
        <v>0</v>
      </c>
      <c r="U3" s="57"/>
      <c r="V3" s="55">
        <v>72.411059999999949</v>
      </c>
      <c r="W3" s="55">
        <v>0</v>
      </c>
      <c r="X3" s="58">
        <v>0</v>
      </c>
      <c r="Y3" s="59">
        <v>72.411059999999949</v>
      </c>
      <c r="Z3" s="58">
        <v>72.41</v>
      </c>
      <c r="AA3" s="56">
        <v>-1.0599999999527654E-3</v>
      </c>
      <c r="AB3" s="56">
        <v>-1.0599999999527654E-3</v>
      </c>
      <c r="AC3" s="60">
        <v>46142</v>
      </c>
      <c r="AD3" s="61"/>
    </row>
    <row r="4" spans="1:30" x14ac:dyDescent="0.25">
      <c r="A4" s="43">
        <v>1001</v>
      </c>
      <c r="B4" s="44" t="s">
        <v>148</v>
      </c>
      <c r="C4" s="45">
        <v>10010019</v>
      </c>
      <c r="D4" s="46" t="s">
        <v>368</v>
      </c>
      <c r="E4" s="47" t="s">
        <v>364</v>
      </c>
      <c r="F4" s="47" t="s">
        <v>58</v>
      </c>
      <c r="G4" s="62">
        <v>739.8</v>
      </c>
      <c r="H4" s="62">
        <v>30204.13</v>
      </c>
      <c r="I4" s="49">
        <v>0</v>
      </c>
      <c r="J4" s="49">
        <v>0</v>
      </c>
      <c r="K4" s="49">
        <v>0</v>
      </c>
      <c r="L4" s="50" t="s">
        <v>366</v>
      </c>
      <c r="M4" s="51" t="s">
        <v>367</v>
      </c>
      <c r="N4" s="52" t="s">
        <v>1300</v>
      </c>
      <c r="O4" s="31"/>
      <c r="P4" s="53">
        <v>-1.1406073113687982E-2</v>
      </c>
      <c r="Q4" s="54">
        <v>13</v>
      </c>
      <c r="R4" s="55">
        <v>0</v>
      </c>
      <c r="S4" s="55">
        <v>0</v>
      </c>
      <c r="T4" s="56">
        <v>0</v>
      </c>
      <c r="U4" s="57"/>
      <c r="V4" s="55">
        <v>0</v>
      </c>
      <c r="W4" s="55">
        <v>0</v>
      </c>
      <c r="X4" s="58">
        <v>0</v>
      </c>
      <c r="Y4" s="59">
        <v>0</v>
      </c>
      <c r="Z4" s="58">
        <v>0</v>
      </c>
      <c r="AA4" s="56">
        <v>0</v>
      </c>
      <c r="AB4" s="56">
        <v>0</v>
      </c>
      <c r="AC4" s="60">
        <v>46142</v>
      </c>
      <c r="AD4" s="61"/>
    </row>
    <row r="5" spans="1:30" x14ac:dyDescent="0.25">
      <c r="A5" s="43">
        <v>1058</v>
      </c>
      <c r="B5" s="44" t="s">
        <v>1283</v>
      </c>
      <c r="C5" s="45">
        <v>10010038</v>
      </c>
      <c r="D5" s="46" t="s">
        <v>369</v>
      </c>
      <c r="E5" s="47" t="s">
        <v>364</v>
      </c>
      <c r="F5" s="47" t="s">
        <v>58</v>
      </c>
      <c r="G5" s="62">
        <v>1163.3999999999999</v>
      </c>
      <c r="H5" s="62">
        <v>45015.089999999989</v>
      </c>
      <c r="I5" s="49">
        <v>0</v>
      </c>
      <c r="J5" s="49">
        <v>12500</v>
      </c>
      <c r="K5" s="49">
        <v>0</v>
      </c>
      <c r="L5" s="50">
        <v>0</v>
      </c>
      <c r="M5" s="51"/>
      <c r="N5" s="52" t="s">
        <v>1300</v>
      </c>
      <c r="O5" s="31"/>
      <c r="P5" s="53">
        <v>-9.1142029146227821E-3</v>
      </c>
      <c r="Q5" s="54">
        <v>8</v>
      </c>
      <c r="R5" s="55">
        <v>0</v>
      </c>
      <c r="S5" s="55">
        <v>0</v>
      </c>
      <c r="T5" s="56">
        <v>0</v>
      </c>
      <c r="U5" s="57"/>
      <c r="V5" s="55">
        <v>0</v>
      </c>
      <c r="W5" s="55">
        <v>0</v>
      </c>
      <c r="X5" s="58">
        <v>0</v>
      </c>
      <c r="Y5" s="59">
        <v>0</v>
      </c>
      <c r="Z5" s="58">
        <v>0</v>
      </c>
      <c r="AA5" s="56">
        <v>0</v>
      </c>
      <c r="AB5" s="56">
        <v>0</v>
      </c>
      <c r="AC5" s="60">
        <v>46142</v>
      </c>
    </row>
    <row r="6" spans="1:30" x14ac:dyDescent="0.25">
      <c r="A6" s="43">
        <v>1001</v>
      </c>
      <c r="B6" s="44" t="s">
        <v>148</v>
      </c>
      <c r="C6" s="45">
        <v>10010047</v>
      </c>
      <c r="D6" s="46" t="s">
        <v>370</v>
      </c>
      <c r="E6" s="47" t="s">
        <v>371</v>
      </c>
      <c r="F6" s="47" t="s">
        <v>59</v>
      </c>
      <c r="G6" s="62">
        <v>14.1</v>
      </c>
      <c r="H6" s="62">
        <v>657.06</v>
      </c>
      <c r="I6" s="49">
        <v>0</v>
      </c>
      <c r="J6" s="49">
        <v>0</v>
      </c>
      <c r="K6" s="49">
        <v>587.58044516129041</v>
      </c>
      <c r="L6" s="50">
        <v>0</v>
      </c>
      <c r="M6" s="51"/>
      <c r="N6" s="52" t="s">
        <v>1300</v>
      </c>
      <c r="O6" s="31"/>
      <c r="P6" s="53">
        <v>0</v>
      </c>
      <c r="Q6" s="54">
        <v>0</v>
      </c>
      <c r="R6" s="55">
        <v>0</v>
      </c>
      <c r="S6" s="55">
        <v>0</v>
      </c>
      <c r="T6" s="56">
        <v>0</v>
      </c>
      <c r="U6" s="57"/>
      <c r="V6" s="55">
        <v>587.58044516129041</v>
      </c>
      <c r="W6" s="55">
        <v>0</v>
      </c>
      <c r="X6" s="58">
        <v>0</v>
      </c>
      <c r="Y6" s="59">
        <v>587.58044516129041</v>
      </c>
      <c r="Z6" s="58">
        <v>587.58044516129041</v>
      </c>
      <c r="AA6" s="56">
        <v>0</v>
      </c>
      <c r="AB6" s="56">
        <v>0</v>
      </c>
      <c r="AC6" s="60">
        <v>46142</v>
      </c>
    </row>
    <row r="7" spans="1:30" x14ac:dyDescent="0.25">
      <c r="A7" s="43">
        <v>1001</v>
      </c>
      <c r="B7" s="44" t="s">
        <v>148</v>
      </c>
      <c r="C7" s="45">
        <v>10010049</v>
      </c>
      <c r="D7" s="46" t="s">
        <v>372</v>
      </c>
      <c r="E7" s="47" t="s">
        <v>371</v>
      </c>
      <c r="F7" s="47" t="s">
        <v>59</v>
      </c>
      <c r="G7" s="62">
        <v>141.4</v>
      </c>
      <c r="H7" s="62">
        <v>4811.59</v>
      </c>
      <c r="I7" s="49">
        <v>0</v>
      </c>
      <c r="J7" s="49">
        <v>0</v>
      </c>
      <c r="K7" s="49">
        <v>4590.3744193548391</v>
      </c>
      <c r="L7" s="50">
        <v>0</v>
      </c>
      <c r="M7" s="51"/>
      <c r="N7" s="52" t="s">
        <v>1300</v>
      </c>
      <c r="O7" s="31"/>
      <c r="P7" s="53">
        <v>0</v>
      </c>
      <c r="Q7" s="54">
        <v>0</v>
      </c>
      <c r="R7" s="55">
        <v>0</v>
      </c>
      <c r="S7" s="55">
        <v>0</v>
      </c>
      <c r="T7" s="56">
        <v>0</v>
      </c>
      <c r="U7" s="57"/>
      <c r="V7" s="55">
        <v>4590.3744193548391</v>
      </c>
      <c r="W7" s="55">
        <v>0</v>
      </c>
      <c r="X7" s="58">
        <v>0</v>
      </c>
      <c r="Y7" s="59">
        <v>4590.3744193548391</v>
      </c>
      <c r="Z7" s="58">
        <v>4590.3744193548391</v>
      </c>
      <c r="AA7" s="56">
        <v>0</v>
      </c>
      <c r="AB7" s="56">
        <v>0</v>
      </c>
      <c r="AC7" s="60">
        <v>46142</v>
      </c>
    </row>
    <row r="8" spans="1:30" x14ac:dyDescent="0.25">
      <c r="A8" s="43">
        <v>1058</v>
      </c>
      <c r="B8" s="44" t="s">
        <v>1283</v>
      </c>
      <c r="C8" s="45">
        <v>10010050</v>
      </c>
      <c r="D8" s="46" t="s">
        <v>373</v>
      </c>
      <c r="E8" s="47" t="s">
        <v>371</v>
      </c>
      <c r="F8" s="47" t="s">
        <v>59</v>
      </c>
      <c r="G8" s="62">
        <v>646.6</v>
      </c>
      <c r="H8" s="62">
        <v>24645.309999999998</v>
      </c>
      <c r="I8" s="49">
        <v>0</v>
      </c>
      <c r="J8" s="49">
        <v>0</v>
      </c>
      <c r="K8" s="49">
        <v>0</v>
      </c>
      <c r="L8" s="50">
        <v>0</v>
      </c>
      <c r="M8" s="51"/>
      <c r="N8" s="52" t="s">
        <v>1300</v>
      </c>
      <c r="O8" s="31"/>
      <c r="P8" s="53">
        <v>0</v>
      </c>
      <c r="Q8" s="54">
        <v>0</v>
      </c>
      <c r="R8" s="55">
        <v>0</v>
      </c>
      <c r="S8" s="55">
        <v>0</v>
      </c>
      <c r="T8" s="56">
        <v>0</v>
      </c>
      <c r="U8" s="57"/>
      <c r="V8" s="55">
        <v>0</v>
      </c>
      <c r="W8" s="55">
        <v>0</v>
      </c>
      <c r="X8" s="58">
        <v>0</v>
      </c>
      <c r="Y8" s="59">
        <v>0</v>
      </c>
      <c r="Z8" s="58">
        <v>0</v>
      </c>
      <c r="AA8" s="56">
        <v>0</v>
      </c>
      <c r="AB8" s="56">
        <v>0</v>
      </c>
      <c r="AC8" s="60">
        <v>46142</v>
      </c>
      <c r="AD8" s="61"/>
    </row>
    <row r="9" spans="1:30" x14ac:dyDescent="0.25">
      <c r="A9" s="43">
        <v>1001</v>
      </c>
      <c r="B9" s="44" t="s">
        <v>148</v>
      </c>
      <c r="C9" s="45">
        <v>10010055</v>
      </c>
      <c r="D9" s="46" t="s">
        <v>374</v>
      </c>
      <c r="E9" s="47" t="s">
        <v>364</v>
      </c>
      <c r="F9" s="47" t="s">
        <v>58</v>
      </c>
      <c r="G9" s="62">
        <v>136.5</v>
      </c>
      <c r="H9" s="62">
        <v>5618.98</v>
      </c>
      <c r="I9" s="49">
        <v>0</v>
      </c>
      <c r="J9" s="49">
        <v>0</v>
      </c>
      <c r="K9" s="49">
        <v>0</v>
      </c>
      <c r="L9" s="50">
        <v>0</v>
      </c>
      <c r="M9" s="51"/>
      <c r="N9" s="52" t="s">
        <v>1300</v>
      </c>
      <c r="O9" s="31"/>
      <c r="P9" s="53">
        <v>2.1726857607608303E-2</v>
      </c>
      <c r="Q9" s="54">
        <v>2</v>
      </c>
      <c r="R9" s="55">
        <v>0</v>
      </c>
      <c r="S9" s="55">
        <v>0</v>
      </c>
      <c r="T9" s="56">
        <v>0</v>
      </c>
      <c r="U9" s="57"/>
      <c r="V9" s="55">
        <v>0</v>
      </c>
      <c r="W9" s="55">
        <v>0</v>
      </c>
      <c r="X9" s="58">
        <v>0</v>
      </c>
      <c r="Y9" s="59">
        <v>0</v>
      </c>
      <c r="Z9" s="58">
        <v>0</v>
      </c>
      <c r="AA9" s="56">
        <v>0</v>
      </c>
      <c r="AB9" s="56">
        <v>0</v>
      </c>
      <c r="AC9" s="60">
        <v>46142</v>
      </c>
    </row>
    <row r="10" spans="1:30" x14ac:dyDescent="0.25">
      <c r="A10" s="43">
        <v>1001</v>
      </c>
      <c r="B10" s="44" t="s">
        <v>148</v>
      </c>
      <c r="C10" s="45">
        <v>10010057</v>
      </c>
      <c r="D10" s="46" t="s">
        <v>375</v>
      </c>
      <c r="E10" s="47" t="s">
        <v>371</v>
      </c>
      <c r="F10" s="47" t="s">
        <v>59</v>
      </c>
      <c r="G10" s="62">
        <v>11063</v>
      </c>
      <c r="H10" s="62">
        <v>392059.06</v>
      </c>
      <c r="I10" s="49">
        <v>0</v>
      </c>
      <c r="J10" s="49">
        <v>0</v>
      </c>
      <c r="K10" s="49">
        <v>0</v>
      </c>
      <c r="L10" s="50">
        <v>0</v>
      </c>
      <c r="M10" s="51"/>
      <c r="N10" s="52" t="s">
        <v>1300</v>
      </c>
      <c r="O10" s="31"/>
      <c r="P10" s="53">
        <v>0</v>
      </c>
      <c r="Q10" s="54">
        <v>0</v>
      </c>
      <c r="R10" s="55">
        <v>0</v>
      </c>
      <c r="S10" s="55">
        <v>0</v>
      </c>
      <c r="T10" s="56">
        <v>0</v>
      </c>
      <c r="U10" s="57"/>
      <c r="V10" s="55">
        <v>0</v>
      </c>
      <c r="W10" s="55">
        <v>0</v>
      </c>
      <c r="X10" s="58">
        <v>0</v>
      </c>
      <c r="Y10" s="59">
        <v>0</v>
      </c>
      <c r="Z10" s="58">
        <v>0</v>
      </c>
      <c r="AA10" s="56">
        <v>0</v>
      </c>
      <c r="AB10" s="56">
        <v>0</v>
      </c>
      <c r="AC10" s="60">
        <v>46142</v>
      </c>
    </row>
    <row r="11" spans="1:30" x14ac:dyDescent="0.25">
      <c r="A11" s="43">
        <v>1001</v>
      </c>
      <c r="B11" s="44" t="s">
        <v>148</v>
      </c>
      <c r="C11" s="45">
        <v>10010076</v>
      </c>
      <c r="D11" s="46" t="s">
        <v>376</v>
      </c>
      <c r="E11" s="47" t="s">
        <v>364</v>
      </c>
      <c r="F11" s="47" t="s">
        <v>58</v>
      </c>
      <c r="G11" s="62">
        <v>165.70000000000002</v>
      </c>
      <c r="H11" s="62">
        <v>6324.9800000000014</v>
      </c>
      <c r="I11" s="49">
        <v>0</v>
      </c>
      <c r="J11" s="49">
        <v>0</v>
      </c>
      <c r="K11" s="49">
        <v>1024.71</v>
      </c>
      <c r="L11" s="50" t="s">
        <v>366</v>
      </c>
      <c r="M11" s="51" t="s">
        <v>367</v>
      </c>
      <c r="N11" s="52" t="s">
        <v>1300</v>
      </c>
      <c r="O11" s="31"/>
      <c r="P11" s="53">
        <v>-8.8033689640125257E-2</v>
      </c>
      <c r="Q11" s="54">
        <v>4</v>
      </c>
      <c r="R11" s="55">
        <v>0</v>
      </c>
      <c r="S11" s="55">
        <v>0</v>
      </c>
      <c r="T11" s="56">
        <v>0</v>
      </c>
      <c r="U11" s="57"/>
      <c r="V11" s="55">
        <v>1024.7141796610169</v>
      </c>
      <c r="W11" s="55">
        <v>0</v>
      </c>
      <c r="X11" s="58">
        <v>0</v>
      </c>
      <c r="Y11" s="59">
        <v>1024.7141796610169</v>
      </c>
      <c r="Z11" s="58">
        <v>1024.71</v>
      </c>
      <c r="AA11" s="56">
        <v>-4.1796610169058113E-3</v>
      </c>
      <c r="AB11" s="56">
        <v>-4.1796610169058113E-3</v>
      </c>
      <c r="AC11" s="60">
        <v>46142</v>
      </c>
      <c r="AD11" s="61"/>
    </row>
    <row r="12" spans="1:30" x14ac:dyDescent="0.25">
      <c r="A12" s="43">
        <v>1001</v>
      </c>
      <c r="B12" s="44" t="s">
        <v>148</v>
      </c>
      <c r="C12" s="45">
        <v>10010082</v>
      </c>
      <c r="D12" s="46" t="s">
        <v>377</v>
      </c>
      <c r="E12" s="47" t="s">
        <v>364</v>
      </c>
      <c r="F12" s="47" t="s">
        <v>58</v>
      </c>
      <c r="G12" s="62">
        <v>1053.2</v>
      </c>
      <c r="H12" s="62">
        <v>40013.169999999991</v>
      </c>
      <c r="I12" s="49">
        <v>0</v>
      </c>
      <c r="J12" s="49">
        <v>0</v>
      </c>
      <c r="K12" s="49">
        <v>0</v>
      </c>
      <c r="L12" s="50" t="s">
        <v>366</v>
      </c>
      <c r="M12" s="51" t="s">
        <v>367</v>
      </c>
      <c r="N12" s="52" t="s">
        <v>1300</v>
      </c>
      <c r="O12" s="31"/>
      <c r="P12" s="53">
        <v>-1.3362381786361842E-2</v>
      </c>
      <c r="Q12" s="54">
        <v>10</v>
      </c>
      <c r="R12" s="55">
        <v>0</v>
      </c>
      <c r="S12" s="55">
        <v>0</v>
      </c>
      <c r="T12" s="56">
        <v>0</v>
      </c>
      <c r="U12" s="57"/>
      <c r="V12" s="55">
        <v>0</v>
      </c>
      <c r="W12" s="55">
        <v>0</v>
      </c>
      <c r="X12" s="58">
        <v>0</v>
      </c>
      <c r="Y12" s="59">
        <v>0</v>
      </c>
      <c r="Z12" s="58">
        <v>0</v>
      </c>
      <c r="AA12" s="56">
        <v>0</v>
      </c>
      <c r="AB12" s="56">
        <v>0</v>
      </c>
      <c r="AC12" s="60">
        <v>46142</v>
      </c>
    </row>
    <row r="13" spans="1:30" x14ac:dyDescent="0.25">
      <c r="A13" s="43">
        <v>1001</v>
      </c>
      <c r="B13" s="44" t="s">
        <v>148</v>
      </c>
      <c r="C13" s="45">
        <v>10010084</v>
      </c>
      <c r="D13" s="46" t="s">
        <v>378</v>
      </c>
      <c r="E13" s="47" t="s">
        <v>371</v>
      </c>
      <c r="F13" s="47" t="s">
        <v>59</v>
      </c>
      <c r="G13" s="62">
        <v>144.9</v>
      </c>
      <c r="H13" s="62">
        <v>5209.43</v>
      </c>
      <c r="I13" s="49">
        <v>0</v>
      </c>
      <c r="J13" s="49">
        <v>0</v>
      </c>
      <c r="K13" s="49">
        <v>1.7164451612901104</v>
      </c>
      <c r="L13" s="50">
        <v>0</v>
      </c>
      <c r="M13" s="51"/>
      <c r="N13" s="52" t="s">
        <v>1300</v>
      </c>
      <c r="O13" s="31"/>
      <c r="P13" s="53">
        <v>0</v>
      </c>
      <c r="Q13" s="54">
        <v>0</v>
      </c>
      <c r="R13" s="55">
        <v>0</v>
      </c>
      <c r="S13" s="55">
        <v>0</v>
      </c>
      <c r="T13" s="56">
        <v>0</v>
      </c>
      <c r="U13" s="57"/>
      <c r="V13" s="55">
        <v>1.7164451612901104</v>
      </c>
      <c r="W13" s="55">
        <v>0</v>
      </c>
      <c r="X13" s="58">
        <v>0</v>
      </c>
      <c r="Y13" s="59">
        <v>1.7164451612901104</v>
      </c>
      <c r="Z13" s="58">
        <v>1.7164451612901104</v>
      </c>
      <c r="AA13" s="56">
        <v>0</v>
      </c>
      <c r="AB13" s="56">
        <v>0</v>
      </c>
      <c r="AC13" s="60">
        <v>46142</v>
      </c>
    </row>
    <row r="14" spans="1:30" x14ac:dyDescent="0.25">
      <c r="A14" s="43">
        <v>1058</v>
      </c>
      <c r="B14" s="44" t="s">
        <v>1283</v>
      </c>
      <c r="C14" s="45">
        <v>10010086</v>
      </c>
      <c r="D14" s="46" t="s">
        <v>379</v>
      </c>
      <c r="E14" s="47" t="s">
        <v>364</v>
      </c>
      <c r="F14" s="47" t="s">
        <v>58</v>
      </c>
      <c r="G14" s="62">
        <v>164.89999999999998</v>
      </c>
      <c r="H14" s="62">
        <v>6701.8499999999995</v>
      </c>
      <c r="I14" s="49">
        <v>0</v>
      </c>
      <c r="J14" s="49">
        <v>0</v>
      </c>
      <c r="K14" s="49">
        <v>0</v>
      </c>
      <c r="L14" s="50" t="s">
        <v>366</v>
      </c>
      <c r="M14" s="51" t="s">
        <v>367</v>
      </c>
      <c r="N14" s="52" t="s">
        <v>1300</v>
      </c>
      <c r="O14" s="31"/>
      <c r="P14" s="53">
        <v>-0.10731429872477995</v>
      </c>
      <c r="Q14" s="54">
        <v>8</v>
      </c>
      <c r="R14" s="55">
        <v>0</v>
      </c>
      <c r="S14" s="55">
        <v>0</v>
      </c>
      <c r="T14" s="56">
        <v>0</v>
      </c>
      <c r="U14" s="57"/>
      <c r="V14" s="55">
        <v>0</v>
      </c>
      <c r="W14" s="55">
        <v>0</v>
      </c>
      <c r="X14" s="58">
        <v>0</v>
      </c>
      <c r="Y14" s="59">
        <v>0</v>
      </c>
      <c r="Z14" s="58">
        <v>0</v>
      </c>
      <c r="AA14" s="56">
        <v>0</v>
      </c>
      <c r="AB14" s="56">
        <v>0</v>
      </c>
      <c r="AC14" s="60">
        <v>46142</v>
      </c>
    </row>
    <row r="15" spans="1:30" x14ac:dyDescent="0.25">
      <c r="A15" s="43">
        <v>1058</v>
      </c>
      <c r="B15" s="44" t="s">
        <v>1283</v>
      </c>
      <c r="C15" s="45">
        <v>10010087</v>
      </c>
      <c r="D15" s="46" t="s">
        <v>380</v>
      </c>
      <c r="E15" s="47" t="s">
        <v>371</v>
      </c>
      <c r="F15" s="47" t="s">
        <v>59</v>
      </c>
      <c r="G15" s="62">
        <v>105.79999999999998</v>
      </c>
      <c r="H15" s="62">
        <v>3181.92</v>
      </c>
      <c r="I15" s="49">
        <v>0</v>
      </c>
      <c r="J15" s="49">
        <v>0</v>
      </c>
      <c r="K15" s="49">
        <v>237.1186258064514</v>
      </c>
      <c r="L15" s="50">
        <v>0</v>
      </c>
      <c r="M15" s="51"/>
      <c r="N15" s="52" t="s">
        <v>1300</v>
      </c>
      <c r="O15" s="31"/>
      <c r="P15" s="53">
        <v>0</v>
      </c>
      <c r="Q15" s="54">
        <v>0</v>
      </c>
      <c r="R15" s="55">
        <v>0</v>
      </c>
      <c r="S15" s="55">
        <v>0</v>
      </c>
      <c r="T15" s="56">
        <v>0</v>
      </c>
      <c r="U15" s="57"/>
      <c r="V15" s="55">
        <v>237.1186258064514</v>
      </c>
      <c r="W15" s="55">
        <v>0</v>
      </c>
      <c r="X15" s="58">
        <v>0</v>
      </c>
      <c r="Y15" s="59">
        <v>237.1186258064514</v>
      </c>
      <c r="Z15" s="58">
        <v>237.1186258064514</v>
      </c>
      <c r="AA15" s="56">
        <v>0</v>
      </c>
      <c r="AB15" s="56">
        <v>0</v>
      </c>
      <c r="AC15" s="60">
        <v>46142</v>
      </c>
    </row>
    <row r="16" spans="1:30" x14ac:dyDescent="0.25">
      <c r="A16" s="43">
        <v>1058</v>
      </c>
      <c r="B16" s="44" t="s">
        <v>1283</v>
      </c>
      <c r="C16" s="45">
        <v>10010089</v>
      </c>
      <c r="D16" s="46" t="s">
        <v>381</v>
      </c>
      <c r="E16" s="47" t="s">
        <v>364</v>
      </c>
      <c r="F16" s="47" t="s">
        <v>58</v>
      </c>
      <c r="G16" s="62">
        <v>396.2</v>
      </c>
      <c r="H16" s="62">
        <v>14824.74</v>
      </c>
      <c r="I16" s="49">
        <v>0</v>
      </c>
      <c r="J16" s="49">
        <v>0</v>
      </c>
      <c r="K16" s="49">
        <v>0</v>
      </c>
      <c r="L16" s="50">
        <v>0</v>
      </c>
      <c r="M16" s="51"/>
      <c r="N16" s="52" t="s">
        <v>1300</v>
      </c>
      <c r="O16" s="31"/>
      <c r="P16" s="53">
        <v>-4.9713748549276307E-2</v>
      </c>
      <c r="Q16" s="54">
        <v>16</v>
      </c>
      <c r="R16" s="55">
        <v>0</v>
      </c>
      <c r="S16" s="55">
        <v>0</v>
      </c>
      <c r="T16" s="56">
        <v>0</v>
      </c>
      <c r="U16" s="57"/>
      <c r="V16" s="55">
        <v>0</v>
      </c>
      <c r="W16" s="55">
        <v>0</v>
      </c>
      <c r="X16" s="58">
        <v>0</v>
      </c>
      <c r="Y16" s="59">
        <v>0</v>
      </c>
      <c r="Z16" s="58">
        <v>0</v>
      </c>
      <c r="AA16" s="56">
        <v>0</v>
      </c>
      <c r="AB16" s="56">
        <v>0</v>
      </c>
      <c r="AC16" s="60">
        <v>46142</v>
      </c>
      <c r="AD16" s="61"/>
    </row>
    <row r="17" spans="1:30" x14ac:dyDescent="0.25">
      <c r="A17" s="43">
        <v>1001</v>
      </c>
      <c r="B17" s="44" t="s">
        <v>148</v>
      </c>
      <c r="C17" s="45">
        <v>10010092</v>
      </c>
      <c r="D17" s="46" t="s">
        <v>382</v>
      </c>
      <c r="E17" s="47" t="s">
        <v>371</v>
      </c>
      <c r="F17" s="47" t="s">
        <v>59</v>
      </c>
      <c r="G17" s="62">
        <v>323.70000000000005</v>
      </c>
      <c r="H17" s="62">
        <v>10003.120000000001</v>
      </c>
      <c r="I17" s="49">
        <v>0</v>
      </c>
      <c r="J17" s="49">
        <v>0</v>
      </c>
      <c r="K17" s="49">
        <v>447.02332258064553</v>
      </c>
      <c r="L17" s="50">
        <v>0</v>
      </c>
      <c r="M17" s="51"/>
      <c r="N17" s="52" t="s">
        <v>1300</v>
      </c>
      <c r="O17" s="31"/>
      <c r="P17" s="53">
        <v>0</v>
      </c>
      <c r="Q17" s="54">
        <v>0</v>
      </c>
      <c r="R17" s="55">
        <v>0</v>
      </c>
      <c r="S17" s="55">
        <v>0</v>
      </c>
      <c r="T17" s="56">
        <v>0</v>
      </c>
      <c r="U17" s="57"/>
      <c r="V17" s="55">
        <v>447.02332258064553</v>
      </c>
      <c r="W17" s="55">
        <v>0</v>
      </c>
      <c r="X17" s="58">
        <v>0</v>
      </c>
      <c r="Y17" s="59">
        <v>447.02332258064553</v>
      </c>
      <c r="Z17" s="58">
        <v>447.02332258064553</v>
      </c>
      <c r="AA17" s="56">
        <v>0</v>
      </c>
      <c r="AB17" s="56">
        <v>0</v>
      </c>
      <c r="AC17" s="60">
        <v>46142</v>
      </c>
    </row>
    <row r="18" spans="1:30" x14ac:dyDescent="0.25">
      <c r="A18" s="43">
        <v>1058</v>
      </c>
      <c r="B18" s="44" t="s">
        <v>1283</v>
      </c>
      <c r="C18" s="45">
        <v>10010095</v>
      </c>
      <c r="D18" s="46" t="s">
        <v>383</v>
      </c>
      <c r="E18" s="47" t="s">
        <v>364</v>
      </c>
      <c r="F18" s="47" t="s">
        <v>58</v>
      </c>
      <c r="G18" s="62">
        <v>391.4</v>
      </c>
      <c r="H18" s="62">
        <v>15052.36</v>
      </c>
      <c r="I18" s="49">
        <v>0</v>
      </c>
      <c r="J18" s="49">
        <v>0</v>
      </c>
      <c r="K18" s="49">
        <v>0</v>
      </c>
      <c r="L18" s="50">
        <v>0</v>
      </c>
      <c r="M18" s="51"/>
      <c r="N18" s="52" t="s">
        <v>1300</v>
      </c>
      <c r="O18" s="31"/>
      <c r="P18" s="53">
        <v>-1.1377100497848782E-2</v>
      </c>
      <c r="Q18" s="54">
        <v>3</v>
      </c>
      <c r="R18" s="55">
        <v>0</v>
      </c>
      <c r="S18" s="55">
        <v>0</v>
      </c>
      <c r="T18" s="56">
        <v>0</v>
      </c>
      <c r="U18" s="57"/>
      <c r="V18" s="55">
        <v>0</v>
      </c>
      <c r="W18" s="55">
        <v>0</v>
      </c>
      <c r="X18" s="58">
        <v>0</v>
      </c>
      <c r="Y18" s="59">
        <v>0</v>
      </c>
      <c r="Z18" s="58">
        <v>0</v>
      </c>
      <c r="AA18" s="56">
        <v>0</v>
      </c>
      <c r="AB18" s="56">
        <v>0</v>
      </c>
      <c r="AC18" s="60">
        <v>46142</v>
      </c>
    </row>
    <row r="19" spans="1:30" x14ac:dyDescent="0.25">
      <c r="A19" s="43">
        <v>1001</v>
      </c>
      <c r="B19" s="44" t="s">
        <v>148</v>
      </c>
      <c r="C19" s="45">
        <v>10010097</v>
      </c>
      <c r="D19" s="46" t="s">
        <v>384</v>
      </c>
      <c r="E19" s="47" t="s">
        <v>364</v>
      </c>
      <c r="F19" s="47" t="s">
        <v>58</v>
      </c>
      <c r="G19" s="62">
        <v>1339.8999999999999</v>
      </c>
      <c r="H19" s="62">
        <v>49690.539999999994</v>
      </c>
      <c r="I19" s="49">
        <v>0</v>
      </c>
      <c r="J19" s="49">
        <v>0</v>
      </c>
      <c r="K19" s="49">
        <v>0</v>
      </c>
      <c r="L19" s="50">
        <v>0</v>
      </c>
      <c r="M19" s="51"/>
      <c r="N19" s="52" t="s">
        <v>1300</v>
      </c>
      <c r="O19" s="31"/>
      <c r="P19" s="53">
        <v>-0.10470253650009657</v>
      </c>
      <c r="Q19" s="54">
        <v>11</v>
      </c>
      <c r="R19" s="55">
        <v>0</v>
      </c>
      <c r="S19" s="55">
        <v>0</v>
      </c>
      <c r="T19" s="56">
        <v>0</v>
      </c>
      <c r="U19" s="57"/>
      <c r="V19" s="55">
        <v>0</v>
      </c>
      <c r="W19" s="55">
        <v>0</v>
      </c>
      <c r="X19" s="58">
        <v>0</v>
      </c>
      <c r="Y19" s="59">
        <v>0</v>
      </c>
      <c r="Z19" s="58">
        <v>0</v>
      </c>
      <c r="AA19" s="56">
        <v>0</v>
      </c>
      <c r="AB19" s="56">
        <v>0</v>
      </c>
      <c r="AC19" s="60">
        <v>46142</v>
      </c>
    </row>
    <row r="20" spans="1:30" x14ac:dyDescent="0.25">
      <c r="A20" s="43">
        <v>1058</v>
      </c>
      <c r="B20" s="44" t="s">
        <v>1283</v>
      </c>
      <c r="C20" s="45">
        <v>10010098</v>
      </c>
      <c r="D20" s="46" t="s">
        <v>385</v>
      </c>
      <c r="E20" s="47" t="s">
        <v>364</v>
      </c>
      <c r="F20" s="47" t="s">
        <v>58</v>
      </c>
      <c r="G20" s="62">
        <v>289.8</v>
      </c>
      <c r="H20" s="62">
        <v>12074.08</v>
      </c>
      <c r="I20" s="49">
        <v>0</v>
      </c>
      <c r="J20" s="49">
        <v>0</v>
      </c>
      <c r="K20" s="49">
        <v>0</v>
      </c>
      <c r="L20" s="50">
        <v>0</v>
      </c>
      <c r="M20" s="51"/>
      <c r="N20" s="52" t="s">
        <v>1300</v>
      </c>
      <c r="O20" s="31"/>
      <c r="P20" s="53">
        <v>-0.11048640827316879</v>
      </c>
      <c r="Q20" s="54">
        <v>8</v>
      </c>
      <c r="R20" s="55">
        <v>0</v>
      </c>
      <c r="S20" s="55">
        <v>0</v>
      </c>
      <c r="T20" s="56">
        <v>0</v>
      </c>
      <c r="U20" s="57"/>
      <c r="V20" s="55">
        <v>0</v>
      </c>
      <c r="W20" s="55">
        <v>0</v>
      </c>
      <c r="X20" s="58">
        <v>0</v>
      </c>
      <c r="Y20" s="59">
        <v>0</v>
      </c>
      <c r="Z20" s="58">
        <v>0</v>
      </c>
      <c r="AA20" s="56">
        <v>0</v>
      </c>
      <c r="AB20" s="56">
        <v>0</v>
      </c>
      <c r="AC20" s="60">
        <v>46142</v>
      </c>
      <c r="AD20" s="61"/>
    </row>
    <row r="21" spans="1:30" x14ac:dyDescent="0.25">
      <c r="A21" s="43">
        <v>1058</v>
      </c>
      <c r="B21" s="44" t="s">
        <v>1283</v>
      </c>
      <c r="C21" s="45">
        <v>10010099</v>
      </c>
      <c r="D21" s="46" t="s">
        <v>386</v>
      </c>
      <c r="E21" s="47" t="s">
        <v>364</v>
      </c>
      <c r="F21" s="47" t="s">
        <v>58</v>
      </c>
      <c r="G21" s="62">
        <v>144.69999999999999</v>
      </c>
      <c r="H21" s="62">
        <v>5792.72</v>
      </c>
      <c r="I21" s="49">
        <v>0</v>
      </c>
      <c r="J21" s="49">
        <v>0</v>
      </c>
      <c r="K21" s="49">
        <v>86.618879999999905</v>
      </c>
      <c r="L21" s="50">
        <v>0</v>
      </c>
      <c r="M21" s="51"/>
      <c r="N21" s="52" t="s">
        <v>1300</v>
      </c>
      <c r="O21" s="31"/>
      <c r="P21" s="53">
        <v>-4.1234451725614171E-2</v>
      </c>
      <c r="Q21" s="54">
        <v>1</v>
      </c>
      <c r="R21" s="55">
        <v>0</v>
      </c>
      <c r="S21" s="55">
        <v>0</v>
      </c>
      <c r="T21" s="56">
        <v>0</v>
      </c>
      <c r="U21" s="57"/>
      <c r="V21" s="55">
        <v>86.618879999999905</v>
      </c>
      <c r="W21" s="55">
        <v>0</v>
      </c>
      <c r="X21" s="58">
        <v>0</v>
      </c>
      <c r="Y21" s="59">
        <v>86.618879999999905</v>
      </c>
      <c r="Z21" s="58">
        <v>86.618879999999905</v>
      </c>
      <c r="AA21" s="56">
        <v>0</v>
      </c>
      <c r="AB21" s="56">
        <v>0</v>
      </c>
      <c r="AC21" s="60">
        <v>46142</v>
      </c>
    </row>
    <row r="22" spans="1:30" x14ac:dyDescent="0.25">
      <c r="A22" s="43">
        <v>1058</v>
      </c>
      <c r="B22" s="44" t="s">
        <v>1283</v>
      </c>
      <c r="C22" s="45">
        <v>10010103</v>
      </c>
      <c r="D22" s="46" t="s">
        <v>387</v>
      </c>
      <c r="E22" s="47" t="s">
        <v>364</v>
      </c>
      <c r="F22" s="47" t="s">
        <v>58</v>
      </c>
      <c r="G22" s="62">
        <v>20.3</v>
      </c>
      <c r="H22" s="62">
        <v>753.82</v>
      </c>
      <c r="I22" s="49">
        <v>0</v>
      </c>
      <c r="J22" s="49">
        <v>0</v>
      </c>
      <c r="K22" s="49">
        <v>133.22522640000003</v>
      </c>
      <c r="L22" s="50">
        <v>0</v>
      </c>
      <c r="M22" s="51"/>
      <c r="N22" s="52" t="s">
        <v>1300</v>
      </c>
      <c r="O22" s="31"/>
      <c r="P22" s="53">
        <v>8.8231718102466227E-3</v>
      </c>
      <c r="Q22" s="54">
        <v>1</v>
      </c>
      <c r="R22" s="55">
        <v>0</v>
      </c>
      <c r="S22" s="55">
        <v>0</v>
      </c>
      <c r="T22" s="56">
        <v>0</v>
      </c>
      <c r="U22" s="57"/>
      <c r="V22" s="55">
        <v>133.22522640000003</v>
      </c>
      <c r="W22" s="55">
        <v>0</v>
      </c>
      <c r="X22" s="58">
        <v>0</v>
      </c>
      <c r="Y22" s="59">
        <v>133.22522640000003</v>
      </c>
      <c r="Z22" s="58">
        <v>133.22522640000003</v>
      </c>
      <c r="AA22" s="56">
        <v>0</v>
      </c>
      <c r="AB22" s="56">
        <v>0</v>
      </c>
      <c r="AC22" s="60">
        <v>46142</v>
      </c>
    </row>
    <row r="23" spans="1:30" x14ac:dyDescent="0.25">
      <c r="A23" s="43">
        <v>1001</v>
      </c>
      <c r="B23" s="44" t="s">
        <v>148</v>
      </c>
      <c r="C23" s="45">
        <v>10010108</v>
      </c>
      <c r="D23" s="46" t="s">
        <v>388</v>
      </c>
      <c r="E23" s="47" t="s">
        <v>364</v>
      </c>
      <c r="F23" s="47" t="s">
        <v>58</v>
      </c>
      <c r="G23" s="62">
        <v>123.20000000000002</v>
      </c>
      <c r="H23" s="62">
        <v>4196.079999999999</v>
      </c>
      <c r="I23" s="49">
        <v>0</v>
      </c>
      <c r="J23" s="49">
        <v>0</v>
      </c>
      <c r="K23" s="49">
        <v>152.91</v>
      </c>
      <c r="L23" s="50" t="s">
        <v>366</v>
      </c>
      <c r="M23" s="51" t="s">
        <v>367</v>
      </c>
      <c r="N23" s="52" t="s">
        <v>1300</v>
      </c>
      <c r="O23" s="31"/>
      <c r="P23" s="53">
        <v>-0.18981543801395651</v>
      </c>
      <c r="Q23" s="54">
        <v>2</v>
      </c>
      <c r="R23" s="55">
        <v>0</v>
      </c>
      <c r="S23" s="55">
        <v>0</v>
      </c>
      <c r="T23" s="56">
        <v>0</v>
      </c>
      <c r="U23" s="57"/>
      <c r="V23" s="55">
        <v>152.90746153846163</v>
      </c>
      <c r="W23" s="55">
        <v>0</v>
      </c>
      <c r="X23" s="58">
        <v>0</v>
      </c>
      <c r="Y23" s="59">
        <v>152.90746153846163</v>
      </c>
      <c r="Z23" s="58">
        <v>152.91</v>
      </c>
      <c r="AA23" s="56">
        <v>2.538461538364345E-3</v>
      </c>
      <c r="AB23" s="56">
        <v>2.538461538364345E-3</v>
      </c>
      <c r="AC23" s="60">
        <v>46142</v>
      </c>
    </row>
    <row r="24" spans="1:30" x14ac:dyDescent="0.25">
      <c r="A24" s="43">
        <v>1001</v>
      </c>
      <c r="B24" s="44" t="s">
        <v>148</v>
      </c>
      <c r="C24" s="45">
        <v>10010109</v>
      </c>
      <c r="D24" s="46" t="s">
        <v>389</v>
      </c>
      <c r="E24" s="47" t="s">
        <v>371</v>
      </c>
      <c r="F24" s="47" t="s">
        <v>59</v>
      </c>
      <c r="G24" s="62">
        <v>264.59999999999997</v>
      </c>
      <c r="H24" s="62">
        <v>9090.81</v>
      </c>
      <c r="I24" s="49">
        <v>0</v>
      </c>
      <c r="J24" s="49">
        <v>0</v>
      </c>
      <c r="K24" s="49">
        <v>0</v>
      </c>
      <c r="L24" s="50">
        <v>0</v>
      </c>
      <c r="M24" s="51"/>
      <c r="N24" s="52" t="s">
        <v>1300</v>
      </c>
      <c r="O24" s="31"/>
      <c r="P24" s="53">
        <v>0</v>
      </c>
      <c r="Q24" s="54">
        <v>0</v>
      </c>
      <c r="R24" s="55">
        <v>0</v>
      </c>
      <c r="S24" s="55">
        <v>0</v>
      </c>
      <c r="T24" s="56">
        <v>0</v>
      </c>
      <c r="U24" s="57"/>
      <c r="V24" s="55">
        <v>0</v>
      </c>
      <c r="W24" s="55">
        <v>0</v>
      </c>
      <c r="X24" s="58">
        <v>0</v>
      </c>
      <c r="Y24" s="59">
        <v>0</v>
      </c>
      <c r="Z24" s="58">
        <v>0</v>
      </c>
      <c r="AA24" s="56">
        <v>0</v>
      </c>
      <c r="AB24" s="56">
        <v>0</v>
      </c>
      <c r="AC24" s="60">
        <v>46142</v>
      </c>
    </row>
    <row r="25" spans="1:30" x14ac:dyDescent="0.25">
      <c r="A25" s="43">
        <v>1001</v>
      </c>
      <c r="B25" s="44" t="s">
        <v>148</v>
      </c>
      <c r="C25" s="45">
        <v>10010113</v>
      </c>
      <c r="D25" s="46" t="s">
        <v>390</v>
      </c>
      <c r="E25" s="47" t="s">
        <v>364</v>
      </c>
      <c r="F25" s="47" t="s">
        <v>58</v>
      </c>
      <c r="G25" s="62">
        <v>823.99999999999989</v>
      </c>
      <c r="H25" s="62">
        <v>32447.86</v>
      </c>
      <c r="I25" s="49">
        <v>0</v>
      </c>
      <c r="J25" s="49">
        <v>0</v>
      </c>
      <c r="K25" s="49">
        <v>0</v>
      </c>
      <c r="L25" s="50">
        <v>0</v>
      </c>
      <c r="M25" s="51"/>
      <c r="N25" s="52" t="s">
        <v>1300</v>
      </c>
      <c r="O25" s="31"/>
      <c r="P25" s="53">
        <v>-4.2603586323843999E-2</v>
      </c>
      <c r="Q25" s="54">
        <v>23</v>
      </c>
      <c r="R25" s="55">
        <v>0</v>
      </c>
      <c r="S25" s="55">
        <v>0</v>
      </c>
      <c r="T25" s="56">
        <v>0</v>
      </c>
      <c r="U25" s="57"/>
      <c r="V25" s="55">
        <v>0</v>
      </c>
      <c r="W25" s="55">
        <v>0</v>
      </c>
      <c r="X25" s="58">
        <v>0</v>
      </c>
      <c r="Y25" s="59">
        <v>0</v>
      </c>
      <c r="Z25" s="58">
        <v>0</v>
      </c>
      <c r="AA25" s="56">
        <v>0</v>
      </c>
      <c r="AB25" s="56">
        <v>0</v>
      </c>
      <c r="AC25" s="60">
        <v>46142</v>
      </c>
      <c r="AD25" s="61"/>
    </row>
    <row r="26" spans="1:30" x14ac:dyDescent="0.25">
      <c r="A26" s="43">
        <v>1001</v>
      </c>
      <c r="B26" s="44" t="s">
        <v>148</v>
      </c>
      <c r="C26" s="45">
        <v>10010116</v>
      </c>
      <c r="D26" s="46" t="s">
        <v>391</v>
      </c>
      <c r="E26" s="47" t="s">
        <v>371</v>
      </c>
      <c r="F26" s="47" t="s">
        <v>59</v>
      </c>
      <c r="G26" s="62">
        <v>611.20000000000005</v>
      </c>
      <c r="H26" s="62">
        <v>22836.240000000005</v>
      </c>
      <c r="I26" s="49">
        <v>0</v>
      </c>
      <c r="J26" s="49">
        <v>0</v>
      </c>
      <c r="K26" s="49">
        <v>81.996638709676617</v>
      </c>
      <c r="L26" s="50">
        <v>0</v>
      </c>
      <c r="M26" s="51"/>
      <c r="N26" s="52" t="s">
        <v>1300</v>
      </c>
      <c r="O26" s="31"/>
      <c r="P26" s="53">
        <v>0</v>
      </c>
      <c r="Q26" s="54">
        <v>0</v>
      </c>
      <c r="R26" s="55">
        <v>0</v>
      </c>
      <c r="S26" s="55">
        <v>0</v>
      </c>
      <c r="T26" s="56">
        <v>0</v>
      </c>
      <c r="U26" s="57"/>
      <c r="V26" s="55">
        <v>81.996638709676617</v>
      </c>
      <c r="W26" s="55">
        <v>0</v>
      </c>
      <c r="X26" s="58">
        <v>0</v>
      </c>
      <c r="Y26" s="59">
        <v>81.996638709676617</v>
      </c>
      <c r="Z26" s="58">
        <v>81.996638709676617</v>
      </c>
      <c r="AA26" s="56">
        <v>0</v>
      </c>
      <c r="AB26" s="56">
        <v>0</v>
      </c>
      <c r="AC26" s="60">
        <v>46142</v>
      </c>
    </row>
    <row r="27" spans="1:30" x14ac:dyDescent="0.25">
      <c r="A27" s="43">
        <v>1001</v>
      </c>
      <c r="B27" s="44" t="s">
        <v>148</v>
      </c>
      <c r="C27" s="45">
        <v>10010121</v>
      </c>
      <c r="D27" s="46" t="s">
        <v>392</v>
      </c>
      <c r="E27" s="47" t="s">
        <v>364</v>
      </c>
      <c r="F27" s="47" t="s">
        <v>58</v>
      </c>
      <c r="G27" s="62">
        <v>867.30000000000007</v>
      </c>
      <c r="H27" s="62">
        <v>32702.18</v>
      </c>
      <c r="I27" s="49">
        <v>0</v>
      </c>
      <c r="J27" s="49">
        <v>0</v>
      </c>
      <c r="K27" s="49">
        <v>55.252239344260673</v>
      </c>
      <c r="L27" s="50">
        <v>0</v>
      </c>
      <c r="M27" s="51"/>
      <c r="N27" s="52" t="s">
        <v>1300</v>
      </c>
      <c r="O27" s="31"/>
      <c r="P27" s="53">
        <v>-2.1594527186467732E-2</v>
      </c>
      <c r="Q27" s="54">
        <v>11</v>
      </c>
      <c r="R27" s="55">
        <v>0</v>
      </c>
      <c r="S27" s="55">
        <v>0</v>
      </c>
      <c r="T27" s="56">
        <v>0</v>
      </c>
      <c r="U27" s="57"/>
      <c r="V27" s="55">
        <v>55.252239344260673</v>
      </c>
      <c r="W27" s="55">
        <v>0</v>
      </c>
      <c r="X27" s="58">
        <v>0</v>
      </c>
      <c r="Y27" s="59">
        <v>55.252239344260673</v>
      </c>
      <c r="Z27" s="58">
        <v>55.252239344260673</v>
      </c>
      <c r="AA27" s="56">
        <v>0</v>
      </c>
      <c r="AB27" s="56">
        <v>0</v>
      </c>
      <c r="AC27" s="60">
        <v>46142</v>
      </c>
    </row>
    <row r="28" spans="1:30" x14ac:dyDescent="0.25">
      <c r="A28" s="43">
        <v>1001</v>
      </c>
      <c r="B28" s="44" t="s">
        <v>148</v>
      </c>
      <c r="C28" s="45">
        <v>10010125</v>
      </c>
      <c r="D28" s="46" t="s">
        <v>393</v>
      </c>
      <c r="E28" s="47" t="s">
        <v>371</v>
      </c>
      <c r="F28" s="47" t="s">
        <v>59</v>
      </c>
      <c r="G28" s="62">
        <v>119.3</v>
      </c>
      <c r="H28" s="62">
        <v>4267.8599999999997</v>
      </c>
      <c r="I28" s="49">
        <v>0</v>
      </c>
      <c r="J28" s="49">
        <v>0</v>
      </c>
      <c r="K28" s="49">
        <v>1092.2252903225803</v>
      </c>
      <c r="L28" s="50">
        <v>0</v>
      </c>
      <c r="M28" s="51"/>
      <c r="N28" s="52" t="s">
        <v>1300</v>
      </c>
      <c r="O28" s="31"/>
      <c r="P28" s="53">
        <v>0</v>
      </c>
      <c r="Q28" s="54">
        <v>0</v>
      </c>
      <c r="R28" s="55">
        <v>0</v>
      </c>
      <c r="S28" s="55">
        <v>0</v>
      </c>
      <c r="T28" s="56">
        <v>0</v>
      </c>
      <c r="U28" s="57"/>
      <c r="V28" s="55">
        <v>1092.2252903225803</v>
      </c>
      <c r="W28" s="55">
        <v>0</v>
      </c>
      <c r="X28" s="58">
        <v>0</v>
      </c>
      <c r="Y28" s="59">
        <v>1092.2252903225803</v>
      </c>
      <c r="Z28" s="58">
        <v>1092.2252903225803</v>
      </c>
      <c r="AA28" s="56">
        <v>0</v>
      </c>
      <c r="AB28" s="56">
        <v>0</v>
      </c>
      <c r="AC28" s="60">
        <v>46142</v>
      </c>
    </row>
    <row r="29" spans="1:30" x14ac:dyDescent="0.25">
      <c r="A29" s="43">
        <v>1001</v>
      </c>
      <c r="B29" s="44" t="s">
        <v>148</v>
      </c>
      <c r="C29" s="45">
        <v>10010128</v>
      </c>
      <c r="D29" s="46" t="s">
        <v>394</v>
      </c>
      <c r="E29" s="47" t="s">
        <v>364</v>
      </c>
      <c r="F29" s="47" t="s">
        <v>58</v>
      </c>
      <c r="G29" s="62">
        <v>1312.2999999999997</v>
      </c>
      <c r="H29" s="62">
        <v>53215.109999999993</v>
      </c>
      <c r="I29" s="49">
        <v>0</v>
      </c>
      <c r="J29" s="49">
        <v>0</v>
      </c>
      <c r="K29" s="49">
        <v>0</v>
      </c>
      <c r="L29" s="50">
        <v>0</v>
      </c>
      <c r="M29" s="51"/>
      <c r="N29" s="52" t="s">
        <v>1300</v>
      </c>
      <c r="O29" s="31"/>
      <c r="P29" s="53">
        <v>-7.571776546525627E-2</v>
      </c>
      <c r="Q29" s="54">
        <v>5</v>
      </c>
      <c r="R29" s="55">
        <v>0</v>
      </c>
      <c r="S29" s="55">
        <v>0</v>
      </c>
      <c r="T29" s="56">
        <v>0</v>
      </c>
      <c r="U29" s="57"/>
      <c r="V29" s="55">
        <v>0</v>
      </c>
      <c r="W29" s="55">
        <v>0</v>
      </c>
      <c r="X29" s="58">
        <v>0</v>
      </c>
      <c r="Y29" s="59">
        <v>0</v>
      </c>
      <c r="Z29" s="58">
        <v>0</v>
      </c>
      <c r="AA29" s="56">
        <v>0</v>
      </c>
      <c r="AB29" s="56">
        <v>0</v>
      </c>
      <c r="AC29" s="60">
        <v>46142</v>
      </c>
    </row>
    <row r="30" spans="1:30" x14ac:dyDescent="0.25">
      <c r="A30" s="43">
        <v>1001</v>
      </c>
      <c r="B30" s="44" t="s">
        <v>148</v>
      </c>
      <c r="C30" s="45">
        <v>10010129</v>
      </c>
      <c r="D30" s="46" t="s">
        <v>395</v>
      </c>
      <c r="E30" s="47" t="s">
        <v>371</v>
      </c>
      <c r="F30" s="47" t="s">
        <v>59</v>
      </c>
      <c r="G30" s="62">
        <v>502.7</v>
      </c>
      <c r="H30" s="62">
        <v>19873.939999999999</v>
      </c>
      <c r="I30" s="49">
        <v>0</v>
      </c>
      <c r="J30" s="49">
        <v>0</v>
      </c>
      <c r="K30" s="49">
        <v>355.88825806451553</v>
      </c>
      <c r="L30" s="50">
        <v>0</v>
      </c>
      <c r="M30" s="51"/>
      <c r="N30" s="52" t="s">
        <v>1300</v>
      </c>
      <c r="O30" s="31"/>
      <c r="P30" s="53">
        <v>0</v>
      </c>
      <c r="Q30" s="54">
        <v>0</v>
      </c>
      <c r="R30" s="55">
        <v>0</v>
      </c>
      <c r="S30" s="55">
        <v>0</v>
      </c>
      <c r="T30" s="56">
        <v>0</v>
      </c>
      <c r="U30" s="57"/>
      <c r="V30" s="55">
        <v>355.88825806451553</v>
      </c>
      <c r="W30" s="55">
        <v>0</v>
      </c>
      <c r="X30" s="58">
        <v>0</v>
      </c>
      <c r="Y30" s="59">
        <v>355.88825806451553</v>
      </c>
      <c r="Z30" s="58">
        <v>355.88825806451553</v>
      </c>
      <c r="AA30" s="56">
        <v>0</v>
      </c>
      <c r="AB30" s="56">
        <v>0</v>
      </c>
      <c r="AC30" s="60">
        <v>46142</v>
      </c>
    </row>
    <row r="31" spans="1:30" x14ac:dyDescent="0.25">
      <c r="A31" s="43">
        <v>1001</v>
      </c>
      <c r="B31" s="44" t="s">
        <v>148</v>
      </c>
      <c r="C31" s="45">
        <v>10010130</v>
      </c>
      <c r="D31" s="46" t="s">
        <v>396</v>
      </c>
      <c r="E31" s="47" t="s">
        <v>371</v>
      </c>
      <c r="F31" s="47" t="s">
        <v>59</v>
      </c>
      <c r="G31" s="62">
        <v>708.30000000000007</v>
      </c>
      <c r="H31" s="62">
        <v>26008.840000000004</v>
      </c>
      <c r="I31" s="49">
        <v>0</v>
      </c>
      <c r="J31" s="49">
        <v>0</v>
      </c>
      <c r="K31" s="49">
        <v>0</v>
      </c>
      <c r="L31" s="50">
        <v>0</v>
      </c>
      <c r="M31" s="51"/>
      <c r="N31" s="52" t="s">
        <v>1300</v>
      </c>
      <c r="O31" s="31"/>
      <c r="P31" s="53">
        <v>0</v>
      </c>
      <c r="Q31" s="54">
        <v>0</v>
      </c>
      <c r="R31" s="55">
        <v>0</v>
      </c>
      <c r="S31" s="55">
        <v>0</v>
      </c>
      <c r="T31" s="56">
        <v>0</v>
      </c>
      <c r="U31" s="57"/>
      <c r="V31" s="55">
        <v>0</v>
      </c>
      <c r="W31" s="55">
        <v>0</v>
      </c>
      <c r="X31" s="58">
        <v>0</v>
      </c>
      <c r="Y31" s="59">
        <v>0</v>
      </c>
      <c r="Z31" s="58">
        <v>0</v>
      </c>
      <c r="AA31" s="56">
        <v>0</v>
      </c>
      <c r="AB31" s="56">
        <v>0</v>
      </c>
      <c r="AC31" s="60">
        <v>46142</v>
      </c>
    </row>
    <row r="32" spans="1:30" x14ac:dyDescent="0.25">
      <c r="A32" s="43">
        <v>1001</v>
      </c>
      <c r="B32" s="44" t="s">
        <v>148</v>
      </c>
      <c r="C32" s="45">
        <v>10010131</v>
      </c>
      <c r="D32" s="46" t="s">
        <v>397</v>
      </c>
      <c r="E32" s="47" t="s">
        <v>371</v>
      </c>
      <c r="F32" s="47" t="s">
        <v>59</v>
      </c>
      <c r="G32" s="62">
        <v>481.5</v>
      </c>
      <c r="H32" s="62">
        <v>18007.789999999997</v>
      </c>
      <c r="I32" s="49">
        <v>0</v>
      </c>
      <c r="J32" s="49">
        <v>0</v>
      </c>
      <c r="K32" s="49">
        <v>0</v>
      </c>
      <c r="L32" s="50">
        <v>0</v>
      </c>
      <c r="M32" s="51"/>
      <c r="N32" s="52" t="s">
        <v>1300</v>
      </c>
      <c r="O32" s="31"/>
      <c r="P32" s="53">
        <v>0</v>
      </c>
      <c r="Q32" s="54">
        <v>0</v>
      </c>
      <c r="R32" s="55">
        <v>0</v>
      </c>
      <c r="S32" s="55">
        <v>0</v>
      </c>
      <c r="T32" s="56">
        <v>0</v>
      </c>
      <c r="U32" s="57"/>
      <c r="V32" s="55">
        <v>0</v>
      </c>
      <c r="W32" s="55">
        <v>0</v>
      </c>
      <c r="X32" s="58">
        <v>0</v>
      </c>
      <c r="Y32" s="59">
        <v>0</v>
      </c>
      <c r="Z32" s="58">
        <v>0</v>
      </c>
      <c r="AA32" s="56">
        <v>0</v>
      </c>
      <c r="AB32" s="56">
        <v>0</v>
      </c>
      <c r="AC32" s="60">
        <v>46142</v>
      </c>
    </row>
    <row r="33" spans="1:30" x14ac:dyDescent="0.25">
      <c r="A33" s="43">
        <v>1001</v>
      </c>
      <c r="B33" s="44" t="s">
        <v>148</v>
      </c>
      <c r="C33" s="45">
        <v>10010140</v>
      </c>
      <c r="D33" s="46" t="s">
        <v>398</v>
      </c>
      <c r="E33" s="47" t="s">
        <v>364</v>
      </c>
      <c r="F33" s="47" t="s">
        <v>58</v>
      </c>
      <c r="G33" s="62">
        <v>226.30000000000004</v>
      </c>
      <c r="H33" s="62">
        <v>9273.0499999999993</v>
      </c>
      <c r="I33" s="49">
        <v>0</v>
      </c>
      <c r="J33" s="49">
        <v>0</v>
      </c>
      <c r="K33" s="49">
        <v>63.96705245901633</v>
      </c>
      <c r="L33" s="50">
        <v>0</v>
      </c>
      <c r="M33" s="51"/>
      <c r="N33" s="52" t="s">
        <v>1300</v>
      </c>
      <c r="O33" s="31"/>
      <c r="P33" s="53">
        <v>-0.13688565202782296</v>
      </c>
      <c r="Q33" s="54">
        <v>8</v>
      </c>
      <c r="R33" s="55">
        <v>0</v>
      </c>
      <c r="S33" s="55">
        <v>0</v>
      </c>
      <c r="T33" s="56">
        <v>0</v>
      </c>
      <c r="U33" s="57"/>
      <c r="V33" s="55">
        <v>63.96705245901633</v>
      </c>
      <c r="W33" s="55">
        <v>0</v>
      </c>
      <c r="X33" s="58">
        <v>0</v>
      </c>
      <c r="Y33" s="59">
        <v>63.96705245901633</v>
      </c>
      <c r="Z33" s="58">
        <v>63.96705245901633</v>
      </c>
      <c r="AA33" s="56">
        <v>0</v>
      </c>
      <c r="AB33" s="56">
        <v>0</v>
      </c>
      <c r="AC33" s="60">
        <v>46142</v>
      </c>
      <c r="AD33" s="61"/>
    </row>
    <row r="34" spans="1:30" x14ac:dyDescent="0.25">
      <c r="A34" s="43">
        <v>1001</v>
      </c>
      <c r="B34" s="44" t="s">
        <v>148</v>
      </c>
      <c r="C34" s="45">
        <v>10010141</v>
      </c>
      <c r="D34" s="46" t="s">
        <v>399</v>
      </c>
      <c r="E34" s="47" t="s">
        <v>364</v>
      </c>
      <c r="F34" s="47" t="s">
        <v>58</v>
      </c>
      <c r="G34" s="62">
        <v>128.10000000000002</v>
      </c>
      <c r="H34" s="62">
        <v>4828.2300000000005</v>
      </c>
      <c r="I34" s="49">
        <v>0</v>
      </c>
      <c r="J34" s="49">
        <v>0</v>
      </c>
      <c r="K34" s="49">
        <v>117.84</v>
      </c>
      <c r="L34" s="50" t="s">
        <v>366</v>
      </c>
      <c r="M34" s="51" t="s">
        <v>367</v>
      </c>
      <c r="N34" s="52" t="s">
        <v>1300</v>
      </c>
      <c r="O34" s="31"/>
      <c r="P34" s="53">
        <v>-0.13161156482935607</v>
      </c>
      <c r="Q34" s="54">
        <v>9</v>
      </c>
      <c r="R34" s="55">
        <v>0</v>
      </c>
      <c r="S34" s="55">
        <v>0</v>
      </c>
      <c r="T34" s="56">
        <v>0</v>
      </c>
      <c r="U34" s="57"/>
      <c r="V34" s="55">
        <v>117.84449508196687</v>
      </c>
      <c r="W34" s="55">
        <v>0</v>
      </c>
      <c r="X34" s="58">
        <v>0</v>
      </c>
      <c r="Y34" s="59">
        <v>117.84449508196687</v>
      </c>
      <c r="Z34" s="58">
        <v>117.84</v>
      </c>
      <c r="AA34" s="56">
        <v>-4.495081966865655E-3</v>
      </c>
      <c r="AB34" s="56">
        <v>-4.495081966865655E-3</v>
      </c>
      <c r="AC34" s="60">
        <v>46142</v>
      </c>
    </row>
    <row r="35" spans="1:30" x14ac:dyDescent="0.25">
      <c r="A35" s="43">
        <v>1001</v>
      </c>
      <c r="B35" s="44" t="s">
        <v>148</v>
      </c>
      <c r="C35" s="45">
        <v>10010143</v>
      </c>
      <c r="D35" s="46" t="s">
        <v>400</v>
      </c>
      <c r="E35" s="47" t="s">
        <v>364</v>
      </c>
      <c r="F35" s="47" t="s">
        <v>58</v>
      </c>
      <c r="G35" s="62">
        <v>114.2</v>
      </c>
      <c r="H35" s="62">
        <v>3798.2000000000003</v>
      </c>
      <c r="I35" s="49">
        <v>0</v>
      </c>
      <c r="J35" s="49">
        <v>0</v>
      </c>
      <c r="K35" s="49">
        <v>0</v>
      </c>
      <c r="L35" s="50" t="s">
        <v>366</v>
      </c>
      <c r="M35" s="51" t="s">
        <v>367</v>
      </c>
      <c r="N35" s="52" t="s">
        <v>1300</v>
      </c>
      <c r="O35" s="31"/>
      <c r="P35" s="53">
        <v>-9.2157472449160394E-2</v>
      </c>
      <c r="Q35" s="54">
        <v>3</v>
      </c>
      <c r="R35" s="55">
        <v>0</v>
      </c>
      <c r="S35" s="55">
        <v>0</v>
      </c>
      <c r="T35" s="56">
        <v>0</v>
      </c>
      <c r="U35" s="57"/>
      <c r="V35" s="55">
        <v>0</v>
      </c>
      <c r="W35" s="55">
        <v>0</v>
      </c>
      <c r="X35" s="58">
        <v>0</v>
      </c>
      <c r="Y35" s="59">
        <v>0</v>
      </c>
      <c r="Z35" s="58">
        <v>0</v>
      </c>
      <c r="AA35" s="56">
        <v>0</v>
      </c>
      <c r="AB35" s="56">
        <v>0</v>
      </c>
      <c r="AC35" s="60">
        <v>46142</v>
      </c>
    </row>
    <row r="36" spans="1:30" x14ac:dyDescent="0.25">
      <c r="A36" s="43">
        <v>1001</v>
      </c>
      <c r="B36" s="44" t="s">
        <v>148</v>
      </c>
      <c r="C36" s="45">
        <v>10010144</v>
      </c>
      <c r="D36" s="46" t="s">
        <v>401</v>
      </c>
      <c r="E36" s="47" t="s">
        <v>364</v>
      </c>
      <c r="F36" s="47" t="s">
        <v>58</v>
      </c>
      <c r="G36" s="62">
        <v>37.099999999999994</v>
      </c>
      <c r="H36" s="62">
        <v>1061.8499999999999</v>
      </c>
      <c r="I36" s="49">
        <v>0</v>
      </c>
      <c r="J36" s="49">
        <v>0</v>
      </c>
      <c r="K36" s="49">
        <v>0</v>
      </c>
      <c r="L36" s="50" t="s">
        <v>366</v>
      </c>
      <c r="M36" s="51" t="s">
        <v>367</v>
      </c>
      <c r="N36" s="52" t="s">
        <v>1300</v>
      </c>
      <c r="O36" s="31"/>
      <c r="P36" s="53">
        <v>-0.22783569430710574</v>
      </c>
      <c r="Q36" s="54">
        <v>1</v>
      </c>
      <c r="R36" s="55">
        <v>0</v>
      </c>
      <c r="S36" s="55">
        <v>0</v>
      </c>
      <c r="T36" s="56">
        <v>0</v>
      </c>
      <c r="U36" s="57"/>
      <c r="V36" s="55">
        <v>0</v>
      </c>
      <c r="W36" s="55">
        <v>0</v>
      </c>
      <c r="X36" s="58">
        <v>0</v>
      </c>
      <c r="Y36" s="59">
        <v>0</v>
      </c>
      <c r="Z36" s="58">
        <v>0</v>
      </c>
      <c r="AA36" s="56">
        <v>0</v>
      </c>
      <c r="AB36" s="56">
        <v>0</v>
      </c>
      <c r="AC36" s="60">
        <v>46142</v>
      </c>
    </row>
    <row r="37" spans="1:30" x14ac:dyDescent="0.25">
      <c r="A37" s="43">
        <v>1001</v>
      </c>
      <c r="B37" s="44" t="s">
        <v>148</v>
      </c>
      <c r="C37" s="45">
        <v>10010145</v>
      </c>
      <c r="D37" s="46" t="s">
        <v>402</v>
      </c>
      <c r="E37" s="47" t="s">
        <v>364</v>
      </c>
      <c r="F37" s="47" t="s">
        <v>58</v>
      </c>
      <c r="G37" s="62">
        <v>306.10000000000002</v>
      </c>
      <c r="H37" s="62">
        <v>11620.300000000001</v>
      </c>
      <c r="I37" s="49">
        <v>0</v>
      </c>
      <c r="J37" s="49">
        <v>0</v>
      </c>
      <c r="K37" s="49">
        <v>0</v>
      </c>
      <c r="L37" s="50">
        <v>0</v>
      </c>
      <c r="M37" s="51"/>
      <c r="N37" s="52" t="s">
        <v>1300</v>
      </c>
      <c r="O37" s="31"/>
      <c r="P37" s="53">
        <v>-1.5308378239233243E-3</v>
      </c>
      <c r="Q37" s="54">
        <v>10</v>
      </c>
      <c r="R37" s="55">
        <v>0</v>
      </c>
      <c r="S37" s="55">
        <v>0</v>
      </c>
      <c r="T37" s="56">
        <v>0</v>
      </c>
      <c r="U37" s="57"/>
      <c r="V37" s="55">
        <v>0</v>
      </c>
      <c r="W37" s="55">
        <v>0</v>
      </c>
      <c r="X37" s="58">
        <v>0</v>
      </c>
      <c r="Y37" s="59">
        <v>0</v>
      </c>
      <c r="Z37" s="58">
        <v>0</v>
      </c>
      <c r="AA37" s="56">
        <v>0</v>
      </c>
      <c r="AB37" s="56">
        <v>0</v>
      </c>
      <c r="AC37" s="60">
        <v>46142</v>
      </c>
    </row>
    <row r="38" spans="1:30" x14ac:dyDescent="0.25">
      <c r="A38" s="43">
        <v>1001</v>
      </c>
      <c r="B38" s="44" t="s">
        <v>148</v>
      </c>
      <c r="C38" s="45">
        <v>10010146</v>
      </c>
      <c r="D38" s="46" t="s">
        <v>403</v>
      </c>
      <c r="E38" s="47" t="s">
        <v>364</v>
      </c>
      <c r="F38" s="47" t="s">
        <v>58</v>
      </c>
      <c r="G38" s="62">
        <v>188.3</v>
      </c>
      <c r="H38" s="62">
        <v>7114.7100000000009</v>
      </c>
      <c r="I38" s="49">
        <v>0</v>
      </c>
      <c r="J38" s="49">
        <v>0</v>
      </c>
      <c r="K38" s="49">
        <v>0</v>
      </c>
      <c r="L38" s="50">
        <v>0</v>
      </c>
      <c r="M38" s="51"/>
      <c r="N38" s="52" t="s">
        <v>1300</v>
      </c>
      <c r="O38" s="31"/>
      <c r="P38" s="53">
        <v>-8.1071224800845897E-3</v>
      </c>
      <c r="Q38" s="54">
        <v>5</v>
      </c>
      <c r="R38" s="55">
        <v>0</v>
      </c>
      <c r="S38" s="55">
        <v>0</v>
      </c>
      <c r="T38" s="56">
        <v>0</v>
      </c>
      <c r="U38" s="57"/>
      <c r="V38" s="55">
        <v>0</v>
      </c>
      <c r="W38" s="55">
        <v>0</v>
      </c>
      <c r="X38" s="58">
        <v>0</v>
      </c>
      <c r="Y38" s="59">
        <v>0</v>
      </c>
      <c r="Z38" s="58">
        <v>0</v>
      </c>
      <c r="AA38" s="56">
        <v>0</v>
      </c>
      <c r="AB38" s="56">
        <v>0</v>
      </c>
      <c r="AC38" s="60">
        <v>46142</v>
      </c>
    </row>
    <row r="39" spans="1:30" x14ac:dyDescent="0.25">
      <c r="A39" s="43">
        <v>1001</v>
      </c>
      <c r="B39" s="44" t="s">
        <v>148</v>
      </c>
      <c r="C39" s="45">
        <v>10010147</v>
      </c>
      <c r="D39" s="46" t="s">
        <v>404</v>
      </c>
      <c r="E39" s="47" t="s">
        <v>371</v>
      </c>
      <c r="F39" s="47" t="s">
        <v>59</v>
      </c>
      <c r="G39" s="62">
        <v>148.5</v>
      </c>
      <c r="H39" s="62">
        <v>5729.85</v>
      </c>
      <c r="I39" s="49">
        <v>0</v>
      </c>
      <c r="J39" s="49">
        <v>0</v>
      </c>
      <c r="K39" s="49">
        <v>0</v>
      </c>
      <c r="L39" s="50">
        <v>0</v>
      </c>
      <c r="M39" s="51"/>
      <c r="N39" s="52" t="s">
        <v>1300</v>
      </c>
      <c r="O39" s="31"/>
      <c r="P39" s="53">
        <v>0</v>
      </c>
      <c r="Q39" s="54">
        <v>0</v>
      </c>
      <c r="R39" s="55">
        <v>0</v>
      </c>
      <c r="S39" s="55">
        <v>0</v>
      </c>
      <c r="T39" s="56">
        <v>0</v>
      </c>
      <c r="U39" s="57"/>
      <c r="V39" s="55">
        <v>0</v>
      </c>
      <c r="W39" s="55">
        <v>0</v>
      </c>
      <c r="X39" s="58">
        <v>0</v>
      </c>
      <c r="Y39" s="59">
        <v>0</v>
      </c>
      <c r="Z39" s="58">
        <v>0</v>
      </c>
      <c r="AA39" s="56">
        <v>0</v>
      </c>
      <c r="AB39" s="56">
        <v>0</v>
      </c>
      <c r="AC39" s="60">
        <v>46142</v>
      </c>
    </row>
    <row r="40" spans="1:30" x14ac:dyDescent="0.25">
      <c r="A40" s="43">
        <v>1001</v>
      </c>
      <c r="B40" s="44" t="s">
        <v>148</v>
      </c>
      <c r="C40" s="45">
        <v>10010148</v>
      </c>
      <c r="D40" s="46" t="s">
        <v>405</v>
      </c>
      <c r="E40" s="47" t="s">
        <v>364</v>
      </c>
      <c r="F40" s="47" t="s">
        <v>58</v>
      </c>
      <c r="G40" s="62">
        <v>314.60000000000008</v>
      </c>
      <c r="H40" s="62">
        <v>11723.51</v>
      </c>
      <c r="I40" s="49">
        <v>0</v>
      </c>
      <c r="J40" s="49">
        <v>0</v>
      </c>
      <c r="K40" s="49">
        <v>0</v>
      </c>
      <c r="L40" s="50">
        <v>0</v>
      </c>
      <c r="M40" s="51"/>
      <c r="N40" s="52" t="s">
        <v>1300</v>
      </c>
      <c r="O40" s="31"/>
      <c r="P40" s="53">
        <v>-1.6377994600456861E-2</v>
      </c>
      <c r="Q40" s="54">
        <v>7</v>
      </c>
      <c r="R40" s="55">
        <v>0</v>
      </c>
      <c r="S40" s="55">
        <v>0</v>
      </c>
      <c r="T40" s="56">
        <v>0</v>
      </c>
      <c r="U40" s="57"/>
      <c r="V40" s="55">
        <v>0</v>
      </c>
      <c r="W40" s="55">
        <v>0</v>
      </c>
      <c r="X40" s="58">
        <v>0</v>
      </c>
      <c r="Y40" s="59">
        <v>0</v>
      </c>
      <c r="Z40" s="58">
        <v>0</v>
      </c>
      <c r="AA40" s="56">
        <v>0</v>
      </c>
      <c r="AB40" s="56">
        <v>0</v>
      </c>
      <c r="AC40" s="60">
        <v>46142</v>
      </c>
    </row>
    <row r="41" spans="1:30" x14ac:dyDescent="0.25">
      <c r="A41" s="43">
        <v>1001</v>
      </c>
      <c r="B41" s="44" t="s">
        <v>148</v>
      </c>
      <c r="C41" s="45">
        <v>10010149</v>
      </c>
      <c r="D41" s="46" t="s">
        <v>406</v>
      </c>
      <c r="E41" s="47" t="s">
        <v>364</v>
      </c>
      <c r="F41" s="47" t="s">
        <v>58</v>
      </c>
      <c r="G41" s="62">
        <v>303.09999999999997</v>
      </c>
      <c r="H41" s="62">
        <v>11000.200000000003</v>
      </c>
      <c r="I41" s="49">
        <v>0</v>
      </c>
      <c r="J41" s="49">
        <v>0</v>
      </c>
      <c r="K41" s="49">
        <v>0</v>
      </c>
      <c r="L41" s="50">
        <v>0</v>
      </c>
      <c r="M41" s="51"/>
      <c r="N41" s="52" t="s">
        <v>1300</v>
      </c>
      <c r="O41" s="31"/>
      <c r="P41" s="53">
        <v>-9.1960758608025078E-2</v>
      </c>
      <c r="Q41" s="54">
        <v>1</v>
      </c>
      <c r="R41" s="55">
        <v>0</v>
      </c>
      <c r="S41" s="55">
        <v>0</v>
      </c>
      <c r="T41" s="56">
        <v>0</v>
      </c>
      <c r="U41" s="57"/>
      <c r="V41" s="55">
        <v>0</v>
      </c>
      <c r="W41" s="55">
        <v>0</v>
      </c>
      <c r="X41" s="58">
        <v>0</v>
      </c>
      <c r="Y41" s="59">
        <v>0</v>
      </c>
      <c r="Z41" s="58">
        <v>0</v>
      </c>
      <c r="AA41" s="56">
        <v>0</v>
      </c>
      <c r="AB41" s="56">
        <v>0</v>
      </c>
      <c r="AC41" s="60">
        <v>46142</v>
      </c>
    </row>
    <row r="42" spans="1:30" x14ac:dyDescent="0.25">
      <c r="A42" s="43">
        <v>1002</v>
      </c>
      <c r="B42" s="44" t="s">
        <v>1284</v>
      </c>
      <c r="C42" s="45">
        <v>10020002</v>
      </c>
      <c r="D42" s="46" t="s">
        <v>407</v>
      </c>
      <c r="E42" s="47" t="s">
        <v>364</v>
      </c>
      <c r="F42" s="47" t="s">
        <v>58</v>
      </c>
      <c r="G42" s="62">
        <v>2604.8999999999996</v>
      </c>
      <c r="H42" s="62">
        <v>114899.22</v>
      </c>
      <c r="I42" s="49">
        <v>0</v>
      </c>
      <c r="J42" s="49">
        <v>0</v>
      </c>
      <c r="K42" s="49">
        <v>0</v>
      </c>
      <c r="L42" s="50">
        <v>0</v>
      </c>
      <c r="M42" s="51"/>
      <c r="N42" s="52" t="s">
        <v>1300</v>
      </c>
      <c r="O42" s="31"/>
      <c r="P42" s="53">
        <v>-1.9918143059430748E-2</v>
      </c>
      <c r="Q42" s="54">
        <v>12</v>
      </c>
      <c r="R42" s="55">
        <v>0</v>
      </c>
      <c r="S42" s="55">
        <v>0</v>
      </c>
      <c r="T42" s="56">
        <v>0</v>
      </c>
      <c r="U42" s="57"/>
      <c r="V42" s="55">
        <v>0</v>
      </c>
      <c r="W42" s="55">
        <v>0</v>
      </c>
      <c r="X42" s="58">
        <v>0</v>
      </c>
      <c r="Y42" s="59">
        <v>0</v>
      </c>
      <c r="Z42" s="58">
        <v>0</v>
      </c>
      <c r="AA42" s="56">
        <v>0</v>
      </c>
      <c r="AB42" s="56">
        <v>0</v>
      </c>
      <c r="AC42" s="60">
        <v>46142</v>
      </c>
    </row>
    <row r="43" spans="1:30" x14ac:dyDescent="0.25">
      <c r="A43" s="43">
        <v>1002</v>
      </c>
      <c r="B43" s="44" t="s">
        <v>1284</v>
      </c>
      <c r="C43" s="45">
        <v>10020004</v>
      </c>
      <c r="D43" s="46" t="s">
        <v>408</v>
      </c>
      <c r="E43" s="47" t="s">
        <v>364</v>
      </c>
      <c r="F43" s="47" t="s">
        <v>58</v>
      </c>
      <c r="G43" s="62">
        <v>589</v>
      </c>
      <c r="H43" s="62">
        <v>22475.67</v>
      </c>
      <c r="I43" s="49">
        <v>0</v>
      </c>
      <c r="J43" s="49">
        <v>0</v>
      </c>
      <c r="K43" s="49">
        <v>0</v>
      </c>
      <c r="L43" s="50" t="s">
        <v>409</v>
      </c>
      <c r="M43" s="51" t="s">
        <v>410</v>
      </c>
      <c r="N43" s="52" t="s">
        <v>1300</v>
      </c>
      <c r="O43" s="31"/>
      <c r="P43" s="53">
        <v>1.196518534041235E-3</v>
      </c>
      <c r="Q43" s="54">
        <v>2</v>
      </c>
      <c r="R43" s="55">
        <v>2600</v>
      </c>
      <c r="S43" s="55">
        <v>0</v>
      </c>
      <c r="T43" s="56">
        <v>2600</v>
      </c>
      <c r="U43" s="57"/>
      <c r="V43" s="55">
        <v>0</v>
      </c>
      <c r="W43" s="55">
        <v>0</v>
      </c>
      <c r="X43" s="58">
        <v>0</v>
      </c>
      <c r="Y43" s="59">
        <v>0</v>
      </c>
      <c r="Z43" s="58">
        <v>0</v>
      </c>
      <c r="AA43" s="56">
        <v>0</v>
      </c>
      <c r="AB43" s="56">
        <v>0</v>
      </c>
      <c r="AC43" s="60">
        <v>46142</v>
      </c>
    </row>
    <row r="44" spans="1:30" x14ac:dyDescent="0.25">
      <c r="A44" s="43">
        <v>1002</v>
      </c>
      <c r="B44" s="44" t="s">
        <v>1284</v>
      </c>
      <c r="C44" s="45">
        <v>10020006</v>
      </c>
      <c r="D44" s="46" t="s">
        <v>411</v>
      </c>
      <c r="E44" s="47" t="s">
        <v>371</v>
      </c>
      <c r="F44" s="47" t="s">
        <v>59</v>
      </c>
      <c r="G44" s="62">
        <v>176.50000000000003</v>
      </c>
      <c r="H44" s="62">
        <v>6759.4500000000007</v>
      </c>
      <c r="I44" s="49">
        <v>0</v>
      </c>
      <c r="J44" s="49">
        <v>0</v>
      </c>
      <c r="K44" s="49">
        <v>1.8679548387099558</v>
      </c>
      <c r="L44" s="50">
        <v>0</v>
      </c>
      <c r="M44" s="51"/>
      <c r="N44" s="52" t="s">
        <v>1300</v>
      </c>
      <c r="O44" s="31"/>
      <c r="P44" s="53">
        <v>0</v>
      </c>
      <c r="Q44" s="54">
        <v>0</v>
      </c>
      <c r="R44" s="55">
        <v>0</v>
      </c>
      <c r="S44" s="55">
        <v>0</v>
      </c>
      <c r="T44" s="56">
        <v>0</v>
      </c>
      <c r="U44" s="57"/>
      <c r="V44" s="55">
        <v>1.8679548387099558</v>
      </c>
      <c r="W44" s="55">
        <v>0</v>
      </c>
      <c r="X44" s="58">
        <v>0</v>
      </c>
      <c r="Y44" s="59">
        <v>1.8679548387099558</v>
      </c>
      <c r="Z44" s="58">
        <v>1.8679548387099558</v>
      </c>
      <c r="AA44" s="56">
        <v>0</v>
      </c>
      <c r="AB44" s="56">
        <v>0</v>
      </c>
      <c r="AC44" s="60">
        <v>46142</v>
      </c>
    </row>
    <row r="45" spans="1:30" x14ac:dyDescent="0.25">
      <c r="A45" s="43">
        <v>1002</v>
      </c>
      <c r="B45" s="44" t="s">
        <v>1284</v>
      </c>
      <c r="C45" s="45">
        <v>10020008</v>
      </c>
      <c r="D45" s="46" t="s">
        <v>412</v>
      </c>
      <c r="E45" s="47" t="s">
        <v>371</v>
      </c>
      <c r="F45" s="47" t="s">
        <v>59</v>
      </c>
      <c r="G45" s="62">
        <v>515.6</v>
      </c>
      <c r="H45" s="62">
        <v>20420.97</v>
      </c>
      <c r="I45" s="49">
        <v>0</v>
      </c>
      <c r="J45" s="49">
        <v>0</v>
      </c>
      <c r="K45" s="49">
        <v>2807.4264774193543</v>
      </c>
      <c r="L45" s="50">
        <v>0</v>
      </c>
      <c r="M45" s="51"/>
      <c r="N45" s="52" t="s">
        <v>1300</v>
      </c>
      <c r="O45" s="31"/>
      <c r="P45" s="53">
        <v>0</v>
      </c>
      <c r="Q45" s="54">
        <v>0</v>
      </c>
      <c r="R45" s="55">
        <v>0</v>
      </c>
      <c r="S45" s="55">
        <v>0</v>
      </c>
      <c r="T45" s="56">
        <v>0</v>
      </c>
      <c r="U45" s="57"/>
      <c r="V45" s="55">
        <v>2807.4264774193543</v>
      </c>
      <c r="W45" s="55">
        <v>0</v>
      </c>
      <c r="X45" s="58">
        <v>0</v>
      </c>
      <c r="Y45" s="59">
        <v>2807.4264774193543</v>
      </c>
      <c r="Z45" s="58">
        <v>2807.4264774193543</v>
      </c>
      <c r="AA45" s="56">
        <v>0</v>
      </c>
      <c r="AB45" s="56">
        <v>0</v>
      </c>
      <c r="AC45" s="60">
        <v>46142</v>
      </c>
    </row>
    <row r="46" spans="1:30" x14ac:dyDescent="0.25">
      <c r="A46" s="43">
        <v>1002</v>
      </c>
      <c r="B46" s="44" t="s">
        <v>1284</v>
      </c>
      <c r="C46" s="45">
        <v>10020010</v>
      </c>
      <c r="D46" s="46" t="s">
        <v>413</v>
      </c>
      <c r="E46" s="47" t="s">
        <v>364</v>
      </c>
      <c r="F46" s="47" t="s">
        <v>58</v>
      </c>
      <c r="G46" s="62">
        <v>417.09999999999997</v>
      </c>
      <c r="H46" s="62">
        <v>15222.970000000001</v>
      </c>
      <c r="I46" s="49">
        <v>0</v>
      </c>
      <c r="J46" s="49">
        <v>0</v>
      </c>
      <c r="K46" s="49">
        <v>0</v>
      </c>
      <c r="L46" s="50">
        <v>0</v>
      </c>
      <c r="M46" s="51"/>
      <c r="N46" s="52" t="s">
        <v>1300</v>
      </c>
      <c r="O46" s="31"/>
      <c r="P46" s="53">
        <v>-9.5319142327679643E-2</v>
      </c>
      <c r="Q46" s="54">
        <v>4</v>
      </c>
      <c r="R46" s="55">
        <v>0</v>
      </c>
      <c r="S46" s="55">
        <v>0</v>
      </c>
      <c r="T46" s="56">
        <v>0</v>
      </c>
      <c r="U46" s="57"/>
      <c r="V46" s="55">
        <v>0</v>
      </c>
      <c r="W46" s="55">
        <v>0</v>
      </c>
      <c r="X46" s="58">
        <v>0</v>
      </c>
      <c r="Y46" s="59">
        <v>0</v>
      </c>
      <c r="Z46" s="58">
        <v>0</v>
      </c>
      <c r="AA46" s="56">
        <v>0</v>
      </c>
      <c r="AB46" s="56">
        <v>0</v>
      </c>
      <c r="AC46" s="60">
        <v>46142</v>
      </c>
    </row>
    <row r="47" spans="1:30" x14ac:dyDescent="0.25">
      <c r="A47" s="43">
        <v>1002</v>
      </c>
      <c r="B47" s="44" t="s">
        <v>1284</v>
      </c>
      <c r="C47" s="45">
        <v>10020012</v>
      </c>
      <c r="D47" s="46" t="s">
        <v>414</v>
      </c>
      <c r="E47" s="47" t="s">
        <v>371</v>
      </c>
      <c r="F47" s="47" t="s">
        <v>59</v>
      </c>
      <c r="G47" s="62">
        <v>179.60000000000002</v>
      </c>
      <c r="H47" s="62">
        <v>7324.1</v>
      </c>
      <c r="I47" s="49">
        <v>0</v>
      </c>
      <c r="J47" s="49">
        <v>0</v>
      </c>
      <c r="K47" s="49">
        <v>0</v>
      </c>
      <c r="L47" s="50">
        <v>0</v>
      </c>
      <c r="M47" s="51"/>
      <c r="N47" s="52" t="s">
        <v>1300</v>
      </c>
      <c r="O47" s="31"/>
      <c r="P47" s="53">
        <v>0</v>
      </c>
      <c r="Q47" s="54">
        <v>0</v>
      </c>
      <c r="R47" s="55">
        <v>0</v>
      </c>
      <c r="S47" s="55">
        <v>0</v>
      </c>
      <c r="T47" s="56">
        <v>0</v>
      </c>
      <c r="U47" s="57"/>
      <c r="V47" s="55">
        <v>0</v>
      </c>
      <c r="W47" s="55">
        <v>0</v>
      </c>
      <c r="X47" s="58">
        <v>0</v>
      </c>
      <c r="Y47" s="59">
        <v>0</v>
      </c>
      <c r="Z47" s="58">
        <v>0</v>
      </c>
      <c r="AA47" s="56">
        <v>0</v>
      </c>
      <c r="AB47" s="56">
        <v>0</v>
      </c>
      <c r="AC47" s="60">
        <v>46142</v>
      </c>
    </row>
    <row r="48" spans="1:30" x14ac:dyDescent="0.25">
      <c r="A48" s="43">
        <v>1002</v>
      </c>
      <c r="B48" s="44" t="s">
        <v>1284</v>
      </c>
      <c r="C48" s="45">
        <v>10020015</v>
      </c>
      <c r="D48" s="46" t="s">
        <v>415</v>
      </c>
      <c r="E48" s="47" t="s">
        <v>371</v>
      </c>
      <c r="F48" s="47" t="s">
        <v>59</v>
      </c>
      <c r="G48" s="62">
        <v>25520.700000000004</v>
      </c>
      <c r="H48" s="62">
        <v>1010712.19</v>
      </c>
      <c r="I48" s="49">
        <v>0</v>
      </c>
      <c r="J48" s="49">
        <v>0</v>
      </c>
      <c r="K48" s="49">
        <v>0</v>
      </c>
      <c r="L48" s="50">
        <v>0</v>
      </c>
      <c r="M48" s="51"/>
      <c r="N48" s="52" t="s">
        <v>1300</v>
      </c>
      <c r="O48" s="31"/>
      <c r="P48" s="53">
        <v>0</v>
      </c>
      <c r="Q48" s="54">
        <v>0</v>
      </c>
      <c r="R48" s="55">
        <v>0</v>
      </c>
      <c r="S48" s="55">
        <v>0</v>
      </c>
      <c r="T48" s="56">
        <v>0</v>
      </c>
      <c r="U48" s="57"/>
      <c r="V48" s="55">
        <v>0</v>
      </c>
      <c r="W48" s="55">
        <v>0</v>
      </c>
      <c r="X48" s="58">
        <v>0</v>
      </c>
      <c r="Y48" s="59">
        <v>0</v>
      </c>
      <c r="Z48" s="58">
        <v>0</v>
      </c>
      <c r="AA48" s="56">
        <v>0</v>
      </c>
      <c r="AB48" s="56">
        <v>0</v>
      </c>
      <c r="AC48" s="60">
        <v>46142</v>
      </c>
      <c r="AD48" s="61"/>
    </row>
    <row r="49" spans="1:30" x14ac:dyDescent="0.25">
      <c r="A49" s="43">
        <v>1002</v>
      </c>
      <c r="B49" s="44" t="s">
        <v>1284</v>
      </c>
      <c r="C49" s="45">
        <v>10020016</v>
      </c>
      <c r="D49" s="46" t="s">
        <v>416</v>
      </c>
      <c r="E49" s="47" t="s">
        <v>371</v>
      </c>
      <c r="F49" s="47" t="s">
        <v>59</v>
      </c>
      <c r="G49" s="62">
        <v>25365.199999999997</v>
      </c>
      <c r="H49" s="62">
        <v>1013794.57</v>
      </c>
      <c r="I49" s="49">
        <v>0</v>
      </c>
      <c r="J49" s="49">
        <v>0</v>
      </c>
      <c r="K49" s="49">
        <v>0</v>
      </c>
      <c r="L49" s="50">
        <v>0</v>
      </c>
      <c r="M49" s="51"/>
      <c r="N49" s="52" t="s">
        <v>1300</v>
      </c>
      <c r="O49" s="31"/>
      <c r="P49" s="53">
        <v>0</v>
      </c>
      <c r="Q49" s="54">
        <v>0</v>
      </c>
      <c r="R49" s="55">
        <v>0</v>
      </c>
      <c r="S49" s="55">
        <v>0</v>
      </c>
      <c r="T49" s="56">
        <v>0</v>
      </c>
      <c r="U49" s="57"/>
      <c r="V49" s="55">
        <v>0</v>
      </c>
      <c r="W49" s="55">
        <v>0</v>
      </c>
      <c r="X49" s="58">
        <v>0</v>
      </c>
      <c r="Y49" s="59">
        <v>0</v>
      </c>
      <c r="Z49" s="58">
        <v>0</v>
      </c>
      <c r="AA49" s="56">
        <v>0</v>
      </c>
      <c r="AB49" s="56">
        <v>0</v>
      </c>
      <c r="AC49" s="60">
        <v>46142</v>
      </c>
    </row>
    <row r="50" spans="1:30" x14ac:dyDescent="0.25">
      <c r="A50" s="43">
        <v>1002</v>
      </c>
      <c r="B50" s="44" t="s">
        <v>1284</v>
      </c>
      <c r="C50" s="45">
        <v>10020017</v>
      </c>
      <c r="D50" s="46" t="s">
        <v>417</v>
      </c>
      <c r="E50" s="47" t="s">
        <v>364</v>
      </c>
      <c r="F50" s="47" t="s">
        <v>58</v>
      </c>
      <c r="G50" s="62">
        <v>2302.8999999999996</v>
      </c>
      <c r="H50" s="62">
        <v>93511.919999999984</v>
      </c>
      <c r="I50" s="49">
        <v>0</v>
      </c>
      <c r="J50" s="49">
        <v>0</v>
      </c>
      <c r="K50" s="49">
        <v>4329.4010262295096</v>
      </c>
      <c r="L50" s="50">
        <v>0</v>
      </c>
      <c r="M50" s="51"/>
      <c r="N50" s="52" t="s">
        <v>1300</v>
      </c>
      <c r="O50" s="31"/>
      <c r="P50" s="53">
        <v>-4.3279936872929808E-3</v>
      </c>
      <c r="Q50" s="54">
        <v>46</v>
      </c>
      <c r="R50" s="55">
        <v>0</v>
      </c>
      <c r="S50" s="55">
        <v>0</v>
      </c>
      <c r="T50" s="56">
        <v>0</v>
      </c>
      <c r="U50" s="57"/>
      <c r="V50" s="55">
        <v>4329.4010262295096</v>
      </c>
      <c r="W50" s="55">
        <v>0</v>
      </c>
      <c r="X50" s="58">
        <v>0</v>
      </c>
      <c r="Y50" s="59">
        <v>4329.4010262295096</v>
      </c>
      <c r="Z50" s="58">
        <v>4329.4010262295096</v>
      </c>
      <c r="AA50" s="56">
        <v>0</v>
      </c>
      <c r="AB50" s="56">
        <v>0</v>
      </c>
      <c r="AC50" s="60">
        <v>46142</v>
      </c>
      <c r="AD50" s="61"/>
    </row>
    <row r="51" spans="1:30" x14ac:dyDescent="0.25">
      <c r="A51" s="43">
        <v>1002</v>
      </c>
      <c r="B51" s="44" t="s">
        <v>1284</v>
      </c>
      <c r="C51" s="45">
        <v>10020021</v>
      </c>
      <c r="D51" s="46" t="s">
        <v>418</v>
      </c>
      <c r="E51" s="47" t="s">
        <v>364</v>
      </c>
      <c r="F51" s="47" t="s">
        <v>58</v>
      </c>
      <c r="G51" s="62">
        <v>1939.6999999999998</v>
      </c>
      <c r="H51" s="62">
        <v>87836.25</v>
      </c>
      <c r="I51" s="49">
        <v>0</v>
      </c>
      <c r="J51" s="49">
        <v>0</v>
      </c>
      <c r="K51" s="49">
        <v>5086.99</v>
      </c>
      <c r="L51" s="50" t="s">
        <v>366</v>
      </c>
      <c r="M51" s="51" t="s">
        <v>367</v>
      </c>
      <c r="N51" s="52" t="s">
        <v>1300</v>
      </c>
      <c r="O51" s="31"/>
      <c r="P51" s="53">
        <v>-9.6076794001621196E-2</v>
      </c>
      <c r="Q51" s="54">
        <v>27</v>
      </c>
      <c r="R51" s="55">
        <v>0</v>
      </c>
      <c r="S51" s="55">
        <v>0</v>
      </c>
      <c r="T51" s="56">
        <v>0</v>
      </c>
      <c r="U51" s="57"/>
      <c r="V51" s="55">
        <v>5086.9859508196732</v>
      </c>
      <c r="W51" s="55">
        <v>0</v>
      </c>
      <c r="X51" s="58">
        <v>0</v>
      </c>
      <c r="Y51" s="59">
        <v>5086.9859508196732</v>
      </c>
      <c r="Z51" s="58">
        <v>5086.99</v>
      </c>
      <c r="AA51" s="56">
        <v>4.0491803265467752E-3</v>
      </c>
      <c r="AB51" s="56">
        <v>4.0491803265467752E-3</v>
      </c>
      <c r="AC51" s="60">
        <v>46142</v>
      </c>
    </row>
    <row r="52" spans="1:30" x14ac:dyDescent="0.25">
      <c r="A52" s="43">
        <v>1002</v>
      </c>
      <c r="B52" s="44" t="s">
        <v>1284</v>
      </c>
      <c r="C52" s="45">
        <v>10020023</v>
      </c>
      <c r="D52" s="46" t="s">
        <v>419</v>
      </c>
      <c r="E52" s="47" t="s">
        <v>364</v>
      </c>
      <c r="F52" s="47" t="s">
        <v>58</v>
      </c>
      <c r="G52" s="62">
        <v>849.89999999999986</v>
      </c>
      <c r="H52" s="62">
        <v>32243.799999999996</v>
      </c>
      <c r="I52" s="49">
        <v>0</v>
      </c>
      <c r="J52" s="49">
        <v>0</v>
      </c>
      <c r="K52" s="49">
        <v>0</v>
      </c>
      <c r="L52" s="50">
        <v>0</v>
      </c>
      <c r="M52" s="51"/>
      <c r="N52" s="52" t="s">
        <v>1300</v>
      </c>
      <c r="O52" s="31"/>
      <c r="P52" s="53">
        <v>6.9491936587260114E-3</v>
      </c>
      <c r="Q52" s="54">
        <v>26</v>
      </c>
      <c r="R52" s="55">
        <v>0</v>
      </c>
      <c r="S52" s="55">
        <v>0</v>
      </c>
      <c r="T52" s="56">
        <v>0</v>
      </c>
      <c r="U52" s="57"/>
      <c r="V52" s="55">
        <v>0</v>
      </c>
      <c r="W52" s="55">
        <v>0</v>
      </c>
      <c r="X52" s="58">
        <v>0</v>
      </c>
      <c r="Y52" s="59">
        <v>0</v>
      </c>
      <c r="Z52" s="58">
        <v>0</v>
      </c>
      <c r="AA52" s="56">
        <v>0</v>
      </c>
      <c r="AB52" s="56">
        <v>0</v>
      </c>
      <c r="AC52" s="60">
        <v>46142</v>
      </c>
    </row>
    <row r="53" spans="1:30" x14ac:dyDescent="0.25">
      <c r="A53" s="43">
        <v>1002</v>
      </c>
      <c r="B53" s="44" t="s">
        <v>1284</v>
      </c>
      <c r="C53" s="45">
        <v>10020024</v>
      </c>
      <c r="D53" s="46" t="s">
        <v>420</v>
      </c>
      <c r="E53" s="47" t="s">
        <v>364</v>
      </c>
      <c r="F53" s="47" t="s">
        <v>58</v>
      </c>
      <c r="G53" s="62">
        <v>3421.1999999999994</v>
      </c>
      <c r="H53" s="62">
        <v>136509.49</v>
      </c>
      <c r="I53" s="49">
        <v>0</v>
      </c>
      <c r="J53" s="49">
        <v>0</v>
      </c>
      <c r="K53" s="49">
        <v>0</v>
      </c>
      <c r="L53" s="50" t="s">
        <v>409</v>
      </c>
      <c r="M53" s="51" t="s">
        <v>410</v>
      </c>
      <c r="N53" s="52" t="s">
        <v>1300</v>
      </c>
      <c r="O53" s="31"/>
      <c r="P53" s="53">
        <v>-7.012339668902373E-3</v>
      </c>
      <c r="Q53" s="54">
        <v>74</v>
      </c>
      <c r="R53" s="55">
        <v>3750</v>
      </c>
      <c r="S53" s="55">
        <v>0</v>
      </c>
      <c r="T53" s="56">
        <v>3750</v>
      </c>
      <c r="U53" s="57"/>
      <c r="V53" s="55">
        <v>0</v>
      </c>
      <c r="W53" s="55">
        <v>0</v>
      </c>
      <c r="X53" s="58">
        <v>0</v>
      </c>
      <c r="Y53" s="59">
        <v>0</v>
      </c>
      <c r="Z53" s="58">
        <v>0</v>
      </c>
      <c r="AA53" s="56">
        <v>0</v>
      </c>
      <c r="AB53" s="56">
        <v>0</v>
      </c>
      <c r="AC53" s="60">
        <v>46142</v>
      </c>
      <c r="AD53" s="61"/>
    </row>
    <row r="54" spans="1:30" x14ac:dyDescent="0.25">
      <c r="A54" s="43">
        <v>1002</v>
      </c>
      <c r="B54" s="44" t="s">
        <v>1284</v>
      </c>
      <c r="C54" s="45">
        <v>10020025</v>
      </c>
      <c r="D54" s="46" t="s">
        <v>421</v>
      </c>
      <c r="E54" s="47" t="s">
        <v>364</v>
      </c>
      <c r="F54" s="47" t="s">
        <v>58</v>
      </c>
      <c r="G54" s="62">
        <v>1014.6</v>
      </c>
      <c r="H54" s="62">
        <v>38654.61</v>
      </c>
      <c r="I54" s="49">
        <v>0</v>
      </c>
      <c r="J54" s="49">
        <v>0</v>
      </c>
      <c r="K54" s="49">
        <v>0</v>
      </c>
      <c r="L54" s="50">
        <v>0</v>
      </c>
      <c r="M54" s="51"/>
      <c r="N54" s="52" t="s">
        <v>1300</v>
      </c>
      <c r="O54" s="31"/>
      <c r="P54" s="53">
        <v>-2.4036453658932691E-3</v>
      </c>
      <c r="Q54" s="54">
        <v>16</v>
      </c>
      <c r="R54" s="55">
        <v>0</v>
      </c>
      <c r="S54" s="55">
        <v>0</v>
      </c>
      <c r="T54" s="56">
        <v>0</v>
      </c>
      <c r="U54" s="57"/>
      <c r="V54" s="55">
        <v>0</v>
      </c>
      <c r="W54" s="55">
        <v>0</v>
      </c>
      <c r="X54" s="58">
        <v>0</v>
      </c>
      <c r="Y54" s="59">
        <v>0</v>
      </c>
      <c r="Z54" s="58">
        <v>0</v>
      </c>
      <c r="AA54" s="56">
        <v>0</v>
      </c>
      <c r="AB54" s="56">
        <v>0</v>
      </c>
      <c r="AC54" s="60">
        <v>46142</v>
      </c>
      <c r="AD54" s="61"/>
    </row>
    <row r="55" spans="1:30" x14ac:dyDescent="0.25">
      <c r="A55" s="43">
        <v>1002</v>
      </c>
      <c r="B55" s="44" t="s">
        <v>1284</v>
      </c>
      <c r="C55" s="45">
        <v>10020026</v>
      </c>
      <c r="D55" s="46" t="s">
        <v>422</v>
      </c>
      <c r="E55" s="47" t="s">
        <v>364</v>
      </c>
      <c r="F55" s="47" t="s">
        <v>58</v>
      </c>
      <c r="G55" s="62">
        <v>757.2</v>
      </c>
      <c r="H55" s="62">
        <v>30327.68</v>
      </c>
      <c r="I55" s="49">
        <v>0</v>
      </c>
      <c r="J55" s="49">
        <v>0</v>
      </c>
      <c r="K55" s="49">
        <v>0</v>
      </c>
      <c r="L55" s="50">
        <v>0</v>
      </c>
      <c r="M55" s="51"/>
      <c r="N55" s="52" t="s">
        <v>1300</v>
      </c>
      <c r="O55" s="31"/>
      <c r="P55" s="53">
        <v>-3.6459242704689316E-3</v>
      </c>
      <c r="Q55" s="54">
        <v>5</v>
      </c>
      <c r="R55" s="55">
        <v>0</v>
      </c>
      <c r="S55" s="55">
        <v>0</v>
      </c>
      <c r="T55" s="56">
        <v>0</v>
      </c>
      <c r="U55" s="57"/>
      <c r="V55" s="55">
        <v>0</v>
      </c>
      <c r="W55" s="55">
        <v>0</v>
      </c>
      <c r="X55" s="58">
        <v>0</v>
      </c>
      <c r="Y55" s="59">
        <v>0</v>
      </c>
      <c r="Z55" s="58">
        <v>0</v>
      </c>
      <c r="AA55" s="56">
        <v>0</v>
      </c>
      <c r="AB55" s="56">
        <v>0</v>
      </c>
      <c r="AC55" s="60">
        <v>46142</v>
      </c>
      <c r="AD55" s="61"/>
    </row>
    <row r="56" spans="1:30" x14ac:dyDescent="0.25">
      <c r="A56" s="43">
        <v>1002</v>
      </c>
      <c r="B56" s="44" t="s">
        <v>1284</v>
      </c>
      <c r="C56" s="45">
        <v>10020027</v>
      </c>
      <c r="D56" s="46" t="s">
        <v>423</v>
      </c>
      <c r="E56" s="47" t="s">
        <v>364</v>
      </c>
      <c r="F56" s="47" t="s">
        <v>58</v>
      </c>
      <c r="G56" s="62">
        <v>512.1</v>
      </c>
      <c r="H56" s="62">
        <v>19263.189999999999</v>
      </c>
      <c r="I56" s="49">
        <v>0</v>
      </c>
      <c r="J56" s="49">
        <v>0</v>
      </c>
      <c r="K56" s="49">
        <v>0</v>
      </c>
      <c r="L56" s="50">
        <v>0</v>
      </c>
      <c r="M56" s="51"/>
      <c r="N56" s="52" t="s">
        <v>1300</v>
      </c>
      <c r="O56" s="31"/>
      <c r="P56" s="53">
        <v>6.1129273791099845E-3</v>
      </c>
      <c r="Q56" s="54">
        <v>1</v>
      </c>
      <c r="R56" s="55">
        <v>0</v>
      </c>
      <c r="S56" s="55">
        <v>0</v>
      </c>
      <c r="T56" s="56">
        <v>0</v>
      </c>
      <c r="U56" s="57"/>
      <c r="V56" s="55">
        <v>0</v>
      </c>
      <c r="W56" s="55">
        <v>0</v>
      </c>
      <c r="X56" s="58">
        <v>0</v>
      </c>
      <c r="Y56" s="59">
        <v>0</v>
      </c>
      <c r="Z56" s="58">
        <v>0</v>
      </c>
      <c r="AA56" s="56">
        <v>0</v>
      </c>
      <c r="AB56" s="56">
        <v>0</v>
      </c>
      <c r="AC56" s="60">
        <v>46142</v>
      </c>
    </row>
    <row r="57" spans="1:30" x14ac:dyDescent="0.25">
      <c r="A57" s="43">
        <v>1002</v>
      </c>
      <c r="B57" s="44" t="s">
        <v>1284</v>
      </c>
      <c r="C57" s="45">
        <v>10020029</v>
      </c>
      <c r="D57" s="46" t="s">
        <v>424</v>
      </c>
      <c r="E57" s="47" t="s">
        <v>364</v>
      </c>
      <c r="F57" s="47" t="s">
        <v>58</v>
      </c>
      <c r="G57" s="62">
        <v>367.00000000000006</v>
      </c>
      <c r="H57" s="62">
        <v>14347.68</v>
      </c>
      <c r="I57" s="49">
        <v>0</v>
      </c>
      <c r="J57" s="49">
        <v>0</v>
      </c>
      <c r="K57" s="49">
        <v>0</v>
      </c>
      <c r="L57" s="50">
        <v>0</v>
      </c>
      <c r="M57" s="51"/>
      <c r="N57" s="52" t="s">
        <v>1300</v>
      </c>
      <c r="O57" s="31"/>
      <c r="P57" s="53">
        <v>1.1547415127462523E-3</v>
      </c>
      <c r="Q57" s="54">
        <v>6</v>
      </c>
      <c r="R57" s="55">
        <v>0</v>
      </c>
      <c r="S57" s="55">
        <v>0</v>
      </c>
      <c r="T57" s="56">
        <v>0</v>
      </c>
      <c r="U57" s="57"/>
      <c r="V57" s="55">
        <v>0</v>
      </c>
      <c r="W57" s="55">
        <v>0</v>
      </c>
      <c r="X57" s="58">
        <v>0</v>
      </c>
      <c r="Y57" s="59">
        <v>0</v>
      </c>
      <c r="Z57" s="58">
        <v>0</v>
      </c>
      <c r="AA57" s="56">
        <v>0</v>
      </c>
      <c r="AB57" s="56">
        <v>0</v>
      </c>
      <c r="AC57" s="60">
        <v>46142</v>
      </c>
    </row>
    <row r="58" spans="1:30" x14ac:dyDescent="0.25">
      <c r="A58" s="43">
        <v>1002</v>
      </c>
      <c r="B58" s="44" t="s">
        <v>1284</v>
      </c>
      <c r="C58" s="45">
        <v>10020032</v>
      </c>
      <c r="D58" s="46" t="s">
        <v>425</v>
      </c>
      <c r="E58" s="47" t="s">
        <v>364</v>
      </c>
      <c r="F58" s="47" t="s">
        <v>58</v>
      </c>
      <c r="G58" s="62">
        <v>875.19999999999993</v>
      </c>
      <c r="H58" s="62">
        <v>37305.440000000002</v>
      </c>
      <c r="I58" s="49">
        <v>0</v>
      </c>
      <c r="J58" s="49">
        <v>0</v>
      </c>
      <c r="K58" s="49">
        <v>0</v>
      </c>
      <c r="L58" s="50">
        <v>0</v>
      </c>
      <c r="M58" s="51"/>
      <c r="N58" s="52" t="s">
        <v>1300</v>
      </c>
      <c r="O58" s="31"/>
      <c r="P58" s="53">
        <v>9.6597017640974985E-3</v>
      </c>
      <c r="Q58" s="54">
        <v>18</v>
      </c>
      <c r="R58" s="55">
        <v>0</v>
      </c>
      <c r="S58" s="55">
        <v>0</v>
      </c>
      <c r="T58" s="56">
        <v>0</v>
      </c>
      <c r="U58" s="57"/>
      <c r="V58" s="55">
        <v>0</v>
      </c>
      <c r="W58" s="55">
        <v>0</v>
      </c>
      <c r="X58" s="58">
        <v>0</v>
      </c>
      <c r="Y58" s="59">
        <v>0</v>
      </c>
      <c r="Z58" s="58">
        <v>0</v>
      </c>
      <c r="AA58" s="56">
        <v>0</v>
      </c>
      <c r="AB58" s="56">
        <v>0</v>
      </c>
      <c r="AC58" s="60">
        <v>46142</v>
      </c>
    </row>
    <row r="59" spans="1:30" x14ac:dyDescent="0.25">
      <c r="A59" s="43">
        <v>1002</v>
      </c>
      <c r="B59" s="44" t="s">
        <v>1284</v>
      </c>
      <c r="C59" s="45">
        <v>10020034</v>
      </c>
      <c r="D59" s="46" t="s">
        <v>426</v>
      </c>
      <c r="E59" s="47" t="s">
        <v>364</v>
      </c>
      <c r="F59" s="47" t="s">
        <v>58</v>
      </c>
      <c r="G59" s="62">
        <v>962.30000000000007</v>
      </c>
      <c r="H59" s="62">
        <v>39636.889999999992</v>
      </c>
      <c r="I59" s="49">
        <v>0</v>
      </c>
      <c r="J59" s="49">
        <v>0</v>
      </c>
      <c r="K59" s="49">
        <v>0</v>
      </c>
      <c r="L59" s="50">
        <v>0</v>
      </c>
      <c r="M59" s="51"/>
      <c r="N59" s="52" t="s">
        <v>1300</v>
      </c>
      <c r="O59" s="31"/>
      <c r="P59" s="53">
        <v>3.1298467151646511E-2</v>
      </c>
      <c r="Q59" s="54">
        <v>30</v>
      </c>
      <c r="R59" s="55">
        <v>0</v>
      </c>
      <c r="S59" s="55">
        <v>0</v>
      </c>
      <c r="T59" s="56">
        <v>0</v>
      </c>
      <c r="U59" s="57"/>
      <c r="V59" s="55">
        <v>0</v>
      </c>
      <c r="W59" s="55">
        <v>0</v>
      </c>
      <c r="X59" s="58">
        <v>0</v>
      </c>
      <c r="Y59" s="59">
        <v>0</v>
      </c>
      <c r="Z59" s="58">
        <v>0</v>
      </c>
      <c r="AA59" s="56">
        <v>0</v>
      </c>
      <c r="AB59" s="56">
        <v>0</v>
      </c>
      <c r="AC59" s="60">
        <v>46142</v>
      </c>
      <c r="AD59" s="61"/>
    </row>
    <row r="60" spans="1:30" x14ac:dyDescent="0.25">
      <c r="A60" s="43">
        <v>1002</v>
      </c>
      <c r="B60" s="44" t="s">
        <v>1284</v>
      </c>
      <c r="C60" s="45">
        <v>10020035</v>
      </c>
      <c r="D60" s="46" t="s">
        <v>427</v>
      </c>
      <c r="E60" s="47" t="s">
        <v>364</v>
      </c>
      <c r="F60" s="47" t="s">
        <v>58</v>
      </c>
      <c r="G60" s="62">
        <v>737.09999999999991</v>
      </c>
      <c r="H60" s="62">
        <v>31827.069999999996</v>
      </c>
      <c r="I60" s="49">
        <v>0</v>
      </c>
      <c r="J60" s="49">
        <v>0</v>
      </c>
      <c r="K60" s="49">
        <v>891.41556000000082</v>
      </c>
      <c r="L60" s="50">
        <v>0</v>
      </c>
      <c r="M60" s="51"/>
      <c r="N60" s="52" t="s">
        <v>1300</v>
      </c>
      <c r="O60" s="31"/>
      <c r="P60" s="53">
        <v>-7.9959475786494042E-3</v>
      </c>
      <c r="Q60" s="54">
        <v>8</v>
      </c>
      <c r="R60" s="55">
        <v>0</v>
      </c>
      <c r="S60" s="55">
        <v>0</v>
      </c>
      <c r="T60" s="56">
        <v>0</v>
      </c>
      <c r="U60" s="57"/>
      <c r="V60" s="55">
        <v>891.41556000000082</v>
      </c>
      <c r="W60" s="55">
        <v>0</v>
      </c>
      <c r="X60" s="58">
        <v>0</v>
      </c>
      <c r="Y60" s="59">
        <v>891.41556000000082</v>
      </c>
      <c r="Z60" s="58">
        <v>891.41556000000082</v>
      </c>
      <c r="AA60" s="56">
        <v>0</v>
      </c>
      <c r="AB60" s="56">
        <v>0</v>
      </c>
      <c r="AC60" s="60">
        <v>46142</v>
      </c>
    </row>
    <row r="61" spans="1:30" x14ac:dyDescent="0.25">
      <c r="A61" s="43">
        <v>1002</v>
      </c>
      <c r="B61" s="44" t="s">
        <v>1284</v>
      </c>
      <c r="C61" s="45">
        <v>10020038</v>
      </c>
      <c r="D61" s="46" t="s">
        <v>428</v>
      </c>
      <c r="E61" s="47" t="s">
        <v>364</v>
      </c>
      <c r="F61" s="47" t="s">
        <v>58</v>
      </c>
      <c r="G61" s="62">
        <v>515.19999999999993</v>
      </c>
      <c r="H61" s="62">
        <v>20325.89</v>
      </c>
      <c r="I61" s="49">
        <v>0</v>
      </c>
      <c r="J61" s="49">
        <v>0</v>
      </c>
      <c r="K61" s="49">
        <v>0</v>
      </c>
      <c r="L61" s="50">
        <v>0</v>
      </c>
      <c r="M61" s="51"/>
      <c r="N61" s="52" t="s">
        <v>1300</v>
      </c>
      <c r="O61" s="31"/>
      <c r="P61" s="53">
        <v>1.9723961009180929E-2</v>
      </c>
      <c r="Q61" s="54">
        <v>10</v>
      </c>
      <c r="R61" s="55">
        <v>0</v>
      </c>
      <c r="S61" s="55">
        <v>0</v>
      </c>
      <c r="T61" s="56">
        <v>0</v>
      </c>
      <c r="U61" s="57"/>
      <c r="V61" s="55">
        <v>0</v>
      </c>
      <c r="W61" s="55">
        <v>0</v>
      </c>
      <c r="X61" s="58">
        <v>0</v>
      </c>
      <c r="Y61" s="59">
        <v>0</v>
      </c>
      <c r="Z61" s="58">
        <v>0</v>
      </c>
      <c r="AA61" s="56">
        <v>0</v>
      </c>
      <c r="AB61" s="56">
        <v>0</v>
      </c>
      <c r="AC61" s="60">
        <v>46142</v>
      </c>
    </row>
    <row r="62" spans="1:30" x14ac:dyDescent="0.25">
      <c r="A62" s="43">
        <v>1002</v>
      </c>
      <c r="B62" s="44" t="s">
        <v>1284</v>
      </c>
      <c r="C62" s="45">
        <v>10020041</v>
      </c>
      <c r="D62" s="46" t="s">
        <v>429</v>
      </c>
      <c r="E62" s="47" t="s">
        <v>364</v>
      </c>
      <c r="F62" s="47" t="s">
        <v>58</v>
      </c>
      <c r="G62" s="62">
        <v>252.19999999999996</v>
      </c>
      <c r="H62" s="62">
        <v>10541.559999999998</v>
      </c>
      <c r="I62" s="49">
        <v>0</v>
      </c>
      <c r="J62" s="49">
        <v>0</v>
      </c>
      <c r="K62" s="49">
        <v>0</v>
      </c>
      <c r="L62" s="50">
        <v>0</v>
      </c>
      <c r="M62" s="51"/>
      <c r="N62" s="52" t="s">
        <v>1300</v>
      </c>
      <c r="O62" s="31"/>
      <c r="P62" s="53">
        <v>-2.4221831973091849E-2</v>
      </c>
      <c r="Q62" s="54">
        <v>7</v>
      </c>
      <c r="R62" s="55">
        <v>0</v>
      </c>
      <c r="S62" s="55">
        <v>0</v>
      </c>
      <c r="T62" s="56">
        <v>0</v>
      </c>
      <c r="U62" s="57"/>
      <c r="V62" s="55">
        <v>0</v>
      </c>
      <c r="W62" s="55">
        <v>0</v>
      </c>
      <c r="X62" s="58">
        <v>0</v>
      </c>
      <c r="Y62" s="59">
        <v>0</v>
      </c>
      <c r="Z62" s="58">
        <v>0</v>
      </c>
      <c r="AA62" s="56">
        <v>0</v>
      </c>
      <c r="AB62" s="56">
        <v>0</v>
      </c>
      <c r="AC62" s="60">
        <v>46142</v>
      </c>
    </row>
    <row r="63" spans="1:30" x14ac:dyDescent="0.25">
      <c r="A63" s="43">
        <v>1002</v>
      </c>
      <c r="B63" s="44" t="s">
        <v>1284</v>
      </c>
      <c r="C63" s="45">
        <v>10020042</v>
      </c>
      <c r="D63" s="46" t="s">
        <v>430</v>
      </c>
      <c r="E63" s="47" t="s">
        <v>364</v>
      </c>
      <c r="F63" s="47" t="s">
        <v>58</v>
      </c>
      <c r="G63" s="62">
        <v>427.7</v>
      </c>
      <c r="H63" s="62">
        <v>16188.18</v>
      </c>
      <c r="I63" s="49">
        <v>0</v>
      </c>
      <c r="J63" s="49">
        <v>0</v>
      </c>
      <c r="K63" s="49">
        <v>0</v>
      </c>
      <c r="L63" s="50">
        <v>0</v>
      </c>
      <c r="M63" s="51"/>
      <c r="N63" s="52" t="s">
        <v>1300</v>
      </c>
      <c r="O63" s="31"/>
      <c r="P63" s="53">
        <v>0.18643421991897796</v>
      </c>
      <c r="Q63" s="54">
        <v>1</v>
      </c>
      <c r="R63" s="55">
        <v>0</v>
      </c>
      <c r="S63" s="55">
        <v>0</v>
      </c>
      <c r="T63" s="56">
        <v>0</v>
      </c>
      <c r="U63" s="57"/>
      <c r="V63" s="55">
        <v>0</v>
      </c>
      <c r="W63" s="55">
        <v>0</v>
      </c>
      <c r="X63" s="58">
        <v>0</v>
      </c>
      <c r="Y63" s="59">
        <v>0</v>
      </c>
      <c r="Z63" s="58">
        <v>0</v>
      </c>
      <c r="AA63" s="56">
        <v>0</v>
      </c>
      <c r="AB63" s="56">
        <v>0</v>
      </c>
      <c r="AC63" s="60">
        <v>46142</v>
      </c>
    </row>
    <row r="64" spans="1:30" x14ac:dyDescent="0.25">
      <c r="A64" s="43">
        <v>1002</v>
      </c>
      <c r="B64" s="44" t="s">
        <v>1284</v>
      </c>
      <c r="C64" s="45">
        <v>10020043</v>
      </c>
      <c r="D64" s="46" t="s">
        <v>431</v>
      </c>
      <c r="E64" s="47" t="s">
        <v>364</v>
      </c>
      <c r="F64" s="47" t="s">
        <v>58</v>
      </c>
      <c r="G64" s="62">
        <v>1076.1999999999998</v>
      </c>
      <c r="H64" s="62">
        <v>44727.780000000006</v>
      </c>
      <c r="I64" s="49">
        <v>0</v>
      </c>
      <c r="J64" s="49">
        <v>0</v>
      </c>
      <c r="K64" s="49">
        <v>0</v>
      </c>
      <c r="L64" s="50">
        <v>0</v>
      </c>
      <c r="M64" s="51"/>
      <c r="N64" s="52" t="s">
        <v>1300</v>
      </c>
      <c r="O64" s="31"/>
      <c r="P64" s="53">
        <v>-2.2928534679478252E-2</v>
      </c>
      <c r="Q64" s="54">
        <v>8</v>
      </c>
      <c r="R64" s="55">
        <v>0</v>
      </c>
      <c r="S64" s="55">
        <v>0</v>
      </c>
      <c r="T64" s="56">
        <v>0</v>
      </c>
      <c r="U64" s="57"/>
      <c r="V64" s="55">
        <v>0</v>
      </c>
      <c r="W64" s="55">
        <v>0</v>
      </c>
      <c r="X64" s="58">
        <v>0</v>
      </c>
      <c r="Y64" s="59">
        <v>0</v>
      </c>
      <c r="Z64" s="58">
        <v>0</v>
      </c>
      <c r="AA64" s="56">
        <v>0</v>
      </c>
      <c r="AB64" s="56">
        <v>0</v>
      </c>
      <c r="AC64" s="60">
        <v>46142</v>
      </c>
    </row>
    <row r="65" spans="1:29" x14ac:dyDescent="0.25">
      <c r="A65" s="43">
        <v>1002</v>
      </c>
      <c r="B65" s="44" t="s">
        <v>1284</v>
      </c>
      <c r="C65" s="45">
        <v>10020044</v>
      </c>
      <c r="D65" s="46" t="s">
        <v>432</v>
      </c>
      <c r="E65" s="47" t="s">
        <v>364</v>
      </c>
      <c r="F65" s="47" t="s">
        <v>58</v>
      </c>
      <c r="G65" s="62">
        <v>1109.1000000000001</v>
      </c>
      <c r="H65" s="62">
        <v>48415.08</v>
      </c>
      <c r="I65" s="49">
        <v>0</v>
      </c>
      <c r="J65" s="49">
        <v>0</v>
      </c>
      <c r="K65" s="49">
        <v>0</v>
      </c>
      <c r="L65" s="50">
        <v>0</v>
      </c>
      <c r="M65" s="51"/>
      <c r="N65" s="52" t="s">
        <v>1300</v>
      </c>
      <c r="O65" s="31"/>
      <c r="P65" s="53">
        <v>1.5267949113018106E-2</v>
      </c>
      <c r="Q65" s="54">
        <v>20</v>
      </c>
      <c r="R65" s="55">
        <v>0</v>
      </c>
      <c r="S65" s="55">
        <v>0</v>
      </c>
      <c r="T65" s="56">
        <v>0</v>
      </c>
      <c r="U65" s="57"/>
      <c r="V65" s="55">
        <v>0</v>
      </c>
      <c r="W65" s="55">
        <v>0</v>
      </c>
      <c r="X65" s="58">
        <v>0</v>
      </c>
      <c r="Y65" s="59">
        <v>0</v>
      </c>
      <c r="Z65" s="58">
        <v>0</v>
      </c>
      <c r="AA65" s="56">
        <v>0</v>
      </c>
      <c r="AB65" s="56">
        <v>0</v>
      </c>
      <c r="AC65" s="60">
        <v>46142</v>
      </c>
    </row>
    <row r="66" spans="1:29" x14ac:dyDescent="0.25">
      <c r="A66" s="43">
        <v>1002</v>
      </c>
      <c r="B66" s="44" t="s">
        <v>1284</v>
      </c>
      <c r="C66" s="45">
        <v>10020047</v>
      </c>
      <c r="D66" s="46" t="s">
        <v>433</v>
      </c>
      <c r="E66" s="47" t="s">
        <v>371</v>
      </c>
      <c r="F66" s="47" t="s">
        <v>59</v>
      </c>
      <c r="G66" s="62">
        <v>3401.6</v>
      </c>
      <c r="H66" s="62">
        <v>134998.60999999999</v>
      </c>
      <c r="I66" s="49">
        <v>0</v>
      </c>
      <c r="J66" s="49">
        <v>0</v>
      </c>
      <c r="K66" s="49">
        <v>0</v>
      </c>
      <c r="L66" s="50">
        <v>0</v>
      </c>
      <c r="M66" s="51"/>
      <c r="N66" s="52" t="s">
        <v>1300</v>
      </c>
      <c r="O66" s="31"/>
      <c r="P66" s="53">
        <v>0</v>
      </c>
      <c r="Q66" s="54">
        <v>0</v>
      </c>
      <c r="R66" s="55">
        <v>0</v>
      </c>
      <c r="S66" s="55">
        <v>0</v>
      </c>
      <c r="T66" s="56">
        <v>0</v>
      </c>
      <c r="U66" s="57"/>
      <c r="V66" s="55">
        <v>0</v>
      </c>
      <c r="W66" s="55">
        <v>0</v>
      </c>
      <c r="X66" s="58">
        <v>0</v>
      </c>
      <c r="Y66" s="59">
        <v>0</v>
      </c>
      <c r="Z66" s="58">
        <v>0</v>
      </c>
      <c r="AA66" s="56">
        <v>0</v>
      </c>
      <c r="AB66" s="56">
        <v>0</v>
      </c>
      <c r="AC66" s="60">
        <v>46142</v>
      </c>
    </row>
    <row r="67" spans="1:29" x14ac:dyDescent="0.25">
      <c r="A67" s="43">
        <v>1002</v>
      </c>
      <c r="B67" s="44" t="s">
        <v>1284</v>
      </c>
      <c r="C67" s="45">
        <v>10020050</v>
      </c>
      <c r="D67" s="46" t="s">
        <v>434</v>
      </c>
      <c r="E67" s="47" t="s">
        <v>364</v>
      </c>
      <c r="F67" s="47" t="s">
        <v>58</v>
      </c>
      <c r="G67" s="62">
        <v>750.19999999999993</v>
      </c>
      <c r="H67" s="62">
        <v>29664.899999999998</v>
      </c>
      <c r="I67" s="49">
        <v>0</v>
      </c>
      <c r="J67" s="49">
        <v>0</v>
      </c>
      <c r="K67" s="49">
        <v>143.33000000000001</v>
      </c>
      <c r="L67" s="50" t="s">
        <v>366</v>
      </c>
      <c r="M67" s="51" t="s">
        <v>367</v>
      </c>
      <c r="N67" s="52" t="s">
        <v>1300</v>
      </c>
      <c r="O67" s="31"/>
      <c r="P67" s="53">
        <v>4.4001699000981564E-3</v>
      </c>
      <c r="Q67" s="54">
        <v>11</v>
      </c>
      <c r="R67" s="55">
        <v>0</v>
      </c>
      <c r="S67" s="55">
        <v>0</v>
      </c>
      <c r="T67" s="56">
        <v>0</v>
      </c>
      <c r="U67" s="57"/>
      <c r="V67" s="55">
        <v>143.33273999999966</v>
      </c>
      <c r="W67" s="55">
        <v>0</v>
      </c>
      <c r="X67" s="58">
        <v>0</v>
      </c>
      <c r="Y67" s="59">
        <v>143.33273999999966</v>
      </c>
      <c r="Z67" s="58">
        <v>143.33000000000001</v>
      </c>
      <c r="AA67" s="56">
        <v>-2.7399999996475799E-3</v>
      </c>
      <c r="AB67" s="56">
        <v>-2.7399999996475799E-3</v>
      </c>
      <c r="AC67" s="60">
        <v>46142</v>
      </c>
    </row>
    <row r="68" spans="1:29" x14ac:dyDescent="0.25">
      <c r="A68" s="43">
        <v>1002</v>
      </c>
      <c r="B68" s="44" t="s">
        <v>1284</v>
      </c>
      <c r="C68" s="45">
        <v>10020054</v>
      </c>
      <c r="D68" s="46" t="s">
        <v>435</v>
      </c>
      <c r="E68" s="47" t="s">
        <v>371</v>
      </c>
      <c r="F68" s="47" t="s">
        <v>59</v>
      </c>
      <c r="G68" s="62">
        <v>429.3</v>
      </c>
      <c r="H68" s="62">
        <v>17468.95</v>
      </c>
      <c r="I68" s="49">
        <v>0</v>
      </c>
      <c r="J68" s="49">
        <v>0</v>
      </c>
      <c r="K68" s="49">
        <v>1979.461974193548</v>
      </c>
      <c r="L68" s="50">
        <v>0</v>
      </c>
      <c r="M68" s="51"/>
      <c r="N68" s="52" t="s">
        <v>1300</v>
      </c>
      <c r="O68" s="31"/>
      <c r="P68" s="53">
        <v>0</v>
      </c>
      <c r="Q68" s="54">
        <v>0</v>
      </c>
      <c r="R68" s="55">
        <v>0</v>
      </c>
      <c r="S68" s="55">
        <v>0</v>
      </c>
      <c r="T68" s="56">
        <v>0</v>
      </c>
      <c r="U68" s="57"/>
      <c r="V68" s="55">
        <v>1979.461974193548</v>
      </c>
      <c r="W68" s="55">
        <v>0</v>
      </c>
      <c r="X68" s="58">
        <v>0</v>
      </c>
      <c r="Y68" s="59">
        <v>1979.461974193548</v>
      </c>
      <c r="Z68" s="58">
        <v>1979.461974193548</v>
      </c>
      <c r="AA68" s="56">
        <v>0</v>
      </c>
      <c r="AB68" s="56">
        <v>0</v>
      </c>
      <c r="AC68" s="60">
        <v>46142</v>
      </c>
    </row>
    <row r="69" spans="1:29" x14ac:dyDescent="0.25">
      <c r="A69" s="43">
        <v>1002</v>
      </c>
      <c r="B69" s="44" t="s">
        <v>1284</v>
      </c>
      <c r="C69" s="45">
        <v>10020057</v>
      </c>
      <c r="D69" s="46" t="s">
        <v>436</v>
      </c>
      <c r="E69" s="47" t="s">
        <v>364</v>
      </c>
      <c r="F69" s="47" t="s">
        <v>58</v>
      </c>
      <c r="G69" s="62">
        <v>2737.599999999999</v>
      </c>
      <c r="H69" s="62">
        <v>118949.01999999999</v>
      </c>
      <c r="I69" s="49">
        <v>0</v>
      </c>
      <c r="J69" s="49">
        <v>0</v>
      </c>
      <c r="K69" s="49">
        <v>0</v>
      </c>
      <c r="L69" s="50">
        <v>0</v>
      </c>
      <c r="M69" s="51"/>
      <c r="N69" s="52" t="s">
        <v>1300</v>
      </c>
      <c r="O69" s="31"/>
      <c r="P69" s="53">
        <v>-1.0114633560994174E-2</v>
      </c>
      <c r="Q69" s="54">
        <v>13</v>
      </c>
      <c r="R69" s="55">
        <v>0</v>
      </c>
      <c r="S69" s="55">
        <v>0</v>
      </c>
      <c r="T69" s="56">
        <v>0</v>
      </c>
      <c r="U69" s="57"/>
      <c r="V69" s="55">
        <v>0</v>
      </c>
      <c r="W69" s="55">
        <v>0</v>
      </c>
      <c r="X69" s="58">
        <v>0</v>
      </c>
      <c r="Y69" s="59">
        <v>0</v>
      </c>
      <c r="Z69" s="58">
        <v>0</v>
      </c>
      <c r="AA69" s="56">
        <v>0</v>
      </c>
      <c r="AB69" s="56">
        <v>0</v>
      </c>
      <c r="AC69" s="60">
        <v>46142</v>
      </c>
    </row>
    <row r="70" spans="1:29" x14ac:dyDescent="0.25">
      <c r="A70" s="43">
        <v>1002</v>
      </c>
      <c r="B70" s="44" t="s">
        <v>1284</v>
      </c>
      <c r="C70" s="45">
        <v>10020058</v>
      </c>
      <c r="D70" s="46" t="s">
        <v>437</v>
      </c>
      <c r="E70" s="47" t="s">
        <v>364</v>
      </c>
      <c r="F70" s="47" t="s">
        <v>58</v>
      </c>
      <c r="G70" s="62">
        <v>1044.1000000000001</v>
      </c>
      <c r="H70" s="62">
        <v>41847.260000000009</v>
      </c>
      <c r="I70" s="49">
        <v>0</v>
      </c>
      <c r="J70" s="49">
        <v>0</v>
      </c>
      <c r="K70" s="49">
        <v>0</v>
      </c>
      <c r="L70" s="50">
        <v>0</v>
      </c>
      <c r="M70" s="51"/>
      <c r="N70" s="52" t="s">
        <v>1300</v>
      </c>
      <c r="O70" s="31"/>
      <c r="P70" s="53">
        <v>1.4228340793547799E-2</v>
      </c>
      <c r="Q70" s="54">
        <v>9</v>
      </c>
      <c r="R70" s="55">
        <v>0</v>
      </c>
      <c r="S70" s="55">
        <v>0</v>
      </c>
      <c r="T70" s="56">
        <v>0</v>
      </c>
      <c r="U70" s="57"/>
      <c r="V70" s="55">
        <v>0</v>
      </c>
      <c r="W70" s="55">
        <v>0</v>
      </c>
      <c r="X70" s="58">
        <v>0</v>
      </c>
      <c r="Y70" s="59">
        <v>0</v>
      </c>
      <c r="Z70" s="58">
        <v>0</v>
      </c>
      <c r="AA70" s="56">
        <v>0</v>
      </c>
      <c r="AB70" s="56">
        <v>0</v>
      </c>
      <c r="AC70" s="60">
        <v>46142</v>
      </c>
    </row>
    <row r="71" spans="1:29" x14ac:dyDescent="0.25">
      <c r="A71" s="43">
        <v>1002</v>
      </c>
      <c r="B71" s="44" t="s">
        <v>1284</v>
      </c>
      <c r="C71" s="45">
        <v>10020059</v>
      </c>
      <c r="D71" s="46" t="s">
        <v>438</v>
      </c>
      <c r="E71" s="47" t="s">
        <v>364</v>
      </c>
      <c r="F71" s="47" t="s">
        <v>58</v>
      </c>
      <c r="G71" s="62">
        <v>1103.5</v>
      </c>
      <c r="H71" s="62">
        <v>43918.38</v>
      </c>
      <c r="I71" s="49">
        <v>0</v>
      </c>
      <c r="J71" s="49">
        <v>0</v>
      </c>
      <c r="K71" s="49">
        <v>0</v>
      </c>
      <c r="L71" s="50">
        <v>0</v>
      </c>
      <c r="M71" s="51"/>
      <c r="N71" s="52" t="s">
        <v>1300</v>
      </c>
      <c r="O71" s="31"/>
      <c r="P71" s="53">
        <v>1.4446390294590253E-2</v>
      </c>
      <c r="Q71" s="54">
        <v>8</v>
      </c>
      <c r="R71" s="55">
        <v>0</v>
      </c>
      <c r="S71" s="55">
        <v>0</v>
      </c>
      <c r="T71" s="56">
        <v>0</v>
      </c>
      <c r="U71" s="57"/>
      <c r="V71" s="55">
        <v>0</v>
      </c>
      <c r="W71" s="55">
        <v>0</v>
      </c>
      <c r="X71" s="58">
        <v>0</v>
      </c>
      <c r="Y71" s="59">
        <v>0</v>
      </c>
      <c r="Z71" s="58">
        <v>0</v>
      </c>
      <c r="AA71" s="56">
        <v>0</v>
      </c>
      <c r="AB71" s="56">
        <v>0</v>
      </c>
      <c r="AC71" s="60">
        <v>46142</v>
      </c>
    </row>
    <row r="72" spans="1:29" x14ac:dyDescent="0.25">
      <c r="A72" s="43">
        <v>1002</v>
      </c>
      <c r="B72" s="44" t="s">
        <v>1284</v>
      </c>
      <c r="C72" s="45">
        <v>10020062</v>
      </c>
      <c r="D72" s="46" t="s">
        <v>439</v>
      </c>
      <c r="E72" s="47" t="s">
        <v>364</v>
      </c>
      <c r="F72" s="47" t="s">
        <v>58</v>
      </c>
      <c r="G72" s="62">
        <v>292.60000000000002</v>
      </c>
      <c r="H72" s="62">
        <v>11838.12</v>
      </c>
      <c r="I72" s="49">
        <v>0</v>
      </c>
      <c r="J72" s="49">
        <v>0</v>
      </c>
      <c r="K72" s="49">
        <v>7.0081199999996926</v>
      </c>
      <c r="L72" s="50">
        <v>0</v>
      </c>
      <c r="M72" s="51"/>
      <c r="N72" s="52" t="s">
        <v>1300</v>
      </c>
      <c r="O72" s="31"/>
      <c r="P72" s="53">
        <v>1.1600867508065356E-2</v>
      </c>
      <c r="Q72" s="54">
        <v>16</v>
      </c>
      <c r="R72" s="55">
        <v>0</v>
      </c>
      <c r="S72" s="55">
        <v>0</v>
      </c>
      <c r="T72" s="56">
        <v>0</v>
      </c>
      <c r="U72" s="57"/>
      <c r="V72" s="55">
        <v>7.0081199999996926</v>
      </c>
      <c r="W72" s="55">
        <v>0</v>
      </c>
      <c r="X72" s="58">
        <v>0</v>
      </c>
      <c r="Y72" s="59">
        <v>7.0081199999996926</v>
      </c>
      <c r="Z72" s="58">
        <v>7.0081199999996926</v>
      </c>
      <c r="AA72" s="56">
        <v>0</v>
      </c>
      <c r="AB72" s="56">
        <v>0</v>
      </c>
      <c r="AC72" s="60">
        <v>46142</v>
      </c>
    </row>
    <row r="73" spans="1:29" x14ac:dyDescent="0.25">
      <c r="A73" s="43">
        <v>1002</v>
      </c>
      <c r="B73" s="44" t="s">
        <v>1284</v>
      </c>
      <c r="C73" s="45">
        <v>10020063</v>
      </c>
      <c r="D73" s="46" t="s">
        <v>440</v>
      </c>
      <c r="E73" s="47" t="s">
        <v>364</v>
      </c>
      <c r="F73" s="47" t="s">
        <v>58</v>
      </c>
      <c r="G73" s="62">
        <v>966.80000000000007</v>
      </c>
      <c r="H73" s="62">
        <v>41490.179999999993</v>
      </c>
      <c r="I73" s="49">
        <v>0</v>
      </c>
      <c r="J73" s="49">
        <v>0</v>
      </c>
      <c r="K73" s="49">
        <v>0</v>
      </c>
      <c r="L73" s="50">
        <v>0</v>
      </c>
      <c r="M73" s="51"/>
      <c r="N73" s="52" t="s">
        <v>1300</v>
      </c>
      <c r="O73" s="31"/>
      <c r="P73" s="53">
        <v>-9.7354117226117129E-3</v>
      </c>
      <c r="Q73" s="54">
        <v>10</v>
      </c>
      <c r="R73" s="55">
        <v>0</v>
      </c>
      <c r="S73" s="55">
        <v>0</v>
      </c>
      <c r="T73" s="56">
        <v>0</v>
      </c>
      <c r="U73" s="57"/>
      <c r="V73" s="55">
        <v>0</v>
      </c>
      <c r="W73" s="55">
        <v>0</v>
      </c>
      <c r="X73" s="58">
        <v>0</v>
      </c>
      <c r="Y73" s="59">
        <v>0</v>
      </c>
      <c r="Z73" s="58">
        <v>0</v>
      </c>
      <c r="AA73" s="56">
        <v>0</v>
      </c>
      <c r="AB73" s="56">
        <v>0</v>
      </c>
      <c r="AC73" s="60">
        <v>46142</v>
      </c>
    </row>
    <row r="74" spans="1:29" x14ac:dyDescent="0.25">
      <c r="A74" s="43">
        <v>1002</v>
      </c>
      <c r="B74" s="44" t="s">
        <v>1284</v>
      </c>
      <c r="C74" s="45">
        <v>10020064</v>
      </c>
      <c r="D74" s="46" t="s">
        <v>441</v>
      </c>
      <c r="E74" s="47" t="s">
        <v>371</v>
      </c>
      <c r="F74" s="47" t="s">
        <v>59</v>
      </c>
      <c r="G74" s="62">
        <v>234.4</v>
      </c>
      <c r="H74" s="62">
        <v>9540.7900000000009</v>
      </c>
      <c r="I74" s="49">
        <v>0</v>
      </c>
      <c r="J74" s="49">
        <v>0</v>
      </c>
      <c r="K74" s="49">
        <v>1257.0678193548392</v>
      </c>
      <c r="L74" s="50">
        <v>0</v>
      </c>
      <c r="M74" s="51"/>
      <c r="N74" s="52" t="s">
        <v>1300</v>
      </c>
      <c r="O74" s="31"/>
      <c r="P74" s="53">
        <v>0</v>
      </c>
      <c r="Q74" s="54">
        <v>0</v>
      </c>
      <c r="R74" s="55">
        <v>0</v>
      </c>
      <c r="S74" s="55">
        <v>0</v>
      </c>
      <c r="T74" s="56">
        <v>0</v>
      </c>
      <c r="U74" s="57"/>
      <c r="V74" s="55">
        <v>1257.0678193548392</v>
      </c>
      <c r="W74" s="55">
        <v>0</v>
      </c>
      <c r="X74" s="58">
        <v>0</v>
      </c>
      <c r="Y74" s="59">
        <v>1257.0678193548392</v>
      </c>
      <c r="Z74" s="58">
        <v>1257.0678193548392</v>
      </c>
      <c r="AA74" s="56">
        <v>0</v>
      </c>
      <c r="AB74" s="56">
        <v>0</v>
      </c>
      <c r="AC74" s="60">
        <v>46142</v>
      </c>
    </row>
    <row r="75" spans="1:29" x14ac:dyDescent="0.25">
      <c r="A75" s="43">
        <v>1002</v>
      </c>
      <c r="B75" s="44" t="s">
        <v>1284</v>
      </c>
      <c r="C75" s="45">
        <v>10020067</v>
      </c>
      <c r="D75" s="46" t="s">
        <v>442</v>
      </c>
      <c r="E75" s="47" t="s">
        <v>371</v>
      </c>
      <c r="F75" s="47" t="s">
        <v>59</v>
      </c>
      <c r="G75" s="62">
        <v>1279</v>
      </c>
      <c r="H75" s="62">
        <v>50849.09</v>
      </c>
      <c r="I75" s="49">
        <v>0</v>
      </c>
      <c r="J75" s="49">
        <v>0</v>
      </c>
      <c r="K75" s="49">
        <v>0</v>
      </c>
      <c r="L75" s="50">
        <v>0</v>
      </c>
      <c r="M75" s="51"/>
      <c r="N75" s="52" t="s">
        <v>1300</v>
      </c>
      <c r="O75" s="31"/>
      <c r="P75" s="53">
        <v>0</v>
      </c>
      <c r="Q75" s="54">
        <v>0</v>
      </c>
      <c r="R75" s="55">
        <v>0</v>
      </c>
      <c r="S75" s="55">
        <v>0</v>
      </c>
      <c r="T75" s="56">
        <v>0</v>
      </c>
      <c r="U75" s="57"/>
      <c r="V75" s="55">
        <v>0</v>
      </c>
      <c r="W75" s="55">
        <v>0</v>
      </c>
      <c r="X75" s="58">
        <v>0</v>
      </c>
      <c r="Y75" s="59">
        <v>0</v>
      </c>
      <c r="Z75" s="58">
        <v>0</v>
      </c>
      <c r="AA75" s="56">
        <v>0</v>
      </c>
      <c r="AB75" s="56">
        <v>0</v>
      </c>
      <c r="AC75" s="60">
        <v>46142</v>
      </c>
    </row>
    <row r="76" spans="1:29" x14ac:dyDescent="0.25">
      <c r="A76" s="43">
        <v>1002</v>
      </c>
      <c r="B76" s="44" t="s">
        <v>1284</v>
      </c>
      <c r="C76" s="45">
        <v>10020068</v>
      </c>
      <c r="D76" s="46" t="s">
        <v>443</v>
      </c>
      <c r="E76" s="47" t="s">
        <v>364</v>
      </c>
      <c r="F76" s="47" t="s">
        <v>58</v>
      </c>
      <c r="G76" s="62">
        <v>609.30000000000007</v>
      </c>
      <c r="H76" s="62">
        <v>24624.420000000002</v>
      </c>
      <c r="I76" s="49">
        <v>0</v>
      </c>
      <c r="J76" s="49">
        <v>0</v>
      </c>
      <c r="K76" s="49">
        <v>18.430016949152133</v>
      </c>
      <c r="L76" s="50">
        <v>0</v>
      </c>
      <c r="M76" s="51"/>
      <c r="N76" s="52" t="s">
        <v>1300</v>
      </c>
      <c r="O76" s="31"/>
      <c r="P76" s="53">
        <v>-7.1952739359524565E-2</v>
      </c>
      <c r="Q76" s="54">
        <v>22</v>
      </c>
      <c r="R76" s="55">
        <v>0</v>
      </c>
      <c r="S76" s="55">
        <v>0</v>
      </c>
      <c r="T76" s="56">
        <v>0</v>
      </c>
      <c r="U76" s="57"/>
      <c r="V76" s="55">
        <v>18.430016949152133</v>
      </c>
      <c r="W76" s="55">
        <v>0</v>
      </c>
      <c r="X76" s="58">
        <v>0</v>
      </c>
      <c r="Y76" s="59">
        <v>18.430016949152133</v>
      </c>
      <c r="Z76" s="58">
        <v>18.430016949152133</v>
      </c>
      <c r="AA76" s="56">
        <v>0</v>
      </c>
      <c r="AB76" s="56">
        <v>0</v>
      </c>
      <c r="AC76" s="60">
        <v>46142</v>
      </c>
    </row>
    <row r="77" spans="1:29" x14ac:dyDescent="0.25">
      <c r="A77" s="43">
        <v>1002</v>
      </c>
      <c r="B77" s="44" t="s">
        <v>1284</v>
      </c>
      <c r="C77" s="45">
        <v>10020069</v>
      </c>
      <c r="D77" s="46" t="s">
        <v>444</v>
      </c>
      <c r="E77" s="47" t="s">
        <v>364</v>
      </c>
      <c r="F77" s="47" t="s">
        <v>58</v>
      </c>
      <c r="G77" s="62">
        <v>211.10000000000002</v>
      </c>
      <c r="H77" s="62">
        <v>8040.31</v>
      </c>
      <c r="I77" s="49">
        <v>0</v>
      </c>
      <c r="J77" s="49">
        <v>0</v>
      </c>
      <c r="K77" s="49">
        <v>0</v>
      </c>
      <c r="L77" s="50" t="s">
        <v>409</v>
      </c>
      <c r="M77" s="51" t="s">
        <v>410</v>
      </c>
      <c r="N77" s="52" t="s">
        <v>1300</v>
      </c>
      <c r="O77" s="31"/>
      <c r="P77" s="53">
        <v>-3.6389970794659409E-3</v>
      </c>
      <c r="Q77" s="54">
        <v>3</v>
      </c>
      <c r="R77" s="55">
        <v>55676</v>
      </c>
      <c r="S77" s="55">
        <v>0</v>
      </c>
      <c r="T77" s="56">
        <v>55676</v>
      </c>
      <c r="U77" s="57"/>
      <c r="V77" s="55">
        <v>0</v>
      </c>
      <c r="W77" s="55">
        <v>0</v>
      </c>
      <c r="X77" s="58">
        <v>0</v>
      </c>
      <c r="Y77" s="59">
        <v>0</v>
      </c>
      <c r="Z77" s="58">
        <v>0</v>
      </c>
      <c r="AA77" s="56">
        <v>0</v>
      </c>
      <c r="AB77" s="56">
        <v>0</v>
      </c>
      <c r="AC77" s="60">
        <v>46142</v>
      </c>
    </row>
    <row r="78" spans="1:29" x14ac:dyDescent="0.25">
      <c r="A78" s="43">
        <v>1002</v>
      </c>
      <c r="B78" s="44" t="s">
        <v>1284</v>
      </c>
      <c r="C78" s="45">
        <v>10020070</v>
      </c>
      <c r="D78" s="46" t="s">
        <v>445</v>
      </c>
      <c r="E78" s="47" t="s">
        <v>364</v>
      </c>
      <c r="F78" s="47" t="s">
        <v>58</v>
      </c>
      <c r="G78" s="62">
        <v>978.80000000000007</v>
      </c>
      <c r="H78" s="62">
        <v>38704</v>
      </c>
      <c r="I78" s="49">
        <v>0</v>
      </c>
      <c r="J78" s="49">
        <v>0</v>
      </c>
      <c r="K78" s="49">
        <v>0</v>
      </c>
      <c r="L78" s="50" t="s">
        <v>366</v>
      </c>
      <c r="M78" s="51" t="s">
        <v>367</v>
      </c>
      <c r="N78" s="52" t="s">
        <v>1300</v>
      </c>
      <c r="O78" s="31"/>
      <c r="P78" s="53">
        <v>-1.9353029091087734E-3</v>
      </c>
      <c r="Q78" s="54">
        <v>13</v>
      </c>
      <c r="R78" s="55">
        <v>0</v>
      </c>
      <c r="S78" s="55">
        <v>0</v>
      </c>
      <c r="T78" s="56">
        <v>0</v>
      </c>
      <c r="U78" s="57"/>
      <c r="V78" s="55">
        <v>0</v>
      </c>
      <c r="W78" s="55">
        <v>0</v>
      </c>
      <c r="X78" s="58">
        <v>0</v>
      </c>
      <c r="Y78" s="59">
        <v>0</v>
      </c>
      <c r="Z78" s="58">
        <v>0</v>
      </c>
      <c r="AA78" s="56">
        <v>0</v>
      </c>
      <c r="AB78" s="56">
        <v>0</v>
      </c>
      <c r="AC78" s="60">
        <v>46142</v>
      </c>
    </row>
    <row r="79" spans="1:29" x14ac:dyDescent="0.25">
      <c r="A79" s="43">
        <v>1002</v>
      </c>
      <c r="B79" s="44" t="s">
        <v>1284</v>
      </c>
      <c r="C79" s="45">
        <v>10020073</v>
      </c>
      <c r="D79" s="46" t="s">
        <v>446</v>
      </c>
      <c r="E79" s="47" t="s">
        <v>371</v>
      </c>
      <c r="F79" s="47" t="s">
        <v>59</v>
      </c>
      <c r="G79" s="62">
        <v>1142.4999999999998</v>
      </c>
      <c r="H79" s="62">
        <v>48278.13</v>
      </c>
      <c r="I79" s="49">
        <v>0</v>
      </c>
      <c r="J79" s="49">
        <v>0</v>
      </c>
      <c r="K79" s="49">
        <v>0</v>
      </c>
      <c r="L79" s="50">
        <v>0</v>
      </c>
      <c r="M79" s="51"/>
      <c r="N79" s="52" t="s">
        <v>1300</v>
      </c>
      <c r="O79" s="31"/>
      <c r="P79" s="53">
        <v>0</v>
      </c>
      <c r="Q79" s="54">
        <v>0</v>
      </c>
      <c r="R79" s="55">
        <v>0</v>
      </c>
      <c r="S79" s="55">
        <v>0</v>
      </c>
      <c r="T79" s="56">
        <v>0</v>
      </c>
      <c r="U79" s="57"/>
      <c r="V79" s="55">
        <v>0</v>
      </c>
      <c r="W79" s="55">
        <v>0</v>
      </c>
      <c r="X79" s="58">
        <v>0</v>
      </c>
      <c r="Y79" s="59">
        <v>0</v>
      </c>
      <c r="Z79" s="58">
        <v>0</v>
      </c>
      <c r="AA79" s="56">
        <v>0</v>
      </c>
      <c r="AB79" s="56">
        <v>0</v>
      </c>
      <c r="AC79" s="60">
        <v>46142</v>
      </c>
    </row>
    <row r="80" spans="1:29" x14ac:dyDescent="0.25">
      <c r="A80" s="43">
        <v>1002</v>
      </c>
      <c r="B80" s="44" t="s">
        <v>1284</v>
      </c>
      <c r="C80" s="45">
        <v>10020075</v>
      </c>
      <c r="D80" s="46" t="s">
        <v>447</v>
      </c>
      <c r="E80" s="47" t="s">
        <v>364</v>
      </c>
      <c r="F80" s="47" t="s">
        <v>58</v>
      </c>
      <c r="G80" s="62">
        <v>301</v>
      </c>
      <c r="H80" s="62">
        <v>12338.27</v>
      </c>
      <c r="I80" s="49">
        <v>0</v>
      </c>
      <c r="J80" s="49">
        <v>0</v>
      </c>
      <c r="K80" s="49">
        <v>0</v>
      </c>
      <c r="L80" s="50" t="s">
        <v>409</v>
      </c>
      <c r="M80" s="51" t="s">
        <v>410</v>
      </c>
      <c r="N80" s="52" t="s">
        <v>1300</v>
      </c>
      <c r="O80" s="31"/>
      <c r="P80" s="53">
        <v>-2.7732424634798431E-2</v>
      </c>
      <c r="Q80" s="54">
        <v>3</v>
      </c>
      <c r="R80" s="55">
        <v>2293</v>
      </c>
      <c r="S80" s="55">
        <v>0</v>
      </c>
      <c r="T80" s="56">
        <v>2293</v>
      </c>
      <c r="U80" s="57"/>
      <c r="V80" s="55">
        <v>0</v>
      </c>
      <c r="W80" s="55">
        <v>0</v>
      </c>
      <c r="X80" s="58">
        <v>0</v>
      </c>
      <c r="Y80" s="59">
        <v>0</v>
      </c>
      <c r="Z80" s="58">
        <v>0</v>
      </c>
      <c r="AA80" s="56">
        <v>0</v>
      </c>
      <c r="AB80" s="56">
        <v>0</v>
      </c>
      <c r="AC80" s="60">
        <v>46142</v>
      </c>
    </row>
    <row r="81" spans="1:30" x14ac:dyDescent="0.25">
      <c r="A81" s="43">
        <v>1002</v>
      </c>
      <c r="B81" s="44" t="s">
        <v>1284</v>
      </c>
      <c r="C81" s="45">
        <v>10020077</v>
      </c>
      <c r="D81" s="46" t="s">
        <v>448</v>
      </c>
      <c r="E81" s="47" t="s">
        <v>364</v>
      </c>
      <c r="F81" s="47" t="s">
        <v>58</v>
      </c>
      <c r="G81" s="62">
        <v>104.79999999999998</v>
      </c>
      <c r="H81" s="62">
        <v>4621.04</v>
      </c>
      <c r="I81" s="49">
        <v>0</v>
      </c>
      <c r="J81" s="49">
        <v>0</v>
      </c>
      <c r="K81" s="49">
        <v>0</v>
      </c>
      <c r="L81" s="50">
        <v>0</v>
      </c>
      <c r="M81" s="51"/>
      <c r="N81" s="52" t="s">
        <v>1300</v>
      </c>
      <c r="O81" s="31"/>
      <c r="P81" s="53">
        <v>-7.9081329195160536E-3</v>
      </c>
      <c r="Q81" s="54">
        <v>1</v>
      </c>
      <c r="R81" s="55">
        <v>0</v>
      </c>
      <c r="S81" s="55">
        <v>0</v>
      </c>
      <c r="T81" s="56">
        <v>0</v>
      </c>
      <c r="U81" s="57"/>
      <c r="V81" s="55">
        <v>0</v>
      </c>
      <c r="W81" s="55">
        <v>0</v>
      </c>
      <c r="X81" s="58">
        <v>0</v>
      </c>
      <c r="Y81" s="59">
        <v>0</v>
      </c>
      <c r="Z81" s="58">
        <v>0</v>
      </c>
      <c r="AA81" s="56">
        <v>0</v>
      </c>
      <c r="AB81" s="56">
        <v>0</v>
      </c>
      <c r="AC81" s="60">
        <v>46142</v>
      </c>
    </row>
    <row r="82" spans="1:30" x14ac:dyDescent="0.25">
      <c r="A82" s="43">
        <v>1002</v>
      </c>
      <c r="B82" s="44" t="s">
        <v>1284</v>
      </c>
      <c r="C82" s="45">
        <v>10020078</v>
      </c>
      <c r="D82" s="46" t="s">
        <v>449</v>
      </c>
      <c r="E82" s="47" t="s">
        <v>364</v>
      </c>
      <c r="F82" s="47" t="s">
        <v>58</v>
      </c>
      <c r="G82" s="62">
        <v>422.20000000000005</v>
      </c>
      <c r="H82" s="62">
        <v>16984.960000000003</v>
      </c>
      <c r="I82" s="49">
        <v>0</v>
      </c>
      <c r="J82" s="49">
        <v>0</v>
      </c>
      <c r="K82" s="49">
        <v>0</v>
      </c>
      <c r="L82" s="50">
        <v>0</v>
      </c>
      <c r="M82" s="51"/>
      <c r="N82" s="52" t="s">
        <v>1300</v>
      </c>
      <c r="O82" s="31"/>
      <c r="P82" s="53">
        <v>-0.11804282050305157</v>
      </c>
      <c r="Q82" s="54">
        <v>2</v>
      </c>
      <c r="R82" s="55">
        <v>0</v>
      </c>
      <c r="S82" s="55">
        <v>0</v>
      </c>
      <c r="T82" s="56">
        <v>0</v>
      </c>
      <c r="U82" s="57"/>
      <c r="V82" s="55">
        <v>0</v>
      </c>
      <c r="W82" s="55">
        <v>0</v>
      </c>
      <c r="X82" s="58">
        <v>0</v>
      </c>
      <c r="Y82" s="59">
        <v>0</v>
      </c>
      <c r="Z82" s="58">
        <v>0</v>
      </c>
      <c r="AA82" s="56">
        <v>0</v>
      </c>
      <c r="AB82" s="56">
        <v>0</v>
      </c>
      <c r="AC82" s="60">
        <v>46142</v>
      </c>
      <c r="AD82" s="61"/>
    </row>
    <row r="83" spans="1:30" x14ac:dyDescent="0.25">
      <c r="A83" s="43">
        <v>1002</v>
      </c>
      <c r="B83" s="44" t="s">
        <v>1284</v>
      </c>
      <c r="C83" s="45">
        <v>10020079</v>
      </c>
      <c r="D83" s="46" t="s">
        <v>450</v>
      </c>
      <c r="E83" s="47" t="s">
        <v>364</v>
      </c>
      <c r="F83" s="47" t="s">
        <v>58</v>
      </c>
      <c r="G83" s="62">
        <v>255.2</v>
      </c>
      <c r="H83" s="62">
        <v>14713.279999999999</v>
      </c>
      <c r="I83" s="49">
        <v>0</v>
      </c>
      <c r="J83" s="49">
        <v>0</v>
      </c>
      <c r="K83" s="49">
        <v>0</v>
      </c>
      <c r="L83" s="50">
        <v>0</v>
      </c>
      <c r="M83" s="51"/>
      <c r="N83" s="52" t="s">
        <v>1300</v>
      </c>
      <c r="O83" s="31"/>
      <c r="P83" s="53">
        <v>-4.006501712455092E-2</v>
      </c>
      <c r="Q83" s="54">
        <v>4</v>
      </c>
      <c r="R83" s="55">
        <v>0</v>
      </c>
      <c r="S83" s="55">
        <v>0</v>
      </c>
      <c r="T83" s="56">
        <v>0</v>
      </c>
      <c r="U83" s="57"/>
      <c r="V83" s="55">
        <v>0</v>
      </c>
      <c r="W83" s="55">
        <v>0</v>
      </c>
      <c r="X83" s="58">
        <v>0</v>
      </c>
      <c r="Y83" s="59">
        <v>0</v>
      </c>
      <c r="Z83" s="58">
        <v>0</v>
      </c>
      <c r="AA83" s="56">
        <v>0</v>
      </c>
      <c r="AB83" s="56">
        <v>0</v>
      </c>
      <c r="AC83" s="60">
        <v>46142</v>
      </c>
    </row>
    <row r="84" spans="1:30" x14ac:dyDescent="0.25">
      <c r="A84" s="43">
        <v>1002</v>
      </c>
      <c r="B84" s="44" t="s">
        <v>1284</v>
      </c>
      <c r="C84" s="45">
        <v>10020080</v>
      </c>
      <c r="D84" s="46" t="s">
        <v>451</v>
      </c>
      <c r="E84" s="47" t="s">
        <v>364</v>
      </c>
      <c r="F84" s="47" t="s">
        <v>58</v>
      </c>
      <c r="G84" s="62">
        <v>24.699999999999996</v>
      </c>
      <c r="H84" s="62">
        <v>964.4799999999999</v>
      </c>
      <c r="I84" s="49">
        <v>0</v>
      </c>
      <c r="J84" s="49">
        <v>0</v>
      </c>
      <c r="K84" s="49">
        <v>209.80650545454552</v>
      </c>
      <c r="L84" s="50">
        <v>0</v>
      </c>
      <c r="M84" s="51"/>
      <c r="N84" s="52" t="s">
        <v>1300</v>
      </c>
      <c r="O84" s="31"/>
      <c r="P84" s="53">
        <v>0.2026510396897809</v>
      </c>
      <c r="Q84" s="54">
        <v>1</v>
      </c>
      <c r="R84" s="55">
        <v>0</v>
      </c>
      <c r="S84" s="55">
        <v>0</v>
      </c>
      <c r="T84" s="56">
        <v>0</v>
      </c>
      <c r="U84" s="57"/>
      <c r="V84" s="55">
        <v>209.80650545454552</v>
      </c>
      <c r="W84" s="55">
        <v>0</v>
      </c>
      <c r="X84" s="58">
        <v>0</v>
      </c>
      <c r="Y84" s="59">
        <v>209.80650545454552</v>
      </c>
      <c r="Z84" s="58">
        <v>209.80650545454552</v>
      </c>
      <c r="AA84" s="56">
        <v>0</v>
      </c>
      <c r="AB84" s="56">
        <v>0</v>
      </c>
      <c r="AC84" s="60">
        <v>46142</v>
      </c>
    </row>
    <row r="85" spans="1:30" x14ac:dyDescent="0.25">
      <c r="A85" s="43">
        <v>1002</v>
      </c>
      <c r="B85" s="44" t="s">
        <v>1284</v>
      </c>
      <c r="C85" s="45">
        <v>10020081</v>
      </c>
      <c r="D85" s="46" t="s">
        <v>452</v>
      </c>
      <c r="E85" s="47" t="s">
        <v>371</v>
      </c>
      <c r="F85" s="47" t="s">
        <v>59</v>
      </c>
      <c r="G85" s="62">
        <v>1894.1999999999998</v>
      </c>
      <c r="H85" s="62">
        <v>74161.349999999991</v>
      </c>
      <c r="I85" s="49">
        <v>0</v>
      </c>
      <c r="J85" s="49">
        <v>0</v>
      </c>
      <c r="K85" s="49">
        <v>0</v>
      </c>
      <c r="L85" s="50">
        <v>0</v>
      </c>
      <c r="M85" s="51"/>
      <c r="N85" s="52" t="s">
        <v>1300</v>
      </c>
      <c r="O85" s="31"/>
      <c r="P85" s="53">
        <v>0</v>
      </c>
      <c r="Q85" s="54">
        <v>0</v>
      </c>
      <c r="R85" s="55">
        <v>0</v>
      </c>
      <c r="S85" s="55">
        <v>0</v>
      </c>
      <c r="T85" s="56">
        <v>0</v>
      </c>
      <c r="U85" s="57"/>
      <c r="V85" s="55">
        <v>0</v>
      </c>
      <c r="W85" s="55">
        <v>0</v>
      </c>
      <c r="X85" s="58">
        <v>0</v>
      </c>
      <c r="Y85" s="59">
        <v>0</v>
      </c>
      <c r="Z85" s="58">
        <v>0</v>
      </c>
      <c r="AA85" s="56">
        <v>0</v>
      </c>
      <c r="AB85" s="56">
        <v>0</v>
      </c>
      <c r="AC85" s="60">
        <v>46142</v>
      </c>
    </row>
    <row r="86" spans="1:30" x14ac:dyDescent="0.25">
      <c r="A86" s="43">
        <v>1002</v>
      </c>
      <c r="B86" s="44" t="s">
        <v>1284</v>
      </c>
      <c r="C86" s="45">
        <v>10020082</v>
      </c>
      <c r="D86" s="46" t="s">
        <v>453</v>
      </c>
      <c r="E86" s="47" t="s">
        <v>371</v>
      </c>
      <c r="F86" s="47" t="s">
        <v>59</v>
      </c>
      <c r="G86" s="62">
        <v>1196</v>
      </c>
      <c r="H86" s="62">
        <v>49188.040000000008</v>
      </c>
      <c r="I86" s="49">
        <v>0</v>
      </c>
      <c r="J86" s="49">
        <v>0</v>
      </c>
      <c r="K86" s="49">
        <v>589.86305806451469</v>
      </c>
      <c r="L86" s="50">
        <v>0</v>
      </c>
      <c r="M86" s="51"/>
      <c r="N86" s="52" t="s">
        <v>1300</v>
      </c>
      <c r="O86" s="31"/>
      <c r="P86" s="53">
        <v>0</v>
      </c>
      <c r="Q86" s="54">
        <v>0</v>
      </c>
      <c r="R86" s="55">
        <v>0</v>
      </c>
      <c r="S86" s="55">
        <v>0</v>
      </c>
      <c r="T86" s="56">
        <v>0</v>
      </c>
      <c r="U86" s="57"/>
      <c r="V86" s="55">
        <v>589.86305806451469</v>
      </c>
      <c r="W86" s="55">
        <v>0</v>
      </c>
      <c r="X86" s="58">
        <v>0</v>
      </c>
      <c r="Y86" s="59">
        <v>589.86305806451469</v>
      </c>
      <c r="Z86" s="58">
        <v>589.86305806451469</v>
      </c>
      <c r="AA86" s="56">
        <v>0</v>
      </c>
      <c r="AB86" s="56">
        <v>0</v>
      </c>
      <c r="AC86" s="60">
        <v>46142</v>
      </c>
    </row>
    <row r="87" spans="1:30" x14ac:dyDescent="0.25">
      <c r="A87" s="43">
        <v>1002</v>
      </c>
      <c r="B87" s="44" t="s">
        <v>1284</v>
      </c>
      <c r="C87" s="45">
        <v>10020083</v>
      </c>
      <c r="D87" s="46" t="s">
        <v>454</v>
      </c>
      <c r="E87" s="47" t="s">
        <v>364</v>
      </c>
      <c r="F87" s="47" t="s">
        <v>58</v>
      </c>
      <c r="G87" s="62">
        <v>424.10000000000008</v>
      </c>
      <c r="H87" s="62">
        <v>16145.76</v>
      </c>
      <c r="I87" s="49">
        <v>0</v>
      </c>
      <c r="J87" s="49">
        <v>0</v>
      </c>
      <c r="K87" s="49">
        <v>0</v>
      </c>
      <c r="L87" s="50">
        <v>0</v>
      </c>
      <c r="M87" s="51"/>
      <c r="N87" s="52" t="s">
        <v>1300</v>
      </c>
      <c r="O87" s="31"/>
      <c r="P87" s="53">
        <v>-2.5676071216220373E-2</v>
      </c>
      <c r="Q87" s="54">
        <v>2</v>
      </c>
      <c r="R87" s="55">
        <v>0</v>
      </c>
      <c r="S87" s="55">
        <v>0</v>
      </c>
      <c r="T87" s="56">
        <v>0</v>
      </c>
      <c r="U87" s="57"/>
      <c r="V87" s="55">
        <v>0</v>
      </c>
      <c r="W87" s="55">
        <v>0</v>
      </c>
      <c r="X87" s="58">
        <v>0</v>
      </c>
      <c r="Y87" s="59">
        <v>0</v>
      </c>
      <c r="Z87" s="58">
        <v>0</v>
      </c>
      <c r="AA87" s="56">
        <v>0</v>
      </c>
      <c r="AB87" s="56">
        <v>0</v>
      </c>
      <c r="AC87" s="60">
        <v>46142</v>
      </c>
    </row>
    <row r="88" spans="1:30" x14ac:dyDescent="0.25">
      <c r="A88" s="43">
        <v>1002</v>
      </c>
      <c r="B88" s="44" t="s">
        <v>1284</v>
      </c>
      <c r="C88" s="45">
        <v>10020084</v>
      </c>
      <c r="D88" s="46" t="s">
        <v>455</v>
      </c>
      <c r="E88" s="47" t="s">
        <v>364</v>
      </c>
      <c r="F88" s="47" t="s">
        <v>58</v>
      </c>
      <c r="G88" s="62">
        <v>890.20000000000016</v>
      </c>
      <c r="H88" s="62">
        <v>33729.340000000004</v>
      </c>
      <c r="I88" s="49">
        <v>0</v>
      </c>
      <c r="J88" s="49">
        <v>0</v>
      </c>
      <c r="K88" s="49">
        <v>0</v>
      </c>
      <c r="L88" s="50">
        <v>0</v>
      </c>
      <c r="M88" s="51"/>
      <c r="N88" s="52" t="s">
        <v>1300</v>
      </c>
      <c r="O88" s="31"/>
      <c r="P88" s="53">
        <v>-3.1043337505519519E-2</v>
      </c>
      <c r="Q88" s="54">
        <v>24</v>
      </c>
      <c r="R88" s="55">
        <v>0</v>
      </c>
      <c r="S88" s="55">
        <v>0</v>
      </c>
      <c r="T88" s="56">
        <v>0</v>
      </c>
      <c r="U88" s="57"/>
      <c r="V88" s="55">
        <v>0</v>
      </c>
      <c r="W88" s="55">
        <v>0</v>
      </c>
      <c r="X88" s="58">
        <v>0</v>
      </c>
      <c r="Y88" s="59">
        <v>0</v>
      </c>
      <c r="Z88" s="58">
        <v>0</v>
      </c>
      <c r="AA88" s="56">
        <v>0</v>
      </c>
      <c r="AB88" s="56">
        <v>0</v>
      </c>
      <c r="AC88" s="60">
        <v>46142</v>
      </c>
      <c r="AD88" s="61"/>
    </row>
    <row r="89" spans="1:30" x14ac:dyDescent="0.25">
      <c r="A89" s="43">
        <v>1003</v>
      </c>
      <c r="B89" s="44" t="s">
        <v>1285</v>
      </c>
      <c r="C89" s="45">
        <v>10030002</v>
      </c>
      <c r="D89" s="46" t="s">
        <v>418</v>
      </c>
      <c r="E89" s="47" t="s">
        <v>371</v>
      </c>
      <c r="F89" s="47" t="s">
        <v>59</v>
      </c>
      <c r="G89" s="62">
        <v>478.49999999999994</v>
      </c>
      <c r="H89" s="62">
        <v>18734.05</v>
      </c>
      <c r="I89" s="49">
        <v>0</v>
      </c>
      <c r="J89" s="49">
        <v>0</v>
      </c>
      <c r="K89" s="49">
        <v>0</v>
      </c>
      <c r="L89" s="50">
        <v>0</v>
      </c>
      <c r="M89" s="51"/>
      <c r="N89" s="52" t="s">
        <v>1300</v>
      </c>
      <c r="O89" s="31"/>
      <c r="P89" s="53">
        <v>0</v>
      </c>
      <c r="Q89" s="54">
        <v>0</v>
      </c>
      <c r="R89" s="55">
        <v>0</v>
      </c>
      <c r="S89" s="55">
        <v>0</v>
      </c>
      <c r="T89" s="56">
        <v>0</v>
      </c>
      <c r="U89" s="57"/>
      <c r="V89" s="55">
        <v>0</v>
      </c>
      <c r="W89" s="55">
        <v>0</v>
      </c>
      <c r="X89" s="58">
        <v>0</v>
      </c>
      <c r="Y89" s="59">
        <v>0</v>
      </c>
      <c r="Z89" s="58">
        <v>0</v>
      </c>
      <c r="AA89" s="56">
        <v>0</v>
      </c>
      <c r="AB89" s="56">
        <v>0</v>
      </c>
      <c r="AC89" s="60">
        <v>46142</v>
      </c>
    </row>
    <row r="90" spans="1:30" x14ac:dyDescent="0.25">
      <c r="A90" s="43">
        <v>1003</v>
      </c>
      <c r="B90" s="44" t="s">
        <v>1285</v>
      </c>
      <c r="C90" s="45">
        <v>10030003</v>
      </c>
      <c r="D90" s="46" t="s">
        <v>456</v>
      </c>
      <c r="E90" s="47" t="s">
        <v>364</v>
      </c>
      <c r="F90" s="47" t="s">
        <v>58</v>
      </c>
      <c r="G90" s="62">
        <v>1719.1000000000004</v>
      </c>
      <c r="H90" s="62">
        <v>73122.070000000007</v>
      </c>
      <c r="I90" s="49">
        <v>0</v>
      </c>
      <c r="J90" s="49">
        <v>0</v>
      </c>
      <c r="K90" s="49">
        <v>0</v>
      </c>
      <c r="L90" s="50">
        <v>0</v>
      </c>
      <c r="M90" s="51"/>
      <c r="N90" s="52" t="s">
        <v>1300</v>
      </c>
      <c r="O90" s="31"/>
      <c r="P90" s="53">
        <v>9.7564017051422151E-4</v>
      </c>
      <c r="Q90" s="54">
        <v>55</v>
      </c>
      <c r="R90" s="55">
        <v>0</v>
      </c>
      <c r="S90" s="55">
        <v>0</v>
      </c>
      <c r="T90" s="56">
        <v>0</v>
      </c>
      <c r="U90" s="57"/>
      <c r="V90" s="55">
        <v>0</v>
      </c>
      <c r="W90" s="55">
        <v>0</v>
      </c>
      <c r="X90" s="58">
        <v>0</v>
      </c>
      <c r="Y90" s="59">
        <v>0</v>
      </c>
      <c r="Z90" s="58">
        <v>0</v>
      </c>
      <c r="AA90" s="56">
        <v>0</v>
      </c>
      <c r="AB90" s="56">
        <v>0</v>
      </c>
      <c r="AC90" s="60">
        <v>46142</v>
      </c>
      <c r="AD90" s="61"/>
    </row>
    <row r="91" spans="1:30" x14ac:dyDescent="0.25">
      <c r="A91" s="43">
        <v>1003</v>
      </c>
      <c r="B91" s="44" t="s">
        <v>1285</v>
      </c>
      <c r="C91" s="45">
        <v>10030007</v>
      </c>
      <c r="D91" s="46" t="s">
        <v>457</v>
      </c>
      <c r="E91" s="47" t="s">
        <v>371</v>
      </c>
      <c r="F91" s="47" t="s">
        <v>59</v>
      </c>
      <c r="G91" s="62">
        <v>593.5</v>
      </c>
      <c r="H91" s="62">
        <v>17633.73</v>
      </c>
      <c r="I91" s="49">
        <v>0</v>
      </c>
      <c r="J91" s="49">
        <v>0</v>
      </c>
      <c r="K91" s="49">
        <v>0</v>
      </c>
      <c r="L91" s="50">
        <v>0</v>
      </c>
      <c r="M91" s="51"/>
      <c r="N91" s="52" t="s">
        <v>1300</v>
      </c>
      <c r="O91" s="31"/>
      <c r="P91" s="53">
        <v>0</v>
      </c>
      <c r="Q91" s="54">
        <v>0</v>
      </c>
      <c r="R91" s="55">
        <v>0</v>
      </c>
      <c r="S91" s="55">
        <v>0</v>
      </c>
      <c r="T91" s="56">
        <v>0</v>
      </c>
      <c r="U91" s="57"/>
      <c r="V91" s="55">
        <v>0</v>
      </c>
      <c r="W91" s="55">
        <v>0</v>
      </c>
      <c r="X91" s="58">
        <v>0</v>
      </c>
      <c r="Y91" s="59">
        <v>0</v>
      </c>
      <c r="Z91" s="58">
        <v>0</v>
      </c>
      <c r="AA91" s="56">
        <v>0</v>
      </c>
      <c r="AB91" s="56">
        <v>0</v>
      </c>
      <c r="AC91" s="60">
        <v>46142</v>
      </c>
      <c r="AD91" s="61"/>
    </row>
    <row r="92" spans="1:30" x14ac:dyDescent="0.25">
      <c r="A92" s="43">
        <v>1003</v>
      </c>
      <c r="B92" s="44" t="s">
        <v>1285</v>
      </c>
      <c r="C92" s="45">
        <v>10030009</v>
      </c>
      <c r="D92" s="46" t="s">
        <v>458</v>
      </c>
      <c r="E92" s="47" t="s">
        <v>371</v>
      </c>
      <c r="F92" s="47" t="s">
        <v>59</v>
      </c>
      <c r="G92" s="62">
        <v>5950</v>
      </c>
      <c r="H92" s="62">
        <v>215483.5</v>
      </c>
      <c r="I92" s="49">
        <v>0</v>
      </c>
      <c r="J92" s="49">
        <v>0</v>
      </c>
      <c r="K92" s="49">
        <v>0</v>
      </c>
      <c r="L92" s="50">
        <v>0</v>
      </c>
      <c r="M92" s="51"/>
      <c r="N92" s="52" t="s">
        <v>1300</v>
      </c>
      <c r="O92" s="31"/>
      <c r="P92" s="53">
        <v>0</v>
      </c>
      <c r="Q92" s="54">
        <v>0</v>
      </c>
      <c r="R92" s="55">
        <v>0</v>
      </c>
      <c r="S92" s="55">
        <v>0</v>
      </c>
      <c r="T92" s="56">
        <v>0</v>
      </c>
      <c r="U92" s="57"/>
      <c r="V92" s="55">
        <v>0</v>
      </c>
      <c r="W92" s="55">
        <v>0</v>
      </c>
      <c r="X92" s="58">
        <v>0</v>
      </c>
      <c r="Y92" s="59">
        <v>0</v>
      </c>
      <c r="Z92" s="58">
        <v>0</v>
      </c>
      <c r="AA92" s="56">
        <v>0</v>
      </c>
      <c r="AB92" s="56">
        <v>0</v>
      </c>
      <c r="AC92" s="60">
        <v>46142</v>
      </c>
    </row>
    <row r="93" spans="1:30" x14ac:dyDescent="0.25">
      <c r="A93" s="43">
        <v>1003</v>
      </c>
      <c r="B93" s="44" t="s">
        <v>1285</v>
      </c>
      <c r="C93" s="45">
        <v>10030010</v>
      </c>
      <c r="D93" s="46" t="s">
        <v>459</v>
      </c>
      <c r="E93" s="47" t="s">
        <v>364</v>
      </c>
      <c r="F93" s="47" t="s">
        <v>58</v>
      </c>
      <c r="G93" s="62">
        <v>352.60000000000008</v>
      </c>
      <c r="H93" s="62">
        <v>11998.1</v>
      </c>
      <c r="I93" s="49">
        <v>0</v>
      </c>
      <c r="J93" s="49">
        <v>0</v>
      </c>
      <c r="K93" s="49">
        <v>0</v>
      </c>
      <c r="L93" s="50">
        <v>0</v>
      </c>
      <c r="M93" s="51"/>
      <c r="N93" s="52" t="s">
        <v>1300</v>
      </c>
      <c r="O93" s="31"/>
      <c r="P93" s="53">
        <v>-0.40741233828689544</v>
      </c>
      <c r="Q93" s="54">
        <v>3</v>
      </c>
      <c r="R93" s="55">
        <v>0</v>
      </c>
      <c r="S93" s="55">
        <v>0</v>
      </c>
      <c r="T93" s="56">
        <v>0</v>
      </c>
      <c r="U93" s="57"/>
      <c r="V93" s="55">
        <v>0</v>
      </c>
      <c r="W93" s="55">
        <v>0</v>
      </c>
      <c r="X93" s="58">
        <v>0</v>
      </c>
      <c r="Y93" s="59">
        <v>0</v>
      </c>
      <c r="Z93" s="58">
        <v>0</v>
      </c>
      <c r="AA93" s="56">
        <v>0</v>
      </c>
      <c r="AB93" s="56">
        <v>0</v>
      </c>
      <c r="AC93" s="60">
        <v>46142</v>
      </c>
      <c r="AD93" s="61"/>
    </row>
    <row r="94" spans="1:30" x14ac:dyDescent="0.25">
      <c r="A94" s="43">
        <v>1003</v>
      </c>
      <c r="B94" s="44" t="s">
        <v>1285</v>
      </c>
      <c r="C94" s="45">
        <v>10030011</v>
      </c>
      <c r="D94" s="46" t="s">
        <v>460</v>
      </c>
      <c r="E94" s="47" t="s">
        <v>364</v>
      </c>
      <c r="F94" s="47" t="s">
        <v>58</v>
      </c>
      <c r="G94" s="62">
        <v>1053.55</v>
      </c>
      <c r="H94" s="62">
        <v>40260.120000000003</v>
      </c>
      <c r="I94" s="49">
        <v>0</v>
      </c>
      <c r="J94" s="49">
        <v>0</v>
      </c>
      <c r="K94" s="49">
        <v>0</v>
      </c>
      <c r="L94" s="50">
        <v>0</v>
      </c>
      <c r="M94" s="51"/>
      <c r="N94" s="52" t="s">
        <v>1300</v>
      </c>
      <c r="O94" s="31"/>
      <c r="P94" s="53">
        <v>3.947262428430403E-4</v>
      </c>
      <c r="Q94" s="54">
        <v>13</v>
      </c>
      <c r="R94" s="55">
        <v>0</v>
      </c>
      <c r="S94" s="55">
        <v>0</v>
      </c>
      <c r="T94" s="56">
        <v>0</v>
      </c>
      <c r="U94" s="57"/>
      <c r="V94" s="55">
        <v>0</v>
      </c>
      <c r="W94" s="55">
        <v>0</v>
      </c>
      <c r="X94" s="58">
        <v>0</v>
      </c>
      <c r="Y94" s="59">
        <v>0</v>
      </c>
      <c r="Z94" s="58">
        <v>0</v>
      </c>
      <c r="AA94" s="56">
        <v>0</v>
      </c>
      <c r="AB94" s="56">
        <v>0</v>
      </c>
      <c r="AC94" s="60">
        <v>46142</v>
      </c>
    </row>
    <row r="95" spans="1:30" x14ac:dyDescent="0.25">
      <c r="A95" s="43">
        <v>1003</v>
      </c>
      <c r="B95" s="44" t="s">
        <v>1285</v>
      </c>
      <c r="C95" s="45">
        <v>10030012</v>
      </c>
      <c r="D95" s="46" t="s">
        <v>461</v>
      </c>
      <c r="E95" s="47" t="s">
        <v>371</v>
      </c>
      <c r="F95" s="47" t="s">
        <v>59</v>
      </c>
      <c r="G95" s="62">
        <v>355.00000000000011</v>
      </c>
      <c r="H95" s="62">
        <v>12976.65</v>
      </c>
      <c r="I95" s="49">
        <v>0</v>
      </c>
      <c r="J95" s="49">
        <v>0</v>
      </c>
      <c r="K95" s="49">
        <v>0</v>
      </c>
      <c r="L95" s="50">
        <v>0</v>
      </c>
      <c r="M95" s="51"/>
      <c r="N95" s="52" t="s">
        <v>1300</v>
      </c>
      <c r="O95" s="31"/>
      <c r="P95" s="53">
        <v>0</v>
      </c>
      <c r="Q95" s="54">
        <v>0</v>
      </c>
      <c r="R95" s="55">
        <v>0</v>
      </c>
      <c r="S95" s="55">
        <v>0</v>
      </c>
      <c r="T95" s="56">
        <v>0</v>
      </c>
      <c r="U95" s="57"/>
      <c r="V95" s="55">
        <v>0</v>
      </c>
      <c r="W95" s="55">
        <v>0</v>
      </c>
      <c r="X95" s="58">
        <v>0</v>
      </c>
      <c r="Y95" s="59">
        <v>0</v>
      </c>
      <c r="Z95" s="58">
        <v>0</v>
      </c>
      <c r="AA95" s="56">
        <v>0</v>
      </c>
      <c r="AB95" s="56">
        <v>0</v>
      </c>
      <c r="AC95" s="60">
        <v>46142</v>
      </c>
    </row>
    <row r="96" spans="1:30" x14ac:dyDescent="0.25">
      <c r="A96" s="43">
        <v>1003</v>
      </c>
      <c r="B96" s="44" t="s">
        <v>1285</v>
      </c>
      <c r="C96" s="45">
        <v>10030013</v>
      </c>
      <c r="D96" s="46" t="s">
        <v>462</v>
      </c>
      <c r="E96" s="47" t="s">
        <v>364</v>
      </c>
      <c r="F96" s="47" t="s">
        <v>58</v>
      </c>
      <c r="G96" s="62">
        <v>448.95</v>
      </c>
      <c r="H96" s="62">
        <v>21565.489999999998</v>
      </c>
      <c r="I96" s="49">
        <v>0</v>
      </c>
      <c r="J96" s="49">
        <v>0</v>
      </c>
      <c r="K96" s="49">
        <v>0</v>
      </c>
      <c r="L96" s="50" t="s">
        <v>366</v>
      </c>
      <c r="M96" s="51" t="s">
        <v>367</v>
      </c>
      <c r="N96" s="52" t="s">
        <v>1300</v>
      </c>
      <c r="O96" s="31"/>
      <c r="P96" s="53">
        <v>-9.2506264236504848E-2</v>
      </c>
      <c r="Q96" s="54">
        <v>10</v>
      </c>
      <c r="R96" s="55">
        <v>0</v>
      </c>
      <c r="S96" s="55">
        <v>0</v>
      </c>
      <c r="T96" s="56">
        <v>0</v>
      </c>
      <c r="U96" s="57"/>
      <c r="V96" s="55">
        <v>0</v>
      </c>
      <c r="W96" s="55">
        <v>0</v>
      </c>
      <c r="X96" s="58">
        <v>0</v>
      </c>
      <c r="Y96" s="59">
        <v>0</v>
      </c>
      <c r="Z96" s="58">
        <v>0</v>
      </c>
      <c r="AA96" s="56">
        <v>0</v>
      </c>
      <c r="AB96" s="56">
        <v>0</v>
      </c>
      <c r="AC96" s="60">
        <v>46142</v>
      </c>
    </row>
    <row r="97" spans="1:30" x14ac:dyDescent="0.25">
      <c r="A97" s="43">
        <v>1003</v>
      </c>
      <c r="B97" s="44" t="s">
        <v>1285</v>
      </c>
      <c r="C97" s="45">
        <v>10030015</v>
      </c>
      <c r="D97" s="46" t="s">
        <v>463</v>
      </c>
      <c r="E97" s="47" t="s">
        <v>364</v>
      </c>
      <c r="F97" s="47" t="s">
        <v>58</v>
      </c>
      <c r="G97" s="62">
        <v>230.39999999999995</v>
      </c>
      <c r="H97" s="62">
        <v>8604.41</v>
      </c>
      <c r="I97" s="49">
        <v>0</v>
      </c>
      <c r="J97" s="49">
        <v>0</v>
      </c>
      <c r="K97" s="49">
        <v>0</v>
      </c>
      <c r="L97" s="50">
        <v>0</v>
      </c>
      <c r="M97" s="51"/>
      <c r="N97" s="52" t="s">
        <v>1300</v>
      </c>
      <c r="O97" s="31"/>
      <c r="P97" s="53">
        <v>1.7954877425668918E-2</v>
      </c>
      <c r="Q97" s="54">
        <v>5</v>
      </c>
      <c r="R97" s="55">
        <v>0</v>
      </c>
      <c r="S97" s="55">
        <v>0</v>
      </c>
      <c r="T97" s="56">
        <v>0</v>
      </c>
      <c r="U97" s="57"/>
      <c r="V97" s="55">
        <v>0</v>
      </c>
      <c r="W97" s="55">
        <v>0</v>
      </c>
      <c r="X97" s="58">
        <v>0</v>
      </c>
      <c r="Y97" s="59">
        <v>0</v>
      </c>
      <c r="Z97" s="58">
        <v>0</v>
      </c>
      <c r="AA97" s="56">
        <v>0</v>
      </c>
      <c r="AB97" s="56">
        <v>0</v>
      </c>
      <c r="AC97" s="60">
        <v>46142</v>
      </c>
    </row>
    <row r="98" spans="1:30" x14ac:dyDescent="0.25">
      <c r="A98" s="43">
        <v>1003</v>
      </c>
      <c r="B98" s="44" t="s">
        <v>1285</v>
      </c>
      <c r="C98" s="45">
        <v>10030016</v>
      </c>
      <c r="D98" s="46" t="s">
        <v>464</v>
      </c>
      <c r="E98" s="47" t="s">
        <v>364</v>
      </c>
      <c r="F98" s="47" t="s">
        <v>58</v>
      </c>
      <c r="G98" s="62">
        <v>1025.3</v>
      </c>
      <c r="H98" s="62">
        <v>40275.539999999994</v>
      </c>
      <c r="I98" s="49">
        <v>0</v>
      </c>
      <c r="J98" s="49">
        <v>0</v>
      </c>
      <c r="K98" s="49">
        <v>0</v>
      </c>
      <c r="L98" s="50">
        <v>0</v>
      </c>
      <c r="M98" s="51"/>
      <c r="N98" s="52" t="s">
        <v>1300</v>
      </c>
      <c r="O98" s="31"/>
      <c r="P98" s="53">
        <v>-3.3431986684151246E-2</v>
      </c>
      <c r="Q98" s="54">
        <v>13</v>
      </c>
      <c r="R98" s="55">
        <v>0</v>
      </c>
      <c r="S98" s="55">
        <v>0</v>
      </c>
      <c r="T98" s="56">
        <v>0</v>
      </c>
      <c r="U98" s="57"/>
      <c r="V98" s="55">
        <v>0</v>
      </c>
      <c r="W98" s="55">
        <v>0</v>
      </c>
      <c r="X98" s="58">
        <v>0</v>
      </c>
      <c r="Y98" s="59">
        <v>0</v>
      </c>
      <c r="Z98" s="58">
        <v>0</v>
      </c>
      <c r="AA98" s="56">
        <v>0</v>
      </c>
      <c r="AB98" s="56">
        <v>0</v>
      </c>
      <c r="AC98" s="60">
        <v>46142</v>
      </c>
    </row>
    <row r="99" spans="1:30" x14ac:dyDescent="0.25">
      <c r="A99" s="43">
        <v>1003</v>
      </c>
      <c r="B99" s="44" t="s">
        <v>1285</v>
      </c>
      <c r="C99" s="45">
        <v>10030017</v>
      </c>
      <c r="D99" s="46" t="s">
        <v>465</v>
      </c>
      <c r="E99" s="47" t="s">
        <v>364</v>
      </c>
      <c r="F99" s="47" t="s">
        <v>58</v>
      </c>
      <c r="G99" s="62">
        <v>955.3</v>
      </c>
      <c r="H99" s="62">
        <v>46924.010000000009</v>
      </c>
      <c r="I99" s="49">
        <v>0</v>
      </c>
      <c r="J99" s="49">
        <v>0</v>
      </c>
      <c r="K99" s="49">
        <v>0</v>
      </c>
      <c r="L99" s="50">
        <v>0</v>
      </c>
      <c r="M99" s="51"/>
      <c r="N99" s="52" t="s">
        <v>1300</v>
      </c>
      <c r="O99" s="31"/>
      <c r="P99" s="53">
        <v>-5.9622033606621027E-3</v>
      </c>
      <c r="Q99" s="54">
        <v>35</v>
      </c>
      <c r="R99" s="55">
        <v>0</v>
      </c>
      <c r="S99" s="55">
        <v>0</v>
      </c>
      <c r="T99" s="56">
        <v>0</v>
      </c>
      <c r="U99" s="57"/>
      <c r="V99" s="55">
        <v>0</v>
      </c>
      <c r="W99" s="55">
        <v>0</v>
      </c>
      <c r="X99" s="58">
        <v>0</v>
      </c>
      <c r="Y99" s="59">
        <v>0</v>
      </c>
      <c r="Z99" s="58">
        <v>0</v>
      </c>
      <c r="AA99" s="56">
        <v>0</v>
      </c>
      <c r="AB99" s="56">
        <v>0</v>
      </c>
      <c r="AC99" s="60">
        <v>46142</v>
      </c>
    </row>
    <row r="100" spans="1:30" x14ac:dyDescent="0.25">
      <c r="A100" s="43">
        <v>1003</v>
      </c>
      <c r="B100" s="44" t="s">
        <v>1285</v>
      </c>
      <c r="C100" s="45">
        <v>10030018</v>
      </c>
      <c r="D100" s="46" t="s">
        <v>466</v>
      </c>
      <c r="E100" s="47" t="s">
        <v>364</v>
      </c>
      <c r="F100" s="47" t="s">
        <v>58</v>
      </c>
      <c r="G100" s="62">
        <v>776.05</v>
      </c>
      <c r="H100" s="62">
        <v>30388.450000000004</v>
      </c>
      <c r="I100" s="49">
        <v>0</v>
      </c>
      <c r="J100" s="49">
        <v>0</v>
      </c>
      <c r="K100" s="49">
        <v>0</v>
      </c>
      <c r="L100" s="50" t="s">
        <v>366</v>
      </c>
      <c r="M100" s="51" t="s">
        <v>367</v>
      </c>
      <c r="N100" s="52" t="s">
        <v>1300</v>
      </c>
      <c r="O100" s="31"/>
      <c r="P100" s="53">
        <v>-0.12010111024214125</v>
      </c>
      <c r="Q100" s="54">
        <v>22</v>
      </c>
      <c r="R100" s="55">
        <v>0</v>
      </c>
      <c r="S100" s="55">
        <v>0</v>
      </c>
      <c r="T100" s="56">
        <v>0</v>
      </c>
      <c r="U100" s="57"/>
      <c r="V100" s="55">
        <v>0</v>
      </c>
      <c r="W100" s="55">
        <v>0</v>
      </c>
      <c r="X100" s="58">
        <v>0</v>
      </c>
      <c r="Y100" s="59">
        <v>0</v>
      </c>
      <c r="Z100" s="58">
        <v>0</v>
      </c>
      <c r="AA100" s="56">
        <v>0</v>
      </c>
      <c r="AB100" s="56">
        <v>0</v>
      </c>
      <c r="AC100" s="60">
        <v>46142</v>
      </c>
    </row>
    <row r="101" spans="1:30" x14ac:dyDescent="0.25">
      <c r="A101" s="43">
        <v>1003</v>
      </c>
      <c r="B101" s="44" t="s">
        <v>1285</v>
      </c>
      <c r="C101" s="45">
        <v>10030019</v>
      </c>
      <c r="D101" s="46" t="s">
        <v>467</v>
      </c>
      <c r="E101" s="47" t="s">
        <v>364</v>
      </c>
      <c r="F101" s="47" t="s">
        <v>58</v>
      </c>
      <c r="G101" s="62">
        <v>611.64999999999986</v>
      </c>
      <c r="H101" s="62">
        <v>27071.779999999995</v>
      </c>
      <c r="I101" s="49">
        <v>0</v>
      </c>
      <c r="J101" s="49">
        <v>0</v>
      </c>
      <c r="K101" s="49">
        <v>0</v>
      </c>
      <c r="L101" s="50">
        <v>0</v>
      </c>
      <c r="M101" s="51"/>
      <c r="N101" s="52" t="s">
        <v>1300</v>
      </c>
      <c r="O101" s="31"/>
      <c r="P101" s="53">
        <v>-3.8384421147986007E-2</v>
      </c>
      <c r="Q101" s="54">
        <v>12</v>
      </c>
      <c r="R101" s="55">
        <v>0</v>
      </c>
      <c r="S101" s="55">
        <v>0</v>
      </c>
      <c r="T101" s="56">
        <v>0</v>
      </c>
      <c r="U101" s="57"/>
      <c r="V101" s="55">
        <v>0</v>
      </c>
      <c r="W101" s="55">
        <v>0</v>
      </c>
      <c r="X101" s="58">
        <v>0</v>
      </c>
      <c r="Y101" s="59">
        <v>0</v>
      </c>
      <c r="Z101" s="58">
        <v>0</v>
      </c>
      <c r="AA101" s="56">
        <v>0</v>
      </c>
      <c r="AB101" s="56">
        <v>0</v>
      </c>
      <c r="AC101" s="60">
        <v>46142</v>
      </c>
    </row>
    <row r="102" spans="1:30" x14ac:dyDescent="0.25">
      <c r="A102" s="43">
        <v>1003</v>
      </c>
      <c r="B102" s="44" t="s">
        <v>1285</v>
      </c>
      <c r="C102" s="45">
        <v>10030021</v>
      </c>
      <c r="D102" s="46" t="s">
        <v>468</v>
      </c>
      <c r="E102" s="47" t="s">
        <v>364</v>
      </c>
      <c r="F102" s="47" t="s">
        <v>58</v>
      </c>
      <c r="G102" s="62">
        <v>804.65</v>
      </c>
      <c r="H102" s="62">
        <v>30926.720000000001</v>
      </c>
      <c r="I102" s="49">
        <v>0</v>
      </c>
      <c r="J102" s="49">
        <v>0</v>
      </c>
      <c r="K102" s="49">
        <v>0</v>
      </c>
      <c r="L102" s="50">
        <v>0</v>
      </c>
      <c r="M102" s="51"/>
      <c r="N102" s="52" t="s">
        <v>1300</v>
      </c>
      <c r="O102" s="31"/>
      <c r="P102" s="53">
        <v>-8.3668163813157961E-2</v>
      </c>
      <c r="Q102" s="54">
        <v>11</v>
      </c>
      <c r="R102" s="55">
        <v>0</v>
      </c>
      <c r="S102" s="55">
        <v>0</v>
      </c>
      <c r="T102" s="56">
        <v>0</v>
      </c>
      <c r="U102" s="57"/>
      <c r="V102" s="55">
        <v>0</v>
      </c>
      <c r="W102" s="55">
        <v>0</v>
      </c>
      <c r="X102" s="58">
        <v>0</v>
      </c>
      <c r="Y102" s="59">
        <v>0</v>
      </c>
      <c r="Z102" s="58">
        <v>0</v>
      </c>
      <c r="AA102" s="56">
        <v>0</v>
      </c>
      <c r="AB102" s="56">
        <v>0</v>
      </c>
      <c r="AC102" s="60">
        <v>46142</v>
      </c>
    </row>
    <row r="103" spans="1:30" x14ac:dyDescent="0.25">
      <c r="A103" s="43">
        <v>1003</v>
      </c>
      <c r="B103" s="44" t="s">
        <v>1285</v>
      </c>
      <c r="C103" s="45">
        <v>10030022</v>
      </c>
      <c r="D103" s="46" t="s">
        <v>469</v>
      </c>
      <c r="E103" s="47" t="s">
        <v>364</v>
      </c>
      <c r="F103" s="47" t="s">
        <v>58</v>
      </c>
      <c r="G103" s="62">
        <v>1384.25</v>
      </c>
      <c r="H103" s="62">
        <v>54303.320000000014</v>
      </c>
      <c r="I103" s="49">
        <v>0</v>
      </c>
      <c r="J103" s="49">
        <v>0</v>
      </c>
      <c r="K103" s="49">
        <v>0</v>
      </c>
      <c r="L103" s="50">
        <v>0</v>
      </c>
      <c r="M103" s="51"/>
      <c r="N103" s="52" t="s">
        <v>1300</v>
      </c>
      <c r="O103" s="31"/>
      <c r="P103" s="53">
        <v>-8.7302801880654243E-3</v>
      </c>
      <c r="Q103" s="54">
        <v>27</v>
      </c>
      <c r="R103" s="55">
        <v>0</v>
      </c>
      <c r="S103" s="55">
        <v>0</v>
      </c>
      <c r="T103" s="56">
        <v>0</v>
      </c>
      <c r="U103" s="57"/>
      <c r="V103" s="55">
        <v>0</v>
      </c>
      <c r="W103" s="55">
        <v>0</v>
      </c>
      <c r="X103" s="58">
        <v>0</v>
      </c>
      <c r="Y103" s="59">
        <v>0</v>
      </c>
      <c r="Z103" s="58">
        <v>0</v>
      </c>
      <c r="AA103" s="56">
        <v>0</v>
      </c>
      <c r="AB103" s="56">
        <v>0</v>
      </c>
      <c r="AC103" s="60">
        <v>46142</v>
      </c>
    </row>
    <row r="104" spans="1:30" x14ac:dyDescent="0.25">
      <c r="A104" s="43">
        <v>1003</v>
      </c>
      <c r="B104" s="44" t="s">
        <v>1285</v>
      </c>
      <c r="C104" s="45">
        <v>10030023</v>
      </c>
      <c r="D104" s="46" t="s">
        <v>470</v>
      </c>
      <c r="E104" s="47" t="s">
        <v>364</v>
      </c>
      <c r="F104" s="47" t="s">
        <v>58</v>
      </c>
      <c r="G104" s="62">
        <v>249.5</v>
      </c>
      <c r="H104" s="62">
        <v>9978.2200000000012</v>
      </c>
      <c r="I104" s="49">
        <v>0</v>
      </c>
      <c r="J104" s="49">
        <v>0</v>
      </c>
      <c r="K104" s="49">
        <v>0</v>
      </c>
      <c r="L104" s="50">
        <v>0</v>
      </c>
      <c r="M104" s="51"/>
      <c r="N104" s="52" t="s">
        <v>1300</v>
      </c>
      <c r="O104" s="31"/>
      <c r="P104" s="53">
        <v>-6.9506046650637102E-2</v>
      </c>
      <c r="Q104" s="54">
        <v>9</v>
      </c>
      <c r="R104" s="55">
        <v>0</v>
      </c>
      <c r="S104" s="55">
        <v>0</v>
      </c>
      <c r="T104" s="56">
        <v>0</v>
      </c>
      <c r="U104" s="57"/>
      <c r="V104" s="55">
        <v>0</v>
      </c>
      <c r="W104" s="55">
        <v>0</v>
      </c>
      <c r="X104" s="58">
        <v>0</v>
      </c>
      <c r="Y104" s="59">
        <v>0</v>
      </c>
      <c r="Z104" s="58">
        <v>0</v>
      </c>
      <c r="AA104" s="56">
        <v>0</v>
      </c>
      <c r="AB104" s="56">
        <v>0</v>
      </c>
      <c r="AC104" s="60">
        <v>46142</v>
      </c>
    </row>
    <row r="105" spans="1:30" x14ac:dyDescent="0.25">
      <c r="A105" s="43">
        <v>1003</v>
      </c>
      <c r="B105" s="44" t="s">
        <v>1285</v>
      </c>
      <c r="C105" s="45">
        <v>10030025</v>
      </c>
      <c r="D105" s="46" t="s">
        <v>471</v>
      </c>
      <c r="E105" s="47" t="s">
        <v>364</v>
      </c>
      <c r="F105" s="47" t="s">
        <v>58</v>
      </c>
      <c r="G105" s="62">
        <v>640.5</v>
      </c>
      <c r="H105" s="62">
        <v>23761.919999999998</v>
      </c>
      <c r="I105" s="49">
        <v>0</v>
      </c>
      <c r="J105" s="49">
        <v>0</v>
      </c>
      <c r="K105" s="49">
        <v>0</v>
      </c>
      <c r="L105" s="50">
        <v>0</v>
      </c>
      <c r="M105" s="51"/>
      <c r="N105" s="52" t="s">
        <v>1300</v>
      </c>
      <c r="O105" s="31"/>
      <c r="P105" s="53">
        <v>-1.6527135356740556E-3</v>
      </c>
      <c r="Q105" s="54">
        <v>7</v>
      </c>
      <c r="R105" s="55">
        <v>0</v>
      </c>
      <c r="S105" s="55">
        <v>0</v>
      </c>
      <c r="T105" s="56">
        <v>0</v>
      </c>
      <c r="U105" s="57"/>
      <c r="V105" s="55">
        <v>0</v>
      </c>
      <c r="W105" s="55">
        <v>0</v>
      </c>
      <c r="X105" s="58">
        <v>0</v>
      </c>
      <c r="Y105" s="59">
        <v>0</v>
      </c>
      <c r="Z105" s="58">
        <v>0</v>
      </c>
      <c r="AA105" s="56">
        <v>0</v>
      </c>
      <c r="AB105" s="56">
        <v>0</v>
      </c>
      <c r="AC105" s="60">
        <v>46142</v>
      </c>
    </row>
    <row r="106" spans="1:30" x14ac:dyDescent="0.25">
      <c r="A106" s="43">
        <v>1003</v>
      </c>
      <c r="B106" s="44" t="s">
        <v>1285</v>
      </c>
      <c r="C106" s="45">
        <v>10030026</v>
      </c>
      <c r="D106" s="46" t="s">
        <v>472</v>
      </c>
      <c r="E106" s="47" t="s">
        <v>364</v>
      </c>
      <c r="F106" s="47" t="s">
        <v>58</v>
      </c>
      <c r="G106" s="62">
        <v>1111.75</v>
      </c>
      <c r="H106" s="62">
        <v>41317.83</v>
      </c>
      <c r="I106" s="49">
        <v>0</v>
      </c>
      <c r="J106" s="49">
        <v>0</v>
      </c>
      <c r="K106" s="49">
        <v>0</v>
      </c>
      <c r="L106" s="50">
        <v>0</v>
      </c>
      <c r="M106" s="51"/>
      <c r="N106" s="52" t="s">
        <v>1300</v>
      </c>
      <c r="O106" s="31"/>
      <c r="P106" s="53">
        <v>-3.3549796225507779E-2</v>
      </c>
      <c r="Q106" s="54">
        <v>36</v>
      </c>
      <c r="R106" s="55">
        <v>0</v>
      </c>
      <c r="S106" s="55">
        <v>0</v>
      </c>
      <c r="T106" s="56">
        <v>0</v>
      </c>
      <c r="U106" s="57"/>
      <c r="V106" s="55">
        <v>0</v>
      </c>
      <c r="W106" s="55">
        <v>0</v>
      </c>
      <c r="X106" s="58">
        <v>0</v>
      </c>
      <c r="Y106" s="59">
        <v>0</v>
      </c>
      <c r="Z106" s="58">
        <v>0</v>
      </c>
      <c r="AA106" s="56">
        <v>0</v>
      </c>
      <c r="AB106" s="56">
        <v>0</v>
      </c>
      <c r="AC106" s="60">
        <v>46142</v>
      </c>
    </row>
    <row r="107" spans="1:30" x14ac:dyDescent="0.25">
      <c r="A107" s="43">
        <v>1003</v>
      </c>
      <c r="B107" s="44" t="s">
        <v>1285</v>
      </c>
      <c r="C107" s="45">
        <v>10030027</v>
      </c>
      <c r="D107" s="46" t="s">
        <v>473</v>
      </c>
      <c r="E107" s="47" t="s">
        <v>364</v>
      </c>
      <c r="F107" s="47" t="s">
        <v>58</v>
      </c>
      <c r="G107" s="62">
        <v>616.05000000000007</v>
      </c>
      <c r="H107" s="62">
        <v>22858.080000000002</v>
      </c>
      <c r="I107" s="49">
        <v>0</v>
      </c>
      <c r="J107" s="49">
        <v>0</v>
      </c>
      <c r="K107" s="49">
        <v>0</v>
      </c>
      <c r="L107" s="50" t="s">
        <v>366</v>
      </c>
      <c r="M107" s="51" t="s">
        <v>367</v>
      </c>
      <c r="N107" s="52" t="s">
        <v>1300</v>
      </c>
      <c r="O107" s="31"/>
      <c r="P107" s="53">
        <v>-4.7344358726367178E-2</v>
      </c>
      <c r="Q107" s="54">
        <v>37</v>
      </c>
      <c r="R107" s="55">
        <v>0</v>
      </c>
      <c r="S107" s="55">
        <v>0</v>
      </c>
      <c r="T107" s="56">
        <v>0</v>
      </c>
      <c r="U107" s="57"/>
      <c r="V107" s="55">
        <v>0</v>
      </c>
      <c r="W107" s="55">
        <v>0</v>
      </c>
      <c r="X107" s="58">
        <v>0</v>
      </c>
      <c r="Y107" s="59">
        <v>0</v>
      </c>
      <c r="Z107" s="58">
        <v>0</v>
      </c>
      <c r="AA107" s="56">
        <v>0</v>
      </c>
      <c r="AB107" s="56">
        <v>0</v>
      </c>
      <c r="AC107" s="60">
        <v>46142</v>
      </c>
      <c r="AD107" s="61"/>
    </row>
    <row r="108" spans="1:30" x14ac:dyDescent="0.25">
      <c r="A108" s="43">
        <v>1003</v>
      </c>
      <c r="B108" s="44" t="s">
        <v>1285</v>
      </c>
      <c r="C108" s="45">
        <v>10030028</v>
      </c>
      <c r="D108" s="46" t="s">
        <v>474</v>
      </c>
      <c r="E108" s="47" t="s">
        <v>364</v>
      </c>
      <c r="F108" s="47" t="s">
        <v>58</v>
      </c>
      <c r="G108" s="62">
        <v>852.79999999999984</v>
      </c>
      <c r="H108" s="62">
        <v>33503.64</v>
      </c>
      <c r="I108" s="49">
        <v>0</v>
      </c>
      <c r="J108" s="49">
        <v>0</v>
      </c>
      <c r="K108" s="49">
        <v>0</v>
      </c>
      <c r="L108" s="50">
        <v>0</v>
      </c>
      <c r="M108" s="51"/>
      <c r="N108" s="52" t="s">
        <v>1300</v>
      </c>
      <c r="O108" s="31"/>
      <c r="P108" s="53">
        <v>-2.3967363059176979E-3</v>
      </c>
      <c r="Q108" s="54">
        <v>36</v>
      </c>
      <c r="R108" s="55">
        <v>0</v>
      </c>
      <c r="S108" s="55">
        <v>0</v>
      </c>
      <c r="T108" s="56">
        <v>0</v>
      </c>
      <c r="U108" s="57"/>
      <c r="V108" s="55">
        <v>0</v>
      </c>
      <c r="W108" s="55">
        <v>0</v>
      </c>
      <c r="X108" s="58">
        <v>0</v>
      </c>
      <c r="Y108" s="59">
        <v>0</v>
      </c>
      <c r="Z108" s="58">
        <v>0</v>
      </c>
      <c r="AA108" s="56">
        <v>0</v>
      </c>
      <c r="AB108" s="56">
        <v>0</v>
      </c>
      <c r="AC108" s="60">
        <v>46142</v>
      </c>
    </row>
    <row r="109" spans="1:30" x14ac:dyDescent="0.25">
      <c r="A109" s="43">
        <v>1003</v>
      </c>
      <c r="B109" s="44" t="s">
        <v>1285</v>
      </c>
      <c r="C109" s="45">
        <v>10030031</v>
      </c>
      <c r="D109" s="46" t="s">
        <v>475</v>
      </c>
      <c r="E109" s="47" t="s">
        <v>364</v>
      </c>
      <c r="F109" s="47" t="s">
        <v>58</v>
      </c>
      <c r="G109" s="62">
        <v>866.25</v>
      </c>
      <c r="H109" s="62">
        <v>30733.629999999997</v>
      </c>
      <c r="I109" s="49">
        <v>0</v>
      </c>
      <c r="J109" s="49">
        <v>0</v>
      </c>
      <c r="K109" s="49">
        <v>0</v>
      </c>
      <c r="L109" s="50">
        <v>0</v>
      </c>
      <c r="M109" s="51"/>
      <c r="N109" s="52" t="s">
        <v>1300</v>
      </c>
      <c r="O109" s="31"/>
      <c r="P109" s="53">
        <v>-3.8376599779886655E-3</v>
      </c>
      <c r="Q109" s="54">
        <v>22</v>
      </c>
      <c r="R109" s="55">
        <v>0</v>
      </c>
      <c r="S109" s="55">
        <v>0</v>
      </c>
      <c r="T109" s="56">
        <v>0</v>
      </c>
      <c r="U109" s="57"/>
      <c r="V109" s="55">
        <v>0</v>
      </c>
      <c r="W109" s="55">
        <v>0</v>
      </c>
      <c r="X109" s="58">
        <v>0</v>
      </c>
      <c r="Y109" s="59">
        <v>0</v>
      </c>
      <c r="Z109" s="58">
        <v>0</v>
      </c>
      <c r="AA109" s="56">
        <v>0</v>
      </c>
      <c r="AB109" s="56">
        <v>0</v>
      </c>
      <c r="AC109" s="60">
        <v>46142</v>
      </c>
    </row>
    <row r="110" spans="1:30" x14ac:dyDescent="0.25">
      <c r="A110" s="43">
        <v>1003</v>
      </c>
      <c r="B110" s="44" t="s">
        <v>1285</v>
      </c>
      <c r="C110" s="45">
        <v>10030032</v>
      </c>
      <c r="D110" s="46" t="s">
        <v>476</v>
      </c>
      <c r="E110" s="47" t="s">
        <v>364</v>
      </c>
      <c r="F110" s="47" t="s">
        <v>58</v>
      </c>
      <c r="G110" s="62">
        <v>1358.1</v>
      </c>
      <c r="H110" s="62">
        <v>50683.240000000005</v>
      </c>
      <c r="I110" s="49">
        <v>0</v>
      </c>
      <c r="J110" s="49">
        <v>0</v>
      </c>
      <c r="K110" s="49">
        <v>0</v>
      </c>
      <c r="L110" s="50">
        <v>0</v>
      </c>
      <c r="M110" s="51"/>
      <c r="N110" s="52" t="s">
        <v>1300</v>
      </c>
      <c r="O110" s="31"/>
      <c r="P110" s="53">
        <v>5.6941676670940702E-2</v>
      </c>
      <c r="Q110" s="54">
        <v>16</v>
      </c>
      <c r="R110" s="55">
        <v>0</v>
      </c>
      <c r="S110" s="55">
        <v>0</v>
      </c>
      <c r="T110" s="56">
        <v>0</v>
      </c>
      <c r="U110" s="57"/>
      <c r="V110" s="55">
        <v>0</v>
      </c>
      <c r="W110" s="55">
        <v>0</v>
      </c>
      <c r="X110" s="58">
        <v>0</v>
      </c>
      <c r="Y110" s="59">
        <v>0</v>
      </c>
      <c r="Z110" s="58">
        <v>0</v>
      </c>
      <c r="AA110" s="56">
        <v>0</v>
      </c>
      <c r="AB110" s="56">
        <v>0</v>
      </c>
      <c r="AC110" s="60">
        <v>46142</v>
      </c>
    </row>
    <row r="111" spans="1:30" x14ac:dyDescent="0.25">
      <c r="A111" s="43">
        <v>1003</v>
      </c>
      <c r="B111" s="44" t="s">
        <v>1285</v>
      </c>
      <c r="C111" s="45">
        <v>10030034</v>
      </c>
      <c r="D111" s="46" t="s">
        <v>477</v>
      </c>
      <c r="E111" s="47" t="s">
        <v>364</v>
      </c>
      <c r="F111" s="47" t="s">
        <v>58</v>
      </c>
      <c r="G111" s="62">
        <v>1280.3999999999999</v>
      </c>
      <c r="H111" s="62">
        <v>52025.200000000026</v>
      </c>
      <c r="I111" s="49">
        <v>0</v>
      </c>
      <c r="J111" s="49">
        <v>0</v>
      </c>
      <c r="K111" s="49">
        <v>0</v>
      </c>
      <c r="L111" s="50">
        <v>0</v>
      </c>
      <c r="M111" s="51"/>
      <c r="N111" s="52" t="s">
        <v>1300</v>
      </c>
      <c r="O111" s="31"/>
      <c r="P111" s="53">
        <v>1.8537715479214165E-2</v>
      </c>
      <c r="Q111" s="54">
        <v>37</v>
      </c>
      <c r="R111" s="55">
        <v>0</v>
      </c>
      <c r="S111" s="55">
        <v>0</v>
      </c>
      <c r="T111" s="56">
        <v>0</v>
      </c>
      <c r="U111" s="57"/>
      <c r="V111" s="55">
        <v>0</v>
      </c>
      <c r="W111" s="55">
        <v>0</v>
      </c>
      <c r="X111" s="58">
        <v>0</v>
      </c>
      <c r="Y111" s="59">
        <v>0</v>
      </c>
      <c r="Z111" s="58">
        <v>0</v>
      </c>
      <c r="AA111" s="56">
        <v>0</v>
      </c>
      <c r="AB111" s="56">
        <v>0</v>
      </c>
      <c r="AC111" s="60">
        <v>46142</v>
      </c>
      <c r="AD111" s="61"/>
    </row>
    <row r="112" spans="1:30" x14ac:dyDescent="0.25">
      <c r="A112" s="43">
        <v>1003</v>
      </c>
      <c r="B112" s="44" t="s">
        <v>1285</v>
      </c>
      <c r="C112" s="45">
        <v>10030035</v>
      </c>
      <c r="D112" s="46" t="s">
        <v>478</v>
      </c>
      <c r="E112" s="47" t="s">
        <v>364</v>
      </c>
      <c r="F112" s="47" t="s">
        <v>58</v>
      </c>
      <c r="G112" s="62">
        <v>566.10000000000014</v>
      </c>
      <c r="H112" s="62">
        <v>22622.660000000003</v>
      </c>
      <c r="I112" s="49">
        <v>0</v>
      </c>
      <c r="J112" s="49">
        <v>0</v>
      </c>
      <c r="K112" s="49">
        <v>0</v>
      </c>
      <c r="L112" s="50">
        <v>0</v>
      </c>
      <c r="M112" s="51"/>
      <c r="N112" s="52" t="s">
        <v>1300</v>
      </c>
      <c r="O112" s="31"/>
      <c r="P112" s="53">
        <v>-1.3295972172302651E-3</v>
      </c>
      <c r="Q112" s="54">
        <v>5</v>
      </c>
      <c r="R112" s="55">
        <v>0</v>
      </c>
      <c r="S112" s="55">
        <v>0</v>
      </c>
      <c r="T112" s="56">
        <v>0</v>
      </c>
      <c r="U112" s="57"/>
      <c r="V112" s="55">
        <v>0</v>
      </c>
      <c r="W112" s="55">
        <v>0</v>
      </c>
      <c r="X112" s="58">
        <v>0</v>
      </c>
      <c r="Y112" s="59">
        <v>0</v>
      </c>
      <c r="Z112" s="58">
        <v>0</v>
      </c>
      <c r="AA112" s="56">
        <v>0</v>
      </c>
      <c r="AB112" s="56">
        <v>0</v>
      </c>
      <c r="AC112" s="60">
        <v>46142</v>
      </c>
    </row>
    <row r="113" spans="1:30" x14ac:dyDescent="0.25">
      <c r="A113" s="43">
        <v>1003</v>
      </c>
      <c r="B113" s="44" t="s">
        <v>1285</v>
      </c>
      <c r="C113" s="45">
        <v>10030037</v>
      </c>
      <c r="D113" s="46" t="s">
        <v>479</v>
      </c>
      <c r="E113" s="47" t="s">
        <v>364</v>
      </c>
      <c r="F113" s="47" t="s">
        <v>58</v>
      </c>
      <c r="G113" s="62">
        <v>1232.1999999999998</v>
      </c>
      <c r="H113" s="62">
        <v>44313.46</v>
      </c>
      <c r="I113" s="49">
        <v>0</v>
      </c>
      <c r="J113" s="49">
        <v>0</v>
      </c>
      <c r="K113" s="49">
        <v>0</v>
      </c>
      <c r="L113" s="50">
        <v>0</v>
      </c>
      <c r="M113" s="51"/>
      <c r="N113" s="52" t="s">
        <v>1300</v>
      </c>
      <c r="O113" s="31"/>
      <c r="P113" s="53">
        <v>-4.8704027291806971E-2</v>
      </c>
      <c r="Q113" s="54">
        <v>16</v>
      </c>
      <c r="R113" s="55">
        <v>0</v>
      </c>
      <c r="S113" s="55">
        <v>0</v>
      </c>
      <c r="T113" s="56">
        <v>0</v>
      </c>
      <c r="U113" s="57"/>
      <c r="V113" s="55">
        <v>0</v>
      </c>
      <c r="W113" s="55">
        <v>0</v>
      </c>
      <c r="X113" s="58">
        <v>0</v>
      </c>
      <c r="Y113" s="59">
        <v>0</v>
      </c>
      <c r="Z113" s="58">
        <v>0</v>
      </c>
      <c r="AA113" s="56">
        <v>0</v>
      </c>
      <c r="AB113" s="56">
        <v>0</v>
      </c>
      <c r="AC113" s="60">
        <v>46142</v>
      </c>
    </row>
    <row r="114" spans="1:30" x14ac:dyDescent="0.25">
      <c r="A114" s="43">
        <v>1003</v>
      </c>
      <c r="B114" s="44" t="s">
        <v>1285</v>
      </c>
      <c r="C114" s="45">
        <v>10030038</v>
      </c>
      <c r="D114" s="46" t="s">
        <v>480</v>
      </c>
      <c r="E114" s="47" t="s">
        <v>364</v>
      </c>
      <c r="F114" s="47" t="s">
        <v>58</v>
      </c>
      <c r="G114" s="62">
        <v>419.9</v>
      </c>
      <c r="H114" s="62">
        <v>17513.499999999996</v>
      </c>
      <c r="I114" s="49">
        <v>0</v>
      </c>
      <c r="J114" s="49">
        <v>0</v>
      </c>
      <c r="K114" s="49">
        <v>0</v>
      </c>
      <c r="L114" s="50" t="s">
        <v>366</v>
      </c>
      <c r="M114" s="51" t="s">
        <v>367</v>
      </c>
      <c r="N114" s="52" t="s">
        <v>1300</v>
      </c>
      <c r="O114" s="31"/>
      <c r="P114" s="53">
        <v>-0.1006393844529391</v>
      </c>
      <c r="Q114" s="54">
        <v>14</v>
      </c>
      <c r="R114" s="55">
        <v>0</v>
      </c>
      <c r="S114" s="55">
        <v>0</v>
      </c>
      <c r="T114" s="56">
        <v>0</v>
      </c>
      <c r="U114" s="57"/>
      <c r="V114" s="55">
        <v>0</v>
      </c>
      <c r="W114" s="55">
        <v>0</v>
      </c>
      <c r="X114" s="58">
        <v>0</v>
      </c>
      <c r="Y114" s="59">
        <v>0</v>
      </c>
      <c r="Z114" s="58">
        <v>0</v>
      </c>
      <c r="AA114" s="56">
        <v>0</v>
      </c>
      <c r="AB114" s="56">
        <v>0</v>
      </c>
      <c r="AC114" s="60">
        <v>46142</v>
      </c>
    </row>
    <row r="115" spans="1:30" x14ac:dyDescent="0.25">
      <c r="A115" s="43">
        <v>1003</v>
      </c>
      <c r="B115" s="44" t="s">
        <v>1285</v>
      </c>
      <c r="C115" s="45">
        <v>10030040</v>
      </c>
      <c r="D115" s="46" t="s">
        <v>481</v>
      </c>
      <c r="E115" s="47" t="s">
        <v>371</v>
      </c>
      <c r="F115" s="47" t="s">
        <v>59</v>
      </c>
      <c r="G115" s="62">
        <v>841.65</v>
      </c>
      <c r="H115" s="62">
        <v>32812.03</v>
      </c>
      <c r="I115" s="49">
        <v>0</v>
      </c>
      <c r="J115" s="49">
        <v>0</v>
      </c>
      <c r="K115" s="49">
        <v>0</v>
      </c>
      <c r="L115" s="50">
        <v>0</v>
      </c>
      <c r="M115" s="51"/>
      <c r="N115" s="52" t="s">
        <v>1300</v>
      </c>
      <c r="O115" s="31"/>
      <c r="P115" s="53">
        <v>0</v>
      </c>
      <c r="Q115" s="54">
        <v>0</v>
      </c>
      <c r="R115" s="55">
        <v>0</v>
      </c>
      <c r="S115" s="55">
        <v>0</v>
      </c>
      <c r="T115" s="56">
        <v>0</v>
      </c>
      <c r="U115" s="57"/>
      <c r="V115" s="55">
        <v>0</v>
      </c>
      <c r="W115" s="55">
        <v>0</v>
      </c>
      <c r="X115" s="58">
        <v>0</v>
      </c>
      <c r="Y115" s="59">
        <v>0</v>
      </c>
      <c r="Z115" s="58">
        <v>0</v>
      </c>
      <c r="AA115" s="56">
        <v>0</v>
      </c>
      <c r="AB115" s="56">
        <v>0</v>
      </c>
      <c r="AC115" s="60">
        <v>46142</v>
      </c>
    </row>
    <row r="116" spans="1:30" x14ac:dyDescent="0.25">
      <c r="A116" s="43">
        <v>1003</v>
      </c>
      <c r="B116" s="44" t="s">
        <v>1285</v>
      </c>
      <c r="C116" s="45">
        <v>10030041</v>
      </c>
      <c r="D116" s="46" t="s">
        <v>482</v>
      </c>
      <c r="E116" s="47" t="s">
        <v>371</v>
      </c>
      <c r="F116" s="47" t="s">
        <v>59</v>
      </c>
      <c r="G116" s="62">
        <v>1127.6500000000001</v>
      </c>
      <c r="H116" s="62">
        <v>41488.580000000009</v>
      </c>
      <c r="I116" s="49">
        <v>0</v>
      </c>
      <c r="J116" s="49">
        <v>0</v>
      </c>
      <c r="K116" s="49">
        <v>0</v>
      </c>
      <c r="L116" s="50">
        <v>0</v>
      </c>
      <c r="M116" s="51"/>
      <c r="N116" s="52" t="s">
        <v>1300</v>
      </c>
      <c r="O116" s="31"/>
      <c r="P116" s="53">
        <v>0</v>
      </c>
      <c r="Q116" s="54">
        <v>0</v>
      </c>
      <c r="R116" s="55">
        <v>0</v>
      </c>
      <c r="S116" s="55">
        <v>0</v>
      </c>
      <c r="T116" s="56">
        <v>0</v>
      </c>
      <c r="U116" s="57"/>
      <c r="V116" s="55">
        <v>0</v>
      </c>
      <c r="W116" s="55">
        <v>0</v>
      </c>
      <c r="X116" s="58">
        <v>0</v>
      </c>
      <c r="Y116" s="59">
        <v>0</v>
      </c>
      <c r="Z116" s="58">
        <v>0</v>
      </c>
      <c r="AA116" s="56">
        <v>0</v>
      </c>
      <c r="AB116" s="56">
        <v>0</v>
      </c>
      <c r="AC116" s="60">
        <v>46142</v>
      </c>
    </row>
    <row r="117" spans="1:30" x14ac:dyDescent="0.25">
      <c r="A117" s="43">
        <v>1003</v>
      </c>
      <c r="B117" s="44" t="s">
        <v>1285</v>
      </c>
      <c r="C117" s="45">
        <v>10030042</v>
      </c>
      <c r="D117" s="46" t="s">
        <v>483</v>
      </c>
      <c r="E117" s="47" t="s">
        <v>371</v>
      </c>
      <c r="F117" s="47" t="s">
        <v>59</v>
      </c>
      <c r="G117" s="62">
        <v>700</v>
      </c>
      <c r="H117" s="62">
        <v>25351</v>
      </c>
      <c r="I117" s="49">
        <v>0</v>
      </c>
      <c r="J117" s="49">
        <v>0</v>
      </c>
      <c r="K117" s="49">
        <v>0</v>
      </c>
      <c r="L117" s="50">
        <v>0</v>
      </c>
      <c r="M117" s="51"/>
      <c r="N117" s="52" t="s">
        <v>1300</v>
      </c>
      <c r="O117" s="31"/>
      <c r="P117" s="53">
        <v>0</v>
      </c>
      <c r="Q117" s="54">
        <v>0</v>
      </c>
      <c r="R117" s="55">
        <v>0</v>
      </c>
      <c r="S117" s="55">
        <v>0</v>
      </c>
      <c r="T117" s="56">
        <v>0</v>
      </c>
      <c r="U117" s="57"/>
      <c r="V117" s="55">
        <v>0</v>
      </c>
      <c r="W117" s="55">
        <v>0</v>
      </c>
      <c r="X117" s="58">
        <v>0</v>
      </c>
      <c r="Y117" s="59">
        <v>0</v>
      </c>
      <c r="Z117" s="58">
        <v>0</v>
      </c>
      <c r="AA117" s="56">
        <v>0</v>
      </c>
      <c r="AB117" s="56">
        <v>0</v>
      </c>
      <c r="AC117" s="60">
        <v>46142</v>
      </c>
    </row>
    <row r="118" spans="1:30" x14ac:dyDescent="0.25">
      <c r="A118" s="43">
        <v>1003</v>
      </c>
      <c r="B118" s="44" t="s">
        <v>1285</v>
      </c>
      <c r="C118" s="45">
        <v>10030043</v>
      </c>
      <c r="D118" s="46" t="s">
        <v>484</v>
      </c>
      <c r="E118" s="47" t="s">
        <v>371</v>
      </c>
      <c r="F118" s="47" t="s">
        <v>59</v>
      </c>
      <c r="G118" s="62">
        <v>5740</v>
      </c>
      <c r="H118" s="62">
        <v>207878.19999999998</v>
      </c>
      <c r="I118" s="49">
        <v>0</v>
      </c>
      <c r="J118" s="49">
        <v>0</v>
      </c>
      <c r="K118" s="49">
        <v>0</v>
      </c>
      <c r="L118" s="50">
        <v>0</v>
      </c>
      <c r="M118" s="51"/>
      <c r="N118" s="52" t="s">
        <v>1300</v>
      </c>
      <c r="O118" s="31"/>
      <c r="P118" s="53">
        <v>0</v>
      </c>
      <c r="Q118" s="54">
        <v>0</v>
      </c>
      <c r="R118" s="55">
        <v>0</v>
      </c>
      <c r="S118" s="55">
        <v>0</v>
      </c>
      <c r="T118" s="56">
        <v>0</v>
      </c>
      <c r="U118" s="57"/>
      <c r="V118" s="55">
        <v>0</v>
      </c>
      <c r="W118" s="55">
        <v>0</v>
      </c>
      <c r="X118" s="58">
        <v>0</v>
      </c>
      <c r="Y118" s="59">
        <v>0</v>
      </c>
      <c r="Z118" s="58">
        <v>0</v>
      </c>
      <c r="AA118" s="56">
        <v>0</v>
      </c>
      <c r="AB118" s="56">
        <v>0</v>
      </c>
      <c r="AC118" s="60">
        <v>46142</v>
      </c>
    </row>
    <row r="119" spans="1:30" x14ac:dyDescent="0.25">
      <c r="A119" s="43">
        <v>1003</v>
      </c>
      <c r="B119" s="44" t="s">
        <v>1285</v>
      </c>
      <c r="C119" s="45">
        <v>10030044</v>
      </c>
      <c r="D119" s="46" t="s">
        <v>485</v>
      </c>
      <c r="E119" s="47" t="s">
        <v>371</v>
      </c>
      <c r="F119" s="47" t="s">
        <v>59</v>
      </c>
      <c r="G119" s="62">
        <v>5810</v>
      </c>
      <c r="H119" s="62">
        <v>210413.30000000002</v>
      </c>
      <c r="I119" s="49">
        <v>0</v>
      </c>
      <c r="J119" s="49">
        <v>0</v>
      </c>
      <c r="K119" s="49">
        <v>0</v>
      </c>
      <c r="L119" s="50">
        <v>0</v>
      </c>
      <c r="M119" s="51"/>
      <c r="N119" s="52" t="s">
        <v>1300</v>
      </c>
      <c r="O119" s="31"/>
      <c r="P119" s="53">
        <v>0</v>
      </c>
      <c r="Q119" s="54">
        <v>0</v>
      </c>
      <c r="R119" s="55">
        <v>0</v>
      </c>
      <c r="S119" s="55">
        <v>0</v>
      </c>
      <c r="T119" s="56">
        <v>0</v>
      </c>
      <c r="U119" s="57"/>
      <c r="V119" s="55">
        <v>0</v>
      </c>
      <c r="W119" s="55">
        <v>0</v>
      </c>
      <c r="X119" s="58">
        <v>0</v>
      </c>
      <c r="Y119" s="59">
        <v>0</v>
      </c>
      <c r="Z119" s="58">
        <v>0</v>
      </c>
      <c r="AA119" s="56">
        <v>0</v>
      </c>
      <c r="AB119" s="56">
        <v>0</v>
      </c>
      <c r="AC119" s="60">
        <v>46142</v>
      </c>
    </row>
    <row r="120" spans="1:30" x14ac:dyDescent="0.25">
      <c r="A120" s="43">
        <v>1003</v>
      </c>
      <c r="B120" s="44" t="s">
        <v>1285</v>
      </c>
      <c r="C120" s="45">
        <v>10030045</v>
      </c>
      <c r="D120" s="46" t="s">
        <v>486</v>
      </c>
      <c r="E120" s="47" t="s">
        <v>371</v>
      </c>
      <c r="F120" s="47" t="s">
        <v>59</v>
      </c>
      <c r="G120" s="62">
        <v>700</v>
      </c>
      <c r="H120" s="62">
        <v>25351</v>
      </c>
      <c r="I120" s="49">
        <v>0</v>
      </c>
      <c r="J120" s="49">
        <v>0</v>
      </c>
      <c r="K120" s="49">
        <v>0</v>
      </c>
      <c r="L120" s="50">
        <v>0</v>
      </c>
      <c r="M120" s="51"/>
      <c r="N120" s="52" t="s">
        <v>1300</v>
      </c>
      <c r="O120" s="31"/>
      <c r="P120" s="53">
        <v>0</v>
      </c>
      <c r="Q120" s="54">
        <v>0</v>
      </c>
      <c r="R120" s="55">
        <v>0</v>
      </c>
      <c r="S120" s="55">
        <v>0</v>
      </c>
      <c r="T120" s="56">
        <v>0</v>
      </c>
      <c r="U120" s="57"/>
      <c r="V120" s="55">
        <v>0</v>
      </c>
      <c r="W120" s="55">
        <v>0</v>
      </c>
      <c r="X120" s="58">
        <v>0</v>
      </c>
      <c r="Y120" s="59">
        <v>0</v>
      </c>
      <c r="Z120" s="58">
        <v>0</v>
      </c>
      <c r="AA120" s="56">
        <v>0</v>
      </c>
      <c r="AB120" s="56">
        <v>0</v>
      </c>
      <c r="AC120" s="60">
        <v>46142</v>
      </c>
    </row>
    <row r="121" spans="1:30" x14ac:dyDescent="0.25">
      <c r="A121" s="43">
        <v>1003</v>
      </c>
      <c r="B121" s="44" t="s">
        <v>1285</v>
      </c>
      <c r="C121" s="45">
        <v>10030046</v>
      </c>
      <c r="D121" s="46" t="s">
        <v>487</v>
      </c>
      <c r="E121" s="47" t="s">
        <v>371</v>
      </c>
      <c r="F121" s="47" t="s">
        <v>59</v>
      </c>
      <c r="G121" s="62">
        <v>700</v>
      </c>
      <c r="H121" s="62">
        <v>25351</v>
      </c>
      <c r="I121" s="49">
        <v>0</v>
      </c>
      <c r="J121" s="49">
        <v>0</v>
      </c>
      <c r="K121" s="49">
        <v>0</v>
      </c>
      <c r="L121" s="50">
        <v>0</v>
      </c>
      <c r="M121" s="51"/>
      <c r="N121" s="52" t="s">
        <v>1300</v>
      </c>
      <c r="O121" s="31"/>
      <c r="P121" s="53">
        <v>0</v>
      </c>
      <c r="Q121" s="54">
        <v>0</v>
      </c>
      <c r="R121" s="55">
        <v>0</v>
      </c>
      <c r="S121" s="55">
        <v>0</v>
      </c>
      <c r="T121" s="56">
        <v>0</v>
      </c>
      <c r="U121" s="57"/>
      <c r="V121" s="55">
        <v>0</v>
      </c>
      <c r="W121" s="55">
        <v>0</v>
      </c>
      <c r="X121" s="58">
        <v>0</v>
      </c>
      <c r="Y121" s="59">
        <v>0</v>
      </c>
      <c r="Z121" s="58">
        <v>0</v>
      </c>
      <c r="AA121" s="56">
        <v>0</v>
      </c>
      <c r="AB121" s="56">
        <v>0</v>
      </c>
      <c r="AC121" s="60">
        <v>46142</v>
      </c>
    </row>
    <row r="122" spans="1:30" x14ac:dyDescent="0.25">
      <c r="A122" s="43">
        <v>1003</v>
      </c>
      <c r="B122" s="44" t="s">
        <v>1285</v>
      </c>
      <c r="C122" s="45">
        <v>10030047</v>
      </c>
      <c r="D122" s="46" t="s">
        <v>488</v>
      </c>
      <c r="E122" s="47" t="s">
        <v>371</v>
      </c>
      <c r="F122" s="47" t="s">
        <v>59</v>
      </c>
      <c r="G122" s="62">
        <v>700</v>
      </c>
      <c r="H122" s="62">
        <v>25351</v>
      </c>
      <c r="I122" s="49">
        <v>0</v>
      </c>
      <c r="J122" s="49">
        <v>0</v>
      </c>
      <c r="K122" s="49">
        <v>0</v>
      </c>
      <c r="L122" s="50">
        <v>0</v>
      </c>
      <c r="M122" s="51"/>
      <c r="N122" s="52" t="s">
        <v>1300</v>
      </c>
      <c r="O122" s="31"/>
      <c r="P122" s="53">
        <v>0</v>
      </c>
      <c r="Q122" s="54">
        <v>0</v>
      </c>
      <c r="R122" s="55">
        <v>0</v>
      </c>
      <c r="S122" s="55">
        <v>0</v>
      </c>
      <c r="T122" s="56">
        <v>0</v>
      </c>
      <c r="U122" s="57"/>
      <c r="V122" s="55">
        <v>0</v>
      </c>
      <c r="W122" s="55">
        <v>0</v>
      </c>
      <c r="X122" s="58">
        <v>0</v>
      </c>
      <c r="Y122" s="59">
        <v>0</v>
      </c>
      <c r="Z122" s="58">
        <v>0</v>
      </c>
      <c r="AA122" s="56">
        <v>0</v>
      </c>
      <c r="AB122" s="56">
        <v>0</v>
      </c>
      <c r="AC122" s="60">
        <v>46142</v>
      </c>
    </row>
    <row r="123" spans="1:30" x14ac:dyDescent="0.25">
      <c r="A123" s="43">
        <v>1003</v>
      </c>
      <c r="B123" s="44" t="s">
        <v>1285</v>
      </c>
      <c r="C123" s="45">
        <v>10030048</v>
      </c>
      <c r="D123" s="46" t="s">
        <v>489</v>
      </c>
      <c r="E123" s="47" t="s">
        <v>371</v>
      </c>
      <c r="F123" s="47" t="s">
        <v>59</v>
      </c>
      <c r="G123" s="62">
        <v>700</v>
      </c>
      <c r="H123" s="62">
        <v>25351</v>
      </c>
      <c r="I123" s="49">
        <v>0</v>
      </c>
      <c r="J123" s="49">
        <v>0</v>
      </c>
      <c r="K123" s="49">
        <v>0</v>
      </c>
      <c r="L123" s="50">
        <v>0</v>
      </c>
      <c r="M123" s="51"/>
      <c r="N123" s="52" t="s">
        <v>1300</v>
      </c>
      <c r="O123" s="31"/>
      <c r="P123" s="53">
        <v>0</v>
      </c>
      <c r="Q123" s="54">
        <v>0</v>
      </c>
      <c r="R123" s="55">
        <v>0</v>
      </c>
      <c r="S123" s="55">
        <v>0</v>
      </c>
      <c r="T123" s="56">
        <v>0</v>
      </c>
      <c r="U123" s="57"/>
      <c r="V123" s="55">
        <v>0</v>
      </c>
      <c r="W123" s="55">
        <v>0</v>
      </c>
      <c r="X123" s="58">
        <v>0</v>
      </c>
      <c r="Y123" s="59">
        <v>0</v>
      </c>
      <c r="Z123" s="58">
        <v>0</v>
      </c>
      <c r="AA123" s="56">
        <v>0</v>
      </c>
      <c r="AB123" s="56">
        <v>0</v>
      </c>
      <c r="AC123" s="60">
        <v>46142</v>
      </c>
    </row>
    <row r="124" spans="1:30" x14ac:dyDescent="0.25">
      <c r="A124" s="43">
        <v>1003</v>
      </c>
      <c r="B124" s="44" t="s">
        <v>1285</v>
      </c>
      <c r="C124" s="45">
        <v>10030049</v>
      </c>
      <c r="D124" s="46" t="s">
        <v>490</v>
      </c>
      <c r="E124" s="47" t="s">
        <v>364</v>
      </c>
      <c r="F124" s="47" t="s">
        <v>58</v>
      </c>
      <c r="G124" s="62">
        <v>297.90000000000003</v>
      </c>
      <c r="H124" s="62">
        <v>9031.27</v>
      </c>
      <c r="I124" s="49">
        <v>0</v>
      </c>
      <c r="J124" s="49">
        <v>0</v>
      </c>
      <c r="K124" s="49">
        <v>0</v>
      </c>
      <c r="L124" s="50" t="s">
        <v>366</v>
      </c>
      <c r="M124" s="51" t="s">
        <v>367</v>
      </c>
      <c r="N124" s="52" t="s">
        <v>1300</v>
      </c>
      <c r="O124" s="31"/>
      <c r="P124" s="53">
        <v>-1.3790555544458436E-2</v>
      </c>
      <c r="Q124" s="54">
        <v>2</v>
      </c>
      <c r="R124" s="55">
        <v>0</v>
      </c>
      <c r="S124" s="55">
        <v>0</v>
      </c>
      <c r="T124" s="56">
        <v>0</v>
      </c>
      <c r="U124" s="57"/>
      <c r="V124" s="55">
        <v>0</v>
      </c>
      <c r="W124" s="55">
        <v>0</v>
      </c>
      <c r="X124" s="58">
        <v>0</v>
      </c>
      <c r="Y124" s="59">
        <v>0</v>
      </c>
      <c r="Z124" s="58">
        <v>0</v>
      </c>
      <c r="AA124" s="56">
        <v>0</v>
      </c>
      <c r="AB124" s="56">
        <v>0</v>
      </c>
      <c r="AC124" s="60">
        <v>46142</v>
      </c>
    </row>
    <row r="125" spans="1:30" x14ac:dyDescent="0.25">
      <c r="A125" s="43">
        <v>1003</v>
      </c>
      <c r="B125" s="44" t="s">
        <v>1285</v>
      </c>
      <c r="C125" s="45">
        <v>10030050</v>
      </c>
      <c r="D125" s="46" t="s">
        <v>491</v>
      </c>
      <c r="E125" s="47" t="s">
        <v>364</v>
      </c>
      <c r="F125" s="47" t="s">
        <v>58</v>
      </c>
      <c r="G125" s="62">
        <v>483.45000000000005</v>
      </c>
      <c r="H125" s="62">
        <v>16965.46</v>
      </c>
      <c r="I125" s="49">
        <v>0</v>
      </c>
      <c r="J125" s="49">
        <v>0</v>
      </c>
      <c r="K125" s="49">
        <v>0</v>
      </c>
      <c r="L125" s="50">
        <v>0</v>
      </c>
      <c r="M125" s="51"/>
      <c r="N125" s="52" t="s">
        <v>1300</v>
      </c>
      <c r="O125" s="31"/>
      <c r="P125" s="53">
        <v>-6.7597109874321465E-2</v>
      </c>
      <c r="Q125" s="54">
        <v>11</v>
      </c>
      <c r="R125" s="55">
        <v>0</v>
      </c>
      <c r="S125" s="55">
        <v>0</v>
      </c>
      <c r="T125" s="56">
        <v>0</v>
      </c>
      <c r="U125" s="57"/>
      <c r="V125" s="55">
        <v>0</v>
      </c>
      <c r="W125" s="55">
        <v>0</v>
      </c>
      <c r="X125" s="58">
        <v>0</v>
      </c>
      <c r="Y125" s="59">
        <v>0</v>
      </c>
      <c r="Z125" s="58">
        <v>0</v>
      </c>
      <c r="AA125" s="56">
        <v>0</v>
      </c>
      <c r="AB125" s="56">
        <v>0</v>
      </c>
      <c r="AC125" s="60">
        <v>46142</v>
      </c>
    </row>
    <row r="126" spans="1:30" x14ac:dyDescent="0.25">
      <c r="A126" s="43">
        <v>1003</v>
      </c>
      <c r="B126" s="44" t="s">
        <v>1285</v>
      </c>
      <c r="C126" s="45">
        <v>10030051</v>
      </c>
      <c r="D126" s="46" t="s">
        <v>492</v>
      </c>
      <c r="E126" s="47" t="s">
        <v>364</v>
      </c>
      <c r="F126" s="47" t="s">
        <v>58</v>
      </c>
      <c r="G126" s="62">
        <v>1451.4</v>
      </c>
      <c r="H126" s="62">
        <v>51535.430000000008</v>
      </c>
      <c r="I126" s="49">
        <v>0</v>
      </c>
      <c r="J126" s="49">
        <v>0</v>
      </c>
      <c r="K126" s="49">
        <v>0</v>
      </c>
      <c r="L126" s="50">
        <v>0</v>
      </c>
      <c r="M126" s="51"/>
      <c r="N126" s="52" t="s">
        <v>1300</v>
      </c>
      <c r="O126" s="31"/>
      <c r="P126" s="53">
        <v>-7.7533136297316146E-2</v>
      </c>
      <c r="Q126" s="54">
        <v>7</v>
      </c>
      <c r="R126" s="55">
        <v>0</v>
      </c>
      <c r="S126" s="55">
        <v>0</v>
      </c>
      <c r="T126" s="56">
        <v>0</v>
      </c>
      <c r="U126" s="57"/>
      <c r="V126" s="55">
        <v>0</v>
      </c>
      <c r="W126" s="55">
        <v>0</v>
      </c>
      <c r="X126" s="58">
        <v>0</v>
      </c>
      <c r="Y126" s="59">
        <v>0</v>
      </c>
      <c r="Z126" s="58">
        <v>0</v>
      </c>
      <c r="AA126" s="56">
        <v>0</v>
      </c>
      <c r="AB126" s="56">
        <v>0</v>
      </c>
      <c r="AC126" s="60">
        <v>46142</v>
      </c>
    </row>
    <row r="127" spans="1:30" x14ac:dyDescent="0.25">
      <c r="A127" s="43">
        <v>1003</v>
      </c>
      <c r="B127" s="44" t="s">
        <v>1285</v>
      </c>
      <c r="C127" s="45">
        <v>10030053</v>
      </c>
      <c r="D127" s="46" t="s">
        <v>493</v>
      </c>
      <c r="E127" s="47" t="s">
        <v>364</v>
      </c>
      <c r="F127" s="47" t="s">
        <v>58</v>
      </c>
      <c r="G127" s="62">
        <v>155.95000000000002</v>
      </c>
      <c r="H127" s="62">
        <v>5897.5</v>
      </c>
      <c r="I127" s="49">
        <v>0</v>
      </c>
      <c r="J127" s="49">
        <v>0</v>
      </c>
      <c r="K127" s="49">
        <v>0</v>
      </c>
      <c r="L127" s="50">
        <v>0</v>
      </c>
      <c r="M127" s="51"/>
      <c r="N127" s="52" t="s">
        <v>1300</v>
      </c>
      <c r="O127" s="31"/>
      <c r="P127" s="53">
        <v>4.0397684860364602E-2</v>
      </c>
      <c r="Q127" s="54">
        <v>9</v>
      </c>
      <c r="R127" s="55">
        <v>0</v>
      </c>
      <c r="S127" s="55">
        <v>0</v>
      </c>
      <c r="T127" s="56">
        <v>0</v>
      </c>
      <c r="U127" s="57"/>
      <c r="V127" s="55">
        <v>0</v>
      </c>
      <c r="W127" s="55">
        <v>0</v>
      </c>
      <c r="X127" s="58">
        <v>0</v>
      </c>
      <c r="Y127" s="59">
        <v>0</v>
      </c>
      <c r="Z127" s="58">
        <v>0</v>
      </c>
      <c r="AA127" s="56">
        <v>0</v>
      </c>
      <c r="AB127" s="56">
        <v>0</v>
      </c>
      <c r="AC127" s="60">
        <v>46142</v>
      </c>
    </row>
    <row r="128" spans="1:30" x14ac:dyDescent="0.25">
      <c r="A128" s="43">
        <v>1003</v>
      </c>
      <c r="B128" s="44" t="s">
        <v>1285</v>
      </c>
      <c r="C128" s="45">
        <v>10030055</v>
      </c>
      <c r="D128" s="46" t="s">
        <v>494</v>
      </c>
      <c r="E128" s="47" t="s">
        <v>364</v>
      </c>
      <c r="F128" s="47" t="s">
        <v>58</v>
      </c>
      <c r="G128" s="62">
        <v>320.54999999999995</v>
      </c>
      <c r="H128" s="62">
        <v>13127.229999999998</v>
      </c>
      <c r="I128" s="49">
        <v>0</v>
      </c>
      <c r="J128" s="49">
        <v>0</v>
      </c>
      <c r="K128" s="49">
        <v>0</v>
      </c>
      <c r="L128" s="50">
        <v>0</v>
      </c>
      <c r="M128" s="51"/>
      <c r="N128" s="52" t="s">
        <v>1300</v>
      </c>
      <c r="O128" s="31"/>
      <c r="P128" s="53">
        <v>-3.4727445912214175E-2</v>
      </c>
      <c r="Q128" s="54">
        <v>5</v>
      </c>
      <c r="R128" s="55">
        <v>0</v>
      </c>
      <c r="S128" s="55">
        <v>0</v>
      </c>
      <c r="T128" s="56">
        <v>0</v>
      </c>
      <c r="U128" s="57"/>
      <c r="V128" s="55">
        <v>0</v>
      </c>
      <c r="W128" s="55">
        <v>0</v>
      </c>
      <c r="X128" s="58">
        <v>0</v>
      </c>
      <c r="Y128" s="59">
        <v>0</v>
      </c>
      <c r="Z128" s="58">
        <v>0</v>
      </c>
      <c r="AA128" s="56">
        <v>0</v>
      </c>
      <c r="AB128" s="56">
        <v>0</v>
      </c>
      <c r="AC128" s="60">
        <v>46142</v>
      </c>
      <c r="AD128" s="61"/>
    </row>
    <row r="129" spans="1:30" x14ac:dyDescent="0.25">
      <c r="A129" s="43">
        <v>1003</v>
      </c>
      <c r="B129" s="44" t="s">
        <v>1285</v>
      </c>
      <c r="C129" s="45">
        <v>10030056</v>
      </c>
      <c r="D129" s="46" t="s">
        <v>495</v>
      </c>
      <c r="E129" s="47" t="s">
        <v>364</v>
      </c>
      <c r="F129" s="47" t="s">
        <v>58</v>
      </c>
      <c r="G129" s="62">
        <v>57.800000000000004</v>
      </c>
      <c r="H129" s="62">
        <v>1931.5500000000004</v>
      </c>
      <c r="I129" s="49">
        <v>0</v>
      </c>
      <c r="J129" s="49">
        <v>0</v>
      </c>
      <c r="K129" s="49">
        <v>0</v>
      </c>
      <c r="L129" s="50" t="s">
        <v>366</v>
      </c>
      <c r="M129" s="51" t="s">
        <v>367</v>
      </c>
      <c r="N129" s="52" t="s">
        <v>1300</v>
      </c>
      <c r="O129" s="31"/>
      <c r="P129" s="53">
        <v>-3.4709677440242284</v>
      </c>
      <c r="Q129" s="54">
        <v>3</v>
      </c>
      <c r="R129" s="55">
        <v>0</v>
      </c>
      <c r="S129" s="55">
        <v>0</v>
      </c>
      <c r="T129" s="56">
        <v>0</v>
      </c>
      <c r="U129" s="57"/>
      <c r="V129" s="55">
        <v>0</v>
      </c>
      <c r="W129" s="55">
        <v>0</v>
      </c>
      <c r="X129" s="58">
        <v>0</v>
      </c>
      <c r="Y129" s="59">
        <v>0</v>
      </c>
      <c r="Z129" s="58">
        <v>0</v>
      </c>
      <c r="AA129" s="56">
        <v>0</v>
      </c>
      <c r="AB129" s="56">
        <v>0</v>
      </c>
      <c r="AC129" s="60">
        <v>46142</v>
      </c>
      <c r="AD129" s="61"/>
    </row>
    <row r="130" spans="1:30" x14ac:dyDescent="0.25">
      <c r="A130" s="43">
        <v>1003</v>
      </c>
      <c r="B130" s="44" t="s">
        <v>1285</v>
      </c>
      <c r="C130" s="45">
        <v>10030059</v>
      </c>
      <c r="D130" s="46" t="s">
        <v>496</v>
      </c>
      <c r="E130" s="47" t="s">
        <v>364</v>
      </c>
      <c r="F130" s="47" t="s">
        <v>58</v>
      </c>
      <c r="G130" s="62">
        <v>455.85</v>
      </c>
      <c r="H130" s="62">
        <v>18941.689999999999</v>
      </c>
      <c r="I130" s="49">
        <v>0</v>
      </c>
      <c r="J130" s="49">
        <v>0</v>
      </c>
      <c r="K130" s="49">
        <v>0</v>
      </c>
      <c r="L130" s="50">
        <v>0</v>
      </c>
      <c r="M130" s="51"/>
      <c r="N130" s="52" t="s">
        <v>1300</v>
      </c>
      <c r="O130" s="31"/>
      <c r="P130" s="53">
        <v>-3.6535885117579894E-2</v>
      </c>
      <c r="Q130" s="54">
        <v>8</v>
      </c>
      <c r="R130" s="55">
        <v>0</v>
      </c>
      <c r="S130" s="55">
        <v>0</v>
      </c>
      <c r="T130" s="56">
        <v>0</v>
      </c>
      <c r="U130" s="57"/>
      <c r="V130" s="55">
        <v>0</v>
      </c>
      <c r="W130" s="55">
        <v>0</v>
      </c>
      <c r="X130" s="58">
        <v>0</v>
      </c>
      <c r="Y130" s="59">
        <v>0</v>
      </c>
      <c r="Z130" s="58">
        <v>0</v>
      </c>
      <c r="AA130" s="56">
        <v>0</v>
      </c>
      <c r="AB130" s="56">
        <v>0</v>
      </c>
      <c r="AC130" s="60">
        <v>46142</v>
      </c>
    </row>
    <row r="131" spans="1:30" x14ac:dyDescent="0.25">
      <c r="A131" s="43">
        <v>1003</v>
      </c>
      <c r="B131" s="44" t="s">
        <v>1285</v>
      </c>
      <c r="C131" s="45">
        <v>10030060</v>
      </c>
      <c r="D131" s="46" t="s">
        <v>497</v>
      </c>
      <c r="E131" s="47" t="s">
        <v>364</v>
      </c>
      <c r="F131" s="47" t="s">
        <v>58</v>
      </c>
      <c r="G131" s="62">
        <v>785.09999999999991</v>
      </c>
      <c r="H131" s="62">
        <v>32311.609999999997</v>
      </c>
      <c r="I131" s="49">
        <v>0</v>
      </c>
      <c r="J131" s="49">
        <v>0</v>
      </c>
      <c r="K131" s="49">
        <v>0</v>
      </c>
      <c r="L131" s="50">
        <v>0</v>
      </c>
      <c r="M131" s="51"/>
      <c r="N131" s="52" t="s">
        <v>1300</v>
      </c>
      <c r="O131" s="31"/>
      <c r="P131" s="53">
        <v>-8.6279871365124629E-3</v>
      </c>
      <c r="Q131" s="54">
        <v>2</v>
      </c>
      <c r="R131" s="55">
        <v>0</v>
      </c>
      <c r="S131" s="55">
        <v>0</v>
      </c>
      <c r="T131" s="56">
        <v>0</v>
      </c>
      <c r="U131" s="57"/>
      <c r="V131" s="55">
        <v>0</v>
      </c>
      <c r="W131" s="55">
        <v>0</v>
      </c>
      <c r="X131" s="58">
        <v>0</v>
      </c>
      <c r="Y131" s="59">
        <v>0</v>
      </c>
      <c r="Z131" s="58">
        <v>0</v>
      </c>
      <c r="AA131" s="56">
        <v>0</v>
      </c>
      <c r="AB131" s="56">
        <v>0</v>
      </c>
      <c r="AC131" s="60">
        <v>46142</v>
      </c>
    </row>
    <row r="132" spans="1:30" x14ac:dyDescent="0.25">
      <c r="A132" s="43">
        <v>1003</v>
      </c>
      <c r="B132" s="44" t="s">
        <v>1285</v>
      </c>
      <c r="C132" s="45">
        <v>10030061</v>
      </c>
      <c r="D132" s="46" t="s">
        <v>498</v>
      </c>
      <c r="E132" s="47" t="s">
        <v>364</v>
      </c>
      <c r="F132" s="47" t="s">
        <v>58</v>
      </c>
      <c r="G132" s="62">
        <v>701.74999999999989</v>
      </c>
      <c r="H132" s="62">
        <v>23534.910000000003</v>
      </c>
      <c r="I132" s="49">
        <v>0</v>
      </c>
      <c r="J132" s="49">
        <v>0</v>
      </c>
      <c r="K132" s="49">
        <v>0</v>
      </c>
      <c r="L132" s="50">
        <v>0</v>
      </c>
      <c r="M132" s="51"/>
      <c r="N132" s="52" t="s">
        <v>1300</v>
      </c>
      <c r="O132" s="31"/>
      <c r="P132" s="53">
        <v>-0.10695715294635902</v>
      </c>
      <c r="Q132" s="54">
        <v>9</v>
      </c>
      <c r="R132" s="55">
        <v>0</v>
      </c>
      <c r="S132" s="55">
        <v>0</v>
      </c>
      <c r="T132" s="56">
        <v>0</v>
      </c>
      <c r="U132" s="57"/>
      <c r="V132" s="55">
        <v>0</v>
      </c>
      <c r="W132" s="55">
        <v>0</v>
      </c>
      <c r="X132" s="58">
        <v>0</v>
      </c>
      <c r="Y132" s="59">
        <v>0</v>
      </c>
      <c r="Z132" s="58">
        <v>0</v>
      </c>
      <c r="AA132" s="56">
        <v>0</v>
      </c>
      <c r="AB132" s="56">
        <v>0</v>
      </c>
      <c r="AC132" s="60">
        <v>46142</v>
      </c>
    </row>
    <row r="133" spans="1:30" x14ac:dyDescent="0.25">
      <c r="A133" s="43">
        <v>1003</v>
      </c>
      <c r="B133" s="44" t="s">
        <v>1285</v>
      </c>
      <c r="C133" s="45">
        <v>10030063</v>
      </c>
      <c r="D133" s="46" t="s">
        <v>499</v>
      </c>
      <c r="E133" s="47" t="s">
        <v>364</v>
      </c>
      <c r="F133" s="47" t="s">
        <v>58</v>
      </c>
      <c r="G133" s="62">
        <v>869.9</v>
      </c>
      <c r="H133" s="62">
        <v>33546.99</v>
      </c>
      <c r="I133" s="49">
        <v>0</v>
      </c>
      <c r="J133" s="49">
        <v>0</v>
      </c>
      <c r="K133" s="49">
        <v>0</v>
      </c>
      <c r="L133" s="50">
        <v>0</v>
      </c>
      <c r="M133" s="51"/>
      <c r="N133" s="52" t="s">
        <v>1300</v>
      </c>
      <c r="O133" s="31"/>
      <c r="P133" s="53">
        <v>-5.7914331827112718E-2</v>
      </c>
      <c r="Q133" s="54">
        <v>7</v>
      </c>
      <c r="R133" s="55">
        <v>0</v>
      </c>
      <c r="S133" s="55">
        <v>0</v>
      </c>
      <c r="T133" s="56">
        <v>0</v>
      </c>
      <c r="U133" s="57"/>
      <c r="V133" s="55">
        <v>0</v>
      </c>
      <c r="W133" s="55">
        <v>0</v>
      </c>
      <c r="X133" s="58">
        <v>0</v>
      </c>
      <c r="Y133" s="59">
        <v>0</v>
      </c>
      <c r="Z133" s="58">
        <v>0</v>
      </c>
      <c r="AA133" s="56">
        <v>0</v>
      </c>
      <c r="AB133" s="56">
        <v>0</v>
      </c>
      <c r="AC133" s="60">
        <v>46142</v>
      </c>
    </row>
    <row r="134" spans="1:30" x14ac:dyDescent="0.25">
      <c r="A134" s="43">
        <v>1003</v>
      </c>
      <c r="B134" s="44" t="s">
        <v>1285</v>
      </c>
      <c r="C134" s="45">
        <v>10030064</v>
      </c>
      <c r="D134" s="46" t="s">
        <v>500</v>
      </c>
      <c r="E134" s="47" t="s">
        <v>364</v>
      </c>
      <c r="F134" s="47" t="s">
        <v>58</v>
      </c>
      <c r="G134" s="62">
        <v>873.7</v>
      </c>
      <c r="H134" s="62">
        <v>33322.92</v>
      </c>
      <c r="I134" s="49">
        <v>0</v>
      </c>
      <c r="J134" s="49">
        <v>0</v>
      </c>
      <c r="K134" s="49">
        <v>0</v>
      </c>
      <c r="L134" s="50">
        <v>0</v>
      </c>
      <c r="M134" s="51"/>
      <c r="N134" s="52" t="s">
        <v>1300</v>
      </c>
      <c r="O134" s="31"/>
      <c r="P134" s="53">
        <v>-0.13022747050556832</v>
      </c>
      <c r="Q134" s="54">
        <v>3</v>
      </c>
      <c r="R134" s="55">
        <v>0</v>
      </c>
      <c r="S134" s="55">
        <v>0</v>
      </c>
      <c r="T134" s="56">
        <v>0</v>
      </c>
      <c r="U134" s="57"/>
      <c r="V134" s="55">
        <v>0</v>
      </c>
      <c r="W134" s="55">
        <v>0</v>
      </c>
      <c r="X134" s="58">
        <v>0</v>
      </c>
      <c r="Y134" s="59">
        <v>0</v>
      </c>
      <c r="Z134" s="58">
        <v>0</v>
      </c>
      <c r="AA134" s="56">
        <v>0</v>
      </c>
      <c r="AB134" s="56">
        <v>0</v>
      </c>
      <c r="AC134" s="60">
        <v>46142</v>
      </c>
    </row>
    <row r="135" spans="1:30" x14ac:dyDescent="0.25">
      <c r="A135" s="43">
        <v>1003</v>
      </c>
      <c r="B135" s="44" t="s">
        <v>1285</v>
      </c>
      <c r="C135" s="45">
        <v>10030065</v>
      </c>
      <c r="D135" s="46" t="s">
        <v>501</v>
      </c>
      <c r="E135" s="47" t="s">
        <v>364</v>
      </c>
      <c r="F135" s="47" t="s">
        <v>58</v>
      </c>
      <c r="G135" s="62">
        <v>236.3</v>
      </c>
      <c r="H135" s="62">
        <v>8286.42</v>
      </c>
      <c r="I135" s="49">
        <v>0</v>
      </c>
      <c r="J135" s="49">
        <v>0</v>
      </c>
      <c r="K135" s="49">
        <v>0</v>
      </c>
      <c r="L135" s="50">
        <v>0</v>
      </c>
      <c r="M135" s="51"/>
      <c r="N135" s="52" t="s">
        <v>1300</v>
      </c>
      <c r="O135" s="31"/>
      <c r="P135" s="53">
        <v>6.6672478208929626E-4</v>
      </c>
      <c r="Q135" s="54">
        <v>4</v>
      </c>
      <c r="R135" s="55">
        <v>0</v>
      </c>
      <c r="S135" s="55">
        <v>0</v>
      </c>
      <c r="T135" s="56">
        <v>0</v>
      </c>
      <c r="U135" s="57"/>
      <c r="V135" s="55">
        <v>0</v>
      </c>
      <c r="W135" s="55">
        <v>0</v>
      </c>
      <c r="X135" s="58">
        <v>0</v>
      </c>
      <c r="Y135" s="59">
        <v>0</v>
      </c>
      <c r="Z135" s="58">
        <v>0</v>
      </c>
      <c r="AA135" s="56">
        <v>0</v>
      </c>
      <c r="AB135" s="56">
        <v>0</v>
      </c>
      <c r="AC135" s="60">
        <v>46142</v>
      </c>
    </row>
    <row r="136" spans="1:30" x14ac:dyDescent="0.25">
      <c r="A136" s="43">
        <v>1003</v>
      </c>
      <c r="B136" s="44" t="s">
        <v>1285</v>
      </c>
      <c r="C136" s="45">
        <v>10030066</v>
      </c>
      <c r="D136" s="46" t="s">
        <v>502</v>
      </c>
      <c r="E136" s="47" t="s">
        <v>364</v>
      </c>
      <c r="F136" s="47" t="s">
        <v>58</v>
      </c>
      <c r="G136" s="62">
        <v>2104.9000000000005</v>
      </c>
      <c r="H136" s="62">
        <v>81259.610000000015</v>
      </c>
      <c r="I136" s="49">
        <v>0</v>
      </c>
      <c r="J136" s="49">
        <v>0</v>
      </c>
      <c r="K136" s="49">
        <v>0</v>
      </c>
      <c r="L136" s="50">
        <v>0</v>
      </c>
      <c r="M136" s="51"/>
      <c r="N136" s="52" t="s">
        <v>1300</v>
      </c>
      <c r="O136" s="31"/>
      <c r="P136" s="53">
        <v>-7.0186952270279962E-2</v>
      </c>
      <c r="Q136" s="54">
        <v>19</v>
      </c>
      <c r="R136" s="55">
        <v>0</v>
      </c>
      <c r="S136" s="55">
        <v>0</v>
      </c>
      <c r="T136" s="56">
        <v>0</v>
      </c>
      <c r="U136" s="57"/>
      <c r="V136" s="55">
        <v>0</v>
      </c>
      <c r="W136" s="55">
        <v>0</v>
      </c>
      <c r="X136" s="58">
        <v>0</v>
      </c>
      <c r="Y136" s="59">
        <v>0</v>
      </c>
      <c r="Z136" s="58">
        <v>0</v>
      </c>
      <c r="AA136" s="56">
        <v>0</v>
      </c>
      <c r="AB136" s="56">
        <v>0</v>
      </c>
      <c r="AC136" s="60">
        <v>46142</v>
      </c>
    </row>
    <row r="137" spans="1:30" x14ac:dyDescent="0.25">
      <c r="A137" s="43">
        <v>1003</v>
      </c>
      <c r="B137" s="44" t="s">
        <v>1285</v>
      </c>
      <c r="C137" s="45">
        <v>10030068</v>
      </c>
      <c r="D137" s="46" t="s">
        <v>503</v>
      </c>
      <c r="E137" s="47" t="s">
        <v>364</v>
      </c>
      <c r="F137" s="47" t="s">
        <v>58</v>
      </c>
      <c r="G137" s="62">
        <v>1049.1500000000001</v>
      </c>
      <c r="H137" s="62">
        <v>38271.019999999997</v>
      </c>
      <c r="I137" s="49">
        <v>0</v>
      </c>
      <c r="J137" s="49">
        <v>0</v>
      </c>
      <c r="K137" s="49">
        <v>0</v>
      </c>
      <c r="L137" s="50">
        <v>0</v>
      </c>
      <c r="M137" s="51"/>
      <c r="N137" s="52" t="s">
        <v>1300</v>
      </c>
      <c r="O137" s="31"/>
      <c r="P137" s="53">
        <v>-0.15237315487186748</v>
      </c>
      <c r="Q137" s="54">
        <v>4</v>
      </c>
      <c r="R137" s="55">
        <v>0</v>
      </c>
      <c r="S137" s="55">
        <v>0</v>
      </c>
      <c r="T137" s="56">
        <v>0</v>
      </c>
      <c r="U137" s="57"/>
      <c r="V137" s="55">
        <v>0</v>
      </c>
      <c r="W137" s="55">
        <v>0</v>
      </c>
      <c r="X137" s="58">
        <v>0</v>
      </c>
      <c r="Y137" s="59">
        <v>0</v>
      </c>
      <c r="Z137" s="58">
        <v>0</v>
      </c>
      <c r="AA137" s="56">
        <v>0</v>
      </c>
      <c r="AB137" s="56">
        <v>0</v>
      </c>
      <c r="AC137" s="60">
        <v>46142</v>
      </c>
      <c r="AD137" s="61"/>
    </row>
    <row r="138" spans="1:30" x14ac:dyDescent="0.25">
      <c r="A138" s="43">
        <v>1003</v>
      </c>
      <c r="B138" s="44" t="s">
        <v>1285</v>
      </c>
      <c r="C138" s="45">
        <v>10030069</v>
      </c>
      <c r="D138" s="46" t="s">
        <v>504</v>
      </c>
      <c r="E138" s="47" t="s">
        <v>371</v>
      </c>
      <c r="F138" s="47" t="s">
        <v>59</v>
      </c>
      <c r="G138" s="62">
        <v>375.79999999999995</v>
      </c>
      <c r="H138" s="62">
        <v>12327.599999999999</v>
      </c>
      <c r="I138" s="49">
        <v>0</v>
      </c>
      <c r="J138" s="49">
        <v>0</v>
      </c>
      <c r="K138" s="49">
        <v>0</v>
      </c>
      <c r="L138" s="50">
        <v>0</v>
      </c>
      <c r="M138" s="51"/>
      <c r="N138" s="52" t="s">
        <v>1300</v>
      </c>
      <c r="O138" s="31"/>
      <c r="P138" s="53">
        <v>0</v>
      </c>
      <c r="Q138" s="54">
        <v>0</v>
      </c>
      <c r="R138" s="55">
        <v>0</v>
      </c>
      <c r="S138" s="55">
        <v>0</v>
      </c>
      <c r="T138" s="56">
        <v>0</v>
      </c>
      <c r="U138" s="57"/>
      <c r="V138" s="55">
        <v>0</v>
      </c>
      <c r="W138" s="55">
        <v>0</v>
      </c>
      <c r="X138" s="58">
        <v>0</v>
      </c>
      <c r="Y138" s="59">
        <v>0</v>
      </c>
      <c r="Z138" s="58">
        <v>0</v>
      </c>
      <c r="AA138" s="56">
        <v>0</v>
      </c>
      <c r="AB138" s="56">
        <v>0</v>
      </c>
      <c r="AC138" s="60">
        <v>46142</v>
      </c>
    </row>
    <row r="139" spans="1:30" x14ac:dyDescent="0.25">
      <c r="A139" s="43">
        <v>1003</v>
      </c>
      <c r="B139" s="44" t="s">
        <v>1285</v>
      </c>
      <c r="C139" s="45">
        <v>10030070</v>
      </c>
      <c r="D139" s="46" t="s">
        <v>505</v>
      </c>
      <c r="E139" s="47" t="s">
        <v>364</v>
      </c>
      <c r="F139" s="47" t="s">
        <v>58</v>
      </c>
      <c r="G139" s="62">
        <v>729.85</v>
      </c>
      <c r="H139" s="62">
        <v>29392.58</v>
      </c>
      <c r="I139" s="49">
        <v>0</v>
      </c>
      <c r="J139" s="49">
        <v>0</v>
      </c>
      <c r="K139" s="49">
        <v>0</v>
      </c>
      <c r="L139" s="50">
        <v>0</v>
      </c>
      <c r="M139" s="51"/>
      <c r="N139" s="52" t="s">
        <v>1300</v>
      </c>
      <c r="O139" s="31"/>
      <c r="P139" s="53">
        <v>-3.0170821819656777E-2</v>
      </c>
      <c r="Q139" s="54">
        <v>5</v>
      </c>
      <c r="R139" s="55">
        <v>0</v>
      </c>
      <c r="S139" s="55">
        <v>0</v>
      </c>
      <c r="T139" s="56">
        <v>0</v>
      </c>
      <c r="U139" s="57"/>
      <c r="V139" s="55">
        <v>0</v>
      </c>
      <c r="W139" s="55">
        <v>0</v>
      </c>
      <c r="X139" s="58">
        <v>0</v>
      </c>
      <c r="Y139" s="59">
        <v>0</v>
      </c>
      <c r="Z139" s="58">
        <v>0</v>
      </c>
      <c r="AA139" s="56">
        <v>0</v>
      </c>
      <c r="AB139" s="56">
        <v>0</v>
      </c>
      <c r="AC139" s="60">
        <v>46142</v>
      </c>
      <c r="AD139" s="61"/>
    </row>
    <row r="140" spans="1:30" x14ac:dyDescent="0.25">
      <c r="A140" s="43">
        <v>1003</v>
      </c>
      <c r="B140" s="44" t="s">
        <v>1285</v>
      </c>
      <c r="C140" s="45">
        <v>10030071</v>
      </c>
      <c r="D140" s="46" t="s">
        <v>506</v>
      </c>
      <c r="E140" s="47" t="s">
        <v>364</v>
      </c>
      <c r="F140" s="47" t="s">
        <v>58</v>
      </c>
      <c r="G140" s="62">
        <v>159.29999999999998</v>
      </c>
      <c r="H140" s="62">
        <v>6585.99</v>
      </c>
      <c r="I140" s="49">
        <v>0</v>
      </c>
      <c r="J140" s="49">
        <v>0</v>
      </c>
      <c r="K140" s="49">
        <v>0</v>
      </c>
      <c r="L140" s="50" t="s">
        <v>366</v>
      </c>
      <c r="M140" s="51" t="s">
        <v>367</v>
      </c>
      <c r="N140" s="52" t="s">
        <v>1300</v>
      </c>
      <c r="O140" s="31"/>
      <c r="P140" s="53">
        <v>-0.12869318939194876</v>
      </c>
      <c r="Q140" s="54">
        <v>7</v>
      </c>
      <c r="R140" s="55">
        <v>0</v>
      </c>
      <c r="S140" s="55">
        <v>0</v>
      </c>
      <c r="T140" s="56">
        <v>0</v>
      </c>
      <c r="U140" s="57"/>
      <c r="V140" s="55">
        <v>0</v>
      </c>
      <c r="W140" s="55">
        <v>0</v>
      </c>
      <c r="X140" s="58">
        <v>0</v>
      </c>
      <c r="Y140" s="59">
        <v>0</v>
      </c>
      <c r="Z140" s="58">
        <v>0</v>
      </c>
      <c r="AA140" s="56">
        <v>0</v>
      </c>
      <c r="AB140" s="56">
        <v>0</v>
      </c>
      <c r="AC140" s="60">
        <v>46142</v>
      </c>
    </row>
    <row r="141" spans="1:30" x14ac:dyDescent="0.25">
      <c r="A141" s="43">
        <v>1003</v>
      </c>
      <c r="B141" s="44" t="s">
        <v>1285</v>
      </c>
      <c r="C141" s="45">
        <v>10030072</v>
      </c>
      <c r="D141" s="46" t="s">
        <v>507</v>
      </c>
      <c r="E141" s="47" t="s">
        <v>364</v>
      </c>
      <c r="F141" s="47" t="s">
        <v>58</v>
      </c>
      <c r="G141" s="62">
        <v>1021.4499999999999</v>
      </c>
      <c r="H141" s="62">
        <v>38764.820000000007</v>
      </c>
      <c r="I141" s="49">
        <v>0</v>
      </c>
      <c r="J141" s="49">
        <v>0</v>
      </c>
      <c r="K141" s="49">
        <v>0</v>
      </c>
      <c r="L141" s="50">
        <v>0</v>
      </c>
      <c r="M141" s="51"/>
      <c r="N141" s="52" t="s">
        <v>1300</v>
      </c>
      <c r="O141" s="31"/>
      <c r="P141" s="53">
        <v>1.1411702348848727E-2</v>
      </c>
      <c r="Q141" s="54">
        <v>27</v>
      </c>
      <c r="R141" s="55">
        <v>0</v>
      </c>
      <c r="S141" s="55">
        <v>0</v>
      </c>
      <c r="T141" s="56">
        <v>0</v>
      </c>
      <c r="U141" s="57"/>
      <c r="V141" s="55">
        <v>0</v>
      </c>
      <c r="W141" s="55">
        <v>0</v>
      </c>
      <c r="X141" s="58">
        <v>0</v>
      </c>
      <c r="Y141" s="59">
        <v>0</v>
      </c>
      <c r="Z141" s="58">
        <v>0</v>
      </c>
      <c r="AA141" s="56">
        <v>0</v>
      </c>
      <c r="AB141" s="56">
        <v>0</v>
      </c>
      <c r="AC141" s="60">
        <v>46142</v>
      </c>
    </row>
    <row r="142" spans="1:30" x14ac:dyDescent="0.25">
      <c r="A142" s="43">
        <v>1003</v>
      </c>
      <c r="B142" s="44" t="s">
        <v>1285</v>
      </c>
      <c r="C142" s="45">
        <v>10030074</v>
      </c>
      <c r="D142" s="46" t="s">
        <v>508</v>
      </c>
      <c r="E142" s="47" t="s">
        <v>364</v>
      </c>
      <c r="F142" s="47" t="s">
        <v>58</v>
      </c>
      <c r="G142" s="62">
        <v>1317.8000000000002</v>
      </c>
      <c r="H142" s="62">
        <v>51949.159999999996</v>
      </c>
      <c r="I142" s="49">
        <v>0</v>
      </c>
      <c r="J142" s="49">
        <v>0</v>
      </c>
      <c r="K142" s="49">
        <v>0</v>
      </c>
      <c r="L142" s="50">
        <v>0</v>
      </c>
      <c r="M142" s="51"/>
      <c r="N142" s="52" t="s">
        <v>1300</v>
      </c>
      <c r="O142" s="31"/>
      <c r="P142" s="53">
        <v>-9.1032392229813769E-2</v>
      </c>
      <c r="Q142" s="54">
        <v>4</v>
      </c>
      <c r="R142" s="55">
        <v>0</v>
      </c>
      <c r="S142" s="55">
        <v>0</v>
      </c>
      <c r="T142" s="56">
        <v>0</v>
      </c>
      <c r="U142" s="57"/>
      <c r="V142" s="55">
        <v>0</v>
      </c>
      <c r="W142" s="55">
        <v>0</v>
      </c>
      <c r="X142" s="58">
        <v>0</v>
      </c>
      <c r="Y142" s="59">
        <v>0</v>
      </c>
      <c r="Z142" s="58">
        <v>0</v>
      </c>
      <c r="AA142" s="56">
        <v>0</v>
      </c>
      <c r="AB142" s="56">
        <v>0</v>
      </c>
      <c r="AC142" s="60">
        <v>46142</v>
      </c>
    </row>
    <row r="143" spans="1:30" x14ac:dyDescent="0.25">
      <c r="A143" s="43">
        <v>1003</v>
      </c>
      <c r="B143" s="44" t="s">
        <v>1285</v>
      </c>
      <c r="C143" s="45">
        <v>10030075</v>
      </c>
      <c r="D143" s="46" t="s">
        <v>509</v>
      </c>
      <c r="E143" s="47" t="s">
        <v>364</v>
      </c>
      <c r="F143" s="47" t="s">
        <v>58</v>
      </c>
      <c r="G143" s="62">
        <v>263.64999999999998</v>
      </c>
      <c r="H143" s="62">
        <v>10734.11</v>
      </c>
      <c r="I143" s="49">
        <v>0</v>
      </c>
      <c r="J143" s="49">
        <v>0</v>
      </c>
      <c r="K143" s="49">
        <v>0</v>
      </c>
      <c r="L143" s="50">
        <v>0</v>
      </c>
      <c r="M143" s="51"/>
      <c r="N143" s="52" t="s">
        <v>1300</v>
      </c>
      <c r="O143" s="31"/>
      <c r="P143" s="53">
        <v>-0.12701804864272312</v>
      </c>
      <c r="Q143" s="54">
        <v>3</v>
      </c>
      <c r="R143" s="55">
        <v>0</v>
      </c>
      <c r="S143" s="55">
        <v>0</v>
      </c>
      <c r="T143" s="56">
        <v>0</v>
      </c>
      <c r="U143" s="57"/>
      <c r="V143" s="55">
        <v>0</v>
      </c>
      <c r="W143" s="55">
        <v>0</v>
      </c>
      <c r="X143" s="58">
        <v>0</v>
      </c>
      <c r="Y143" s="59">
        <v>0</v>
      </c>
      <c r="Z143" s="58">
        <v>0</v>
      </c>
      <c r="AA143" s="56">
        <v>0</v>
      </c>
      <c r="AB143" s="56">
        <v>0</v>
      </c>
      <c r="AC143" s="60">
        <v>46142</v>
      </c>
    </row>
    <row r="144" spans="1:30" x14ac:dyDescent="0.25">
      <c r="A144" s="43">
        <v>1003</v>
      </c>
      <c r="B144" s="44" t="s">
        <v>1285</v>
      </c>
      <c r="C144" s="45">
        <v>10030077</v>
      </c>
      <c r="D144" s="46" t="s">
        <v>510</v>
      </c>
      <c r="E144" s="47" t="s">
        <v>371</v>
      </c>
      <c r="F144" s="47" t="s">
        <v>59</v>
      </c>
      <c r="G144" s="62">
        <v>260.34999999999997</v>
      </c>
      <c r="H144" s="62">
        <v>8897.0999999999985</v>
      </c>
      <c r="I144" s="49">
        <v>0</v>
      </c>
      <c r="J144" s="49">
        <v>0</v>
      </c>
      <c r="K144" s="49">
        <v>0</v>
      </c>
      <c r="L144" s="50">
        <v>0</v>
      </c>
      <c r="M144" s="51"/>
      <c r="N144" s="52" t="s">
        <v>1300</v>
      </c>
      <c r="O144" s="31"/>
      <c r="P144" s="53">
        <v>0</v>
      </c>
      <c r="Q144" s="54">
        <v>0</v>
      </c>
      <c r="R144" s="55">
        <v>0</v>
      </c>
      <c r="S144" s="55">
        <v>0</v>
      </c>
      <c r="T144" s="56">
        <v>0</v>
      </c>
      <c r="U144" s="57"/>
      <c r="V144" s="55">
        <v>0</v>
      </c>
      <c r="W144" s="55">
        <v>0</v>
      </c>
      <c r="X144" s="58">
        <v>0</v>
      </c>
      <c r="Y144" s="59">
        <v>0</v>
      </c>
      <c r="Z144" s="58">
        <v>0</v>
      </c>
      <c r="AA144" s="56">
        <v>0</v>
      </c>
      <c r="AB144" s="56">
        <v>0</v>
      </c>
      <c r="AC144" s="60">
        <v>46142</v>
      </c>
    </row>
    <row r="145" spans="1:30" x14ac:dyDescent="0.25">
      <c r="A145" s="43">
        <v>1003</v>
      </c>
      <c r="B145" s="44" t="s">
        <v>1285</v>
      </c>
      <c r="C145" s="45">
        <v>10030078</v>
      </c>
      <c r="D145" s="46" t="s">
        <v>511</v>
      </c>
      <c r="E145" s="47" t="s">
        <v>364</v>
      </c>
      <c r="F145" s="47" t="s">
        <v>58</v>
      </c>
      <c r="G145" s="62">
        <v>488.8</v>
      </c>
      <c r="H145" s="62">
        <v>17670.099999999999</v>
      </c>
      <c r="I145" s="49">
        <v>0</v>
      </c>
      <c r="J145" s="49">
        <v>0</v>
      </c>
      <c r="K145" s="49">
        <v>0</v>
      </c>
      <c r="L145" s="50">
        <v>0</v>
      </c>
      <c r="M145" s="51"/>
      <c r="N145" s="52" t="s">
        <v>1300</v>
      </c>
      <c r="O145" s="31"/>
      <c r="P145" s="53">
        <v>-0.14080797726105163</v>
      </c>
      <c r="Q145" s="54">
        <v>5</v>
      </c>
      <c r="R145" s="55">
        <v>0</v>
      </c>
      <c r="S145" s="55">
        <v>0</v>
      </c>
      <c r="T145" s="56">
        <v>0</v>
      </c>
      <c r="U145" s="57"/>
      <c r="V145" s="55">
        <v>0</v>
      </c>
      <c r="W145" s="55">
        <v>0</v>
      </c>
      <c r="X145" s="58">
        <v>0</v>
      </c>
      <c r="Y145" s="59">
        <v>0</v>
      </c>
      <c r="Z145" s="58">
        <v>0</v>
      </c>
      <c r="AA145" s="56">
        <v>0</v>
      </c>
      <c r="AB145" s="56">
        <v>0</v>
      </c>
      <c r="AC145" s="60">
        <v>46142</v>
      </c>
    </row>
    <row r="146" spans="1:30" x14ac:dyDescent="0.25">
      <c r="A146" s="43">
        <v>1003</v>
      </c>
      <c r="B146" s="44" t="s">
        <v>1285</v>
      </c>
      <c r="C146" s="45">
        <v>10030079</v>
      </c>
      <c r="D146" s="46" t="s">
        <v>512</v>
      </c>
      <c r="E146" s="47" t="s">
        <v>371</v>
      </c>
      <c r="F146" s="47" t="s">
        <v>59</v>
      </c>
      <c r="G146" s="62">
        <v>474.40000000000003</v>
      </c>
      <c r="H146" s="62">
        <v>16826.62</v>
      </c>
      <c r="I146" s="49">
        <v>0</v>
      </c>
      <c r="J146" s="49">
        <v>0</v>
      </c>
      <c r="K146" s="49">
        <v>0</v>
      </c>
      <c r="L146" s="50">
        <v>0</v>
      </c>
      <c r="M146" s="51"/>
      <c r="N146" s="52" t="s">
        <v>1300</v>
      </c>
      <c r="O146" s="31"/>
      <c r="P146" s="53">
        <v>0</v>
      </c>
      <c r="Q146" s="54">
        <v>0</v>
      </c>
      <c r="R146" s="55">
        <v>0</v>
      </c>
      <c r="S146" s="55">
        <v>0</v>
      </c>
      <c r="T146" s="56">
        <v>0</v>
      </c>
      <c r="U146" s="57"/>
      <c r="V146" s="55">
        <v>0</v>
      </c>
      <c r="W146" s="55">
        <v>0</v>
      </c>
      <c r="X146" s="58">
        <v>0</v>
      </c>
      <c r="Y146" s="59">
        <v>0</v>
      </c>
      <c r="Z146" s="58">
        <v>0</v>
      </c>
      <c r="AA146" s="56">
        <v>0</v>
      </c>
      <c r="AB146" s="56">
        <v>0</v>
      </c>
      <c r="AC146" s="60">
        <v>46142</v>
      </c>
    </row>
    <row r="147" spans="1:30" x14ac:dyDescent="0.25">
      <c r="A147" s="43">
        <v>1003</v>
      </c>
      <c r="B147" s="44" t="s">
        <v>1285</v>
      </c>
      <c r="C147" s="45">
        <v>10030080</v>
      </c>
      <c r="D147" s="46" t="s">
        <v>513</v>
      </c>
      <c r="E147" s="47" t="s">
        <v>364</v>
      </c>
      <c r="F147" s="47" t="s">
        <v>58</v>
      </c>
      <c r="G147" s="62">
        <v>772.75000000000011</v>
      </c>
      <c r="H147" s="62">
        <v>29677.649999999994</v>
      </c>
      <c r="I147" s="49">
        <v>0</v>
      </c>
      <c r="J147" s="49">
        <v>0</v>
      </c>
      <c r="K147" s="49">
        <v>0</v>
      </c>
      <c r="L147" s="50">
        <v>0</v>
      </c>
      <c r="M147" s="51"/>
      <c r="N147" s="52" t="s">
        <v>1300</v>
      </c>
      <c r="O147" s="31"/>
      <c r="P147" s="53">
        <v>-3.2871449633933422E-3</v>
      </c>
      <c r="Q147" s="54">
        <v>26</v>
      </c>
      <c r="R147" s="55">
        <v>0</v>
      </c>
      <c r="S147" s="55">
        <v>0</v>
      </c>
      <c r="T147" s="56">
        <v>0</v>
      </c>
      <c r="U147" s="57"/>
      <c r="V147" s="55">
        <v>0</v>
      </c>
      <c r="W147" s="55">
        <v>0</v>
      </c>
      <c r="X147" s="58">
        <v>0</v>
      </c>
      <c r="Y147" s="59">
        <v>0</v>
      </c>
      <c r="Z147" s="58">
        <v>0</v>
      </c>
      <c r="AA147" s="56">
        <v>0</v>
      </c>
      <c r="AB147" s="56">
        <v>0</v>
      </c>
      <c r="AC147" s="60">
        <v>46142</v>
      </c>
    </row>
    <row r="148" spans="1:30" x14ac:dyDescent="0.25">
      <c r="A148" s="43">
        <v>1003</v>
      </c>
      <c r="B148" s="44" t="s">
        <v>1285</v>
      </c>
      <c r="C148" s="45">
        <v>10030081</v>
      </c>
      <c r="D148" s="46" t="s">
        <v>514</v>
      </c>
      <c r="E148" s="47" t="s">
        <v>371</v>
      </c>
      <c r="F148" s="47" t="s">
        <v>59</v>
      </c>
      <c r="G148" s="62">
        <v>212.35000000000002</v>
      </c>
      <c r="H148" s="62">
        <v>7349.45</v>
      </c>
      <c r="I148" s="49">
        <v>0</v>
      </c>
      <c r="J148" s="49">
        <v>0</v>
      </c>
      <c r="K148" s="49">
        <v>0</v>
      </c>
      <c r="L148" s="50">
        <v>0</v>
      </c>
      <c r="M148" s="51"/>
      <c r="N148" s="52" t="s">
        <v>1300</v>
      </c>
      <c r="O148" s="31"/>
      <c r="P148" s="53">
        <v>0</v>
      </c>
      <c r="Q148" s="54">
        <v>0</v>
      </c>
      <c r="R148" s="55">
        <v>0</v>
      </c>
      <c r="S148" s="55">
        <v>0</v>
      </c>
      <c r="T148" s="56">
        <v>0</v>
      </c>
      <c r="U148" s="57"/>
      <c r="V148" s="55">
        <v>0</v>
      </c>
      <c r="W148" s="55">
        <v>0</v>
      </c>
      <c r="X148" s="58">
        <v>0</v>
      </c>
      <c r="Y148" s="59">
        <v>0</v>
      </c>
      <c r="Z148" s="58">
        <v>0</v>
      </c>
      <c r="AA148" s="56">
        <v>0</v>
      </c>
      <c r="AB148" s="56">
        <v>0</v>
      </c>
      <c r="AC148" s="60">
        <v>46142</v>
      </c>
    </row>
    <row r="149" spans="1:30" x14ac:dyDescent="0.25">
      <c r="A149" s="43">
        <v>1003</v>
      </c>
      <c r="B149" s="44" t="s">
        <v>1285</v>
      </c>
      <c r="C149" s="45">
        <v>10030082</v>
      </c>
      <c r="D149" s="46" t="s">
        <v>515</v>
      </c>
      <c r="E149" s="47" t="s">
        <v>364</v>
      </c>
      <c r="F149" s="47" t="s">
        <v>58</v>
      </c>
      <c r="G149" s="62">
        <v>170.85</v>
      </c>
      <c r="H149" s="62">
        <v>6055</v>
      </c>
      <c r="I149" s="49">
        <v>0</v>
      </c>
      <c r="J149" s="49">
        <v>0</v>
      </c>
      <c r="K149" s="49">
        <v>0</v>
      </c>
      <c r="L149" s="50">
        <v>0</v>
      </c>
      <c r="M149" s="51"/>
      <c r="N149" s="52" t="s">
        <v>1300</v>
      </c>
      <c r="O149" s="31"/>
      <c r="P149" s="53">
        <v>-0.1490527186380185</v>
      </c>
      <c r="Q149" s="54">
        <v>1</v>
      </c>
      <c r="R149" s="55">
        <v>0</v>
      </c>
      <c r="S149" s="55">
        <v>0</v>
      </c>
      <c r="T149" s="56">
        <v>0</v>
      </c>
      <c r="U149" s="57"/>
      <c r="V149" s="55">
        <v>0</v>
      </c>
      <c r="W149" s="55">
        <v>0</v>
      </c>
      <c r="X149" s="58">
        <v>0</v>
      </c>
      <c r="Y149" s="59">
        <v>0</v>
      </c>
      <c r="Z149" s="58">
        <v>0</v>
      </c>
      <c r="AA149" s="56">
        <v>0</v>
      </c>
      <c r="AB149" s="56">
        <v>0</v>
      </c>
      <c r="AC149" s="60">
        <v>46142</v>
      </c>
    </row>
    <row r="150" spans="1:30" x14ac:dyDescent="0.25">
      <c r="A150" s="43">
        <v>1003</v>
      </c>
      <c r="B150" s="44" t="s">
        <v>1285</v>
      </c>
      <c r="C150" s="45">
        <v>10030084</v>
      </c>
      <c r="D150" s="46" t="s">
        <v>516</v>
      </c>
      <c r="E150" s="47" t="s">
        <v>364</v>
      </c>
      <c r="F150" s="47" t="s">
        <v>58</v>
      </c>
      <c r="G150" s="62">
        <v>200.10000000000002</v>
      </c>
      <c r="H150" s="62">
        <v>6476.2900000000018</v>
      </c>
      <c r="I150" s="49">
        <v>0</v>
      </c>
      <c r="J150" s="49">
        <v>0</v>
      </c>
      <c r="K150" s="49">
        <v>0</v>
      </c>
      <c r="L150" s="50">
        <v>0</v>
      </c>
      <c r="M150" s="51"/>
      <c r="N150" s="52" t="s">
        <v>1300</v>
      </c>
      <c r="O150" s="31"/>
      <c r="P150" s="53">
        <v>-2.72841518832538E-2</v>
      </c>
      <c r="Q150" s="54">
        <v>1</v>
      </c>
      <c r="R150" s="55">
        <v>0</v>
      </c>
      <c r="S150" s="55">
        <v>0</v>
      </c>
      <c r="T150" s="56">
        <v>0</v>
      </c>
      <c r="U150" s="57"/>
      <c r="V150" s="55">
        <v>0</v>
      </c>
      <c r="W150" s="55">
        <v>0</v>
      </c>
      <c r="X150" s="58">
        <v>0</v>
      </c>
      <c r="Y150" s="59">
        <v>0</v>
      </c>
      <c r="Z150" s="58">
        <v>0</v>
      </c>
      <c r="AA150" s="56">
        <v>0</v>
      </c>
      <c r="AB150" s="56">
        <v>0</v>
      </c>
      <c r="AC150" s="60">
        <v>46142</v>
      </c>
    </row>
    <row r="151" spans="1:30" x14ac:dyDescent="0.25">
      <c r="A151" s="43">
        <v>1003</v>
      </c>
      <c r="B151" s="44" t="s">
        <v>1285</v>
      </c>
      <c r="C151" s="45">
        <v>10030085</v>
      </c>
      <c r="D151" s="46" t="s">
        <v>517</v>
      </c>
      <c r="E151" s="47" t="s">
        <v>364</v>
      </c>
      <c r="F151" s="47" t="s">
        <v>58</v>
      </c>
      <c r="G151" s="62">
        <v>392.7</v>
      </c>
      <c r="H151" s="62">
        <v>14514.520000000004</v>
      </c>
      <c r="I151" s="49">
        <v>0</v>
      </c>
      <c r="J151" s="49">
        <v>0</v>
      </c>
      <c r="K151" s="49">
        <v>0</v>
      </c>
      <c r="L151" s="50">
        <v>0</v>
      </c>
      <c r="M151" s="51"/>
      <c r="N151" s="52" t="s">
        <v>1300</v>
      </c>
      <c r="O151" s="31"/>
      <c r="P151" s="53">
        <v>-1.70469822109154E-3</v>
      </c>
      <c r="Q151" s="54">
        <v>1</v>
      </c>
      <c r="R151" s="55">
        <v>0</v>
      </c>
      <c r="S151" s="55">
        <v>0</v>
      </c>
      <c r="T151" s="56">
        <v>0</v>
      </c>
      <c r="U151" s="57"/>
      <c r="V151" s="55">
        <v>0</v>
      </c>
      <c r="W151" s="55">
        <v>0</v>
      </c>
      <c r="X151" s="58">
        <v>0</v>
      </c>
      <c r="Y151" s="59">
        <v>0</v>
      </c>
      <c r="Z151" s="58">
        <v>0</v>
      </c>
      <c r="AA151" s="56">
        <v>0</v>
      </c>
      <c r="AB151" s="56">
        <v>0</v>
      </c>
      <c r="AC151" s="60">
        <v>46142</v>
      </c>
    </row>
    <row r="152" spans="1:30" x14ac:dyDescent="0.25">
      <c r="A152" s="43">
        <v>1003</v>
      </c>
      <c r="B152" s="44" t="s">
        <v>1285</v>
      </c>
      <c r="C152" s="45">
        <v>10030086</v>
      </c>
      <c r="D152" s="46" t="s">
        <v>518</v>
      </c>
      <c r="E152" s="47" t="s">
        <v>364</v>
      </c>
      <c r="F152" s="47" t="s">
        <v>58</v>
      </c>
      <c r="G152" s="62">
        <v>2.5499999999999998</v>
      </c>
      <c r="H152" s="62">
        <v>96.95</v>
      </c>
      <c r="I152" s="49">
        <v>0</v>
      </c>
      <c r="J152" s="49">
        <v>0</v>
      </c>
      <c r="K152" s="49">
        <v>0</v>
      </c>
      <c r="L152" s="50">
        <v>0</v>
      </c>
      <c r="M152" s="51"/>
      <c r="N152" s="52" t="s">
        <v>1300</v>
      </c>
      <c r="O152" s="31"/>
      <c r="P152" s="53">
        <v>-5.5887550568334214E-2</v>
      </c>
      <c r="Q152" s="54">
        <v>1</v>
      </c>
      <c r="R152" s="55">
        <v>0</v>
      </c>
      <c r="S152" s="55">
        <v>0</v>
      </c>
      <c r="T152" s="56">
        <v>0</v>
      </c>
      <c r="U152" s="57"/>
      <c r="V152" s="55">
        <v>0</v>
      </c>
      <c r="W152" s="55">
        <v>0</v>
      </c>
      <c r="X152" s="58">
        <v>0</v>
      </c>
      <c r="Y152" s="59">
        <v>0</v>
      </c>
      <c r="Z152" s="58">
        <v>0</v>
      </c>
      <c r="AA152" s="56">
        <v>0</v>
      </c>
      <c r="AB152" s="56">
        <v>0</v>
      </c>
      <c r="AC152" s="60">
        <v>46142</v>
      </c>
    </row>
    <row r="153" spans="1:30" x14ac:dyDescent="0.25">
      <c r="A153" s="43">
        <v>1003</v>
      </c>
      <c r="B153" s="44" t="s">
        <v>1285</v>
      </c>
      <c r="C153" s="45">
        <v>10030087</v>
      </c>
      <c r="D153" s="46" t="s">
        <v>519</v>
      </c>
      <c r="E153" s="47" t="s">
        <v>364</v>
      </c>
      <c r="F153" s="47" t="s">
        <v>58</v>
      </c>
      <c r="G153" s="62">
        <v>172.10000000000002</v>
      </c>
      <c r="H153" s="62">
        <v>6410.47</v>
      </c>
      <c r="I153" s="49">
        <v>0</v>
      </c>
      <c r="J153" s="49">
        <v>0</v>
      </c>
      <c r="K153" s="49">
        <v>0</v>
      </c>
      <c r="L153" s="50">
        <v>0</v>
      </c>
      <c r="M153" s="51"/>
      <c r="N153" s="52" t="s">
        <v>1300</v>
      </c>
      <c r="O153" s="31"/>
      <c r="P153" s="53">
        <v>-1.1776858795064286E-3</v>
      </c>
      <c r="Q153" s="54">
        <v>1</v>
      </c>
      <c r="R153" s="55">
        <v>0</v>
      </c>
      <c r="S153" s="55">
        <v>0</v>
      </c>
      <c r="T153" s="56">
        <v>0</v>
      </c>
      <c r="U153" s="57"/>
      <c r="V153" s="55">
        <v>0</v>
      </c>
      <c r="W153" s="55">
        <v>0</v>
      </c>
      <c r="X153" s="58">
        <v>0</v>
      </c>
      <c r="Y153" s="59">
        <v>0</v>
      </c>
      <c r="Z153" s="58">
        <v>0</v>
      </c>
      <c r="AA153" s="56">
        <v>0</v>
      </c>
      <c r="AB153" s="56">
        <v>0</v>
      </c>
      <c r="AC153" s="60">
        <v>46142</v>
      </c>
    </row>
    <row r="154" spans="1:30" x14ac:dyDescent="0.25">
      <c r="A154" s="43">
        <v>1003</v>
      </c>
      <c r="B154" s="44" t="s">
        <v>1285</v>
      </c>
      <c r="C154" s="45">
        <v>10030088</v>
      </c>
      <c r="D154" s="46" t="s">
        <v>520</v>
      </c>
      <c r="E154" s="47" t="s">
        <v>364</v>
      </c>
      <c r="F154" s="47" t="s">
        <v>58</v>
      </c>
      <c r="G154" s="62">
        <v>204.64999999999998</v>
      </c>
      <c r="H154" s="62">
        <v>7809.3400000000011</v>
      </c>
      <c r="I154" s="49">
        <v>0</v>
      </c>
      <c r="J154" s="49">
        <v>0</v>
      </c>
      <c r="K154" s="49">
        <v>0</v>
      </c>
      <c r="L154" s="50">
        <v>0</v>
      </c>
      <c r="M154" s="51"/>
      <c r="N154" s="52" t="s">
        <v>1300</v>
      </c>
      <c r="O154" s="31"/>
      <c r="P154" s="53">
        <v>-1.0750480322280844E-2</v>
      </c>
      <c r="Q154" s="54">
        <v>1</v>
      </c>
      <c r="R154" s="55">
        <v>0</v>
      </c>
      <c r="S154" s="55">
        <v>0</v>
      </c>
      <c r="T154" s="56">
        <v>0</v>
      </c>
      <c r="U154" s="57"/>
      <c r="V154" s="55">
        <v>0</v>
      </c>
      <c r="W154" s="55">
        <v>0</v>
      </c>
      <c r="X154" s="58">
        <v>0</v>
      </c>
      <c r="Y154" s="59">
        <v>0</v>
      </c>
      <c r="Z154" s="58">
        <v>0</v>
      </c>
      <c r="AA154" s="56">
        <v>0</v>
      </c>
      <c r="AB154" s="56">
        <v>0</v>
      </c>
      <c r="AC154" s="60">
        <v>46142</v>
      </c>
    </row>
    <row r="155" spans="1:30" x14ac:dyDescent="0.25">
      <c r="A155" s="43">
        <v>1003</v>
      </c>
      <c r="B155" s="44" t="s">
        <v>1285</v>
      </c>
      <c r="C155" s="45">
        <v>10030089</v>
      </c>
      <c r="D155" s="46" t="s">
        <v>521</v>
      </c>
      <c r="E155" s="47" t="s">
        <v>364</v>
      </c>
      <c r="F155" s="47" t="s">
        <v>58</v>
      </c>
      <c r="G155" s="62">
        <v>457.05</v>
      </c>
      <c r="H155" s="62">
        <v>18585.54</v>
      </c>
      <c r="I155" s="49">
        <v>0</v>
      </c>
      <c r="J155" s="49">
        <v>0</v>
      </c>
      <c r="K155" s="49">
        <v>0</v>
      </c>
      <c r="L155" s="50">
        <v>0</v>
      </c>
      <c r="M155" s="51"/>
      <c r="N155" s="52" t="s">
        <v>1300</v>
      </c>
      <c r="O155" s="31"/>
      <c r="P155" s="53">
        <v>2.0983226472893201E-2</v>
      </c>
      <c r="Q155" s="54">
        <v>1</v>
      </c>
      <c r="R155" s="55">
        <v>0</v>
      </c>
      <c r="S155" s="55">
        <v>0</v>
      </c>
      <c r="T155" s="56">
        <v>0</v>
      </c>
      <c r="U155" s="57"/>
      <c r="V155" s="55">
        <v>0</v>
      </c>
      <c r="W155" s="55">
        <v>0</v>
      </c>
      <c r="X155" s="58">
        <v>0</v>
      </c>
      <c r="Y155" s="59">
        <v>0</v>
      </c>
      <c r="Z155" s="58">
        <v>0</v>
      </c>
      <c r="AA155" s="56">
        <v>0</v>
      </c>
      <c r="AB155" s="56">
        <v>0</v>
      </c>
      <c r="AC155" s="60">
        <v>46142</v>
      </c>
      <c r="AD155" s="61"/>
    </row>
    <row r="156" spans="1:30" x14ac:dyDescent="0.25">
      <c r="A156" s="43">
        <v>1003</v>
      </c>
      <c r="B156" s="44" t="s">
        <v>1285</v>
      </c>
      <c r="C156" s="45">
        <v>10030090</v>
      </c>
      <c r="D156" s="46" t="s">
        <v>522</v>
      </c>
      <c r="E156" s="47" t="s">
        <v>364</v>
      </c>
      <c r="F156" s="47" t="s">
        <v>58</v>
      </c>
      <c r="G156" s="62">
        <v>38.6</v>
      </c>
      <c r="H156" s="62">
        <v>1365.6399999999999</v>
      </c>
      <c r="I156" s="49">
        <v>0</v>
      </c>
      <c r="J156" s="49">
        <v>0</v>
      </c>
      <c r="K156" s="49">
        <v>0</v>
      </c>
      <c r="L156" s="50">
        <v>0</v>
      </c>
      <c r="M156" s="51"/>
      <c r="N156" s="52" t="s">
        <v>1300</v>
      </c>
      <c r="O156" s="31"/>
      <c r="P156" s="53">
        <v>1.9009744073108466E-2</v>
      </c>
      <c r="Q156" s="54">
        <v>1</v>
      </c>
      <c r="R156" s="55">
        <v>0</v>
      </c>
      <c r="S156" s="55">
        <v>0</v>
      </c>
      <c r="T156" s="56">
        <v>0</v>
      </c>
      <c r="U156" s="57"/>
      <c r="V156" s="55">
        <v>0</v>
      </c>
      <c r="W156" s="55">
        <v>0</v>
      </c>
      <c r="X156" s="58">
        <v>0</v>
      </c>
      <c r="Y156" s="59">
        <v>0</v>
      </c>
      <c r="Z156" s="58">
        <v>0</v>
      </c>
      <c r="AA156" s="56">
        <v>0</v>
      </c>
      <c r="AB156" s="56">
        <v>0</v>
      </c>
      <c r="AC156" s="60">
        <v>46142</v>
      </c>
    </row>
    <row r="157" spans="1:30" x14ac:dyDescent="0.25">
      <c r="A157" s="43">
        <v>1004</v>
      </c>
      <c r="B157" s="44" t="s">
        <v>1286</v>
      </c>
      <c r="C157" s="45">
        <v>10040001</v>
      </c>
      <c r="D157" s="46" t="s">
        <v>523</v>
      </c>
      <c r="E157" s="47" t="s">
        <v>371</v>
      </c>
      <c r="F157" s="47" t="s">
        <v>59</v>
      </c>
      <c r="G157" s="62">
        <v>436.9</v>
      </c>
      <c r="H157" s="62">
        <v>15627.91</v>
      </c>
      <c r="I157" s="49">
        <v>0</v>
      </c>
      <c r="J157" s="49">
        <v>0</v>
      </c>
      <c r="K157" s="49">
        <v>0</v>
      </c>
      <c r="L157" s="50">
        <v>0</v>
      </c>
      <c r="M157" s="51"/>
      <c r="N157" s="52" t="s">
        <v>1300</v>
      </c>
      <c r="O157" s="31"/>
      <c r="P157" s="53">
        <v>0</v>
      </c>
      <c r="Q157" s="54">
        <v>0</v>
      </c>
      <c r="R157" s="55">
        <v>0</v>
      </c>
      <c r="S157" s="55">
        <v>0</v>
      </c>
      <c r="T157" s="56">
        <v>0</v>
      </c>
      <c r="U157" s="57"/>
      <c r="V157" s="55">
        <v>0</v>
      </c>
      <c r="W157" s="55">
        <v>0</v>
      </c>
      <c r="X157" s="58">
        <v>0</v>
      </c>
      <c r="Y157" s="59">
        <v>0</v>
      </c>
      <c r="Z157" s="58">
        <v>0</v>
      </c>
      <c r="AA157" s="56">
        <v>0</v>
      </c>
      <c r="AB157" s="56">
        <v>0</v>
      </c>
      <c r="AC157" s="60">
        <v>46142</v>
      </c>
    </row>
    <row r="158" spans="1:30" x14ac:dyDescent="0.25">
      <c r="A158" s="43">
        <v>1006</v>
      </c>
      <c r="B158" s="44" t="s">
        <v>1287</v>
      </c>
      <c r="C158" s="45">
        <v>10060002</v>
      </c>
      <c r="D158" s="46" t="s">
        <v>524</v>
      </c>
      <c r="E158" s="47" t="s">
        <v>371</v>
      </c>
      <c r="F158" s="47" t="s">
        <v>59</v>
      </c>
      <c r="G158" s="62">
        <v>1517.6</v>
      </c>
      <c r="H158" s="62">
        <v>57313.330000000009</v>
      </c>
      <c r="I158" s="49">
        <v>0</v>
      </c>
      <c r="J158" s="49">
        <v>0</v>
      </c>
      <c r="K158" s="49">
        <v>0</v>
      </c>
      <c r="L158" s="50">
        <v>0</v>
      </c>
      <c r="M158" s="51"/>
      <c r="N158" s="52" t="s">
        <v>1300</v>
      </c>
      <c r="O158" s="31"/>
      <c r="P158" s="53">
        <v>0</v>
      </c>
      <c r="Q158" s="54">
        <v>0</v>
      </c>
      <c r="R158" s="55">
        <v>0</v>
      </c>
      <c r="S158" s="55">
        <v>0</v>
      </c>
      <c r="T158" s="56">
        <v>0</v>
      </c>
      <c r="U158" s="57"/>
      <c r="V158" s="55">
        <v>0</v>
      </c>
      <c r="W158" s="55">
        <v>0</v>
      </c>
      <c r="X158" s="58">
        <v>0</v>
      </c>
      <c r="Y158" s="59">
        <v>0</v>
      </c>
      <c r="Z158" s="58">
        <v>0</v>
      </c>
      <c r="AA158" s="56">
        <v>0</v>
      </c>
      <c r="AB158" s="56">
        <v>0</v>
      </c>
      <c r="AC158" s="60">
        <v>46142</v>
      </c>
    </row>
    <row r="159" spans="1:30" x14ac:dyDescent="0.25">
      <c r="A159" s="43">
        <v>1006</v>
      </c>
      <c r="B159" s="44" t="s">
        <v>1287</v>
      </c>
      <c r="C159" s="45">
        <v>10060003</v>
      </c>
      <c r="D159" s="46" t="s">
        <v>525</v>
      </c>
      <c r="E159" s="47" t="s">
        <v>371</v>
      </c>
      <c r="F159" s="47" t="s">
        <v>59</v>
      </c>
      <c r="G159" s="62">
        <v>1674.2999999999997</v>
      </c>
      <c r="H159" s="62">
        <v>61466.44</v>
      </c>
      <c r="I159" s="49">
        <v>0</v>
      </c>
      <c r="J159" s="49">
        <v>0</v>
      </c>
      <c r="K159" s="49">
        <v>0</v>
      </c>
      <c r="L159" s="50">
        <v>0</v>
      </c>
      <c r="M159" s="51"/>
      <c r="N159" s="52" t="s">
        <v>1300</v>
      </c>
      <c r="O159" s="31"/>
      <c r="P159" s="53">
        <v>0</v>
      </c>
      <c r="Q159" s="54">
        <v>0</v>
      </c>
      <c r="R159" s="55">
        <v>0</v>
      </c>
      <c r="S159" s="55">
        <v>0</v>
      </c>
      <c r="T159" s="56">
        <v>0</v>
      </c>
      <c r="U159" s="57"/>
      <c r="V159" s="55">
        <v>0</v>
      </c>
      <c r="W159" s="55">
        <v>0</v>
      </c>
      <c r="X159" s="58">
        <v>0</v>
      </c>
      <c r="Y159" s="59">
        <v>0</v>
      </c>
      <c r="Z159" s="58">
        <v>0</v>
      </c>
      <c r="AA159" s="56">
        <v>0</v>
      </c>
      <c r="AB159" s="56">
        <v>0</v>
      </c>
      <c r="AC159" s="60">
        <v>46142</v>
      </c>
    </row>
    <row r="160" spans="1:30" x14ac:dyDescent="0.25">
      <c r="A160" s="43">
        <v>1006</v>
      </c>
      <c r="B160" s="44" t="s">
        <v>1287</v>
      </c>
      <c r="C160" s="45">
        <v>10060004</v>
      </c>
      <c r="D160" s="46" t="s">
        <v>526</v>
      </c>
      <c r="E160" s="47" t="s">
        <v>371</v>
      </c>
      <c r="F160" s="47" t="s">
        <v>59</v>
      </c>
      <c r="G160" s="62">
        <v>2910.4999999999995</v>
      </c>
      <c r="H160" s="62">
        <v>110330.23999999999</v>
      </c>
      <c r="I160" s="49">
        <v>0</v>
      </c>
      <c r="J160" s="49">
        <v>6500</v>
      </c>
      <c r="K160" s="49">
        <v>0</v>
      </c>
      <c r="L160" s="50">
        <v>0</v>
      </c>
      <c r="M160" s="51"/>
      <c r="N160" s="52" t="s">
        <v>1300</v>
      </c>
      <c r="O160" s="31"/>
      <c r="P160" s="53">
        <v>0</v>
      </c>
      <c r="Q160" s="54">
        <v>0</v>
      </c>
      <c r="R160" s="55">
        <v>6500</v>
      </c>
      <c r="S160" s="55">
        <v>6500</v>
      </c>
      <c r="T160" s="56">
        <v>0</v>
      </c>
      <c r="U160" s="57"/>
      <c r="V160" s="55">
        <v>0</v>
      </c>
      <c r="W160" s="55">
        <v>0</v>
      </c>
      <c r="X160" s="58">
        <v>0</v>
      </c>
      <c r="Y160" s="59">
        <v>0</v>
      </c>
      <c r="Z160" s="58">
        <v>0</v>
      </c>
      <c r="AA160" s="56">
        <v>0</v>
      </c>
      <c r="AB160" s="56">
        <v>0</v>
      </c>
      <c r="AC160" s="60">
        <v>46142</v>
      </c>
      <c r="AD160" s="61"/>
    </row>
    <row r="161" spans="1:30" x14ac:dyDescent="0.25">
      <c r="A161" s="43">
        <v>1006</v>
      </c>
      <c r="B161" s="44" t="s">
        <v>1287</v>
      </c>
      <c r="C161" s="45">
        <v>10060005</v>
      </c>
      <c r="D161" s="46" t="s">
        <v>527</v>
      </c>
      <c r="E161" s="47" t="s">
        <v>371</v>
      </c>
      <c r="F161" s="47" t="s">
        <v>59</v>
      </c>
      <c r="G161" s="62">
        <v>1184.7</v>
      </c>
      <c r="H161" s="62">
        <v>45037.999999999993</v>
      </c>
      <c r="I161" s="49">
        <v>0</v>
      </c>
      <c r="J161" s="49">
        <v>0</v>
      </c>
      <c r="K161" s="49">
        <v>0</v>
      </c>
      <c r="L161" s="50">
        <v>0</v>
      </c>
      <c r="M161" s="51"/>
      <c r="N161" s="52" t="s">
        <v>1300</v>
      </c>
      <c r="O161" s="31"/>
      <c r="P161" s="53">
        <v>0</v>
      </c>
      <c r="Q161" s="54">
        <v>0</v>
      </c>
      <c r="R161" s="55">
        <v>0</v>
      </c>
      <c r="S161" s="55">
        <v>0</v>
      </c>
      <c r="T161" s="56">
        <v>0</v>
      </c>
      <c r="U161" s="57"/>
      <c r="V161" s="55">
        <v>0</v>
      </c>
      <c r="W161" s="55">
        <v>0</v>
      </c>
      <c r="X161" s="58">
        <v>0</v>
      </c>
      <c r="Y161" s="59">
        <v>0</v>
      </c>
      <c r="Z161" s="58">
        <v>0</v>
      </c>
      <c r="AA161" s="56">
        <v>0</v>
      </c>
      <c r="AB161" s="56">
        <v>0</v>
      </c>
      <c r="AC161" s="60">
        <v>46142</v>
      </c>
    </row>
    <row r="162" spans="1:30" x14ac:dyDescent="0.25">
      <c r="A162" s="43">
        <v>1006</v>
      </c>
      <c r="B162" s="44" t="s">
        <v>1287</v>
      </c>
      <c r="C162" s="45">
        <v>10060007</v>
      </c>
      <c r="D162" s="46" t="s">
        <v>528</v>
      </c>
      <c r="E162" s="47" t="s">
        <v>371</v>
      </c>
      <c r="F162" s="47" t="s">
        <v>59</v>
      </c>
      <c r="G162" s="62">
        <v>516.99999999999989</v>
      </c>
      <c r="H162" s="62">
        <v>18950.48</v>
      </c>
      <c r="I162" s="49">
        <v>0</v>
      </c>
      <c r="J162" s="49">
        <v>0</v>
      </c>
      <c r="K162" s="49">
        <v>829.90023870967639</v>
      </c>
      <c r="L162" s="50">
        <v>0</v>
      </c>
      <c r="M162" s="51"/>
      <c r="N162" s="52" t="s">
        <v>1300</v>
      </c>
      <c r="O162" s="31"/>
      <c r="P162" s="53">
        <v>0</v>
      </c>
      <c r="Q162" s="54">
        <v>0</v>
      </c>
      <c r="R162" s="55">
        <v>0</v>
      </c>
      <c r="S162" s="55">
        <v>0</v>
      </c>
      <c r="T162" s="56">
        <v>0</v>
      </c>
      <c r="U162" s="57"/>
      <c r="V162" s="55">
        <v>829.90023870967639</v>
      </c>
      <c r="W162" s="55">
        <v>0</v>
      </c>
      <c r="X162" s="58">
        <v>0</v>
      </c>
      <c r="Y162" s="59">
        <v>829.90023870967639</v>
      </c>
      <c r="Z162" s="58">
        <v>829.90023870967639</v>
      </c>
      <c r="AA162" s="56">
        <v>0</v>
      </c>
      <c r="AB162" s="56">
        <v>0</v>
      </c>
      <c r="AC162" s="60">
        <v>46142</v>
      </c>
    </row>
    <row r="163" spans="1:30" x14ac:dyDescent="0.25">
      <c r="A163" s="43">
        <v>1006</v>
      </c>
      <c r="B163" s="44" t="s">
        <v>1287</v>
      </c>
      <c r="C163" s="45">
        <v>10060008</v>
      </c>
      <c r="D163" s="46" t="s">
        <v>529</v>
      </c>
      <c r="E163" s="47" t="s">
        <v>371</v>
      </c>
      <c r="F163" s="47" t="s">
        <v>59</v>
      </c>
      <c r="G163" s="62">
        <v>462.59999999999997</v>
      </c>
      <c r="H163" s="62">
        <v>16862.989999999998</v>
      </c>
      <c r="I163" s="49">
        <v>0</v>
      </c>
      <c r="J163" s="49">
        <v>0</v>
      </c>
      <c r="K163" s="49">
        <v>0</v>
      </c>
      <c r="L163" s="50">
        <v>0</v>
      </c>
      <c r="M163" s="51"/>
      <c r="N163" s="52" t="s">
        <v>1300</v>
      </c>
      <c r="O163" s="31"/>
      <c r="P163" s="53">
        <v>0</v>
      </c>
      <c r="Q163" s="54">
        <v>0</v>
      </c>
      <c r="R163" s="55">
        <v>0</v>
      </c>
      <c r="S163" s="55">
        <v>0</v>
      </c>
      <c r="T163" s="56">
        <v>0</v>
      </c>
      <c r="U163" s="57"/>
      <c r="V163" s="55">
        <v>0</v>
      </c>
      <c r="W163" s="55">
        <v>0</v>
      </c>
      <c r="X163" s="58">
        <v>0</v>
      </c>
      <c r="Y163" s="59">
        <v>0</v>
      </c>
      <c r="Z163" s="58">
        <v>0</v>
      </c>
      <c r="AA163" s="56">
        <v>0</v>
      </c>
      <c r="AB163" s="56">
        <v>0</v>
      </c>
      <c r="AC163" s="60">
        <v>46142</v>
      </c>
      <c r="AD163" s="61"/>
    </row>
    <row r="164" spans="1:30" x14ac:dyDescent="0.25">
      <c r="A164" s="43">
        <v>1006</v>
      </c>
      <c r="B164" s="44" t="s">
        <v>1287</v>
      </c>
      <c r="C164" s="45">
        <v>10060009</v>
      </c>
      <c r="D164" s="46" t="s">
        <v>530</v>
      </c>
      <c r="E164" s="47" t="s">
        <v>371</v>
      </c>
      <c r="F164" s="47" t="s">
        <v>59</v>
      </c>
      <c r="G164" s="62">
        <v>1857.3000000000002</v>
      </c>
      <c r="H164" s="62">
        <v>73698.3</v>
      </c>
      <c r="I164" s="49">
        <v>0</v>
      </c>
      <c r="J164" s="49">
        <v>23000</v>
      </c>
      <c r="K164" s="49">
        <v>0</v>
      </c>
      <c r="L164" s="50">
        <v>0</v>
      </c>
      <c r="M164" s="51"/>
      <c r="N164" s="52" t="s">
        <v>1300</v>
      </c>
      <c r="O164" s="31"/>
      <c r="P164" s="53">
        <v>0</v>
      </c>
      <c r="Q164" s="54">
        <v>0</v>
      </c>
      <c r="R164" s="55">
        <v>23000</v>
      </c>
      <c r="S164" s="55">
        <v>23000</v>
      </c>
      <c r="T164" s="56">
        <v>0</v>
      </c>
      <c r="U164" s="57"/>
      <c r="V164" s="55">
        <v>0</v>
      </c>
      <c r="W164" s="55">
        <v>0</v>
      </c>
      <c r="X164" s="58">
        <v>0</v>
      </c>
      <c r="Y164" s="59">
        <v>0</v>
      </c>
      <c r="Z164" s="58">
        <v>0</v>
      </c>
      <c r="AA164" s="56">
        <v>0</v>
      </c>
      <c r="AB164" s="56">
        <v>0</v>
      </c>
      <c r="AC164" s="60">
        <v>46142</v>
      </c>
      <c r="AD164" s="61"/>
    </row>
    <row r="165" spans="1:30" x14ac:dyDescent="0.25">
      <c r="A165" s="43">
        <v>1006</v>
      </c>
      <c r="B165" s="44" t="s">
        <v>1287</v>
      </c>
      <c r="C165" s="45">
        <v>10060010</v>
      </c>
      <c r="D165" s="46" t="s">
        <v>531</v>
      </c>
      <c r="E165" s="47" t="s">
        <v>371</v>
      </c>
      <c r="F165" s="47" t="s">
        <v>59</v>
      </c>
      <c r="G165" s="62">
        <v>2075.5</v>
      </c>
      <c r="H165" s="62">
        <v>80776.98</v>
      </c>
      <c r="I165" s="49">
        <v>0</v>
      </c>
      <c r="J165" s="49">
        <v>0</v>
      </c>
      <c r="K165" s="49">
        <v>0</v>
      </c>
      <c r="L165" s="50">
        <v>0</v>
      </c>
      <c r="M165" s="51"/>
      <c r="N165" s="52" t="s">
        <v>1300</v>
      </c>
      <c r="O165" s="31"/>
      <c r="P165" s="53">
        <v>0</v>
      </c>
      <c r="Q165" s="54">
        <v>0</v>
      </c>
      <c r="R165" s="55">
        <v>0</v>
      </c>
      <c r="S165" s="55">
        <v>0</v>
      </c>
      <c r="T165" s="56">
        <v>0</v>
      </c>
      <c r="U165" s="57"/>
      <c r="V165" s="55">
        <v>0</v>
      </c>
      <c r="W165" s="55">
        <v>0</v>
      </c>
      <c r="X165" s="58">
        <v>0</v>
      </c>
      <c r="Y165" s="59">
        <v>0</v>
      </c>
      <c r="Z165" s="58">
        <v>0</v>
      </c>
      <c r="AA165" s="56">
        <v>0</v>
      </c>
      <c r="AB165" s="56">
        <v>0</v>
      </c>
      <c r="AC165" s="60">
        <v>46142</v>
      </c>
    </row>
    <row r="166" spans="1:30" x14ac:dyDescent="0.25">
      <c r="A166" s="43">
        <v>1059</v>
      </c>
      <c r="B166" s="44" t="s">
        <v>1288</v>
      </c>
      <c r="C166" s="45">
        <v>10060011</v>
      </c>
      <c r="D166" s="46" t="s">
        <v>532</v>
      </c>
      <c r="E166" s="47" t="s">
        <v>364</v>
      </c>
      <c r="F166" s="47" t="s">
        <v>58</v>
      </c>
      <c r="G166" s="62">
        <v>440.3</v>
      </c>
      <c r="H166" s="62">
        <v>20617.87</v>
      </c>
      <c r="I166" s="49">
        <v>0</v>
      </c>
      <c r="J166" s="49">
        <v>0</v>
      </c>
      <c r="K166" s="49">
        <v>0</v>
      </c>
      <c r="L166" s="50">
        <v>0</v>
      </c>
      <c r="M166" s="51"/>
      <c r="N166" s="52" t="s">
        <v>1300</v>
      </c>
      <c r="O166" s="31"/>
      <c r="P166" s="53">
        <v>-1.850997306478154E-2</v>
      </c>
      <c r="Q166" s="54">
        <v>23</v>
      </c>
      <c r="R166" s="55">
        <v>0</v>
      </c>
      <c r="S166" s="55">
        <v>0</v>
      </c>
      <c r="T166" s="56">
        <v>0</v>
      </c>
      <c r="U166" s="57"/>
      <c r="V166" s="55">
        <v>0</v>
      </c>
      <c r="W166" s="55">
        <v>0</v>
      </c>
      <c r="X166" s="58">
        <v>0</v>
      </c>
      <c r="Y166" s="59">
        <v>0</v>
      </c>
      <c r="Z166" s="58">
        <v>0</v>
      </c>
      <c r="AA166" s="56">
        <v>0</v>
      </c>
      <c r="AB166" s="56">
        <v>0</v>
      </c>
      <c r="AC166" s="60">
        <v>46142</v>
      </c>
      <c r="AD166" s="61"/>
    </row>
    <row r="167" spans="1:30" x14ac:dyDescent="0.25">
      <c r="A167" s="43">
        <v>1006</v>
      </c>
      <c r="B167" s="44" t="s">
        <v>1287</v>
      </c>
      <c r="C167" s="45">
        <v>10060014</v>
      </c>
      <c r="D167" s="46" t="s">
        <v>533</v>
      </c>
      <c r="E167" s="47" t="s">
        <v>371</v>
      </c>
      <c r="F167" s="47" t="s">
        <v>59</v>
      </c>
      <c r="G167" s="62">
        <v>118.00000000000001</v>
      </c>
      <c r="H167" s="62">
        <v>4581.2800000000007</v>
      </c>
      <c r="I167" s="49">
        <v>0</v>
      </c>
      <c r="J167" s="49">
        <v>0</v>
      </c>
      <c r="K167" s="49">
        <v>904.20975483870961</v>
      </c>
      <c r="L167" s="50">
        <v>0</v>
      </c>
      <c r="M167" s="51"/>
      <c r="N167" s="52" t="s">
        <v>1300</v>
      </c>
      <c r="O167" s="31"/>
      <c r="P167" s="53">
        <v>0</v>
      </c>
      <c r="Q167" s="54">
        <v>0</v>
      </c>
      <c r="R167" s="55">
        <v>0</v>
      </c>
      <c r="S167" s="55">
        <v>0</v>
      </c>
      <c r="T167" s="56">
        <v>0</v>
      </c>
      <c r="U167" s="57"/>
      <c r="V167" s="55">
        <v>904.20975483870961</v>
      </c>
      <c r="W167" s="55">
        <v>0</v>
      </c>
      <c r="X167" s="58">
        <v>0</v>
      </c>
      <c r="Y167" s="59">
        <v>904.20975483870961</v>
      </c>
      <c r="Z167" s="58">
        <v>904.20975483870961</v>
      </c>
      <c r="AA167" s="56">
        <v>0</v>
      </c>
      <c r="AB167" s="56">
        <v>0</v>
      </c>
      <c r="AC167" s="60">
        <v>46142</v>
      </c>
      <c r="AD167" s="61"/>
    </row>
    <row r="168" spans="1:30" x14ac:dyDescent="0.25">
      <c r="A168" s="43">
        <v>1006</v>
      </c>
      <c r="B168" s="44" t="s">
        <v>1287</v>
      </c>
      <c r="C168" s="45">
        <v>10060015</v>
      </c>
      <c r="D168" s="46" t="s">
        <v>534</v>
      </c>
      <c r="E168" s="47" t="s">
        <v>371</v>
      </c>
      <c r="F168" s="47" t="s">
        <v>59</v>
      </c>
      <c r="G168" s="62">
        <v>10.3</v>
      </c>
      <c r="H168" s="62">
        <v>366.39</v>
      </c>
      <c r="I168" s="49">
        <v>0</v>
      </c>
      <c r="J168" s="49">
        <v>0</v>
      </c>
      <c r="K168" s="49">
        <v>34.779445161290312</v>
      </c>
      <c r="L168" s="50">
        <v>0</v>
      </c>
      <c r="M168" s="51"/>
      <c r="N168" s="52" t="s">
        <v>1300</v>
      </c>
      <c r="O168" s="31"/>
      <c r="P168" s="53">
        <v>0</v>
      </c>
      <c r="Q168" s="54">
        <v>0</v>
      </c>
      <c r="R168" s="55">
        <v>0</v>
      </c>
      <c r="S168" s="55">
        <v>0</v>
      </c>
      <c r="T168" s="56">
        <v>0</v>
      </c>
      <c r="U168" s="57"/>
      <c r="V168" s="55">
        <v>34.779445161290312</v>
      </c>
      <c r="W168" s="55">
        <v>0</v>
      </c>
      <c r="X168" s="58">
        <v>0</v>
      </c>
      <c r="Y168" s="59">
        <v>34.779445161290312</v>
      </c>
      <c r="Z168" s="58">
        <v>34.779445161290312</v>
      </c>
      <c r="AA168" s="56">
        <v>0</v>
      </c>
      <c r="AB168" s="56">
        <v>0</v>
      </c>
      <c r="AC168" s="60">
        <v>46142</v>
      </c>
    </row>
    <row r="169" spans="1:30" x14ac:dyDescent="0.25">
      <c r="A169" s="43">
        <v>1006</v>
      </c>
      <c r="B169" s="44" t="s">
        <v>1287</v>
      </c>
      <c r="C169" s="45">
        <v>10060020</v>
      </c>
      <c r="D169" s="46" t="s">
        <v>535</v>
      </c>
      <c r="E169" s="47" t="s">
        <v>371</v>
      </c>
      <c r="F169" s="47" t="s">
        <v>59</v>
      </c>
      <c r="G169" s="62">
        <v>1084.0999999999999</v>
      </c>
      <c r="H169" s="62">
        <v>39773.469999999994</v>
      </c>
      <c r="I169" s="49">
        <v>0</v>
      </c>
      <c r="J169" s="49">
        <v>0</v>
      </c>
      <c r="K169" s="49">
        <v>67.531451612903112</v>
      </c>
      <c r="L169" s="50">
        <v>0</v>
      </c>
      <c r="M169" s="51"/>
      <c r="N169" s="52" t="s">
        <v>1300</v>
      </c>
      <c r="O169" s="31"/>
      <c r="P169" s="53">
        <v>0</v>
      </c>
      <c r="Q169" s="54">
        <v>0</v>
      </c>
      <c r="R169" s="55">
        <v>0</v>
      </c>
      <c r="S169" s="55">
        <v>0</v>
      </c>
      <c r="T169" s="56">
        <v>0</v>
      </c>
      <c r="U169" s="57"/>
      <c r="V169" s="55">
        <v>67.531451612903112</v>
      </c>
      <c r="W169" s="55">
        <v>0</v>
      </c>
      <c r="X169" s="58">
        <v>0</v>
      </c>
      <c r="Y169" s="59">
        <v>67.531451612903112</v>
      </c>
      <c r="Z169" s="58">
        <v>67.531451612903112</v>
      </c>
      <c r="AA169" s="56">
        <v>0</v>
      </c>
      <c r="AB169" s="56">
        <v>0</v>
      </c>
      <c r="AC169" s="60">
        <v>46142</v>
      </c>
    </row>
    <row r="170" spans="1:30" x14ac:dyDescent="0.25">
      <c r="A170" s="43">
        <v>1006</v>
      </c>
      <c r="B170" s="44" t="s">
        <v>1287</v>
      </c>
      <c r="C170" s="45">
        <v>10060021</v>
      </c>
      <c r="D170" s="46" t="s">
        <v>536</v>
      </c>
      <c r="E170" s="47" t="s">
        <v>371</v>
      </c>
      <c r="F170" s="47" t="s">
        <v>59</v>
      </c>
      <c r="G170" s="62">
        <v>314</v>
      </c>
      <c r="H170" s="62">
        <v>12009.630000000001</v>
      </c>
      <c r="I170" s="49">
        <v>0</v>
      </c>
      <c r="J170" s="49">
        <v>9391</v>
      </c>
      <c r="K170" s="49">
        <v>2618.4919161290313</v>
      </c>
      <c r="L170" s="50">
        <v>0</v>
      </c>
      <c r="M170" s="51"/>
      <c r="N170" s="52" t="s">
        <v>1300</v>
      </c>
      <c r="O170" s="31"/>
      <c r="P170" s="53">
        <v>0</v>
      </c>
      <c r="Q170" s="54">
        <v>0</v>
      </c>
      <c r="R170" s="55">
        <v>19500</v>
      </c>
      <c r="S170" s="55">
        <v>9391</v>
      </c>
      <c r="T170" s="56">
        <v>10109</v>
      </c>
      <c r="U170" s="57"/>
      <c r="V170" s="55">
        <v>2618.4919161290313</v>
      </c>
      <c r="W170" s="55">
        <v>0</v>
      </c>
      <c r="X170" s="58">
        <v>0</v>
      </c>
      <c r="Y170" s="59">
        <v>2618.4919161290313</v>
      </c>
      <c r="Z170" s="58">
        <v>2618.4919161290313</v>
      </c>
      <c r="AA170" s="56">
        <v>0</v>
      </c>
      <c r="AB170" s="56">
        <v>0</v>
      </c>
      <c r="AC170" s="60">
        <v>46142</v>
      </c>
    </row>
    <row r="171" spans="1:30" x14ac:dyDescent="0.25">
      <c r="A171" s="43">
        <v>1006</v>
      </c>
      <c r="B171" s="44" t="s">
        <v>1287</v>
      </c>
      <c r="C171" s="45">
        <v>10060022</v>
      </c>
      <c r="D171" s="46" t="s">
        <v>537</v>
      </c>
      <c r="E171" s="47" t="s">
        <v>364</v>
      </c>
      <c r="F171" s="47" t="s">
        <v>58</v>
      </c>
      <c r="G171" s="62">
        <v>789.80000000000007</v>
      </c>
      <c r="H171" s="62">
        <v>28955.75</v>
      </c>
      <c r="I171" s="49">
        <v>0</v>
      </c>
      <c r="J171" s="49">
        <v>0</v>
      </c>
      <c r="K171" s="49">
        <v>1621.2426599999997</v>
      </c>
      <c r="L171" s="50" t="s">
        <v>409</v>
      </c>
      <c r="M171" s="51" t="s">
        <v>410</v>
      </c>
      <c r="N171" s="52" t="s">
        <v>1300</v>
      </c>
      <c r="O171" s="31"/>
      <c r="P171" s="53">
        <v>-3.7430807054212194E-2</v>
      </c>
      <c r="Q171" s="54">
        <v>5</v>
      </c>
      <c r="R171" s="55">
        <v>37494</v>
      </c>
      <c r="S171" s="55">
        <v>0</v>
      </c>
      <c r="T171" s="56">
        <v>37494</v>
      </c>
      <c r="U171" s="57"/>
      <c r="V171" s="55">
        <v>1621.2426599999997</v>
      </c>
      <c r="W171" s="55">
        <v>0</v>
      </c>
      <c r="X171" s="58">
        <v>0</v>
      </c>
      <c r="Y171" s="59">
        <v>1621.2426599999997</v>
      </c>
      <c r="Z171" s="58">
        <v>1621.2426599999997</v>
      </c>
      <c r="AA171" s="56">
        <v>0</v>
      </c>
      <c r="AB171" s="56">
        <v>0</v>
      </c>
      <c r="AC171" s="60">
        <v>46142</v>
      </c>
    </row>
    <row r="172" spans="1:30" x14ac:dyDescent="0.25">
      <c r="A172" s="43">
        <v>1006</v>
      </c>
      <c r="B172" s="44" t="s">
        <v>1287</v>
      </c>
      <c r="C172" s="45">
        <v>10060023</v>
      </c>
      <c r="D172" s="46" t="s">
        <v>538</v>
      </c>
      <c r="E172" s="47" t="s">
        <v>371</v>
      </c>
      <c r="F172" s="47" t="s">
        <v>59</v>
      </c>
      <c r="G172" s="62">
        <v>100.89999999999998</v>
      </c>
      <c r="H172" s="62">
        <v>4696.7500000000009</v>
      </c>
      <c r="I172" s="49">
        <v>0</v>
      </c>
      <c r="J172" s="49">
        <v>0</v>
      </c>
      <c r="K172" s="49">
        <v>0</v>
      </c>
      <c r="L172" s="50">
        <v>0</v>
      </c>
      <c r="M172" s="51"/>
      <c r="N172" s="52" t="s">
        <v>1300</v>
      </c>
      <c r="O172" s="31"/>
      <c r="P172" s="53">
        <v>0</v>
      </c>
      <c r="Q172" s="54">
        <v>0</v>
      </c>
      <c r="R172" s="55">
        <v>0</v>
      </c>
      <c r="S172" s="55">
        <v>0</v>
      </c>
      <c r="T172" s="56">
        <v>0</v>
      </c>
      <c r="U172" s="57"/>
      <c r="V172" s="55">
        <v>0</v>
      </c>
      <c r="W172" s="55">
        <v>0</v>
      </c>
      <c r="X172" s="58">
        <v>0</v>
      </c>
      <c r="Y172" s="59">
        <v>0</v>
      </c>
      <c r="Z172" s="58">
        <v>0</v>
      </c>
      <c r="AA172" s="56">
        <v>0</v>
      </c>
      <c r="AB172" s="56">
        <v>0</v>
      </c>
      <c r="AC172" s="60">
        <v>46142</v>
      </c>
    </row>
    <row r="173" spans="1:30" x14ac:dyDescent="0.25">
      <c r="A173" s="43">
        <v>1006</v>
      </c>
      <c r="B173" s="44" t="s">
        <v>1287</v>
      </c>
      <c r="C173" s="45">
        <v>10060026</v>
      </c>
      <c r="D173" s="46" t="s">
        <v>539</v>
      </c>
      <c r="E173" s="47" t="s">
        <v>364</v>
      </c>
      <c r="F173" s="47" t="s">
        <v>58</v>
      </c>
      <c r="G173" s="62">
        <v>443.2999999999999</v>
      </c>
      <c r="H173" s="62">
        <v>18044.07</v>
      </c>
      <c r="I173" s="49">
        <v>0</v>
      </c>
      <c r="J173" s="49">
        <v>0</v>
      </c>
      <c r="K173" s="49">
        <v>0</v>
      </c>
      <c r="L173" s="50">
        <v>0</v>
      </c>
      <c r="M173" s="51"/>
      <c r="N173" s="52" t="s">
        <v>1300</v>
      </c>
      <c r="O173" s="31"/>
      <c r="P173" s="53">
        <v>4.7838567725573475E-3</v>
      </c>
      <c r="Q173" s="54">
        <v>4</v>
      </c>
      <c r="R173" s="55">
        <v>0</v>
      </c>
      <c r="S173" s="55">
        <v>0</v>
      </c>
      <c r="T173" s="56">
        <v>0</v>
      </c>
      <c r="U173" s="57"/>
      <c r="V173" s="55">
        <v>0</v>
      </c>
      <c r="W173" s="55">
        <v>0</v>
      </c>
      <c r="X173" s="58">
        <v>0</v>
      </c>
      <c r="Y173" s="59">
        <v>0</v>
      </c>
      <c r="Z173" s="58">
        <v>0</v>
      </c>
      <c r="AA173" s="56">
        <v>0</v>
      </c>
      <c r="AB173" s="56">
        <v>0</v>
      </c>
      <c r="AC173" s="60">
        <v>46142</v>
      </c>
    </row>
    <row r="174" spans="1:30" x14ac:dyDescent="0.25">
      <c r="A174" s="43">
        <v>1059</v>
      </c>
      <c r="B174" s="44" t="s">
        <v>1288</v>
      </c>
      <c r="C174" s="45">
        <v>10060027</v>
      </c>
      <c r="D174" s="46" t="s">
        <v>540</v>
      </c>
      <c r="E174" s="47" t="s">
        <v>364</v>
      </c>
      <c r="F174" s="47" t="s">
        <v>58</v>
      </c>
      <c r="G174" s="62">
        <v>1457.6</v>
      </c>
      <c r="H174" s="62">
        <v>61619.630000000019</v>
      </c>
      <c r="I174" s="49">
        <v>0</v>
      </c>
      <c r="J174" s="49">
        <v>0</v>
      </c>
      <c r="K174" s="49">
        <v>0</v>
      </c>
      <c r="L174" s="50">
        <v>0</v>
      </c>
      <c r="M174" s="51"/>
      <c r="N174" s="52" t="s">
        <v>1300</v>
      </c>
      <c r="O174" s="31"/>
      <c r="P174" s="53">
        <v>-2.3818839142908107E-2</v>
      </c>
      <c r="Q174" s="54">
        <v>67</v>
      </c>
      <c r="R174" s="55">
        <v>0</v>
      </c>
      <c r="S174" s="55">
        <v>0</v>
      </c>
      <c r="T174" s="56">
        <v>0</v>
      </c>
      <c r="U174" s="57"/>
      <c r="V174" s="55">
        <v>0</v>
      </c>
      <c r="W174" s="55">
        <v>0</v>
      </c>
      <c r="X174" s="58">
        <v>0</v>
      </c>
      <c r="Y174" s="59">
        <v>0</v>
      </c>
      <c r="Z174" s="58">
        <v>0</v>
      </c>
      <c r="AA174" s="56">
        <v>0</v>
      </c>
      <c r="AB174" s="56">
        <v>0</v>
      </c>
      <c r="AC174" s="60">
        <v>46142</v>
      </c>
    </row>
    <row r="175" spans="1:30" x14ac:dyDescent="0.25">
      <c r="A175" s="43">
        <v>1006</v>
      </c>
      <c r="B175" s="44" t="s">
        <v>1287</v>
      </c>
      <c r="C175" s="45">
        <v>10060028</v>
      </c>
      <c r="D175" s="46" t="s">
        <v>541</v>
      </c>
      <c r="E175" s="47" t="s">
        <v>371</v>
      </c>
      <c r="F175" s="47" t="s">
        <v>59</v>
      </c>
      <c r="G175" s="62">
        <v>719.6</v>
      </c>
      <c r="H175" s="62">
        <v>25614.670000000006</v>
      </c>
      <c r="I175" s="49">
        <v>0</v>
      </c>
      <c r="J175" s="49">
        <v>0</v>
      </c>
      <c r="K175" s="49">
        <v>0</v>
      </c>
      <c r="L175" s="50">
        <v>0</v>
      </c>
      <c r="M175" s="51"/>
      <c r="N175" s="52" t="s">
        <v>1300</v>
      </c>
      <c r="O175" s="31"/>
      <c r="P175" s="53">
        <v>0</v>
      </c>
      <c r="Q175" s="54">
        <v>0</v>
      </c>
      <c r="R175" s="55">
        <v>0</v>
      </c>
      <c r="S175" s="55">
        <v>0</v>
      </c>
      <c r="T175" s="56">
        <v>0</v>
      </c>
      <c r="U175" s="57"/>
      <c r="V175" s="55">
        <v>0</v>
      </c>
      <c r="W175" s="55">
        <v>0</v>
      </c>
      <c r="X175" s="58">
        <v>0</v>
      </c>
      <c r="Y175" s="59">
        <v>0</v>
      </c>
      <c r="Z175" s="58">
        <v>0</v>
      </c>
      <c r="AA175" s="56">
        <v>0</v>
      </c>
      <c r="AB175" s="56">
        <v>0</v>
      </c>
      <c r="AC175" s="60">
        <v>46142</v>
      </c>
    </row>
    <row r="176" spans="1:30" x14ac:dyDescent="0.25">
      <c r="A176" s="43">
        <v>1006</v>
      </c>
      <c r="B176" s="44" t="s">
        <v>1287</v>
      </c>
      <c r="C176" s="45">
        <v>10060029</v>
      </c>
      <c r="D176" s="46" t="s">
        <v>542</v>
      </c>
      <c r="E176" s="47" t="s">
        <v>364</v>
      </c>
      <c r="F176" s="47" t="s">
        <v>58</v>
      </c>
      <c r="G176" s="62">
        <v>725.1</v>
      </c>
      <c r="H176" s="62">
        <v>31222.190000000002</v>
      </c>
      <c r="I176" s="49">
        <v>0</v>
      </c>
      <c r="J176" s="49">
        <v>0</v>
      </c>
      <c r="K176" s="49">
        <v>116.89469999999945</v>
      </c>
      <c r="L176" s="50">
        <v>0</v>
      </c>
      <c r="M176" s="51"/>
      <c r="N176" s="52" t="s">
        <v>1300</v>
      </c>
      <c r="O176" s="31"/>
      <c r="P176" s="53">
        <v>-2.7181416399222856E-2</v>
      </c>
      <c r="Q176" s="54">
        <v>35</v>
      </c>
      <c r="R176" s="55">
        <v>0</v>
      </c>
      <c r="S176" s="55">
        <v>0</v>
      </c>
      <c r="T176" s="56">
        <v>0</v>
      </c>
      <c r="U176" s="57"/>
      <c r="V176" s="55">
        <v>116.89469999999945</v>
      </c>
      <c r="W176" s="55">
        <v>0</v>
      </c>
      <c r="X176" s="58">
        <v>0</v>
      </c>
      <c r="Y176" s="59">
        <v>116.89469999999945</v>
      </c>
      <c r="Z176" s="58">
        <v>116.89469999999945</v>
      </c>
      <c r="AA176" s="56">
        <v>0</v>
      </c>
      <c r="AB176" s="56">
        <v>0</v>
      </c>
      <c r="AC176" s="60">
        <v>46142</v>
      </c>
    </row>
    <row r="177" spans="1:30" x14ac:dyDescent="0.25">
      <c r="A177" s="43">
        <v>1006</v>
      </c>
      <c r="B177" s="44" t="s">
        <v>1287</v>
      </c>
      <c r="C177" s="45">
        <v>10060031</v>
      </c>
      <c r="D177" s="46" t="s">
        <v>543</v>
      </c>
      <c r="E177" s="47" t="s">
        <v>364</v>
      </c>
      <c r="F177" s="47" t="s">
        <v>58</v>
      </c>
      <c r="G177" s="62">
        <v>248.60000000000002</v>
      </c>
      <c r="H177" s="62">
        <v>9861.57</v>
      </c>
      <c r="I177" s="49">
        <v>0</v>
      </c>
      <c r="J177" s="49">
        <v>0</v>
      </c>
      <c r="K177" s="49">
        <v>0</v>
      </c>
      <c r="L177" s="50" t="s">
        <v>409</v>
      </c>
      <c r="M177" s="51" t="s">
        <v>367</v>
      </c>
      <c r="N177" s="52" t="s">
        <v>1300</v>
      </c>
      <c r="O177" s="31"/>
      <c r="P177" s="53">
        <v>-5.9228563169761491E-3</v>
      </c>
      <c r="Q177" s="54">
        <v>6</v>
      </c>
      <c r="R177" s="55">
        <v>0</v>
      </c>
      <c r="S177" s="55">
        <v>0</v>
      </c>
      <c r="T177" s="56">
        <v>0</v>
      </c>
      <c r="U177" s="57"/>
      <c r="V177" s="55">
        <v>184.32321355932208</v>
      </c>
      <c r="W177" s="55">
        <v>0</v>
      </c>
      <c r="X177" s="58">
        <v>0</v>
      </c>
      <c r="Y177" s="59">
        <v>184.32321355932208</v>
      </c>
      <c r="Z177" s="58">
        <v>0</v>
      </c>
      <c r="AA177" s="56">
        <v>-184.32321355932208</v>
      </c>
      <c r="AB177" s="56">
        <v>-184.32321355932208</v>
      </c>
      <c r="AC177" s="60">
        <v>46142</v>
      </c>
    </row>
    <row r="178" spans="1:30" x14ac:dyDescent="0.25">
      <c r="A178" s="43">
        <v>1059</v>
      </c>
      <c r="B178" s="44" t="s">
        <v>1288</v>
      </c>
      <c r="C178" s="45">
        <v>10060032</v>
      </c>
      <c r="D178" s="46" t="s">
        <v>544</v>
      </c>
      <c r="E178" s="47" t="s">
        <v>364</v>
      </c>
      <c r="F178" s="47" t="s">
        <v>58</v>
      </c>
      <c r="G178" s="62">
        <v>2888.5</v>
      </c>
      <c r="H178" s="62">
        <v>136920.72</v>
      </c>
      <c r="I178" s="49">
        <v>0</v>
      </c>
      <c r="J178" s="49">
        <v>0</v>
      </c>
      <c r="K178" s="49">
        <v>0</v>
      </c>
      <c r="L178" s="50">
        <v>0</v>
      </c>
      <c r="M178" s="51"/>
      <c r="N178" s="52" t="s">
        <v>1300</v>
      </c>
      <c r="O178" s="31"/>
      <c r="P178" s="53">
        <v>-2.5981935257447703E-2</v>
      </c>
      <c r="Q178" s="54">
        <v>48</v>
      </c>
      <c r="R178" s="55">
        <v>0</v>
      </c>
      <c r="S178" s="55">
        <v>0</v>
      </c>
      <c r="T178" s="56">
        <v>0</v>
      </c>
      <c r="U178" s="57"/>
      <c r="V178" s="55">
        <v>0</v>
      </c>
      <c r="W178" s="55">
        <v>0</v>
      </c>
      <c r="X178" s="58">
        <v>0</v>
      </c>
      <c r="Y178" s="59">
        <v>0</v>
      </c>
      <c r="Z178" s="58">
        <v>0</v>
      </c>
      <c r="AA178" s="56">
        <v>0</v>
      </c>
      <c r="AB178" s="56">
        <v>0</v>
      </c>
      <c r="AC178" s="60">
        <v>46142</v>
      </c>
    </row>
    <row r="179" spans="1:30" x14ac:dyDescent="0.25">
      <c r="A179" s="43">
        <v>1059</v>
      </c>
      <c r="B179" s="44" t="s">
        <v>1288</v>
      </c>
      <c r="C179" s="45">
        <v>10060049</v>
      </c>
      <c r="D179" s="46" t="s">
        <v>545</v>
      </c>
      <c r="E179" s="47" t="s">
        <v>364</v>
      </c>
      <c r="F179" s="47" t="s">
        <v>58</v>
      </c>
      <c r="G179" s="62">
        <v>606.40000000000009</v>
      </c>
      <c r="H179" s="62">
        <v>25964.03</v>
      </c>
      <c r="I179" s="49">
        <v>0</v>
      </c>
      <c r="J179" s="49">
        <v>0</v>
      </c>
      <c r="K179" s="49">
        <v>0</v>
      </c>
      <c r="L179" s="50">
        <v>0</v>
      </c>
      <c r="M179" s="51"/>
      <c r="N179" s="52" t="s">
        <v>1300</v>
      </c>
      <c r="O179" s="31"/>
      <c r="P179" s="53">
        <v>-2.6656625933543964E-2</v>
      </c>
      <c r="Q179" s="54">
        <v>25</v>
      </c>
      <c r="R179" s="55">
        <v>0</v>
      </c>
      <c r="S179" s="55">
        <v>0</v>
      </c>
      <c r="T179" s="56">
        <v>0</v>
      </c>
      <c r="U179" s="57"/>
      <c r="V179" s="55">
        <v>0</v>
      </c>
      <c r="W179" s="55">
        <v>0</v>
      </c>
      <c r="X179" s="58">
        <v>0</v>
      </c>
      <c r="Y179" s="59">
        <v>0</v>
      </c>
      <c r="Z179" s="58">
        <v>0</v>
      </c>
      <c r="AA179" s="56">
        <v>0</v>
      </c>
      <c r="AB179" s="56">
        <v>0</v>
      </c>
      <c r="AC179" s="60">
        <v>46142</v>
      </c>
    </row>
    <row r="180" spans="1:30" x14ac:dyDescent="0.25">
      <c r="A180" s="43">
        <v>1059</v>
      </c>
      <c r="B180" s="44" t="s">
        <v>1288</v>
      </c>
      <c r="C180" s="45">
        <v>10060050</v>
      </c>
      <c r="D180" s="46" t="s">
        <v>546</v>
      </c>
      <c r="E180" s="47" t="s">
        <v>364</v>
      </c>
      <c r="F180" s="47" t="s">
        <v>58</v>
      </c>
      <c r="G180" s="62">
        <v>449.50000000000006</v>
      </c>
      <c r="H180" s="62">
        <v>20248.099999999999</v>
      </c>
      <c r="I180" s="49">
        <v>0</v>
      </c>
      <c r="J180" s="49">
        <v>0</v>
      </c>
      <c r="K180" s="49">
        <v>0</v>
      </c>
      <c r="L180" s="50">
        <v>0</v>
      </c>
      <c r="M180" s="51"/>
      <c r="N180" s="52" t="s">
        <v>1300</v>
      </c>
      <c r="O180" s="31"/>
      <c r="P180" s="53">
        <v>4.6241536815791294E-4</v>
      </c>
      <c r="Q180" s="54">
        <v>16</v>
      </c>
      <c r="R180" s="55">
        <v>0</v>
      </c>
      <c r="S180" s="55">
        <v>0</v>
      </c>
      <c r="T180" s="56">
        <v>0</v>
      </c>
      <c r="U180" s="57"/>
      <c r="V180" s="55">
        <v>0</v>
      </c>
      <c r="W180" s="55">
        <v>0</v>
      </c>
      <c r="X180" s="58">
        <v>0</v>
      </c>
      <c r="Y180" s="59">
        <v>0</v>
      </c>
      <c r="Z180" s="58">
        <v>0</v>
      </c>
      <c r="AA180" s="56">
        <v>0</v>
      </c>
      <c r="AB180" s="56">
        <v>0</v>
      </c>
      <c r="AC180" s="60">
        <v>46142</v>
      </c>
    </row>
    <row r="181" spans="1:30" x14ac:dyDescent="0.25">
      <c r="A181" s="43">
        <v>1006</v>
      </c>
      <c r="B181" s="44" t="s">
        <v>1287</v>
      </c>
      <c r="C181" s="45">
        <v>10060055</v>
      </c>
      <c r="D181" s="46" t="s">
        <v>547</v>
      </c>
      <c r="E181" s="47" t="s">
        <v>371</v>
      </c>
      <c r="F181" s="47" t="s">
        <v>59</v>
      </c>
      <c r="G181" s="62">
        <v>362.59999999999997</v>
      </c>
      <c r="H181" s="62">
        <v>13006.309999999998</v>
      </c>
      <c r="I181" s="49">
        <v>0</v>
      </c>
      <c r="J181" s="49">
        <v>0</v>
      </c>
      <c r="K181" s="49">
        <v>0</v>
      </c>
      <c r="L181" s="50">
        <v>0</v>
      </c>
      <c r="M181" s="51"/>
      <c r="N181" s="52" t="s">
        <v>1300</v>
      </c>
      <c r="O181" s="31"/>
      <c r="P181" s="53">
        <v>0</v>
      </c>
      <c r="Q181" s="54">
        <v>0</v>
      </c>
      <c r="R181" s="55">
        <v>0</v>
      </c>
      <c r="S181" s="55">
        <v>0</v>
      </c>
      <c r="T181" s="56">
        <v>0</v>
      </c>
      <c r="U181" s="57"/>
      <c r="V181" s="55">
        <v>0</v>
      </c>
      <c r="W181" s="55">
        <v>0</v>
      </c>
      <c r="X181" s="58">
        <v>0</v>
      </c>
      <c r="Y181" s="59">
        <v>0</v>
      </c>
      <c r="Z181" s="58">
        <v>0</v>
      </c>
      <c r="AA181" s="56">
        <v>0</v>
      </c>
      <c r="AB181" s="56">
        <v>0</v>
      </c>
      <c r="AC181" s="60">
        <v>46142</v>
      </c>
    </row>
    <row r="182" spans="1:30" x14ac:dyDescent="0.25">
      <c r="A182" s="43">
        <v>1006</v>
      </c>
      <c r="B182" s="44" t="s">
        <v>1287</v>
      </c>
      <c r="C182" s="45">
        <v>10060058</v>
      </c>
      <c r="D182" s="46" t="s">
        <v>548</v>
      </c>
      <c r="E182" s="47" t="s">
        <v>364</v>
      </c>
      <c r="F182" s="47" t="s">
        <v>58</v>
      </c>
      <c r="G182" s="62">
        <v>884.4</v>
      </c>
      <c r="H182" s="62">
        <v>33133.67</v>
      </c>
      <c r="I182" s="49">
        <v>0</v>
      </c>
      <c r="J182" s="49">
        <v>0</v>
      </c>
      <c r="K182" s="49">
        <v>0</v>
      </c>
      <c r="L182" s="50">
        <v>0</v>
      </c>
      <c r="M182" s="51"/>
      <c r="N182" s="52" t="s">
        <v>1300</v>
      </c>
      <c r="O182" s="31"/>
      <c r="P182" s="53">
        <v>-3.1042096141031369E-2</v>
      </c>
      <c r="Q182" s="54">
        <v>6</v>
      </c>
      <c r="R182" s="55">
        <v>0</v>
      </c>
      <c r="S182" s="55">
        <v>0</v>
      </c>
      <c r="T182" s="56">
        <v>0</v>
      </c>
      <c r="U182" s="57"/>
      <c r="V182" s="55">
        <v>0</v>
      </c>
      <c r="W182" s="55">
        <v>0</v>
      </c>
      <c r="X182" s="58">
        <v>0</v>
      </c>
      <c r="Y182" s="59">
        <v>0</v>
      </c>
      <c r="Z182" s="58">
        <v>0</v>
      </c>
      <c r="AA182" s="56">
        <v>0</v>
      </c>
      <c r="AB182" s="56">
        <v>0</v>
      </c>
      <c r="AC182" s="60">
        <v>46142</v>
      </c>
    </row>
    <row r="183" spans="1:30" x14ac:dyDescent="0.25">
      <c r="A183" s="43">
        <v>1006</v>
      </c>
      <c r="B183" s="44" t="s">
        <v>1287</v>
      </c>
      <c r="C183" s="45">
        <v>10060061</v>
      </c>
      <c r="D183" s="46" t="s">
        <v>549</v>
      </c>
      <c r="E183" s="47" t="s">
        <v>371</v>
      </c>
      <c r="F183" s="47" t="s">
        <v>59</v>
      </c>
      <c r="G183" s="62">
        <v>233.29999999999998</v>
      </c>
      <c r="H183" s="62">
        <v>8211.2000000000007</v>
      </c>
      <c r="I183" s="49">
        <v>0</v>
      </c>
      <c r="J183" s="49">
        <v>0</v>
      </c>
      <c r="K183" s="49">
        <v>0</v>
      </c>
      <c r="L183" s="50">
        <v>0</v>
      </c>
      <c r="M183" s="51"/>
      <c r="N183" s="52" t="s">
        <v>1300</v>
      </c>
      <c r="O183" s="31"/>
      <c r="P183" s="53">
        <v>0</v>
      </c>
      <c r="Q183" s="54">
        <v>0</v>
      </c>
      <c r="R183" s="55">
        <v>0</v>
      </c>
      <c r="S183" s="55">
        <v>0</v>
      </c>
      <c r="T183" s="56">
        <v>0</v>
      </c>
      <c r="U183" s="57"/>
      <c r="V183" s="55">
        <v>0</v>
      </c>
      <c r="W183" s="55">
        <v>0</v>
      </c>
      <c r="X183" s="58">
        <v>0</v>
      </c>
      <c r="Y183" s="59">
        <v>0</v>
      </c>
      <c r="Z183" s="58">
        <v>0</v>
      </c>
      <c r="AA183" s="56">
        <v>0</v>
      </c>
      <c r="AB183" s="56">
        <v>0</v>
      </c>
      <c r="AC183" s="60">
        <v>46142</v>
      </c>
    </row>
    <row r="184" spans="1:30" x14ac:dyDescent="0.25">
      <c r="A184" s="43">
        <v>1006</v>
      </c>
      <c r="B184" s="44" t="s">
        <v>1287</v>
      </c>
      <c r="C184" s="45">
        <v>10060062</v>
      </c>
      <c r="D184" s="46" t="s">
        <v>550</v>
      </c>
      <c r="E184" s="47" t="s">
        <v>371</v>
      </c>
      <c r="F184" s="47" t="s">
        <v>59</v>
      </c>
      <c r="G184" s="62">
        <v>328.70000000000005</v>
      </c>
      <c r="H184" s="62">
        <v>12916.45</v>
      </c>
      <c r="I184" s="49">
        <v>0</v>
      </c>
      <c r="J184" s="49">
        <v>0</v>
      </c>
      <c r="K184" s="49">
        <v>0</v>
      </c>
      <c r="L184" s="50">
        <v>0</v>
      </c>
      <c r="M184" s="51"/>
      <c r="N184" s="52" t="s">
        <v>1300</v>
      </c>
      <c r="O184" s="31"/>
      <c r="P184" s="53">
        <v>0</v>
      </c>
      <c r="Q184" s="54">
        <v>0</v>
      </c>
      <c r="R184" s="55">
        <v>0</v>
      </c>
      <c r="S184" s="55">
        <v>0</v>
      </c>
      <c r="T184" s="56">
        <v>0</v>
      </c>
      <c r="U184" s="57"/>
      <c r="V184" s="55">
        <v>0</v>
      </c>
      <c r="W184" s="55">
        <v>0</v>
      </c>
      <c r="X184" s="58">
        <v>0</v>
      </c>
      <c r="Y184" s="59">
        <v>0</v>
      </c>
      <c r="Z184" s="58">
        <v>0</v>
      </c>
      <c r="AA184" s="56">
        <v>0</v>
      </c>
      <c r="AB184" s="56">
        <v>0</v>
      </c>
      <c r="AC184" s="60">
        <v>46142</v>
      </c>
    </row>
    <row r="185" spans="1:30" x14ac:dyDescent="0.25">
      <c r="A185" s="43">
        <v>1059</v>
      </c>
      <c r="B185" s="44" t="s">
        <v>1288</v>
      </c>
      <c r="C185" s="45">
        <v>10060069</v>
      </c>
      <c r="D185" s="46" t="s">
        <v>551</v>
      </c>
      <c r="E185" s="47" t="s">
        <v>364</v>
      </c>
      <c r="F185" s="47" t="s">
        <v>58</v>
      </c>
      <c r="G185" s="62">
        <v>266.2</v>
      </c>
      <c r="H185" s="62">
        <v>11523.78</v>
      </c>
      <c r="I185" s="49">
        <v>0</v>
      </c>
      <c r="J185" s="49">
        <v>0</v>
      </c>
      <c r="K185" s="49">
        <v>0</v>
      </c>
      <c r="L185" s="50">
        <v>0</v>
      </c>
      <c r="M185" s="51"/>
      <c r="N185" s="52" t="s">
        <v>1300</v>
      </c>
      <c r="O185" s="31"/>
      <c r="P185" s="53">
        <v>-1.815651513651242E-5</v>
      </c>
      <c r="Q185" s="54">
        <v>1</v>
      </c>
      <c r="R185" s="55">
        <v>0</v>
      </c>
      <c r="S185" s="55">
        <v>0</v>
      </c>
      <c r="T185" s="56">
        <v>0</v>
      </c>
      <c r="U185" s="57"/>
      <c r="V185" s="55">
        <v>0</v>
      </c>
      <c r="W185" s="55">
        <v>0</v>
      </c>
      <c r="X185" s="58">
        <v>0</v>
      </c>
      <c r="Y185" s="59">
        <v>0</v>
      </c>
      <c r="Z185" s="58">
        <v>0</v>
      </c>
      <c r="AA185" s="56">
        <v>0</v>
      </c>
      <c r="AB185" s="56">
        <v>0</v>
      </c>
      <c r="AC185" s="60">
        <v>46142</v>
      </c>
      <c r="AD185" s="61"/>
    </row>
    <row r="186" spans="1:30" x14ac:dyDescent="0.25">
      <c r="A186" s="43">
        <v>1059</v>
      </c>
      <c r="B186" s="44" t="s">
        <v>1288</v>
      </c>
      <c r="C186" s="45">
        <v>10060074</v>
      </c>
      <c r="D186" s="46" t="s">
        <v>552</v>
      </c>
      <c r="E186" s="47" t="s">
        <v>364</v>
      </c>
      <c r="F186" s="47" t="s">
        <v>58</v>
      </c>
      <c r="G186" s="62">
        <v>437.6</v>
      </c>
      <c r="H186" s="62">
        <v>18437</v>
      </c>
      <c r="I186" s="49">
        <v>0</v>
      </c>
      <c r="J186" s="49">
        <v>0</v>
      </c>
      <c r="K186" s="49">
        <v>0</v>
      </c>
      <c r="L186" s="50">
        <v>0</v>
      </c>
      <c r="M186" s="51"/>
      <c r="N186" s="52" t="s">
        <v>1300</v>
      </c>
      <c r="O186" s="31"/>
      <c r="P186" s="53">
        <v>-7.5375659310307833E-2</v>
      </c>
      <c r="Q186" s="54">
        <v>11</v>
      </c>
      <c r="R186" s="55">
        <v>0</v>
      </c>
      <c r="S186" s="55">
        <v>0</v>
      </c>
      <c r="T186" s="56">
        <v>0</v>
      </c>
      <c r="U186" s="57"/>
      <c r="V186" s="55">
        <v>0</v>
      </c>
      <c r="W186" s="55">
        <v>0</v>
      </c>
      <c r="X186" s="58">
        <v>0</v>
      </c>
      <c r="Y186" s="59">
        <v>0</v>
      </c>
      <c r="Z186" s="58">
        <v>0</v>
      </c>
      <c r="AA186" s="56">
        <v>0</v>
      </c>
      <c r="AB186" s="56">
        <v>0</v>
      </c>
      <c r="AC186" s="60">
        <v>46142</v>
      </c>
    </row>
    <row r="187" spans="1:30" x14ac:dyDescent="0.25">
      <c r="A187" s="43">
        <v>1006</v>
      </c>
      <c r="B187" s="44" t="s">
        <v>1287</v>
      </c>
      <c r="C187" s="45">
        <v>10060077</v>
      </c>
      <c r="D187" s="46" t="s">
        <v>553</v>
      </c>
      <c r="E187" s="47" t="s">
        <v>364</v>
      </c>
      <c r="F187" s="47" t="s">
        <v>58</v>
      </c>
      <c r="G187" s="62">
        <v>1221.7</v>
      </c>
      <c r="H187" s="62">
        <v>49000.05</v>
      </c>
      <c r="I187" s="49">
        <v>0</v>
      </c>
      <c r="J187" s="49">
        <v>0</v>
      </c>
      <c r="K187" s="49">
        <v>0</v>
      </c>
      <c r="L187" s="50" t="s">
        <v>366</v>
      </c>
      <c r="M187" s="51" t="s">
        <v>554</v>
      </c>
      <c r="N187" s="52" t="s">
        <v>1300</v>
      </c>
      <c r="O187" s="31"/>
      <c r="P187" s="53">
        <v>-2.3546184587662198E-2</v>
      </c>
      <c r="Q187" s="54">
        <v>35</v>
      </c>
      <c r="R187" s="55">
        <v>1432</v>
      </c>
      <c r="S187" s="55">
        <v>0</v>
      </c>
      <c r="T187" s="56">
        <v>1432</v>
      </c>
      <c r="U187" s="57"/>
      <c r="V187" s="55">
        <v>0</v>
      </c>
      <c r="W187" s="55">
        <v>0</v>
      </c>
      <c r="X187" s="58">
        <v>0</v>
      </c>
      <c r="Y187" s="59">
        <v>0</v>
      </c>
      <c r="Z187" s="58">
        <v>0</v>
      </c>
      <c r="AA187" s="56">
        <v>0</v>
      </c>
      <c r="AB187" s="56">
        <v>0</v>
      </c>
      <c r="AC187" s="60">
        <v>46142</v>
      </c>
      <c r="AD187" s="61"/>
    </row>
    <row r="188" spans="1:30" x14ac:dyDescent="0.25">
      <c r="A188" s="43">
        <v>1006</v>
      </c>
      <c r="B188" s="44" t="s">
        <v>1287</v>
      </c>
      <c r="C188" s="45">
        <v>10060083</v>
      </c>
      <c r="D188" s="46" t="s">
        <v>555</v>
      </c>
      <c r="E188" s="47" t="s">
        <v>371</v>
      </c>
      <c r="F188" s="47" t="s">
        <v>59</v>
      </c>
      <c r="G188" s="62">
        <v>1298.5999999999999</v>
      </c>
      <c r="H188" s="62">
        <v>48681.1</v>
      </c>
      <c r="I188" s="49">
        <v>0</v>
      </c>
      <c r="J188" s="49">
        <v>0</v>
      </c>
      <c r="K188" s="49">
        <v>0</v>
      </c>
      <c r="L188" s="50">
        <v>0</v>
      </c>
      <c r="M188" s="51"/>
      <c r="N188" s="52" t="s">
        <v>1300</v>
      </c>
      <c r="O188" s="31"/>
      <c r="P188" s="53">
        <v>0</v>
      </c>
      <c r="Q188" s="54">
        <v>0</v>
      </c>
      <c r="R188" s="55">
        <v>0</v>
      </c>
      <c r="S188" s="55">
        <v>0</v>
      </c>
      <c r="T188" s="56">
        <v>0</v>
      </c>
      <c r="U188" s="57"/>
      <c r="V188" s="55">
        <v>0</v>
      </c>
      <c r="W188" s="55">
        <v>0</v>
      </c>
      <c r="X188" s="58">
        <v>0</v>
      </c>
      <c r="Y188" s="59">
        <v>0</v>
      </c>
      <c r="Z188" s="58">
        <v>0</v>
      </c>
      <c r="AA188" s="56">
        <v>0</v>
      </c>
      <c r="AB188" s="56">
        <v>0</v>
      </c>
      <c r="AC188" s="60">
        <v>46142</v>
      </c>
    </row>
    <row r="189" spans="1:30" x14ac:dyDescent="0.25">
      <c r="A189" s="43">
        <v>1059</v>
      </c>
      <c r="B189" s="44" t="s">
        <v>1288</v>
      </c>
      <c r="C189" s="45">
        <v>10060090</v>
      </c>
      <c r="D189" s="46" t="s">
        <v>556</v>
      </c>
      <c r="E189" s="47" t="s">
        <v>364</v>
      </c>
      <c r="F189" s="47" t="s">
        <v>58</v>
      </c>
      <c r="G189" s="62">
        <v>637.40000000000009</v>
      </c>
      <c r="H189" s="62">
        <v>28721.170000000006</v>
      </c>
      <c r="I189" s="49">
        <v>0</v>
      </c>
      <c r="J189" s="49">
        <v>0</v>
      </c>
      <c r="K189" s="49">
        <v>0</v>
      </c>
      <c r="L189" s="50">
        <v>0</v>
      </c>
      <c r="M189" s="51"/>
      <c r="N189" s="52" t="s">
        <v>1300</v>
      </c>
      <c r="O189" s="31"/>
      <c r="P189" s="53">
        <v>-1.3239682331879049E-4</v>
      </c>
      <c r="Q189" s="54">
        <v>3</v>
      </c>
      <c r="R189" s="55">
        <v>0</v>
      </c>
      <c r="S189" s="55">
        <v>0</v>
      </c>
      <c r="T189" s="56">
        <v>0</v>
      </c>
      <c r="U189" s="57"/>
      <c r="V189" s="55">
        <v>0</v>
      </c>
      <c r="W189" s="55">
        <v>0</v>
      </c>
      <c r="X189" s="58">
        <v>0</v>
      </c>
      <c r="Y189" s="59">
        <v>0</v>
      </c>
      <c r="Z189" s="58">
        <v>0</v>
      </c>
      <c r="AA189" s="56">
        <v>0</v>
      </c>
      <c r="AB189" s="56">
        <v>0</v>
      </c>
      <c r="AC189" s="60">
        <v>46142</v>
      </c>
    </row>
    <row r="190" spans="1:30" x14ac:dyDescent="0.25">
      <c r="A190" s="43">
        <v>1006</v>
      </c>
      <c r="B190" s="44" t="s">
        <v>1287</v>
      </c>
      <c r="C190" s="45">
        <v>10060096</v>
      </c>
      <c r="D190" s="46" t="s">
        <v>557</v>
      </c>
      <c r="E190" s="47" t="s">
        <v>371</v>
      </c>
      <c r="F190" s="47" t="s">
        <v>59</v>
      </c>
      <c r="G190" s="62">
        <v>738.1</v>
      </c>
      <c r="H190" s="62">
        <v>26350.58</v>
      </c>
      <c r="I190" s="49">
        <v>0</v>
      </c>
      <c r="J190" s="49">
        <v>0</v>
      </c>
      <c r="K190" s="49">
        <v>2308.208070967743</v>
      </c>
      <c r="L190" s="50">
        <v>0</v>
      </c>
      <c r="M190" s="51"/>
      <c r="N190" s="52" t="s">
        <v>1300</v>
      </c>
      <c r="O190" s="31"/>
      <c r="P190" s="53">
        <v>0</v>
      </c>
      <c r="Q190" s="54">
        <v>0</v>
      </c>
      <c r="R190" s="55">
        <v>0</v>
      </c>
      <c r="S190" s="55">
        <v>0</v>
      </c>
      <c r="T190" s="56">
        <v>0</v>
      </c>
      <c r="U190" s="57"/>
      <c r="V190" s="55">
        <v>2308.208070967743</v>
      </c>
      <c r="W190" s="55">
        <v>0</v>
      </c>
      <c r="X190" s="58">
        <v>0</v>
      </c>
      <c r="Y190" s="59">
        <v>2308.208070967743</v>
      </c>
      <c r="Z190" s="58">
        <v>2308.208070967743</v>
      </c>
      <c r="AA190" s="56">
        <v>0</v>
      </c>
      <c r="AB190" s="56">
        <v>0</v>
      </c>
      <c r="AC190" s="60">
        <v>46142</v>
      </c>
    </row>
    <row r="191" spans="1:30" x14ac:dyDescent="0.25">
      <c r="A191" s="43">
        <v>1006</v>
      </c>
      <c r="B191" s="44" t="s">
        <v>1287</v>
      </c>
      <c r="C191" s="45">
        <v>10060097</v>
      </c>
      <c r="D191" s="46" t="s">
        <v>558</v>
      </c>
      <c r="E191" s="47" t="s">
        <v>371</v>
      </c>
      <c r="F191" s="47" t="s">
        <v>59</v>
      </c>
      <c r="G191" s="62">
        <v>1905.6000000000001</v>
      </c>
      <c r="H191" s="62">
        <v>69933.819999999992</v>
      </c>
      <c r="I191" s="49">
        <v>0</v>
      </c>
      <c r="J191" s="49">
        <v>0</v>
      </c>
      <c r="K191" s="49">
        <v>0</v>
      </c>
      <c r="L191" s="50">
        <v>0</v>
      </c>
      <c r="M191" s="51"/>
      <c r="N191" s="52" t="s">
        <v>1300</v>
      </c>
      <c r="O191" s="31"/>
      <c r="P191" s="53">
        <v>0</v>
      </c>
      <c r="Q191" s="54">
        <v>0</v>
      </c>
      <c r="R191" s="55">
        <v>0</v>
      </c>
      <c r="S191" s="55">
        <v>0</v>
      </c>
      <c r="T191" s="56">
        <v>0</v>
      </c>
      <c r="U191" s="57"/>
      <c r="V191" s="55">
        <v>0</v>
      </c>
      <c r="W191" s="55">
        <v>0</v>
      </c>
      <c r="X191" s="58">
        <v>0</v>
      </c>
      <c r="Y191" s="59">
        <v>0</v>
      </c>
      <c r="Z191" s="58">
        <v>0</v>
      </c>
      <c r="AA191" s="56">
        <v>0</v>
      </c>
      <c r="AB191" s="56">
        <v>0</v>
      </c>
      <c r="AC191" s="60">
        <v>46142</v>
      </c>
    </row>
    <row r="192" spans="1:30" x14ac:dyDescent="0.25">
      <c r="A192" s="43">
        <v>1006</v>
      </c>
      <c r="B192" s="44" t="s">
        <v>1287</v>
      </c>
      <c r="C192" s="45">
        <v>10060098</v>
      </c>
      <c r="D192" s="46" t="s">
        <v>559</v>
      </c>
      <c r="E192" s="47" t="s">
        <v>364</v>
      </c>
      <c r="F192" s="47" t="s">
        <v>58</v>
      </c>
      <c r="G192" s="62">
        <v>1834.0999999999997</v>
      </c>
      <c r="H192" s="62">
        <v>76073.319999999992</v>
      </c>
      <c r="I192" s="49">
        <v>0</v>
      </c>
      <c r="J192" s="49">
        <v>0</v>
      </c>
      <c r="K192" s="49">
        <v>0</v>
      </c>
      <c r="L192" s="50">
        <v>0</v>
      </c>
      <c r="M192" s="51"/>
      <c r="N192" s="52" t="s">
        <v>1300</v>
      </c>
      <c r="O192" s="31"/>
      <c r="P192" s="53">
        <v>-2.2738339570754978E-2</v>
      </c>
      <c r="Q192" s="54">
        <v>17</v>
      </c>
      <c r="R192" s="55">
        <v>0</v>
      </c>
      <c r="S192" s="55">
        <v>0</v>
      </c>
      <c r="T192" s="56">
        <v>0</v>
      </c>
      <c r="U192" s="57"/>
      <c r="V192" s="55">
        <v>0</v>
      </c>
      <c r="W192" s="55">
        <v>0</v>
      </c>
      <c r="X192" s="58">
        <v>0</v>
      </c>
      <c r="Y192" s="59">
        <v>0</v>
      </c>
      <c r="Z192" s="58">
        <v>0</v>
      </c>
      <c r="AA192" s="56">
        <v>0</v>
      </c>
      <c r="AB192" s="56">
        <v>0</v>
      </c>
      <c r="AC192" s="60">
        <v>46142</v>
      </c>
    </row>
    <row r="193" spans="1:29" x14ac:dyDescent="0.25">
      <c r="A193" s="43">
        <v>1006</v>
      </c>
      <c r="B193" s="44" t="s">
        <v>1287</v>
      </c>
      <c r="C193" s="45">
        <v>10060104</v>
      </c>
      <c r="D193" s="46" t="s">
        <v>560</v>
      </c>
      <c r="E193" s="47" t="s">
        <v>371</v>
      </c>
      <c r="F193" s="47" t="s">
        <v>59</v>
      </c>
      <c r="G193" s="62">
        <v>412</v>
      </c>
      <c r="H193" s="62">
        <v>14561.32</v>
      </c>
      <c r="I193" s="49">
        <v>0</v>
      </c>
      <c r="J193" s="49">
        <v>0</v>
      </c>
      <c r="K193" s="49">
        <v>1091.4697354838704</v>
      </c>
      <c r="L193" s="50">
        <v>0</v>
      </c>
      <c r="M193" s="51"/>
      <c r="N193" s="52" t="s">
        <v>1300</v>
      </c>
      <c r="O193" s="31"/>
      <c r="P193" s="53">
        <v>0</v>
      </c>
      <c r="Q193" s="54">
        <v>0</v>
      </c>
      <c r="R193" s="55">
        <v>0</v>
      </c>
      <c r="S193" s="55">
        <v>0</v>
      </c>
      <c r="T193" s="56">
        <v>0</v>
      </c>
      <c r="U193" s="57"/>
      <c r="V193" s="55">
        <v>1091.4697354838704</v>
      </c>
      <c r="W193" s="55">
        <v>0</v>
      </c>
      <c r="X193" s="58">
        <v>0</v>
      </c>
      <c r="Y193" s="59">
        <v>1091.4697354838704</v>
      </c>
      <c r="Z193" s="58">
        <v>1091.4697354838704</v>
      </c>
      <c r="AA193" s="56">
        <v>0</v>
      </c>
      <c r="AB193" s="56">
        <v>0</v>
      </c>
      <c r="AC193" s="60">
        <v>46142</v>
      </c>
    </row>
    <row r="194" spans="1:29" x14ac:dyDescent="0.25">
      <c r="A194" s="43">
        <v>1006</v>
      </c>
      <c r="B194" s="44" t="s">
        <v>1287</v>
      </c>
      <c r="C194" s="45">
        <v>10060106</v>
      </c>
      <c r="D194" s="46" t="s">
        <v>561</v>
      </c>
      <c r="E194" s="47" t="s">
        <v>364</v>
      </c>
      <c r="F194" s="47" t="s">
        <v>58</v>
      </c>
      <c r="G194" s="62">
        <v>551.4</v>
      </c>
      <c r="H194" s="62">
        <v>26135.18</v>
      </c>
      <c r="I194" s="49">
        <v>0</v>
      </c>
      <c r="J194" s="49">
        <v>0</v>
      </c>
      <c r="K194" s="49">
        <v>0</v>
      </c>
      <c r="L194" s="50">
        <v>0</v>
      </c>
      <c r="M194" s="51"/>
      <c r="N194" s="52" t="s">
        <v>1300</v>
      </c>
      <c r="O194" s="31"/>
      <c r="P194" s="53">
        <v>-0.103651668542734</v>
      </c>
      <c r="Q194" s="54">
        <v>9</v>
      </c>
      <c r="R194" s="55">
        <v>0</v>
      </c>
      <c r="S194" s="55">
        <v>0</v>
      </c>
      <c r="T194" s="56">
        <v>0</v>
      </c>
      <c r="U194" s="57"/>
      <c r="V194" s="55">
        <v>0</v>
      </c>
      <c r="W194" s="55">
        <v>0</v>
      </c>
      <c r="X194" s="58">
        <v>0</v>
      </c>
      <c r="Y194" s="59">
        <v>0</v>
      </c>
      <c r="Z194" s="58">
        <v>0</v>
      </c>
      <c r="AA194" s="56">
        <v>0</v>
      </c>
      <c r="AB194" s="56">
        <v>0</v>
      </c>
      <c r="AC194" s="60">
        <v>46142</v>
      </c>
    </row>
    <row r="195" spans="1:29" x14ac:dyDescent="0.25">
      <c r="A195" s="43">
        <v>1006</v>
      </c>
      <c r="B195" s="44" t="s">
        <v>1287</v>
      </c>
      <c r="C195" s="45">
        <v>10060107</v>
      </c>
      <c r="D195" s="46" t="s">
        <v>562</v>
      </c>
      <c r="E195" s="47" t="s">
        <v>371</v>
      </c>
      <c r="F195" s="47" t="s">
        <v>59</v>
      </c>
      <c r="G195" s="62">
        <v>556.5</v>
      </c>
      <c r="H195" s="62">
        <v>22428.899999999998</v>
      </c>
      <c r="I195" s="49">
        <v>0</v>
      </c>
      <c r="J195" s="49">
        <v>0</v>
      </c>
      <c r="K195" s="49">
        <v>0</v>
      </c>
      <c r="L195" s="50">
        <v>0</v>
      </c>
      <c r="M195" s="51"/>
      <c r="N195" s="52" t="s">
        <v>1300</v>
      </c>
      <c r="O195" s="31"/>
      <c r="P195" s="53">
        <v>0</v>
      </c>
      <c r="Q195" s="54">
        <v>0</v>
      </c>
      <c r="R195" s="55">
        <v>0</v>
      </c>
      <c r="S195" s="55">
        <v>0</v>
      </c>
      <c r="T195" s="56">
        <v>0</v>
      </c>
      <c r="U195" s="57"/>
      <c r="V195" s="55">
        <v>0</v>
      </c>
      <c r="W195" s="55">
        <v>0</v>
      </c>
      <c r="X195" s="58">
        <v>0</v>
      </c>
      <c r="Y195" s="59">
        <v>0</v>
      </c>
      <c r="Z195" s="58">
        <v>0</v>
      </c>
      <c r="AA195" s="56">
        <v>0</v>
      </c>
      <c r="AB195" s="56">
        <v>0</v>
      </c>
      <c r="AC195" s="60">
        <v>46142</v>
      </c>
    </row>
    <row r="196" spans="1:29" x14ac:dyDescent="0.25">
      <c r="A196" s="43">
        <v>1006</v>
      </c>
      <c r="B196" s="44" t="s">
        <v>1287</v>
      </c>
      <c r="C196" s="45">
        <v>10060111</v>
      </c>
      <c r="D196" s="46" t="s">
        <v>563</v>
      </c>
      <c r="E196" s="47" t="s">
        <v>364</v>
      </c>
      <c r="F196" s="47" t="s">
        <v>58</v>
      </c>
      <c r="G196" s="62">
        <v>598.79999999999995</v>
      </c>
      <c r="H196" s="62">
        <v>24430.240000000002</v>
      </c>
      <c r="I196" s="49">
        <v>0</v>
      </c>
      <c r="J196" s="49">
        <v>13000</v>
      </c>
      <c r="K196" s="49">
        <v>0</v>
      </c>
      <c r="L196" s="50" t="s">
        <v>409</v>
      </c>
      <c r="M196" s="51" t="s">
        <v>554</v>
      </c>
      <c r="N196" s="52" t="s">
        <v>1300</v>
      </c>
      <c r="O196" s="31"/>
      <c r="P196" s="53">
        <v>-0.62028621863449418</v>
      </c>
      <c r="Q196" s="54">
        <v>3</v>
      </c>
      <c r="R196" s="55">
        <v>13000</v>
      </c>
      <c r="S196" s="55">
        <v>13000</v>
      </c>
      <c r="T196" s="56">
        <v>0</v>
      </c>
      <c r="U196" s="57"/>
      <c r="V196" s="55">
        <v>0</v>
      </c>
      <c r="W196" s="55">
        <v>0</v>
      </c>
      <c r="X196" s="58">
        <v>0</v>
      </c>
      <c r="Y196" s="59">
        <v>0</v>
      </c>
      <c r="Z196" s="58">
        <v>0</v>
      </c>
      <c r="AA196" s="56">
        <v>0</v>
      </c>
      <c r="AB196" s="56">
        <v>0</v>
      </c>
      <c r="AC196" s="60">
        <v>46142</v>
      </c>
    </row>
    <row r="197" spans="1:29" x14ac:dyDescent="0.25">
      <c r="A197" s="43">
        <v>1006</v>
      </c>
      <c r="B197" s="44" t="s">
        <v>1287</v>
      </c>
      <c r="C197" s="45">
        <v>10060113</v>
      </c>
      <c r="D197" s="46" t="s">
        <v>564</v>
      </c>
      <c r="E197" s="47" t="s">
        <v>371</v>
      </c>
      <c r="F197" s="47" t="s">
        <v>59</v>
      </c>
      <c r="G197" s="62">
        <v>598</v>
      </c>
      <c r="H197" s="62">
        <v>22764.85</v>
      </c>
      <c r="I197" s="49">
        <v>0</v>
      </c>
      <c r="J197" s="49">
        <v>0</v>
      </c>
      <c r="K197" s="49">
        <v>0</v>
      </c>
      <c r="L197" s="50">
        <v>0</v>
      </c>
      <c r="M197" s="51"/>
      <c r="N197" s="52" t="s">
        <v>1300</v>
      </c>
      <c r="O197" s="31"/>
      <c r="P197" s="53">
        <v>0</v>
      </c>
      <c r="Q197" s="54">
        <v>0</v>
      </c>
      <c r="R197" s="55">
        <v>0</v>
      </c>
      <c r="S197" s="55">
        <v>0</v>
      </c>
      <c r="T197" s="56">
        <v>0</v>
      </c>
      <c r="U197" s="57"/>
      <c r="V197" s="55">
        <v>0</v>
      </c>
      <c r="W197" s="55">
        <v>0</v>
      </c>
      <c r="X197" s="58">
        <v>0</v>
      </c>
      <c r="Y197" s="59">
        <v>0</v>
      </c>
      <c r="Z197" s="58">
        <v>0</v>
      </c>
      <c r="AA197" s="56">
        <v>0</v>
      </c>
      <c r="AB197" s="56">
        <v>0</v>
      </c>
      <c r="AC197" s="60">
        <v>46142</v>
      </c>
    </row>
    <row r="198" spans="1:29" x14ac:dyDescent="0.25">
      <c r="A198" s="43">
        <v>1006</v>
      </c>
      <c r="B198" s="44" t="s">
        <v>1287</v>
      </c>
      <c r="C198" s="45">
        <v>10060114</v>
      </c>
      <c r="D198" s="46" t="s">
        <v>565</v>
      </c>
      <c r="E198" s="47" t="s">
        <v>364</v>
      </c>
      <c r="F198" s="47" t="s">
        <v>58</v>
      </c>
      <c r="G198" s="62">
        <v>346.40000000000003</v>
      </c>
      <c r="H198" s="62">
        <v>13599.530000000002</v>
      </c>
      <c r="I198" s="49">
        <v>0</v>
      </c>
      <c r="J198" s="49">
        <v>0</v>
      </c>
      <c r="K198" s="49">
        <v>0</v>
      </c>
      <c r="L198" s="50">
        <v>0</v>
      </c>
      <c r="M198" s="51"/>
      <c r="N198" s="52" t="s">
        <v>1300</v>
      </c>
      <c r="O198" s="31"/>
      <c r="P198" s="53">
        <v>-1.9525505807921407E-3</v>
      </c>
      <c r="Q198" s="54">
        <v>1</v>
      </c>
      <c r="R198" s="55">
        <v>0</v>
      </c>
      <c r="S198" s="55">
        <v>0</v>
      </c>
      <c r="T198" s="56">
        <v>0</v>
      </c>
      <c r="U198" s="57"/>
      <c r="V198" s="55">
        <v>0</v>
      </c>
      <c r="W198" s="55">
        <v>0</v>
      </c>
      <c r="X198" s="58">
        <v>0</v>
      </c>
      <c r="Y198" s="59">
        <v>0</v>
      </c>
      <c r="Z198" s="58">
        <v>0</v>
      </c>
      <c r="AA198" s="56">
        <v>0</v>
      </c>
      <c r="AB198" s="56">
        <v>0</v>
      </c>
      <c r="AC198" s="60">
        <v>46142</v>
      </c>
    </row>
    <row r="199" spans="1:29" x14ac:dyDescent="0.25">
      <c r="A199" s="43">
        <v>1006</v>
      </c>
      <c r="B199" s="44" t="s">
        <v>1287</v>
      </c>
      <c r="C199" s="45">
        <v>10060116</v>
      </c>
      <c r="D199" s="46" t="s">
        <v>566</v>
      </c>
      <c r="E199" s="47" t="s">
        <v>364</v>
      </c>
      <c r="F199" s="47" t="s">
        <v>58</v>
      </c>
      <c r="G199" s="62">
        <v>131.1</v>
      </c>
      <c r="H199" s="62">
        <v>4791.95</v>
      </c>
      <c r="I199" s="49">
        <v>0</v>
      </c>
      <c r="J199" s="49">
        <v>0</v>
      </c>
      <c r="K199" s="49">
        <v>208.67387999999983</v>
      </c>
      <c r="L199" s="50">
        <v>0</v>
      </c>
      <c r="M199" s="51"/>
      <c r="N199" s="52" t="s">
        <v>1300</v>
      </c>
      <c r="O199" s="31"/>
      <c r="P199" s="53">
        <v>-2.9192831311679188E-2</v>
      </c>
      <c r="Q199" s="54">
        <v>2</v>
      </c>
      <c r="R199" s="55">
        <v>0</v>
      </c>
      <c r="S199" s="55">
        <v>0</v>
      </c>
      <c r="T199" s="56">
        <v>0</v>
      </c>
      <c r="U199" s="57"/>
      <c r="V199" s="55">
        <v>208.67387999999983</v>
      </c>
      <c r="W199" s="55">
        <v>0</v>
      </c>
      <c r="X199" s="58">
        <v>0</v>
      </c>
      <c r="Y199" s="59">
        <v>208.67387999999983</v>
      </c>
      <c r="Z199" s="58">
        <v>208.67387999999983</v>
      </c>
      <c r="AA199" s="56">
        <v>0</v>
      </c>
      <c r="AB199" s="56">
        <v>0</v>
      </c>
      <c r="AC199" s="60">
        <v>46142</v>
      </c>
    </row>
    <row r="200" spans="1:29" x14ac:dyDescent="0.25">
      <c r="A200" s="43">
        <v>1006</v>
      </c>
      <c r="B200" s="44" t="s">
        <v>1287</v>
      </c>
      <c r="C200" s="45">
        <v>10060117</v>
      </c>
      <c r="D200" s="46" t="s">
        <v>567</v>
      </c>
      <c r="E200" s="47" t="s">
        <v>371</v>
      </c>
      <c r="F200" s="47" t="s">
        <v>59</v>
      </c>
      <c r="G200" s="62">
        <v>26.700000000000003</v>
      </c>
      <c r="H200" s="62">
        <v>1208.4000000000001</v>
      </c>
      <c r="I200" s="49">
        <v>0</v>
      </c>
      <c r="J200" s="49">
        <v>0</v>
      </c>
      <c r="K200" s="49">
        <v>212.13946451612907</v>
      </c>
      <c r="L200" s="50">
        <v>0</v>
      </c>
      <c r="M200" s="51"/>
      <c r="N200" s="52" t="s">
        <v>1300</v>
      </c>
      <c r="O200" s="31"/>
      <c r="P200" s="53">
        <v>0</v>
      </c>
      <c r="Q200" s="54">
        <v>0</v>
      </c>
      <c r="R200" s="55">
        <v>0</v>
      </c>
      <c r="S200" s="55">
        <v>0</v>
      </c>
      <c r="T200" s="56">
        <v>0</v>
      </c>
      <c r="U200" s="57"/>
      <c r="V200" s="55">
        <v>212.13946451612907</v>
      </c>
      <c r="W200" s="55">
        <v>0</v>
      </c>
      <c r="X200" s="58">
        <v>0</v>
      </c>
      <c r="Y200" s="59">
        <v>212.13946451612907</v>
      </c>
      <c r="Z200" s="58">
        <v>212.13946451612907</v>
      </c>
      <c r="AA200" s="56">
        <v>0</v>
      </c>
      <c r="AB200" s="56">
        <v>0</v>
      </c>
      <c r="AC200" s="60">
        <v>46142</v>
      </c>
    </row>
    <row r="201" spans="1:29" x14ac:dyDescent="0.25">
      <c r="A201" s="43">
        <v>1006</v>
      </c>
      <c r="B201" s="44" t="s">
        <v>1287</v>
      </c>
      <c r="C201" s="45">
        <v>10060118</v>
      </c>
      <c r="D201" s="46" t="s">
        <v>568</v>
      </c>
      <c r="E201" s="47" t="s">
        <v>364</v>
      </c>
      <c r="F201" s="47" t="s">
        <v>58</v>
      </c>
      <c r="G201" s="62">
        <v>421.6</v>
      </c>
      <c r="H201" s="62">
        <v>18015.27</v>
      </c>
      <c r="I201" s="49">
        <v>0</v>
      </c>
      <c r="J201" s="49">
        <v>0</v>
      </c>
      <c r="K201" s="49">
        <v>1111.75</v>
      </c>
      <c r="L201" s="50" t="s">
        <v>366</v>
      </c>
      <c r="M201" s="51" t="s">
        <v>367</v>
      </c>
      <c r="N201" s="52" t="s">
        <v>1300</v>
      </c>
      <c r="O201" s="31"/>
      <c r="P201" s="53">
        <v>-0.27318525179944053</v>
      </c>
      <c r="Q201" s="54">
        <v>6</v>
      </c>
      <c r="R201" s="55">
        <v>0</v>
      </c>
      <c r="S201" s="55">
        <v>0</v>
      </c>
      <c r="T201" s="56">
        <v>0</v>
      </c>
      <c r="U201" s="57"/>
      <c r="V201" s="55">
        <v>1111.750103225806</v>
      </c>
      <c r="W201" s="55">
        <v>0</v>
      </c>
      <c r="X201" s="58">
        <v>0</v>
      </c>
      <c r="Y201" s="59">
        <v>1111.750103225806</v>
      </c>
      <c r="Z201" s="58">
        <v>1111.75</v>
      </c>
      <c r="AA201" s="56">
        <v>-1.0322580601496156E-4</v>
      </c>
      <c r="AB201" s="56">
        <v>-1.0322580601496156E-4</v>
      </c>
      <c r="AC201" s="60">
        <v>46142</v>
      </c>
    </row>
    <row r="202" spans="1:29" x14ac:dyDescent="0.25">
      <c r="A202" s="43">
        <v>1006</v>
      </c>
      <c r="B202" s="44" t="s">
        <v>1287</v>
      </c>
      <c r="C202" s="45">
        <v>10060120</v>
      </c>
      <c r="D202" s="46" t="s">
        <v>569</v>
      </c>
      <c r="E202" s="47" t="s">
        <v>371</v>
      </c>
      <c r="F202" s="47" t="s">
        <v>59</v>
      </c>
      <c r="G202" s="62">
        <v>249.19999999999996</v>
      </c>
      <c r="H202" s="62">
        <v>11700.820000000002</v>
      </c>
      <c r="I202" s="49">
        <v>0</v>
      </c>
      <c r="J202" s="49">
        <v>0</v>
      </c>
      <c r="K202" s="49">
        <v>445.04771612903261</v>
      </c>
      <c r="L202" s="50">
        <v>0</v>
      </c>
      <c r="M202" s="51"/>
      <c r="N202" s="52" t="s">
        <v>1300</v>
      </c>
      <c r="O202" s="31"/>
      <c r="P202" s="53">
        <v>0</v>
      </c>
      <c r="Q202" s="54">
        <v>0</v>
      </c>
      <c r="R202" s="55">
        <v>0</v>
      </c>
      <c r="S202" s="55">
        <v>0</v>
      </c>
      <c r="T202" s="56">
        <v>0</v>
      </c>
      <c r="U202" s="57"/>
      <c r="V202" s="55">
        <v>445.04771612903261</v>
      </c>
      <c r="W202" s="55">
        <v>0</v>
      </c>
      <c r="X202" s="58">
        <v>0</v>
      </c>
      <c r="Y202" s="59">
        <v>445.04771612903261</v>
      </c>
      <c r="Z202" s="58">
        <v>445.04771612903261</v>
      </c>
      <c r="AA202" s="56">
        <v>0</v>
      </c>
      <c r="AB202" s="56">
        <v>0</v>
      </c>
      <c r="AC202" s="60">
        <v>46142</v>
      </c>
    </row>
    <row r="203" spans="1:29" x14ac:dyDescent="0.25">
      <c r="A203" s="43">
        <v>1006</v>
      </c>
      <c r="B203" s="44" t="s">
        <v>1287</v>
      </c>
      <c r="C203" s="45">
        <v>10060122</v>
      </c>
      <c r="D203" s="46" t="s">
        <v>570</v>
      </c>
      <c r="E203" s="47" t="s">
        <v>371</v>
      </c>
      <c r="F203" s="47" t="s">
        <v>59</v>
      </c>
      <c r="G203" s="62">
        <v>185.7</v>
      </c>
      <c r="H203" s="62">
        <v>6751.03</v>
      </c>
      <c r="I203" s="49">
        <v>0</v>
      </c>
      <c r="J203" s="49">
        <v>6500</v>
      </c>
      <c r="K203" s="49">
        <v>87.939406451612953</v>
      </c>
      <c r="L203" s="50">
        <v>0</v>
      </c>
      <c r="M203" s="51"/>
      <c r="N203" s="52" t="s">
        <v>1300</v>
      </c>
      <c r="O203" s="31"/>
      <c r="P203" s="53">
        <v>0</v>
      </c>
      <c r="Q203" s="54">
        <v>0</v>
      </c>
      <c r="R203" s="55">
        <v>6500</v>
      </c>
      <c r="S203" s="55">
        <v>6500</v>
      </c>
      <c r="T203" s="56">
        <v>0</v>
      </c>
      <c r="U203" s="57"/>
      <c r="V203" s="55">
        <v>87.939406451612953</v>
      </c>
      <c r="W203" s="55">
        <v>0</v>
      </c>
      <c r="X203" s="58">
        <v>0</v>
      </c>
      <c r="Y203" s="59">
        <v>87.939406451612953</v>
      </c>
      <c r="Z203" s="58">
        <v>87.939406451612953</v>
      </c>
      <c r="AA203" s="56">
        <v>0</v>
      </c>
      <c r="AB203" s="56">
        <v>0</v>
      </c>
      <c r="AC203" s="60">
        <v>46142</v>
      </c>
    </row>
    <row r="204" spans="1:29" x14ac:dyDescent="0.25">
      <c r="A204" s="43">
        <v>1059</v>
      </c>
      <c r="B204" s="44" t="s">
        <v>1288</v>
      </c>
      <c r="C204" s="45">
        <v>10060124</v>
      </c>
      <c r="D204" s="46" t="s">
        <v>571</v>
      </c>
      <c r="E204" s="47" t="s">
        <v>364</v>
      </c>
      <c r="F204" s="47" t="s">
        <v>58</v>
      </c>
      <c r="G204" s="62">
        <v>31.900000000000002</v>
      </c>
      <c r="H204" s="62">
        <v>1277.8900000000001</v>
      </c>
      <c r="I204" s="49">
        <v>0</v>
      </c>
      <c r="J204" s="49">
        <v>0</v>
      </c>
      <c r="K204" s="49">
        <v>127.45384800000005</v>
      </c>
      <c r="L204" s="50">
        <v>0</v>
      </c>
      <c r="M204" s="51"/>
      <c r="N204" s="52" t="s">
        <v>1300</v>
      </c>
      <c r="O204" s="31"/>
      <c r="P204" s="53">
        <v>7.0528955284101108E-2</v>
      </c>
      <c r="Q204" s="54">
        <v>1</v>
      </c>
      <c r="R204" s="55">
        <v>0</v>
      </c>
      <c r="S204" s="55">
        <v>0</v>
      </c>
      <c r="T204" s="56">
        <v>0</v>
      </c>
      <c r="U204" s="57"/>
      <c r="V204" s="55">
        <v>127.45384800000005</v>
      </c>
      <c r="W204" s="55">
        <v>0</v>
      </c>
      <c r="X204" s="58">
        <v>0</v>
      </c>
      <c r="Y204" s="59">
        <v>127.45384800000005</v>
      </c>
      <c r="Z204" s="58">
        <v>127.45384800000005</v>
      </c>
      <c r="AA204" s="56">
        <v>0</v>
      </c>
      <c r="AB204" s="56">
        <v>0</v>
      </c>
      <c r="AC204" s="60">
        <v>46142</v>
      </c>
    </row>
    <row r="205" spans="1:29" x14ac:dyDescent="0.25">
      <c r="A205" s="43">
        <v>1006</v>
      </c>
      <c r="B205" s="44" t="s">
        <v>1287</v>
      </c>
      <c r="C205" s="45">
        <v>10060125</v>
      </c>
      <c r="D205" s="46" t="s">
        <v>572</v>
      </c>
      <c r="E205" s="47" t="s">
        <v>371</v>
      </c>
      <c r="F205" s="47" t="s">
        <v>59</v>
      </c>
      <c r="G205" s="62">
        <v>121.5</v>
      </c>
      <c r="H205" s="62">
        <v>5534.73</v>
      </c>
      <c r="I205" s="49">
        <v>0</v>
      </c>
      <c r="J205" s="49">
        <v>0</v>
      </c>
      <c r="K205" s="49">
        <v>0</v>
      </c>
      <c r="L205" s="50">
        <v>0</v>
      </c>
      <c r="M205" s="51"/>
      <c r="N205" s="52" t="s">
        <v>1300</v>
      </c>
      <c r="O205" s="31"/>
      <c r="P205" s="53">
        <v>0</v>
      </c>
      <c r="Q205" s="54">
        <v>0</v>
      </c>
      <c r="R205" s="55">
        <v>0</v>
      </c>
      <c r="S205" s="55">
        <v>0</v>
      </c>
      <c r="T205" s="56">
        <v>0</v>
      </c>
      <c r="U205" s="57"/>
      <c r="V205" s="55">
        <v>0</v>
      </c>
      <c r="W205" s="55">
        <v>0</v>
      </c>
      <c r="X205" s="58">
        <v>0</v>
      </c>
      <c r="Y205" s="59">
        <v>0</v>
      </c>
      <c r="Z205" s="58">
        <v>0</v>
      </c>
      <c r="AA205" s="56">
        <v>0</v>
      </c>
      <c r="AB205" s="56">
        <v>0</v>
      </c>
      <c r="AC205" s="60">
        <v>46142</v>
      </c>
    </row>
    <row r="206" spans="1:29" x14ac:dyDescent="0.25">
      <c r="A206" s="43">
        <v>1006</v>
      </c>
      <c r="B206" s="44" t="s">
        <v>1287</v>
      </c>
      <c r="C206" s="45">
        <v>10060126</v>
      </c>
      <c r="D206" s="46" t="s">
        <v>573</v>
      </c>
      <c r="E206" s="47" t="s">
        <v>364</v>
      </c>
      <c r="F206" s="47" t="s">
        <v>58</v>
      </c>
      <c r="G206" s="62">
        <v>160.89999999999998</v>
      </c>
      <c r="H206" s="62">
        <v>5093.8999999999996</v>
      </c>
      <c r="I206" s="49">
        <v>0</v>
      </c>
      <c r="J206" s="49">
        <v>0</v>
      </c>
      <c r="K206" s="49">
        <v>910.02353999999991</v>
      </c>
      <c r="L206" s="50">
        <v>0</v>
      </c>
      <c r="M206" s="51"/>
      <c r="N206" s="52" t="s">
        <v>1300</v>
      </c>
      <c r="O206" s="31"/>
      <c r="P206" s="53">
        <v>-3.3171779834704582E-2</v>
      </c>
      <c r="Q206" s="54">
        <v>1</v>
      </c>
      <c r="R206" s="55">
        <v>0</v>
      </c>
      <c r="S206" s="55">
        <v>0</v>
      </c>
      <c r="T206" s="56">
        <v>0</v>
      </c>
      <c r="U206" s="57"/>
      <c r="V206" s="55">
        <v>910.02353999999991</v>
      </c>
      <c r="W206" s="55">
        <v>0</v>
      </c>
      <c r="X206" s="58">
        <v>0</v>
      </c>
      <c r="Y206" s="59">
        <v>910.02353999999991</v>
      </c>
      <c r="Z206" s="58">
        <v>910.02353999999991</v>
      </c>
      <c r="AA206" s="56">
        <v>0</v>
      </c>
      <c r="AB206" s="56">
        <v>0</v>
      </c>
      <c r="AC206" s="60">
        <v>46142</v>
      </c>
    </row>
    <row r="207" spans="1:29" x14ac:dyDescent="0.25">
      <c r="A207" s="43">
        <v>1006</v>
      </c>
      <c r="B207" s="44" t="s">
        <v>1287</v>
      </c>
      <c r="C207" s="45">
        <v>10060129</v>
      </c>
      <c r="D207" s="46" t="s">
        <v>574</v>
      </c>
      <c r="E207" s="47" t="s">
        <v>364</v>
      </c>
      <c r="F207" s="47" t="s">
        <v>58</v>
      </c>
      <c r="G207" s="62">
        <v>299.5</v>
      </c>
      <c r="H207" s="62">
        <v>11681.11</v>
      </c>
      <c r="I207" s="49">
        <v>0</v>
      </c>
      <c r="J207" s="49">
        <v>0</v>
      </c>
      <c r="K207" s="49">
        <v>0</v>
      </c>
      <c r="L207" s="50">
        <v>0</v>
      </c>
      <c r="M207" s="51"/>
      <c r="N207" s="52" t="s">
        <v>1300</v>
      </c>
      <c r="O207" s="31"/>
      <c r="P207" s="53">
        <v>-1.4380834417276988E-2</v>
      </c>
      <c r="Q207" s="54">
        <v>3</v>
      </c>
      <c r="R207" s="55">
        <v>0</v>
      </c>
      <c r="S207" s="55">
        <v>0</v>
      </c>
      <c r="T207" s="56">
        <v>0</v>
      </c>
      <c r="U207" s="57"/>
      <c r="V207" s="55">
        <v>0</v>
      </c>
      <c r="W207" s="55">
        <v>0</v>
      </c>
      <c r="X207" s="58">
        <v>0</v>
      </c>
      <c r="Y207" s="59">
        <v>0</v>
      </c>
      <c r="Z207" s="58">
        <v>0</v>
      </c>
      <c r="AA207" s="56">
        <v>0</v>
      </c>
      <c r="AB207" s="56">
        <v>0</v>
      </c>
      <c r="AC207" s="60">
        <v>46142</v>
      </c>
    </row>
    <row r="208" spans="1:29" x14ac:dyDescent="0.25">
      <c r="A208" s="43">
        <v>1006</v>
      </c>
      <c r="B208" s="44" t="s">
        <v>1287</v>
      </c>
      <c r="C208" s="45">
        <v>10060130</v>
      </c>
      <c r="D208" s="46" t="s">
        <v>575</v>
      </c>
      <c r="E208" s="47" t="s">
        <v>364</v>
      </c>
      <c r="F208" s="47" t="s">
        <v>58</v>
      </c>
      <c r="G208" s="62">
        <v>499.59999999999997</v>
      </c>
      <c r="H208" s="62">
        <v>19893.59</v>
      </c>
      <c r="I208" s="49">
        <v>0</v>
      </c>
      <c r="J208" s="49">
        <v>0</v>
      </c>
      <c r="K208" s="49">
        <v>0</v>
      </c>
      <c r="L208" s="50">
        <v>0</v>
      </c>
      <c r="M208" s="51"/>
      <c r="N208" s="52" t="s">
        <v>1300</v>
      </c>
      <c r="O208" s="31"/>
      <c r="P208" s="53">
        <v>-3.0225349846673712E-2</v>
      </c>
      <c r="Q208" s="54">
        <v>9</v>
      </c>
      <c r="R208" s="55">
        <v>0</v>
      </c>
      <c r="S208" s="55">
        <v>0</v>
      </c>
      <c r="T208" s="56">
        <v>0</v>
      </c>
      <c r="U208" s="57"/>
      <c r="V208" s="55">
        <v>0</v>
      </c>
      <c r="W208" s="55">
        <v>0</v>
      </c>
      <c r="X208" s="58">
        <v>0</v>
      </c>
      <c r="Y208" s="59">
        <v>0</v>
      </c>
      <c r="Z208" s="58">
        <v>0</v>
      </c>
      <c r="AA208" s="56">
        <v>0</v>
      </c>
      <c r="AB208" s="56">
        <v>0</v>
      </c>
      <c r="AC208" s="60">
        <v>46142</v>
      </c>
    </row>
    <row r="209" spans="1:30" x14ac:dyDescent="0.25">
      <c r="A209" s="43">
        <v>1006</v>
      </c>
      <c r="B209" s="44" t="s">
        <v>1287</v>
      </c>
      <c r="C209" s="45">
        <v>10060132</v>
      </c>
      <c r="D209" s="46" t="s">
        <v>576</v>
      </c>
      <c r="E209" s="47" t="s">
        <v>371</v>
      </c>
      <c r="F209" s="47" t="s">
        <v>59</v>
      </c>
      <c r="G209" s="62">
        <v>9.1</v>
      </c>
      <c r="H209" s="62">
        <v>366.37</v>
      </c>
      <c r="I209" s="49">
        <v>0</v>
      </c>
      <c r="J209" s="49">
        <v>0</v>
      </c>
      <c r="K209" s="49">
        <v>0</v>
      </c>
      <c r="L209" s="50">
        <v>0</v>
      </c>
      <c r="M209" s="51"/>
      <c r="N209" s="52" t="s">
        <v>1300</v>
      </c>
      <c r="O209" s="31"/>
      <c r="P209" s="53">
        <v>0</v>
      </c>
      <c r="Q209" s="54">
        <v>0</v>
      </c>
      <c r="R209" s="55">
        <v>0</v>
      </c>
      <c r="S209" s="55">
        <v>0</v>
      </c>
      <c r="T209" s="56">
        <v>0</v>
      </c>
      <c r="U209" s="57"/>
      <c r="V209" s="55">
        <v>0</v>
      </c>
      <c r="W209" s="55">
        <v>0</v>
      </c>
      <c r="X209" s="58">
        <v>0</v>
      </c>
      <c r="Y209" s="59">
        <v>0</v>
      </c>
      <c r="Z209" s="58">
        <v>0</v>
      </c>
      <c r="AA209" s="56">
        <v>0</v>
      </c>
      <c r="AB209" s="56">
        <v>0</v>
      </c>
      <c r="AC209" s="60">
        <v>46142</v>
      </c>
      <c r="AD209" s="61"/>
    </row>
    <row r="210" spans="1:30" x14ac:dyDescent="0.25">
      <c r="A210" s="43">
        <v>1006</v>
      </c>
      <c r="B210" s="44" t="s">
        <v>1287</v>
      </c>
      <c r="C210" s="45">
        <v>10060133</v>
      </c>
      <c r="D210" s="46" t="s">
        <v>577</v>
      </c>
      <c r="E210" s="47" t="s">
        <v>371</v>
      </c>
      <c r="F210" s="47" t="s">
        <v>59</v>
      </c>
      <c r="G210" s="62">
        <v>77.3</v>
      </c>
      <c r="H210" s="62">
        <v>2701.66</v>
      </c>
      <c r="I210" s="49">
        <v>0</v>
      </c>
      <c r="J210" s="49">
        <v>0</v>
      </c>
      <c r="K210" s="49">
        <v>0</v>
      </c>
      <c r="L210" s="50">
        <v>0</v>
      </c>
      <c r="M210" s="51"/>
      <c r="N210" s="52" t="s">
        <v>1300</v>
      </c>
      <c r="O210" s="31"/>
      <c r="P210" s="53">
        <v>0</v>
      </c>
      <c r="Q210" s="54">
        <v>0</v>
      </c>
      <c r="R210" s="55">
        <v>0</v>
      </c>
      <c r="S210" s="55">
        <v>0</v>
      </c>
      <c r="T210" s="56">
        <v>0</v>
      </c>
      <c r="U210" s="57"/>
      <c r="V210" s="55">
        <v>0</v>
      </c>
      <c r="W210" s="55">
        <v>0</v>
      </c>
      <c r="X210" s="58">
        <v>0</v>
      </c>
      <c r="Y210" s="59">
        <v>0</v>
      </c>
      <c r="Z210" s="58">
        <v>0</v>
      </c>
      <c r="AA210" s="56">
        <v>0</v>
      </c>
      <c r="AB210" s="63">
        <v>0</v>
      </c>
      <c r="AC210" s="60">
        <v>46142</v>
      </c>
    </row>
    <row r="211" spans="1:30" x14ac:dyDescent="0.25">
      <c r="A211" s="43">
        <v>1007</v>
      </c>
      <c r="B211" s="44" t="s">
        <v>592</v>
      </c>
      <c r="C211" s="45">
        <v>10070002</v>
      </c>
      <c r="D211" s="46" t="s">
        <v>578</v>
      </c>
      <c r="E211" s="47" t="s">
        <v>371</v>
      </c>
      <c r="F211" s="47" t="s">
        <v>59</v>
      </c>
      <c r="G211" s="62">
        <v>4659.5000000000009</v>
      </c>
      <c r="H211" s="62">
        <v>171183.83000000002</v>
      </c>
      <c r="I211" s="49">
        <v>0</v>
      </c>
      <c r="J211" s="49">
        <v>0</v>
      </c>
      <c r="K211" s="49">
        <v>0</v>
      </c>
      <c r="L211" s="50">
        <v>0</v>
      </c>
      <c r="M211" s="51"/>
      <c r="N211" s="52" t="s">
        <v>1300</v>
      </c>
      <c r="O211" s="31"/>
      <c r="P211" s="53">
        <v>0</v>
      </c>
      <c r="Q211" s="54">
        <v>0</v>
      </c>
      <c r="R211" s="55">
        <v>0</v>
      </c>
      <c r="S211" s="55">
        <v>0</v>
      </c>
      <c r="T211" s="56">
        <v>0</v>
      </c>
      <c r="U211" s="57"/>
      <c r="V211" s="55">
        <v>0</v>
      </c>
      <c r="W211" s="55">
        <v>0</v>
      </c>
      <c r="X211" s="58">
        <v>0</v>
      </c>
      <c r="Y211" s="59">
        <v>0</v>
      </c>
      <c r="Z211" s="58">
        <v>0</v>
      </c>
      <c r="AA211" s="56">
        <v>0</v>
      </c>
      <c r="AB211" s="56">
        <v>0</v>
      </c>
      <c r="AC211" s="60">
        <v>46142</v>
      </c>
    </row>
    <row r="212" spans="1:30" x14ac:dyDescent="0.25">
      <c r="A212" s="43">
        <v>1007</v>
      </c>
      <c r="B212" s="44" t="s">
        <v>592</v>
      </c>
      <c r="C212" s="45">
        <v>10070003</v>
      </c>
      <c r="D212" s="46" t="s">
        <v>579</v>
      </c>
      <c r="E212" s="47" t="s">
        <v>371</v>
      </c>
      <c r="F212" s="47" t="s">
        <v>59</v>
      </c>
      <c r="G212" s="62">
        <v>1017.9</v>
      </c>
      <c r="H212" s="62">
        <v>34444.29</v>
      </c>
      <c r="I212" s="49">
        <v>0</v>
      </c>
      <c r="J212" s="49">
        <v>6500</v>
      </c>
      <c r="K212" s="49">
        <v>0</v>
      </c>
      <c r="L212" s="50">
        <v>0</v>
      </c>
      <c r="M212" s="51"/>
      <c r="N212" s="52" t="s">
        <v>1300</v>
      </c>
      <c r="O212" s="31"/>
      <c r="P212" s="53">
        <v>0</v>
      </c>
      <c r="Q212" s="54">
        <v>0</v>
      </c>
      <c r="R212" s="55">
        <v>0</v>
      </c>
      <c r="S212" s="55">
        <v>0</v>
      </c>
      <c r="T212" s="56">
        <v>0</v>
      </c>
      <c r="U212" s="57"/>
      <c r="V212" s="55">
        <v>0</v>
      </c>
      <c r="W212" s="55">
        <v>0</v>
      </c>
      <c r="X212" s="58">
        <v>0</v>
      </c>
      <c r="Y212" s="59">
        <v>0</v>
      </c>
      <c r="Z212" s="58">
        <v>0</v>
      </c>
      <c r="AA212" s="56">
        <v>0</v>
      </c>
      <c r="AB212" s="56">
        <v>0</v>
      </c>
      <c r="AC212" s="60">
        <v>46142</v>
      </c>
    </row>
    <row r="213" spans="1:30" x14ac:dyDescent="0.25">
      <c r="A213" s="43">
        <v>1056</v>
      </c>
      <c r="B213" s="44" t="s">
        <v>1289</v>
      </c>
      <c r="C213" s="45">
        <v>10070004</v>
      </c>
      <c r="D213" s="46" t="s">
        <v>580</v>
      </c>
      <c r="E213" s="47" t="s">
        <v>371</v>
      </c>
      <c r="F213" s="47" t="s">
        <v>59</v>
      </c>
      <c r="G213" s="62">
        <v>241.1</v>
      </c>
      <c r="H213" s="62">
        <v>8318.33</v>
      </c>
      <c r="I213" s="49">
        <v>0</v>
      </c>
      <c r="J213" s="49">
        <v>0</v>
      </c>
      <c r="K213" s="49">
        <v>521.93847870967693</v>
      </c>
      <c r="L213" s="50">
        <v>0</v>
      </c>
      <c r="M213" s="51"/>
      <c r="N213" s="52" t="s">
        <v>1300</v>
      </c>
      <c r="O213" s="31"/>
      <c r="P213" s="53">
        <v>0</v>
      </c>
      <c r="Q213" s="54">
        <v>0</v>
      </c>
      <c r="R213" s="55">
        <v>0</v>
      </c>
      <c r="S213" s="55">
        <v>0</v>
      </c>
      <c r="T213" s="56">
        <v>0</v>
      </c>
      <c r="U213" s="57"/>
      <c r="V213" s="55">
        <v>521.93847870967693</v>
      </c>
      <c r="W213" s="55">
        <v>0</v>
      </c>
      <c r="X213" s="58">
        <v>0</v>
      </c>
      <c r="Y213" s="59">
        <v>521.93847870967693</v>
      </c>
      <c r="Z213" s="58">
        <v>521.93847870967693</v>
      </c>
      <c r="AA213" s="56">
        <v>0</v>
      </c>
      <c r="AB213" s="56">
        <v>0</v>
      </c>
      <c r="AC213" s="60">
        <v>46142</v>
      </c>
    </row>
    <row r="214" spans="1:30" x14ac:dyDescent="0.25">
      <c r="A214" s="43">
        <v>1056</v>
      </c>
      <c r="B214" s="44" t="s">
        <v>1289</v>
      </c>
      <c r="C214" s="45">
        <v>10070008</v>
      </c>
      <c r="D214" s="46" t="s">
        <v>581</v>
      </c>
      <c r="E214" s="47" t="s">
        <v>371</v>
      </c>
      <c r="F214" s="47" t="s">
        <v>59</v>
      </c>
      <c r="G214" s="62">
        <v>799.72000000000014</v>
      </c>
      <c r="H214" s="62">
        <v>30211.89</v>
      </c>
      <c r="I214" s="49">
        <v>0</v>
      </c>
      <c r="J214" s="49">
        <v>0</v>
      </c>
      <c r="K214" s="49">
        <v>1340.3447148387095</v>
      </c>
      <c r="L214" s="50">
        <v>0</v>
      </c>
      <c r="M214" s="51"/>
      <c r="N214" s="52" t="s">
        <v>1300</v>
      </c>
      <c r="O214" s="31"/>
      <c r="P214" s="53">
        <v>0</v>
      </c>
      <c r="Q214" s="54">
        <v>0</v>
      </c>
      <c r="R214" s="55">
        <v>0</v>
      </c>
      <c r="S214" s="55">
        <v>0</v>
      </c>
      <c r="T214" s="56">
        <v>0</v>
      </c>
      <c r="U214" s="57"/>
      <c r="V214" s="55">
        <v>1340.3447148387095</v>
      </c>
      <c r="W214" s="55">
        <v>0</v>
      </c>
      <c r="X214" s="58">
        <v>0</v>
      </c>
      <c r="Y214" s="59">
        <v>1340.3447148387095</v>
      </c>
      <c r="Z214" s="58">
        <v>1340.3447148387095</v>
      </c>
      <c r="AA214" s="56">
        <v>0</v>
      </c>
      <c r="AB214" s="56">
        <v>0</v>
      </c>
      <c r="AC214" s="60">
        <v>46142</v>
      </c>
    </row>
    <row r="215" spans="1:30" x14ac:dyDescent="0.25">
      <c r="A215" s="43">
        <v>1007</v>
      </c>
      <c r="B215" s="44" t="s">
        <v>592</v>
      </c>
      <c r="C215" s="45">
        <v>10070013</v>
      </c>
      <c r="D215" s="46" t="s">
        <v>582</v>
      </c>
      <c r="E215" s="47" t="s">
        <v>364</v>
      </c>
      <c r="F215" s="47" t="s">
        <v>58</v>
      </c>
      <c r="G215" s="62">
        <v>255.6</v>
      </c>
      <c r="H215" s="62">
        <v>9516.57</v>
      </c>
      <c r="I215" s="49">
        <v>0</v>
      </c>
      <c r="J215" s="49">
        <v>0</v>
      </c>
      <c r="K215" s="49">
        <v>0</v>
      </c>
      <c r="L215" s="50">
        <v>0</v>
      </c>
      <c r="M215" s="51"/>
      <c r="N215" s="52" t="s">
        <v>1300</v>
      </c>
      <c r="O215" s="31"/>
      <c r="P215" s="53">
        <v>-0.80874476384831984</v>
      </c>
      <c r="Q215" s="54">
        <v>9</v>
      </c>
      <c r="R215" s="55">
        <v>0</v>
      </c>
      <c r="S215" s="55">
        <v>0</v>
      </c>
      <c r="T215" s="56">
        <v>0</v>
      </c>
      <c r="U215" s="57"/>
      <c r="V215" s="55">
        <v>0</v>
      </c>
      <c r="W215" s="55">
        <v>0</v>
      </c>
      <c r="X215" s="58">
        <v>0</v>
      </c>
      <c r="Y215" s="59">
        <v>0</v>
      </c>
      <c r="Z215" s="58">
        <v>0</v>
      </c>
      <c r="AA215" s="56">
        <v>0</v>
      </c>
      <c r="AB215" s="56">
        <v>0</v>
      </c>
      <c r="AC215" s="60">
        <v>46142</v>
      </c>
    </row>
    <row r="216" spans="1:30" x14ac:dyDescent="0.25">
      <c r="A216" s="43">
        <v>1007</v>
      </c>
      <c r="B216" s="44" t="s">
        <v>592</v>
      </c>
      <c r="C216" s="45">
        <v>10070016</v>
      </c>
      <c r="D216" s="46" t="s">
        <v>583</v>
      </c>
      <c r="E216" s="47" t="s">
        <v>364</v>
      </c>
      <c r="F216" s="47" t="s">
        <v>58</v>
      </c>
      <c r="G216" s="62">
        <v>276.99999999999994</v>
      </c>
      <c r="H216" s="62">
        <v>10394.36</v>
      </c>
      <c r="I216" s="49">
        <v>0</v>
      </c>
      <c r="J216" s="49">
        <v>0</v>
      </c>
      <c r="K216" s="49">
        <v>0</v>
      </c>
      <c r="L216" s="50">
        <v>0</v>
      </c>
      <c r="M216" s="51"/>
      <c r="N216" s="52" t="s">
        <v>1300</v>
      </c>
      <c r="O216" s="31"/>
      <c r="P216" s="53">
        <v>7.0664721675974397E-4</v>
      </c>
      <c r="Q216" s="54">
        <v>4</v>
      </c>
      <c r="R216" s="55">
        <v>0</v>
      </c>
      <c r="S216" s="55">
        <v>0</v>
      </c>
      <c r="T216" s="56">
        <v>0</v>
      </c>
      <c r="U216" s="57"/>
      <c r="V216" s="55">
        <v>0</v>
      </c>
      <c r="W216" s="55">
        <v>0</v>
      </c>
      <c r="X216" s="58">
        <v>0</v>
      </c>
      <c r="Y216" s="59">
        <v>0</v>
      </c>
      <c r="Z216" s="58">
        <v>0</v>
      </c>
      <c r="AA216" s="56">
        <v>0</v>
      </c>
      <c r="AB216" s="56">
        <v>0</v>
      </c>
      <c r="AC216" s="60">
        <v>46142</v>
      </c>
    </row>
    <row r="217" spans="1:30" x14ac:dyDescent="0.25">
      <c r="A217" s="43">
        <v>1007</v>
      </c>
      <c r="B217" s="44" t="s">
        <v>592</v>
      </c>
      <c r="C217" s="45">
        <v>10070018</v>
      </c>
      <c r="D217" s="46" t="s">
        <v>584</v>
      </c>
      <c r="E217" s="47" t="s">
        <v>371</v>
      </c>
      <c r="F217" s="47" t="s">
        <v>59</v>
      </c>
      <c r="G217" s="62">
        <v>14358.6</v>
      </c>
      <c r="H217" s="62">
        <v>540780.87</v>
      </c>
      <c r="I217" s="49">
        <v>0</v>
      </c>
      <c r="J217" s="49">
        <v>0</v>
      </c>
      <c r="K217" s="49">
        <v>0</v>
      </c>
      <c r="L217" s="50">
        <v>0</v>
      </c>
      <c r="M217" s="51"/>
      <c r="N217" s="52" t="s">
        <v>1300</v>
      </c>
      <c r="O217" s="31"/>
      <c r="P217" s="53">
        <v>0</v>
      </c>
      <c r="Q217" s="54">
        <v>0</v>
      </c>
      <c r="R217" s="55">
        <v>0</v>
      </c>
      <c r="S217" s="55">
        <v>0</v>
      </c>
      <c r="T217" s="56">
        <v>0</v>
      </c>
      <c r="U217" s="57"/>
      <c r="V217" s="55">
        <v>0</v>
      </c>
      <c r="W217" s="55">
        <v>0</v>
      </c>
      <c r="X217" s="58">
        <v>0</v>
      </c>
      <c r="Y217" s="59">
        <v>0</v>
      </c>
      <c r="Z217" s="58">
        <v>0</v>
      </c>
      <c r="AA217" s="56">
        <v>0</v>
      </c>
      <c r="AB217" s="56">
        <v>0</v>
      </c>
      <c r="AC217" s="60">
        <v>46142</v>
      </c>
    </row>
    <row r="218" spans="1:30" x14ac:dyDescent="0.25">
      <c r="A218" s="43">
        <v>1007</v>
      </c>
      <c r="B218" s="44" t="s">
        <v>592</v>
      </c>
      <c r="C218" s="45">
        <v>10070019</v>
      </c>
      <c r="D218" s="46" t="s">
        <v>585</v>
      </c>
      <c r="E218" s="47" t="s">
        <v>371</v>
      </c>
      <c r="F218" s="47" t="s">
        <v>59</v>
      </c>
      <c r="G218" s="62">
        <v>4539.5</v>
      </c>
      <c r="H218" s="62">
        <v>170603.23</v>
      </c>
      <c r="I218" s="49">
        <v>0</v>
      </c>
      <c r="J218" s="49">
        <v>0</v>
      </c>
      <c r="K218" s="49">
        <v>4051.340864516133</v>
      </c>
      <c r="L218" s="50">
        <v>0</v>
      </c>
      <c r="M218" s="51"/>
      <c r="N218" s="52" t="s">
        <v>1300</v>
      </c>
      <c r="O218" s="31"/>
      <c r="P218" s="53">
        <v>0</v>
      </c>
      <c r="Q218" s="54">
        <v>0</v>
      </c>
      <c r="R218" s="55">
        <v>0</v>
      </c>
      <c r="S218" s="55">
        <v>0</v>
      </c>
      <c r="T218" s="56">
        <v>0</v>
      </c>
      <c r="U218" s="57"/>
      <c r="V218" s="55">
        <v>4051.340864516133</v>
      </c>
      <c r="W218" s="55">
        <v>0</v>
      </c>
      <c r="X218" s="58">
        <v>0</v>
      </c>
      <c r="Y218" s="59">
        <v>4051.340864516133</v>
      </c>
      <c r="Z218" s="58">
        <v>4051.340864516133</v>
      </c>
      <c r="AA218" s="56">
        <v>0</v>
      </c>
      <c r="AB218" s="56">
        <v>0</v>
      </c>
      <c r="AC218" s="60">
        <v>46142</v>
      </c>
      <c r="AD218" s="61"/>
    </row>
    <row r="219" spans="1:30" x14ac:dyDescent="0.25">
      <c r="A219" s="43">
        <v>1007</v>
      </c>
      <c r="B219" s="44" t="s">
        <v>592</v>
      </c>
      <c r="C219" s="45">
        <v>10070020</v>
      </c>
      <c r="D219" s="46" t="s">
        <v>586</v>
      </c>
      <c r="E219" s="47" t="s">
        <v>371</v>
      </c>
      <c r="F219" s="47" t="s">
        <v>59</v>
      </c>
      <c r="G219" s="62">
        <v>4889.4999999999991</v>
      </c>
      <c r="H219" s="62">
        <v>181947.28999999995</v>
      </c>
      <c r="I219" s="49">
        <v>0</v>
      </c>
      <c r="J219" s="49">
        <v>0</v>
      </c>
      <c r="K219" s="49">
        <v>0</v>
      </c>
      <c r="L219" s="50">
        <v>0</v>
      </c>
      <c r="M219" s="51"/>
      <c r="N219" s="52" t="s">
        <v>1300</v>
      </c>
      <c r="O219" s="31"/>
      <c r="P219" s="53">
        <v>0</v>
      </c>
      <c r="Q219" s="54">
        <v>0</v>
      </c>
      <c r="R219" s="55">
        <v>0</v>
      </c>
      <c r="S219" s="55">
        <v>0</v>
      </c>
      <c r="T219" s="56">
        <v>0</v>
      </c>
      <c r="U219" s="57"/>
      <c r="V219" s="55">
        <v>0</v>
      </c>
      <c r="W219" s="55">
        <v>0</v>
      </c>
      <c r="X219" s="58">
        <v>0</v>
      </c>
      <c r="Y219" s="59">
        <v>0</v>
      </c>
      <c r="Z219" s="58">
        <v>0</v>
      </c>
      <c r="AA219" s="56">
        <v>0</v>
      </c>
      <c r="AB219" s="56">
        <v>0</v>
      </c>
      <c r="AC219" s="60">
        <v>46142</v>
      </c>
    </row>
    <row r="220" spans="1:30" x14ac:dyDescent="0.25">
      <c r="A220" s="43">
        <v>1007</v>
      </c>
      <c r="B220" s="44" t="s">
        <v>592</v>
      </c>
      <c r="C220" s="45">
        <v>10070024</v>
      </c>
      <c r="D220" s="46" t="s">
        <v>587</v>
      </c>
      <c r="E220" s="47" t="s">
        <v>371</v>
      </c>
      <c r="F220" s="47" t="s">
        <v>59</v>
      </c>
      <c r="G220" s="62">
        <v>935.5</v>
      </c>
      <c r="H220" s="62">
        <v>33397.789999999994</v>
      </c>
      <c r="I220" s="49">
        <v>0</v>
      </c>
      <c r="J220" s="49">
        <v>0</v>
      </c>
      <c r="K220" s="49">
        <v>0</v>
      </c>
      <c r="L220" s="50">
        <v>0</v>
      </c>
      <c r="M220" s="51"/>
      <c r="N220" s="52" t="s">
        <v>1300</v>
      </c>
      <c r="O220" s="31"/>
      <c r="P220" s="53">
        <v>0</v>
      </c>
      <c r="Q220" s="54">
        <v>0</v>
      </c>
      <c r="R220" s="55">
        <v>0</v>
      </c>
      <c r="S220" s="55">
        <v>0</v>
      </c>
      <c r="T220" s="56">
        <v>0</v>
      </c>
      <c r="U220" s="57"/>
      <c r="V220" s="55">
        <v>0</v>
      </c>
      <c r="W220" s="55">
        <v>0</v>
      </c>
      <c r="X220" s="58">
        <v>0</v>
      </c>
      <c r="Y220" s="59">
        <v>0</v>
      </c>
      <c r="Z220" s="58">
        <v>0</v>
      </c>
      <c r="AA220" s="56">
        <v>0</v>
      </c>
      <c r="AB220" s="56">
        <v>0</v>
      </c>
      <c r="AC220" s="60">
        <v>46142</v>
      </c>
    </row>
    <row r="221" spans="1:30" x14ac:dyDescent="0.25">
      <c r="A221" s="43">
        <v>1007</v>
      </c>
      <c r="B221" s="44" t="s">
        <v>592</v>
      </c>
      <c r="C221" s="45">
        <v>10070026</v>
      </c>
      <c r="D221" s="46" t="s">
        <v>588</v>
      </c>
      <c r="E221" s="47" t="s">
        <v>371</v>
      </c>
      <c r="F221" s="47" t="s">
        <v>59</v>
      </c>
      <c r="G221" s="62">
        <v>687.8</v>
      </c>
      <c r="H221" s="62">
        <v>25232.3</v>
      </c>
      <c r="I221" s="49">
        <v>0</v>
      </c>
      <c r="J221" s="49">
        <v>12962</v>
      </c>
      <c r="K221" s="49">
        <v>12270.774754838712</v>
      </c>
      <c r="L221" s="50">
        <v>0</v>
      </c>
      <c r="M221" s="51"/>
      <c r="N221" s="52" t="s">
        <v>1300</v>
      </c>
      <c r="O221" s="31"/>
      <c r="P221" s="53">
        <v>0</v>
      </c>
      <c r="Q221" s="54">
        <v>0</v>
      </c>
      <c r="R221" s="55">
        <v>136057</v>
      </c>
      <c r="S221" s="55">
        <v>12962</v>
      </c>
      <c r="T221" s="56">
        <v>123095</v>
      </c>
      <c r="U221" s="57"/>
      <c r="V221" s="55">
        <v>12270.774754838712</v>
      </c>
      <c r="W221" s="55">
        <v>0</v>
      </c>
      <c r="X221" s="58">
        <v>0</v>
      </c>
      <c r="Y221" s="59">
        <v>12270.774754838712</v>
      </c>
      <c r="Z221" s="58">
        <v>12270.774754838712</v>
      </c>
      <c r="AA221" s="56">
        <v>0</v>
      </c>
      <c r="AB221" s="56">
        <v>0</v>
      </c>
      <c r="AC221" s="60">
        <v>46142</v>
      </c>
    </row>
    <row r="222" spans="1:30" x14ac:dyDescent="0.25">
      <c r="A222" s="43">
        <v>1010</v>
      </c>
      <c r="B222" s="44" t="s">
        <v>1290</v>
      </c>
      <c r="C222" s="45">
        <v>10070033</v>
      </c>
      <c r="D222" s="46" t="s">
        <v>589</v>
      </c>
      <c r="E222" s="47" t="s">
        <v>364</v>
      </c>
      <c r="F222" s="47" t="s">
        <v>58</v>
      </c>
      <c r="G222" s="62">
        <v>552.00000000000011</v>
      </c>
      <c r="H222" s="62">
        <v>25802.919999999991</v>
      </c>
      <c r="I222" s="49">
        <v>0</v>
      </c>
      <c r="J222" s="49">
        <v>0</v>
      </c>
      <c r="K222" s="49">
        <v>0</v>
      </c>
      <c r="L222" s="50">
        <v>0</v>
      </c>
      <c r="M222" s="51"/>
      <c r="N222" s="52" t="s">
        <v>1300</v>
      </c>
      <c r="O222" s="31"/>
      <c r="P222" s="53">
        <v>-1.4748528490186805E-2</v>
      </c>
      <c r="Q222" s="54">
        <v>2</v>
      </c>
      <c r="R222" s="55">
        <v>0</v>
      </c>
      <c r="S222" s="55">
        <v>0</v>
      </c>
      <c r="T222" s="56">
        <v>0</v>
      </c>
      <c r="U222" s="57"/>
      <c r="V222" s="55">
        <v>0</v>
      </c>
      <c r="W222" s="55">
        <v>0</v>
      </c>
      <c r="X222" s="58">
        <v>0</v>
      </c>
      <c r="Y222" s="59">
        <v>0</v>
      </c>
      <c r="Z222" s="58">
        <v>0</v>
      </c>
      <c r="AA222" s="56">
        <v>0</v>
      </c>
      <c r="AB222" s="56">
        <v>0</v>
      </c>
      <c r="AC222" s="60">
        <v>46142</v>
      </c>
    </row>
    <row r="223" spans="1:30" x14ac:dyDescent="0.25">
      <c r="A223" s="43">
        <v>1056</v>
      </c>
      <c r="B223" s="44" t="s">
        <v>1289</v>
      </c>
      <c r="C223" s="45">
        <v>10070039</v>
      </c>
      <c r="D223" s="46" t="s">
        <v>590</v>
      </c>
      <c r="E223" s="47" t="s">
        <v>371</v>
      </c>
      <c r="F223" s="47" t="s">
        <v>59</v>
      </c>
      <c r="G223" s="62">
        <v>331.14</v>
      </c>
      <c r="H223" s="62">
        <v>11136.12</v>
      </c>
      <c r="I223" s="49">
        <v>0</v>
      </c>
      <c r="J223" s="49">
        <v>0</v>
      </c>
      <c r="K223" s="49">
        <v>0</v>
      </c>
      <c r="L223" s="50">
        <v>0</v>
      </c>
      <c r="M223" s="51"/>
      <c r="N223" s="52" t="s">
        <v>1300</v>
      </c>
      <c r="O223" s="31"/>
      <c r="P223" s="53">
        <v>0</v>
      </c>
      <c r="Q223" s="54">
        <v>0</v>
      </c>
      <c r="R223" s="55">
        <v>0</v>
      </c>
      <c r="S223" s="55">
        <v>0</v>
      </c>
      <c r="T223" s="56">
        <v>0</v>
      </c>
      <c r="U223" s="57"/>
      <c r="V223" s="55">
        <v>0</v>
      </c>
      <c r="W223" s="55">
        <v>0</v>
      </c>
      <c r="X223" s="58">
        <v>0</v>
      </c>
      <c r="Y223" s="59">
        <v>0</v>
      </c>
      <c r="Z223" s="58">
        <v>0</v>
      </c>
      <c r="AA223" s="56">
        <v>0</v>
      </c>
      <c r="AB223" s="56">
        <v>0</v>
      </c>
      <c r="AC223" s="60">
        <v>46142</v>
      </c>
    </row>
    <row r="224" spans="1:30" x14ac:dyDescent="0.25">
      <c r="A224" s="43">
        <v>1007</v>
      </c>
      <c r="B224" s="44" t="s">
        <v>592</v>
      </c>
      <c r="C224" s="45">
        <v>10070042</v>
      </c>
      <c r="D224" s="46" t="s">
        <v>591</v>
      </c>
      <c r="E224" s="47" t="s">
        <v>364</v>
      </c>
      <c r="F224" s="47" t="s">
        <v>58</v>
      </c>
      <c r="G224" s="62">
        <v>159.9</v>
      </c>
      <c r="H224" s="62">
        <v>6679.5700000000006</v>
      </c>
      <c r="I224" s="49">
        <v>0</v>
      </c>
      <c r="J224" s="49">
        <v>0</v>
      </c>
      <c r="K224" s="49">
        <v>0</v>
      </c>
      <c r="L224" s="50">
        <v>0</v>
      </c>
      <c r="M224" s="51"/>
      <c r="N224" s="52" t="s">
        <v>1300</v>
      </c>
      <c r="O224" s="31"/>
      <c r="P224" s="53">
        <v>-1.7164290216287008E-3</v>
      </c>
      <c r="Q224" s="54">
        <v>1</v>
      </c>
      <c r="R224" s="55">
        <v>0</v>
      </c>
      <c r="S224" s="55">
        <v>0</v>
      </c>
      <c r="T224" s="56">
        <v>0</v>
      </c>
      <c r="U224" s="57"/>
      <c r="V224" s="55">
        <v>0</v>
      </c>
      <c r="W224" s="55">
        <v>0</v>
      </c>
      <c r="X224" s="58">
        <v>0</v>
      </c>
      <c r="Y224" s="59">
        <v>0</v>
      </c>
      <c r="Z224" s="58">
        <v>0</v>
      </c>
      <c r="AA224" s="56">
        <v>0</v>
      </c>
      <c r="AB224" s="56">
        <v>0</v>
      </c>
      <c r="AC224" s="60">
        <v>46142</v>
      </c>
    </row>
    <row r="225" spans="1:30" x14ac:dyDescent="0.25">
      <c r="A225" s="43">
        <v>1007</v>
      </c>
      <c r="B225" s="44" t="s">
        <v>592</v>
      </c>
      <c r="C225" s="45">
        <v>10070043</v>
      </c>
      <c r="D225" s="46" t="s">
        <v>592</v>
      </c>
      <c r="E225" s="47" t="s">
        <v>371</v>
      </c>
      <c r="F225" s="47" t="s">
        <v>59</v>
      </c>
      <c r="G225" s="62">
        <v>17603.699999999997</v>
      </c>
      <c r="H225" s="62">
        <v>660177.79</v>
      </c>
      <c r="I225" s="49">
        <v>0</v>
      </c>
      <c r="J225" s="49">
        <v>0</v>
      </c>
      <c r="K225" s="49">
        <v>0</v>
      </c>
      <c r="L225" s="50">
        <v>0</v>
      </c>
      <c r="M225" s="51"/>
      <c r="N225" s="52" t="s">
        <v>1300</v>
      </c>
      <c r="O225" s="31"/>
      <c r="P225" s="53">
        <v>0</v>
      </c>
      <c r="Q225" s="54">
        <v>0</v>
      </c>
      <c r="R225" s="55">
        <v>0</v>
      </c>
      <c r="S225" s="55">
        <v>0</v>
      </c>
      <c r="T225" s="56">
        <v>0</v>
      </c>
      <c r="U225" s="57"/>
      <c r="V225" s="55">
        <v>0</v>
      </c>
      <c r="W225" s="55">
        <v>0</v>
      </c>
      <c r="X225" s="58">
        <v>0</v>
      </c>
      <c r="Y225" s="59">
        <v>0</v>
      </c>
      <c r="Z225" s="58">
        <v>0</v>
      </c>
      <c r="AA225" s="56">
        <v>0</v>
      </c>
      <c r="AB225" s="56">
        <v>0</v>
      </c>
      <c r="AC225" s="60">
        <v>46142</v>
      </c>
    </row>
    <row r="226" spans="1:30" x14ac:dyDescent="0.25">
      <c r="A226" s="43">
        <v>1007</v>
      </c>
      <c r="B226" s="44" t="s">
        <v>592</v>
      </c>
      <c r="C226" s="45">
        <v>10070045</v>
      </c>
      <c r="D226" s="46" t="s">
        <v>583</v>
      </c>
      <c r="E226" s="47" t="s">
        <v>364</v>
      </c>
      <c r="F226" s="47" t="s">
        <v>58</v>
      </c>
      <c r="G226" s="62">
        <v>268.8</v>
      </c>
      <c r="H226" s="62">
        <v>9839.010000000002</v>
      </c>
      <c r="I226" s="49">
        <v>0</v>
      </c>
      <c r="J226" s="49">
        <v>0</v>
      </c>
      <c r="K226" s="49">
        <v>2058.5756571428565</v>
      </c>
      <c r="L226" s="50">
        <v>0</v>
      </c>
      <c r="M226" s="51"/>
      <c r="N226" s="52" t="s">
        <v>1300</v>
      </c>
      <c r="O226" s="31"/>
      <c r="P226" s="53">
        <v>-2.2579053917009879E-2</v>
      </c>
      <c r="Q226" s="54">
        <v>3</v>
      </c>
      <c r="R226" s="55">
        <v>0</v>
      </c>
      <c r="S226" s="55">
        <v>0</v>
      </c>
      <c r="T226" s="56">
        <v>0</v>
      </c>
      <c r="U226" s="57"/>
      <c r="V226" s="55">
        <v>2058.5756571428565</v>
      </c>
      <c r="W226" s="55">
        <v>0</v>
      </c>
      <c r="X226" s="58">
        <v>0</v>
      </c>
      <c r="Y226" s="59">
        <v>2058.5756571428565</v>
      </c>
      <c r="Z226" s="58">
        <v>2058.5756571428565</v>
      </c>
      <c r="AA226" s="56">
        <v>0</v>
      </c>
      <c r="AB226" s="56">
        <v>0</v>
      </c>
      <c r="AC226" s="60">
        <v>46142</v>
      </c>
    </row>
    <row r="227" spans="1:30" x14ac:dyDescent="0.25">
      <c r="A227" s="43">
        <v>1056</v>
      </c>
      <c r="B227" s="44" t="s">
        <v>1289</v>
      </c>
      <c r="C227" s="45">
        <v>10070046</v>
      </c>
      <c r="D227" s="46" t="s">
        <v>593</v>
      </c>
      <c r="E227" s="47" t="s">
        <v>364</v>
      </c>
      <c r="F227" s="47" t="s">
        <v>58</v>
      </c>
      <c r="G227" s="62">
        <v>2484.06</v>
      </c>
      <c r="H227" s="62">
        <v>93953.859999999986</v>
      </c>
      <c r="I227" s="49">
        <v>0</v>
      </c>
      <c r="J227" s="49">
        <v>0</v>
      </c>
      <c r="K227" s="49">
        <v>0</v>
      </c>
      <c r="L227" s="50">
        <v>0</v>
      </c>
      <c r="M227" s="51"/>
      <c r="N227" s="52" t="s">
        <v>1300</v>
      </c>
      <c r="O227" s="31"/>
      <c r="P227" s="53">
        <v>-8.3308018714548154E-2</v>
      </c>
      <c r="Q227" s="54">
        <v>7</v>
      </c>
      <c r="R227" s="55">
        <v>0</v>
      </c>
      <c r="S227" s="55">
        <v>0</v>
      </c>
      <c r="T227" s="56">
        <v>0</v>
      </c>
      <c r="U227" s="57"/>
      <c r="V227" s="55">
        <v>0</v>
      </c>
      <c r="W227" s="55">
        <v>0</v>
      </c>
      <c r="X227" s="58">
        <v>0</v>
      </c>
      <c r="Y227" s="59">
        <v>0</v>
      </c>
      <c r="Z227" s="58">
        <v>0</v>
      </c>
      <c r="AA227" s="56">
        <v>0</v>
      </c>
      <c r="AB227" s="56">
        <v>0</v>
      </c>
      <c r="AC227" s="60">
        <v>46142</v>
      </c>
    </row>
    <row r="228" spans="1:30" x14ac:dyDescent="0.25">
      <c r="A228" s="43">
        <v>1007</v>
      </c>
      <c r="B228" s="44" t="s">
        <v>592</v>
      </c>
      <c r="C228" s="45">
        <v>10070048</v>
      </c>
      <c r="D228" s="46" t="s">
        <v>594</v>
      </c>
      <c r="E228" s="47" t="s">
        <v>364</v>
      </c>
      <c r="F228" s="47" t="s">
        <v>58</v>
      </c>
      <c r="G228" s="62">
        <v>1515.5</v>
      </c>
      <c r="H228" s="62">
        <v>58291.000000000007</v>
      </c>
      <c r="I228" s="49">
        <v>0</v>
      </c>
      <c r="J228" s="49">
        <v>0</v>
      </c>
      <c r="K228" s="49">
        <v>0</v>
      </c>
      <c r="L228" s="50">
        <v>0</v>
      </c>
      <c r="M228" s="51"/>
      <c r="N228" s="52" t="s">
        <v>1300</v>
      </c>
      <c r="O228" s="31"/>
      <c r="P228" s="53">
        <v>-6.3888566594581864E-2</v>
      </c>
      <c r="Q228" s="54">
        <v>8</v>
      </c>
      <c r="R228" s="55">
        <v>0</v>
      </c>
      <c r="S228" s="55">
        <v>0</v>
      </c>
      <c r="T228" s="56">
        <v>0</v>
      </c>
      <c r="U228" s="57"/>
      <c r="V228" s="55">
        <v>0</v>
      </c>
      <c r="W228" s="55">
        <v>0</v>
      </c>
      <c r="X228" s="58">
        <v>0</v>
      </c>
      <c r="Y228" s="59">
        <v>0</v>
      </c>
      <c r="Z228" s="58">
        <v>0</v>
      </c>
      <c r="AA228" s="56">
        <v>0</v>
      </c>
      <c r="AB228" s="56">
        <v>0</v>
      </c>
      <c r="AC228" s="60">
        <v>46142</v>
      </c>
    </row>
    <row r="229" spans="1:30" x14ac:dyDescent="0.25">
      <c r="A229" s="43">
        <v>1056</v>
      </c>
      <c r="B229" s="44" t="s">
        <v>1289</v>
      </c>
      <c r="C229" s="45">
        <v>10070053</v>
      </c>
      <c r="D229" s="46" t="s">
        <v>595</v>
      </c>
      <c r="E229" s="47" t="s">
        <v>371</v>
      </c>
      <c r="F229" s="47" t="s">
        <v>58</v>
      </c>
      <c r="G229" s="62">
        <v>308.38</v>
      </c>
      <c r="H229" s="62">
        <v>10914.029999999999</v>
      </c>
      <c r="I229" s="49">
        <v>0</v>
      </c>
      <c r="J229" s="49">
        <v>0</v>
      </c>
      <c r="K229" s="49">
        <v>0</v>
      </c>
      <c r="L229" s="50" t="s">
        <v>366</v>
      </c>
      <c r="M229" s="51" t="s">
        <v>367</v>
      </c>
      <c r="N229" s="52" t="s">
        <v>1300</v>
      </c>
      <c r="O229" s="31"/>
      <c r="P229" s="53">
        <v>-1.5674376809356401</v>
      </c>
      <c r="Q229" s="54">
        <v>2</v>
      </c>
      <c r="R229" s="55">
        <v>0</v>
      </c>
      <c r="S229" s="55">
        <v>0</v>
      </c>
      <c r="T229" s="56">
        <v>0</v>
      </c>
      <c r="U229" s="57"/>
      <c r="V229" s="55">
        <v>0</v>
      </c>
      <c r="W229" s="55">
        <v>0</v>
      </c>
      <c r="X229" s="58">
        <v>0</v>
      </c>
      <c r="Y229" s="59">
        <v>0</v>
      </c>
      <c r="Z229" s="58">
        <v>0</v>
      </c>
      <c r="AA229" s="56">
        <v>0</v>
      </c>
      <c r="AB229" s="56">
        <v>0</v>
      </c>
      <c r="AC229" s="60">
        <v>46142</v>
      </c>
    </row>
    <row r="230" spans="1:30" x14ac:dyDescent="0.25">
      <c r="A230" s="43">
        <v>1056</v>
      </c>
      <c r="B230" s="44" t="s">
        <v>1289</v>
      </c>
      <c r="C230" s="45">
        <v>10070056</v>
      </c>
      <c r="D230" s="46" t="s">
        <v>596</v>
      </c>
      <c r="E230" s="47" t="s">
        <v>371</v>
      </c>
      <c r="F230" s="47" t="s">
        <v>59</v>
      </c>
      <c r="G230" s="62">
        <v>695.26</v>
      </c>
      <c r="H230" s="62">
        <v>27892.160000000007</v>
      </c>
      <c r="I230" s="49">
        <v>0</v>
      </c>
      <c r="J230" s="49">
        <v>0</v>
      </c>
      <c r="K230" s="49">
        <v>0</v>
      </c>
      <c r="L230" s="50">
        <v>0</v>
      </c>
      <c r="M230" s="51"/>
      <c r="N230" s="52" t="s">
        <v>1300</v>
      </c>
      <c r="O230" s="31"/>
      <c r="P230" s="53">
        <v>0</v>
      </c>
      <c r="Q230" s="54">
        <v>0</v>
      </c>
      <c r="R230" s="55">
        <v>0</v>
      </c>
      <c r="S230" s="55">
        <v>0</v>
      </c>
      <c r="T230" s="56">
        <v>0</v>
      </c>
      <c r="U230" s="57"/>
      <c r="V230" s="55">
        <v>0</v>
      </c>
      <c r="W230" s="55">
        <v>0</v>
      </c>
      <c r="X230" s="58">
        <v>0</v>
      </c>
      <c r="Y230" s="59">
        <v>0</v>
      </c>
      <c r="Z230" s="58">
        <v>0</v>
      </c>
      <c r="AA230" s="56">
        <v>0</v>
      </c>
      <c r="AB230" s="56">
        <v>0</v>
      </c>
      <c r="AC230" s="60">
        <v>46142</v>
      </c>
    </row>
    <row r="231" spans="1:30" x14ac:dyDescent="0.25">
      <c r="A231" s="43">
        <v>1056</v>
      </c>
      <c r="B231" s="44" t="s">
        <v>1289</v>
      </c>
      <c r="C231" s="45">
        <v>10070058</v>
      </c>
      <c r="D231" s="46" t="s">
        <v>597</v>
      </c>
      <c r="E231" s="47" t="s">
        <v>371</v>
      </c>
      <c r="F231" s="47" t="s">
        <v>59</v>
      </c>
      <c r="G231" s="62">
        <v>150.80000000000001</v>
      </c>
      <c r="H231" s="62">
        <v>4998.8600000000006</v>
      </c>
      <c r="I231" s="49">
        <v>0</v>
      </c>
      <c r="J231" s="49">
        <v>0</v>
      </c>
      <c r="K231" s="49">
        <v>0</v>
      </c>
      <c r="L231" s="50">
        <v>0</v>
      </c>
      <c r="M231" s="51"/>
      <c r="N231" s="52" t="s">
        <v>1300</v>
      </c>
      <c r="O231" s="31"/>
      <c r="P231" s="53">
        <v>0</v>
      </c>
      <c r="Q231" s="54">
        <v>0</v>
      </c>
      <c r="R231" s="55">
        <v>0</v>
      </c>
      <c r="S231" s="55">
        <v>0</v>
      </c>
      <c r="T231" s="56">
        <v>0</v>
      </c>
      <c r="U231" s="57"/>
      <c r="V231" s="55">
        <v>0</v>
      </c>
      <c r="W231" s="55">
        <v>0</v>
      </c>
      <c r="X231" s="58">
        <v>0</v>
      </c>
      <c r="Y231" s="59">
        <v>0</v>
      </c>
      <c r="Z231" s="58">
        <v>0</v>
      </c>
      <c r="AA231" s="56">
        <v>0</v>
      </c>
      <c r="AB231" s="56">
        <v>0</v>
      </c>
      <c r="AC231" s="60">
        <v>46142</v>
      </c>
    </row>
    <row r="232" spans="1:30" x14ac:dyDescent="0.25">
      <c r="A232" s="43">
        <v>1056</v>
      </c>
      <c r="B232" s="44" t="s">
        <v>1289</v>
      </c>
      <c r="C232" s="45">
        <v>10070059</v>
      </c>
      <c r="D232" s="46" t="s">
        <v>598</v>
      </c>
      <c r="E232" s="47" t="s">
        <v>371</v>
      </c>
      <c r="F232" s="47" t="s">
        <v>59</v>
      </c>
      <c r="G232" s="62">
        <v>1742.84</v>
      </c>
      <c r="H232" s="62">
        <v>65381.969999999994</v>
      </c>
      <c r="I232" s="49">
        <v>0</v>
      </c>
      <c r="J232" s="49">
        <v>0</v>
      </c>
      <c r="K232" s="49">
        <v>0</v>
      </c>
      <c r="L232" s="50">
        <v>0</v>
      </c>
      <c r="M232" s="51"/>
      <c r="N232" s="52" t="s">
        <v>1300</v>
      </c>
      <c r="O232" s="31"/>
      <c r="P232" s="53">
        <v>0</v>
      </c>
      <c r="Q232" s="54">
        <v>0</v>
      </c>
      <c r="R232" s="55">
        <v>0</v>
      </c>
      <c r="S232" s="55">
        <v>0</v>
      </c>
      <c r="T232" s="56">
        <v>0</v>
      </c>
      <c r="U232" s="57"/>
      <c r="V232" s="55">
        <v>0</v>
      </c>
      <c r="W232" s="55">
        <v>0</v>
      </c>
      <c r="X232" s="58">
        <v>0</v>
      </c>
      <c r="Y232" s="59">
        <v>0</v>
      </c>
      <c r="Z232" s="58">
        <v>0</v>
      </c>
      <c r="AA232" s="56">
        <v>0</v>
      </c>
      <c r="AB232" s="56">
        <v>0</v>
      </c>
      <c r="AC232" s="60">
        <v>46142</v>
      </c>
    </row>
    <row r="233" spans="1:30" x14ac:dyDescent="0.25">
      <c r="A233" s="43">
        <v>1056</v>
      </c>
      <c r="B233" s="44" t="s">
        <v>1289</v>
      </c>
      <c r="C233" s="45">
        <v>10070060</v>
      </c>
      <c r="D233" s="46" t="s">
        <v>599</v>
      </c>
      <c r="E233" s="47" t="s">
        <v>371</v>
      </c>
      <c r="F233" s="47" t="s">
        <v>59</v>
      </c>
      <c r="G233" s="62">
        <v>53.9</v>
      </c>
      <c r="H233" s="62">
        <v>1994.61</v>
      </c>
      <c r="I233" s="49">
        <v>0</v>
      </c>
      <c r="J233" s="49">
        <v>0</v>
      </c>
      <c r="K233" s="49">
        <v>221.83448903225809</v>
      </c>
      <c r="L233" s="50">
        <v>0</v>
      </c>
      <c r="M233" s="51"/>
      <c r="N233" s="52" t="s">
        <v>1300</v>
      </c>
      <c r="O233" s="31"/>
      <c r="P233" s="53">
        <v>0</v>
      </c>
      <c r="Q233" s="54">
        <v>0</v>
      </c>
      <c r="R233" s="55">
        <v>0</v>
      </c>
      <c r="S233" s="55">
        <v>0</v>
      </c>
      <c r="T233" s="56">
        <v>0</v>
      </c>
      <c r="U233" s="57"/>
      <c r="V233" s="55">
        <v>221.83448903225809</v>
      </c>
      <c r="W233" s="55">
        <v>0</v>
      </c>
      <c r="X233" s="58">
        <v>0</v>
      </c>
      <c r="Y233" s="59">
        <v>221.83448903225809</v>
      </c>
      <c r="Z233" s="58">
        <v>221.83448903225809</v>
      </c>
      <c r="AA233" s="56">
        <v>0</v>
      </c>
      <c r="AB233" s="56">
        <v>0</v>
      </c>
      <c r="AC233" s="60">
        <v>46142</v>
      </c>
    </row>
    <row r="234" spans="1:30" x14ac:dyDescent="0.25">
      <c r="A234" s="43">
        <v>1007</v>
      </c>
      <c r="B234" s="44" t="s">
        <v>592</v>
      </c>
      <c r="C234" s="45">
        <v>10070061</v>
      </c>
      <c r="D234" s="46" t="s">
        <v>600</v>
      </c>
      <c r="E234" s="47" t="s">
        <v>371</v>
      </c>
      <c r="F234" s="47" t="s">
        <v>59</v>
      </c>
      <c r="G234" s="62">
        <v>161.4</v>
      </c>
      <c r="H234" s="62">
        <v>5767.9400000000005</v>
      </c>
      <c r="I234" s="49">
        <v>0</v>
      </c>
      <c r="J234" s="49">
        <v>0</v>
      </c>
      <c r="K234" s="49">
        <v>0</v>
      </c>
      <c r="L234" s="50">
        <v>0</v>
      </c>
      <c r="M234" s="51"/>
      <c r="N234" s="52" t="s">
        <v>1300</v>
      </c>
      <c r="O234" s="31"/>
      <c r="P234" s="53">
        <v>0</v>
      </c>
      <c r="Q234" s="54">
        <v>0</v>
      </c>
      <c r="R234" s="55">
        <v>0</v>
      </c>
      <c r="S234" s="55">
        <v>0</v>
      </c>
      <c r="T234" s="56">
        <v>0</v>
      </c>
      <c r="U234" s="57"/>
      <c r="V234" s="55">
        <v>0</v>
      </c>
      <c r="W234" s="55">
        <v>0</v>
      </c>
      <c r="X234" s="58">
        <v>0</v>
      </c>
      <c r="Y234" s="59">
        <v>0</v>
      </c>
      <c r="Z234" s="58">
        <v>0</v>
      </c>
      <c r="AA234" s="56">
        <v>0</v>
      </c>
      <c r="AB234" s="56">
        <v>0</v>
      </c>
      <c r="AC234" s="60">
        <v>46142</v>
      </c>
    </row>
    <row r="235" spans="1:30" x14ac:dyDescent="0.25">
      <c r="A235" s="43">
        <v>1010</v>
      </c>
      <c r="B235" s="44" t="s">
        <v>1290</v>
      </c>
      <c r="C235" s="45">
        <v>10070063</v>
      </c>
      <c r="D235" s="46" t="s">
        <v>601</v>
      </c>
      <c r="E235" s="47" t="s">
        <v>364</v>
      </c>
      <c r="F235" s="47" t="s">
        <v>58</v>
      </c>
      <c r="G235" s="62">
        <v>600.30000000000007</v>
      </c>
      <c r="H235" s="62">
        <v>22199.45</v>
      </c>
      <c r="I235" s="49">
        <v>0</v>
      </c>
      <c r="J235" s="49">
        <v>0</v>
      </c>
      <c r="K235" s="49">
        <v>0</v>
      </c>
      <c r="L235" s="50" t="s">
        <v>409</v>
      </c>
      <c r="M235" s="51" t="s">
        <v>554</v>
      </c>
      <c r="N235" s="52" t="s">
        <v>1300</v>
      </c>
      <c r="O235" s="31"/>
      <c r="P235" s="53">
        <v>-0.12083443223142915</v>
      </c>
      <c r="Q235" s="54">
        <v>1</v>
      </c>
      <c r="R235" s="55">
        <v>13000</v>
      </c>
      <c r="S235" s="55">
        <v>0</v>
      </c>
      <c r="T235" s="56">
        <v>13000</v>
      </c>
      <c r="U235" s="57"/>
      <c r="V235" s="55">
        <v>0</v>
      </c>
      <c r="W235" s="55">
        <v>0</v>
      </c>
      <c r="X235" s="58">
        <v>0</v>
      </c>
      <c r="Y235" s="59">
        <v>0</v>
      </c>
      <c r="Z235" s="58">
        <v>0</v>
      </c>
      <c r="AA235" s="56">
        <v>0</v>
      </c>
      <c r="AB235" s="56">
        <v>0</v>
      </c>
      <c r="AC235" s="60">
        <v>46142</v>
      </c>
    </row>
    <row r="236" spans="1:30" x14ac:dyDescent="0.25">
      <c r="A236" s="43">
        <v>1056</v>
      </c>
      <c r="B236" s="44" t="s">
        <v>1289</v>
      </c>
      <c r="C236" s="45">
        <v>10070064</v>
      </c>
      <c r="D236" s="46" t="s">
        <v>602</v>
      </c>
      <c r="E236" s="47" t="s">
        <v>364</v>
      </c>
      <c r="F236" s="47" t="s">
        <v>58</v>
      </c>
      <c r="G236" s="62">
        <v>1221.0999999999999</v>
      </c>
      <c r="H236" s="62">
        <v>46080.61</v>
      </c>
      <c r="I236" s="49">
        <v>0</v>
      </c>
      <c r="J236" s="49">
        <v>0</v>
      </c>
      <c r="K236" s="49">
        <v>0</v>
      </c>
      <c r="L236" s="50" t="s">
        <v>409</v>
      </c>
      <c r="M236" s="51" t="s">
        <v>410</v>
      </c>
      <c r="N236" s="52" t="s">
        <v>1300</v>
      </c>
      <c r="O236" s="31"/>
      <c r="P236" s="53">
        <v>-3.7383045203612897E-3</v>
      </c>
      <c r="Q236" s="54">
        <v>2</v>
      </c>
      <c r="R236" s="55">
        <v>13000</v>
      </c>
      <c r="S236" s="55">
        <v>0</v>
      </c>
      <c r="T236" s="56">
        <v>13000</v>
      </c>
      <c r="U236" s="57"/>
      <c r="V236" s="55">
        <v>0</v>
      </c>
      <c r="W236" s="55">
        <v>0</v>
      </c>
      <c r="X236" s="58">
        <v>0</v>
      </c>
      <c r="Y236" s="59">
        <v>0</v>
      </c>
      <c r="Z236" s="58">
        <v>0</v>
      </c>
      <c r="AA236" s="56">
        <v>0</v>
      </c>
      <c r="AB236" s="56">
        <v>0</v>
      </c>
      <c r="AC236" s="60">
        <v>46142</v>
      </c>
    </row>
    <row r="237" spans="1:30" x14ac:dyDescent="0.25">
      <c r="A237" s="43">
        <v>1007</v>
      </c>
      <c r="B237" s="44" t="s">
        <v>592</v>
      </c>
      <c r="C237" s="45">
        <v>10070065</v>
      </c>
      <c r="D237" s="46" t="s">
        <v>603</v>
      </c>
      <c r="E237" s="47" t="s">
        <v>371</v>
      </c>
      <c r="F237" s="47" t="s">
        <v>59</v>
      </c>
      <c r="G237" s="62">
        <v>382.4</v>
      </c>
      <c r="H237" s="62">
        <v>13868.59</v>
      </c>
      <c r="I237" s="49">
        <v>0</v>
      </c>
      <c r="J237" s="49">
        <v>0</v>
      </c>
      <c r="K237" s="49">
        <v>0</v>
      </c>
      <c r="L237" s="50">
        <v>0</v>
      </c>
      <c r="M237" s="51"/>
      <c r="N237" s="52" t="s">
        <v>1300</v>
      </c>
      <c r="O237" s="31"/>
      <c r="P237" s="53">
        <v>0</v>
      </c>
      <c r="Q237" s="54">
        <v>0</v>
      </c>
      <c r="R237" s="55">
        <v>0</v>
      </c>
      <c r="S237" s="55">
        <v>0</v>
      </c>
      <c r="T237" s="56">
        <v>0</v>
      </c>
      <c r="U237" s="57"/>
      <c r="V237" s="55">
        <v>0</v>
      </c>
      <c r="W237" s="55">
        <v>0</v>
      </c>
      <c r="X237" s="58">
        <v>0</v>
      </c>
      <c r="Y237" s="59">
        <v>0</v>
      </c>
      <c r="Z237" s="58">
        <v>0</v>
      </c>
      <c r="AA237" s="56">
        <v>0</v>
      </c>
      <c r="AB237" s="56">
        <v>0</v>
      </c>
      <c r="AC237" s="60">
        <v>46142</v>
      </c>
    </row>
    <row r="238" spans="1:30" x14ac:dyDescent="0.25">
      <c r="A238" s="43">
        <v>1007</v>
      </c>
      <c r="B238" s="44" t="s">
        <v>592</v>
      </c>
      <c r="C238" s="45">
        <v>10070074</v>
      </c>
      <c r="D238" s="46" t="s">
        <v>604</v>
      </c>
      <c r="E238" s="47" t="s">
        <v>371</v>
      </c>
      <c r="F238" s="47" t="s">
        <v>59</v>
      </c>
      <c r="G238" s="62">
        <v>266.39999999999998</v>
      </c>
      <c r="H238" s="62">
        <v>8361.57</v>
      </c>
      <c r="I238" s="49">
        <v>0</v>
      </c>
      <c r="J238" s="49">
        <v>0</v>
      </c>
      <c r="K238" s="49">
        <v>170.39456129032249</v>
      </c>
      <c r="L238" s="50">
        <v>0</v>
      </c>
      <c r="M238" s="51"/>
      <c r="N238" s="52" t="s">
        <v>1300</v>
      </c>
      <c r="O238" s="31"/>
      <c r="P238" s="53">
        <v>0</v>
      </c>
      <c r="Q238" s="54">
        <v>0</v>
      </c>
      <c r="R238" s="55">
        <v>0</v>
      </c>
      <c r="S238" s="55">
        <v>0</v>
      </c>
      <c r="T238" s="56">
        <v>0</v>
      </c>
      <c r="U238" s="57"/>
      <c r="V238" s="55">
        <v>170.39456129032249</v>
      </c>
      <c r="W238" s="55">
        <v>0</v>
      </c>
      <c r="X238" s="58">
        <v>0</v>
      </c>
      <c r="Y238" s="59">
        <v>170.39456129032249</v>
      </c>
      <c r="Z238" s="58">
        <v>170.39456129032249</v>
      </c>
      <c r="AA238" s="56">
        <v>0</v>
      </c>
      <c r="AB238" s="56">
        <v>0</v>
      </c>
      <c r="AC238" s="60">
        <v>46142</v>
      </c>
    </row>
    <row r="239" spans="1:30" x14ac:dyDescent="0.25">
      <c r="A239" s="43">
        <v>1007</v>
      </c>
      <c r="B239" s="44" t="s">
        <v>592</v>
      </c>
      <c r="C239" s="45">
        <v>10070076</v>
      </c>
      <c r="D239" s="46" t="s">
        <v>605</v>
      </c>
      <c r="E239" s="47" t="s">
        <v>371</v>
      </c>
      <c r="F239" s="47" t="s">
        <v>59</v>
      </c>
      <c r="G239" s="62">
        <v>559.20000000000005</v>
      </c>
      <c r="H239" s="62">
        <v>19117.22</v>
      </c>
      <c r="I239" s="49">
        <v>0</v>
      </c>
      <c r="J239" s="49">
        <v>0</v>
      </c>
      <c r="K239" s="49">
        <v>0</v>
      </c>
      <c r="L239" s="50">
        <v>0</v>
      </c>
      <c r="M239" s="51"/>
      <c r="N239" s="52" t="s">
        <v>1300</v>
      </c>
      <c r="O239" s="31"/>
      <c r="P239" s="53">
        <v>0</v>
      </c>
      <c r="Q239" s="54">
        <v>0</v>
      </c>
      <c r="R239" s="55">
        <v>0</v>
      </c>
      <c r="S239" s="55">
        <v>0</v>
      </c>
      <c r="T239" s="56">
        <v>0</v>
      </c>
      <c r="U239" s="57"/>
      <c r="V239" s="55">
        <v>0</v>
      </c>
      <c r="W239" s="55">
        <v>0</v>
      </c>
      <c r="X239" s="58">
        <v>0</v>
      </c>
      <c r="Y239" s="59">
        <v>0</v>
      </c>
      <c r="Z239" s="58">
        <v>0</v>
      </c>
      <c r="AA239" s="56">
        <v>0</v>
      </c>
      <c r="AB239" s="56">
        <v>0</v>
      </c>
      <c r="AC239" s="60">
        <v>46142</v>
      </c>
    </row>
    <row r="240" spans="1:30" x14ac:dyDescent="0.25">
      <c r="A240" s="43">
        <v>1007</v>
      </c>
      <c r="B240" s="44" t="s">
        <v>592</v>
      </c>
      <c r="C240" s="45">
        <v>10070077</v>
      </c>
      <c r="D240" s="46" t="s">
        <v>606</v>
      </c>
      <c r="E240" s="47" t="s">
        <v>364</v>
      </c>
      <c r="F240" s="47" t="s">
        <v>58</v>
      </c>
      <c r="G240" s="62">
        <v>170.59999999999997</v>
      </c>
      <c r="H240" s="62">
        <v>5855.02</v>
      </c>
      <c r="I240" s="49">
        <v>0</v>
      </c>
      <c r="J240" s="49">
        <v>3900</v>
      </c>
      <c r="K240" s="49">
        <v>0</v>
      </c>
      <c r="L240" s="50" t="s">
        <v>366</v>
      </c>
      <c r="M240" s="51" t="s">
        <v>410</v>
      </c>
      <c r="N240" s="52" t="s">
        <v>1300</v>
      </c>
      <c r="O240" s="31"/>
      <c r="P240" s="53">
        <v>-2.6756089646053326E-5</v>
      </c>
      <c r="Q240" s="54">
        <v>1</v>
      </c>
      <c r="R240" s="55">
        <v>3900</v>
      </c>
      <c r="S240" s="55">
        <v>3900</v>
      </c>
      <c r="T240" s="56">
        <v>0</v>
      </c>
      <c r="U240" s="57"/>
      <c r="V240" s="55">
        <v>0</v>
      </c>
      <c r="W240" s="55">
        <v>0</v>
      </c>
      <c r="X240" s="58">
        <v>0</v>
      </c>
      <c r="Y240" s="59">
        <v>0</v>
      </c>
      <c r="Z240" s="58">
        <v>0</v>
      </c>
      <c r="AA240" s="56">
        <v>0</v>
      </c>
      <c r="AB240" s="56">
        <v>0</v>
      </c>
      <c r="AC240" s="60">
        <v>46142</v>
      </c>
      <c r="AD240" s="61"/>
    </row>
    <row r="241" spans="1:30" x14ac:dyDescent="0.25">
      <c r="A241" s="43">
        <v>1007</v>
      </c>
      <c r="B241" s="44" t="s">
        <v>592</v>
      </c>
      <c r="C241" s="45">
        <v>10070078</v>
      </c>
      <c r="D241" s="46" t="s">
        <v>607</v>
      </c>
      <c r="E241" s="47" t="s">
        <v>364</v>
      </c>
      <c r="F241" s="47" t="s">
        <v>58</v>
      </c>
      <c r="G241" s="62">
        <v>1007.2</v>
      </c>
      <c r="H241" s="62">
        <v>36188.26</v>
      </c>
      <c r="I241" s="49">
        <v>0</v>
      </c>
      <c r="J241" s="49">
        <v>0</v>
      </c>
      <c r="K241" s="49">
        <v>0</v>
      </c>
      <c r="L241" s="50">
        <v>0</v>
      </c>
      <c r="M241" s="51"/>
      <c r="N241" s="52" t="s">
        <v>1300</v>
      </c>
      <c r="O241" s="31"/>
      <c r="P241" s="53">
        <v>8.7989926014676986E-4</v>
      </c>
      <c r="Q241" s="54">
        <v>1</v>
      </c>
      <c r="R241" s="55">
        <v>0</v>
      </c>
      <c r="S241" s="55">
        <v>0</v>
      </c>
      <c r="T241" s="56">
        <v>0</v>
      </c>
      <c r="U241" s="57"/>
      <c r="V241" s="55">
        <v>0</v>
      </c>
      <c r="W241" s="55">
        <v>0</v>
      </c>
      <c r="X241" s="58">
        <v>0</v>
      </c>
      <c r="Y241" s="59">
        <v>0</v>
      </c>
      <c r="Z241" s="58">
        <v>0</v>
      </c>
      <c r="AA241" s="56">
        <v>0</v>
      </c>
      <c r="AB241" s="56">
        <v>0</v>
      </c>
      <c r="AC241" s="60">
        <v>46142</v>
      </c>
    </row>
    <row r="242" spans="1:30" x14ac:dyDescent="0.25">
      <c r="A242" s="43">
        <v>1055</v>
      </c>
      <c r="B242" s="44" t="s">
        <v>142</v>
      </c>
      <c r="C242" s="45">
        <v>10080001</v>
      </c>
      <c r="D242" s="46" t="s">
        <v>608</v>
      </c>
      <c r="E242" s="47" t="s">
        <v>371</v>
      </c>
      <c r="F242" s="47" t="s">
        <v>59</v>
      </c>
      <c r="G242" s="62">
        <v>704.3</v>
      </c>
      <c r="H242" s="62">
        <v>25742.58</v>
      </c>
      <c r="I242" s="49">
        <v>0</v>
      </c>
      <c r="J242" s="49">
        <v>0</v>
      </c>
      <c r="K242" s="49">
        <v>0</v>
      </c>
      <c r="L242" s="50">
        <v>0</v>
      </c>
      <c r="M242" s="51"/>
      <c r="N242" s="52" t="s">
        <v>1300</v>
      </c>
      <c r="O242" s="31"/>
      <c r="P242" s="53">
        <v>0</v>
      </c>
      <c r="Q242" s="54">
        <v>0</v>
      </c>
      <c r="R242" s="55">
        <v>0</v>
      </c>
      <c r="S242" s="55">
        <v>0</v>
      </c>
      <c r="T242" s="56">
        <v>0</v>
      </c>
      <c r="U242" s="57"/>
      <c r="V242" s="55">
        <v>0</v>
      </c>
      <c r="W242" s="55">
        <v>0</v>
      </c>
      <c r="X242" s="58">
        <v>0</v>
      </c>
      <c r="Y242" s="59">
        <v>0</v>
      </c>
      <c r="Z242" s="58">
        <v>0</v>
      </c>
      <c r="AA242" s="56">
        <v>0</v>
      </c>
      <c r="AB242" s="56">
        <v>0</v>
      </c>
      <c r="AC242" s="60">
        <v>46142</v>
      </c>
      <c r="AD242" s="61"/>
    </row>
    <row r="243" spans="1:30" x14ac:dyDescent="0.25">
      <c r="A243" s="43">
        <v>1008</v>
      </c>
      <c r="B243" s="44" t="s">
        <v>1282</v>
      </c>
      <c r="C243" s="45">
        <v>10080002</v>
      </c>
      <c r="D243" s="46" t="s">
        <v>609</v>
      </c>
      <c r="E243" s="47" t="s">
        <v>371</v>
      </c>
      <c r="F243" s="47" t="s">
        <v>59</v>
      </c>
      <c r="G243" s="62">
        <v>270.94999999999993</v>
      </c>
      <c r="H243" s="62">
        <v>10095.710000000001</v>
      </c>
      <c r="I243" s="49">
        <v>0</v>
      </c>
      <c r="J243" s="49">
        <v>0</v>
      </c>
      <c r="K243" s="49">
        <v>0</v>
      </c>
      <c r="L243" s="50">
        <v>0</v>
      </c>
      <c r="M243" s="51"/>
      <c r="N243" s="52" t="s">
        <v>1300</v>
      </c>
      <c r="O243" s="31"/>
      <c r="P243" s="53">
        <v>0</v>
      </c>
      <c r="Q243" s="54">
        <v>0</v>
      </c>
      <c r="R243" s="55">
        <v>0</v>
      </c>
      <c r="S243" s="55">
        <v>0</v>
      </c>
      <c r="T243" s="56">
        <v>0</v>
      </c>
      <c r="U243" s="57"/>
      <c r="V243" s="55">
        <v>0</v>
      </c>
      <c r="W243" s="55">
        <v>0</v>
      </c>
      <c r="X243" s="58">
        <v>0</v>
      </c>
      <c r="Y243" s="59">
        <v>0</v>
      </c>
      <c r="Z243" s="58">
        <v>0</v>
      </c>
      <c r="AA243" s="56">
        <v>0</v>
      </c>
      <c r="AB243" s="56">
        <v>0</v>
      </c>
      <c r="AC243" s="60">
        <v>46142</v>
      </c>
      <c r="AD243" s="61"/>
    </row>
    <row r="244" spans="1:30" x14ac:dyDescent="0.25">
      <c r="A244" s="43">
        <v>1008</v>
      </c>
      <c r="B244" s="44" t="s">
        <v>1282</v>
      </c>
      <c r="C244" s="45">
        <v>10080003</v>
      </c>
      <c r="D244" s="46" t="s">
        <v>610</v>
      </c>
      <c r="E244" s="47" t="s">
        <v>371</v>
      </c>
      <c r="F244" s="47" t="s">
        <v>59</v>
      </c>
      <c r="G244" s="62">
        <v>220.70000000000002</v>
      </c>
      <c r="H244" s="62">
        <v>7895.5499999999993</v>
      </c>
      <c r="I244" s="49">
        <v>0</v>
      </c>
      <c r="J244" s="49">
        <v>0</v>
      </c>
      <c r="K244" s="49">
        <v>242.59390645161287</v>
      </c>
      <c r="L244" s="50">
        <v>0</v>
      </c>
      <c r="M244" s="51"/>
      <c r="N244" s="52" t="s">
        <v>1300</v>
      </c>
      <c r="O244" s="31"/>
      <c r="P244" s="53">
        <v>0</v>
      </c>
      <c r="Q244" s="54">
        <v>0</v>
      </c>
      <c r="R244" s="55">
        <v>0</v>
      </c>
      <c r="S244" s="55">
        <v>0</v>
      </c>
      <c r="T244" s="56">
        <v>0</v>
      </c>
      <c r="U244" s="57"/>
      <c r="V244" s="55">
        <v>242.59390645161287</v>
      </c>
      <c r="W244" s="55">
        <v>0</v>
      </c>
      <c r="X244" s="58">
        <v>0</v>
      </c>
      <c r="Y244" s="59">
        <v>242.59390645161287</v>
      </c>
      <c r="Z244" s="58">
        <v>242.59390645161287</v>
      </c>
      <c r="AA244" s="56">
        <v>0</v>
      </c>
      <c r="AB244" s="56">
        <v>0</v>
      </c>
      <c r="AC244" s="60">
        <v>46142</v>
      </c>
    </row>
    <row r="245" spans="1:30" x14ac:dyDescent="0.25">
      <c r="A245" s="43">
        <v>1008</v>
      </c>
      <c r="B245" s="44" t="s">
        <v>1282</v>
      </c>
      <c r="C245" s="45">
        <v>10080004</v>
      </c>
      <c r="D245" s="46" t="s">
        <v>611</v>
      </c>
      <c r="E245" s="47" t="s">
        <v>371</v>
      </c>
      <c r="F245" s="47" t="s">
        <v>59</v>
      </c>
      <c r="G245" s="62">
        <v>70.5</v>
      </c>
      <c r="H245" s="62">
        <v>2633.23</v>
      </c>
      <c r="I245" s="49">
        <v>0</v>
      </c>
      <c r="J245" s="49">
        <v>1300</v>
      </c>
      <c r="K245" s="49">
        <v>91.575638709677449</v>
      </c>
      <c r="L245" s="50">
        <v>0</v>
      </c>
      <c r="M245" s="51"/>
      <c r="N245" s="52" t="s">
        <v>1300</v>
      </c>
      <c r="O245" s="31"/>
      <c r="P245" s="53">
        <v>0</v>
      </c>
      <c r="Q245" s="54">
        <v>0</v>
      </c>
      <c r="R245" s="55">
        <v>0</v>
      </c>
      <c r="S245" s="55">
        <v>0</v>
      </c>
      <c r="T245" s="56">
        <v>0</v>
      </c>
      <c r="U245" s="57"/>
      <c r="V245" s="55">
        <v>91.575638709677449</v>
      </c>
      <c r="W245" s="55">
        <v>0</v>
      </c>
      <c r="X245" s="58">
        <v>0</v>
      </c>
      <c r="Y245" s="59">
        <v>91.575638709677449</v>
      </c>
      <c r="Z245" s="58">
        <v>91.575638709677449</v>
      </c>
      <c r="AA245" s="56">
        <v>0</v>
      </c>
      <c r="AB245" s="56">
        <v>0</v>
      </c>
      <c r="AC245" s="60">
        <v>46142</v>
      </c>
    </row>
    <row r="246" spans="1:30" x14ac:dyDescent="0.25">
      <c r="A246" s="43">
        <v>1008</v>
      </c>
      <c r="B246" s="44" t="s">
        <v>1282</v>
      </c>
      <c r="C246" s="45">
        <v>10080006</v>
      </c>
      <c r="D246" s="46" t="s">
        <v>612</v>
      </c>
      <c r="E246" s="47" t="s">
        <v>371</v>
      </c>
      <c r="F246" s="47" t="s">
        <v>59</v>
      </c>
      <c r="G246" s="62">
        <v>285.45000000000005</v>
      </c>
      <c r="H246" s="62">
        <v>9865.41</v>
      </c>
      <c r="I246" s="49">
        <v>0</v>
      </c>
      <c r="J246" s="49">
        <v>0</v>
      </c>
      <c r="K246" s="49">
        <v>0</v>
      </c>
      <c r="L246" s="50">
        <v>0</v>
      </c>
      <c r="M246" s="51"/>
      <c r="N246" s="52" t="s">
        <v>1300</v>
      </c>
      <c r="O246" s="31"/>
      <c r="P246" s="53">
        <v>0</v>
      </c>
      <c r="Q246" s="54">
        <v>0</v>
      </c>
      <c r="R246" s="55">
        <v>0</v>
      </c>
      <c r="S246" s="55">
        <v>0</v>
      </c>
      <c r="T246" s="56">
        <v>0</v>
      </c>
      <c r="U246" s="57"/>
      <c r="V246" s="55">
        <v>0</v>
      </c>
      <c r="W246" s="55">
        <v>0</v>
      </c>
      <c r="X246" s="58">
        <v>0</v>
      </c>
      <c r="Y246" s="59">
        <v>0</v>
      </c>
      <c r="Z246" s="58">
        <v>0</v>
      </c>
      <c r="AA246" s="56">
        <v>0</v>
      </c>
      <c r="AB246" s="56">
        <v>0</v>
      </c>
      <c r="AC246" s="60">
        <v>46142</v>
      </c>
      <c r="AD246" s="61"/>
    </row>
    <row r="247" spans="1:30" x14ac:dyDescent="0.25">
      <c r="A247" s="43">
        <v>1008</v>
      </c>
      <c r="B247" s="44" t="s">
        <v>1282</v>
      </c>
      <c r="C247" s="45">
        <v>10080007</v>
      </c>
      <c r="D247" s="46" t="s">
        <v>613</v>
      </c>
      <c r="E247" s="47" t="s">
        <v>371</v>
      </c>
      <c r="F247" s="47" t="s">
        <v>59</v>
      </c>
      <c r="G247" s="62">
        <v>768.3</v>
      </c>
      <c r="H247" s="62">
        <v>28029.989999999998</v>
      </c>
      <c r="I247" s="49">
        <v>0</v>
      </c>
      <c r="J247" s="49">
        <v>0</v>
      </c>
      <c r="K247" s="49">
        <v>0</v>
      </c>
      <c r="L247" s="50">
        <v>0</v>
      </c>
      <c r="M247" s="51"/>
      <c r="N247" s="52" t="s">
        <v>1300</v>
      </c>
      <c r="O247" s="31"/>
      <c r="P247" s="53">
        <v>0</v>
      </c>
      <c r="Q247" s="54">
        <v>0</v>
      </c>
      <c r="R247" s="55">
        <v>0</v>
      </c>
      <c r="S247" s="55">
        <v>0</v>
      </c>
      <c r="T247" s="56">
        <v>0</v>
      </c>
      <c r="U247" s="57"/>
      <c r="V247" s="55">
        <v>0</v>
      </c>
      <c r="W247" s="55">
        <v>0</v>
      </c>
      <c r="X247" s="58">
        <v>0</v>
      </c>
      <c r="Y247" s="59">
        <v>0</v>
      </c>
      <c r="Z247" s="58">
        <v>0</v>
      </c>
      <c r="AA247" s="56">
        <v>0</v>
      </c>
      <c r="AB247" s="56">
        <v>0</v>
      </c>
      <c r="AC247" s="60">
        <v>46142</v>
      </c>
      <c r="AD247" s="61"/>
    </row>
    <row r="248" spans="1:30" x14ac:dyDescent="0.25">
      <c r="A248" s="43">
        <v>1008</v>
      </c>
      <c r="B248" s="44" t="s">
        <v>1282</v>
      </c>
      <c r="C248" s="45">
        <v>10080012</v>
      </c>
      <c r="D248" s="46" t="s">
        <v>614</v>
      </c>
      <c r="E248" s="47" t="s">
        <v>371</v>
      </c>
      <c r="F248" s="47" t="s">
        <v>59</v>
      </c>
      <c r="G248" s="62">
        <v>252.75000000000003</v>
      </c>
      <c r="H248" s="62">
        <v>9578.69</v>
      </c>
      <c r="I248" s="49">
        <v>0</v>
      </c>
      <c r="J248" s="49">
        <v>0</v>
      </c>
      <c r="K248" s="49">
        <v>5749.636761290325</v>
      </c>
      <c r="L248" s="50">
        <v>0</v>
      </c>
      <c r="M248" s="51"/>
      <c r="N248" s="52" t="s">
        <v>1300</v>
      </c>
      <c r="O248" s="31"/>
      <c r="P248" s="53">
        <v>0</v>
      </c>
      <c r="Q248" s="54">
        <v>0</v>
      </c>
      <c r="R248" s="55">
        <v>0</v>
      </c>
      <c r="S248" s="55">
        <v>0</v>
      </c>
      <c r="T248" s="56">
        <v>0</v>
      </c>
      <c r="U248" s="57"/>
      <c r="V248" s="55">
        <v>5749.636761290325</v>
      </c>
      <c r="W248" s="55">
        <v>0</v>
      </c>
      <c r="X248" s="58">
        <v>0</v>
      </c>
      <c r="Y248" s="59">
        <v>5749.636761290325</v>
      </c>
      <c r="Z248" s="58">
        <v>5749.636761290325</v>
      </c>
      <c r="AA248" s="56">
        <v>0</v>
      </c>
      <c r="AB248" s="56">
        <v>0</v>
      </c>
      <c r="AC248" s="60">
        <v>46142</v>
      </c>
    </row>
    <row r="249" spans="1:30" x14ac:dyDescent="0.25">
      <c r="A249" s="43">
        <v>1008</v>
      </c>
      <c r="B249" s="44" t="s">
        <v>1282</v>
      </c>
      <c r="C249" s="45">
        <v>10080013</v>
      </c>
      <c r="D249" s="46" t="s">
        <v>615</v>
      </c>
      <c r="E249" s="47" t="s">
        <v>371</v>
      </c>
      <c r="F249" s="47" t="s">
        <v>59</v>
      </c>
      <c r="G249" s="62">
        <v>703.65000000000009</v>
      </c>
      <c r="H249" s="62">
        <v>26625.149999999998</v>
      </c>
      <c r="I249" s="49">
        <v>0</v>
      </c>
      <c r="J249" s="49">
        <v>6500</v>
      </c>
      <c r="K249" s="49">
        <v>0</v>
      </c>
      <c r="L249" s="50">
        <v>0</v>
      </c>
      <c r="M249" s="51"/>
      <c r="N249" s="52" t="s">
        <v>1300</v>
      </c>
      <c r="O249" s="31"/>
      <c r="P249" s="53">
        <v>0</v>
      </c>
      <c r="Q249" s="54">
        <v>0</v>
      </c>
      <c r="R249" s="55">
        <v>0</v>
      </c>
      <c r="S249" s="55">
        <v>0</v>
      </c>
      <c r="T249" s="56">
        <v>0</v>
      </c>
      <c r="U249" s="57"/>
      <c r="V249" s="55">
        <v>0</v>
      </c>
      <c r="W249" s="55">
        <v>0</v>
      </c>
      <c r="X249" s="58">
        <v>0</v>
      </c>
      <c r="Y249" s="59">
        <v>0</v>
      </c>
      <c r="Z249" s="58">
        <v>0</v>
      </c>
      <c r="AA249" s="56">
        <v>0</v>
      </c>
      <c r="AB249" s="56">
        <v>0</v>
      </c>
      <c r="AC249" s="60">
        <v>46142</v>
      </c>
    </row>
    <row r="250" spans="1:30" x14ac:dyDescent="0.25">
      <c r="A250" s="43">
        <v>1008</v>
      </c>
      <c r="B250" s="44" t="s">
        <v>1282</v>
      </c>
      <c r="C250" s="45">
        <v>10080014</v>
      </c>
      <c r="D250" s="46" t="s">
        <v>616</v>
      </c>
      <c r="E250" s="47" t="s">
        <v>371</v>
      </c>
      <c r="F250" s="47" t="s">
        <v>59</v>
      </c>
      <c r="G250" s="62">
        <v>96.25</v>
      </c>
      <c r="H250" s="62">
        <v>3661.9300000000003</v>
      </c>
      <c r="I250" s="49">
        <v>0</v>
      </c>
      <c r="J250" s="49">
        <v>0</v>
      </c>
      <c r="K250" s="49">
        <v>263.94879677419385</v>
      </c>
      <c r="L250" s="50">
        <v>0</v>
      </c>
      <c r="M250" s="51"/>
      <c r="N250" s="52" t="s">
        <v>1300</v>
      </c>
      <c r="O250" s="31"/>
      <c r="P250" s="53">
        <v>0</v>
      </c>
      <c r="Q250" s="54">
        <v>0</v>
      </c>
      <c r="R250" s="55">
        <v>0</v>
      </c>
      <c r="S250" s="55">
        <v>0</v>
      </c>
      <c r="T250" s="56">
        <v>0</v>
      </c>
      <c r="U250" s="57"/>
      <c r="V250" s="55">
        <v>263.94879677419385</v>
      </c>
      <c r="W250" s="55">
        <v>0</v>
      </c>
      <c r="X250" s="58">
        <v>0</v>
      </c>
      <c r="Y250" s="59">
        <v>263.94879677419385</v>
      </c>
      <c r="Z250" s="58">
        <v>263.94879677419385</v>
      </c>
      <c r="AA250" s="56">
        <v>0</v>
      </c>
      <c r="AB250" s="56">
        <v>0</v>
      </c>
      <c r="AC250" s="60">
        <v>46142</v>
      </c>
    </row>
    <row r="251" spans="1:30" x14ac:dyDescent="0.25">
      <c r="A251" s="43">
        <v>1008</v>
      </c>
      <c r="B251" s="44" t="s">
        <v>1282</v>
      </c>
      <c r="C251" s="45">
        <v>10080015</v>
      </c>
      <c r="D251" s="46" t="s">
        <v>617</v>
      </c>
      <c r="E251" s="47" t="s">
        <v>364</v>
      </c>
      <c r="F251" s="47" t="s">
        <v>58</v>
      </c>
      <c r="G251" s="62">
        <v>3113.75</v>
      </c>
      <c r="H251" s="62">
        <v>109247.59999999998</v>
      </c>
      <c r="I251" s="49">
        <v>0</v>
      </c>
      <c r="J251" s="49">
        <v>0</v>
      </c>
      <c r="K251" s="49">
        <v>0</v>
      </c>
      <c r="L251" s="50">
        <v>0</v>
      </c>
      <c r="M251" s="51"/>
      <c r="N251" s="52" t="s">
        <v>1300</v>
      </c>
      <c r="O251" s="31"/>
      <c r="P251" s="53">
        <v>-1.3522902717581274E-2</v>
      </c>
      <c r="Q251" s="54">
        <v>12</v>
      </c>
      <c r="R251" s="55">
        <v>0</v>
      </c>
      <c r="S251" s="55">
        <v>0</v>
      </c>
      <c r="T251" s="56">
        <v>0</v>
      </c>
      <c r="U251" s="57"/>
      <c r="V251" s="55">
        <v>0</v>
      </c>
      <c r="W251" s="55">
        <v>0</v>
      </c>
      <c r="X251" s="58">
        <v>0</v>
      </c>
      <c r="Y251" s="59">
        <v>0</v>
      </c>
      <c r="Z251" s="58">
        <v>0</v>
      </c>
      <c r="AA251" s="56">
        <v>0</v>
      </c>
      <c r="AB251" s="56">
        <v>0</v>
      </c>
      <c r="AC251" s="60">
        <v>46142</v>
      </c>
    </row>
    <row r="252" spans="1:30" x14ac:dyDescent="0.25">
      <c r="A252" s="43">
        <v>1008</v>
      </c>
      <c r="B252" s="44" t="s">
        <v>1282</v>
      </c>
      <c r="C252" s="45">
        <v>10080016</v>
      </c>
      <c r="D252" s="46" t="s">
        <v>618</v>
      </c>
      <c r="E252" s="47" t="s">
        <v>364</v>
      </c>
      <c r="F252" s="47" t="s">
        <v>58</v>
      </c>
      <c r="G252" s="62">
        <v>95.299999999999983</v>
      </c>
      <c r="H252" s="62">
        <v>3361.8000000000006</v>
      </c>
      <c r="I252" s="49">
        <v>0</v>
      </c>
      <c r="J252" s="49">
        <v>2429</v>
      </c>
      <c r="K252" s="49">
        <v>103.04377500000007</v>
      </c>
      <c r="L252" s="50" t="s">
        <v>409</v>
      </c>
      <c r="M252" s="51" t="s">
        <v>410</v>
      </c>
      <c r="N252" s="52" t="s">
        <v>1300</v>
      </c>
      <c r="O252" s="31"/>
      <c r="P252" s="53">
        <v>-4.8910049948242058E-2</v>
      </c>
      <c r="Q252" s="54">
        <v>4</v>
      </c>
      <c r="R252" s="55">
        <v>2600</v>
      </c>
      <c r="S252" s="55">
        <v>0</v>
      </c>
      <c r="T252" s="56">
        <v>2600</v>
      </c>
      <c r="U252" s="57"/>
      <c r="V252" s="55">
        <v>103.04377500000007</v>
      </c>
      <c r="W252" s="55">
        <v>0</v>
      </c>
      <c r="X252" s="58">
        <v>0</v>
      </c>
      <c r="Y252" s="59">
        <v>103.04377500000007</v>
      </c>
      <c r="Z252" s="58">
        <v>103.04377500000007</v>
      </c>
      <c r="AA252" s="56">
        <v>0</v>
      </c>
      <c r="AB252" s="56">
        <v>0</v>
      </c>
      <c r="AC252" s="60">
        <v>46142</v>
      </c>
    </row>
    <row r="253" spans="1:30" x14ac:dyDescent="0.25">
      <c r="A253" s="43">
        <v>1008</v>
      </c>
      <c r="B253" s="44" t="s">
        <v>1282</v>
      </c>
      <c r="C253" s="45">
        <v>10080022</v>
      </c>
      <c r="D253" s="46" t="s">
        <v>619</v>
      </c>
      <c r="E253" s="47" t="s">
        <v>364</v>
      </c>
      <c r="F253" s="47" t="s">
        <v>58</v>
      </c>
      <c r="G253" s="62">
        <v>250.65</v>
      </c>
      <c r="H253" s="62">
        <v>10491.049999999997</v>
      </c>
      <c r="I253" s="49">
        <v>0</v>
      </c>
      <c r="J253" s="49">
        <v>0</v>
      </c>
      <c r="K253" s="49">
        <v>0</v>
      </c>
      <c r="L253" s="50" t="s">
        <v>366</v>
      </c>
      <c r="M253" s="51" t="s">
        <v>367</v>
      </c>
      <c r="N253" s="52" t="s">
        <v>1300</v>
      </c>
      <c r="O253" s="31"/>
      <c r="P253" s="53">
        <v>-7.6228168996443895E-4</v>
      </c>
      <c r="Q253" s="54">
        <v>7</v>
      </c>
      <c r="R253" s="55">
        <v>0</v>
      </c>
      <c r="S253" s="55">
        <v>0</v>
      </c>
      <c r="T253" s="56">
        <v>0</v>
      </c>
      <c r="U253" s="57"/>
      <c r="V253" s="55">
        <v>0</v>
      </c>
      <c r="W253" s="55">
        <v>0</v>
      </c>
      <c r="X253" s="58">
        <v>0</v>
      </c>
      <c r="Y253" s="59">
        <v>0</v>
      </c>
      <c r="Z253" s="58">
        <v>0</v>
      </c>
      <c r="AA253" s="56">
        <v>0</v>
      </c>
      <c r="AB253" s="56">
        <v>0</v>
      </c>
      <c r="AC253" s="60">
        <v>46142</v>
      </c>
    </row>
    <row r="254" spans="1:30" x14ac:dyDescent="0.25">
      <c r="A254" s="43">
        <v>1008</v>
      </c>
      <c r="B254" s="44" t="s">
        <v>1282</v>
      </c>
      <c r="C254" s="45">
        <v>10080025</v>
      </c>
      <c r="D254" s="46" t="s">
        <v>620</v>
      </c>
      <c r="E254" s="47" t="s">
        <v>364</v>
      </c>
      <c r="F254" s="47" t="s">
        <v>58</v>
      </c>
      <c r="G254" s="62">
        <v>831.8</v>
      </c>
      <c r="H254" s="62">
        <v>29532.929999999997</v>
      </c>
      <c r="I254" s="49">
        <v>0</v>
      </c>
      <c r="J254" s="49">
        <v>0</v>
      </c>
      <c r="K254" s="49">
        <v>0</v>
      </c>
      <c r="L254" s="50" t="s">
        <v>366</v>
      </c>
      <c r="M254" s="51" t="s">
        <v>367</v>
      </c>
      <c r="N254" s="52" t="s">
        <v>1300</v>
      </c>
      <c r="O254" s="31"/>
      <c r="P254" s="53">
        <v>-7.6869691059443093E-2</v>
      </c>
      <c r="Q254" s="54">
        <v>27</v>
      </c>
      <c r="R254" s="55">
        <v>0</v>
      </c>
      <c r="S254" s="55">
        <v>0</v>
      </c>
      <c r="T254" s="56">
        <v>0</v>
      </c>
      <c r="U254" s="57"/>
      <c r="V254" s="55">
        <v>0</v>
      </c>
      <c r="W254" s="55">
        <v>0</v>
      </c>
      <c r="X254" s="58">
        <v>0</v>
      </c>
      <c r="Y254" s="59">
        <v>0</v>
      </c>
      <c r="Z254" s="58">
        <v>0</v>
      </c>
      <c r="AA254" s="56">
        <v>0</v>
      </c>
      <c r="AB254" s="56">
        <v>0</v>
      </c>
      <c r="AC254" s="60">
        <v>46142</v>
      </c>
    </row>
    <row r="255" spans="1:30" x14ac:dyDescent="0.25">
      <c r="A255" s="43">
        <v>1008</v>
      </c>
      <c r="B255" s="44" t="s">
        <v>1282</v>
      </c>
      <c r="C255" s="45">
        <v>10080032</v>
      </c>
      <c r="D255" s="46" t="s">
        <v>621</v>
      </c>
      <c r="E255" s="47" t="s">
        <v>364</v>
      </c>
      <c r="F255" s="47" t="s">
        <v>58</v>
      </c>
      <c r="G255" s="62">
        <v>464.5</v>
      </c>
      <c r="H255" s="62">
        <v>18954.660000000003</v>
      </c>
      <c r="I255" s="49">
        <v>0</v>
      </c>
      <c r="J255" s="49">
        <v>0</v>
      </c>
      <c r="K255" s="49">
        <v>0</v>
      </c>
      <c r="L255" s="50" t="s">
        <v>409</v>
      </c>
      <c r="M255" s="51" t="s">
        <v>410</v>
      </c>
      <c r="N255" s="52" t="s">
        <v>1300</v>
      </c>
      <c r="O255" s="31"/>
      <c r="P255" s="53">
        <v>3.4099011177199661E-3</v>
      </c>
      <c r="Q255" s="54">
        <v>7</v>
      </c>
      <c r="R255" s="55">
        <v>24650</v>
      </c>
      <c r="S255" s="55">
        <v>0</v>
      </c>
      <c r="T255" s="56">
        <v>24650</v>
      </c>
      <c r="U255" s="57"/>
      <c r="V255" s="55">
        <v>0</v>
      </c>
      <c r="W255" s="55">
        <v>0</v>
      </c>
      <c r="X255" s="58">
        <v>0</v>
      </c>
      <c r="Y255" s="59">
        <v>0</v>
      </c>
      <c r="Z255" s="58">
        <v>0</v>
      </c>
      <c r="AA255" s="56">
        <v>0</v>
      </c>
      <c r="AB255" s="56">
        <v>0</v>
      </c>
      <c r="AC255" s="60">
        <v>46142</v>
      </c>
    </row>
    <row r="256" spans="1:30" x14ac:dyDescent="0.25">
      <c r="A256" s="43">
        <v>1008</v>
      </c>
      <c r="B256" s="44" t="s">
        <v>1282</v>
      </c>
      <c r="C256" s="45">
        <v>10080039</v>
      </c>
      <c r="D256" s="46" t="s">
        <v>622</v>
      </c>
      <c r="E256" s="47" t="s">
        <v>371</v>
      </c>
      <c r="F256" s="47" t="s">
        <v>59</v>
      </c>
      <c r="G256" s="62">
        <v>37.700000000000003</v>
      </c>
      <c r="H256" s="62">
        <v>1215.45</v>
      </c>
      <c r="I256" s="49">
        <v>0</v>
      </c>
      <c r="J256" s="49">
        <v>0</v>
      </c>
      <c r="K256" s="49">
        <v>1215</v>
      </c>
      <c r="L256" s="50" t="s">
        <v>366</v>
      </c>
      <c r="M256" s="51" t="s">
        <v>367</v>
      </c>
      <c r="N256" s="52" t="s">
        <v>1300</v>
      </c>
      <c r="O256" s="31"/>
      <c r="P256" s="53">
        <v>0</v>
      </c>
      <c r="Q256" s="54">
        <v>0</v>
      </c>
      <c r="R256" s="55">
        <v>0</v>
      </c>
      <c r="S256" s="55">
        <v>0</v>
      </c>
      <c r="T256" s="56">
        <v>0</v>
      </c>
      <c r="U256" s="57"/>
      <c r="V256" s="55">
        <v>6785.437654838709</v>
      </c>
      <c r="W256" s="55">
        <v>0</v>
      </c>
      <c r="X256" s="58">
        <v>0</v>
      </c>
      <c r="Y256" s="59">
        <v>6785.437654838709</v>
      </c>
      <c r="Z256" s="58">
        <v>1215</v>
      </c>
      <c r="AA256" s="56">
        <v>-5570.437654838709</v>
      </c>
      <c r="AB256" s="56">
        <v>-5570.437654838709</v>
      </c>
      <c r="AC256" s="60">
        <v>46142</v>
      </c>
    </row>
    <row r="257" spans="1:30" x14ac:dyDescent="0.25">
      <c r="A257" s="43">
        <v>1008</v>
      </c>
      <c r="B257" s="44" t="s">
        <v>1282</v>
      </c>
      <c r="C257" s="45">
        <v>10080040</v>
      </c>
      <c r="D257" s="46" t="s">
        <v>623</v>
      </c>
      <c r="E257" s="47" t="s">
        <v>371</v>
      </c>
      <c r="F257" s="47" t="s">
        <v>59</v>
      </c>
      <c r="G257" s="62">
        <v>963.55</v>
      </c>
      <c r="H257" s="62">
        <v>37475.619999999995</v>
      </c>
      <c r="I257" s="49">
        <v>0</v>
      </c>
      <c r="J257" s="49">
        <v>0</v>
      </c>
      <c r="K257" s="49">
        <v>0</v>
      </c>
      <c r="L257" s="50">
        <v>0</v>
      </c>
      <c r="M257" s="51"/>
      <c r="N257" s="52" t="s">
        <v>1300</v>
      </c>
      <c r="O257" s="31"/>
      <c r="P257" s="53">
        <v>0</v>
      </c>
      <c r="Q257" s="54">
        <v>0</v>
      </c>
      <c r="R257" s="55">
        <v>0</v>
      </c>
      <c r="S257" s="55">
        <v>0</v>
      </c>
      <c r="T257" s="56">
        <v>0</v>
      </c>
      <c r="U257" s="57"/>
      <c r="V257" s="55">
        <v>0</v>
      </c>
      <c r="W257" s="55">
        <v>0</v>
      </c>
      <c r="X257" s="58">
        <v>0</v>
      </c>
      <c r="Y257" s="59">
        <v>0</v>
      </c>
      <c r="Z257" s="58">
        <v>0</v>
      </c>
      <c r="AA257" s="56">
        <v>0</v>
      </c>
      <c r="AB257" s="56">
        <v>0</v>
      </c>
      <c r="AC257" s="60">
        <v>46142</v>
      </c>
      <c r="AD257" s="61"/>
    </row>
    <row r="258" spans="1:30" x14ac:dyDescent="0.25">
      <c r="A258" s="43">
        <v>1008</v>
      </c>
      <c r="B258" s="44" t="s">
        <v>1282</v>
      </c>
      <c r="C258" s="45">
        <v>10080048</v>
      </c>
      <c r="D258" s="46" t="s">
        <v>624</v>
      </c>
      <c r="E258" s="47" t="s">
        <v>364</v>
      </c>
      <c r="F258" s="47" t="s">
        <v>58</v>
      </c>
      <c r="G258" s="62">
        <v>234.54999999999995</v>
      </c>
      <c r="H258" s="62">
        <v>10318.829999999998</v>
      </c>
      <c r="I258" s="49">
        <v>0</v>
      </c>
      <c r="J258" s="49">
        <v>3340</v>
      </c>
      <c r="K258" s="49">
        <v>0</v>
      </c>
      <c r="L258" s="50" t="s">
        <v>409</v>
      </c>
      <c r="M258" s="51" t="s">
        <v>410</v>
      </c>
      <c r="N258" s="52" t="s">
        <v>1300</v>
      </c>
      <c r="O258" s="31"/>
      <c r="P258" s="53">
        <v>1.5208459409778134E-2</v>
      </c>
      <c r="Q258" s="54">
        <v>6</v>
      </c>
      <c r="R258" s="55">
        <v>3900</v>
      </c>
      <c r="S258" s="55">
        <v>0</v>
      </c>
      <c r="T258" s="56">
        <v>3900</v>
      </c>
      <c r="U258" s="57"/>
      <c r="V258" s="55">
        <v>0</v>
      </c>
      <c r="W258" s="55">
        <v>0</v>
      </c>
      <c r="X258" s="58">
        <v>0</v>
      </c>
      <c r="Y258" s="59">
        <v>0</v>
      </c>
      <c r="Z258" s="58">
        <v>0</v>
      </c>
      <c r="AA258" s="56">
        <v>0</v>
      </c>
      <c r="AB258" s="56">
        <v>0</v>
      </c>
      <c r="AC258" s="60">
        <v>46142</v>
      </c>
    </row>
    <row r="259" spans="1:30" x14ac:dyDescent="0.25">
      <c r="A259" s="43">
        <v>1008</v>
      </c>
      <c r="B259" s="44" t="s">
        <v>1282</v>
      </c>
      <c r="C259" s="45">
        <v>10080052</v>
      </c>
      <c r="D259" s="46" t="s">
        <v>625</v>
      </c>
      <c r="E259" s="47" t="s">
        <v>364</v>
      </c>
      <c r="F259" s="47" t="s">
        <v>58</v>
      </c>
      <c r="G259" s="62">
        <v>732.4</v>
      </c>
      <c r="H259" s="62">
        <v>26334.52</v>
      </c>
      <c r="I259" s="49">
        <v>0</v>
      </c>
      <c r="J259" s="49">
        <v>6800</v>
      </c>
      <c r="K259" s="49">
        <v>0</v>
      </c>
      <c r="L259" s="50">
        <v>0</v>
      </c>
      <c r="M259" s="51"/>
      <c r="N259" s="52" t="s">
        <v>1300</v>
      </c>
      <c r="O259" s="31"/>
      <c r="P259" s="53">
        <v>-8.9015560369431479E-2</v>
      </c>
      <c r="Q259" s="54">
        <v>5</v>
      </c>
      <c r="R259" s="55">
        <v>0</v>
      </c>
      <c r="S259" s="55">
        <v>0</v>
      </c>
      <c r="T259" s="56">
        <v>0</v>
      </c>
      <c r="U259" s="57"/>
      <c r="V259" s="55">
        <v>0</v>
      </c>
      <c r="W259" s="55">
        <v>0</v>
      </c>
      <c r="X259" s="58">
        <v>0</v>
      </c>
      <c r="Y259" s="59">
        <v>0</v>
      </c>
      <c r="Z259" s="58">
        <v>0</v>
      </c>
      <c r="AA259" s="56">
        <v>0</v>
      </c>
      <c r="AB259" s="56">
        <v>0</v>
      </c>
      <c r="AC259" s="60">
        <v>46142</v>
      </c>
    </row>
    <row r="260" spans="1:30" x14ac:dyDescent="0.25">
      <c r="A260" s="43">
        <v>1008</v>
      </c>
      <c r="B260" s="44" t="s">
        <v>1282</v>
      </c>
      <c r="C260" s="45">
        <v>10080053</v>
      </c>
      <c r="D260" s="46" t="s">
        <v>626</v>
      </c>
      <c r="E260" s="47" t="s">
        <v>364</v>
      </c>
      <c r="F260" s="47" t="s">
        <v>58</v>
      </c>
      <c r="G260" s="62">
        <v>462.25</v>
      </c>
      <c r="H260" s="62">
        <v>16246.509999999998</v>
      </c>
      <c r="I260" s="49">
        <v>0</v>
      </c>
      <c r="J260" s="49">
        <v>0</v>
      </c>
      <c r="K260" s="49">
        <v>0</v>
      </c>
      <c r="L260" s="50">
        <v>0</v>
      </c>
      <c r="M260" s="51"/>
      <c r="N260" s="52" t="s">
        <v>1300</v>
      </c>
      <c r="O260" s="31"/>
      <c r="P260" s="53">
        <v>-0.19509394404204172</v>
      </c>
      <c r="Q260" s="54">
        <v>3</v>
      </c>
      <c r="R260" s="55">
        <v>0</v>
      </c>
      <c r="S260" s="55">
        <v>0</v>
      </c>
      <c r="T260" s="56">
        <v>0</v>
      </c>
      <c r="U260" s="57"/>
      <c r="V260" s="55">
        <v>0</v>
      </c>
      <c r="W260" s="55">
        <v>0</v>
      </c>
      <c r="X260" s="58">
        <v>0</v>
      </c>
      <c r="Y260" s="59">
        <v>0</v>
      </c>
      <c r="Z260" s="58">
        <v>0</v>
      </c>
      <c r="AA260" s="56">
        <v>0</v>
      </c>
      <c r="AB260" s="56">
        <v>0</v>
      </c>
      <c r="AC260" s="60">
        <v>46142</v>
      </c>
      <c r="AD260" s="61"/>
    </row>
    <row r="261" spans="1:30" x14ac:dyDescent="0.25">
      <c r="A261" s="43">
        <v>1008</v>
      </c>
      <c r="B261" s="44" t="s">
        <v>1282</v>
      </c>
      <c r="C261" s="45">
        <v>10080054</v>
      </c>
      <c r="D261" s="46" t="s">
        <v>627</v>
      </c>
      <c r="E261" s="47" t="s">
        <v>371</v>
      </c>
      <c r="F261" s="47" t="s">
        <v>59</v>
      </c>
      <c r="G261" s="62">
        <v>279.34999999999997</v>
      </c>
      <c r="H261" s="62">
        <v>10031.619999999999</v>
      </c>
      <c r="I261" s="49">
        <v>0</v>
      </c>
      <c r="J261" s="49">
        <v>0</v>
      </c>
      <c r="K261" s="49">
        <v>6105.9317032258041</v>
      </c>
      <c r="L261" s="50">
        <v>0</v>
      </c>
      <c r="M261" s="51"/>
      <c r="N261" s="52" t="s">
        <v>1300</v>
      </c>
      <c r="O261" s="31"/>
      <c r="P261" s="53">
        <v>0</v>
      </c>
      <c r="Q261" s="54">
        <v>0</v>
      </c>
      <c r="R261" s="55">
        <v>0</v>
      </c>
      <c r="S261" s="55">
        <v>0</v>
      </c>
      <c r="T261" s="56">
        <v>0</v>
      </c>
      <c r="U261" s="57"/>
      <c r="V261" s="55">
        <v>6105.9317032258041</v>
      </c>
      <c r="W261" s="55">
        <v>0</v>
      </c>
      <c r="X261" s="58">
        <v>0</v>
      </c>
      <c r="Y261" s="59">
        <v>6105.9317032258041</v>
      </c>
      <c r="Z261" s="58">
        <v>6105.9317032258041</v>
      </c>
      <c r="AA261" s="56">
        <v>0</v>
      </c>
      <c r="AB261" s="56">
        <v>0</v>
      </c>
      <c r="AC261" s="60">
        <v>46142</v>
      </c>
      <c r="AD261" s="61"/>
    </row>
    <row r="262" spans="1:30" x14ac:dyDescent="0.25">
      <c r="A262" s="43">
        <v>1008</v>
      </c>
      <c r="B262" s="44" t="s">
        <v>1282</v>
      </c>
      <c r="C262" s="45">
        <v>10080055</v>
      </c>
      <c r="D262" s="46" t="s">
        <v>628</v>
      </c>
      <c r="E262" s="47" t="s">
        <v>364</v>
      </c>
      <c r="F262" s="47" t="s">
        <v>58</v>
      </c>
      <c r="G262" s="62">
        <v>243.05000000000004</v>
      </c>
      <c r="H262" s="62">
        <v>8845.4800000000014</v>
      </c>
      <c r="I262" s="49">
        <v>0</v>
      </c>
      <c r="J262" s="49">
        <v>0</v>
      </c>
      <c r="K262" s="49">
        <v>683.29495263157855</v>
      </c>
      <c r="L262" s="50">
        <v>0</v>
      </c>
      <c r="M262" s="51"/>
      <c r="N262" s="52" t="s">
        <v>1300</v>
      </c>
      <c r="O262" s="31"/>
      <c r="P262" s="53">
        <v>-0.10605962079796676</v>
      </c>
      <c r="Q262" s="54">
        <v>4</v>
      </c>
      <c r="R262" s="55">
        <v>0</v>
      </c>
      <c r="S262" s="55">
        <v>0</v>
      </c>
      <c r="T262" s="56">
        <v>0</v>
      </c>
      <c r="U262" s="57"/>
      <c r="V262" s="55">
        <v>683.29495263157855</v>
      </c>
      <c r="W262" s="55">
        <v>0</v>
      </c>
      <c r="X262" s="58">
        <v>0</v>
      </c>
      <c r="Y262" s="59">
        <v>683.29495263157855</v>
      </c>
      <c r="Z262" s="58">
        <v>683.29495263157855</v>
      </c>
      <c r="AA262" s="56">
        <v>0</v>
      </c>
      <c r="AB262" s="56">
        <v>0</v>
      </c>
      <c r="AC262" s="60">
        <v>46142</v>
      </c>
    </row>
    <row r="263" spans="1:30" x14ac:dyDescent="0.25">
      <c r="A263" s="43">
        <v>1008</v>
      </c>
      <c r="B263" s="44" t="s">
        <v>1282</v>
      </c>
      <c r="C263" s="45">
        <v>10080061</v>
      </c>
      <c r="D263" s="46" t="s">
        <v>629</v>
      </c>
      <c r="E263" s="47" t="s">
        <v>364</v>
      </c>
      <c r="F263" s="47" t="s">
        <v>58</v>
      </c>
      <c r="G263" s="62">
        <v>129.5</v>
      </c>
      <c r="H263" s="62">
        <v>4514.16</v>
      </c>
      <c r="I263" s="49">
        <v>0</v>
      </c>
      <c r="J263" s="49">
        <v>0</v>
      </c>
      <c r="K263" s="49">
        <v>52.443479999999944</v>
      </c>
      <c r="L263" s="50">
        <v>0</v>
      </c>
      <c r="M263" s="51"/>
      <c r="N263" s="52" t="s">
        <v>1300</v>
      </c>
      <c r="O263" s="31"/>
      <c r="P263" s="53">
        <v>3.3879561619437289E-2</v>
      </c>
      <c r="Q263" s="54">
        <v>1</v>
      </c>
      <c r="R263" s="55">
        <v>0</v>
      </c>
      <c r="S263" s="55">
        <v>0</v>
      </c>
      <c r="T263" s="56">
        <v>0</v>
      </c>
      <c r="U263" s="57"/>
      <c r="V263" s="55">
        <v>52.443479999999944</v>
      </c>
      <c r="W263" s="55">
        <v>0</v>
      </c>
      <c r="X263" s="58">
        <v>0</v>
      </c>
      <c r="Y263" s="59">
        <v>52.443479999999944</v>
      </c>
      <c r="Z263" s="58">
        <v>52.443479999999944</v>
      </c>
      <c r="AA263" s="56">
        <v>0</v>
      </c>
      <c r="AB263" s="56">
        <v>0</v>
      </c>
      <c r="AC263" s="60">
        <v>46142</v>
      </c>
      <c r="AD263" s="61"/>
    </row>
    <row r="264" spans="1:30" x14ac:dyDescent="0.25">
      <c r="A264" s="43">
        <v>1008</v>
      </c>
      <c r="B264" s="44" t="s">
        <v>1282</v>
      </c>
      <c r="C264" s="45">
        <v>10080062</v>
      </c>
      <c r="D264" s="46" t="s">
        <v>630</v>
      </c>
      <c r="E264" s="47" t="s">
        <v>364</v>
      </c>
      <c r="F264" s="47" t="s">
        <v>58</v>
      </c>
      <c r="G264" s="62">
        <v>53.599999999999994</v>
      </c>
      <c r="H264" s="62">
        <v>2119.67</v>
      </c>
      <c r="I264" s="49">
        <v>0</v>
      </c>
      <c r="J264" s="49">
        <v>0</v>
      </c>
      <c r="K264" s="49">
        <v>375.13</v>
      </c>
      <c r="L264" s="50" t="s">
        <v>366</v>
      </c>
      <c r="M264" s="51" t="s">
        <v>367</v>
      </c>
      <c r="N264" s="52" t="s">
        <v>1300</v>
      </c>
      <c r="O264" s="31"/>
      <c r="P264" s="53">
        <v>-4.5260168988570919E-3</v>
      </c>
      <c r="Q264" s="54">
        <v>1</v>
      </c>
      <c r="R264" s="55">
        <v>0</v>
      </c>
      <c r="S264" s="55">
        <v>0</v>
      </c>
      <c r="T264" s="56">
        <v>0</v>
      </c>
      <c r="U264" s="57"/>
      <c r="V264" s="55">
        <v>375.13309180327889</v>
      </c>
      <c r="W264" s="55">
        <v>0</v>
      </c>
      <c r="X264" s="58">
        <v>0</v>
      </c>
      <c r="Y264" s="59">
        <v>375.13309180327889</v>
      </c>
      <c r="Z264" s="58">
        <v>375.13</v>
      </c>
      <c r="AA264" s="56">
        <v>-3.0918032788918026E-3</v>
      </c>
      <c r="AB264" s="56">
        <v>-3.0918032788918026E-3</v>
      </c>
      <c r="AC264" s="60">
        <v>46142</v>
      </c>
      <c r="AD264" s="61"/>
    </row>
    <row r="265" spans="1:30" x14ac:dyDescent="0.25">
      <c r="A265" s="43">
        <v>1008</v>
      </c>
      <c r="B265" s="44" t="s">
        <v>1282</v>
      </c>
      <c r="C265" s="45">
        <v>10080067</v>
      </c>
      <c r="D265" s="46" t="s">
        <v>631</v>
      </c>
      <c r="E265" s="47" t="s">
        <v>364</v>
      </c>
      <c r="F265" s="47" t="s">
        <v>58</v>
      </c>
      <c r="G265" s="62">
        <v>78.199999999999989</v>
      </c>
      <c r="H265" s="62">
        <v>2876.68</v>
      </c>
      <c r="I265" s="49">
        <v>0</v>
      </c>
      <c r="J265" s="49">
        <v>0</v>
      </c>
      <c r="K265" s="49">
        <v>64.95</v>
      </c>
      <c r="L265" s="50" t="s">
        <v>366</v>
      </c>
      <c r="M265" s="51" t="s">
        <v>367</v>
      </c>
      <c r="N265" s="52" t="s">
        <v>1300</v>
      </c>
      <c r="O265" s="31"/>
      <c r="P265" s="53">
        <v>8.8740746355103581E-2</v>
      </c>
      <c r="Q265" s="54">
        <v>4</v>
      </c>
      <c r="R265" s="55">
        <v>0</v>
      </c>
      <c r="S265" s="55">
        <v>0</v>
      </c>
      <c r="T265" s="56">
        <v>0</v>
      </c>
      <c r="U265" s="57"/>
      <c r="V265" s="55">
        <v>64.945619999999991</v>
      </c>
      <c r="W265" s="55">
        <v>0</v>
      </c>
      <c r="X265" s="58">
        <v>0</v>
      </c>
      <c r="Y265" s="59">
        <v>64.945619999999991</v>
      </c>
      <c r="Z265" s="58">
        <v>64.95</v>
      </c>
      <c r="AA265" s="56">
        <v>4.3800000000118189E-3</v>
      </c>
      <c r="AB265" s="56">
        <v>4.3800000000118189E-3</v>
      </c>
      <c r="AC265" s="60">
        <v>46142</v>
      </c>
    </row>
    <row r="266" spans="1:30" x14ac:dyDescent="0.25">
      <c r="A266" s="43">
        <v>1008</v>
      </c>
      <c r="B266" s="44" t="s">
        <v>1282</v>
      </c>
      <c r="C266" s="45">
        <v>10080076</v>
      </c>
      <c r="D266" s="46" t="s">
        <v>632</v>
      </c>
      <c r="E266" s="47" t="s">
        <v>371</v>
      </c>
      <c r="F266" s="47" t="s">
        <v>59</v>
      </c>
      <c r="G266" s="62">
        <v>70.150000000000006</v>
      </c>
      <c r="H266" s="62">
        <v>2690.4500000000003</v>
      </c>
      <c r="I266" s="49">
        <v>0</v>
      </c>
      <c r="J266" s="49">
        <v>0</v>
      </c>
      <c r="K266" s="49">
        <v>0</v>
      </c>
      <c r="L266" s="50">
        <v>0</v>
      </c>
      <c r="M266" s="51"/>
      <c r="N266" s="52" t="s">
        <v>1300</v>
      </c>
      <c r="O266" s="31"/>
      <c r="P266" s="53">
        <v>0</v>
      </c>
      <c r="Q266" s="54">
        <v>0</v>
      </c>
      <c r="R266" s="55">
        <v>0</v>
      </c>
      <c r="S266" s="55">
        <v>0</v>
      </c>
      <c r="T266" s="56">
        <v>0</v>
      </c>
      <c r="U266" s="57"/>
      <c r="V266" s="55">
        <v>0</v>
      </c>
      <c r="W266" s="55">
        <v>0</v>
      </c>
      <c r="X266" s="58">
        <v>0</v>
      </c>
      <c r="Y266" s="59">
        <v>0</v>
      </c>
      <c r="Z266" s="58">
        <v>0</v>
      </c>
      <c r="AA266" s="56">
        <v>0</v>
      </c>
      <c r="AB266" s="56">
        <v>0</v>
      </c>
      <c r="AC266" s="60">
        <v>46142</v>
      </c>
      <c r="AD266" s="61"/>
    </row>
    <row r="267" spans="1:30" x14ac:dyDescent="0.25">
      <c r="A267" s="43">
        <v>1008</v>
      </c>
      <c r="B267" s="44" t="s">
        <v>1282</v>
      </c>
      <c r="C267" s="45">
        <v>10080077</v>
      </c>
      <c r="D267" s="46" t="s">
        <v>633</v>
      </c>
      <c r="E267" s="47" t="s">
        <v>364</v>
      </c>
      <c r="F267" s="47" t="s">
        <v>58</v>
      </c>
      <c r="G267" s="62">
        <v>970.39999999999986</v>
      </c>
      <c r="H267" s="62">
        <v>35882.79</v>
      </c>
      <c r="I267" s="49">
        <v>0</v>
      </c>
      <c r="J267" s="49">
        <v>0</v>
      </c>
      <c r="K267" s="49">
        <v>0</v>
      </c>
      <c r="L267" s="50">
        <v>0</v>
      </c>
      <c r="M267" s="51"/>
      <c r="N267" s="52" t="s">
        <v>1300</v>
      </c>
      <c r="O267" s="31"/>
      <c r="P267" s="53">
        <v>3.5518742296897707E-2</v>
      </c>
      <c r="Q267" s="54">
        <v>8</v>
      </c>
      <c r="R267" s="55">
        <v>0</v>
      </c>
      <c r="S267" s="55">
        <v>0</v>
      </c>
      <c r="T267" s="56">
        <v>0</v>
      </c>
      <c r="U267" s="57"/>
      <c r="V267" s="55">
        <v>0</v>
      </c>
      <c r="W267" s="55">
        <v>0</v>
      </c>
      <c r="X267" s="58">
        <v>0</v>
      </c>
      <c r="Y267" s="59">
        <v>0</v>
      </c>
      <c r="Z267" s="58">
        <v>0</v>
      </c>
      <c r="AA267" s="56">
        <v>0</v>
      </c>
      <c r="AB267" s="56">
        <v>0</v>
      </c>
      <c r="AC267" s="60">
        <v>46142</v>
      </c>
    </row>
    <row r="268" spans="1:30" x14ac:dyDescent="0.25">
      <c r="A268" s="43">
        <v>1008</v>
      </c>
      <c r="B268" s="44" t="s">
        <v>1282</v>
      </c>
      <c r="C268" s="45">
        <v>10080078</v>
      </c>
      <c r="D268" s="46" t="s">
        <v>634</v>
      </c>
      <c r="E268" s="47" t="s">
        <v>371</v>
      </c>
      <c r="F268" s="47" t="s">
        <v>59</v>
      </c>
      <c r="G268" s="62">
        <v>56.6</v>
      </c>
      <c r="H268" s="62">
        <v>2286.0700000000002</v>
      </c>
      <c r="I268" s="49">
        <v>0</v>
      </c>
      <c r="J268" s="49">
        <v>0</v>
      </c>
      <c r="K268" s="49">
        <v>2233.3832225806445</v>
      </c>
      <c r="L268" s="50">
        <v>0</v>
      </c>
      <c r="M268" s="51"/>
      <c r="N268" s="52" t="s">
        <v>1300</v>
      </c>
      <c r="O268" s="31"/>
      <c r="P268" s="53">
        <v>0</v>
      </c>
      <c r="Q268" s="54">
        <v>0</v>
      </c>
      <c r="R268" s="55">
        <v>0</v>
      </c>
      <c r="S268" s="55">
        <v>0</v>
      </c>
      <c r="T268" s="56">
        <v>0</v>
      </c>
      <c r="U268" s="57"/>
      <c r="V268" s="55">
        <v>2233.3832225806445</v>
      </c>
      <c r="W268" s="55">
        <v>0</v>
      </c>
      <c r="X268" s="58">
        <v>0</v>
      </c>
      <c r="Y268" s="59">
        <v>2233.3832225806445</v>
      </c>
      <c r="Z268" s="58">
        <v>2233.3832225806445</v>
      </c>
      <c r="AA268" s="56">
        <v>0</v>
      </c>
      <c r="AB268" s="56">
        <v>0</v>
      </c>
      <c r="AC268" s="60">
        <v>46142</v>
      </c>
    </row>
    <row r="269" spans="1:30" x14ac:dyDescent="0.25">
      <c r="A269" s="43">
        <v>1008</v>
      </c>
      <c r="B269" s="44" t="s">
        <v>1282</v>
      </c>
      <c r="C269" s="45">
        <v>10080079</v>
      </c>
      <c r="D269" s="46" t="s">
        <v>635</v>
      </c>
      <c r="E269" s="47" t="s">
        <v>364</v>
      </c>
      <c r="F269" s="47" t="s">
        <v>58</v>
      </c>
      <c r="G269" s="62">
        <v>164.1</v>
      </c>
      <c r="H269" s="62">
        <v>6175.58</v>
      </c>
      <c r="I269" s="49">
        <v>0</v>
      </c>
      <c r="J269" s="49">
        <v>0</v>
      </c>
      <c r="K269" s="49">
        <v>0</v>
      </c>
      <c r="L269" s="50">
        <v>0</v>
      </c>
      <c r="M269" s="51"/>
      <c r="N269" s="52" t="s">
        <v>1300</v>
      </c>
      <c r="O269" s="31"/>
      <c r="P269" s="53">
        <v>3.5341485658025337E-3</v>
      </c>
      <c r="Q269" s="54">
        <v>1</v>
      </c>
      <c r="R269" s="55">
        <v>0</v>
      </c>
      <c r="S269" s="55">
        <v>0</v>
      </c>
      <c r="T269" s="56">
        <v>0</v>
      </c>
      <c r="U269" s="57"/>
      <c r="V269" s="55">
        <v>0</v>
      </c>
      <c r="W269" s="55">
        <v>0</v>
      </c>
      <c r="X269" s="58">
        <v>0</v>
      </c>
      <c r="Y269" s="59">
        <v>0</v>
      </c>
      <c r="Z269" s="58">
        <v>0</v>
      </c>
      <c r="AA269" s="56">
        <v>0</v>
      </c>
      <c r="AB269" s="56">
        <v>0</v>
      </c>
      <c r="AC269" s="60">
        <v>46142</v>
      </c>
    </row>
    <row r="270" spans="1:30" x14ac:dyDescent="0.25">
      <c r="A270" s="43">
        <v>1008</v>
      </c>
      <c r="B270" s="44" t="s">
        <v>1282</v>
      </c>
      <c r="C270" s="45">
        <v>10080080</v>
      </c>
      <c r="D270" s="46" t="s">
        <v>636</v>
      </c>
      <c r="E270" s="47" t="s">
        <v>371</v>
      </c>
      <c r="F270" s="47" t="s">
        <v>59</v>
      </c>
      <c r="G270" s="62">
        <v>205</v>
      </c>
      <c r="H270" s="62">
        <v>6903.9600000000009</v>
      </c>
      <c r="I270" s="49">
        <v>0</v>
      </c>
      <c r="J270" s="49">
        <v>0</v>
      </c>
      <c r="K270" s="49">
        <v>642.55951935483881</v>
      </c>
      <c r="L270" s="50">
        <v>0</v>
      </c>
      <c r="M270" s="51"/>
      <c r="N270" s="52" t="s">
        <v>1300</v>
      </c>
      <c r="O270" s="31"/>
      <c r="P270" s="53">
        <v>0</v>
      </c>
      <c r="Q270" s="54">
        <v>0</v>
      </c>
      <c r="R270" s="55">
        <v>0</v>
      </c>
      <c r="S270" s="55">
        <v>0</v>
      </c>
      <c r="T270" s="56">
        <v>0</v>
      </c>
      <c r="U270" s="57"/>
      <c r="V270" s="55">
        <v>642.55951935483881</v>
      </c>
      <c r="W270" s="55">
        <v>0</v>
      </c>
      <c r="X270" s="58">
        <v>0</v>
      </c>
      <c r="Y270" s="59">
        <v>642.55951935483881</v>
      </c>
      <c r="Z270" s="58">
        <v>642.55951935483881</v>
      </c>
      <c r="AA270" s="56">
        <v>0</v>
      </c>
      <c r="AB270" s="56">
        <v>0</v>
      </c>
      <c r="AC270" s="60">
        <v>46142</v>
      </c>
    </row>
    <row r="271" spans="1:30" x14ac:dyDescent="0.25">
      <c r="A271" s="43">
        <v>1008</v>
      </c>
      <c r="B271" s="44" t="s">
        <v>1282</v>
      </c>
      <c r="C271" s="45">
        <v>10080082</v>
      </c>
      <c r="D271" s="46" t="s">
        <v>637</v>
      </c>
      <c r="E271" s="47" t="s">
        <v>371</v>
      </c>
      <c r="F271" s="47" t="s">
        <v>59</v>
      </c>
      <c r="G271" s="62">
        <v>383.3</v>
      </c>
      <c r="H271" s="62">
        <v>13966.76</v>
      </c>
      <c r="I271" s="49">
        <v>0</v>
      </c>
      <c r="J271" s="49">
        <v>0</v>
      </c>
      <c r="K271" s="49">
        <v>0</v>
      </c>
      <c r="L271" s="50">
        <v>0</v>
      </c>
      <c r="M271" s="51"/>
      <c r="N271" s="52" t="s">
        <v>1300</v>
      </c>
      <c r="O271" s="31"/>
      <c r="P271" s="53">
        <v>0</v>
      </c>
      <c r="Q271" s="54">
        <v>0</v>
      </c>
      <c r="R271" s="55">
        <v>0</v>
      </c>
      <c r="S271" s="55">
        <v>0</v>
      </c>
      <c r="T271" s="56">
        <v>0</v>
      </c>
      <c r="U271" s="57"/>
      <c r="V271" s="55">
        <v>0</v>
      </c>
      <c r="W271" s="55">
        <v>0</v>
      </c>
      <c r="X271" s="58">
        <v>0</v>
      </c>
      <c r="Y271" s="59">
        <v>0</v>
      </c>
      <c r="Z271" s="58">
        <v>0</v>
      </c>
      <c r="AA271" s="56">
        <v>0</v>
      </c>
      <c r="AB271" s="56">
        <v>0</v>
      </c>
      <c r="AC271" s="60">
        <v>46142</v>
      </c>
    </row>
    <row r="272" spans="1:30" x14ac:dyDescent="0.25">
      <c r="A272" s="43">
        <v>1008</v>
      </c>
      <c r="B272" s="44" t="s">
        <v>1282</v>
      </c>
      <c r="C272" s="45">
        <v>10080083</v>
      </c>
      <c r="D272" s="46" t="s">
        <v>638</v>
      </c>
      <c r="E272" s="47" t="s">
        <v>371</v>
      </c>
      <c r="F272" s="47" t="s">
        <v>59</v>
      </c>
      <c r="G272" s="62">
        <v>50.900000000000006</v>
      </c>
      <c r="H272" s="62">
        <v>1951.0699999999997</v>
      </c>
      <c r="I272" s="49">
        <v>0</v>
      </c>
      <c r="J272" s="49">
        <v>0</v>
      </c>
      <c r="K272" s="49">
        <v>98.385600000000025</v>
      </c>
      <c r="L272" s="50">
        <v>0</v>
      </c>
      <c r="M272" s="51"/>
      <c r="N272" s="52" t="s">
        <v>1300</v>
      </c>
      <c r="O272" s="31"/>
      <c r="P272" s="53">
        <v>0</v>
      </c>
      <c r="Q272" s="54">
        <v>0</v>
      </c>
      <c r="R272" s="55">
        <v>0</v>
      </c>
      <c r="S272" s="55">
        <v>0</v>
      </c>
      <c r="T272" s="56">
        <v>0</v>
      </c>
      <c r="U272" s="57"/>
      <c r="V272" s="55">
        <v>98.385600000000025</v>
      </c>
      <c r="W272" s="55">
        <v>0</v>
      </c>
      <c r="X272" s="58">
        <v>0</v>
      </c>
      <c r="Y272" s="59">
        <v>98.385600000000025</v>
      </c>
      <c r="Z272" s="58">
        <v>98.385600000000025</v>
      </c>
      <c r="AA272" s="56">
        <v>0</v>
      </c>
      <c r="AB272" s="56">
        <v>0</v>
      </c>
      <c r="AC272" s="60">
        <v>46142</v>
      </c>
    </row>
    <row r="273" spans="1:30" x14ac:dyDescent="0.25">
      <c r="A273" s="43">
        <v>1008</v>
      </c>
      <c r="B273" s="44" t="s">
        <v>1282</v>
      </c>
      <c r="C273" s="45">
        <v>10080087</v>
      </c>
      <c r="D273" s="46" t="s">
        <v>639</v>
      </c>
      <c r="E273" s="47" t="s">
        <v>364</v>
      </c>
      <c r="F273" s="47" t="s">
        <v>58</v>
      </c>
      <c r="G273" s="62">
        <v>446.6</v>
      </c>
      <c r="H273" s="62">
        <v>16848.97</v>
      </c>
      <c r="I273" s="49">
        <v>0</v>
      </c>
      <c r="J273" s="49">
        <v>0</v>
      </c>
      <c r="K273" s="49">
        <v>0</v>
      </c>
      <c r="L273" s="50">
        <v>0</v>
      </c>
      <c r="M273" s="51"/>
      <c r="N273" s="52" t="s">
        <v>1300</v>
      </c>
      <c r="O273" s="31"/>
      <c r="P273" s="53">
        <v>-1.3639224444402187E-2</v>
      </c>
      <c r="Q273" s="54">
        <v>3</v>
      </c>
      <c r="R273" s="55">
        <v>0</v>
      </c>
      <c r="S273" s="55">
        <v>0</v>
      </c>
      <c r="T273" s="56">
        <v>0</v>
      </c>
      <c r="U273" s="57"/>
      <c r="V273" s="55">
        <v>0</v>
      </c>
      <c r="W273" s="55">
        <v>0</v>
      </c>
      <c r="X273" s="58">
        <v>0</v>
      </c>
      <c r="Y273" s="59">
        <v>0</v>
      </c>
      <c r="Z273" s="58">
        <v>0</v>
      </c>
      <c r="AA273" s="56">
        <v>0</v>
      </c>
      <c r="AB273" s="56">
        <v>0</v>
      </c>
      <c r="AC273" s="60">
        <v>46142</v>
      </c>
    </row>
    <row r="274" spans="1:30" x14ac:dyDescent="0.25">
      <c r="A274" s="43">
        <v>1008</v>
      </c>
      <c r="B274" s="44" t="s">
        <v>1282</v>
      </c>
      <c r="C274" s="45">
        <v>10080088</v>
      </c>
      <c r="D274" s="46" t="s">
        <v>640</v>
      </c>
      <c r="E274" s="47" t="s">
        <v>364</v>
      </c>
      <c r="F274" s="47" t="s">
        <v>58</v>
      </c>
      <c r="G274" s="62">
        <v>1407.8000000000002</v>
      </c>
      <c r="H274" s="62">
        <v>51502.100000000006</v>
      </c>
      <c r="I274" s="49">
        <v>0</v>
      </c>
      <c r="J274" s="49">
        <v>0</v>
      </c>
      <c r="K274" s="49">
        <v>0</v>
      </c>
      <c r="L274" s="50">
        <v>0</v>
      </c>
      <c r="M274" s="51"/>
      <c r="N274" s="52" t="s">
        <v>1300</v>
      </c>
      <c r="O274" s="31"/>
      <c r="P274" s="53">
        <v>2.0110175067560524E-2</v>
      </c>
      <c r="Q274" s="54">
        <v>9</v>
      </c>
      <c r="R274" s="55">
        <v>0</v>
      </c>
      <c r="S274" s="55">
        <v>0</v>
      </c>
      <c r="T274" s="56">
        <v>0</v>
      </c>
      <c r="U274" s="57"/>
      <c r="V274" s="55">
        <v>0</v>
      </c>
      <c r="W274" s="55">
        <v>0</v>
      </c>
      <c r="X274" s="58">
        <v>0</v>
      </c>
      <c r="Y274" s="59">
        <v>0</v>
      </c>
      <c r="Z274" s="58">
        <v>0</v>
      </c>
      <c r="AA274" s="56">
        <v>0</v>
      </c>
      <c r="AB274" s="56">
        <v>0</v>
      </c>
      <c r="AC274" s="60">
        <v>46142</v>
      </c>
    </row>
    <row r="275" spans="1:30" x14ac:dyDescent="0.25">
      <c r="A275" s="43">
        <v>1008</v>
      </c>
      <c r="B275" s="44" t="s">
        <v>1282</v>
      </c>
      <c r="C275" s="45">
        <v>10080089</v>
      </c>
      <c r="D275" s="46" t="s">
        <v>641</v>
      </c>
      <c r="E275" s="47" t="s">
        <v>371</v>
      </c>
      <c r="F275" s="47" t="s">
        <v>59</v>
      </c>
      <c r="G275" s="62">
        <v>347.15</v>
      </c>
      <c r="H275" s="62">
        <v>12085.320000000002</v>
      </c>
      <c r="I275" s="49">
        <v>0</v>
      </c>
      <c r="J275" s="49">
        <v>0</v>
      </c>
      <c r="K275" s="49">
        <v>392.06219032258076</v>
      </c>
      <c r="L275" s="50">
        <v>0</v>
      </c>
      <c r="M275" s="51"/>
      <c r="N275" s="52" t="s">
        <v>1300</v>
      </c>
      <c r="O275" s="31"/>
      <c r="P275" s="53">
        <v>0</v>
      </c>
      <c r="Q275" s="54">
        <v>0</v>
      </c>
      <c r="R275" s="55">
        <v>0</v>
      </c>
      <c r="S275" s="55">
        <v>0</v>
      </c>
      <c r="T275" s="56">
        <v>0</v>
      </c>
      <c r="U275" s="57"/>
      <c r="V275" s="55">
        <v>392.06219032258076</v>
      </c>
      <c r="W275" s="55">
        <v>0</v>
      </c>
      <c r="X275" s="58">
        <v>0</v>
      </c>
      <c r="Y275" s="59">
        <v>392.06219032258076</v>
      </c>
      <c r="Z275" s="58">
        <v>392.06219032258076</v>
      </c>
      <c r="AA275" s="56">
        <v>0</v>
      </c>
      <c r="AB275" s="56">
        <v>0</v>
      </c>
      <c r="AC275" s="60">
        <v>46142</v>
      </c>
    </row>
    <row r="276" spans="1:30" x14ac:dyDescent="0.25">
      <c r="A276" s="43">
        <v>1008</v>
      </c>
      <c r="B276" s="44" t="s">
        <v>1282</v>
      </c>
      <c r="C276" s="45">
        <v>10080090</v>
      </c>
      <c r="D276" s="46" t="s">
        <v>642</v>
      </c>
      <c r="E276" s="47" t="s">
        <v>371</v>
      </c>
      <c r="F276" s="47" t="s">
        <v>59</v>
      </c>
      <c r="G276" s="62">
        <v>143.69999999999999</v>
      </c>
      <c r="H276" s="62">
        <v>4871.6399999999994</v>
      </c>
      <c r="I276" s="49">
        <v>0</v>
      </c>
      <c r="J276" s="49">
        <v>0</v>
      </c>
      <c r="K276" s="49">
        <v>416.34560322580671</v>
      </c>
      <c r="L276" s="50">
        <v>0</v>
      </c>
      <c r="M276" s="51"/>
      <c r="N276" s="52" t="s">
        <v>1300</v>
      </c>
      <c r="O276" s="31"/>
      <c r="P276" s="53">
        <v>0</v>
      </c>
      <c r="Q276" s="54">
        <v>0</v>
      </c>
      <c r="R276" s="55">
        <v>0</v>
      </c>
      <c r="S276" s="55">
        <v>0</v>
      </c>
      <c r="T276" s="56">
        <v>0</v>
      </c>
      <c r="U276" s="57"/>
      <c r="V276" s="55">
        <v>416.34560322580671</v>
      </c>
      <c r="W276" s="55">
        <v>0</v>
      </c>
      <c r="X276" s="58">
        <v>0</v>
      </c>
      <c r="Y276" s="59">
        <v>416.34560322580671</v>
      </c>
      <c r="Z276" s="58">
        <v>416.34560322580671</v>
      </c>
      <c r="AA276" s="56">
        <v>0</v>
      </c>
      <c r="AB276" s="56">
        <v>0</v>
      </c>
      <c r="AC276" s="60">
        <v>46142</v>
      </c>
    </row>
    <row r="277" spans="1:30" x14ac:dyDescent="0.25">
      <c r="A277" s="43">
        <v>1008</v>
      </c>
      <c r="B277" s="44" t="s">
        <v>1282</v>
      </c>
      <c r="C277" s="45">
        <v>10080093</v>
      </c>
      <c r="D277" s="46" t="s">
        <v>643</v>
      </c>
      <c r="E277" s="47" t="s">
        <v>364</v>
      </c>
      <c r="F277" s="47" t="s">
        <v>58</v>
      </c>
      <c r="G277" s="62">
        <v>649.05000000000007</v>
      </c>
      <c r="H277" s="62">
        <v>23520.15</v>
      </c>
      <c r="I277" s="49">
        <v>0</v>
      </c>
      <c r="J277" s="49">
        <v>0</v>
      </c>
      <c r="K277" s="49">
        <v>0</v>
      </c>
      <c r="L277" s="50">
        <v>0</v>
      </c>
      <c r="M277" s="51"/>
      <c r="N277" s="52" t="s">
        <v>1300</v>
      </c>
      <c r="O277" s="31"/>
      <c r="P277" s="53">
        <v>-1.2657470296759834E-4</v>
      </c>
      <c r="Q277" s="54">
        <v>1</v>
      </c>
      <c r="R277" s="55">
        <v>0</v>
      </c>
      <c r="S277" s="55">
        <v>0</v>
      </c>
      <c r="T277" s="56">
        <v>0</v>
      </c>
      <c r="U277" s="57"/>
      <c r="V277" s="55">
        <v>0</v>
      </c>
      <c r="W277" s="55">
        <v>0</v>
      </c>
      <c r="X277" s="58">
        <v>0</v>
      </c>
      <c r="Y277" s="59">
        <v>0</v>
      </c>
      <c r="Z277" s="58">
        <v>0</v>
      </c>
      <c r="AA277" s="56">
        <v>0</v>
      </c>
      <c r="AB277" s="56">
        <v>0</v>
      </c>
      <c r="AC277" s="60">
        <v>46142</v>
      </c>
    </row>
    <row r="278" spans="1:30" x14ac:dyDescent="0.25">
      <c r="A278" s="43">
        <v>1008</v>
      </c>
      <c r="B278" s="44" t="s">
        <v>1282</v>
      </c>
      <c r="C278" s="45">
        <v>10080095</v>
      </c>
      <c r="D278" s="46" t="s">
        <v>644</v>
      </c>
      <c r="E278" s="47" t="s">
        <v>364</v>
      </c>
      <c r="F278" s="47" t="s">
        <v>58</v>
      </c>
      <c r="G278" s="62">
        <v>222.79999999999998</v>
      </c>
      <c r="H278" s="62">
        <v>7762.4499999999989</v>
      </c>
      <c r="I278" s="49">
        <v>0</v>
      </c>
      <c r="J278" s="49">
        <v>0</v>
      </c>
      <c r="K278" s="49">
        <v>0</v>
      </c>
      <c r="L278" s="50">
        <v>0</v>
      </c>
      <c r="M278" s="51"/>
      <c r="N278" s="52" t="s">
        <v>1300</v>
      </c>
      <c r="O278" s="31"/>
      <c r="P278" s="53">
        <v>8.4539086963486857E-4</v>
      </c>
      <c r="Q278" s="54">
        <v>1</v>
      </c>
      <c r="R278" s="55">
        <v>0</v>
      </c>
      <c r="S278" s="55">
        <v>0</v>
      </c>
      <c r="T278" s="56">
        <v>0</v>
      </c>
      <c r="U278" s="57"/>
      <c r="V278" s="55">
        <v>0</v>
      </c>
      <c r="W278" s="55">
        <v>0</v>
      </c>
      <c r="X278" s="58">
        <v>0</v>
      </c>
      <c r="Y278" s="59">
        <v>0</v>
      </c>
      <c r="Z278" s="58">
        <v>0</v>
      </c>
      <c r="AA278" s="56">
        <v>0</v>
      </c>
      <c r="AB278" s="56">
        <v>0</v>
      </c>
      <c r="AC278" s="60">
        <v>46142</v>
      </c>
    </row>
    <row r="279" spans="1:30" x14ac:dyDescent="0.25">
      <c r="A279" s="43">
        <v>1008</v>
      </c>
      <c r="B279" s="44" t="s">
        <v>1282</v>
      </c>
      <c r="C279" s="45">
        <v>10080097</v>
      </c>
      <c r="D279" s="46" t="s">
        <v>645</v>
      </c>
      <c r="E279" s="47" t="s">
        <v>371</v>
      </c>
      <c r="F279" s="47" t="s">
        <v>59</v>
      </c>
      <c r="G279" s="62">
        <v>993.25000000000011</v>
      </c>
      <c r="H279" s="62">
        <v>34422.329999999994</v>
      </c>
      <c r="I279" s="49">
        <v>0</v>
      </c>
      <c r="J279" s="49">
        <v>0</v>
      </c>
      <c r="K279" s="49">
        <v>0</v>
      </c>
      <c r="L279" s="50">
        <v>0</v>
      </c>
      <c r="M279" s="51"/>
      <c r="N279" s="52" t="s">
        <v>1300</v>
      </c>
      <c r="O279" s="31"/>
      <c r="P279" s="53">
        <v>0</v>
      </c>
      <c r="Q279" s="54">
        <v>0</v>
      </c>
      <c r="R279" s="55">
        <v>0</v>
      </c>
      <c r="S279" s="55">
        <v>0</v>
      </c>
      <c r="T279" s="56">
        <v>0</v>
      </c>
      <c r="U279" s="57"/>
      <c r="V279" s="55">
        <v>0</v>
      </c>
      <c r="W279" s="55">
        <v>0</v>
      </c>
      <c r="X279" s="58">
        <v>0</v>
      </c>
      <c r="Y279" s="59">
        <v>0</v>
      </c>
      <c r="Z279" s="58">
        <v>0</v>
      </c>
      <c r="AA279" s="56">
        <v>0</v>
      </c>
      <c r="AB279" s="56">
        <v>0</v>
      </c>
      <c r="AC279" s="60">
        <v>46142</v>
      </c>
    </row>
    <row r="280" spans="1:30" x14ac:dyDescent="0.25">
      <c r="A280" s="43">
        <v>1008</v>
      </c>
      <c r="B280" s="44" t="s">
        <v>1282</v>
      </c>
      <c r="C280" s="45">
        <v>10080099</v>
      </c>
      <c r="D280" s="46" t="s">
        <v>646</v>
      </c>
      <c r="E280" s="47" t="s">
        <v>364</v>
      </c>
      <c r="F280" s="47" t="s">
        <v>58</v>
      </c>
      <c r="G280" s="62">
        <v>1540.35</v>
      </c>
      <c r="H280" s="62">
        <v>49983.479999999996</v>
      </c>
      <c r="I280" s="49">
        <v>0</v>
      </c>
      <c r="J280" s="49">
        <v>0</v>
      </c>
      <c r="K280" s="49">
        <v>2012.8414499999985</v>
      </c>
      <c r="L280" s="50">
        <v>0</v>
      </c>
      <c r="M280" s="51"/>
      <c r="N280" s="52" t="s">
        <v>1300</v>
      </c>
      <c r="O280" s="31"/>
      <c r="P280" s="53">
        <v>-7.9612867933565295E-3</v>
      </c>
      <c r="Q280" s="54">
        <v>2</v>
      </c>
      <c r="R280" s="55">
        <v>0</v>
      </c>
      <c r="S280" s="55">
        <v>0</v>
      </c>
      <c r="T280" s="56">
        <v>0</v>
      </c>
      <c r="U280" s="57"/>
      <c r="V280" s="55">
        <v>2012.8414499999985</v>
      </c>
      <c r="W280" s="55">
        <v>0</v>
      </c>
      <c r="X280" s="58">
        <v>0</v>
      </c>
      <c r="Y280" s="59">
        <v>2012.8414499999985</v>
      </c>
      <c r="Z280" s="58">
        <v>2012.8414499999985</v>
      </c>
      <c r="AA280" s="56">
        <v>0</v>
      </c>
      <c r="AB280" s="56">
        <v>0</v>
      </c>
      <c r="AC280" s="60">
        <v>46142</v>
      </c>
    </row>
    <row r="281" spans="1:30" x14ac:dyDescent="0.25">
      <c r="A281" s="43">
        <v>1008</v>
      </c>
      <c r="B281" s="44" t="s">
        <v>1282</v>
      </c>
      <c r="C281" s="45">
        <v>10080100</v>
      </c>
      <c r="D281" s="46" t="s">
        <v>647</v>
      </c>
      <c r="E281" s="47" t="s">
        <v>364</v>
      </c>
      <c r="F281" s="47" t="s">
        <v>58</v>
      </c>
      <c r="G281" s="62">
        <v>3.7</v>
      </c>
      <c r="H281" s="62">
        <v>123.14</v>
      </c>
      <c r="I281" s="49">
        <v>0</v>
      </c>
      <c r="J281" s="49">
        <v>0</v>
      </c>
      <c r="K281" s="49">
        <v>100</v>
      </c>
      <c r="L281" s="50" t="s">
        <v>366</v>
      </c>
      <c r="M281" s="51" t="s">
        <v>367</v>
      </c>
      <c r="N281" s="52" t="s">
        <v>1300</v>
      </c>
      <c r="O281" s="31"/>
      <c r="P281" s="53">
        <v>0.1857224755562773</v>
      </c>
      <c r="Q281" s="54">
        <v>1</v>
      </c>
      <c r="R281" s="55">
        <v>0</v>
      </c>
      <c r="S281" s="55">
        <v>0</v>
      </c>
      <c r="T281" s="56">
        <v>0</v>
      </c>
      <c r="U281" s="57"/>
      <c r="V281" s="55">
        <v>257.36300999999992</v>
      </c>
      <c r="W281" s="55">
        <v>0</v>
      </c>
      <c r="X281" s="58">
        <v>0</v>
      </c>
      <c r="Y281" s="59">
        <v>257.36300999999992</v>
      </c>
      <c r="Z281" s="58">
        <v>100</v>
      </c>
      <c r="AA281" s="56">
        <v>-157.36300999999992</v>
      </c>
      <c r="AB281" s="56">
        <v>-157.36300999999992</v>
      </c>
      <c r="AC281" s="60">
        <v>46142</v>
      </c>
    </row>
    <row r="282" spans="1:30" x14ac:dyDescent="0.25">
      <c r="A282" s="43">
        <v>1008</v>
      </c>
      <c r="B282" s="44" t="s">
        <v>1282</v>
      </c>
      <c r="C282" s="45">
        <v>10080107</v>
      </c>
      <c r="D282" s="46" t="s">
        <v>648</v>
      </c>
      <c r="E282" s="47" t="s">
        <v>371</v>
      </c>
      <c r="F282" s="47" t="s">
        <v>59</v>
      </c>
      <c r="G282" s="62">
        <v>397.15</v>
      </c>
      <c r="H282" s="62">
        <v>14342.800000000001</v>
      </c>
      <c r="I282" s="49">
        <v>0</v>
      </c>
      <c r="J282" s="49">
        <v>0</v>
      </c>
      <c r="K282" s="49">
        <v>79.460845161290152</v>
      </c>
      <c r="L282" s="50">
        <v>0</v>
      </c>
      <c r="M282" s="51"/>
      <c r="N282" s="52" t="s">
        <v>1300</v>
      </c>
      <c r="O282" s="31"/>
      <c r="P282" s="53">
        <v>0</v>
      </c>
      <c r="Q282" s="54">
        <v>0</v>
      </c>
      <c r="R282" s="55">
        <v>0</v>
      </c>
      <c r="S282" s="55">
        <v>0</v>
      </c>
      <c r="T282" s="56">
        <v>0</v>
      </c>
      <c r="U282" s="57"/>
      <c r="V282" s="55">
        <v>79.460845161290152</v>
      </c>
      <c r="W282" s="55">
        <v>0</v>
      </c>
      <c r="X282" s="58">
        <v>0</v>
      </c>
      <c r="Y282" s="59">
        <v>79.460845161290152</v>
      </c>
      <c r="Z282" s="58">
        <v>79.460845161290152</v>
      </c>
      <c r="AA282" s="56">
        <v>0</v>
      </c>
      <c r="AB282" s="56">
        <v>0</v>
      </c>
      <c r="AC282" s="60">
        <v>46142</v>
      </c>
    </row>
    <row r="283" spans="1:30" x14ac:dyDescent="0.25">
      <c r="A283" s="43">
        <v>1065</v>
      </c>
      <c r="B283" s="44" t="s">
        <v>1291</v>
      </c>
      <c r="C283" s="45">
        <v>10080112</v>
      </c>
      <c r="D283" s="46" t="s">
        <v>649</v>
      </c>
      <c r="E283" s="47" t="s">
        <v>371</v>
      </c>
      <c r="F283" s="47" t="s">
        <v>59</v>
      </c>
      <c r="G283" s="62">
        <v>781.2</v>
      </c>
      <c r="H283" s="62">
        <v>31247.120000000003</v>
      </c>
      <c r="I283" s="49">
        <v>0</v>
      </c>
      <c r="J283" s="49">
        <v>0</v>
      </c>
      <c r="K283" s="49">
        <v>0</v>
      </c>
      <c r="L283" s="50">
        <v>0</v>
      </c>
      <c r="M283" s="51"/>
      <c r="N283" s="52" t="s">
        <v>1300</v>
      </c>
      <c r="O283" s="31"/>
      <c r="P283" s="53">
        <v>0</v>
      </c>
      <c r="Q283" s="54">
        <v>0</v>
      </c>
      <c r="R283" s="55">
        <v>0</v>
      </c>
      <c r="S283" s="55">
        <v>0</v>
      </c>
      <c r="T283" s="56">
        <v>0</v>
      </c>
      <c r="U283" s="57"/>
      <c r="V283" s="55">
        <v>0</v>
      </c>
      <c r="W283" s="55">
        <v>0</v>
      </c>
      <c r="X283" s="58">
        <v>0</v>
      </c>
      <c r="Y283" s="59">
        <v>0</v>
      </c>
      <c r="Z283" s="58">
        <v>0</v>
      </c>
      <c r="AA283" s="56">
        <v>0</v>
      </c>
      <c r="AB283" s="56">
        <v>0</v>
      </c>
      <c r="AC283" s="60">
        <v>46142</v>
      </c>
      <c r="AD283" s="61"/>
    </row>
    <row r="284" spans="1:30" x14ac:dyDescent="0.25">
      <c r="A284" s="43">
        <v>1008</v>
      </c>
      <c r="B284" s="44" t="s">
        <v>1282</v>
      </c>
      <c r="C284" s="45">
        <v>10080113</v>
      </c>
      <c r="D284" s="46" t="s">
        <v>650</v>
      </c>
      <c r="E284" s="47" t="s">
        <v>371</v>
      </c>
      <c r="F284" s="47" t="s">
        <v>59</v>
      </c>
      <c r="G284" s="62">
        <v>422.05000000000007</v>
      </c>
      <c r="H284" s="62">
        <v>15766.740000000002</v>
      </c>
      <c r="I284" s="49">
        <v>0</v>
      </c>
      <c r="J284" s="49">
        <v>0</v>
      </c>
      <c r="K284" s="49">
        <v>0</v>
      </c>
      <c r="L284" s="50">
        <v>0</v>
      </c>
      <c r="M284" s="51"/>
      <c r="N284" s="52" t="s">
        <v>1300</v>
      </c>
      <c r="O284" s="31"/>
      <c r="P284" s="53">
        <v>0</v>
      </c>
      <c r="Q284" s="54">
        <v>0</v>
      </c>
      <c r="R284" s="55">
        <v>0</v>
      </c>
      <c r="S284" s="55">
        <v>0</v>
      </c>
      <c r="T284" s="56">
        <v>0</v>
      </c>
      <c r="U284" s="57"/>
      <c r="V284" s="55">
        <v>0</v>
      </c>
      <c r="W284" s="55">
        <v>0</v>
      </c>
      <c r="X284" s="58">
        <v>0</v>
      </c>
      <c r="Y284" s="59">
        <v>0</v>
      </c>
      <c r="Z284" s="58">
        <v>0</v>
      </c>
      <c r="AA284" s="56">
        <v>0</v>
      </c>
      <c r="AB284" s="56">
        <v>0</v>
      </c>
      <c r="AC284" s="60">
        <v>46142</v>
      </c>
    </row>
    <row r="285" spans="1:30" x14ac:dyDescent="0.25">
      <c r="A285" s="43">
        <v>1008</v>
      </c>
      <c r="B285" s="44" t="s">
        <v>1282</v>
      </c>
      <c r="C285" s="45">
        <v>10080115</v>
      </c>
      <c r="D285" s="46" t="s">
        <v>651</v>
      </c>
      <c r="E285" s="47" t="s">
        <v>364</v>
      </c>
      <c r="F285" s="47" t="s">
        <v>58</v>
      </c>
      <c r="G285" s="62">
        <v>397.7</v>
      </c>
      <c r="H285" s="62">
        <v>15019.970000000001</v>
      </c>
      <c r="I285" s="49">
        <v>0</v>
      </c>
      <c r="J285" s="49">
        <v>0</v>
      </c>
      <c r="K285" s="49">
        <v>828.33</v>
      </c>
      <c r="L285" s="50" t="s">
        <v>366</v>
      </c>
      <c r="M285" s="51" t="s">
        <v>367</v>
      </c>
      <c r="N285" s="52" t="s">
        <v>1300</v>
      </c>
      <c r="O285" s="31"/>
      <c r="P285" s="53">
        <v>1.1636088221215562E-3</v>
      </c>
      <c r="Q285" s="54">
        <v>1</v>
      </c>
      <c r="R285" s="55">
        <v>0</v>
      </c>
      <c r="S285" s="55">
        <v>0</v>
      </c>
      <c r="T285" s="56">
        <v>0</v>
      </c>
      <c r="U285" s="57"/>
      <c r="V285" s="55">
        <v>828.33236727272742</v>
      </c>
      <c r="W285" s="55">
        <v>0</v>
      </c>
      <c r="X285" s="58">
        <v>0</v>
      </c>
      <c r="Y285" s="59">
        <v>828.33236727272742</v>
      </c>
      <c r="Z285" s="58">
        <v>828.33</v>
      </c>
      <c r="AA285" s="56">
        <v>-2.3672727273833516E-3</v>
      </c>
      <c r="AB285" s="56">
        <v>-2.3672727273833516E-3</v>
      </c>
      <c r="AC285" s="60">
        <v>46142</v>
      </c>
    </row>
    <row r="286" spans="1:30" x14ac:dyDescent="0.25">
      <c r="A286" s="43">
        <v>1008</v>
      </c>
      <c r="B286" s="44" t="s">
        <v>1282</v>
      </c>
      <c r="C286" s="45">
        <v>10080119</v>
      </c>
      <c r="D286" s="46" t="s">
        <v>652</v>
      </c>
      <c r="E286" s="47" t="s">
        <v>364</v>
      </c>
      <c r="F286" s="47" t="s">
        <v>58</v>
      </c>
      <c r="G286" s="62">
        <v>295.55000000000007</v>
      </c>
      <c r="H286" s="62">
        <v>10971.730000000003</v>
      </c>
      <c r="I286" s="49">
        <v>0</v>
      </c>
      <c r="J286" s="49">
        <v>6500</v>
      </c>
      <c r="K286" s="49">
        <v>1308.3075196721311</v>
      </c>
      <c r="L286" s="50">
        <v>0</v>
      </c>
      <c r="M286" s="51"/>
      <c r="N286" s="52" t="s">
        <v>1300</v>
      </c>
      <c r="O286" s="31"/>
      <c r="P286" s="53">
        <v>-0.26260217361109689</v>
      </c>
      <c r="Q286" s="54">
        <v>4</v>
      </c>
      <c r="R286" s="55">
        <v>0</v>
      </c>
      <c r="S286" s="55">
        <v>0</v>
      </c>
      <c r="T286" s="56">
        <v>0</v>
      </c>
      <c r="U286" s="57"/>
      <c r="V286" s="55">
        <v>1308.3075196721311</v>
      </c>
      <c r="W286" s="55">
        <v>0</v>
      </c>
      <c r="X286" s="58">
        <v>0</v>
      </c>
      <c r="Y286" s="59">
        <v>1308.3075196721311</v>
      </c>
      <c r="Z286" s="58">
        <v>1308.3075196721311</v>
      </c>
      <c r="AA286" s="56">
        <v>0</v>
      </c>
      <c r="AB286" s="56">
        <v>0</v>
      </c>
      <c r="AC286" s="60">
        <v>46142</v>
      </c>
    </row>
    <row r="287" spans="1:30" x14ac:dyDescent="0.25">
      <c r="A287" s="43">
        <v>1008</v>
      </c>
      <c r="B287" s="44" t="s">
        <v>1282</v>
      </c>
      <c r="C287" s="45">
        <v>10080120</v>
      </c>
      <c r="D287" s="46" t="s">
        <v>653</v>
      </c>
      <c r="E287" s="47" t="s">
        <v>364</v>
      </c>
      <c r="F287" s="47" t="s">
        <v>58</v>
      </c>
      <c r="G287" s="62">
        <v>416.75</v>
      </c>
      <c r="H287" s="62">
        <v>15600.61</v>
      </c>
      <c r="I287" s="49">
        <v>0</v>
      </c>
      <c r="J287" s="49">
        <v>0</v>
      </c>
      <c r="K287" s="49">
        <v>0</v>
      </c>
      <c r="L287" s="50">
        <v>0</v>
      </c>
      <c r="M287" s="51"/>
      <c r="N287" s="52" t="s">
        <v>1300</v>
      </c>
      <c r="O287" s="31"/>
      <c r="P287" s="53">
        <v>1.0995566205948481E-2</v>
      </c>
      <c r="Q287" s="54">
        <v>9</v>
      </c>
      <c r="R287" s="55">
        <v>0</v>
      </c>
      <c r="S287" s="55">
        <v>0</v>
      </c>
      <c r="T287" s="56">
        <v>0</v>
      </c>
      <c r="U287" s="57"/>
      <c r="V287" s="55">
        <v>0</v>
      </c>
      <c r="W287" s="55">
        <v>0</v>
      </c>
      <c r="X287" s="58">
        <v>0</v>
      </c>
      <c r="Y287" s="59">
        <v>0</v>
      </c>
      <c r="Z287" s="58">
        <v>0</v>
      </c>
      <c r="AA287" s="56">
        <v>0</v>
      </c>
      <c r="AB287" s="56">
        <v>0</v>
      </c>
      <c r="AC287" s="60">
        <v>46142</v>
      </c>
    </row>
    <row r="288" spans="1:30" x14ac:dyDescent="0.25">
      <c r="A288" s="43">
        <v>1008</v>
      </c>
      <c r="B288" s="44" t="s">
        <v>1282</v>
      </c>
      <c r="C288" s="45">
        <v>10080122</v>
      </c>
      <c r="D288" s="46" t="s">
        <v>654</v>
      </c>
      <c r="E288" s="47" t="s">
        <v>364</v>
      </c>
      <c r="F288" s="47" t="s">
        <v>58</v>
      </c>
      <c r="G288" s="62">
        <v>662.55000000000007</v>
      </c>
      <c r="H288" s="62">
        <v>24683.86</v>
      </c>
      <c r="I288" s="49">
        <v>0</v>
      </c>
      <c r="J288" s="49">
        <v>0</v>
      </c>
      <c r="K288" s="49">
        <v>0</v>
      </c>
      <c r="L288" s="50">
        <v>0</v>
      </c>
      <c r="M288" s="51"/>
      <c r="N288" s="52" t="s">
        <v>1300</v>
      </c>
      <c r="O288" s="31"/>
      <c r="P288" s="53">
        <v>5.3422824623043186E-4</v>
      </c>
      <c r="Q288" s="54">
        <v>1</v>
      </c>
      <c r="R288" s="55">
        <v>0</v>
      </c>
      <c r="S288" s="55">
        <v>0</v>
      </c>
      <c r="T288" s="56">
        <v>0</v>
      </c>
      <c r="U288" s="57"/>
      <c r="V288" s="55">
        <v>0</v>
      </c>
      <c r="W288" s="55">
        <v>0</v>
      </c>
      <c r="X288" s="58">
        <v>0</v>
      </c>
      <c r="Y288" s="59">
        <v>0</v>
      </c>
      <c r="Z288" s="58">
        <v>0</v>
      </c>
      <c r="AA288" s="56">
        <v>0</v>
      </c>
      <c r="AB288" s="56">
        <v>0</v>
      </c>
      <c r="AC288" s="60">
        <v>46142</v>
      </c>
    </row>
    <row r="289" spans="1:30" x14ac:dyDescent="0.25">
      <c r="A289" s="43">
        <v>1008</v>
      </c>
      <c r="B289" s="44" t="s">
        <v>1282</v>
      </c>
      <c r="C289" s="45">
        <v>10080124</v>
      </c>
      <c r="D289" s="46" t="s">
        <v>655</v>
      </c>
      <c r="E289" s="47" t="s">
        <v>364</v>
      </c>
      <c r="F289" s="47" t="s">
        <v>58</v>
      </c>
      <c r="G289" s="62">
        <v>345.24999999999994</v>
      </c>
      <c r="H289" s="62">
        <v>13883.449999999999</v>
      </c>
      <c r="I289" s="49">
        <v>0</v>
      </c>
      <c r="J289" s="49">
        <v>0</v>
      </c>
      <c r="K289" s="49">
        <v>0</v>
      </c>
      <c r="L289" s="50">
        <v>0</v>
      </c>
      <c r="M289" s="51"/>
      <c r="N289" s="52" t="s">
        <v>1300</v>
      </c>
      <c r="O289" s="31"/>
      <c r="P289" s="53">
        <v>3.2261250049490383E-4</v>
      </c>
      <c r="Q289" s="54">
        <v>1</v>
      </c>
      <c r="R289" s="55">
        <v>0</v>
      </c>
      <c r="S289" s="55">
        <v>0</v>
      </c>
      <c r="T289" s="56">
        <v>0</v>
      </c>
      <c r="U289" s="57"/>
      <c r="V289" s="55">
        <v>0</v>
      </c>
      <c r="W289" s="55">
        <v>0</v>
      </c>
      <c r="X289" s="58">
        <v>0</v>
      </c>
      <c r="Y289" s="59">
        <v>0</v>
      </c>
      <c r="Z289" s="58">
        <v>0</v>
      </c>
      <c r="AA289" s="56">
        <v>0</v>
      </c>
      <c r="AB289" s="56">
        <v>0</v>
      </c>
      <c r="AC289" s="60">
        <v>46142</v>
      </c>
    </row>
    <row r="290" spans="1:30" x14ac:dyDescent="0.25">
      <c r="A290" s="43">
        <v>1008</v>
      </c>
      <c r="B290" s="44" t="s">
        <v>1282</v>
      </c>
      <c r="C290" s="45">
        <v>10080126</v>
      </c>
      <c r="D290" s="46" t="s">
        <v>656</v>
      </c>
      <c r="E290" s="47" t="s">
        <v>364</v>
      </c>
      <c r="F290" s="47" t="s">
        <v>58</v>
      </c>
      <c r="G290" s="62">
        <v>267.84999999999997</v>
      </c>
      <c r="H290" s="62">
        <v>9993.1</v>
      </c>
      <c r="I290" s="49">
        <v>0</v>
      </c>
      <c r="J290" s="49">
        <v>0</v>
      </c>
      <c r="K290" s="49">
        <v>0</v>
      </c>
      <c r="L290" s="50">
        <v>0</v>
      </c>
      <c r="M290" s="51"/>
      <c r="N290" s="52" t="s">
        <v>1300</v>
      </c>
      <c r="O290" s="31"/>
      <c r="P290" s="53">
        <v>-3.2937668791465833E-3</v>
      </c>
      <c r="Q290" s="54">
        <v>1</v>
      </c>
      <c r="R290" s="55">
        <v>0</v>
      </c>
      <c r="S290" s="55">
        <v>0</v>
      </c>
      <c r="T290" s="56">
        <v>0</v>
      </c>
      <c r="U290" s="57"/>
      <c r="V290" s="55">
        <v>0</v>
      </c>
      <c r="W290" s="55">
        <v>0</v>
      </c>
      <c r="X290" s="58">
        <v>0</v>
      </c>
      <c r="Y290" s="59">
        <v>0</v>
      </c>
      <c r="Z290" s="58">
        <v>0</v>
      </c>
      <c r="AA290" s="56">
        <v>0</v>
      </c>
      <c r="AB290" s="56">
        <v>0</v>
      </c>
      <c r="AC290" s="60">
        <v>46142</v>
      </c>
    </row>
    <row r="291" spans="1:30" x14ac:dyDescent="0.25">
      <c r="A291" s="43">
        <v>1009</v>
      </c>
      <c r="B291" s="44" t="s">
        <v>1292</v>
      </c>
      <c r="C291" s="45">
        <v>10090001</v>
      </c>
      <c r="D291" s="46" t="s">
        <v>657</v>
      </c>
      <c r="E291" s="47" t="s">
        <v>371</v>
      </c>
      <c r="F291" s="47" t="s">
        <v>59</v>
      </c>
      <c r="G291" s="62">
        <v>372.7</v>
      </c>
      <c r="H291" s="62">
        <v>15927.79</v>
      </c>
      <c r="I291" s="49">
        <v>0</v>
      </c>
      <c r="J291" s="49">
        <v>0</v>
      </c>
      <c r="K291" s="49">
        <v>0</v>
      </c>
      <c r="L291" s="50">
        <v>0</v>
      </c>
      <c r="M291" s="51"/>
      <c r="N291" s="52" t="s">
        <v>1300</v>
      </c>
      <c r="O291" s="31"/>
      <c r="P291" s="53">
        <v>0</v>
      </c>
      <c r="Q291" s="54">
        <v>0</v>
      </c>
      <c r="R291" s="55">
        <v>0</v>
      </c>
      <c r="S291" s="55">
        <v>0</v>
      </c>
      <c r="T291" s="56">
        <v>0</v>
      </c>
      <c r="U291" s="57"/>
      <c r="V291" s="55">
        <v>0</v>
      </c>
      <c r="W291" s="55">
        <v>0</v>
      </c>
      <c r="X291" s="58">
        <v>0</v>
      </c>
      <c r="Y291" s="59">
        <v>0</v>
      </c>
      <c r="Z291" s="58">
        <v>0</v>
      </c>
      <c r="AA291" s="56">
        <v>0</v>
      </c>
      <c r="AB291" s="56">
        <v>0</v>
      </c>
      <c r="AC291" s="60">
        <v>46142</v>
      </c>
    </row>
    <row r="292" spans="1:30" x14ac:dyDescent="0.25">
      <c r="A292" s="43">
        <v>1009</v>
      </c>
      <c r="B292" s="44" t="s">
        <v>1292</v>
      </c>
      <c r="C292" s="45">
        <v>10090002</v>
      </c>
      <c r="D292" s="46" t="s">
        <v>658</v>
      </c>
      <c r="E292" s="47" t="s">
        <v>364</v>
      </c>
      <c r="F292" s="47" t="s">
        <v>58</v>
      </c>
      <c r="G292" s="62">
        <v>1931.7</v>
      </c>
      <c r="H292" s="62">
        <v>80282.8</v>
      </c>
      <c r="I292" s="49">
        <v>0</v>
      </c>
      <c r="J292" s="49">
        <v>0</v>
      </c>
      <c r="K292" s="49">
        <v>0</v>
      </c>
      <c r="L292" s="50">
        <v>0</v>
      </c>
      <c r="M292" s="51"/>
      <c r="N292" s="52" t="s">
        <v>1300</v>
      </c>
      <c r="O292" s="31"/>
      <c r="P292" s="53">
        <v>-9.2360855916668576E-3</v>
      </c>
      <c r="Q292" s="54">
        <v>14</v>
      </c>
      <c r="R292" s="55">
        <v>0</v>
      </c>
      <c r="S292" s="55">
        <v>0</v>
      </c>
      <c r="T292" s="56">
        <v>0</v>
      </c>
      <c r="U292" s="57"/>
      <c r="V292" s="55">
        <v>0</v>
      </c>
      <c r="W292" s="55">
        <v>0</v>
      </c>
      <c r="X292" s="58">
        <v>0</v>
      </c>
      <c r="Y292" s="59">
        <v>0</v>
      </c>
      <c r="Z292" s="58">
        <v>0</v>
      </c>
      <c r="AA292" s="56">
        <v>0</v>
      </c>
      <c r="AB292" s="56">
        <v>0</v>
      </c>
      <c r="AC292" s="60">
        <v>46142</v>
      </c>
    </row>
    <row r="293" spans="1:30" x14ac:dyDescent="0.25">
      <c r="A293" s="43">
        <v>1009</v>
      </c>
      <c r="B293" s="44" t="s">
        <v>1292</v>
      </c>
      <c r="C293" s="45">
        <v>10090003</v>
      </c>
      <c r="D293" s="46" t="s">
        <v>659</v>
      </c>
      <c r="E293" s="47" t="s">
        <v>364</v>
      </c>
      <c r="F293" s="47" t="s">
        <v>58</v>
      </c>
      <c r="G293" s="62">
        <v>107.29999999999998</v>
      </c>
      <c r="H293" s="62">
        <v>3606.5900000000006</v>
      </c>
      <c r="I293" s="49">
        <v>0</v>
      </c>
      <c r="J293" s="49">
        <v>0</v>
      </c>
      <c r="K293" s="49">
        <v>69.839980645161333</v>
      </c>
      <c r="L293" s="50">
        <v>0</v>
      </c>
      <c r="M293" s="51"/>
      <c r="N293" s="52" t="s">
        <v>1300</v>
      </c>
      <c r="O293" s="31"/>
      <c r="P293" s="53">
        <v>-3.3675747318103752E-3</v>
      </c>
      <c r="Q293" s="54">
        <v>3</v>
      </c>
      <c r="R293" s="55">
        <v>0</v>
      </c>
      <c r="S293" s="55">
        <v>0</v>
      </c>
      <c r="T293" s="56">
        <v>0</v>
      </c>
      <c r="U293" s="57"/>
      <c r="V293" s="55">
        <v>69.839980645161333</v>
      </c>
      <c r="W293" s="55">
        <v>0</v>
      </c>
      <c r="X293" s="58">
        <v>0</v>
      </c>
      <c r="Y293" s="59">
        <v>69.839980645161333</v>
      </c>
      <c r="Z293" s="58">
        <v>69.839980645161333</v>
      </c>
      <c r="AA293" s="56">
        <v>0</v>
      </c>
      <c r="AB293" s="56">
        <v>0</v>
      </c>
      <c r="AC293" s="60">
        <v>46142</v>
      </c>
    </row>
    <row r="294" spans="1:30" x14ac:dyDescent="0.25">
      <c r="A294" s="43">
        <v>1009</v>
      </c>
      <c r="B294" s="44" t="s">
        <v>1292</v>
      </c>
      <c r="C294" s="45">
        <v>10090005</v>
      </c>
      <c r="D294" s="46" t="s">
        <v>660</v>
      </c>
      <c r="E294" s="47" t="s">
        <v>371</v>
      </c>
      <c r="F294" s="47" t="s">
        <v>59</v>
      </c>
      <c r="G294" s="62">
        <v>188.99999999999997</v>
      </c>
      <c r="H294" s="62">
        <v>8095.0099999999993</v>
      </c>
      <c r="I294" s="49">
        <v>0</v>
      </c>
      <c r="J294" s="49">
        <v>0</v>
      </c>
      <c r="K294" s="49">
        <v>186.25523225806461</v>
      </c>
      <c r="L294" s="50">
        <v>0</v>
      </c>
      <c r="M294" s="51"/>
      <c r="N294" s="52" t="s">
        <v>1300</v>
      </c>
      <c r="O294" s="31"/>
      <c r="P294" s="53">
        <v>0</v>
      </c>
      <c r="Q294" s="54">
        <v>0</v>
      </c>
      <c r="R294" s="55">
        <v>0</v>
      </c>
      <c r="S294" s="55">
        <v>0</v>
      </c>
      <c r="T294" s="56">
        <v>0</v>
      </c>
      <c r="U294" s="57"/>
      <c r="V294" s="55">
        <v>186.25523225806461</v>
      </c>
      <c r="W294" s="55">
        <v>0</v>
      </c>
      <c r="X294" s="58">
        <v>0</v>
      </c>
      <c r="Y294" s="59">
        <v>186.25523225806461</v>
      </c>
      <c r="Z294" s="58">
        <v>186.25523225806461</v>
      </c>
      <c r="AA294" s="56">
        <v>0</v>
      </c>
      <c r="AB294" s="56">
        <v>0</v>
      </c>
      <c r="AC294" s="60">
        <v>46142</v>
      </c>
    </row>
    <row r="295" spans="1:30" x14ac:dyDescent="0.25">
      <c r="A295" s="43">
        <v>1009</v>
      </c>
      <c r="B295" s="44" t="s">
        <v>1292</v>
      </c>
      <c r="C295" s="45">
        <v>10090006</v>
      </c>
      <c r="D295" s="46" t="s">
        <v>661</v>
      </c>
      <c r="E295" s="47" t="s">
        <v>364</v>
      </c>
      <c r="F295" s="47" t="s">
        <v>58</v>
      </c>
      <c r="G295" s="64">
        <v>1536.4999999999998</v>
      </c>
      <c r="H295" s="64">
        <v>60019.139999999992</v>
      </c>
      <c r="I295" s="49">
        <v>0</v>
      </c>
      <c r="J295" s="49">
        <v>0</v>
      </c>
      <c r="K295" s="49">
        <v>0</v>
      </c>
      <c r="L295" s="50">
        <v>0</v>
      </c>
      <c r="M295" s="51"/>
      <c r="N295" s="52" t="s">
        <v>1300</v>
      </c>
      <c r="O295" s="31"/>
      <c r="P295" s="53">
        <v>-4.460671311599268E-2</v>
      </c>
      <c r="Q295" s="54">
        <v>10</v>
      </c>
      <c r="R295" s="55">
        <v>0</v>
      </c>
      <c r="S295" s="55">
        <v>0</v>
      </c>
      <c r="T295" s="56">
        <v>0</v>
      </c>
      <c r="U295" s="57"/>
      <c r="V295" s="55">
        <v>0</v>
      </c>
      <c r="W295" s="55">
        <v>0</v>
      </c>
      <c r="X295" s="58">
        <v>0</v>
      </c>
      <c r="Y295" s="59">
        <v>0</v>
      </c>
      <c r="Z295" s="58">
        <v>0</v>
      </c>
      <c r="AA295" s="56">
        <v>0</v>
      </c>
      <c r="AB295" s="56">
        <v>0</v>
      </c>
      <c r="AC295" s="60">
        <v>46142</v>
      </c>
    </row>
    <row r="296" spans="1:30" x14ac:dyDescent="0.25">
      <c r="A296" s="43">
        <v>1009</v>
      </c>
      <c r="B296" s="44" t="s">
        <v>1292</v>
      </c>
      <c r="C296" s="45">
        <v>10090007</v>
      </c>
      <c r="D296" s="46" t="s">
        <v>662</v>
      </c>
      <c r="E296" s="47" t="s">
        <v>364</v>
      </c>
      <c r="F296" s="47" t="s">
        <v>58</v>
      </c>
      <c r="G296" s="62">
        <v>393.59999999999997</v>
      </c>
      <c r="H296" s="62">
        <v>13754.9</v>
      </c>
      <c r="I296" s="49">
        <v>0</v>
      </c>
      <c r="J296" s="49">
        <v>0</v>
      </c>
      <c r="K296" s="49">
        <v>3.2908500000001695</v>
      </c>
      <c r="L296" s="50">
        <v>0</v>
      </c>
      <c r="M296" s="51"/>
      <c r="N296" s="52" t="s">
        <v>1300</v>
      </c>
      <c r="O296" s="31"/>
      <c r="P296" s="53">
        <v>-0.11920130567288753</v>
      </c>
      <c r="Q296" s="54">
        <v>1</v>
      </c>
      <c r="R296" s="55">
        <v>0</v>
      </c>
      <c r="S296" s="55">
        <v>0</v>
      </c>
      <c r="T296" s="56">
        <v>0</v>
      </c>
      <c r="U296" s="57"/>
      <c r="V296" s="55">
        <v>3.2908500000001695</v>
      </c>
      <c r="W296" s="55">
        <v>0</v>
      </c>
      <c r="X296" s="58">
        <v>0</v>
      </c>
      <c r="Y296" s="59">
        <v>3.2908500000001695</v>
      </c>
      <c r="Z296" s="58">
        <v>3.2908500000001695</v>
      </c>
      <c r="AA296" s="56">
        <v>0</v>
      </c>
      <c r="AB296" s="56">
        <v>0</v>
      </c>
      <c r="AC296" s="60">
        <v>46142</v>
      </c>
      <c r="AD296" s="61"/>
    </row>
    <row r="297" spans="1:30" x14ac:dyDescent="0.25">
      <c r="A297" s="43">
        <v>1009</v>
      </c>
      <c r="B297" s="44" t="s">
        <v>1292</v>
      </c>
      <c r="C297" s="45">
        <v>10090008</v>
      </c>
      <c r="D297" s="46" t="s">
        <v>663</v>
      </c>
      <c r="E297" s="47" t="s">
        <v>364</v>
      </c>
      <c r="F297" s="47" t="s">
        <v>58</v>
      </c>
      <c r="G297" s="62">
        <v>936.49999999999989</v>
      </c>
      <c r="H297" s="62">
        <v>36212.429999999993</v>
      </c>
      <c r="I297" s="49">
        <v>0</v>
      </c>
      <c r="J297" s="49">
        <v>0</v>
      </c>
      <c r="K297" s="49">
        <v>0</v>
      </c>
      <c r="L297" s="50">
        <v>0</v>
      </c>
      <c r="M297" s="51"/>
      <c r="N297" s="52" t="s">
        <v>1300</v>
      </c>
      <c r="O297" s="31"/>
      <c r="P297" s="53">
        <v>9.1188848524892899E-3</v>
      </c>
      <c r="Q297" s="54">
        <v>29</v>
      </c>
      <c r="R297" s="55">
        <v>0</v>
      </c>
      <c r="S297" s="55">
        <v>0</v>
      </c>
      <c r="T297" s="56">
        <v>0</v>
      </c>
      <c r="U297" s="57"/>
      <c r="V297" s="55">
        <v>0</v>
      </c>
      <c r="W297" s="55">
        <v>0</v>
      </c>
      <c r="X297" s="58">
        <v>0</v>
      </c>
      <c r="Y297" s="59">
        <v>0</v>
      </c>
      <c r="Z297" s="58">
        <v>0</v>
      </c>
      <c r="AA297" s="56">
        <v>0</v>
      </c>
      <c r="AB297" s="56">
        <v>0</v>
      </c>
      <c r="AC297" s="60">
        <v>46142</v>
      </c>
    </row>
    <row r="298" spans="1:30" x14ac:dyDescent="0.25">
      <c r="A298" s="43">
        <v>1009</v>
      </c>
      <c r="B298" s="44" t="s">
        <v>1292</v>
      </c>
      <c r="C298" s="45">
        <v>10090009</v>
      </c>
      <c r="D298" s="46" t="s">
        <v>664</v>
      </c>
      <c r="E298" s="47" t="s">
        <v>364</v>
      </c>
      <c r="F298" s="47" t="s">
        <v>58</v>
      </c>
      <c r="G298" s="64">
        <v>598.20000000000016</v>
      </c>
      <c r="H298" s="64">
        <v>23593.59</v>
      </c>
      <c r="I298" s="49">
        <v>0</v>
      </c>
      <c r="J298" s="49">
        <v>0</v>
      </c>
      <c r="K298" s="49">
        <v>0</v>
      </c>
      <c r="L298" s="50">
        <v>0</v>
      </c>
      <c r="M298" s="51"/>
      <c r="N298" s="52" t="s">
        <v>1300</v>
      </c>
      <c r="O298" s="31"/>
      <c r="P298" s="53">
        <v>-0.10795928899037421</v>
      </c>
      <c r="Q298" s="54">
        <v>12</v>
      </c>
      <c r="R298" s="55">
        <v>0</v>
      </c>
      <c r="S298" s="55">
        <v>0</v>
      </c>
      <c r="T298" s="56">
        <v>0</v>
      </c>
      <c r="U298" s="57"/>
      <c r="V298" s="55">
        <v>0</v>
      </c>
      <c r="W298" s="55">
        <v>0</v>
      </c>
      <c r="X298" s="58">
        <v>0</v>
      </c>
      <c r="Y298" s="59">
        <v>0</v>
      </c>
      <c r="Z298" s="58">
        <v>0</v>
      </c>
      <c r="AA298" s="56">
        <v>0</v>
      </c>
      <c r="AB298" s="56">
        <v>0</v>
      </c>
      <c r="AC298" s="60">
        <v>46142</v>
      </c>
    </row>
    <row r="299" spans="1:30" x14ac:dyDescent="0.25">
      <c r="A299" s="43">
        <v>1009</v>
      </c>
      <c r="B299" s="44" t="s">
        <v>1292</v>
      </c>
      <c r="C299" s="45">
        <v>10090011</v>
      </c>
      <c r="D299" s="46" t="s">
        <v>665</v>
      </c>
      <c r="E299" s="47" t="s">
        <v>371</v>
      </c>
      <c r="F299" s="47" t="s">
        <v>59</v>
      </c>
      <c r="G299" s="62">
        <v>895.80000000000018</v>
      </c>
      <c r="H299" s="62">
        <v>32860.450000000004</v>
      </c>
      <c r="I299" s="49">
        <v>0</v>
      </c>
      <c r="J299" s="49">
        <v>0</v>
      </c>
      <c r="K299" s="49">
        <v>0</v>
      </c>
      <c r="L299" s="50">
        <v>0</v>
      </c>
      <c r="M299" s="51"/>
      <c r="N299" s="52" t="s">
        <v>1300</v>
      </c>
      <c r="O299" s="31"/>
      <c r="P299" s="53">
        <v>0</v>
      </c>
      <c r="Q299" s="54">
        <v>0</v>
      </c>
      <c r="R299" s="55">
        <v>0</v>
      </c>
      <c r="S299" s="55">
        <v>0</v>
      </c>
      <c r="T299" s="56">
        <v>0</v>
      </c>
      <c r="U299" s="57"/>
      <c r="V299" s="55">
        <v>0</v>
      </c>
      <c r="W299" s="55">
        <v>0</v>
      </c>
      <c r="X299" s="58">
        <v>0</v>
      </c>
      <c r="Y299" s="59">
        <v>0</v>
      </c>
      <c r="Z299" s="58">
        <v>0</v>
      </c>
      <c r="AA299" s="56">
        <v>0</v>
      </c>
      <c r="AB299" s="56">
        <v>0</v>
      </c>
      <c r="AC299" s="60">
        <v>46142</v>
      </c>
    </row>
    <row r="300" spans="1:30" x14ac:dyDescent="0.25">
      <c r="A300" s="43">
        <v>1009</v>
      </c>
      <c r="B300" s="44" t="s">
        <v>1292</v>
      </c>
      <c r="C300" s="45">
        <v>10090012</v>
      </c>
      <c r="D300" s="46" t="s">
        <v>666</v>
      </c>
      <c r="E300" s="47" t="s">
        <v>371</v>
      </c>
      <c r="F300" s="47" t="s">
        <v>59</v>
      </c>
      <c r="G300" s="62">
        <v>1197</v>
      </c>
      <c r="H300" s="62">
        <v>43909.020000000004</v>
      </c>
      <c r="I300" s="49">
        <v>0</v>
      </c>
      <c r="J300" s="49">
        <v>0</v>
      </c>
      <c r="K300" s="49">
        <v>0</v>
      </c>
      <c r="L300" s="50">
        <v>0</v>
      </c>
      <c r="M300" s="51"/>
      <c r="N300" s="52" t="s">
        <v>1300</v>
      </c>
      <c r="O300" s="31"/>
      <c r="P300" s="53">
        <v>0</v>
      </c>
      <c r="Q300" s="54">
        <v>0</v>
      </c>
      <c r="R300" s="55">
        <v>0</v>
      </c>
      <c r="S300" s="55">
        <v>0</v>
      </c>
      <c r="T300" s="56">
        <v>0</v>
      </c>
      <c r="U300" s="57"/>
      <c r="V300" s="55">
        <v>0</v>
      </c>
      <c r="W300" s="55">
        <v>0</v>
      </c>
      <c r="X300" s="58">
        <v>0</v>
      </c>
      <c r="Y300" s="59">
        <v>0</v>
      </c>
      <c r="Z300" s="58">
        <v>0</v>
      </c>
      <c r="AA300" s="56">
        <v>0</v>
      </c>
      <c r="AB300" s="56">
        <v>0</v>
      </c>
      <c r="AC300" s="60">
        <v>46142</v>
      </c>
    </row>
    <row r="301" spans="1:30" x14ac:dyDescent="0.25">
      <c r="A301" s="43">
        <v>1009</v>
      </c>
      <c r="B301" s="44" t="s">
        <v>1292</v>
      </c>
      <c r="C301" s="45">
        <v>10090014</v>
      </c>
      <c r="D301" s="46" t="s">
        <v>667</v>
      </c>
      <c r="E301" s="47" t="s">
        <v>371</v>
      </c>
      <c r="F301" s="47" t="s">
        <v>59</v>
      </c>
      <c r="G301" s="62">
        <v>849.50000000000011</v>
      </c>
      <c r="H301" s="62">
        <v>32876.54</v>
      </c>
      <c r="I301" s="49">
        <v>0</v>
      </c>
      <c r="J301" s="49">
        <v>0</v>
      </c>
      <c r="K301" s="49">
        <v>0</v>
      </c>
      <c r="L301" s="50">
        <v>0</v>
      </c>
      <c r="M301" s="51"/>
      <c r="N301" s="52" t="s">
        <v>1300</v>
      </c>
      <c r="O301" s="31"/>
      <c r="P301" s="53">
        <v>0</v>
      </c>
      <c r="Q301" s="54">
        <v>0</v>
      </c>
      <c r="R301" s="55">
        <v>0</v>
      </c>
      <c r="S301" s="55">
        <v>0</v>
      </c>
      <c r="T301" s="56">
        <v>0</v>
      </c>
      <c r="U301" s="57"/>
      <c r="V301" s="55">
        <v>0</v>
      </c>
      <c r="W301" s="55">
        <v>0</v>
      </c>
      <c r="X301" s="58">
        <v>0</v>
      </c>
      <c r="Y301" s="59">
        <v>0</v>
      </c>
      <c r="Z301" s="58">
        <v>0</v>
      </c>
      <c r="AA301" s="56">
        <v>0</v>
      </c>
      <c r="AB301" s="56">
        <v>0</v>
      </c>
      <c r="AC301" s="60">
        <v>46142</v>
      </c>
      <c r="AD301" s="61"/>
    </row>
    <row r="302" spans="1:30" x14ac:dyDescent="0.25">
      <c r="A302" s="43">
        <v>1009</v>
      </c>
      <c r="B302" s="44" t="s">
        <v>1292</v>
      </c>
      <c r="C302" s="45">
        <v>10090015</v>
      </c>
      <c r="D302" s="46" t="s">
        <v>668</v>
      </c>
      <c r="E302" s="47" t="s">
        <v>371</v>
      </c>
      <c r="F302" s="47" t="s">
        <v>59</v>
      </c>
      <c r="G302" s="62">
        <v>500.7</v>
      </c>
      <c r="H302" s="62">
        <v>20742.759999999998</v>
      </c>
      <c r="I302" s="49">
        <v>0</v>
      </c>
      <c r="J302" s="49">
        <v>0</v>
      </c>
      <c r="K302" s="49">
        <v>0</v>
      </c>
      <c r="L302" s="50">
        <v>0</v>
      </c>
      <c r="M302" s="51"/>
      <c r="N302" s="52" t="s">
        <v>1300</v>
      </c>
      <c r="O302" s="31"/>
      <c r="P302" s="53">
        <v>0</v>
      </c>
      <c r="Q302" s="54">
        <v>0</v>
      </c>
      <c r="R302" s="55">
        <v>0</v>
      </c>
      <c r="S302" s="55">
        <v>0</v>
      </c>
      <c r="T302" s="56">
        <v>0</v>
      </c>
      <c r="U302" s="57"/>
      <c r="V302" s="55">
        <v>0</v>
      </c>
      <c r="W302" s="55">
        <v>0</v>
      </c>
      <c r="X302" s="58">
        <v>0</v>
      </c>
      <c r="Y302" s="59">
        <v>0</v>
      </c>
      <c r="Z302" s="58">
        <v>0</v>
      </c>
      <c r="AA302" s="56">
        <v>0</v>
      </c>
      <c r="AB302" s="56">
        <v>0</v>
      </c>
      <c r="AC302" s="60">
        <v>46142</v>
      </c>
    </row>
    <row r="303" spans="1:30" x14ac:dyDescent="0.25">
      <c r="A303" s="43">
        <v>1009</v>
      </c>
      <c r="B303" s="44" t="s">
        <v>1292</v>
      </c>
      <c r="C303" s="45">
        <v>10090017</v>
      </c>
      <c r="D303" s="46" t="s">
        <v>669</v>
      </c>
      <c r="E303" s="47" t="s">
        <v>371</v>
      </c>
      <c r="F303" s="47" t="s">
        <v>59</v>
      </c>
      <c r="G303" s="62">
        <v>4958.1000000000004</v>
      </c>
      <c r="H303" s="62">
        <v>172610.71999999997</v>
      </c>
      <c r="I303" s="49">
        <v>0</v>
      </c>
      <c r="J303" s="49">
        <v>0</v>
      </c>
      <c r="K303" s="49">
        <v>0</v>
      </c>
      <c r="L303" s="50">
        <v>0</v>
      </c>
      <c r="M303" s="51"/>
      <c r="N303" s="52" t="s">
        <v>1300</v>
      </c>
      <c r="O303" s="31"/>
      <c r="P303" s="53">
        <v>0</v>
      </c>
      <c r="Q303" s="54">
        <v>0</v>
      </c>
      <c r="R303" s="55">
        <v>0</v>
      </c>
      <c r="S303" s="55">
        <v>0</v>
      </c>
      <c r="T303" s="56">
        <v>0</v>
      </c>
      <c r="U303" s="57"/>
      <c r="V303" s="55">
        <v>0</v>
      </c>
      <c r="W303" s="55">
        <v>0</v>
      </c>
      <c r="X303" s="58">
        <v>0</v>
      </c>
      <c r="Y303" s="59">
        <v>0</v>
      </c>
      <c r="Z303" s="58">
        <v>0</v>
      </c>
      <c r="AA303" s="56">
        <v>0</v>
      </c>
      <c r="AB303" s="56">
        <v>0</v>
      </c>
      <c r="AC303" s="60">
        <v>46142</v>
      </c>
    </row>
    <row r="304" spans="1:30" x14ac:dyDescent="0.25">
      <c r="A304" s="43">
        <v>1009</v>
      </c>
      <c r="B304" s="44" t="s">
        <v>1292</v>
      </c>
      <c r="C304" s="45">
        <v>10090018</v>
      </c>
      <c r="D304" s="46" t="s">
        <v>670</v>
      </c>
      <c r="E304" s="47" t="s">
        <v>371</v>
      </c>
      <c r="F304" s="47" t="s">
        <v>59</v>
      </c>
      <c r="G304" s="62">
        <v>112.60000000000001</v>
      </c>
      <c r="H304" s="62">
        <v>3760.5399999999995</v>
      </c>
      <c r="I304" s="49">
        <v>0</v>
      </c>
      <c r="J304" s="49">
        <v>0</v>
      </c>
      <c r="K304" s="49">
        <v>153.26798709677422</v>
      </c>
      <c r="L304" s="50">
        <v>0</v>
      </c>
      <c r="M304" s="51"/>
      <c r="N304" s="52" t="s">
        <v>1300</v>
      </c>
      <c r="O304" s="31"/>
      <c r="P304" s="53">
        <v>0</v>
      </c>
      <c r="Q304" s="54">
        <v>0</v>
      </c>
      <c r="R304" s="55">
        <v>0</v>
      </c>
      <c r="S304" s="55">
        <v>0</v>
      </c>
      <c r="T304" s="56">
        <v>0</v>
      </c>
      <c r="U304" s="57"/>
      <c r="V304" s="55">
        <v>153.26798709677422</v>
      </c>
      <c r="W304" s="55">
        <v>0</v>
      </c>
      <c r="X304" s="58">
        <v>0</v>
      </c>
      <c r="Y304" s="59">
        <v>153.26798709677422</v>
      </c>
      <c r="Z304" s="58">
        <v>153.26798709677422</v>
      </c>
      <c r="AA304" s="56">
        <v>0</v>
      </c>
      <c r="AB304" s="56">
        <v>0</v>
      </c>
      <c r="AC304" s="60">
        <v>46142</v>
      </c>
    </row>
    <row r="305" spans="1:29" x14ac:dyDescent="0.25">
      <c r="A305" s="43">
        <v>1009</v>
      </c>
      <c r="B305" s="44" t="s">
        <v>1292</v>
      </c>
      <c r="C305" s="45">
        <v>10090021</v>
      </c>
      <c r="D305" s="46" t="s">
        <v>671</v>
      </c>
      <c r="E305" s="47" t="s">
        <v>364</v>
      </c>
      <c r="F305" s="47" t="s">
        <v>58</v>
      </c>
      <c r="G305" s="62">
        <v>806.9</v>
      </c>
      <c r="H305" s="62">
        <v>32209.129999999997</v>
      </c>
      <c r="I305" s="49">
        <v>0</v>
      </c>
      <c r="J305" s="49">
        <v>0</v>
      </c>
      <c r="K305" s="49">
        <v>0</v>
      </c>
      <c r="L305" s="50">
        <v>0</v>
      </c>
      <c r="M305" s="51"/>
      <c r="N305" s="52" t="s">
        <v>1300</v>
      </c>
      <c r="O305" s="31"/>
      <c r="P305" s="53">
        <v>-0.36837400999367292</v>
      </c>
      <c r="Q305" s="54">
        <v>4</v>
      </c>
      <c r="R305" s="55">
        <v>0</v>
      </c>
      <c r="S305" s="55">
        <v>0</v>
      </c>
      <c r="T305" s="56">
        <v>0</v>
      </c>
      <c r="U305" s="57"/>
      <c r="V305" s="55">
        <v>0</v>
      </c>
      <c r="W305" s="55">
        <v>0</v>
      </c>
      <c r="X305" s="58">
        <v>0</v>
      </c>
      <c r="Y305" s="59">
        <v>0</v>
      </c>
      <c r="Z305" s="58">
        <v>0</v>
      </c>
      <c r="AA305" s="56">
        <v>0</v>
      </c>
      <c r="AB305" s="56">
        <v>0</v>
      </c>
      <c r="AC305" s="60">
        <v>46142</v>
      </c>
    </row>
    <row r="306" spans="1:29" x14ac:dyDescent="0.25">
      <c r="A306" s="43">
        <v>1009</v>
      </c>
      <c r="B306" s="44" t="s">
        <v>1292</v>
      </c>
      <c r="C306" s="45">
        <v>10090022</v>
      </c>
      <c r="D306" s="46" t="s">
        <v>672</v>
      </c>
      <c r="E306" s="47" t="s">
        <v>371</v>
      </c>
      <c r="F306" s="47" t="s">
        <v>59</v>
      </c>
      <c r="G306" s="62">
        <v>467.2</v>
      </c>
      <c r="H306" s="62">
        <v>18145.73</v>
      </c>
      <c r="I306" s="49">
        <v>0</v>
      </c>
      <c r="J306" s="49">
        <v>0</v>
      </c>
      <c r="K306" s="49">
        <v>0</v>
      </c>
      <c r="L306" s="50">
        <v>0</v>
      </c>
      <c r="M306" s="51"/>
      <c r="N306" s="52" t="s">
        <v>1300</v>
      </c>
      <c r="O306" s="31"/>
      <c r="P306" s="53">
        <v>0</v>
      </c>
      <c r="Q306" s="54">
        <v>0</v>
      </c>
      <c r="R306" s="55">
        <v>0</v>
      </c>
      <c r="S306" s="55">
        <v>0</v>
      </c>
      <c r="T306" s="56">
        <v>0</v>
      </c>
      <c r="U306" s="57"/>
      <c r="V306" s="55">
        <v>0</v>
      </c>
      <c r="W306" s="55">
        <v>0</v>
      </c>
      <c r="X306" s="58">
        <v>0</v>
      </c>
      <c r="Y306" s="59">
        <v>0</v>
      </c>
      <c r="Z306" s="58">
        <v>0</v>
      </c>
      <c r="AA306" s="56">
        <v>0</v>
      </c>
      <c r="AB306" s="56">
        <v>0</v>
      </c>
      <c r="AC306" s="60">
        <v>46142</v>
      </c>
    </row>
    <row r="307" spans="1:29" x14ac:dyDescent="0.25">
      <c r="A307" s="43">
        <v>1009</v>
      </c>
      <c r="B307" s="44" t="s">
        <v>1292</v>
      </c>
      <c r="C307" s="45">
        <v>10090024</v>
      </c>
      <c r="D307" s="46" t="s">
        <v>673</v>
      </c>
      <c r="E307" s="47" t="s">
        <v>371</v>
      </c>
      <c r="F307" s="47" t="s">
        <v>59</v>
      </c>
      <c r="G307" s="62">
        <v>354.8</v>
      </c>
      <c r="H307" s="62">
        <v>13559.259999999998</v>
      </c>
      <c r="I307" s="49">
        <v>0</v>
      </c>
      <c r="J307" s="49">
        <v>0</v>
      </c>
      <c r="K307" s="49">
        <v>0</v>
      </c>
      <c r="L307" s="50">
        <v>0</v>
      </c>
      <c r="M307" s="51"/>
      <c r="N307" s="52" t="s">
        <v>1300</v>
      </c>
      <c r="O307" s="31"/>
      <c r="P307" s="53">
        <v>0</v>
      </c>
      <c r="Q307" s="54">
        <v>0</v>
      </c>
      <c r="R307" s="55">
        <v>0</v>
      </c>
      <c r="S307" s="55">
        <v>0</v>
      </c>
      <c r="T307" s="56">
        <v>0</v>
      </c>
      <c r="U307" s="57"/>
      <c r="V307" s="55">
        <v>0</v>
      </c>
      <c r="W307" s="55">
        <v>0</v>
      </c>
      <c r="X307" s="58">
        <v>0</v>
      </c>
      <c r="Y307" s="59">
        <v>0</v>
      </c>
      <c r="Z307" s="58">
        <v>0</v>
      </c>
      <c r="AA307" s="56">
        <v>0</v>
      </c>
      <c r="AB307" s="56">
        <v>0</v>
      </c>
      <c r="AC307" s="60">
        <v>46142</v>
      </c>
    </row>
    <row r="308" spans="1:29" x14ac:dyDescent="0.25">
      <c r="A308" s="43">
        <v>1009</v>
      </c>
      <c r="B308" s="44" t="s">
        <v>1292</v>
      </c>
      <c r="C308" s="45">
        <v>10090025</v>
      </c>
      <c r="D308" s="46" t="s">
        <v>674</v>
      </c>
      <c r="E308" s="47" t="s">
        <v>371</v>
      </c>
      <c r="F308" s="47" t="s">
        <v>59</v>
      </c>
      <c r="G308" s="62">
        <v>1032.5</v>
      </c>
      <c r="H308" s="62">
        <v>39672.799999999996</v>
      </c>
      <c r="I308" s="49">
        <v>0</v>
      </c>
      <c r="J308" s="49">
        <v>0</v>
      </c>
      <c r="K308" s="49">
        <v>0</v>
      </c>
      <c r="L308" s="50">
        <v>0</v>
      </c>
      <c r="M308" s="51"/>
      <c r="N308" s="52" t="s">
        <v>1300</v>
      </c>
      <c r="O308" s="31"/>
      <c r="P308" s="53">
        <v>0</v>
      </c>
      <c r="Q308" s="54">
        <v>0</v>
      </c>
      <c r="R308" s="55">
        <v>0</v>
      </c>
      <c r="S308" s="55">
        <v>0</v>
      </c>
      <c r="T308" s="56">
        <v>0</v>
      </c>
      <c r="U308" s="57"/>
      <c r="V308" s="55">
        <v>0</v>
      </c>
      <c r="W308" s="55">
        <v>0</v>
      </c>
      <c r="X308" s="58">
        <v>0</v>
      </c>
      <c r="Y308" s="59">
        <v>0</v>
      </c>
      <c r="Z308" s="58">
        <v>0</v>
      </c>
      <c r="AA308" s="56">
        <v>0</v>
      </c>
      <c r="AB308" s="56">
        <v>0</v>
      </c>
      <c r="AC308" s="60">
        <v>46142</v>
      </c>
    </row>
    <row r="309" spans="1:29" x14ac:dyDescent="0.25">
      <c r="A309" s="43">
        <v>1009</v>
      </c>
      <c r="B309" s="44" t="s">
        <v>1292</v>
      </c>
      <c r="C309" s="45">
        <v>10090027</v>
      </c>
      <c r="D309" s="46" t="s">
        <v>675</v>
      </c>
      <c r="E309" s="47" t="s">
        <v>371</v>
      </c>
      <c r="F309" s="47" t="s">
        <v>59</v>
      </c>
      <c r="G309" s="62">
        <v>1122.5</v>
      </c>
      <c r="H309" s="62">
        <v>47325.52</v>
      </c>
      <c r="I309" s="49">
        <v>0</v>
      </c>
      <c r="J309" s="49">
        <v>0</v>
      </c>
      <c r="K309" s="49">
        <v>0</v>
      </c>
      <c r="L309" s="50">
        <v>0</v>
      </c>
      <c r="M309" s="51"/>
      <c r="N309" s="52" t="s">
        <v>1300</v>
      </c>
      <c r="O309" s="31"/>
      <c r="P309" s="53">
        <v>0</v>
      </c>
      <c r="Q309" s="54">
        <v>0</v>
      </c>
      <c r="R309" s="55">
        <v>0</v>
      </c>
      <c r="S309" s="55">
        <v>0</v>
      </c>
      <c r="T309" s="56">
        <v>0</v>
      </c>
      <c r="U309" s="57"/>
      <c r="V309" s="55">
        <v>0</v>
      </c>
      <c r="W309" s="55">
        <v>0</v>
      </c>
      <c r="X309" s="58">
        <v>0</v>
      </c>
      <c r="Y309" s="59">
        <v>0</v>
      </c>
      <c r="Z309" s="58">
        <v>0</v>
      </c>
      <c r="AA309" s="56">
        <v>0</v>
      </c>
      <c r="AB309" s="56">
        <v>0</v>
      </c>
      <c r="AC309" s="60">
        <v>46142</v>
      </c>
    </row>
    <row r="310" spans="1:29" x14ac:dyDescent="0.25">
      <c r="A310" s="43">
        <v>1009</v>
      </c>
      <c r="B310" s="44" t="s">
        <v>1292</v>
      </c>
      <c r="C310" s="45">
        <v>10090029</v>
      </c>
      <c r="D310" s="46" t="s">
        <v>447</v>
      </c>
      <c r="E310" s="47" t="s">
        <v>364</v>
      </c>
      <c r="F310" s="47" t="s">
        <v>58</v>
      </c>
      <c r="G310" s="62">
        <v>767.3</v>
      </c>
      <c r="H310" s="62">
        <v>31698.73</v>
      </c>
      <c r="I310" s="49">
        <v>0</v>
      </c>
      <c r="J310" s="49">
        <v>0</v>
      </c>
      <c r="K310" s="49">
        <v>0</v>
      </c>
      <c r="L310" s="50">
        <v>0</v>
      </c>
      <c r="M310" s="51"/>
      <c r="N310" s="52" t="s">
        <v>1300</v>
      </c>
      <c r="O310" s="31"/>
      <c r="P310" s="53">
        <v>-8.0368031856601248E-3</v>
      </c>
      <c r="Q310" s="54">
        <v>21</v>
      </c>
      <c r="R310" s="55">
        <v>0</v>
      </c>
      <c r="S310" s="55">
        <v>0</v>
      </c>
      <c r="T310" s="56">
        <v>0</v>
      </c>
      <c r="U310" s="57"/>
      <c r="V310" s="55">
        <v>0</v>
      </c>
      <c r="W310" s="55">
        <v>0</v>
      </c>
      <c r="X310" s="58">
        <v>0</v>
      </c>
      <c r="Y310" s="59">
        <v>0</v>
      </c>
      <c r="Z310" s="58">
        <v>0</v>
      </c>
      <c r="AA310" s="56">
        <v>0</v>
      </c>
      <c r="AB310" s="56">
        <v>0</v>
      </c>
      <c r="AC310" s="60">
        <v>46142</v>
      </c>
    </row>
    <row r="311" spans="1:29" x14ac:dyDescent="0.25">
      <c r="A311" s="43">
        <v>1009</v>
      </c>
      <c r="B311" s="44" t="s">
        <v>1292</v>
      </c>
      <c r="C311" s="45">
        <v>10090033</v>
      </c>
      <c r="D311" s="46" t="s">
        <v>676</v>
      </c>
      <c r="E311" s="47" t="s">
        <v>364</v>
      </c>
      <c r="F311" s="47" t="s">
        <v>58</v>
      </c>
      <c r="G311" s="62">
        <v>1085.5</v>
      </c>
      <c r="H311" s="62">
        <v>50772.640000000007</v>
      </c>
      <c r="I311" s="49">
        <v>0</v>
      </c>
      <c r="J311" s="49">
        <v>0</v>
      </c>
      <c r="K311" s="49">
        <v>0</v>
      </c>
      <c r="L311" s="50">
        <v>0</v>
      </c>
      <c r="M311" s="51"/>
      <c r="N311" s="52" t="s">
        <v>1300</v>
      </c>
      <c r="O311" s="31"/>
      <c r="P311" s="53">
        <v>-5.9289346271396079E-2</v>
      </c>
      <c r="Q311" s="54">
        <v>11</v>
      </c>
      <c r="R311" s="55">
        <v>0</v>
      </c>
      <c r="S311" s="55">
        <v>0</v>
      </c>
      <c r="T311" s="56">
        <v>0</v>
      </c>
      <c r="U311" s="57"/>
      <c r="V311" s="55">
        <v>0</v>
      </c>
      <c r="W311" s="55">
        <v>0</v>
      </c>
      <c r="X311" s="58">
        <v>0</v>
      </c>
      <c r="Y311" s="59">
        <v>0</v>
      </c>
      <c r="Z311" s="58">
        <v>0</v>
      </c>
      <c r="AA311" s="56">
        <v>0</v>
      </c>
      <c r="AB311" s="56">
        <v>0</v>
      </c>
      <c r="AC311" s="60">
        <v>46142</v>
      </c>
    </row>
    <row r="312" spans="1:29" x14ac:dyDescent="0.25">
      <c r="A312" s="43">
        <v>1009</v>
      </c>
      <c r="B312" s="44" t="s">
        <v>1292</v>
      </c>
      <c r="C312" s="45">
        <v>10090034</v>
      </c>
      <c r="D312" s="46" t="s">
        <v>677</v>
      </c>
      <c r="E312" s="47" t="s">
        <v>364</v>
      </c>
      <c r="F312" s="47" t="s">
        <v>58</v>
      </c>
      <c r="G312" s="62">
        <v>741</v>
      </c>
      <c r="H312" s="62">
        <v>29879.719999999994</v>
      </c>
      <c r="I312" s="49">
        <v>0</v>
      </c>
      <c r="J312" s="49">
        <v>0</v>
      </c>
      <c r="K312" s="49">
        <v>42.610576271187099</v>
      </c>
      <c r="L312" s="50">
        <v>0</v>
      </c>
      <c r="M312" s="51"/>
      <c r="N312" s="52" t="s">
        <v>1300</v>
      </c>
      <c r="O312" s="31"/>
      <c r="P312" s="53">
        <v>-2.6773233754128611E-2</v>
      </c>
      <c r="Q312" s="54">
        <v>6</v>
      </c>
      <c r="R312" s="55">
        <v>0</v>
      </c>
      <c r="S312" s="55">
        <v>0</v>
      </c>
      <c r="T312" s="56">
        <v>0</v>
      </c>
      <c r="U312" s="57"/>
      <c r="V312" s="55">
        <v>42.610576271187099</v>
      </c>
      <c r="W312" s="55">
        <v>0</v>
      </c>
      <c r="X312" s="58">
        <v>0</v>
      </c>
      <c r="Y312" s="59">
        <v>42.610576271187099</v>
      </c>
      <c r="Z312" s="58">
        <v>42.610576271187099</v>
      </c>
      <c r="AA312" s="56">
        <v>0</v>
      </c>
      <c r="AB312" s="56">
        <v>0</v>
      </c>
      <c r="AC312" s="60">
        <v>46142</v>
      </c>
    </row>
    <row r="313" spans="1:29" x14ac:dyDescent="0.25">
      <c r="A313" s="43">
        <v>1009</v>
      </c>
      <c r="B313" s="44" t="s">
        <v>1292</v>
      </c>
      <c r="C313" s="45">
        <v>10090036</v>
      </c>
      <c r="D313" s="46" t="s">
        <v>678</v>
      </c>
      <c r="E313" s="47" t="s">
        <v>364</v>
      </c>
      <c r="F313" s="47" t="s">
        <v>58</v>
      </c>
      <c r="G313" s="62">
        <v>86.63</v>
      </c>
      <c r="H313" s="62">
        <v>3288.8700000000003</v>
      </c>
      <c r="I313" s="49">
        <v>0</v>
      </c>
      <c r="J313" s="49">
        <v>0</v>
      </c>
      <c r="K313" s="49">
        <v>1364.9456999999998</v>
      </c>
      <c r="L313" s="50">
        <v>0</v>
      </c>
      <c r="M313" s="51"/>
      <c r="N313" s="52" t="s">
        <v>1300</v>
      </c>
      <c r="O313" s="31"/>
      <c r="P313" s="53">
        <v>-9.3329447500206247E-3</v>
      </c>
      <c r="Q313" s="54">
        <v>1</v>
      </c>
      <c r="R313" s="55">
        <v>0</v>
      </c>
      <c r="S313" s="55">
        <v>0</v>
      </c>
      <c r="T313" s="56">
        <v>0</v>
      </c>
      <c r="U313" s="57"/>
      <c r="V313" s="55">
        <v>1364.9456999999998</v>
      </c>
      <c r="W313" s="55">
        <v>0</v>
      </c>
      <c r="X313" s="58">
        <v>0</v>
      </c>
      <c r="Y313" s="59">
        <v>1364.9456999999998</v>
      </c>
      <c r="Z313" s="58">
        <v>1364.9456999999998</v>
      </c>
      <c r="AA313" s="56">
        <v>0</v>
      </c>
      <c r="AB313" s="56">
        <v>0</v>
      </c>
      <c r="AC313" s="60">
        <v>46142</v>
      </c>
    </row>
    <row r="314" spans="1:29" x14ac:dyDescent="0.25">
      <c r="A314" s="43">
        <v>1009</v>
      </c>
      <c r="B314" s="44" t="s">
        <v>1292</v>
      </c>
      <c r="C314" s="45">
        <v>10090037</v>
      </c>
      <c r="D314" s="46" t="s">
        <v>679</v>
      </c>
      <c r="E314" s="47" t="s">
        <v>364</v>
      </c>
      <c r="F314" s="47" t="s">
        <v>58</v>
      </c>
      <c r="G314" s="62">
        <v>422.09999999999997</v>
      </c>
      <c r="H314" s="62">
        <v>18503.36</v>
      </c>
      <c r="I314" s="49">
        <v>0</v>
      </c>
      <c r="J314" s="49">
        <v>0</v>
      </c>
      <c r="K314" s="49">
        <v>0</v>
      </c>
      <c r="L314" s="50">
        <v>0</v>
      </c>
      <c r="M314" s="51"/>
      <c r="N314" s="52" t="s">
        <v>1300</v>
      </c>
      <c r="O314" s="31"/>
      <c r="P314" s="53">
        <v>5.3232401036311952E-2</v>
      </c>
      <c r="Q314" s="54">
        <v>5</v>
      </c>
      <c r="R314" s="55">
        <v>0</v>
      </c>
      <c r="S314" s="55">
        <v>0</v>
      </c>
      <c r="T314" s="56">
        <v>0</v>
      </c>
      <c r="U314" s="57"/>
      <c r="V314" s="55">
        <v>0</v>
      </c>
      <c r="W314" s="55">
        <v>0</v>
      </c>
      <c r="X314" s="58">
        <v>0</v>
      </c>
      <c r="Y314" s="59">
        <v>0</v>
      </c>
      <c r="Z314" s="58">
        <v>0</v>
      </c>
      <c r="AA314" s="56">
        <v>0</v>
      </c>
      <c r="AB314" s="56">
        <v>0</v>
      </c>
      <c r="AC314" s="60">
        <v>46142</v>
      </c>
    </row>
    <row r="315" spans="1:29" x14ac:dyDescent="0.25">
      <c r="A315" s="43">
        <v>1009</v>
      </c>
      <c r="B315" s="44" t="s">
        <v>1292</v>
      </c>
      <c r="C315" s="45">
        <v>10090041</v>
      </c>
      <c r="D315" s="46" t="s">
        <v>680</v>
      </c>
      <c r="E315" s="47" t="s">
        <v>371</v>
      </c>
      <c r="F315" s="47" t="s">
        <v>59</v>
      </c>
      <c r="G315" s="62">
        <v>128.19999999999999</v>
      </c>
      <c r="H315" s="62">
        <v>3974.54</v>
      </c>
      <c r="I315" s="49">
        <v>0</v>
      </c>
      <c r="J315" s="49">
        <v>0</v>
      </c>
      <c r="K315" s="49">
        <v>0</v>
      </c>
      <c r="L315" s="50">
        <v>0</v>
      </c>
      <c r="M315" s="51"/>
      <c r="N315" s="52" t="s">
        <v>1300</v>
      </c>
      <c r="O315" s="31"/>
      <c r="P315" s="53">
        <v>0</v>
      </c>
      <c r="Q315" s="54">
        <v>0</v>
      </c>
      <c r="R315" s="55">
        <v>0</v>
      </c>
      <c r="S315" s="55">
        <v>0</v>
      </c>
      <c r="T315" s="56">
        <v>0</v>
      </c>
      <c r="U315" s="57"/>
      <c r="V315" s="55">
        <v>0</v>
      </c>
      <c r="W315" s="55">
        <v>0</v>
      </c>
      <c r="X315" s="58">
        <v>0</v>
      </c>
      <c r="Y315" s="59">
        <v>0</v>
      </c>
      <c r="Z315" s="58">
        <v>0</v>
      </c>
      <c r="AA315" s="56">
        <v>0</v>
      </c>
      <c r="AB315" s="56">
        <v>0</v>
      </c>
      <c r="AC315" s="60">
        <v>46142</v>
      </c>
    </row>
    <row r="316" spans="1:29" x14ac:dyDescent="0.25">
      <c r="A316" s="43">
        <v>1009</v>
      </c>
      <c r="B316" s="44" t="s">
        <v>1292</v>
      </c>
      <c r="C316" s="45">
        <v>10090042</v>
      </c>
      <c r="D316" s="46" t="s">
        <v>681</v>
      </c>
      <c r="E316" s="47" t="s">
        <v>364</v>
      </c>
      <c r="F316" s="47" t="s">
        <v>58</v>
      </c>
      <c r="G316" s="62">
        <v>467.5</v>
      </c>
      <c r="H316" s="62">
        <v>18696.21</v>
      </c>
      <c r="I316" s="49">
        <v>0</v>
      </c>
      <c r="J316" s="49">
        <v>0</v>
      </c>
      <c r="K316" s="49">
        <v>0</v>
      </c>
      <c r="L316" s="50">
        <v>0</v>
      </c>
      <c r="M316" s="51"/>
      <c r="N316" s="52" t="s">
        <v>1300</v>
      </c>
      <c r="O316" s="31"/>
      <c r="P316" s="53">
        <v>5.7747024012011157E-2</v>
      </c>
      <c r="Q316" s="54">
        <v>6</v>
      </c>
      <c r="R316" s="55">
        <v>0</v>
      </c>
      <c r="S316" s="55">
        <v>0</v>
      </c>
      <c r="T316" s="56">
        <v>0</v>
      </c>
      <c r="U316" s="57"/>
      <c r="V316" s="55">
        <v>0</v>
      </c>
      <c r="W316" s="55">
        <v>0</v>
      </c>
      <c r="X316" s="58">
        <v>0</v>
      </c>
      <c r="Y316" s="59">
        <v>0</v>
      </c>
      <c r="Z316" s="58">
        <v>0</v>
      </c>
      <c r="AA316" s="56">
        <v>0</v>
      </c>
      <c r="AB316" s="56">
        <v>0</v>
      </c>
      <c r="AC316" s="60">
        <v>46142</v>
      </c>
    </row>
    <row r="317" spans="1:29" x14ac:dyDescent="0.25">
      <c r="A317" s="43">
        <v>1009</v>
      </c>
      <c r="B317" s="44" t="s">
        <v>1292</v>
      </c>
      <c r="C317" s="45">
        <v>10090043</v>
      </c>
      <c r="D317" s="46" t="s">
        <v>682</v>
      </c>
      <c r="E317" s="47" t="s">
        <v>364</v>
      </c>
      <c r="F317" s="47" t="s">
        <v>58</v>
      </c>
      <c r="G317" s="62">
        <v>120.30000000000001</v>
      </c>
      <c r="H317" s="62">
        <v>5479.8600000000006</v>
      </c>
      <c r="I317" s="49">
        <v>0</v>
      </c>
      <c r="J317" s="49">
        <v>0</v>
      </c>
      <c r="K317" s="49">
        <v>240.83460000000008</v>
      </c>
      <c r="L317" s="50">
        <v>0</v>
      </c>
      <c r="M317" s="51"/>
      <c r="N317" s="52" t="s">
        <v>1300</v>
      </c>
      <c r="O317" s="31"/>
      <c r="P317" s="53">
        <v>5.1679093609314865E-2</v>
      </c>
      <c r="Q317" s="54">
        <v>5</v>
      </c>
      <c r="R317" s="55">
        <v>0</v>
      </c>
      <c r="S317" s="55">
        <v>0</v>
      </c>
      <c r="T317" s="56">
        <v>0</v>
      </c>
      <c r="U317" s="57"/>
      <c r="V317" s="55">
        <v>240.83460000000008</v>
      </c>
      <c r="W317" s="55">
        <v>0</v>
      </c>
      <c r="X317" s="58">
        <v>0</v>
      </c>
      <c r="Y317" s="59">
        <v>240.83460000000008</v>
      </c>
      <c r="Z317" s="58">
        <v>240.83460000000008</v>
      </c>
      <c r="AA317" s="56">
        <v>0</v>
      </c>
      <c r="AB317" s="56">
        <v>0</v>
      </c>
      <c r="AC317" s="60">
        <v>46142</v>
      </c>
    </row>
    <row r="318" spans="1:29" x14ac:dyDescent="0.25">
      <c r="A318" s="43">
        <v>1009</v>
      </c>
      <c r="B318" s="44" t="s">
        <v>1292</v>
      </c>
      <c r="C318" s="45">
        <v>10090045</v>
      </c>
      <c r="D318" s="46" t="s">
        <v>683</v>
      </c>
      <c r="E318" s="47" t="s">
        <v>364</v>
      </c>
      <c r="F318" s="47" t="s">
        <v>58</v>
      </c>
      <c r="G318" s="62">
        <v>733.80000000000007</v>
      </c>
      <c r="H318" s="62">
        <v>30399.860000000004</v>
      </c>
      <c r="I318" s="49">
        <v>0</v>
      </c>
      <c r="J318" s="49">
        <v>0</v>
      </c>
      <c r="K318" s="49">
        <v>0</v>
      </c>
      <c r="L318" s="50">
        <v>0</v>
      </c>
      <c r="M318" s="51"/>
      <c r="N318" s="52" t="s">
        <v>1300</v>
      </c>
      <c r="O318" s="31"/>
      <c r="P318" s="53">
        <v>-4.7812912085780299E-3</v>
      </c>
      <c r="Q318" s="54">
        <v>3</v>
      </c>
      <c r="R318" s="55">
        <v>0</v>
      </c>
      <c r="S318" s="55">
        <v>0</v>
      </c>
      <c r="T318" s="56">
        <v>0</v>
      </c>
      <c r="U318" s="57"/>
      <c r="V318" s="55">
        <v>0</v>
      </c>
      <c r="W318" s="55">
        <v>0</v>
      </c>
      <c r="X318" s="58">
        <v>0</v>
      </c>
      <c r="Y318" s="59">
        <v>0</v>
      </c>
      <c r="Z318" s="58">
        <v>0</v>
      </c>
      <c r="AA318" s="56">
        <v>0</v>
      </c>
      <c r="AB318" s="56">
        <v>0</v>
      </c>
      <c r="AC318" s="60">
        <v>46142</v>
      </c>
    </row>
    <row r="319" spans="1:29" x14ac:dyDescent="0.25">
      <c r="A319" s="43">
        <v>1009</v>
      </c>
      <c r="B319" s="44" t="s">
        <v>1292</v>
      </c>
      <c r="C319" s="45">
        <v>10090046</v>
      </c>
      <c r="D319" s="46" t="s">
        <v>684</v>
      </c>
      <c r="E319" s="47" t="s">
        <v>364</v>
      </c>
      <c r="F319" s="47" t="s">
        <v>58</v>
      </c>
      <c r="G319" s="62">
        <v>489.20000000000005</v>
      </c>
      <c r="H319" s="62">
        <v>19854.170000000002</v>
      </c>
      <c r="I319" s="49">
        <v>0</v>
      </c>
      <c r="J319" s="49">
        <v>0</v>
      </c>
      <c r="K319" s="49">
        <v>0</v>
      </c>
      <c r="L319" s="50">
        <v>0</v>
      </c>
      <c r="M319" s="51"/>
      <c r="N319" s="52" t="s">
        <v>1300</v>
      </c>
      <c r="O319" s="31"/>
      <c r="P319" s="53">
        <v>-0.21493872398493369</v>
      </c>
      <c r="Q319" s="54">
        <v>5</v>
      </c>
      <c r="R319" s="55">
        <v>0</v>
      </c>
      <c r="S319" s="55">
        <v>0</v>
      </c>
      <c r="T319" s="56">
        <v>0</v>
      </c>
      <c r="U319" s="57"/>
      <c r="V319" s="55">
        <v>0</v>
      </c>
      <c r="W319" s="55">
        <v>0</v>
      </c>
      <c r="X319" s="58">
        <v>0</v>
      </c>
      <c r="Y319" s="59">
        <v>0</v>
      </c>
      <c r="Z319" s="58">
        <v>0</v>
      </c>
      <c r="AA319" s="56">
        <v>0</v>
      </c>
      <c r="AB319" s="56">
        <v>0</v>
      </c>
      <c r="AC319" s="60">
        <v>46142</v>
      </c>
    </row>
    <row r="320" spans="1:29" x14ac:dyDescent="0.25">
      <c r="A320" s="43">
        <v>1009</v>
      </c>
      <c r="B320" s="44" t="s">
        <v>1292</v>
      </c>
      <c r="C320" s="45">
        <v>10090047</v>
      </c>
      <c r="D320" s="46" t="s">
        <v>685</v>
      </c>
      <c r="E320" s="47" t="s">
        <v>364</v>
      </c>
      <c r="F320" s="47" t="s">
        <v>58</v>
      </c>
      <c r="G320" s="62">
        <v>356.7</v>
      </c>
      <c r="H320" s="62">
        <v>16034.369999999997</v>
      </c>
      <c r="I320" s="49">
        <v>0</v>
      </c>
      <c r="J320" s="49">
        <v>0</v>
      </c>
      <c r="K320" s="49">
        <v>0</v>
      </c>
      <c r="L320" s="50">
        <v>0</v>
      </c>
      <c r="M320" s="51"/>
      <c r="N320" s="52" t="s">
        <v>1300</v>
      </c>
      <c r="O320" s="31"/>
      <c r="P320" s="53">
        <v>-4.4620086263409652E-3</v>
      </c>
      <c r="Q320" s="54">
        <v>13</v>
      </c>
      <c r="R320" s="55">
        <v>0</v>
      </c>
      <c r="S320" s="55">
        <v>0</v>
      </c>
      <c r="T320" s="56">
        <v>0</v>
      </c>
      <c r="U320" s="57"/>
      <c r="V320" s="55">
        <v>0</v>
      </c>
      <c r="W320" s="55">
        <v>0</v>
      </c>
      <c r="X320" s="58">
        <v>0</v>
      </c>
      <c r="Y320" s="59">
        <v>0</v>
      </c>
      <c r="Z320" s="58">
        <v>0</v>
      </c>
      <c r="AA320" s="56">
        <v>0</v>
      </c>
      <c r="AB320" s="56">
        <v>0</v>
      </c>
      <c r="AC320" s="60">
        <v>46142</v>
      </c>
    </row>
    <row r="321" spans="1:29" x14ac:dyDescent="0.25">
      <c r="A321" s="43">
        <v>1009</v>
      </c>
      <c r="B321" s="44" t="s">
        <v>1292</v>
      </c>
      <c r="C321" s="45">
        <v>10090049</v>
      </c>
      <c r="D321" s="46" t="s">
        <v>686</v>
      </c>
      <c r="E321" s="47" t="s">
        <v>364</v>
      </c>
      <c r="F321" s="47" t="s">
        <v>58</v>
      </c>
      <c r="G321" s="62">
        <v>572.29999999999995</v>
      </c>
      <c r="H321" s="62">
        <v>26884.600000000002</v>
      </c>
      <c r="I321" s="49">
        <v>0</v>
      </c>
      <c r="J321" s="49">
        <v>0</v>
      </c>
      <c r="K321" s="49">
        <v>0</v>
      </c>
      <c r="L321" s="50">
        <v>0</v>
      </c>
      <c r="M321" s="51"/>
      <c r="N321" s="52" t="s">
        <v>1300</v>
      </c>
      <c r="O321" s="31"/>
      <c r="P321" s="53">
        <v>-3.1563472277069134E-2</v>
      </c>
      <c r="Q321" s="54">
        <v>12</v>
      </c>
      <c r="R321" s="55">
        <v>0</v>
      </c>
      <c r="S321" s="55">
        <v>0</v>
      </c>
      <c r="T321" s="56">
        <v>0</v>
      </c>
      <c r="U321" s="57"/>
      <c r="V321" s="55">
        <v>0</v>
      </c>
      <c r="W321" s="55">
        <v>0</v>
      </c>
      <c r="X321" s="58">
        <v>0</v>
      </c>
      <c r="Y321" s="59">
        <v>0</v>
      </c>
      <c r="Z321" s="58">
        <v>0</v>
      </c>
      <c r="AA321" s="56">
        <v>0</v>
      </c>
      <c r="AB321" s="56">
        <v>0</v>
      </c>
      <c r="AC321" s="60">
        <v>46142</v>
      </c>
    </row>
    <row r="322" spans="1:29" x14ac:dyDescent="0.25">
      <c r="A322" s="43">
        <v>1009</v>
      </c>
      <c r="B322" s="44" t="s">
        <v>1292</v>
      </c>
      <c r="C322" s="45">
        <v>10090052</v>
      </c>
      <c r="D322" s="46" t="s">
        <v>687</v>
      </c>
      <c r="E322" s="47" t="s">
        <v>364</v>
      </c>
      <c r="F322" s="47" t="s">
        <v>58</v>
      </c>
      <c r="G322" s="62">
        <v>605.59999999999991</v>
      </c>
      <c r="H322" s="62">
        <v>24687.05</v>
      </c>
      <c r="I322" s="49">
        <v>0</v>
      </c>
      <c r="J322" s="49">
        <v>0</v>
      </c>
      <c r="K322" s="49">
        <v>0</v>
      </c>
      <c r="L322" s="50">
        <v>0</v>
      </c>
      <c r="M322" s="51"/>
      <c r="N322" s="52" t="s">
        <v>1300</v>
      </c>
      <c r="O322" s="31"/>
      <c r="P322" s="53">
        <v>-2.5131591264140832E-2</v>
      </c>
      <c r="Q322" s="54">
        <v>5</v>
      </c>
      <c r="R322" s="55">
        <v>0</v>
      </c>
      <c r="S322" s="55">
        <v>0</v>
      </c>
      <c r="T322" s="56">
        <v>0</v>
      </c>
      <c r="U322" s="57"/>
      <c r="V322" s="55">
        <v>0</v>
      </c>
      <c r="W322" s="55">
        <v>0</v>
      </c>
      <c r="X322" s="58">
        <v>0</v>
      </c>
      <c r="Y322" s="59">
        <v>0</v>
      </c>
      <c r="Z322" s="58">
        <v>0</v>
      </c>
      <c r="AA322" s="56">
        <v>0</v>
      </c>
      <c r="AB322" s="56">
        <v>0</v>
      </c>
      <c r="AC322" s="60">
        <v>46142</v>
      </c>
    </row>
    <row r="323" spans="1:29" x14ac:dyDescent="0.25">
      <c r="A323" s="43">
        <v>1009</v>
      </c>
      <c r="B323" s="44" t="s">
        <v>1292</v>
      </c>
      <c r="C323" s="45">
        <v>10090055</v>
      </c>
      <c r="D323" s="46" t="s">
        <v>688</v>
      </c>
      <c r="E323" s="47" t="s">
        <v>371</v>
      </c>
      <c r="F323" s="47" t="s">
        <v>59</v>
      </c>
      <c r="G323" s="62">
        <v>243.2</v>
      </c>
      <c r="H323" s="62">
        <v>9417.5800000000017</v>
      </c>
      <c r="I323" s="49">
        <v>0</v>
      </c>
      <c r="J323" s="49">
        <v>0</v>
      </c>
      <c r="K323" s="49">
        <v>0</v>
      </c>
      <c r="L323" s="50">
        <v>0</v>
      </c>
      <c r="M323" s="51"/>
      <c r="N323" s="52" t="s">
        <v>1300</v>
      </c>
      <c r="O323" s="31"/>
      <c r="P323" s="53">
        <v>0</v>
      </c>
      <c r="Q323" s="54">
        <v>0</v>
      </c>
      <c r="R323" s="55">
        <v>0</v>
      </c>
      <c r="S323" s="55">
        <v>0</v>
      </c>
      <c r="T323" s="56">
        <v>0</v>
      </c>
      <c r="U323" s="57"/>
      <c r="V323" s="55">
        <v>0</v>
      </c>
      <c r="W323" s="55">
        <v>0</v>
      </c>
      <c r="X323" s="58">
        <v>0</v>
      </c>
      <c r="Y323" s="59">
        <v>0</v>
      </c>
      <c r="Z323" s="58">
        <v>0</v>
      </c>
      <c r="AA323" s="56">
        <v>0</v>
      </c>
      <c r="AB323" s="56">
        <v>0</v>
      </c>
      <c r="AC323" s="60">
        <v>46142</v>
      </c>
    </row>
    <row r="324" spans="1:29" x14ac:dyDescent="0.25">
      <c r="A324" s="43">
        <v>1009</v>
      </c>
      <c r="B324" s="44" t="s">
        <v>1292</v>
      </c>
      <c r="C324" s="45">
        <v>10090056</v>
      </c>
      <c r="D324" s="46" t="s">
        <v>689</v>
      </c>
      <c r="E324" s="47" t="s">
        <v>364</v>
      </c>
      <c r="F324" s="47" t="s">
        <v>58</v>
      </c>
      <c r="G324" s="62">
        <v>785.69999999999993</v>
      </c>
      <c r="H324" s="62">
        <v>31447.01</v>
      </c>
      <c r="I324" s="49">
        <v>0</v>
      </c>
      <c r="J324" s="49">
        <v>0</v>
      </c>
      <c r="K324" s="49">
        <v>0</v>
      </c>
      <c r="L324" s="50">
        <v>0</v>
      </c>
      <c r="M324" s="51"/>
      <c r="N324" s="52" t="s">
        <v>1300</v>
      </c>
      <c r="O324" s="31"/>
      <c r="P324" s="53">
        <v>-0.19499346479302823</v>
      </c>
      <c r="Q324" s="54">
        <v>4</v>
      </c>
      <c r="R324" s="55">
        <v>0</v>
      </c>
      <c r="S324" s="55">
        <v>0</v>
      </c>
      <c r="T324" s="56">
        <v>0</v>
      </c>
      <c r="U324" s="57"/>
      <c r="V324" s="55">
        <v>0</v>
      </c>
      <c r="W324" s="55">
        <v>0</v>
      </c>
      <c r="X324" s="58">
        <v>0</v>
      </c>
      <c r="Y324" s="59">
        <v>0</v>
      </c>
      <c r="Z324" s="58">
        <v>0</v>
      </c>
      <c r="AA324" s="56">
        <v>0</v>
      </c>
      <c r="AB324" s="56">
        <v>0</v>
      </c>
      <c r="AC324" s="60">
        <v>46142</v>
      </c>
    </row>
    <row r="325" spans="1:29" x14ac:dyDescent="0.25">
      <c r="A325" s="43">
        <v>1009</v>
      </c>
      <c r="B325" s="44" t="s">
        <v>1292</v>
      </c>
      <c r="C325" s="45">
        <v>10090058</v>
      </c>
      <c r="D325" s="46" t="s">
        <v>690</v>
      </c>
      <c r="E325" s="47" t="s">
        <v>364</v>
      </c>
      <c r="F325" s="47" t="s">
        <v>58</v>
      </c>
      <c r="G325" s="62">
        <v>598.6</v>
      </c>
      <c r="H325" s="62">
        <v>26874.37</v>
      </c>
      <c r="I325" s="49">
        <v>0</v>
      </c>
      <c r="J325" s="49">
        <v>0</v>
      </c>
      <c r="K325" s="49">
        <v>0</v>
      </c>
      <c r="L325" s="50">
        <v>0</v>
      </c>
      <c r="M325" s="51"/>
      <c r="N325" s="52" t="s">
        <v>1300</v>
      </c>
      <c r="O325" s="31"/>
      <c r="P325" s="53">
        <v>1.331265289858061E-2</v>
      </c>
      <c r="Q325" s="54">
        <v>3</v>
      </c>
      <c r="R325" s="55">
        <v>0</v>
      </c>
      <c r="S325" s="55">
        <v>0</v>
      </c>
      <c r="T325" s="56">
        <v>0</v>
      </c>
      <c r="U325" s="57"/>
      <c r="V325" s="55">
        <v>0</v>
      </c>
      <c r="W325" s="55">
        <v>0</v>
      </c>
      <c r="X325" s="58">
        <v>0</v>
      </c>
      <c r="Y325" s="59">
        <v>0</v>
      </c>
      <c r="Z325" s="58">
        <v>0</v>
      </c>
      <c r="AA325" s="56">
        <v>0</v>
      </c>
      <c r="AB325" s="56">
        <v>0</v>
      </c>
      <c r="AC325" s="60">
        <v>46142</v>
      </c>
    </row>
    <row r="326" spans="1:29" x14ac:dyDescent="0.25">
      <c r="A326" s="43">
        <v>1009</v>
      </c>
      <c r="B326" s="44" t="s">
        <v>1292</v>
      </c>
      <c r="C326" s="45">
        <v>10090059</v>
      </c>
      <c r="D326" s="46" t="s">
        <v>691</v>
      </c>
      <c r="E326" s="47" t="s">
        <v>364</v>
      </c>
      <c r="F326" s="47" t="s">
        <v>58</v>
      </c>
      <c r="G326" s="62">
        <v>774.40000000000009</v>
      </c>
      <c r="H326" s="62">
        <v>30351.630000000005</v>
      </c>
      <c r="I326" s="49">
        <v>0</v>
      </c>
      <c r="J326" s="49">
        <v>13000</v>
      </c>
      <c r="K326" s="49">
        <v>0</v>
      </c>
      <c r="L326" s="50" t="s">
        <v>692</v>
      </c>
      <c r="M326" s="51" t="s">
        <v>410</v>
      </c>
      <c r="N326" s="52" t="s">
        <v>1300</v>
      </c>
      <c r="O326" s="31"/>
      <c r="P326" s="53">
        <v>-3.5190170728886534E-2</v>
      </c>
      <c r="Q326" s="54">
        <v>1</v>
      </c>
      <c r="R326" s="55">
        <v>13000</v>
      </c>
      <c r="S326" s="55">
        <v>13000</v>
      </c>
      <c r="T326" s="56">
        <v>0</v>
      </c>
      <c r="U326" s="57"/>
      <c r="V326" s="55">
        <v>0</v>
      </c>
      <c r="W326" s="55">
        <v>0</v>
      </c>
      <c r="X326" s="58">
        <v>0</v>
      </c>
      <c r="Y326" s="59">
        <v>0</v>
      </c>
      <c r="Z326" s="58">
        <v>0</v>
      </c>
      <c r="AA326" s="56">
        <v>0</v>
      </c>
      <c r="AB326" s="56">
        <v>0</v>
      </c>
      <c r="AC326" s="60">
        <v>46142</v>
      </c>
    </row>
    <row r="327" spans="1:29" x14ac:dyDescent="0.25">
      <c r="A327" s="43">
        <v>1009</v>
      </c>
      <c r="B327" s="44" t="s">
        <v>1292</v>
      </c>
      <c r="C327" s="45">
        <v>10090060</v>
      </c>
      <c r="D327" s="46" t="s">
        <v>693</v>
      </c>
      <c r="E327" s="47" t="s">
        <v>364</v>
      </c>
      <c r="F327" s="47" t="s">
        <v>58</v>
      </c>
      <c r="G327" s="62">
        <v>193.2</v>
      </c>
      <c r="H327" s="62">
        <v>8006.33</v>
      </c>
      <c r="I327" s="49">
        <v>0</v>
      </c>
      <c r="J327" s="49">
        <v>0</v>
      </c>
      <c r="K327" s="49">
        <v>11.290860000000052</v>
      </c>
      <c r="L327" s="50">
        <v>0</v>
      </c>
      <c r="M327" s="51"/>
      <c r="N327" s="52" t="s">
        <v>1300</v>
      </c>
      <c r="O327" s="31"/>
      <c r="P327" s="53">
        <v>-0.28016396846994818</v>
      </c>
      <c r="Q327" s="54">
        <v>1</v>
      </c>
      <c r="R327" s="55">
        <v>0</v>
      </c>
      <c r="S327" s="55">
        <v>0</v>
      </c>
      <c r="T327" s="56">
        <v>0</v>
      </c>
      <c r="U327" s="57"/>
      <c r="V327" s="55">
        <v>11.290860000000052</v>
      </c>
      <c r="W327" s="55">
        <v>0</v>
      </c>
      <c r="X327" s="58">
        <v>0</v>
      </c>
      <c r="Y327" s="59">
        <v>11.290860000000052</v>
      </c>
      <c r="Z327" s="58">
        <v>11.290860000000052</v>
      </c>
      <c r="AA327" s="56">
        <v>0</v>
      </c>
      <c r="AB327" s="56">
        <v>0</v>
      </c>
      <c r="AC327" s="60">
        <v>46142</v>
      </c>
    </row>
    <row r="328" spans="1:29" x14ac:dyDescent="0.25">
      <c r="A328" s="43">
        <v>1009</v>
      </c>
      <c r="B328" s="44" t="s">
        <v>1292</v>
      </c>
      <c r="C328" s="45">
        <v>10090061</v>
      </c>
      <c r="D328" s="46" t="s">
        <v>694</v>
      </c>
      <c r="E328" s="47" t="s">
        <v>364</v>
      </c>
      <c r="F328" s="47" t="s">
        <v>58</v>
      </c>
      <c r="G328" s="62">
        <v>150.1</v>
      </c>
      <c r="H328" s="62">
        <v>6559.3099999999995</v>
      </c>
      <c r="I328" s="49">
        <v>0</v>
      </c>
      <c r="J328" s="49">
        <v>0</v>
      </c>
      <c r="K328" s="49">
        <v>0</v>
      </c>
      <c r="L328" s="50">
        <v>0</v>
      </c>
      <c r="M328" s="51"/>
      <c r="N328" s="52" t="s">
        <v>1300</v>
      </c>
      <c r="O328" s="31"/>
      <c r="P328" s="53">
        <v>-0.22776156202710374</v>
      </c>
      <c r="Q328" s="54">
        <v>1</v>
      </c>
      <c r="R328" s="55">
        <v>0</v>
      </c>
      <c r="S328" s="55">
        <v>0</v>
      </c>
      <c r="T328" s="56">
        <v>0</v>
      </c>
      <c r="U328" s="57"/>
      <c r="V328" s="55">
        <v>0</v>
      </c>
      <c r="W328" s="55">
        <v>0</v>
      </c>
      <c r="X328" s="58">
        <v>0</v>
      </c>
      <c r="Y328" s="59">
        <v>0</v>
      </c>
      <c r="Z328" s="58">
        <v>0</v>
      </c>
      <c r="AA328" s="56">
        <v>0</v>
      </c>
      <c r="AB328" s="56">
        <v>0</v>
      </c>
      <c r="AC328" s="60">
        <v>46142</v>
      </c>
    </row>
    <row r="329" spans="1:29" x14ac:dyDescent="0.25">
      <c r="A329" s="43">
        <v>1009</v>
      </c>
      <c r="B329" s="44" t="s">
        <v>1292</v>
      </c>
      <c r="C329" s="45">
        <v>10090063</v>
      </c>
      <c r="D329" s="46" t="s">
        <v>695</v>
      </c>
      <c r="E329" s="47" t="s">
        <v>364</v>
      </c>
      <c r="F329" s="47" t="s">
        <v>58</v>
      </c>
      <c r="G329" s="62">
        <v>106.8</v>
      </c>
      <c r="H329" s="62">
        <v>4863.2199999999993</v>
      </c>
      <c r="I329" s="49">
        <v>0</v>
      </c>
      <c r="J329" s="49">
        <v>0</v>
      </c>
      <c r="K329" s="49">
        <v>255.20928000000009</v>
      </c>
      <c r="L329" s="50">
        <v>0</v>
      </c>
      <c r="M329" s="51"/>
      <c r="N329" s="52" t="s">
        <v>1300</v>
      </c>
      <c r="O329" s="31"/>
      <c r="P329" s="53">
        <v>-0.45726073862584882</v>
      </c>
      <c r="Q329" s="54">
        <v>1</v>
      </c>
      <c r="R329" s="55">
        <v>0</v>
      </c>
      <c r="S329" s="55">
        <v>0</v>
      </c>
      <c r="T329" s="56">
        <v>0</v>
      </c>
      <c r="U329" s="57"/>
      <c r="V329" s="55">
        <v>255.20928000000009</v>
      </c>
      <c r="W329" s="55">
        <v>0</v>
      </c>
      <c r="X329" s="58">
        <v>0</v>
      </c>
      <c r="Y329" s="59">
        <v>255.20928000000009</v>
      </c>
      <c r="Z329" s="58">
        <v>255.20928000000009</v>
      </c>
      <c r="AA329" s="56">
        <v>0</v>
      </c>
      <c r="AB329" s="56">
        <v>0</v>
      </c>
      <c r="AC329" s="60">
        <v>46142</v>
      </c>
    </row>
    <row r="330" spans="1:29" x14ac:dyDescent="0.25">
      <c r="A330" s="43">
        <v>1009</v>
      </c>
      <c r="B330" s="44" t="s">
        <v>1292</v>
      </c>
      <c r="C330" s="45">
        <v>10090064</v>
      </c>
      <c r="D330" s="46" t="s">
        <v>696</v>
      </c>
      <c r="E330" s="47" t="s">
        <v>364</v>
      </c>
      <c r="F330" s="47" t="s">
        <v>58</v>
      </c>
      <c r="G330" s="62">
        <v>418.4</v>
      </c>
      <c r="H330" s="62">
        <v>16668.12</v>
      </c>
      <c r="I330" s="49">
        <v>0</v>
      </c>
      <c r="J330" s="49">
        <v>0</v>
      </c>
      <c r="K330" s="49">
        <v>0</v>
      </c>
      <c r="L330" s="50">
        <v>0</v>
      </c>
      <c r="M330" s="51"/>
      <c r="N330" s="52" t="s">
        <v>1300</v>
      </c>
      <c r="O330" s="31"/>
      <c r="P330" s="53">
        <v>-3.3100862392744797E-2</v>
      </c>
      <c r="Q330" s="54">
        <v>1</v>
      </c>
      <c r="R330" s="55">
        <v>0</v>
      </c>
      <c r="S330" s="55">
        <v>0</v>
      </c>
      <c r="T330" s="56">
        <v>0</v>
      </c>
      <c r="U330" s="57"/>
      <c r="V330" s="55">
        <v>0</v>
      </c>
      <c r="W330" s="55">
        <v>0</v>
      </c>
      <c r="X330" s="58">
        <v>0</v>
      </c>
      <c r="Y330" s="59">
        <v>0</v>
      </c>
      <c r="Z330" s="58">
        <v>0</v>
      </c>
      <c r="AA330" s="56">
        <v>0</v>
      </c>
      <c r="AB330" s="56">
        <v>0</v>
      </c>
      <c r="AC330" s="60">
        <v>46142</v>
      </c>
    </row>
    <row r="331" spans="1:29" x14ac:dyDescent="0.25">
      <c r="A331" s="43">
        <v>1009</v>
      </c>
      <c r="B331" s="44" t="s">
        <v>1292</v>
      </c>
      <c r="C331" s="45">
        <v>10090065</v>
      </c>
      <c r="D331" s="46" t="s">
        <v>697</v>
      </c>
      <c r="E331" s="47" t="s">
        <v>364</v>
      </c>
      <c r="F331" s="47" t="s">
        <v>58</v>
      </c>
      <c r="G331" s="62">
        <v>488.2</v>
      </c>
      <c r="H331" s="62">
        <v>19762.23</v>
      </c>
      <c r="I331" s="49">
        <v>0</v>
      </c>
      <c r="J331" s="49">
        <v>0</v>
      </c>
      <c r="K331" s="49">
        <v>0</v>
      </c>
      <c r="L331" s="50">
        <v>0</v>
      </c>
      <c r="M331" s="51"/>
      <c r="N331" s="52" t="s">
        <v>1300</v>
      </c>
      <c r="O331" s="31"/>
      <c r="P331" s="53">
        <v>-1.0953354674288445E-2</v>
      </c>
      <c r="Q331" s="54">
        <v>2</v>
      </c>
      <c r="R331" s="55">
        <v>0</v>
      </c>
      <c r="S331" s="55">
        <v>0</v>
      </c>
      <c r="T331" s="56">
        <v>0</v>
      </c>
      <c r="U331" s="57"/>
      <c r="V331" s="55">
        <v>0</v>
      </c>
      <c r="W331" s="55">
        <v>0</v>
      </c>
      <c r="X331" s="58">
        <v>0</v>
      </c>
      <c r="Y331" s="59">
        <v>0</v>
      </c>
      <c r="Z331" s="58">
        <v>0</v>
      </c>
      <c r="AA331" s="56">
        <v>0</v>
      </c>
      <c r="AB331" s="56">
        <v>0</v>
      </c>
      <c r="AC331" s="60">
        <v>46142</v>
      </c>
    </row>
    <row r="332" spans="1:29" x14ac:dyDescent="0.25">
      <c r="A332" s="43">
        <v>1009</v>
      </c>
      <c r="B332" s="44" t="s">
        <v>1292</v>
      </c>
      <c r="C332" s="45">
        <v>10090072</v>
      </c>
      <c r="D332" s="46" t="s">
        <v>698</v>
      </c>
      <c r="E332" s="47" t="s">
        <v>364</v>
      </c>
      <c r="F332" s="47" t="s">
        <v>58</v>
      </c>
      <c r="G332" s="62">
        <v>430.70000000000005</v>
      </c>
      <c r="H332" s="62">
        <v>16239.869999999999</v>
      </c>
      <c r="I332" s="49">
        <v>0</v>
      </c>
      <c r="J332" s="49">
        <v>0</v>
      </c>
      <c r="K332" s="49">
        <v>0</v>
      </c>
      <c r="L332" s="50">
        <v>0</v>
      </c>
      <c r="M332" s="51"/>
      <c r="N332" s="52" t="s">
        <v>1300</v>
      </c>
      <c r="O332" s="31"/>
      <c r="P332" s="53">
        <v>-0.16292797761675459</v>
      </c>
      <c r="Q332" s="54">
        <v>2</v>
      </c>
      <c r="R332" s="55">
        <v>0</v>
      </c>
      <c r="S332" s="55">
        <v>0</v>
      </c>
      <c r="T332" s="56">
        <v>0</v>
      </c>
      <c r="U332" s="57"/>
      <c r="V332" s="55">
        <v>0</v>
      </c>
      <c r="W332" s="55">
        <v>0</v>
      </c>
      <c r="X332" s="58">
        <v>0</v>
      </c>
      <c r="Y332" s="59">
        <v>0</v>
      </c>
      <c r="Z332" s="58">
        <v>0</v>
      </c>
      <c r="AA332" s="56">
        <v>0</v>
      </c>
      <c r="AB332" s="56">
        <v>0</v>
      </c>
      <c r="AC332" s="60">
        <v>46142</v>
      </c>
    </row>
    <row r="333" spans="1:29" x14ac:dyDescent="0.25">
      <c r="A333" s="43">
        <v>1009</v>
      </c>
      <c r="B333" s="44" t="s">
        <v>1292</v>
      </c>
      <c r="C333" s="45">
        <v>10090074</v>
      </c>
      <c r="D333" s="46" t="s">
        <v>699</v>
      </c>
      <c r="E333" s="47" t="s">
        <v>364</v>
      </c>
      <c r="F333" s="47" t="s">
        <v>58</v>
      </c>
      <c r="G333" s="62">
        <v>553.09999999999991</v>
      </c>
      <c r="H333" s="62">
        <v>21361.97</v>
      </c>
      <c r="I333" s="49">
        <v>0</v>
      </c>
      <c r="J333" s="49">
        <v>0</v>
      </c>
      <c r="K333" s="49">
        <v>0</v>
      </c>
      <c r="L333" s="50">
        <v>0</v>
      </c>
      <c r="M333" s="51"/>
      <c r="N333" s="52" t="s">
        <v>1300</v>
      </c>
      <c r="O333" s="31"/>
      <c r="P333" s="53">
        <v>1.5987784188453983E-2</v>
      </c>
      <c r="Q333" s="54">
        <v>3</v>
      </c>
      <c r="R333" s="55">
        <v>0</v>
      </c>
      <c r="S333" s="55">
        <v>0</v>
      </c>
      <c r="T333" s="56">
        <v>0</v>
      </c>
      <c r="U333" s="57"/>
      <c r="V333" s="55">
        <v>0</v>
      </c>
      <c r="W333" s="55">
        <v>0</v>
      </c>
      <c r="X333" s="58">
        <v>0</v>
      </c>
      <c r="Y333" s="59">
        <v>0</v>
      </c>
      <c r="Z333" s="58">
        <v>0</v>
      </c>
      <c r="AA333" s="56">
        <v>0</v>
      </c>
      <c r="AB333" s="56">
        <v>0</v>
      </c>
      <c r="AC333" s="60">
        <v>46142</v>
      </c>
    </row>
    <row r="334" spans="1:29" x14ac:dyDescent="0.25">
      <c r="A334" s="43">
        <v>1009</v>
      </c>
      <c r="B334" s="44" t="s">
        <v>1292</v>
      </c>
      <c r="C334" s="45">
        <v>10090075</v>
      </c>
      <c r="D334" s="46" t="s">
        <v>700</v>
      </c>
      <c r="E334" s="47" t="s">
        <v>364</v>
      </c>
      <c r="F334" s="47" t="s">
        <v>58</v>
      </c>
      <c r="G334" s="62">
        <v>612.70000000000005</v>
      </c>
      <c r="H334" s="62">
        <v>24020.43</v>
      </c>
      <c r="I334" s="49">
        <v>0</v>
      </c>
      <c r="J334" s="49">
        <v>0</v>
      </c>
      <c r="K334" s="49">
        <v>0</v>
      </c>
      <c r="L334" s="50">
        <v>0</v>
      </c>
      <c r="M334" s="51"/>
      <c r="N334" s="52" t="s">
        <v>1300</v>
      </c>
      <c r="O334" s="31"/>
      <c r="P334" s="53">
        <v>-0.14977336779963407</v>
      </c>
      <c r="Q334" s="54">
        <v>3</v>
      </c>
      <c r="R334" s="55">
        <v>0</v>
      </c>
      <c r="S334" s="55">
        <v>0</v>
      </c>
      <c r="T334" s="56">
        <v>0</v>
      </c>
      <c r="U334" s="57"/>
      <c r="V334" s="55">
        <v>0</v>
      </c>
      <c r="W334" s="55">
        <v>0</v>
      </c>
      <c r="X334" s="58">
        <v>0</v>
      </c>
      <c r="Y334" s="59">
        <v>0</v>
      </c>
      <c r="Z334" s="58">
        <v>0</v>
      </c>
      <c r="AA334" s="56">
        <v>0</v>
      </c>
      <c r="AB334" s="56">
        <v>0</v>
      </c>
      <c r="AC334" s="60">
        <v>46142</v>
      </c>
    </row>
    <row r="335" spans="1:29" x14ac:dyDescent="0.25">
      <c r="A335" s="43">
        <v>1009</v>
      </c>
      <c r="B335" s="44" t="s">
        <v>1292</v>
      </c>
      <c r="C335" s="45">
        <v>10090076</v>
      </c>
      <c r="D335" s="46" t="s">
        <v>701</v>
      </c>
      <c r="E335" s="47" t="s">
        <v>371</v>
      </c>
      <c r="F335" s="47" t="s">
        <v>59</v>
      </c>
      <c r="G335" s="62">
        <v>14200</v>
      </c>
      <c r="H335" s="62">
        <v>521405</v>
      </c>
      <c r="I335" s="49">
        <v>0</v>
      </c>
      <c r="J335" s="49">
        <v>0</v>
      </c>
      <c r="K335" s="49">
        <v>0</v>
      </c>
      <c r="L335" s="50">
        <v>0</v>
      </c>
      <c r="M335" s="51"/>
      <c r="N335" s="52" t="s">
        <v>1300</v>
      </c>
      <c r="O335" s="31"/>
      <c r="P335" s="53">
        <v>0</v>
      </c>
      <c r="Q335" s="54">
        <v>0</v>
      </c>
      <c r="R335" s="55">
        <v>0</v>
      </c>
      <c r="S335" s="55">
        <v>0</v>
      </c>
      <c r="T335" s="56">
        <v>0</v>
      </c>
      <c r="U335" s="57"/>
      <c r="V335" s="55">
        <v>0</v>
      </c>
      <c r="W335" s="55">
        <v>0</v>
      </c>
      <c r="X335" s="58">
        <v>0</v>
      </c>
      <c r="Y335" s="59">
        <v>0</v>
      </c>
      <c r="Z335" s="58">
        <v>0</v>
      </c>
      <c r="AA335" s="56">
        <v>0</v>
      </c>
      <c r="AB335" s="56">
        <v>0</v>
      </c>
      <c r="AC335" s="60">
        <v>46142</v>
      </c>
    </row>
    <row r="336" spans="1:29" x14ac:dyDescent="0.25">
      <c r="A336" s="43">
        <v>1009</v>
      </c>
      <c r="B336" s="44" t="s">
        <v>1292</v>
      </c>
      <c r="C336" s="45">
        <v>10090077</v>
      </c>
      <c r="D336" s="46" t="s">
        <v>702</v>
      </c>
      <c r="E336" s="47" t="s">
        <v>371</v>
      </c>
      <c r="F336" s="47" t="s">
        <v>59</v>
      </c>
      <c r="G336" s="62">
        <v>14200</v>
      </c>
      <c r="H336" s="62">
        <v>522895</v>
      </c>
      <c r="I336" s="49">
        <v>0</v>
      </c>
      <c r="J336" s="49">
        <v>0</v>
      </c>
      <c r="K336" s="49">
        <v>0</v>
      </c>
      <c r="L336" s="50">
        <v>0</v>
      </c>
      <c r="M336" s="51"/>
      <c r="N336" s="52" t="s">
        <v>1300</v>
      </c>
      <c r="O336" s="31"/>
      <c r="P336" s="53">
        <v>0</v>
      </c>
      <c r="Q336" s="54">
        <v>0</v>
      </c>
      <c r="R336" s="55">
        <v>0</v>
      </c>
      <c r="S336" s="55">
        <v>0</v>
      </c>
      <c r="T336" s="56">
        <v>0</v>
      </c>
      <c r="U336" s="57"/>
      <c r="V336" s="55">
        <v>0</v>
      </c>
      <c r="W336" s="55">
        <v>0</v>
      </c>
      <c r="X336" s="58">
        <v>0</v>
      </c>
      <c r="Y336" s="59">
        <v>0</v>
      </c>
      <c r="Z336" s="58">
        <v>0</v>
      </c>
      <c r="AA336" s="56">
        <v>0</v>
      </c>
      <c r="AB336" s="56">
        <v>0</v>
      </c>
      <c r="AC336" s="60">
        <v>46142</v>
      </c>
    </row>
    <row r="337" spans="1:29" x14ac:dyDescent="0.25">
      <c r="A337" s="43">
        <v>1009</v>
      </c>
      <c r="B337" s="44" t="s">
        <v>1292</v>
      </c>
      <c r="C337" s="45">
        <v>10090078</v>
      </c>
      <c r="D337" s="46" t="s">
        <v>703</v>
      </c>
      <c r="E337" s="47" t="s">
        <v>364</v>
      </c>
      <c r="F337" s="47" t="s">
        <v>58</v>
      </c>
      <c r="G337" s="62">
        <v>322.59999999999997</v>
      </c>
      <c r="H337" s="62">
        <v>11872.210000000003</v>
      </c>
      <c r="I337" s="49">
        <v>0</v>
      </c>
      <c r="J337" s="49">
        <v>0</v>
      </c>
      <c r="K337" s="49">
        <v>0</v>
      </c>
      <c r="L337" s="50">
        <v>0</v>
      </c>
      <c r="M337" s="51"/>
      <c r="N337" s="52" t="s">
        <v>1300</v>
      </c>
      <c r="O337" s="31"/>
      <c r="P337" s="53">
        <v>-0.10532278323917743</v>
      </c>
      <c r="Q337" s="54">
        <v>1</v>
      </c>
      <c r="R337" s="55">
        <v>0</v>
      </c>
      <c r="S337" s="55">
        <v>0</v>
      </c>
      <c r="T337" s="56">
        <v>0</v>
      </c>
      <c r="U337" s="57"/>
      <c r="V337" s="55">
        <v>0</v>
      </c>
      <c r="W337" s="55">
        <v>0</v>
      </c>
      <c r="X337" s="58">
        <v>0</v>
      </c>
      <c r="Y337" s="59">
        <v>0</v>
      </c>
      <c r="Z337" s="58">
        <v>0</v>
      </c>
      <c r="AA337" s="56">
        <v>0</v>
      </c>
      <c r="AB337" s="56">
        <v>0</v>
      </c>
      <c r="AC337" s="60">
        <v>46142</v>
      </c>
    </row>
    <row r="338" spans="1:29" x14ac:dyDescent="0.25">
      <c r="A338" s="43">
        <v>1009</v>
      </c>
      <c r="B338" s="44" t="s">
        <v>1292</v>
      </c>
      <c r="C338" s="45">
        <v>10090079</v>
      </c>
      <c r="D338" s="46" t="s">
        <v>704</v>
      </c>
      <c r="E338" s="47" t="s">
        <v>364</v>
      </c>
      <c r="F338" s="47" t="s">
        <v>58</v>
      </c>
      <c r="G338" s="62">
        <v>329.7</v>
      </c>
      <c r="H338" s="62">
        <v>11943.259999999997</v>
      </c>
      <c r="I338" s="49">
        <v>0</v>
      </c>
      <c r="J338" s="49">
        <v>0</v>
      </c>
      <c r="K338" s="49">
        <v>0</v>
      </c>
      <c r="L338" s="50">
        <v>0</v>
      </c>
      <c r="M338" s="51"/>
      <c r="N338" s="52" t="s">
        <v>1300</v>
      </c>
      <c r="O338" s="31"/>
      <c r="P338" s="53">
        <v>-0.16058478272431528</v>
      </c>
      <c r="Q338" s="54">
        <v>1</v>
      </c>
      <c r="R338" s="55">
        <v>0</v>
      </c>
      <c r="S338" s="55">
        <v>0</v>
      </c>
      <c r="T338" s="56">
        <v>0</v>
      </c>
      <c r="U338" s="57"/>
      <c r="V338" s="55">
        <v>0</v>
      </c>
      <c r="W338" s="55">
        <v>0</v>
      </c>
      <c r="X338" s="58">
        <v>0</v>
      </c>
      <c r="Y338" s="59">
        <v>0</v>
      </c>
      <c r="Z338" s="58">
        <v>0</v>
      </c>
      <c r="AA338" s="56">
        <v>0</v>
      </c>
      <c r="AB338" s="56">
        <v>0</v>
      </c>
      <c r="AC338" s="60">
        <v>46142</v>
      </c>
    </row>
    <row r="339" spans="1:29" x14ac:dyDescent="0.25">
      <c r="A339" s="43">
        <v>1009</v>
      </c>
      <c r="B339" s="44" t="s">
        <v>1292</v>
      </c>
      <c r="C339" s="45">
        <v>10090080</v>
      </c>
      <c r="D339" s="46" t="s">
        <v>705</v>
      </c>
      <c r="E339" s="47" t="s">
        <v>364</v>
      </c>
      <c r="F339" s="47" t="s">
        <v>58</v>
      </c>
      <c r="G339" s="62">
        <v>188.20000000000002</v>
      </c>
      <c r="H339" s="62">
        <v>8299.119999999999</v>
      </c>
      <c r="I339" s="49">
        <v>0</v>
      </c>
      <c r="J339" s="49">
        <v>0</v>
      </c>
      <c r="K339" s="49">
        <v>0</v>
      </c>
      <c r="L339" s="50">
        <v>0</v>
      </c>
      <c r="M339" s="51"/>
      <c r="N339" s="52" t="s">
        <v>1300</v>
      </c>
      <c r="O339" s="31"/>
      <c r="P339" s="53">
        <v>-1.4781052554969752E-2</v>
      </c>
      <c r="Q339" s="54">
        <v>1</v>
      </c>
      <c r="R339" s="55">
        <v>0</v>
      </c>
      <c r="S339" s="55">
        <v>0</v>
      </c>
      <c r="T339" s="56">
        <v>0</v>
      </c>
      <c r="U339" s="57"/>
      <c r="V339" s="55">
        <v>0</v>
      </c>
      <c r="W339" s="55">
        <v>0</v>
      </c>
      <c r="X339" s="58">
        <v>0</v>
      </c>
      <c r="Y339" s="59">
        <v>0</v>
      </c>
      <c r="Z339" s="58">
        <v>0</v>
      </c>
      <c r="AA339" s="56">
        <v>0</v>
      </c>
      <c r="AB339" s="56">
        <v>0</v>
      </c>
      <c r="AC339" s="60">
        <v>46142</v>
      </c>
    </row>
    <row r="340" spans="1:29" x14ac:dyDescent="0.25">
      <c r="A340" s="43">
        <v>1010</v>
      </c>
      <c r="B340" s="44" t="s">
        <v>1290</v>
      </c>
      <c r="C340" s="45">
        <v>10100001</v>
      </c>
      <c r="D340" s="46" t="s">
        <v>706</v>
      </c>
      <c r="E340" s="47" t="s">
        <v>364</v>
      </c>
      <c r="F340" s="47" t="s">
        <v>58</v>
      </c>
      <c r="G340" s="62">
        <v>946.0999999999998</v>
      </c>
      <c r="H340" s="62">
        <v>35653.97</v>
      </c>
      <c r="I340" s="49">
        <v>0</v>
      </c>
      <c r="J340" s="49">
        <v>0</v>
      </c>
      <c r="K340" s="49">
        <v>0</v>
      </c>
      <c r="L340" s="50" t="s">
        <v>692</v>
      </c>
      <c r="M340" s="51" t="s">
        <v>367</v>
      </c>
      <c r="N340" s="52" t="s">
        <v>1300</v>
      </c>
      <c r="O340" s="31"/>
      <c r="P340" s="53">
        <v>-4.8473327530505157E-2</v>
      </c>
      <c r="Q340" s="54">
        <v>12</v>
      </c>
      <c r="R340" s="55">
        <v>0</v>
      </c>
      <c r="S340" s="55">
        <v>0</v>
      </c>
      <c r="T340" s="56">
        <v>0</v>
      </c>
      <c r="U340" s="57"/>
      <c r="V340" s="55">
        <v>0</v>
      </c>
      <c r="W340" s="55">
        <v>0</v>
      </c>
      <c r="X340" s="58">
        <v>0</v>
      </c>
      <c r="Y340" s="59">
        <v>0</v>
      </c>
      <c r="Z340" s="58">
        <v>0</v>
      </c>
      <c r="AA340" s="56">
        <v>0</v>
      </c>
      <c r="AB340" s="56">
        <v>0</v>
      </c>
      <c r="AC340" s="60">
        <v>46142</v>
      </c>
    </row>
    <row r="341" spans="1:29" x14ac:dyDescent="0.25">
      <c r="A341" s="43">
        <v>1010</v>
      </c>
      <c r="B341" s="44" t="s">
        <v>1290</v>
      </c>
      <c r="C341" s="45">
        <v>10100003</v>
      </c>
      <c r="D341" s="46" t="s">
        <v>707</v>
      </c>
      <c r="E341" s="47" t="s">
        <v>364</v>
      </c>
      <c r="F341" s="47" t="s">
        <v>58</v>
      </c>
      <c r="G341" s="62">
        <v>1548.8</v>
      </c>
      <c r="H341" s="62">
        <v>58096.009999999987</v>
      </c>
      <c r="I341" s="49">
        <v>0</v>
      </c>
      <c r="J341" s="49">
        <v>13000</v>
      </c>
      <c r="K341" s="49">
        <v>0</v>
      </c>
      <c r="L341" s="50">
        <v>0</v>
      </c>
      <c r="M341" s="51"/>
      <c r="N341" s="52" t="s">
        <v>1300</v>
      </c>
      <c r="O341" s="31"/>
      <c r="P341" s="53">
        <v>-0.19268209224569852</v>
      </c>
      <c r="Q341" s="54">
        <v>5</v>
      </c>
      <c r="R341" s="55">
        <v>0</v>
      </c>
      <c r="S341" s="55">
        <v>0</v>
      </c>
      <c r="T341" s="56">
        <v>0</v>
      </c>
      <c r="U341" s="57"/>
      <c r="V341" s="55">
        <v>0</v>
      </c>
      <c r="W341" s="55">
        <v>0</v>
      </c>
      <c r="X341" s="58">
        <v>0</v>
      </c>
      <c r="Y341" s="59">
        <v>0</v>
      </c>
      <c r="Z341" s="58">
        <v>0</v>
      </c>
      <c r="AA341" s="56">
        <v>0</v>
      </c>
      <c r="AB341" s="56">
        <v>0</v>
      </c>
      <c r="AC341" s="60">
        <v>46142</v>
      </c>
    </row>
    <row r="342" spans="1:29" x14ac:dyDescent="0.25">
      <c r="A342" s="43">
        <v>1010</v>
      </c>
      <c r="B342" s="44" t="s">
        <v>1290</v>
      </c>
      <c r="C342" s="45">
        <v>10100004</v>
      </c>
      <c r="D342" s="46" t="s">
        <v>708</v>
      </c>
      <c r="E342" s="47" t="s">
        <v>371</v>
      </c>
      <c r="F342" s="47" t="s">
        <v>59</v>
      </c>
      <c r="G342" s="62">
        <v>134.4</v>
      </c>
      <c r="H342" s="62">
        <v>4485</v>
      </c>
      <c r="I342" s="49">
        <v>0</v>
      </c>
      <c r="J342" s="49">
        <v>0</v>
      </c>
      <c r="K342" s="49">
        <v>0</v>
      </c>
      <c r="L342" s="50">
        <v>0</v>
      </c>
      <c r="M342" s="51"/>
      <c r="N342" s="52" t="s">
        <v>1300</v>
      </c>
      <c r="O342" s="31"/>
      <c r="P342" s="53">
        <v>0</v>
      </c>
      <c r="Q342" s="54">
        <v>0</v>
      </c>
      <c r="R342" s="55">
        <v>0</v>
      </c>
      <c r="S342" s="55">
        <v>0</v>
      </c>
      <c r="T342" s="56">
        <v>0</v>
      </c>
      <c r="U342" s="57"/>
      <c r="V342" s="55">
        <v>0</v>
      </c>
      <c r="W342" s="55">
        <v>0</v>
      </c>
      <c r="X342" s="58">
        <v>0</v>
      </c>
      <c r="Y342" s="59">
        <v>0</v>
      </c>
      <c r="Z342" s="58">
        <v>0</v>
      </c>
      <c r="AA342" s="56">
        <v>0</v>
      </c>
      <c r="AB342" s="56">
        <v>0</v>
      </c>
      <c r="AC342" s="60">
        <v>46142</v>
      </c>
    </row>
    <row r="343" spans="1:29" x14ac:dyDescent="0.25">
      <c r="A343" s="43">
        <v>1010</v>
      </c>
      <c r="B343" s="44" t="s">
        <v>1290</v>
      </c>
      <c r="C343" s="45">
        <v>10100009</v>
      </c>
      <c r="D343" s="46" t="s">
        <v>709</v>
      </c>
      <c r="E343" s="47" t="s">
        <v>364</v>
      </c>
      <c r="F343" s="47" t="s">
        <v>58</v>
      </c>
      <c r="G343" s="62">
        <v>1142.9000000000001</v>
      </c>
      <c r="H343" s="62">
        <v>44885.89</v>
      </c>
      <c r="I343" s="49">
        <v>0</v>
      </c>
      <c r="J343" s="49">
        <v>0</v>
      </c>
      <c r="K343" s="49">
        <v>0</v>
      </c>
      <c r="L343" s="50">
        <v>0</v>
      </c>
      <c r="M343" s="51"/>
      <c r="N343" s="52" t="s">
        <v>1300</v>
      </c>
      <c r="O343" s="31"/>
      <c r="P343" s="53">
        <v>-0.1031849240080448</v>
      </c>
      <c r="Q343" s="54">
        <v>6</v>
      </c>
      <c r="R343" s="55">
        <v>0</v>
      </c>
      <c r="S343" s="55">
        <v>0</v>
      </c>
      <c r="T343" s="56">
        <v>0</v>
      </c>
      <c r="U343" s="57"/>
      <c r="V343" s="55">
        <v>0</v>
      </c>
      <c r="W343" s="55">
        <v>0</v>
      </c>
      <c r="X343" s="58">
        <v>0</v>
      </c>
      <c r="Y343" s="59">
        <v>0</v>
      </c>
      <c r="Z343" s="58">
        <v>0</v>
      </c>
      <c r="AA343" s="56">
        <v>0</v>
      </c>
      <c r="AB343" s="56">
        <v>0</v>
      </c>
      <c r="AC343" s="60">
        <v>46142</v>
      </c>
    </row>
    <row r="344" spans="1:29" x14ac:dyDescent="0.25">
      <c r="A344" s="43">
        <v>1010</v>
      </c>
      <c r="B344" s="44" t="s">
        <v>1290</v>
      </c>
      <c r="C344" s="45">
        <v>10100014</v>
      </c>
      <c r="D344" s="46" t="s">
        <v>710</v>
      </c>
      <c r="E344" s="47" t="s">
        <v>364</v>
      </c>
      <c r="F344" s="47" t="s">
        <v>58</v>
      </c>
      <c r="G344" s="62">
        <v>379.6</v>
      </c>
      <c r="H344" s="62">
        <v>14536.68</v>
      </c>
      <c r="I344" s="49">
        <v>0</v>
      </c>
      <c r="J344" s="49">
        <v>0</v>
      </c>
      <c r="K344" s="49">
        <v>0</v>
      </c>
      <c r="L344" s="50" t="s">
        <v>409</v>
      </c>
      <c r="M344" s="51" t="s">
        <v>367</v>
      </c>
      <c r="N344" s="52" t="s">
        <v>1300</v>
      </c>
      <c r="O344" s="31"/>
      <c r="P344" s="53">
        <v>-7.1081667605808238E-2</v>
      </c>
      <c r="Q344" s="54">
        <v>5</v>
      </c>
      <c r="R344" s="55">
        <v>0</v>
      </c>
      <c r="S344" s="55">
        <v>0</v>
      </c>
      <c r="T344" s="56">
        <v>0</v>
      </c>
      <c r="U344" s="57"/>
      <c r="V344" s="55">
        <v>0</v>
      </c>
      <c r="W344" s="55">
        <v>0</v>
      </c>
      <c r="X344" s="58">
        <v>0</v>
      </c>
      <c r="Y344" s="59">
        <v>0</v>
      </c>
      <c r="Z344" s="58">
        <v>0</v>
      </c>
      <c r="AA344" s="56">
        <v>0</v>
      </c>
      <c r="AB344" s="56">
        <v>0</v>
      </c>
      <c r="AC344" s="60">
        <v>46142</v>
      </c>
    </row>
    <row r="345" spans="1:29" x14ac:dyDescent="0.25">
      <c r="A345" s="43">
        <v>1010</v>
      </c>
      <c r="B345" s="44" t="s">
        <v>1290</v>
      </c>
      <c r="C345" s="45">
        <v>10100016</v>
      </c>
      <c r="D345" s="46" t="s">
        <v>711</v>
      </c>
      <c r="E345" s="47" t="s">
        <v>364</v>
      </c>
      <c r="F345" s="47" t="s">
        <v>58</v>
      </c>
      <c r="G345" s="62">
        <v>117.2</v>
      </c>
      <c r="H345" s="62">
        <v>4773.2699999999995</v>
      </c>
      <c r="I345" s="49">
        <v>0</v>
      </c>
      <c r="J345" s="49">
        <v>0</v>
      </c>
      <c r="K345" s="49">
        <v>0</v>
      </c>
      <c r="L345" s="50">
        <v>0</v>
      </c>
      <c r="M345" s="51"/>
      <c r="N345" s="52" t="s">
        <v>1300</v>
      </c>
      <c r="O345" s="31"/>
      <c r="P345" s="53">
        <v>-5.6410910759291041E-2</v>
      </c>
      <c r="Q345" s="54">
        <v>2</v>
      </c>
      <c r="R345" s="55">
        <v>0</v>
      </c>
      <c r="S345" s="55">
        <v>0</v>
      </c>
      <c r="T345" s="56">
        <v>0</v>
      </c>
      <c r="U345" s="57"/>
      <c r="V345" s="55">
        <v>0</v>
      </c>
      <c r="W345" s="55">
        <v>0</v>
      </c>
      <c r="X345" s="58">
        <v>0</v>
      </c>
      <c r="Y345" s="59">
        <v>0</v>
      </c>
      <c r="Z345" s="58">
        <v>0</v>
      </c>
      <c r="AA345" s="56">
        <v>0</v>
      </c>
      <c r="AB345" s="56">
        <v>0</v>
      </c>
      <c r="AC345" s="60">
        <v>46142</v>
      </c>
    </row>
    <row r="346" spans="1:29" x14ac:dyDescent="0.25">
      <c r="A346" s="43">
        <v>1010</v>
      </c>
      <c r="B346" s="44" t="s">
        <v>1290</v>
      </c>
      <c r="C346" s="45">
        <v>10100021</v>
      </c>
      <c r="D346" s="46" t="s">
        <v>712</v>
      </c>
      <c r="E346" s="47" t="s">
        <v>364</v>
      </c>
      <c r="F346" s="47" t="s">
        <v>58</v>
      </c>
      <c r="G346" s="62">
        <v>521.20000000000005</v>
      </c>
      <c r="H346" s="62">
        <v>19297.43</v>
      </c>
      <c r="I346" s="49">
        <v>0</v>
      </c>
      <c r="J346" s="49">
        <v>0</v>
      </c>
      <c r="K346" s="49">
        <v>0</v>
      </c>
      <c r="L346" s="50">
        <v>0</v>
      </c>
      <c r="M346" s="51"/>
      <c r="N346" s="52" t="s">
        <v>1300</v>
      </c>
      <c r="O346" s="31"/>
      <c r="P346" s="53">
        <v>-0.11906054650800665</v>
      </c>
      <c r="Q346" s="54">
        <v>1</v>
      </c>
      <c r="R346" s="55">
        <v>0</v>
      </c>
      <c r="S346" s="55">
        <v>0</v>
      </c>
      <c r="T346" s="56">
        <v>0</v>
      </c>
      <c r="U346" s="57"/>
      <c r="V346" s="55">
        <v>0</v>
      </c>
      <c r="W346" s="55">
        <v>0</v>
      </c>
      <c r="X346" s="58">
        <v>0</v>
      </c>
      <c r="Y346" s="59">
        <v>0</v>
      </c>
      <c r="Z346" s="58">
        <v>0</v>
      </c>
      <c r="AA346" s="56">
        <v>0</v>
      </c>
      <c r="AB346" s="56">
        <v>0</v>
      </c>
      <c r="AC346" s="60">
        <v>46142</v>
      </c>
    </row>
    <row r="347" spans="1:29" x14ac:dyDescent="0.25">
      <c r="A347" s="43">
        <v>1010</v>
      </c>
      <c r="B347" s="44" t="s">
        <v>1290</v>
      </c>
      <c r="C347" s="45">
        <v>10100026</v>
      </c>
      <c r="D347" s="46" t="s">
        <v>713</v>
      </c>
      <c r="E347" s="47" t="s">
        <v>371</v>
      </c>
      <c r="F347" s="47" t="s">
        <v>59</v>
      </c>
      <c r="G347" s="62">
        <v>300.8</v>
      </c>
      <c r="H347" s="62">
        <v>10205.650000000001</v>
      </c>
      <c r="I347" s="49">
        <v>0</v>
      </c>
      <c r="J347" s="49">
        <v>0</v>
      </c>
      <c r="K347" s="49">
        <v>1059.21810967742</v>
      </c>
      <c r="L347" s="50">
        <v>0</v>
      </c>
      <c r="M347" s="51"/>
      <c r="N347" s="52" t="s">
        <v>1300</v>
      </c>
      <c r="O347" s="31"/>
      <c r="P347" s="53">
        <v>0</v>
      </c>
      <c r="Q347" s="54">
        <v>0</v>
      </c>
      <c r="R347" s="55">
        <v>0</v>
      </c>
      <c r="S347" s="55">
        <v>0</v>
      </c>
      <c r="T347" s="56">
        <v>0</v>
      </c>
      <c r="U347" s="57"/>
      <c r="V347" s="55">
        <v>1059.21810967742</v>
      </c>
      <c r="W347" s="55">
        <v>0</v>
      </c>
      <c r="X347" s="58">
        <v>0</v>
      </c>
      <c r="Y347" s="59">
        <v>1059.21810967742</v>
      </c>
      <c r="Z347" s="58">
        <v>1059.21810967742</v>
      </c>
      <c r="AA347" s="56">
        <v>0</v>
      </c>
      <c r="AB347" s="56">
        <v>0</v>
      </c>
      <c r="AC347" s="60">
        <v>46142</v>
      </c>
    </row>
    <row r="348" spans="1:29" x14ac:dyDescent="0.25">
      <c r="A348" s="43">
        <v>1007</v>
      </c>
      <c r="B348" s="44" t="s">
        <v>592</v>
      </c>
      <c r="C348" s="45">
        <v>10100033</v>
      </c>
      <c r="D348" s="46" t="s">
        <v>714</v>
      </c>
      <c r="E348" s="47" t="s">
        <v>371</v>
      </c>
      <c r="F348" s="47" t="s">
        <v>59</v>
      </c>
      <c r="G348" s="62">
        <v>72.099999999999994</v>
      </c>
      <c r="H348" s="62">
        <v>2597.8999999999996</v>
      </c>
      <c r="I348" s="49">
        <v>0</v>
      </c>
      <c r="J348" s="49">
        <v>0</v>
      </c>
      <c r="K348" s="49">
        <v>0</v>
      </c>
      <c r="L348" s="50">
        <v>0</v>
      </c>
      <c r="M348" s="51"/>
      <c r="N348" s="52" t="s">
        <v>1300</v>
      </c>
      <c r="O348" s="31"/>
      <c r="P348" s="53">
        <v>0</v>
      </c>
      <c r="Q348" s="54">
        <v>0</v>
      </c>
      <c r="R348" s="55">
        <v>0</v>
      </c>
      <c r="S348" s="55">
        <v>0</v>
      </c>
      <c r="T348" s="56">
        <v>0</v>
      </c>
      <c r="U348" s="57"/>
      <c r="V348" s="55">
        <v>0</v>
      </c>
      <c r="W348" s="55">
        <v>0</v>
      </c>
      <c r="X348" s="58">
        <v>0</v>
      </c>
      <c r="Y348" s="59">
        <v>0</v>
      </c>
      <c r="Z348" s="58">
        <v>0</v>
      </c>
      <c r="AA348" s="56">
        <v>0</v>
      </c>
      <c r="AB348" s="56">
        <v>0</v>
      </c>
      <c r="AC348" s="60">
        <v>46142</v>
      </c>
    </row>
    <row r="349" spans="1:29" x14ac:dyDescent="0.25">
      <c r="A349" s="43">
        <v>1007</v>
      </c>
      <c r="B349" s="44" t="s">
        <v>592</v>
      </c>
      <c r="C349" s="45">
        <v>10100037</v>
      </c>
      <c r="D349" s="46" t="s">
        <v>715</v>
      </c>
      <c r="E349" s="47" t="s">
        <v>364</v>
      </c>
      <c r="F349" s="47" t="s">
        <v>58</v>
      </c>
      <c r="G349" s="62">
        <v>169.4</v>
      </c>
      <c r="H349" s="62">
        <v>8400.7800000000007</v>
      </c>
      <c r="I349" s="49">
        <v>0</v>
      </c>
      <c r="J349" s="49">
        <v>0</v>
      </c>
      <c r="K349" s="49">
        <v>0</v>
      </c>
      <c r="L349" s="50">
        <v>0</v>
      </c>
      <c r="M349" s="51"/>
      <c r="N349" s="52" t="s">
        <v>1300</v>
      </c>
      <c r="O349" s="31"/>
      <c r="P349" s="53">
        <v>-0.24687459493945793</v>
      </c>
      <c r="Q349" s="54">
        <v>2</v>
      </c>
      <c r="R349" s="55">
        <v>0</v>
      </c>
      <c r="S349" s="55">
        <v>0</v>
      </c>
      <c r="T349" s="56">
        <v>0</v>
      </c>
      <c r="U349" s="57"/>
      <c r="V349" s="55">
        <v>0</v>
      </c>
      <c r="W349" s="55">
        <v>0</v>
      </c>
      <c r="X349" s="58">
        <v>0</v>
      </c>
      <c r="Y349" s="59">
        <v>0</v>
      </c>
      <c r="Z349" s="58">
        <v>0</v>
      </c>
      <c r="AA349" s="56">
        <v>0</v>
      </c>
      <c r="AB349" s="56">
        <v>0</v>
      </c>
      <c r="AC349" s="60">
        <v>46142</v>
      </c>
    </row>
    <row r="350" spans="1:29" x14ac:dyDescent="0.25">
      <c r="A350" s="43">
        <v>1007</v>
      </c>
      <c r="B350" s="44" t="s">
        <v>592</v>
      </c>
      <c r="C350" s="45">
        <v>10100044</v>
      </c>
      <c r="D350" s="46" t="s">
        <v>716</v>
      </c>
      <c r="E350" s="47" t="s">
        <v>371</v>
      </c>
      <c r="F350" s="47" t="s">
        <v>59</v>
      </c>
      <c r="G350" s="62">
        <v>1135.7</v>
      </c>
      <c r="H350" s="62">
        <v>41655.479999999996</v>
      </c>
      <c r="I350" s="49">
        <v>0</v>
      </c>
      <c r="J350" s="49">
        <v>0</v>
      </c>
      <c r="K350" s="49">
        <v>0</v>
      </c>
      <c r="L350" s="50">
        <v>0</v>
      </c>
      <c r="M350" s="51"/>
      <c r="N350" s="52" t="s">
        <v>1300</v>
      </c>
      <c r="O350" s="31"/>
      <c r="P350" s="53">
        <v>0</v>
      </c>
      <c r="Q350" s="54">
        <v>0</v>
      </c>
      <c r="R350" s="55">
        <v>0</v>
      </c>
      <c r="S350" s="55">
        <v>0</v>
      </c>
      <c r="T350" s="56">
        <v>0</v>
      </c>
      <c r="U350" s="57"/>
      <c r="V350" s="55">
        <v>0</v>
      </c>
      <c r="W350" s="55">
        <v>0</v>
      </c>
      <c r="X350" s="58">
        <v>0</v>
      </c>
      <c r="Y350" s="59">
        <v>0</v>
      </c>
      <c r="Z350" s="58">
        <v>0</v>
      </c>
      <c r="AA350" s="56">
        <v>0</v>
      </c>
      <c r="AB350" s="56">
        <v>0</v>
      </c>
      <c r="AC350" s="60">
        <v>46142</v>
      </c>
    </row>
    <row r="351" spans="1:29" x14ac:dyDescent="0.25">
      <c r="A351" s="43">
        <v>1007</v>
      </c>
      <c r="B351" s="44" t="s">
        <v>592</v>
      </c>
      <c r="C351" s="45">
        <v>10100049</v>
      </c>
      <c r="D351" s="46" t="s">
        <v>717</v>
      </c>
      <c r="E351" s="47" t="s">
        <v>364</v>
      </c>
      <c r="F351" s="47" t="s">
        <v>58</v>
      </c>
      <c r="G351" s="62">
        <v>225.8</v>
      </c>
      <c r="H351" s="62">
        <v>8158.92</v>
      </c>
      <c r="I351" s="49">
        <v>0</v>
      </c>
      <c r="J351" s="49">
        <v>0</v>
      </c>
      <c r="K351" s="49">
        <v>333.85</v>
      </c>
      <c r="L351" s="50" t="s">
        <v>366</v>
      </c>
      <c r="M351" s="51" t="s">
        <v>367</v>
      </c>
      <c r="N351" s="52" t="s">
        <v>1300</v>
      </c>
      <c r="O351" s="31"/>
      <c r="P351" s="53">
        <v>0.44231929881896126</v>
      </c>
      <c r="Q351" s="54">
        <v>1</v>
      </c>
      <c r="R351" s="55">
        <v>0</v>
      </c>
      <c r="S351" s="55">
        <v>0</v>
      </c>
      <c r="T351" s="56">
        <v>0</v>
      </c>
      <c r="U351" s="57"/>
      <c r="V351" s="55">
        <v>333.84999310344836</v>
      </c>
      <c r="W351" s="55">
        <v>0</v>
      </c>
      <c r="X351" s="58">
        <v>0</v>
      </c>
      <c r="Y351" s="59">
        <v>333.84999310344836</v>
      </c>
      <c r="Z351" s="58">
        <v>333.85</v>
      </c>
      <c r="AA351" s="56">
        <v>6.8965516675234539E-6</v>
      </c>
      <c r="AB351" s="56">
        <v>6.8965516675234539E-6</v>
      </c>
      <c r="AC351" s="60">
        <v>46142</v>
      </c>
    </row>
    <row r="352" spans="1:29" x14ac:dyDescent="0.25">
      <c r="A352" s="43">
        <v>1007</v>
      </c>
      <c r="B352" s="44" t="s">
        <v>592</v>
      </c>
      <c r="C352" s="45">
        <v>10100051</v>
      </c>
      <c r="D352" s="46" t="s">
        <v>718</v>
      </c>
      <c r="E352" s="47" t="s">
        <v>364</v>
      </c>
      <c r="F352" s="47" t="s">
        <v>58</v>
      </c>
      <c r="G352" s="62">
        <v>1142.3999999999999</v>
      </c>
      <c r="H352" s="62">
        <v>42419.78</v>
      </c>
      <c r="I352" s="49">
        <v>0</v>
      </c>
      <c r="J352" s="49">
        <v>0</v>
      </c>
      <c r="K352" s="49">
        <v>0</v>
      </c>
      <c r="L352" s="50">
        <v>0</v>
      </c>
      <c r="M352" s="51"/>
      <c r="N352" s="52" t="s">
        <v>1300</v>
      </c>
      <c r="O352" s="31"/>
      <c r="P352" s="53">
        <v>-0.12376583683201564</v>
      </c>
      <c r="Q352" s="54">
        <v>3</v>
      </c>
      <c r="R352" s="55">
        <v>0</v>
      </c>
      <c r="S352" s="55">
        <v>0</v>
      </c>
      <c r="T352" s="56">
        <v>0</v>
      </c>
      <c r="U352" s="57"/>
      <c r="V352" s="55">
        <v>0</v>
      </c>
      <c r="W352" s="55">
        <v>0</v>
      </c>
      <c r="X352" s="58">
        <v>0</v>
      </c>
      <c r="Y352" s="59">
        <v>0</v>
      </c>
      <c r="Z352" s="58">
        <v>0</v>
      </c>
      <c r="AA352" s="56">
        <v>0</v>
      </c>
      <c r="AB352" s="56">
        <v>0</v>
      </c>
      <c r="AC352" s="60">
        <v>46142</v>
      </c>
    </row>
    <row r="353" spans="1:29" x14ac:dyDescent="0.25">
      <c r="A353" s="43">
        <v>1007</v>
      </c>
      <c r="B353" s="44" t="s">
        <v>592</v>
      </c>
      <c r="C353" s="45">
        <v>10100054</v>
      </c>
      <c r="D353" s="46" t="s">
        <v>719</v>
      </c>
      <c r="E353" s="47" t="s">
        <v>364</v>
      </c>
      <c r="F353" s="47" t="s">
        <v>58</v>
      </c>
      <c r="G353" s="62">
        <v>262.99999999999994</v>
      </c>
      <c r="H353" s="62">
        <v>11205.42</v>
      </c>
      <c r="I353" s="49">
        <v>0</v>
      </c>
      <c r="J353" s="49">
        <v>0</v>
      </c>
      <c r="K353" s="49">
        <v>0</v>
      </c>
      <c r="L353" s="50">
        <v>0</v>
      </c>
      <c r="M353" s="51"/>
      <c r="N353" s="52" t="s">
        <v>1300</v>
      </c>
      <c r="O353" s="31"/>
      <c r="P353" s="53">
        <v>-0.76485710737006229</v>
      </c>
      <c r="Q353" s="54">
        <v>8</v>
      </c>
      <c r="R353" s="55">
        <v>0</v>
      </c>
      <c r="S353" s="55">
        <v>0</v>
      </c>
      <c r="T353" s="56">
        <v>0</v>
      </c>
      <c r="U353" s="57"/>
      <c r="V353" s="55">
        <v>0</v>
      </c>
      <c r="W353" s="55">
        <v>0</v>
      </c>
      <c r="X353" s="58">
        <v>0</v>
      </c>
      <c r="Y353" s="59">
        <v>0</v>
      </c>
      <c r="Z353" s="58">
        <v>0</v>
      </c>
      <c r="AA353" s="56">
        <v>0</v>
      </c>
      <c r="AB353" s="56">
        <v>0</v>
      </c>
      <c r="AC353" s="60">
        <v>46142</v>
      </c>
    </row>
    <row r="354" spans="1:29" x14ac:dyDescent="0.25">
      <c r="A354" s="43">
        <v>1007</v>
      </c>
      <c r="B354" s="44" t="s">
        <v>592</v>
      </c>
      <c r="C354" s="45">
        <v>10100060</v>
      </c>
      <c r="D354" s="46" t="s">
        <v>720</v>
      </c>
      <c r="E354" s="47" t="s">
        <v>364</v>
      </c>
      <c r="F354" s="47" t="s">
        <v>58</v>
      </c>
      <c r="G354" s="62">
        <v>291.70000000000005</v>
      </c>
      <c r="H354" s="62">
        <v>10440.369999999999</v>
      </c>
      <c r="I354" s="49">
        <v>0</v>
      </c>
      <c r="J354" s="49">
        <v>0</v>
      </c>
      <c r="K354" s="49">
        <v>0</v>
      </c>
      <c r="L354" s="50">
        <v>0</v>
      </c>
      <c r="M354" s="51"/>
      <c r="N354" s="52" t="s">
        <v>1300</v>
      </c>
      <c r="O354" s="31"/>
      <c r="P354" s="53">
        <v>-4.5159904030221319E-2</v>
      </c>
      <c r="Q354" s="54">
        <v>4</v>
      </c>
      <c r="R354" s="55">
        <v>0</v>
      </c>
      <c r="S354" s="55">
        <v>0</v>
      </c>
      <c r="T354" s="56">
        <v>0</v>
      </c>
      <c r="U354" s="57"/>
      <c r="V354" s="55">
        <v>0</v>
      </c>
      <c r="W354" s="55">
        <v>0</v>
      </c>
      <c r="X354" s="58">
        <v>0</v>
      </c>
      <c r="Y354" s="59">
        <v>0</v>
      </c>
      <c r="Z354" s="58">
        <v>0</v>
      </c>
      <c r="AA354" s="56">
        <v>0</v>
      </c>
      <c r="AB354" s="56">
        <v>0</v>
      </c>
      <c r="AC354" s="60">
        <v>46142</v>
      </c>
    </row>
    <row r="355" spans="1:29" x14ac:dyDescent="0.25">
      <c r="A355" s="43">
        <v>1010</v>
      </c>
      <c r="B355" s="44" t="s">
        <v>1290</v>
      </c>
      <c r="C355" s="45">
        <v>10100061</v>
      </c>
      <c r="D355" s="46" t="s">
        <v>721</v>
      </c>
      <c r="E355" s="47" t="s">
        <v>364</v>
      </c>
      <c r="F355" s="47" t="s">
        <v>58</v>
      </c>
      <c r="G355" s="62">
        <v>56.900000000000013</v>
      </c>
      <c r="H355" s="62">
        <v>2002.62</v>
      </c>
      <c r="I355" s="49">
        <v>0</v>
      </c>
      <c r="J355" s="49">
        <v>0</v>
      </c>
      <c r="K355" s="49">
        <v>0</v>
      </c>
      <c r="L355" s="50">
        <v>0</v>
      </c>
      <c r="M355" s="51"/>
      <c r="N355" s="52" t="s">
        <v>1300</v>
      </c>
      <c r="O355" s="31"/>
      <c r="P355" s="53">
        <v>1</v>
      </c>
      <c r="Q355" s="54">
        <v>0</v>
      </c>
      <c r="R355" s="55">
        <v>0</v>
      </c>
      <c r="S355" s="55">
        <v>0</v>
      </c>
      <c r="T355" s="56">
        <v>0</v>
      </c>
      <c r="U355" s="57"/>
      <c r="V355" s="55">
        <v>0</v>
      </c>
      <c r="W355" s="55">
        <v>0</v>
      </c>
      <c r="X355" s="58">
        <v>0</v>
      </c>
      <c r="Y355" s="59">
        <v>0</v>
      </c>
      <c r="Z355" s="58">
        <v>0</v>
      </c>
      <c r="AA355" s="56">
        <v>0</v>
      </c>
      <c r="AB355" s="56">
        <v>0</v>
      </c>
      <c r="AC355" s="60">
        <v>46142</v>
      </c>
    </row>
    <row r="356" spans="1:29" x14ac:dyDescent="0.25">
      <c r="A356" s="43">
        <v>1010</v>
      </c>
      <c r="B356" s="44" t="s">
        <v>1290</v>
      </c>
      <c r="C356" s="45">
        <v>10100062</v>
      </c>
      <c r="D356" s="46" t="s">
        <v>722</v>
      </c>
      <c r="E356" s="47" t="s">
        <v>371</v>
      </c>
      <c r="F356" s="47" t="s">
        <v>59</v>
      </c>
      <c r="G356" s="62">
        <v>8220.0000000000018</v>
      </c>
      <c r="H356" s="62">
        <v>323369.08</v>
      </c>
      <c r="I356" s="49">
        <v>0</v>
      </c>
      <c r="J356" s="49">
        <v>0</v>
      </c>
      <c r="K356" s="49">
        <v>0</v>
      </c>
      <c r="L356" s="50">
        <v>0</v>
      </c>
      <c r="M356" s="51"/>
      <c r="N356" s="52" t="s">
        <v>1300</v>
      </c>
      <c r="O356" s="31"/>
      <c r="P356" s="53">
        <v>0</v>
      </c>
      <c r="Q356" s="54">
        <v>0</v>
      </c>
      <c r="R356" s="55">
        <v>0</v>
      </c>
      <c r="S356" s="55">
        <v>0</v>
      </c>
      <c r="T356" s="56">
        <v>0</v>
      </c>
      <c r="U356" s="57"/>
      <c r="V356" s="55">
        <v>0</v>
      </c>
      <c r="W356" s="55">
        <v>0</v>
      </c>
      <c r="X356" s="58">
        <v>0</v>
      </c>
      <c r="Y356" s="59">
        <v>0</v>
      </c>
      <c r="Z356" s="58">
        <v>0</v>
      </c>
      <c r="AA356" s="56">
        <v>0</v>
      </c>
      <c r="AB356" s="56">
        <v>0</v>
      </c>
      <c r="AC356" s="60">
        <v>46142</v>
      </c>
    </row>
    <row r="357" spans="1:29" x14ac:dyDescent="0.25">
      <c r="A357" s="43">
        <v>1010</v>
      </c>
      <c r="B357" s="44" t="s">
        <v>1290</v>
      </c>
      <c r="C357" s="45">
        <v>10100065</v>
      </c>
      <c r="D357" s="46" t="s">
        <v>723</v>
      </c>
      <c r="E357" s="47" t="s">
        <v>371</v>
      </c>
      <c r="F357" s="47" t="s">
        <v>59</v>
      </c>
      <c r="G357" s="62">
        <v>923.9</v>
      </c>
      <c r="H357" s="62">
        <v>33575.060000000005</v>
      </c>
      <c r="I357" s="49">
        <v>0</v>
      </c>
      <c r="J357" s="49">
        <v>0</v>
      </c>
      <c r="K357" s="49">
        <v>0</v>
      </c>
      <c r="L357" s="50">
        <v>0</v>
      </c>
      <c r="M357" s="51"/>
      <c r="N357" s="52" t="s">
        <v>1300</v>
      </c>
      <c r="O357" s="31"/>
      <c r="P357" s="53">
        <v>0</v>
      </c>
      <c r="Q357" s="54">
        <v>0</v>
      </c>
      <c r="R357" s="55">
        <v>0</v>
      </c>
      <c r="S357" s="55">
        <v>0</v>
      </c>
      <c r="T357" s="56">
        <v>0</v>
      </c>
      <c r="U357" s="57"/>
      <c r="V357" s="55">
        <v>0</v>
      </c>
      <c r="W357" s="55">
        <v>0</v>
      </c>
      <c r="X357" s="58">
        <v>0</v>
      </c>
      <c r="Y357" s="59">
        <v>0</v>
      </c>
      <c r="Z357" s="58">
        <v>0</v>
      </c>
      <c r="AA357" s="56">
        <v>0</v>
      </c>
      <c r="AB357" s="56">
        <v>0</v>
      </c>
      <c r="AC357" s="60">
        <v>46142</v>
      </c>
    </row>
    <row r="358" spans="1:29" x14ac:dyDescent="0.25">
      <c r="A358" s="43">
        <v>1010</v>
      </c>
      <c r="B358" s="44" t="s">
        <v>1290</v>
      </c>
      <c r="C358" s="45">
        <v>10100067</v>
      </c>
      <c r="D358" s="46" t="s">
        <v>724</v>
      </c>
      <c r="E358" s="47" t="s">
        <v>371</v>
      </c>
      <c r="F358" s="47" t="s">
        <v>59</v>
      </c>
      <c r="G358" s="62">
        <v>31.4</v>
      </c>
      <c r="H358" s="62">
        <v>1070.75</v>
      </c>
      <c r="I358" s="49">
        <v>0</v>
      </c>
      <c r="J358" s="49">
        <v>0</v>
      </c>
      <c r="K358" s="49">
        <v>0</v>
      </c>
      <c r="L358" s="50">
        <v>0</v>
      </c>
      <c r="M358" s="51"/>
      <c r="N358" s="52" t="s">
        <v>1300</v>
      </c>
      <c r="O358" s="31"/>
      <c r="P358" s="53">
        <v>0</v>
      </c>
      <c r="Q358" s="54">
        <v>0</v>
      </c>
      <c r="R358" s="55">
        <v>0</v>
      </c>
      <c r="S358" s="55">
        <v>0</v>
      </c>
      <c r="T358" s="56">
        <v>0</v>
      </c>
      <c r="U358" s="57"/>
      <c r="V358" s="55">
        <v>0</v>
      </c>
      <c r="W358" s="55">
        <v>0</v>
      </c>
      <c r="X358" s="58">
        <v>0</v>
      </c>
      <c r="Y358" s="59">
        <v>0</v>
      </c>
      <c r="Z358" s="58">
        <v>0</v>
      </c>
      <c r="AA358" s="56">
        <v>0</v>
      </c>
      <c r="AB358" s="56">
        <v>0</v>
      </c>
      <c r="AC358" s="60">
        <v>46142</v>
      </c>
    </row>
    <row r="359" spans="1:29" x14ac:dyDescent="0.25">
      <c r="A359" s="43">
        <v>1010</v>
      </c>
      <c r="B359" s="44" t="s">
        <v>1290</v>
      </c>
      <c r="C359" s="45">
        <v>10100070</v>
      </c>
      <c r="D359" s="46" t="s">
        <v>725</v>
      </c>
      <c r="E359" s="47" t="s">
        <v>371</v>
      </c>
      <c r="F359" s="47" t="s">
        <v>59</v>
      </c>
      <c r="G359" s="62">
        <v>2601.7000000000003</v>
      </c>
      <c r="H359" s="62">
        <v>117220.48</v>
      </c>
      <c r="I359" s="49">
        <v>0</v>
      </c>
      <c r="J359" s="49">
        <v>0</v>
      </c>
      <c r="K359" s="49">
        <v>0</v>
      </c>
      <c r="L359" s="50">
        <v>0</v>
      </c>
      <c r="M359" s="51"/>
      <c r="N359" s="52" t="s">
        <v>1300</v>
      </c>
      <c r="O359" s="31"/>
      <c r="P359" s="53">
        <v>0</v>
      </c>
      <c r="Q359" s="54">
        <v>0</v>
      </c>
      <c r="R359" s="55">
        <v>0</v>
      </c>
      <c r="S359" s="55">
        <v>0</v>
      </c>
      <c r="T359" s="56">
        <v>0</v>
      </c>
      <c r="U359" s="57"/>
      <c r="V359" s="55">
        <v>0</v>
      </c>
      <c r="W359" s="55">
        <v>0</v>
      </c>
      <c r="X359" s="58">
        <v>0</v>
      </c>
      <c r="Y359" s="59">
        <v>0</v>
      </c>
      <c r="Z359" s="58">
        <v>0</v>
      </c>
      <c r="AA359" s="56">
        <v>0</v>
      </c>
      <c r="AB359" s="56">
        <v>0</v>
      </c>
      <c r="AC359" s="60">
        <v>46142</v>
      </c>
    </row>
    <row r="360" spans="1:29" x14ac:dyDescent="0.25">
      <c r="A360" s="43">
        <v>1055</v>
      </c>
      <c r="B360" s="44" t="s">
        <v>142</v>
      </c>
      <c r="C360" s="45">
        <v>10110001</v>
      </c>
      <c r="D360" s="46" t="s">
        <v>726</v>
      </c>
      <c r="E360" s="47" t="s">
        <v>364</v>
      </c>
      <c r="F360" s="47" t="s">
        <v>58</v>
      </c>
      <c r="G360" s="62">
        <v>1916.8</v>
      </c>
      <c r="H360" s="62">
        <v>75309.17</v>
      </c>
      <c r="I360" s="49">
        <v>0</v>
      </c>
      <c r="J360" s="49">
        <v>2600</v>
      </c>
      <c r="K360" s="49">
        <v>0</v>
      </c>
      <c r="L360" s="50">
        <v>0</v>
      </c>
      <c r="M360" s="51"/>
      <c r="N360" s="52" t="s">
        <v>1300</v>
      </c>
      <c r="O360" s="31"/>
      <c r="P360" s="53">
        <v>-3.6199999996679097E-2</v>
      </c>
      <c r="Q360" s="54">
        <v>13</v>
      </c>
      <c r="R360" s="55">
        <v>0</v>
      </c>
      <c r="S360" s="55">
        <v>0</v>
      </c>
      <c r="T360" s="56">
        <v>0</v>
      </c>
      <c r="U360" s="57"/>
      <c r="V360" s="55">
        <v>0</v>
      </c>
      <c r="W360" s="55">
        <v>0</v>
      </c>
      <c r="X360" s="58">
        <v>0</v>
      </c>
      <c r="Y360" s="59">
        <v>0</v>
      </c>
      <c r="Z360" s="58">
        <v>0</v>
      </c>
      <c r="AA360" s="56">
        <v>0</v>
      </c>
      <c r="AB360" s="56">
        <v>0</v>
      </c>
      <c r="AC360" s="60">
        <v>46142</v>
      </c>
    </row>
    <row r="361" spans="1:29" x14ac:dyDescent="0.25">
      <c r="A361" s="43">
        <v>1055</v>
      </c>
      <c r="B361" s="44" t="s">
        <v>142</v>
      </c>
      <c r="C361" s="45">
        <v>10110002</v>
      </c>
      <c r="D361" s="46" t="s">
        <v>727</v>
      </c>
      <c r="E361" s="47" t="s">
        <v>364</v>
      </c>
      <c r="F361" s="47" t="s">
        <v>58</v>
      </c>
      <c r="G361" s="62">
        <v>357.00000000000006</v>
      </c>
      <c r="H361" s="62">
        <v>12575.389999999998</v>
      </c>
      <c r="I361" s="49">
        <v>0</v>
      </c>
      <c r="J361" s="49">
        <v>0</v>
      </c>
      <c r="K361" s="49">
        <v>0</v>
      </c>
      <c r="L361" s="50">
        <v>0</v>
      </c>
      <c r="M361" s="51"/>
      <c r="N361" s="52" t="s">
        <v>1300</v>
      </c>
      <c r="O361" s="31"/>
      <c r="P361" s="53">
        <v>-4.1061824057941954E-2</v>
      </c>
      <c r="Q361" s="54">
        <v>2</v>
      </c>
      <c r="R361" s="55">
        <v>0</v>
      </c>
      <c r="S361" s="55">
        <v>0</v>
      </c>
      <c r="T361" s="56">
        <v>0</v>
      </c>
      <c r="U361" s="57"/>
      <c r="V361" s="55">
        <v>0</v>
      </c>
      <c r="W361" s="55">
        <v>0</v>
      </c>
      <c r="X361" s="58">
        <v>0</v>
      </c>
      <c r="Y361" s="59">
        <v>0</v>
      </c>
      <c r="Z361" s="58">
        <v>0</v>
      </c>
      <c r="AA361" s="56">
        <v>0</v>
      </c>
      <c r="AB361" s="56">
        <v>0</v>
      </c>
      <c r="AC361" s="60">
        <v>46142</v>
      </c>
    </row>
    <row r="362" spans="1:29" x14ac:dyDescent="0.25">
      <c r="A362" s="43">
        <v>1011</v>
      </c>
      <c r="B362" s="44" t="s">
        <v>1293</v>
      </c>
      <c r="C362" s="45">
        <v>10110004</v>
      </c>
      <c r="D362" s="46" t="s">
        <v>728</v>
      </c>
      <c r="E362" s="47" t="s">
        <v>364</v>
      </c>
      <c r="F362" s="47" t="s">
        <v>58</v>
      </c>
      <c r="G362" s="62">
        <v>545.5</v>
      </c>
      <c r="H362" s="62">
        <v>20276.46</v>
      </c>
      <c r="I362" s="49">
        <v>0</v>
      </c>
      <c r="J362" s="49">
        <v>0</v>
      </c>
      <c r="K362" s="49">
        <v>0</v>
      </c>
      <c r="L362" s="50">
        <v>0</v>
      </c>
      <c r="M362" s="51"/>
      <c r="N362" s="52" t="s">
        <v>1300</v>
      </c>
      <c r="O362" s="31"/>
      <c r="P362" s="53">
        <v>-1.150614468206148E-3</v>
      </c>
      <c r="Q362" s="54">
        <v>3</v>
      </c>
      <c r="R362" s="55">
        <v>0</v>
      </c>
      <c r="S362" s="55">
        <v>0</v>
      </c>
      <c r="T362" s="56">
        <v>0</v>
      </c>
      <c r="U362" s="57"/>
      <c r="V362" s="55">
        <v>0</v>
      </c>
      <c r="W362" s="55">
        <v>0</v>
      </c>
      <c r="X362" s="58">
        <v>0</v>
      </c>
      <c r="Y362" s="59">
        <v>0</v>
      </c>
      <c r="Z362" s="58">
        <v>0</v>
      </c>
      <c r="AA362" s="56">
        <v>0</v>
      </c>
      <c r="AB362" s="56">
        <v>0</v>
      </c>
      <c r="AC362" s="60">
        <v>46142</v>
      </c>
    </row>
    <row r="363" spans="1:29" x14ac:dyDescent="0.25">
      <c r="A363" s="43">
        <v>1055</v>
      </c>
      <c r="B363" s="44" t="s">
        <v>142</v>
      </c>
      <c r="C363" s="45">
        <v>10110005</v>
      </c>
      <c r="D363" s="46" t="s">
        <v>729</v>
      </c>
      <c r="E363" s="47" t="s">
        <v>364</v>
      </c>
      <c r="F363" s="47" t="s">
        <v>58</v>
      </c>
      <c r="G363" s="62">
        <v>4335.5</v>
      </c>
      <c r="H363" s="62">
        <v>176829.06999999998</v>
      </c>
      <c r="I363" s="49">
        <v>0</v>
      </c>
      <c r="J363" s="49">
        <v>0</v>
      </c>
      <c r="K363" s="49">
        <v>0</v>
      </c>
      <c r="L363" s="50">
        <v>0</v>
      </c>
      <c r="M363" s="51"/>
      <c r="N363" s="52" t="s">
        <v>1300</v>
      </c>
      <c r="O363" s="31"/>
      <c r="P363" s="53">
        <v>-8.1069916606408571E-3</v>
      </c>
      <c r="Q363" s="54">
        <v>36</v>
      </c>
      <c r="R363" s="55">
        <v>0</v>
      </c>
      <c r="S363" s="55">
        <v>0</v>
      </c>
      <c r="T363" s="56">
        <v>0</v>
      </c>
      <c r="U363" s="57"/>
      <c r="V363" s="55">
        <v>0</v>
      </c>
      <c r="W363" s="55">
        <v>0</v>
      </c>
      <c r="X363" s="58">
        <v>0</v>
      </c>
      <c r="Y363" s="59">
        <v>0</v>
      </c>
      <c r="Z363" s="58">
        <v>0</v>
      </c>
      <c r="AA363" s="56">
        <v>0</v>
      </c>
      <c r="AB363" s="56">
        <v>0</v>
      </c>
      <c r="AC363" s="60">
        <v>46142</v>
      </c>
    </row>
    <row r="364" spans="1:29" x14ac:dyDescent="0.25">
      <c r="A364" s="43">
        <v>1011</v>
      </c>
      <c r="B364" s="44" t="s">
        <v>1293</v>
      </c>
      <c r="C364" s="45">
        <v>10110007</v>
      </c>
      <c r="D364" s="46" t="s">
        <v>730</v>
      </c>
      <c r="E364" s="47" t="s">
        <v>364</v>
      </c>
      <c r="F364" s="47" t="s">
        <v>58</v>
      </c>
      <c r="G364" s="62">
        <v>957.40000000000009</v>
      </c>
      <c r="H364" s="62">
        <v>35060.69</v>
      </c>
      <c r="I364" s="49">
        <v>0</v>
      </c>
      <c r="J364" s="49">
        <v>0</v>
      </c>
      <c r="K364" s="49">
        <v>0</v>
      </c>
      <c r="L364" s="50">
        <v>0</v>
      </c>
      <c r="M364" s="51"/>
      <c r="N364" s="52" t="s">
        <v>1300</v>
      </c>
      <c r="O364" s="31"/>
      <c r="P364" s="53">
        <v>-2.0282949023560844E-5</v>
      </c>
      <c r="Q364" s="54">
        <v>6</v>
      </c>
      <c r="R364" s="55">
        <v>0</v>
      </c>
      <c r="S364" s="55">
        <v>0</v>
      </c>
      <c r="T364" s="56">
        <v>0</v>
      </c>
      <c r="U364" s="57"/>
      <c r="V364" s="55">
        <v>0</v>
      </c>
      <c r="W364" s="55">
        <v>0</v>
      </c>
      <c r="X364" s="58">
        <v>0</v>
      </c>
      <c r="Y364" s="59">
        <v>0</v>
      </c>
      <c r="Z364" s="58">
        <v>0</v>
      </c>
      <c r="AA364" s="56">
        <v>0</v>
      </c>
      <c r="AB364" s="56">
        <v>0</v>
      </c>
      <c r="AC364" s="60">
        <v>46142</v>
      </c>
    </row>
    <row r="365" spans="1:29" x14ac:dyDescent="0.25">
      <c r="A365" s="43">
        <v>1011</v>
      </c>
      <c r="B365" s="44" t="s">
        <v>1293</v>
      </c>
      <c r="C365" s="45">
        <v>10110008</v>
      </c>
      <c r="D365" s="46" t="s">
        <v>731</v>
      </c>
      <c r="E365" s="47" t="s">
        <v>371</v>
      </c>
      <c r="F365" s="47" t="s">
        <v>59</v>
      </c>
      <c r="G365" s="62">
        <v>7306.8999999999987</v>
      </c>
      <c r="H365" s="62">
        <v>279523</v>
      </c>
      <c r="I365" s="49">
        <v>0</v>
      </c>
      <c r="J365" s="49">
        <v>0</v>
      </c>
      <c r="K365" s="49">
        <v>0</v>
      </c>
      <c r="L365" s="50">
        <v>0</v>
      </c>
      <c r="M365" s="51"/>
      <c r="N365" s="52" t="s">
        <v>1300</v>
      </c>
      <c r="O365" s="31"/>
      <c r="P365" s="53">
        <v>0</v>
      </c>
      <c r="Q365" s="54">
        <v>0</v>
      </c>
      <c r="R365" s="55">
        <v>0</v>
      </c>
      <c r="S365" s="55">
        <v>0</v>
      </c>
      <c r="T365" s="56">
        <v>0</v>
      </c>
      <c r="U365" s="57"/>
      <c r="V365" s="55">
        <v>0</v>
      </c>
      <c r="W365" s="55">
        <v>0</v>
      </c>
      <c r="X365" s="58">
        <v>0</v>
      </c>
      <c r="Y365" s="59">
        <v>0</v>
      </c>
      <c r="Z365" s="58">
        <v>0</v>
      </c>
      <c r="AA365" s="56">
        <v>0</v>
      </c>
      <c r="AB365" s="56">
        <v>0</v>
      </c>
      <c r="AC365" s="60">
        <v>46142</v>
      </c>
    </row>
    <row r="366" spans="1:29" x14ac:dyDescent="0.25">
      <c r="A366" s="43">
        <v>1011</v>
      </c>
      <c r="B366" s="44" t="s">
        <v>1293</v>
      </c>
      <c r="C366" s="45">
        <v>10110013</v>
      </c>
      <c r="D366" s="46" t="s">
        <v>732</v>
      </c>
      <c r="E366" s="47" t="s">
        <v>364</v>
      </c>
      <c r="F366" s="47" t="s">
        <v>58</v>
      </c>
      <c r="G366" s="62">
        <v>969.6</v>
      </c>
      <c r="H366" s="62">
        <v>35693.659999999996</v>
      </c>
      <c r="I366" s="49">
        <v>0</v>
      </c>
      <c r="J366" s="49">
        <v>0</v>
      </c>
      <c r="K366" s="49">
        <v>0</v>
      </c>
      <c r="L366" s="50">
        <v>0</v>
      </c>
      <c r="M366" s="51"/>
      <c r="N366" s="52" t="s">
        <v>1300</v>
      </c>
      <c r="O366" s="31"/>
      <c r="P366" s="53">
        <v>-2.1718270601558041E-2</v>
      </c>
      <c r="Q366" s="54">
        <v>7</v>
      </c>
      <c r="R366" s="55">
        <v>0</v>
      </c>
      <c r="S366" s="55">
        <v>0</v>
      </c>
      <c r="T366" s="56">
        <v>0</v>
      </c>
      <c r="U366" s="57"/>
      <c r="V366" s="55">
        <v>0</v>
      </c>
      <c r="W366" s="55">
        <v>0</v>
      </c>
      <c r="X366" s="58">
        <v>0</v>
      </c>
      <c r="Y366" s="59">
        <v>0</v>
      </c>
      <c r="Z366" s="58">
        <v>0</v>
      </c>
      <c r="AA366" s="56">
        <v>0</v>
      </c>
      <c r="AB366" s="56">
        <v>0</v>
      </c>
      <c r="AC366" s="60">
        <v>46142</v>
      </c>
    </row>
    <row r="367" spans="1:29" x14ac:dyDescent="0.25">
      <c r="A367" s="43">
        <v>1011</v>
      </c>
      <c r="B367" s="44" t="s">
        <v>1293</v>
      </c>
      <c r="C367" s="45">
        <v>10110014</v>
      </c>
      <c r="D367" s="46" t="s">
        <v>733</v>
      </c>
      <c r="E367" s="47" t="s">
        <v>364</v>
      </c>
      <c r="F367" s="47" t="s">
        <v>58</v>
      </c>
      <c r="G367" s="62">
        <v>1038.9000000000001</v>
      </c>
      <c r="H367" s="62">
        <v>46876.380000000019</v>
      </c>
      <c r="I367" s="49">
        <v>0</v>
      </c>
      <c r="J367" s="49">
        <v>0</v>
      </c>
      <c r="K367" s="49">
        <v>0</v>
      </c>
      <c r="L367" s="50">
        <v>0</v>
      </c>
      <c r="M367" s="51"/>
      <c r="N367" s="52" t="s">
        <v>1300</v>
      </c>
      <c r="O367" s="31"/>
      <c r="P367" s="53">
        <v>7.8871483240590206E-4</v>
      </c>
      <c r="Q367" s="54">
        <v>33</v>
      </c>
      <c r="R367" s="55">
        <v>0</v>
      </c>
      <c r="S367" s="55">
        <v>0</v>
      </c>
      <c r="T367" s="56">
        <v>0</v>
      </c>
      <c r="U367" s="57"/>
      <c r="V367" s="55">
        <v>0</v>
      </c>
      <c r="W367" s="55">
        <v>0</v>
      </c>
      <c r="X367" s="58">
        <v>0</v>
      </c>
      <c r="Y367" s="59">
        <v>0</v>
      </c>
      <c r="Z367" s="58">
        <v>0</v>
      </c>
      <c r="AA367" s="56">
        <v>0</v>
      </c>
      <c r="AB367" s="56">
        <v>0</v>
      </c>
      <c r="AC367" s="60">
        <v>46142</v>
      </c>
    </row>
    <row r="368" spans="1:29" x14ac:dyDescent="0.25">
      <c r="A368" s="43">
        <v>1055</v>
      </c>
      <c r="B368" s="44" t="s">
        <v>142</v>
      </c>
      <c r="C368" s="45">
        <v>10110015</v>
      </c>
      <c r="D368" s="46" t="s">
        <v>734</v>
      </c>
      <c r="E368" s="47" t="s">
        <v>364</v>
      </c>
      <c r="F368" s="47" t="s">
        <v>58</v>
      </c>
      <c r="G368" s="62">
        <v>1160.9000000000001</v>
      </c>
      <c r="H368" s="62">
        <v>47259.289999999994</v>
      </c>
      <c r="I368" s="49">
        <v>0</v>
      </c>
      <c r="J368" s="49">
        <v>0</v>
      </c>
      <c r="K368" s="49">
        <v>0</v>
      </c>
      <c r="L368" s="50">
        <v>0</v>
      </c>
      <c r="M368" s="51"/>
      <c r="N368" s="52" t="s">
        <v>1300</v>
      </c>
      <c r="O368" s="31"/>
      <c r="P368" s="53">
        <v>-4.7710262317725377E-2</v>
      </c>
      <c r="Q368" s="54">
        <v>8</v>
      </c>
      <c r="R368" s="55">
        <v>0</v>
      </c>
      <c r="S368" s="55">
        <v>0</v>
      </c>
      <c r="T368" s="56">
        <v>0</v>
      </c>
      <c r="U368" s="57"/>
      <c r="V368" s="55">
        <v>0</v>
      </c>
      <c r="W368" s="55">
        <v>0</v>
      </c>
      <c r="X368" s="58">
        <v>0</v>
      </c>
      <c r="Y368" s="59">
        <v>0</v>
      </c>
      <c r="Z368" s="58">
        <v>0</v>
      </c>
      <c r="AA368" s="56">
        <v>0</v>
      </c>
      <c r="AB368" s="56">
        <v>0</v>
      </c>
      <c r="AC368" s="60">
        <v>46142</v>
      </c>
    </row>
    <row r="369" spans="1:29" x14ac:dyDescent="0.25">
      <c r="A369" s="43">
        <v>1055</v>
      </c>
      <c r="B369" s="44" t="s">
        <v>142</v>
      </c>
      <c r="C369" s="45">
        <v>10110016</v>
      </c>
      <c r="D369" s="46" t="s">
        <v>735</v>
      </c>
      <c r="E369" s="47" t="s">
        <v>364</v>
      </c>
      <c r="F369" s="47" t="s">
        <v>58</v>
      </c>
      <c r="G369" s="62">
        <v>738.3</v>
      </c>
      <c r="H369" s="62">
        <v>29709.849999999995</v>
      </c>
      <c r="I369" s="49">
        <v>0</v>
      </c>
      <c r="J369" s="49">
        <v>0</v>
      </c>
      <c r="K369" s="49">
        <v>0</v>
      </c>
      <c r="L369" s="50">
        <v>0</v>
      </c>
      <c r="M369" s="51"/>
      <c r="N369" s="52" t="s">
        <v>1300</v>
      </c>
      <c r="O369" s="31"/>
      <c r="P369" s="53">
        <v>-1.0729745650011903E-2</v>
      </c>
      <c r="Q369" s="54">
        <v>6</v>
      </c>
      <c r="R369" s="55">
        <v>0</v>
      </c>
      <c r="S369" s="55">
        <v>0</v>
      </c>
      <c r="T369" s="56">
        <v>0</v>
      </c>
      <c r="U369" s="57"/>
      <c r="V369" s="55">
        <v>0</v>
      </c>
      <c r="W369" s="55">
        <v>0</v>
      </c>
      <c r="X369" s="58">
        <v>0</v>
      </c>
      <c r="Y369" s="59">
        <v>0</v>
      </c>
      <c r="Z369" s="58">
        <v>0</v>
      </c>
      <c r="AA369" s="56">
        <v>0</v>
      </c>
      <c r="AB369" s="56">
        <v>0</v>
      </c>
      <c r="AC369" s="60">
        <v>46142</v>
      </c>
    </row>
    <row r="370" spans="1:29" x14ac:dyDescent="0.25">
      <c r="A370" s="43">
        <v>1011</v>
      </c>
      <c r="B370" s="44" t="s">
        <v>1293</v>
      </c>
      <c r="C370" s="45">
        <v>10110021</v>
      </c>
      <c r="D370" s="46" t="s">
        <v>736</v>
      </c>
      <c r="E370" s="47" t="s">
        <v>364</v>
      </c>
      <c r="F370" s="47" t="s">
        <v>58</v>
      </c>
      <c r="G370" s="62">
        <v>79.3</v>
      </c>
      <c r="H370" s="62">
        <v>3139.5</v>
      </c>
      <c r="I370" s="49">
        <v>0</v>
      </c>
      <c r="J370" s="49">
        <v>0</v>
      </c>
      <c r="K370" s="49">
        <v>34.380000000000003</v>
      </c>
      <c r="L370" s="50" t="s">
        <v>366</v>
      </c>
      <c r="M370" s="51" t="s">
        <v>367</v>
      </c>
      <c r="N370" s="52" t="s">
        <v>1300</v>
      </c>
      <c r="O370" s="31"/>
      <c r="P370" s="53">
        <v>0.31783914760040138</v>
      </c>
      <c r="Q370" s="54">
        <v>3</v>
      </c>
      <c r="R370" s="55">
        <v>0</v>
      </c>
      <c r="S370" s="55">
        <v>0</v>
      </c>
      <c r="T370" s="56">
        <v>0</v>
      </c>
      <c r="U370" s="57"/>
      <c r="V370" s="55">
        <v>34.379339999999878</v>
      </c>
      <c r="W370" s="55">
        <v>0</v>
      </c>
      <c r="X370" s="58">
        <v>0</v>
      </c>
      <c r="Y370" s="59">
        <v>34.379339999999878</v>
      </c>
      <c r="Z370" s="58">
        <v>34.380000000000003</v>
      </c>
      <c r="AA370" s="56">
        <v>6.6000000012422788E-4</v>
      </c>
      <c r="AB370" s="56">
        <v>6.6000000012422788E-4</v>
      </c>
      <c r="AC370" s="60">
        <v>46142</v>
      </c>
    </row>
    <row r="371" spans="1:29" x14ac:dyDescent="0.25">
      <c r="A371" s="43">
        <v>1011</v>
      </c>
      <c r="B371" s="44" t="s">
        <v>1293</v>
      </c>
      <c r="C371" s="45">
        <v>10110032</v>
      </c>
      <c r="D371" s="46" t="s">
        <v>737</v>
      </c>
      <c r="E371" s="47" t="s">
        <v>364</v>
      </c>
      <c r="F371" s="47" t="s">
        <v>58</v>
      </c>
      <c r="G371" s="62">
        <v>266.90000000000003</v>
      </c>
      <c r="H371" s="62">
        <v>9727.6299999999992</v>
      </c>
      <c r="I371" s="49">
        <v>0</v>
      </c>
      <c r="J371" s="49">
        <v>0</v>
      </c>
      <c r="K371" s="49">
        <v>252.93967499999971</v>
      </c>
      <c r="L371" s="50">
        <v>0</v>
      </c>
      <c r="M371" s="51"/>
      <c r="N371" s="52" t="s">
        <v>1300</v>
      </c>
      <c r="O371" s="31"/>
      <c r="P371" s="53">
        <v>-1.8705308516051931E-2</v>
      </c>
      <c r="Q371" s="54">
        <v>4</v>
      </c>
      <c r="R371" s="55">
        <v>0</v>
      </c>
      <c r="S371" s="55">
        <v>0</v>
      </c>
      <c r="T371" s="56">
        <v>0</v>
      </c>
      <c r="U371" s="57"/>
      <c r="V371" s="55">
        <v>252.93967499999971</v>
      </c>
      <c r="W371" s="55">
        <v>0</v>
      </c>
      <c r="X371" s="58">
        <v>0</v>
      </c>
      <c r="Y371" s="59">
        <v>252.93967499999971</v>
      </c>
      <c r="Z371" s="58">
        <v>252.93967499999971</v>
      </c>
      <c r="AA371" s="56">
        <v>0</v>
      </c>
      <c r="AB371" s="56">
        <v>0</v>
      </c>
      <c r="AC371" s="60">
        <v>46142</v>
      </c>
    </row>
    <row r="372" spans="1:29" x14ac:dyDescent="0.25">
      <c r="A372" s="43">
        <v>1055</v>
      </c>
      <c r="B372" s="44" t="s">
        <v>142</v>
      </c>
      <c r="C372" s="45">
        <v>10110042</v>
      </c>
      <c r="D372" s="46" t="s">
        <v>738</v>
      </c>
      <c r="E372" s="47" t="s">
        <v>371</v>
      </c>
      <c r="F372" s="47" t="s">
        <v>59</v>
      </c>
      <c r="G372" s="62">
        <v>427.20000000000005</v>
      </c>
      <c r="H372" s="62">
        <v>16372.1</v>
      </c>
      <c r="I372" s="49">
        <v>0</v>
      </c>
      <c r="J372" s="49">
        <v>0</v>
      </c>
      <c r="K372" s="49">
        <v>179.37150967741928</v>
      </c>
      <c r="L372" s="50">
        <v>0</v>
      </c>
      <c r="M372" s="51"/>
      <c r="N372" s="52" t="s">
        <v>1300</v>
      </c>
      <c r="O372" s="31"/>
      <c r="P372" s="53">
        <v>0</v>
      </c>
      <c r="Q372" s="54">
        <v>0</v>
      </c>
      <c r="R372" s="55">
        <v>0</v>
      </c>
      <c r="S372" s="55">
        <v>0</v>
      </c>
      <c r="T372" s="56">
        <v>0</v>
      </c>
      <c r="U372" s="57"/>
      <c r="V372" s="55">
        <v>179.37150967741928</v>
      </c>
      <c r="W372" s="55">
        <v>0</v>
      </c>
      <c r="X372" s="58">
        <v>0</v>
      </c>
      <c r="Y372" s="59">
        <v>179.37150967741928</v>
      </c>
      <c r="Z372" s="58">
        <v>179.37150967741928</v>
      </c>
      <c r="AA372" s="56">
        <v>0</v>
      </c>
      <c r="AB372" s="56">
        <v>0</v>
      </c>
      <c r="AC372" s="60">
        <v>46142</v>
      </c>
    </row>
    <row r="373" spans="1:29" x14ac:dyDescent="0.25">
      <c r="A373" s="43">
        <v>1011</v>
      </c>
      <c r="B373" s="44" t="s">
        <v>1293</v>
      </c>
      <c r="C373" s="45">
        <v>10110043</v>
      </c>
      <c r="D373" s="46" t="s">
        <v>739</v>
      </c>
      <c r="E373" s="47" t="s">
        <v>364</v>
      </c>
      <c r="F373" s="47" t="s">
        <v>59</v>
      </c>
      <c r="G373" s="62">
        <v>530</v>
      </c>
      <c r="H373" s="62">
        <v>21269.3</v>
      </c>
      <c r="I373" s="49">
        <v>0</v>
      </c>
      <c r="J373" s="49">
        <v>0</v>
      </c>
      <c r="K373" s="49">
        <v>827.95254193548305</v>
      </c>
      <c r="L373" s="50">
        <v>0</v>
      </c>
      <c r="M373" s="51"/>
      <c r="N373" s="52" t="s">
        <v>1300</v>
      </c>
      <c r="O373" s="31"/>
      <c r="P373" s="53">
        <v>0</v>
      </c>
      <c r="Q373" s="54">
        <v>0</v>
      </c>
      <c r="R373" s="55">
        <v>0</v>
      </c>
      <c r="S373" s="55">
        <v>0</v>
      </c>
      <c r="T373" s="56">
        <v>0</v>
      </c>
      <c r="U373" s="57"/>
      <c r="V373" s="55">
        <v>827.95254193548305</v>
      </c>
      <c r="W373" s="55">
        <v>0</v>
      </c>
      <c r="X373" s="58">
        <v>0</v>
      </c>
      <c r="Y373" s="59">
        <v>827.95254193548305</v>
      </c>
      <c r="Z373" s="58">
        <v>827.95254193548305</v>
      </c>
      <c r="AA373" s="56">
        <v>0</v>
      </c>
      <c r="AB373" s="56">
        <v>0</v>
      </c>
      <c r="AC373" s="60">
        <v>46142</v>
      </c>
    </row>
    <row r="374" spans="1:29" x14ac:dyDescent="0.25">
      <c r="A374" s="43">
        <v>1011</v>
      </c>
      <c r="B374" s="44" t="s">
        <v>1293</v>
      </c>
      <c r="C374" s="45">
        <v>10110049</v>
      </c>
      <c r="D374" s="46" t="s">
        <v>740</v>
      </c>
      <c r="E374" s="47" t="s">
        <v>364</v>
      </c>
      <c r="F374" s="47" t="s">
        <v>58</v>
      </c>
      <c r="G374" s="62">
        <v>829.6</v>
      </c>
      <c r="H374" s="62">
        <v>31569.4</v>
      </c>
      <c r="I374" s="49">
        <v>0</v>
      </c>
      <c r="J374" s="49">
        <v>0</v>
      </c>
      <c r="K374" s="49">
        <v>0</v>
      </c>
      <c r="L374" s="50">
        <v>0</v>
      </c>
      <c r="M374" s="51"/>
      <c r="N374" s="52" t="s">
        <v>1300</v>
      </c>
      <c r="O374" s="31"/>
      <c r="P374" s="53">
        <v>-1.8981281713304626E-2</v>
      </c>
      <c r="Q374" s="54">
        <v>5</v>
      </c>
      <c r="R374" s="55">
        <v>0</v>
      </c>
      <c r="S374" s="55">
        <v>0</v>
      </c>
      <c r="T374" s="56">
        <v>0</v>
      </c>
      <c r="U374" s="57"/>
      <c r="V374" s="55">
        <v>0</v>
      </c>
      <c r="W374" s="55">
        <v>0</v>
      </c>
      <c r="X374" s="58">
        <v>0</v>
      </c>
      <c r="Y374" s="59">
        <v>0</v>
      </c>
      <c r="Z374" s="58">
        <v>0</v>
      </c>
      <c r="AA374" s="56">
        <v>0</v>
      </c>
      <c r="AB374" s="56">
        <v>0</v>
      </c>
      <c r="AC374" s="60">
        <v>46142</v>
      </c>
    </row>
    <row r="375" spans="1:29" x14ac:dyDescent="0.25">
      <c r="A375" s="43">
        <v>1011</v>
      </c>
      <c r="B375" s="44" t="s">
        <v>1293</v>
      </c>
      <c r="C375" s="45">
        <v>10110050</v>
      </c>
      <c r="D375" s="46" t="s">
        <v>741</v>
      </c>
      <c r="E375" s="47" t="s">
        <v>364</v>
      </c>
      <c r="F375" s="47" t="s">
        <v>58</v>
      </c>
      <c r="G375" s="62">
        <v>697.1</v>
      </c>
      <c r="H375" s="62">
        <v>26901.94</v>
      </c>
      <c r="I375" s="49">
        <v>0</v>
      </c>
      <c r="J375" s="49">
        <v>0</v>
      </c>
      <c r="K375" s="49">
        <v>2310.11</v>
      </c>
      <c r="L375" s="50" t="s">
        <v>366</v>
      </c>
      <c r="M375" s="51" t="s">
        <v>367</v>
      </c>
      <c r="N375" s="52" t="s">
        <v>1300</v>
      </c>
      <c r="O375" s="31"/>
      <c r="P375" s="53">
        <v>4.7579573997990655E-4</v>
      </c>
      <c r="Q375" s="54">
        <v>1</v>
      </c>
      <c r="R375" s="55">
        <v>0</v>
      </c>
      <c r="S375" s="55">
        <v>0</v>
      </c>
      <c r="T375" s="56">
        <v>0</v>
      </c>
      <c r="U375" s="57"/>
      <c r="V375" s="55">
        <v>2310.1098436363645</v>
      </c>
      <c r="W375" s="55">
        <v>0</v>
      </c>
      <c r="X375" s="58">
        <v>0</v>
      </c>
      <c r="Y375" s="59">
        <v>2310.1098436363645</v>
      </c>
      <c r="Z375" s="58">
        <v>2310.11</v>
      </c>
      <c r="AA375" s="56">
        <v>1.5636363559679012E-4</v>
      </c>
      <c r="AB375" s="56">
        <v>1.5636363559679012E-4</v>
      </c>
      <c r="AC375" s="60">
        <v>46142</v>
      </c>
    </row>
    <row r="376" spans="1:29" x14ac:dyDescent="0.25">
      <c r="A376" s="43">
        <v>1011</v>
      </c>
      <c r="B376" s="44" t="s">
        <v>1293</v>
      </c>
      <c r="C376" s="45">
        <v>10110053</v>
      </c>
      <c r="D376" s="46" t="s">
        <v>742</v>
      </c>
      <c r="E376" s="47" t="s">
        <v>364</v>
      </c>
      <c r="F376" s="47" t="s">
        <v>58</v>
      </c>
      <c r="G376" s="62">
        <v>93.4</v>
      </c>
      <c r="H376" s="62">
        <v>4293.07</v>
      </c>
      <c r="I376" s="49">
        <v>0</v>
      </c>
      <c r="J376" s="49">
        <v>0</v>
      </c>
      <c r="K376" s="49">
        <v>9.1000499999999693</v>
      </c>
      <c r="L376" s="50">
        <v>0</v>
      </c>
      <c r="M376" s="51"/>
      <c r="N376" s="52" t="s">
        <v>1300</v>
      </c>
      <c r="O376" s="31"/>
      <c r="P376" s="53">
        <v>1.1331625193788959E-2</v>
      </c>
      <c r="Q376" s="54">
        <v>2</v>
      </c>
      <c r="R376" s="55">
        <v>0</v>
      </c>
      <c r="S376" s="55">
        <v>0</v>
      </c>
      <c r="T376" s="56">
        <v>0</v>
      </c>
      <c r="U376" s="57"/>
      <c r="V376" s="55">
        <v>9.1000499999999693</v>
      </c>
      <c r="W376" s="55">
        <v>0</v>
      </c>
      <c r="X376" s="58">
        <v>0</v>
      </c>
      <c r="Y376" s="59">
        <v>9.1000499999999693</v>
      </c>
      <c r="Z376" s="58">
        <v>9.1000499999999693</v>
      </c>
      <c r="AA376" s="56">
        <v>0</v>
      </c>
      <c r="AB376" s="56">
        <v>0</v>
      </c>
      <c r="AC376" s="60">
        <v>46142</v>
      </c>
    </row>
    <row r="377" spans="1:29" x14ac:dyDescent="0.25">
      <c r="A377" s="43">
        <v>1011</v>
      </c>
      <c r="B377" s="44" t="s">
        <v>1293</v>
      </c>
      <c r="C377" s="45">
        <v>10110055</v>
      </c>
      <c r="D377" s="46" t="s">
        <v>743</v>
      </c>
      <c r="E377" s="47" t="s">
        <v>364</v>
      </c>
      <c r="F377" s="47" t="s">
        <v>58</v>
      </c>
      <c r="G377" s="62">
        <v>680.9</v>
      </c>
      <c r="H377" s="62">
        <v>28876.71</v>
      </c>
      <c r="I377" s="49">
        <v>0</v>
      </c>
      <c r="J377" s="49">
        <v>0</v>
      </c>
      <c r="K377" s="49">
        <v>0</v>
      </c>
      <c r="L377" s="50" t="s">
        <v>366</v>
      </c>
      <c r="M377" s="51" t="s">
        <v>367</v>
      </c>
      <c r="N377" s="52" t="s">
        <v>1300</v>
      </c>
      <c r="O377" s="31"/>
      <c r="P377" s="53">
        <v>-0.15829414917605913</v>
      </c>
      <c r="Q377" s="54">
        <v>5</v>
      </c>
      <c r="R377" s="55">
        <v>0</v>
      </c>
      <c r="S377" s="55">
        <v>0</v>
      </c>
      <c r="T377" s="56">
        <v>0</v>
      </c>
      <c r="U377" s="57"/>
      <c r="V377" s="55">
        <v>0</v>
      </c>
      <c r="W377" s="55">
        <v>0</v>
      </c>
      <c r="X377" s="58">
        <v>0</v>
      </c>
      <c r="Y377" s="59">
        <v>0</v>
      </c>
      <c r="Z377" s="58">
        <v>0</v>
      </c>
      <c r="AA377" s="56">
        <v>0</v>
      </c>
      <c r="AB377" s="56">
        <v>0</v>
      </c>
      <c r="AC377" s="60">
        <v>46142</v>
      </c>
    </row>
    <row r="378" spans="1:29" x14ac:dyDescent="0.25">
      <c r="A378" s="43">
        <v>1011</v>
      </c>
      <c r="B378" s="44" t="s">
        <v>1293</v>
      </c>
      <c r="C378" s="45">
        <v>10110057</v>
      </c>
      <c r="D378" s="46" t="s">
        <v>744</v>
      </c>
      <c r="E378" s="47" t="s">
        <v>364</v>
      </c>
      <c r="F378" s="47" t="s">
        <v>58</v>
      </c>
      <c r="G378" s="62">
        <v>281.19999999999993</v>
      </c>
      <c r="H378" s="62">
        <v>12282.68</v>
      </c>
      <c r="I378" s="49">
        <v>0</v>
      </c>
      <c r="J378" s="49">
        <v>0</v>
      </c>
      <c r="K378" s="49">
        <v>0</v>
      </c>
      <c r="L378" s="50" t="s">
        <v>366</v>
      </c>
      <c r="M378" s="51" t="s">
        <v>367</v>
      </c>
      <c r="N378" s="52" t="s">
        <v>1300</v>
      </c>
      <c r="O378" s="31"/>
      <c r="P378" s="53">
        <v>-0.11157794849698924</v>
      </c>
      <c r="Q378" s="54">
        <v>1</v>
      </c>
      <c r="R378" s="55">
        <v>0</v>
      </c>
      <c r="S378" s="55">
        <v>0</v>
      </c>
      <c r="T378" s="56">
        <v>0</v>
      </c>
      <c r="U378" s="57"/>
      <c r="V378" s="55">
        <v>0</v>
      </c>
      <c r="W378" s="55">
        <v>0</v>
      </c>
      <c r="X378" s="58">
        <v>0</v>
      </c>
      <c r="Y378" s="59">
        <v>0</v>
      </c>
      <c r="Z378" s="58">
        <v>0</v>
      </c>
      <c r="AA378" s="56">
        <v>0</v>
      </c>
      <c r="AB378" s="56">
        <v>0</v>
      </c>
      <c r="AC378" s="60">
        <v>46142</v>
      </c>
    </row>
    <row r="379" spans="1:29" x14ac:dyDescent="0.25">
      <c r="A379" s="43">
        <v>1011</v>
      </c>
      <c r="B379" s="44" t="s">
        <v>1293</v>
      </c>
      <c r="C379" s="45">
        <v>10110065</v>
      </c>
      <c r="D379" s="46" t="s">
        <v>745</v>
      </c>
      <c r="E379" s="47" t="s">
        <v>364</v>
      </c>
      <c r="F379" s="47" t="s">
        <v>58</v>
      </c>
      <c r="G379" s="62">
        <v>1125.6000000000001</v>
      </c>
      <c r="H379" s="62">
        <v>43861.63</v>
      </c>
      <c r="I379" s="49">
        <v>0</v>
      </c>
      <c r="J379" s="49">
        <v>0</v>
      </c>
      <c r="K379" s="49">
        <v>0</v>
      </c>
      <c r="L379" s="50">
        <v>0</v>
      </c>
      <c r="M379" s="51"/>
      <c r="N379" s="52" t="s">
        <v>1300</v>
      </c>
      <c r="O379" s="31"/>
      <c r="P379" s="53">
        <v>-3.5174677802171711E-3</v>
      </c>
      <c r="Q379" s="54">
        <v>19</v>
      </c>
      <c r="R379" s="55">
        <v>0</v>
      </c>
      <c r="S379" s="55">
        <v>0</v>
      </c>
      <c r="T379" s="56">
        <v>0</v>
      </c>
      <c r="U379" s="57"/>
      <c r="V379" s="55">
        <v>0</v>
      </c>
      <c r="W379" s="55">
        <v>0</v>
      </c>
      <c r="X379" s="58">
        <v>0</v>
      </c>
      <c r="Y379" s="59">
        <v>0</v>
      </c>
      <c r="Z379" s="58">
        <v>0</v>
      </c>
      <c r="AA379" s="56">
        <v>0</v>
      </c>
      <c r="AB379" s="56">
        <v>0</v>
      </c>
      <c r="AC379" s="60">
        <v>46142</v>
      </c>
    </row>
    <row r="380" spans="1:29" x14ac:dyDescent="0.25">
      <c r="A380" s="43">
        <v>1011</v>
      </c>
      <c r="B380" s="44" t="s">
        <v>1293</v>
      </c>
      <c r="C380" s="45">
        <v>10110066</v>
      </c>
      <c r="D380" s="46" t="s">
        <v>746</v>
      </c>
      <c r="E380" s="47" t="s">
        <v>364</v>
      </c>
      <c r="F380" s="47" t="s">
        <v>58</v>
      </c>
      <c r="G380" s="62">
        <v>1006</v>
      </c>
      <c r="H380" s="62">
        <v>40526.46</v>
      </c>
      <c r="I380" s="49">
        <v>0</v>
      </c>
      <c r="J380" s="49">
        <v>0</v>
      </c>
      <c r="K380" s="49">
        <v>0</v>
      </c>
      <c r="L380" s="50">
        <v>0</v>
      </c>
      <c r="M380" s="51"/>
      <c r="N380" s="52" t="s">
        <v>1300</v>
      </c>
      <c r="O380" s="31"/>
      <c r="P380" s="53">
        <v>6.8760020914905825E-3</v>
      </c>
      <c r="Q380" s="54">
        <v>17</v>
      </c>
      <c r="R380" s="55">
        <v>0</v>
      </c>
      <c r="S380" s="55">
        <v>0</v>
      </c>
      <c r="T380" s="56">
        <v>0</v>
      </c>
      <c r="U380" s="57"/>
      <c r="V380" s="55">
        <v>0</v>
      </c>
      <c r="W380" s="55">
        <v>0</v>
      </c>
      <c r="X380" s="58">
        <v>0</v>
      </c>
      <c r="Y380" s="59">
        <v>0</v>
      </c>
      <c r="Z380" s="58">
        <v>0</v>
      </c>
      <c r="AA380" s="56">
        <v>0</v>
      </c>
      <c r="AB380" s="56">
        <v>0</v>
      </c>
      <c r="AC380" s="60">
        <v>46142</v>
      </c>
    </row>
    <row r="381" spans="1:29" x14ac:dyDescent="0.25">
      <c r="A381" s="43">
        <v>1011</v>
      </c>
      <c r="B381" s="44" t="s">
        <v>1293</v>
      </c>
      <c r="C381" s="45">
        <v>10110071</v>
      </c>
      <c r="D381" s="46" t="s">
        <v>747</v>
      </c>
      <c r="E381" s="47" t="s">
        <v>364</v>
      </c>
      <c r="F381" s="47" t="s">
        <v>58</v>
      </c>
      <c r="G381" s="62">
        <v>19.3</v>
      </c>
      <c r="H381" s="62">
        <v>711.01</v>
      </c>
      <c r="I381" s="49">
        <v>0</v>
      </c>
      <c r="J381" s="49">
        <v>0</v>
      </c>
      <c r="K381" s="49">
        <v>432.97</v>
      </c>
      <c r="L381" s="50" t="s">
        <v>366</v>
      </c>
      <c r="M381" s="51" t="s">
        <v>367</v>
      </c>
      <c r="N381" s="52" t="s">
        <v>1300</v>
      </c>
      <c r="O381" s="31"/>
      <c r="P381" s="53">
        <v>1.548273225411741E-2</v>
      </c>
      <c r="Q381" s="54">
        <v>1</v>
      </c>
      <c r="R381" s="55">
        <v>0</v>
      </c>
      <c r="S381" s="55">
        <v>0</v>
      </c>
      <c r="T381" s="56">
        <v>0</v>
      </c>
      <c r="U381" s="57"/>
      <c r="V381" s="55">
        <v>432.97080000000005</v>
      </c>
      <c r="W381" s="55">
        <v>0</v>
      </c>
      <c r="X381" s="58">
        <v>0</v>
      </c>
      <c r="Y381" s="59">
        <v>432.97080000000005</v>
      </c>
      <c r="Z381" s="58">
        <v>432.97</v>
      </c>
      <c r="AA381" s="56">
        <v>-8.0000000002655725E-4</v>
      </c>
      <c r="AB381" s="56">
        <v>-8.0000000002655725E-4</v>
      </c>
      <c r="AC381" s="60">
        <v>46142</v>
      </c>
    </row>
    <row r="382" spans="1:29" x14ac:dyDescent="0.25">
      <c r="A382" s="43">
        <v>1011</v>
      </c>
      <c r="B382" s="44" t="s">
        <v>1293</v>
      </c>
      <c r="C382" s="45">
        <v>10110073</v>
      </c>
      <c r="D382" s="46" t="s">
        <v>748</v>
      </c>
      <c r="E382" s="47" t="s">
        <v>364</v>
      </c>
      <c r="F382" s="47" t="s">
        <v>58</v>
      </c>
      <c r="G382" s="62">
        <v>67.5</v>
      </c>
      <c r="H382" s="62">
        <v>2480.94</v>
      </c>
      <c r="I382" s="49">
        <v>0</v>
      </c>
      <c r="J382" s="49">
        <v>0</v>
      </c>
      <c r="K382" s="49">
        <v>556.42999999999995</v>
      </c>
      <c r="L382" s="50" t="s">
        <v>366</v>
      </c>
      <c r="M382" s="51" t="s">
        <v>367</v>
      </c>
      <c r="N382" s="52" t="s">
        <v>1300</v>
      </c>
      <c r="O382" s="31"/>
      <c r="P382" s="53">
        <v>0.18787814509177972</v>
      </c>
      <c r="Q382" s="54">
        <v>2</v>
      </c>
      <c r="R382" s="55">
        <v>0</v>
      </c>
      <c r="S382" s="55">
        <v>0</v>
      </c>
      <c r="T382" s="56">
        <v>0</v>
      </c>
      <c r="U382" s="57"/>
      <c r="V382" s="55">
        <v>556.43174999999985</v>
      </c>
      <c r="W382" s="55">
        <v>0</v>
      </c>
      <c r="X382" s="58">
        <v>0</v>
      </c>
      <c r="Y382" s="59">
        <v>556.43174999999985</v>
      </c>
      <c r="Z382" s="58">
        <v>556.42999999999995</v>
      </c>
      <c r="AA382" s="56">
        <v>-1.7499999999017746E-3</v>
      </c>
      <c r="AB382" s="56">
        <v>-1.7499999999017746E-3</v>
      </c>
      <c r="AC382" s="60">
        <v>46142</v>
      </c>
    </row>
    <row r="383" spans="1:29" x14ac:dyDescent="0.25">
      <c r="A383" s="43">
        <v>1011</v>
      </c>
      <c r="B383" s="44" t="s">
        <v>1293</v>
      </c>
      <c r="C383" s="45">
        <v>10110076</v>
      </c>
      <c r="D383" s="46" t="s">
        <v>749</v>
      </c>
      <c r="E383" s="47" t="s">
        <v>364</v>
      </c>
      <c r="F383" s="47" t="s">
        <v>58</v>
      </c>
      <c r="G383" s="62">
        <v>1501.2999999999997</v>
      </c>
      <c r="H383" s="62">
        <v>61524.36</v>
      </c>
      <c r="I383" s="49">
        <v>0</v>
      </c>
      <c r="J383" s="49">
        <v>0</v>
      </c>
      <c r="K383" s="49">
        <v>0</v>
      </c>
      <c r="L383" s="50" t="s">
        <v>366</v>
      </c>
      <c r="M383" s="51" t="s">
        <v>410</v>
      </c>
      <c r="N383" s="52" t="s">
        <v>1300</v>
      </c>
      <c r="O383" s="31"/>
      <c r="P383" s="53">
        <v>-5.0538360995366176E-2</v>
      </c>
      <c r="Q383" s="54">
        <v>11</v>
      </c>
      <c r="R383" s="55">
        <v>0</v>
      </c>
      <c r="S383" s="55">
        <v>0</v>
      </c>
      <c r="T383" s="56">
        <v>0</v>
      </c>
      <c r="U383" s="57"/>
      <c r="V383" s="55">
        <v>0</v>
      </c>
      <c r="W383" s="55">
        <v>0</v>
      </c>
      <c r="X383" s="58">
        <v>0</v>
      </c>
      <c r="Y383" s="59">
        <v>0</v>
      </c>
      <c r="Z383" s="58">
        <v>0</v>
      </c>
      <c r="AA383" s="56">
        <v>0</v>
      </c>
      <c r="AB383" s="56">
        <v>0</v>
      </c>
      <c r="AC383" s="60">
        <v>46142</v>
      </c>
    </row>
    <row r="384" spans="1:29" x14ac:dyDescent="0.25">
      <c r="A384" s="43">
        <v>1011</v>
      </c>
      <c r="B384" s="44" t="s">
        <v>1293</v>
      </c>
      <c r="C384" s="45">
        <v>10110078</v>
      </c>
      <c r="D384" s="46" t="s">
        <v>750</v>
      </c>
      <c r="E384" s="47" t="s">
        <v>364</v>
      </c>
      <c r="F384" s="47" t="s">
        <v>58</v>
      </c>
      <c r="G384" s="62">
        <v>457.8</v>
      </c>
      <c r="H384" s="62">
        <v>15299.9</v>
      </c>
      <c r="I384" s="49">
        <v>0</v>
      </c>
      <c r="J384" s="49">
        <v>0</v>
      </c>
      <c r="K384" s="49">
        <v>0</v>
      </c>
      <c r="L384" s="50">
        <v>0</v>
      </c>
      <c r="M384" s="51"/>
      <c r="N384" s="52" t="s">
        <v>1300</v>
      </c>
      <c r="O384" s="31"/>
      <c r="P384" s="53">
        <v>-1.6976666647494542E-2</v>
      </c>
      <c r="Q384" s="54">
        <v>1</v>
      </c>
      <c r="R384" s="55">
        <v>0</v>
      </c>
      <c r="S384" s="55">
        <v>0</v>
      </c>
      <c r="T384" s="56">
        <v>0</v>
      </c>
      <c r="U384" s="57"/>
      <c r="V384" s="55">
        <v>0</v>
      </c>
      <c r="W384" s="55">
        <v>0</v>
      </c>
      <c r="X384" s="58">
        <v>0</v>
      </c>
      <c r="Y384" s="59">
        <v>0</v>
      </c>
      <c r="Z384" s="58">
        <v>0</v>
      </c>
      <c r="AA384" s="56">
        <v>0</v>
      </c>
      <c r="AB384" s="56">
        <v>0</v>
      </c>
      <c r="AC384" s="60">
        <v>46142</v>
      </c>
    </row>
    <row r="385" spans="1:29" x14ac:dyDescent="0.25">
      <c r="A385" s="43">
        <v>1011</v>
      </c>
      <c r="B385" s="44" t="s">
        <v>1293</v>
      </c>
      <c r="C385" s="45">
        <v>10110083</v>
      </c>
      <c r="D385" s="46" t="s">
        <v>751</v>
      </c>
      <c r="E385" s="47" t="s">
        <v>364</v>
      </c>
      <c r="F385" s="47" t="s">
        <v>58</v>
      </c>
      <c r="G385" s="62">
        <v>263.3</v>
      </c>
      <c r="H385" s="62">
        <v>9746.43</v>
      </c>
      <c r="I385" s="49">
        <v>0</v>
      </c>
      <c r="J385" s="49">
        <v>0</v>
      </c>
      <c r="K385" s="49">
        <v>522.96</v>
      </c>
      <c r="L385" s="50" t="s">
        <v>366</v>
      </c>
      <c r="M385" s="51" t="s">
        <v>367</v>
      </c>
      <c r="N385" s="52" t="s">
        <v>1300</v>
      </c>
      <c r="O385" s="31"/>
      <c r="P385" s="53">
        <v>-9.2861398481296014E-4</v>
      </c>
      <c r="Q385" s="54">
        <v>1</v>
      </c>
      <c r="R385" s="55">
        <v>0</v>
      </c>
      <c r="S385" s="55">
        <v>0</v>
      </c>
      <c r="T385" s="56">
        <v>0</v>
      </c>
      <c r="U385" s="57"/>
      <c r="V385" s="55">
        <v>522.96396000000027</v>
      </c>
      <c r="W385" s="55">
        <v>0</v>
      </c>
      <c r="X385" s="58">
        <v>0</v>
      </c>
      <c r="Y385" s="59">
        <v>522.96396000000027</v>
      </c>
      <c r="Z385" s="58">
        <v>522.96</v>
      </c>
      <c r="AA385" s="56">
        <v>-3.9600000002337765E-3</v>
      </c>
      <c r="AB385" s="56">
        <v>-3.9600000002337765E-3</v>
      </c>
      <c r="AC385" s="60">
        <v>46142</v>
      </c>
    </row>
    <row r="386" spans="1:29" x14ac:dyDescent="0.25">
      <c r="A386" s="43">
        <v>1011</v>
      </c>
      <c r="B386" s="44" t="s">
        <v>1293</v>
      </c>
      <c r="C386" s="65">
        <v>10110086</v>
      </c>
      <c r="D386" s="46" t="s">
        <v>752</v>
      </c>
      <c r="E386" s="47" t="s">
        <v>364</v>
      </c>
      <c r="F386" s="47" t="s">
        <v>58</v>
      </c>
      <c r="G386" s="62">
        <v>377.5</v>
      </c>
      <c r="H386" s="62">
        <v>14512.73</v>
      </c>
      <c r="I386" s="49">
        <v>0</v>
      </c>
      <c r="J386" s="49">
        <v>0</v>
      </c>
      <c r="K386" s="49">
        <v>0</v>
      </c>
      <c r="L386" s="50">
        <v>0</v>
      </c>
      <c r="M386" s="51"/>
      <c r="N386" s="52" t="s">
        <v>1300</v>
      </c>
      <c r="O386" s="31"/>
      <c r="P386" s="53">
        <v>-3.0112851233365805E-2</v>
      </c>
      <c r="Q386" s="54">
        <v>5</v>
      </c>
      <c r="R386" s="55">
        <v>0</v>
      </c>
      <c r="S386" s="55">
        <v>0</v>
      </c>
      <c r="T386" s="56">
        <v>0</v>
      </c>
      <c r="U386" s="57"/>
      <c r="V386" s="55">
        <v>0</v>
      </c>
      <c r="W386" s="55">
        <v>0</v>
      </c>
      <c r="X386" s="58">
        <v>0</v>
      </c>
      <c r="Y386" s="59">
        <v>0</v>
      </c>
      <c r="Z386" s="58">
        <v>0</v>
      </c>
      <c r="AA386" s="56">
        <v>0</v>
      </c>
      <c r="AB386" s="56">
        <v>0</v>
      </c>
      <c r="AC386" s="60">
        <v>46142</v>
      </c>
    </row>
    <row r="387" spans="1:29" x14ac:dyDescent="0.25">
      <c r="A387" s="43">
        <v>1054</v>
      </c>
      <c r="B387" s="44" t="s">
        <v>1294</v>
      </c>
      <c r="C387" s="45">
        <v>10110093</v>
      </c>
      <c r="D387" s="46" t="s">
        <v>753</v>
      </c>
      <c r="E387" s="47" t="s">
        <v>364</v>
      </c>
      <c r="F387" s="47" t="s">
        <v>58</v>
      </c>
      <c r="G387" s="62">
        <v>443.09999999999997</v>
      </c>
      <c r="H387" s="62">
        <v>15906</v>
      </c>
      <c r="I387" s="49">
        <v>0</v>
      </c>
      <c r="J387" s="49">
        <v>0</v>
      </c>
      <c r="K387" s="49">
        <v>0</v>
      </c>
      <c r="L387" s="50">
        <v>0</v>
      </c>
      <c r="M387" s="51"/>
      <c r="N387" s="52" t="s">
        <v>1300</v>
      </c>
      <c r="O387" s="31"/>
      <c r="P387" s="53">
        <v>-0.27776984697095441</v>
      </c>
      <c r="Q387" s="54">
        <v>2</v>
      </c>
      <c r="R387" s="55">
        <v>0</v>
      </c>
      <c r="S387" s="55">
        <v>0</v>
      </c>
      <c r="T387" s="56">
        <v>0</v>
      </c>
      <c r="U387" s="57"/>
      <c r="V387" s="55">
        <v>0</v>
      </c>
      <c r="W387" s="55">
        <v>0</v>
      </c>
      <c r="X387" s="58">
        <v>0</v>
      </c>
      <c r="Y387" s="59">
        <v>0</v>
      </c>
      <c r="Z387" s="58">
        <v>0</v>
      </c>
      <c r="AA387" s="56">
        <v>0</v>
      </c>
      <c r="AB387" s="56">
        <v>0</v>
      </c>
      <c r="AC387" s="60">
        <v>46142</v>
      </c>
    </row>
    <row r="388" spans="1:29" x14ac:dyDescent="0.25">
      <c r="A388" s="43">
        <v>1011</v>
      </c>
      <c r="B388" s="44" t="s">
        <v>1293</v>
      </c>
      <c r="C388" s="45">
        <v>10110094</v>
      </c>
      <c r="D388" s="46" t="s">
        <v>754</v>
      </c>
      <c r="E388" s="47" t="s">
        <v>364</v>
      </c>
      <c r="F388" s="47" t="s">
        <v>58</v>
      </c>
      <c r="G388" s="62">
        <v>408.5</v>
      </c>
      <c r="H388" s="62">
        <v>15257.789999999997</v>
      </c>
      <c r="I388" s="49">
        <v>0</v>
      </c>
      <c r="J388" s="49">
        <v>0</v>
      </c>
      <c r="K388" s="49">
        <v>0</v>
      </c>
      <c r="L388" s="50">
        <v>0</v>
      </c>
      <c r="M388" s="51"/>
      <c r="N388" s="52" t="s">
        <v>1300</v>
      </c>
      <c r="O388" s="31"/>
      <c r="P388" s="53">
        <v>6.4097769269296455E-4</v>
      </c>
      <c r="Q388" s="54">
        <v>14</v>
      </c>
      <c r="R388" s="55">
        <v>0</v>
      </c>
      <c r="S388" s="55">
        <v>0</v>
      </c>
      <c r="T388" s="56">
        <v>0</v>
      </c>
      <c r="U388" s="57"/>
      <c r="V388" s="55">
        <v>0</v>
      </c>
      <c r="W388" s="55">
        <v>0</v>
      </c>
      <c r="X388" s="58">
        <v>0</v>
      </c>
      <c r="Y388" s="59">
        <v>0</v>
      </c>
      <c r="Z388" s="58">
        <v>0</v>
      </c>
      <c r="AA388" s="56">
        <v>0</v>
      </c>
      <c r="AB388" s="56">
        <v>0</v>
      </c>
      <c r="AC388" s="60">
        <v>46142</v>
      </c>
    </row>
    <row r="389" spans="1:29" x14ac:dyDescent="0.25">
      <c r="A389" s="43">
        <v>1011</v>
      </c>
      <c r="B389" s="44" t="s">
        <v>1293</v>
      </c>
      <c r="C389" s="45">
        <v>10110095</v>
      </c>
      <c r="D389" s="46" t="s">
        <v>755</v>
      </c>
      <c r="E389" s="47" t="s">
        <v>364</v>
      </c>
      <c r="F389" s="47" t="s">
        <v>58</v>
      </c>
      <c r="G389" s="62">
        <v>408.29999999999995</v>
      </c>
      <c r="H389" s="62">
        <v>18635.04</v>
      </c>
      <c r="I389" s="49">
        <v>0</v>
      </c>
      <c r="J389" s="49">
        <v>0</v>
      </c>
      <c r="K389" s="49">
        <v>0</v>
      </c>
      <c r="L389" s="50" t="s">
        <v>366</v>
      </c>
      <c r="M389" s="51" t="s">
        <v>367</v>
      </c>
      <c r="N389" s="52" t="s">
        <v>1300</v>
      </c>
      <c r="O389" s="31"/>
      <c r="P389" s="53">
        <v>-3.6142532691328853E-2</v>
      </c>
      <c r="Q389" s="54">
        <v>12</v>
      </c>
      <c r="R389" s="55">
        <v>0</v>
      </c>
      <c r="S389" s="55">
        <v>0</v>
      </c>
      <c r="T389" s="56">
        <v>0</v>
      </c>
      <c r="U389" s="57"/>
      <c r="V389" s="55">
        <v>0</v>
      </c>
      <c r="W389" s="55">
        <v>0</v>
      </c>
      <c r="X389" s="58">
        <v>0</v>
      </c>
      <c r="Y389" s="59">
        <v>0</v>
      </c>
      <c r="Z389" s="58">
        <v>0</v>
      </c>
      <c r="AA389" s="56">
        <v>0</v>
      </c>
      <c r="AB389" s="56">
        <v>0</v>
      </c>
      <c r="AC389" s="60">
        <v>46142</v>
      </c>
    </row>
    <row r="390" spans="1:29" x14ac:dyDescent="0.25">
      <c r="A390" s="43">
        <v>1054</v>
      </c>
      <c r="B390" s="44" t="s">
        <v>1294</v>
      </c>
      <c r="C390" s="45">
        <v>10110097</v>
      </c>
      <c r="D390" s="46" t="s">
        <v>756</v>
      </c>
      <c r="E390" s="47" t="s">
        <v>364</v>
      </c>
      <c r="F390" s="47" t="s">
        <v>58</v>
      </c>
      <c r="G390" s="62">
        <v>100.60000000000001</v>
      </c>
      <c r="H390" s="62">
        <v>4399.37</v>
      </c>
      <c r="I390" s="49">
        <v>0</v>
      </c>
      <c r="J390" s="49">
        <v>0</v>
      </c>
      <c r="K390" s="49">
        <v>225.8790000000001</v>
      </c>
      <c r="L390" s="50">
        <v>0</v>
      </c>
      <c r="M390" s="51"/>
      <c r="N390" s="52" t="s">
        <v>1300</v>
      </c>
      <c r="O390" s="31"/>
      <c r="P390" s="53">
        <v>3.6768269915556005E-2</v>
      </c>
      <c r="Q390" s="54">
        <v>3</v>
      </c>
      <c r="R390" s="55">
        <v>0</v>
      </c>
      <c r="S390" s="55">
        <v>0</v>
      </c>
      <c r="T390" s="56">
        <v>0</v>
      </c>
      <c r="U390" s="57"/>
      <c r="V390" s="55">
        <v>225.8790000000001</v>
      </c>
      <c r="W390" s="55">
        <v>0</v>
      </c>
      <c r="X390" s="58">
        <v>0</v>
      </c>
      <c r="Y390" s="59">
        <v>225.8790000000001</v>
      </c>
      <c r="Z390" s="58">
        <v>225.8790000000001</v>
      </c>
      <c r="AA390" s="56">
        <v>0</v>
      </c>
      <c r="AB390" s="56">
        <v>0</v>
      </c>
      <c r="AC390" s="60">
        <v>46142</v>
      </c>
    </row>
    <row r="391" spans="1:29" x14ac:dyDescent="0.25">
      <c r="A391" s="43">
        <v>1054</v>
      </c>
      <c r="B391" s="44" t="s">
        <v>1294</v>
      </c>
      <c r="C391" s="45">
        <v>10110098</v>
      </c>
      <c r="D391" s="46" t="s">
        <v>757</v>
      </c>
      <c r="E391" s="47" t="s">
        <v>364</v>
      </c>
      <c r="F391" s="47" t="s">
        <v>58</v>
      </c>
      <c r="G391" s="62">
        <v>168.99999999999994</v>
      </c>
      <c r="H391" s="62">
        <v>6973.72</v>
      </c>
      <c r="I391" s="49">
        <v>0</v>
      </c>
      <c r="J391" s="49">
        <v>0</v>
      </c>
      <c r="K391" s="49">
        <v>0</v>
      </c>
      <c r="L391" s="50">
        <v>0</v>
      </c>
      <c r="M391" s="51"/>
      <c r="N391" s="52" t="s">
        <v>1300</v>
      </c>
      <c r="O391" s="31"/>
      <c r="P391" s="53">
        <v>6.2600688086129008E-2</v>
      </c>
      <c r="Q391" s="54">
        <v>1</v>
      </c>
      <c r="R391" s="55">
        <v>0</v>
      </c>
      <c r="S391" s="55">
        <v>0</v>
      </c>
      <c r="T391" s="56">
        <v>0</v>
      </c>
      <c r="U391" s="57"/>
      <c r="V391" s="55">
        <v>0</v>
      </c>
      <c r="W391" s="55">
        <v>0</v>
      </c>
      <c r="X391" s="58">
        <v>0</v>
      </c>
      <c r="Y391" s="59">
        <v>0</v>
      </c>
      <c r="Z391" s="58">
        <v>0</v>
      </c>
      <c r="AA391" s="56">
        <v>0</v>
      </c>
      <c r="AB391" s="56">
        <v>0</v>
      </c>
      <c r="AC391" s="60">
        <v>46142</v>
      </c>
    </row>
    <row r="392" spans="1:29" x14ac:dyDescent="0.25">
      <c r="A392" s="43">
        <v>1054</v>
      </c>
      <c r="B392" s="44" t="s">
        <v>1294</v>
      </c>
      <c r="C392" s="45">
        <v>10110100</v>
      </c>
      <c r="D392" s="46" t="s">
        <v>758</v>
      </c>
      <c r="E392" s="47" t="s">
        <v>364</v>
      </c>
      <c r="F392" s="47" t="s">
        <v>58</v>
      </c>
      <c r="G392" s="62">
        <v>3656.4999999999995</v>
      </c>
      <c r="H392" s="62">
        <v>147744.75</v>
      </c>
      <c r="I392" s="49">
        <v>0</v>
      </c>
      <c r="J392" s="49">
        <v>4394</v>
      </c>
      <c r="K392" s="49">
        <v>0</v>
      </c>
      <c r="L392" s="50">
        <v>0</v>
      </c>
      <c r="M392" s="51"/>
      <c r="N392" s="52" t="s">
        <v>1300</v>
      </c>
      <c r="O392" s="31"/>
      <c r="P392" s="53">
        <v>-7.3120607273199481E-2</v>
      </c>
      <c r="Q392" s="54">
        <v>19</v>
      </c>
      <c r="R392" s="55">
        <v>0</v>
      </c>
      <c r="S392" s="55">
        <v>0</v>
      </c>
      <c r="T392" s="56">
        <v>0</v>
      </c>
      <c r="U392" s="57"/>
      <c r="V392" s="55">
        <v>0</v>
      </c>
      <c r="W392" s="55">
        <v>0</v>
      </c>
      <c r="X392" s="58">
        <v>0</v>
      </c>
      <c r="Y392" s="59">
        <v>0</v>
      </c>
      <c r="Z392" s="58">
        <v>0</v>
      </c>
      <c r="AA392" s="56">
        <v>0</v>
      </c>
      <c r="AB392" s="56">
        <v>0</v>
      </c>
      <c r="AC392" s="60">
        <v>46142</v>
      </c>
    </row>
    <row r="393" spans="1:29" x14ac:dyDescent="0.25">
      <c r="A393" s="43">
        <v>1054</v>
      </c>
      <c r="B393" s="44" t="s">
        <v>1294</v>
      </c>
      <c r="C393" s="45">
        <v>10110101</v>
      </c>
      <c r="D393" s="46" t="s">
        <v>759</v>
      </c>
      <c r="E393" s="47" t="s">
        <v>364</v>
      </c>
      <c r="F393" s="47" t="s">
        <v>58</v>
      </c>
      <c r="G393" s="62">
        <v>274.10000000000002</v>
      </c>
      <c r="H393" s="62">
        <v>11246.12</v>
      </c>
      <c r="I393" s="49">
        <v>0</v>
      </c>
      <c r="J393" s="49">
        <v>0</v>
      </c>
      <c r="K393" s="49">
        <v>0</v>
      </c>
      <c r="L393" s="50">
        <v>0</v>
      </c>
      <c r="M393" s="51"/>
      <c r="N393" s="52" t="s">
        <v>1300</v>
      </c>
      <c r="O393" s="31"/>
      <c r="P393" s="53">
        <v>-6.1953183190719102E-2</v>
      </c>
      <c r="Q393" s="54">
        <v>11</v>
      </c>
      <c r="R393" s="55">
        <v>0</v>
      </c>
      <c r="S393" s="55">
        <v>0</v>
      </c>
      <c r="T393" s="56">
        <v>0</v>
      </c>
      <c r="U393" s="57"/>
      <c r="V393" s="55">
        <v>0</v>
      </c>
      <c r="W393" s="55">
        <v>0</v>
      </c>
      <c r="X393" s="58">
        <v>0</v>
      </c>
      <c r="Y393" s="59">
        <v>0</v>
      </c>
      <c r="Z393" s="58">
        <v>0</v>
      </c>
      <c r="AA393" s="56">
        <v>0</v>
      </c>
      <c r="AB393" s="56">
        <v>0</v>
      </c>
      <c r="AC393" s="60">
        <v>46142</v>
      </c>
    </row>
    <row r="394" spans="1:29" x14ac:dyDescent="0.25">
      <c r="A394" s="43">
        <v>1011</v>
      </c>
      <c r="B394" s="44" t="s">
        <v>1293</v>
      </c>
      <c r="C394" s="45">
        <v>10110105</v>
      </c>
      <c r="D394" s="46" t="s">
        <v>760</v>
      </c>
      <c r="E394" s="47" t="s">
        <v>364</v>
      </c>
      <c r="F394" s="47" t="s">
        <v>58</v>
      </c>
      <c r="G394" s="62">
        <v>392.4</v>
      </c>
      <c r="H394" s="62">
        <v>14412.839999999998</v>
      </c>
      <c r="I394" s="49">
        <v>0</v>
      </c>
      <c r="J394" s="49">
        <v>0</v>
      </c>
      <c r="K394" s="49">
        <v>0</v>
      </c>
      <c r="L394" s="50">
        <v>0</v>
      </c>
      <c r="M394" s="51"/>
      <c r="N394" s="52" t="s">
        <v>1300</v>
      </c>
      <c r="O394" s="31"/>
      <c r="P394" s="53">
        <v>-0.11453310001192299</v>
      </c>
      <c r="Q394" s="54">
        <v>12</v>
      </c>
      <c r="R394" s="55">
        <v>0</v>
      </c>
      <c r="S394" s="55">
        <v>0</v>
      </c>
      <c r="T394" s="56">
        <v>0</v>
      </c>
      <c r="U394" s="57"/>
      <c r="V394" s="55">
        <v>0</v>
      </c>
      <c r="W394" s="55">
        <v>0</v>
      </c>
      <c r="X394" s="58">
        <v>0</v>
      </c>
      <c r="Y394" s="59">
        <v>0</v>
      </c>
      <c r="Z394" s="58">
        <v>0</v>
      </c>
      <c r="AA394" s="56">
        <v>0</v>
      </c>
      <c r="AB394" s="56">
        <v>0</v>
      </c>
      <c r="AC394" s="60">
        <v>46142</v>
      </c>
    </row>
    <row r="395" spans="1:29" x14ac:dyDescent="0.25">
      <c r="A395" s="43">
        <v>1011</v>
      </c>
      <c r="B395" s="44" t="s">
        <v>1293</v>
      </c>
      <c r="C395" s="45">
        <v>10110106</v>
      </c>
      <c r="D395" s="46" t="s">
        <v>761</v>
      </c>
      <c r="E395" s="47" t="s">
        <v>364</v>
      </c>
      <c r="F395" s="47" t="s">
        <v>58</v>
      </c>
      <c r="G395" s="62">
        <v>5127.6999999999989</v>
      </c>
      <c r="H395" s="62">
        <v>198450.26</v>
      </c>
      <c r="I395" s="49">
        <v>0</v>
      </c>
      <c r="J395" s="49">
        <v>0</v>
      </c>
      <c r="K395" s="49">
        <v>0</v>
      </c>
      <c r="L395" s="50">
        <v>0</v>
      </c>
      <c r="M395" s="51"/>
      <c r="N395" s="52" t="s">
        <v>1300</v>
      </c>
      <c r="O395" s="31"/>
      <c r="P395" s="53">
        <v>-1.6926842288378839E-2</v>
      </c>
      <c r="Q395" s="54">
        <v>10</v>
      </c>
      <c r="R395" s="55">
        <v>0</v>
      </c>
      <c r="S395" s="55">
        <v>0</v>
      </c>
      <c r="T395" s="56">
        <v>0</v>
      </c>
      <c r="U395" s="57"/>
      <c r="V395" s="55">
        <v>0</v>
      </c>
      <c r="W395" s="55">
        <v>0</v>
      </c>
      <c r="X395" s="58">
        <v>0</v>
      </c>
      <c r="Y395" s="59">
        <v>0</v>
      </c>
      <c r="Z395" s="58">
        <v>0</v>
      </c>
      <c r="AA395" s="56">
        <v>0</v>
      </c>
      <c r="AB395" s="56">
        <v>0</v>
      </c>
      <c r="AC395" s="60">
        <v>46142</v>
      </c>
    </row>
    <row r="396" spans="1:29" x14ac:dyDescent="0.25">
      <c r="A396" s="43">
        <v>1054</v>
      </c>
      <c r="B396" s="44" t="s">
        <v>1294</v>
      </c>
      <c r="C396" s="45">
        <v>10110109</v>
      </c>
      <c r="D396" s="46" t="s">
        <v>762</v>
      </c>
      <c r="E396" s="47" t="s">
        <v>364</v>
      </c>
      <c r="F396" s="47" t="s">
        <v>58</v>
      </c>
      <c r="G396" s="62">
        <v>267.5</v>
      </c>
      <c r="H396" s="62">
        <v>11341.97</v>
      </c>
      <c r="I396" s="49">
        <v>0</v>
      </c>
      <c r="J396" s="49">
        <v>0</v>
      </c>
      <c r="K396" s="49">
        <v>3.18</v>
      </c>
      <c r="L396" s="50" t="s">
        <v>366</v>
      </c>
      <c r="M396" s="51" t="s">
        <v>367</v>
      </c>
      <c r="N396" s="52" t="s">
        <v>1300</v>
      </c>
      <c r="O396" s="31"/>
      <c r="P396" s="53">
        <v>-6.4391133541618871E-3</v>
      </c>
      <c r="Q396" s="54">
        <v>2</v>
      </c>
      <c r="R396" s="55">
        <v>0</v>
      </c>
      <c r="S396" s="55">
        <v>0</v>
      </c>
      <c r="T396" s="56">
        <v>0</v>
      </c>
      <c r="U396" s="57"/>
      <c r="V396" s="55">
        <v>3.1811288135586437</v>
      </c>
      <c r="W396" s="55">
        <v>0</v>
      </c>
      <c r="X396" s="58">
        <v>0</v>
      </c>
      <c r="Y396" s="59">
        <v>3.1811288135586437</v>
      </c>
      <c r="Z396" s="58">
        <v>3.18</v>
      </c>
      <c r="AA396" s="56">
        <v>-1.1288135586435821E-3</v>
      </c>
      <c r="AB396" s="56">
        <v>-1.1288135586435821E-3</v>
      </c>
      <c r="AC396" s="60">
        <v>46142</v>
      </c>
    </row>
    <row r="397" spans="1:29" x14ac:dyDescent="0.25">
      <c r="A397" s="43">
        <v>1055</v>
      </c>
      <c r="B397" s="44" t="s">
        <v>142</v>
      </c>
      <c r="C397" s="45">
        <v>10110110</v>
      </c>
      <c r="D397" s="46" t="s">
        <v>763</v>
      </c>
      <c r="E397" s="47" t="s">
        <v>364</v>
      </c>
      <c r="F397" s="47" t="s">
        <v>58</v>
      </c>
      <c r="G397" s="62">
        <v>159.80000000000001</v>
      </c>
      <c r="H397" s="62">
        <v>7325.24</v>
      </c>
      <c r="I397" s="49">
        <v>0</v>
      </c>
      <c r="J397" s="49">
        <v>0</v>
      </c>
      <c r="K397" s="49">
        <v>0</v>
      </c>
      <c r="L397" s="50" t="s">
        <v>409</v>
      </c>
      <c r="M397" s="51" t="s">
        <v>554</v>
      </c>
      <c r="N397" s="52" t="s">
        <v>1300</v>
      </c>
      <c r="O397" s="31"/>
      <c r="P397" s="53">
        <v>-0.11009479909308673</v>
      </c>
      <c r="Q397" s="54">
        <v>4</v>
      </c>
      <c r="R397" s="55">
        <v>544</v>
      </c>
      <c r="S397" s="55">
        <v>0</v>
      </c>
      <c r="T397" s="56">
        <v>544</v>
      </c>
      <c r="U397" s="57"/>
      <c r="V397" s="55">
        <v>74.39484000000003</v>
      </c>
      <c r="W397" s="55">
        <v>0</v>
      </c>
      <c r="X397" s="58">
        <v>0</v>
      </c>
      <c r="Y397" s="59">
        <v>74.39484000000003</v>
      </c>
      <c r="Z397" s="58">
        <v>0</v>
      </c>
      <c r="AA397" s="56">
        <v>-74.39484000000003</v>
      </c>
      <c r="AB397" s="56">
        <v>-74.39484000000003</v>
      </c>
      <c r="AC397" s="60">
        <v>46142</v>
      </c>
    </row>
    <row r="398" spans="1:29" x14ac:dyDescent="0.25">
      <c r="A398" s="43">
        <v>1055</v>
      </c>
      <c r="B398" s="44" t="s">
        <v>142</v>
      </c>
      <c r="C398" s="45">
        <v>10110111</v>
      </c>
      <c r="D398" s="46" t="s">
        <v>764</v>
      </c>
      <c r="E398" s="47" t="s">
        <v>364</v>
      </c>
      <c r="F398" s="47" t="s">
        <v>58</v>
      </c>
      <c r="G398" s="62">
        <v>222.29999999999995</v>
      </c>
      <c r="H398" s="62">
        <v>11732.409999999996</v>
      </c>
      <c r="I398" s="49">
        <v>0</v>
      </c>
      <c r="J398" s="49">
        <v>0</v>
      </c>
      <c r="K398" s="49">
        <v>0</v>
      </c>
      <c r="L398" s="50">
        <v>0</v>
      </c>
      <c r="M398" s="51"/>
      <c r="N398" s="52" t="s">
        <v>1300</v>
      </c>
      <c r="O398" s="31"/>
      <c r="P398" s="53">
        <v>-1.1345637661207377E-2</v>
      </c>
      <c r="Q398" s="54">
        <v>4</v>
      </c>
      <c r="R398" s="55">
        <v>0</v>
      </c>
      <c r="S398" s="55">
        <v>0</v>
      </c>
      <c r="T398" s="56">
        <v>0</v>
      </c>
      <c r="U398" s="57"/>
      <c r="V398" s="55">
        <v>0</v>
      </c>
      <c r="W398" s="55">
        <v>0</v>
      </c>
      <c r="X398" s="58">
        <v>0</v>
      </c>
      <c r="Y398" s="59">
        <v>0</v>
      </c>
      <c r="Z398" s="58">
        <v>0</v>
      </c>
      <c r="AA398" s="56">
        <v>0</v>
      </c>
      <c r="AB398" s="56">
        <v>0</v>
      </c>
      <c r="AC398" s="60">
        <v>46142</v>
      </c>
    </row>
    <row r="399" spans="1:29" x14ac:dyDescent="0.25">
      <c r="A399" s="43">
        <v>1054</v>
      </c>
      <c r="B399" s="44" t="s">
        <v>1294</v>
      </c>
      <c r="C399" s="45">
        <v>10110114</v>
      </c>
      <c r="D399" s="46" t="s">
        <v>765</v>
      </c>
      <c r="E399" s="47" t="s">
        <v>364</v>
      </c>
      <c r="F399" s="47" t="s">
        <v>58</v>
      </c>
      <c r="G399" s="62">
        <v>524.19999999999993</v>
      </c>
      <c r="H399" s="62">
        <v>19221.719999999998</v>
      </c>
      <c r="I399" s="49">
        <v>0</v>
      </c>
      <c r="J399" s="49">
        <v>0</v>
      </c>
      <c r="K399" s="49">
        <v>0</v>
      </c>
      <c r="L399" s="50">
        <v>0</v>
      </c>
      <c r="M399" s="51"/>
      <c r="N399" s="52" t="s">
        <v>1300</v>
      </c>
      <c r="O399" s="31"/>
      <c r="P399" s="53">
        <v>1.7751100537048231E-2</v>
      </c>
      <c r="Q399" s="54">
        <v>2</v>
      </c>
      <c r="R399" s="55">
        <v>0</v>
      </c>
      <c r="S399" s="55">
        <v>0</v>
      </c>
      <c r="T399" s="56">
        <v>0</v>
      </c>
      <c r="U399" s="57"/>
      <c r="V399" s="55">
        <v>0</v>
      </c>
      <c r="W399" s="55">
        <v>0</v>
      </c>
      <c r="X399" s="58">
        <v>0</v>
      </c>
      <c r="Y399" s="59">
        <v>0</v>
      </c>
      <c r="Z399" s="58">
        <v>0</v>
      </c>
      <c r="AA399" s="56">
        <v>0</v>
      </c>
      <c r="AB399" s="56">
        <v>0</v>
      </c>
      <c r="AC399" s="60">
        <v>46142</v>
      </c>
    </row>
    <row r="400" spans="1:29" x14ac:dyDescent="0.25">
      <c r="A400" s="43">
        <v>1054</v>
      </c>
      <c r="B400" s="44" t="s">
        <v>1294</v>
      </c>
      <c r="C400" s="45">
        <v>10110116</v>
      </c>
      <c r="D400" s="46" t="s">
        <v>766</v>
      </c>
      <c r="E400" s="47" t="s">
        <v>364</v>
      </c>
      <c r="F400" s="47" t="s">
        <v>58</v>
      </c>
      <c r="G400" s="62">
        <v>683.40000000000009</v>
      </c>
      <c r="H400" s="62">
        <v>25072.510000000002</v>
      </c>
      <c r="I400" s="49">
        <v>0</v>
      </c>
      <c r="J400" s="49">
        <v>0</v>
      </c>
      <c r="K400" s="49">
        <v>0</v>
      </c>
      <c r="L400" s="50">
        <v>0</v>
      </c>
      <c r="M400" s="51"/>
      <c r="N400" s="52" t="s">
        <v>1300</v>
      </c>
      <c r="O400" s="31"/>
      <c r="P400" s="53">
        <v>1.3109966572953495E-3</v>
      </c>
      <c r="Q400" s="54">
        <v>5</v>
      </c>
      <c r="R400" s="55">
        <v>0</v>
      </c>
      <c r="S400" s="55">
        <v>0</v>
      </c>
      <c r="T400" s="56">
        <v>0</v>
      </c>
      <c r="U400" s="57"/>
      <c r="V400" s="55">
        <v>0</v>
      </c>
      <c r="W400" s="55">
        <v>0</v>
      </c>
      <c r="X400" s="58">
        <v>0</v>
      </c>
      <c r="Y400" s="59">
        <v>0</v>
      </c>
      <c r="Z400" s="58">
        <v>0</v>
      </c>
      <c r="AA400" s="56">
        <v>0</v>
      </c>
      <c r="AB400" s="56">
        <v>0</v>
      </c>
      <c r="AC400" s="60">
        <v>46142</v>
      </c>
    </row>
    <row r="401" spans="1:29" x14ac:dyDescent="0.25">
      <c r="A401" s="43">
        <v>1054</v>
      </c>
      <c r="B401" s="44" t="s">
        <v>1294</v>
      </c>
      <c r="C401" s="45">
        <v>10110118</v>
      </c>
      <c r="D401" s="46" t="s">
        <v>767</v>
      </c>
      <c r="E401" s="47" t="s">
        <v>364</v>
      </c>
      <c r="F401" s="47" t="s">
        <v>58</v>
      </c>
      <c r="G401" s="62">
        <v>527.29999999999995</v>
      </c>
      <c r="H401" s="62">
        <v>20551.05</v>
      </c>
      <c r="I401" s="49">
        <v>0</v>
      </c>
      <c r="J401" s="49">
        <v>0</v>
      </c>
      <c r="K401" s="49">
        <v>30.745500000000618</v>
      </c>
      <c r="L401" s="50">
        <v>0</v>
      </c>
      <c r="M401" s="51"/>
      <c r="N401" s="52" t="s">
        <v>1300</v>
      </c>
      <c r="O401" s="31"/>
      <c r="P401" s="53">
        <v>-6.530912311122479E-2</v>
      </c>
      <c r="Q401" s="54">
        <v>14</v>
      </c>
      <c r="R401" s="55">
        <v>0</v>
      </c>
      <c r="S401" s="55">
        <v>0</v>
      </c>
      <c r="T401" s="56">
        <v>0</v>
      </c>
      <c r="U401" s="57"/>
      <c r="V401" s="55">
        <v>30.745500000000618</v>
      </c>
      <c r="W401" s="55">
        <v>0</v>
      </c>
      <c r="X401" s="58">
        <v>0</v>
      </c>
      <c r="Y401" s="59">
        <v>30.745500000000618</v>
      </c>
      <c r="Z401" s="58">
        <v>30.745500000000618</v>
      </c>
      <c r="AA401" s="56">
        <v>0</v>
      </c>
      <c r="AB401" s="56">
        <v>0</v>
      </c>
      <c r="AC401" s="60">
        <v>46142</v>
      </c>
    </row>
    <row r="402" spans="1:29" x14ac:dyDescent="0.25">
      <c r="A402" s="43">
        <v>1054</v>
      </c>
      <c r="B402" s="44" t="s">
        <v>1294</v>
      </c>
      <c r="C402" s="45">
        <v>10110119</v>
      </c>
      <c r="D402" s="46" t="s">
        <v>768</v>
      </c>
      <c r="E402" s="47" t="s">
        <v>364</v>
      </c>
      <c r="F402" s="47" t="s">
        <v>58</v>
      </c>
      <c r="G402" s="62">
        <v>296.7</v>
      </c>
      <c r="H402" s="62">
        <v>11322.099999999999</v>
      </c>
      <c r="I402" s="49">
        <v>0</v>
      </c>
      <c r="J402" s="49">
        <v>0</v>
      </c>
      <c r="K402" s="49">
        <v>0</v>
      </c>
      <c r="L402" s="50">
        <v>0</v>
      </c>
      <c r="M402" s="51"/>
      <c r="N402" s="52" t="s">
        <v>1300</v>
      </c>
      <c r="O402" s="31"/>
      <c r="P402" s="53">
        <v>-4.8480052650377692E-2</v>
      </c>
      <c r="Q402" s="54">
        <v>12</v>
      </c>
      <c r="R402" s="55">
        <v>0</v>
      </c>
      <c r="S402" s="55">
        <v>0</v>
      </c>
      <c r="T402" s="56">
        <v>0</v>
      </c>
      <c r="U402" s="57"/>
      <c r="V402" s="55">
        <v>0</v>
      </c>
      <c r="W402" s="55">
        <v>0</v>
      </c>
      <c r="X402" s="58">
        <v>0</v>
      </c>
      <c r="Y402" s="59">
        <v>0</v>
      </c>
      <c r="Z402" s="58">
        <v>0</v>
      </c>
      <c r="AA402" s="56">
        <v>0</v>
      </c>
      <c r="AB402" s="56">
        <v>0</v>
      </c>
      <c r="AC402" s="60">
        <v>46142</v>
      </c>
    </row>
    <row r="403" spans="1:29" x14ac:dyDescent="0.25">
      <c r="A403" s="43">
        <v>1054</v>
      </c>
      <c r="B403" s="44" t="s">
        <v>1294</v>
      </c>
      <c r="C403" s="45">
        <v>10110120</v>
      </c>
      <c r="D403" s="46" t="s">
        <v>769</v>
      </c>
      <c r="E403" s="47" t="s">
        <v>364</v>
      </c>
      <c r="F403" s="47" t="s">
        <v>58</v>
      </c>
      <c r="G403" s="62">
        <v>1144.8</v>
      </c>
      <c r="H403" s="62">
        <v>50071.6</v>
      </c>
      <c r="I403" s="49">
        <v>0</v>
      </c>
      <c r="J403" s="49">
        <v>0</v>
      </c>
      <c r="K403" s="49">
        <v>0</v>
      </c>
      <c r="L403" s="50">
        <v>0</v>
      </c>
      <c r="M403" s="51"/>
      <c r="N403" s="52" t="s">
        <v>1300</v>
      </c>
      <c r="O403" s="31"/>
      <c r="P403" s="53">
        <v>5.1207466087462763E-6</v>
      </c>
      <c r="Q403" s="54">
        <v>6</v>
      </c>
      <c r="R403" s="55">
        <v>0</v>
      </c>
      <c r="S403" s="55">
        <v>0</v>
      </c>
      <c r="T403" s="56">
        <v>0</v>
      </c>
      <c r="U403" s="57"/>
      <c r="V403" s="55">
        <v>0</v>
      </c>
      <c r="W403" s="55">
        <v>0</v>
      </c>
      <c r="X403" s="58">
        <v>0</v>
      </c>
      <c r="Y403" s="59">
        <v>0</v>
      </c>
      <c r="Z403" s="58">
        <v>0</v>
      </c>
      <c r="AA403" s="56">
        <v>0</v>
      </c>
      <c r="AB403" s="56">
        <v>0</v>
      </c>
      <c r="AC403" s="60">
        <v>46142</v>
      </c>
    </row>
    <row r="404" spans="1:29" x14ac:dyDescent="0.25">
      <c r="A404" s="43">
        <v>1054</v>
      </c>
      <c r="B404" s="44" t="s">
        <v>1294</v>
      </c>
      <c r="C404" s="45">
        <v>10110121</v>
      </c>
      <c r="D404" s="46" t="s">
        <v>770</v>
      </c>
      <c r="E404" s="47" t="s">
        <v>364</v>
      </c>
      <c r="F404" s="47" t="s">
        <v>58</v>
      </c>
      <c r="G404" s="62">
        <v>434.1</v>
      </c>
      <c r="H404" s="62">
        <v>15652.87</v>
      </c>
      <c r="I404" s="49">
        <v>0</v>
      </c>
      <c r="J404" s="49">
        <v>0</v>
      </c>
      <c r="K404" s="49">
        <v>0</v>
      </c>
      <c r="L404" s="50">
        <v>0</v>
      </c>
      <c r="M404" s="51"/>
      <c r="N404" s="52" t="s">
        <v>1300</v>
      </c>
      <c r="O404" s="31"/>
      <c r="P404" s="53">
        <v>2.3815062988449985E-3</v>
      </c>
      <c r="Q404" s="54">
        <v>1</v>
      </c>
      <c r="R404" s="55">
        <v>0</v>
      </c>
      <c r="S404" s="55">
        <v>0</v>
      </c>
      <c r="T404" s="56">
        <v>0</v>
      </c>
      <c r="U404" s="57"/>
      <c r="V404" s="55">
        <v>0</v>
      </c>
      <c r="W404" s="55">
        <v>0</v>
      </c>
      <c r="X404" s="58">
        <v>0</v>
      </c>
      <c r="Y404" s="59">
        <v>0</v>
      </c>
      <c r="Z404" s="58">
        <v>0</v>
      </c>
      <c r="AA404" s="56">
        <v>0</v>
      </c>
      <c r="AB404" s="56">
        <v>0</v>
      </c>
      <c r="AC404" s="60">
        <v>46142</v>
      </c>
    </row>
    <row r="405" spans="1:29" x14ac:dyDescent="0.25">
      <c r="A405" s="43">
        <v>1055</v>
      </c>
      <c r="B405" s="44" t="s">
        <v>142</v>
      </c>
      <c r="C405" s="45">
        <v>10110123</v>
      </c>
      <c r="D405" s="46" t="s">
        <v>771</v>
      </c>
      <c r="E405" s="47" t="s">
        <v>364</v>
      </c>
      <c r="F405" s="47" t="s">
        <v>58</v>
      </c>
      <c r="G405" s="62">
        <v>883.30000000000018</v>
      </c>
      <c r="H405" s="62">
        <v>35565.939999999995</v>
      </c>
      <c r="I405" s="49">
        <v>0</v>
      </c>
      <c r="J405" s="49">
        <v>12621</v>
      </c>
      <c r="K405" s="49">
        <v>0</v>
      </c>
      <c r="L405" s="50">
        <v>0</v>
      </c>
      <c r="M405" s="51"/>
      <c r="N405" s="52" t="s">
        <v>1300</v>
      </c>
      <c r="O405" s="31"/>
      <c r="P405" s="53">
        <v>-1.7553462042423328E-2</v>
      </c>
      <c r="Q405" s="54">
        <v>10</v>
      </c>
      <c r="R405" s="55">
        <v>0</v>
      </c>
      <c r="S405" s="55">
        <v>0</v>
      </c>
      <c r="T405" s="56">
        <v>0</v>
      </c>
      <c r="U405" s="57"/>
      <c r="V405" s="55">
        <v>0</v>
      </c>
      <c r="W405" s="55">
        <v>0</v>
      </c>
      <c r="X405" s="58">
        <v>0</v>
      </c>
      <c r="Y405" s="59">
        <v>0</v>
      </c>
      <c r="Z405" s="58">
        <v>0</v>
      </c>
      <c r="AA405" s="56">
        <v>0</v>
      </c>
      <c r="AB405" s="56">
        <v>0</v>
      </c>
      <c r="AC405" s="60">
        <v>46142</v>
      </c>
    </row>
    <row r="406" spans="1:29" x14ac:dyDescent="0.25">
      <c r="A406" s="43">
        <v>1055</v>
      </c>
      <c r="B406" s="44" t="s">
        <v>142</v>
      </c>
      <c r="C406" s="45">
        <v>10110124</v>
      </c>
      <c r="D406" s="46" t="s">
        <v>772</v>
      </c>
      <c r="E406" s="47" t="s">
        <v>364</v>
      </c>
      <c r="F406" s="47" t="s">
        <v>58</v>
      </c>
      <c r="G406" s="62">
        <v>640.19999999999993</v>
      </c>
      <c r="H406" s="62">
        <v>25889.88</v>
      </c>
      <c r="I406" s="49">
        <v>0</v>
      </c>
      <c r="J406" s="49">
        <v>5400</v>
      </c>
      <c r="K406" s="49">
        <v>0</v>
      </c>
      <c r="L406" s="50" t="s">
        <v>366</v>
      </c>
      <c r="M406" s="51" t="s">
        <v>367</v>
      </c>
      <c r="N406" s="52" t="s">
        <v>1300</v>
      </c>
      <c r="O406" s="31"/>
      <c r="P406" s="53">
        <v>-1.2262834667796733E-2</v>
      </c>
      <c r="Q406" s="54">
        <v>12</v>
      </c>
      <c r="R406" s="55">
        <v>0</v>
      </c>
      <c r="S406" s="55">
        <v>0</v>
      </c>
      <c r="T406" s="56">
        <v>0</v>
      </c>
      <c r="U406" s="57"/>
      <c r="V406" s="55">
        <v>0</v>
      </c>
      <c r="W406" s="55">
        <v>0</v>
      </c>
      <c r="X406" s="58">
        <v>0</v>
      </c>
      <c r="Y406" s="59">
        <v>0</v>
      </c>
      <c r="Z406" s="58">
        <v>0</v>
      </c>
      <c r="AA406" s="56">
        <v>0</v>
      </c>
      <c r="AB406" s="56">
        <v>0</v>
      </c>
      <c r="AC406" s="60">
        <v>46142</v>
      </c>
    </row>
    <row r="407" spans="1:29" x14ac:dyDescent="0.25">
      <c r="A407" s="43">
        <v>1055</v>
      </c>
      <c r="B407" s="44" t="s">
        <v>142</v>
      </c>
      <c r="C407" s="45">
        <v>10110128</v>
      </c>
      <c r="D407" s="46" t="s">
        <v>773</v>
      </c>
      <c r="E407" s="47" t="s">
        <v>364</v>
      </c>
      <c r="F407" s="47" t="s">
        <v>58</v>
      </c>
      <c r="G407" s="62">
        <v>1128</v>
      </c>
      <c r="H407" s="62">
        <v>43918</v>
      </c>
      <c r="I407" s="49">
        <v>0</v>
      </c>
      <c r="J407" s="49">
        <v>0</v>
      </c>
      <c r="K407" s="49">
        <v>104.37077288135569</v>
      </c>
      <c r="L407" s="50">
        <v>0</v>
      </c>
      <c r="M407" s="51"/>
      <c r="N407" s="52" t="s">
        <v>1300</v>
      </c>
      <c r="O407" s="31"/>
      <c r="P407" s="53">
        <v>1.2290171669475636E-3</v>
      </c>
      <c r="Q407" s="54">
        <v>10</v>
      </c>
      <c r="R407" s="55">
        <v>0</v>
      </c>
      <c r="S407" s="55">
        <v>0</v>
      </c>
      <c r="T407" s="56">
        <v>0</v>
      </c>
      <c r="U407" s="57"/>
      <c r="V407" s="55">
        <v>104.37077288135569</v>
      </c>
      <c r="W407" s="55">
        <v>0</v>
      </c>
      <c r="X407" s="58">
        <v>0</v>
      </c>
      <c r="Y407" s="59">
        <v>104.37077288135569</v>
      </c>
      <c r="Z407" s="58">
        <v>104.37077288135569</v>
      </c>
      <c r="AA407" s="56">
        <v>0</v>
      </c>
      <c r="AB407" s="56">
        <v>0</v>
      </c>
      <c r="AC407" s="60">
        <v>46142</v>
      </c>
    </row>
    <row r="408" spans="1:29" x14ac:dyDescent="0.25">
      <c r="A408" s="43">
        <v>1054</v>
      </c>
      <c r="B408" s="44" t="s">
        <v>1294</v>
      </c>
      <c r="C408" s="45">
        <v>10110129</v>
      </c>
      <c r="D408" s="46" t="s">
        <v>774</v>
      </c>
      <c r="E408" s="47" t="s">
        <v>364</v>
      </c>
      <c r="F408" s="47" t="s">
        <v>58</v>
      </c>
      <c r="G408" s="62">
        <v>801.00000000000011</v>
      </c>
      <c r="H408" s="62">
        <v>29775.040000000001</v>
      </c>
      <c r="I408" s="49">
        <v>0</v>
      </c>
      <c r="J408" s="49">
        <v>0</v>
      </c>
      <c r="K408" s="49">
        <v>0</v>
      </c>
      <c r="L408" s="50">
        <v>0</v>
      </c>
      <c r="M408" s="51"/>
      <c r="N408" s="52" t="s">
        <v>1300</v>
      </c>
      <c r="O408" s="31"/>
      <c r="P408" s="53">
        <v>-0.20753870019989906</v>
      </c>
      <c r="Q408" s="54">
        <v>3</v>
      </c>
      <c r="R408" s="55">
        <v>0</v>
      </c>
      <c r="S408" s="55">
        <v>0</v>
      </c>
      <c r="T408" s="56">
        <v>0</v>
      </c>
      <c r="U408" s="57"/>
      <c r="V408" s="55">
        <v>0</v>
      </c>
      <c r="W408" s="55">
        <v>0</v>
      </c>
      <c r="X408" s="58">
        <v>0</v>
      </c>
      <c r="Y408" s="59">
        <v>0</v>
      </c>
      <c r="Z408" s="58">
        <v>0</v>
      </c>
      <c r="AA408" s="56">
        <v>0</v>
      </c>
      <c r="AB408" s="56">
        <v>0</v>
      </c>
      <c r="AC408" s="60">
        <v>46142</v>
      </c>
    </row>
    <row r="409" spans="1:29" x14ac:dyDescent="0.25">
      <c r="A409" s="43">
        <v>1054</v>
      </c>
      <c r="B409" s="44" t="s">
        <v>1294</v>
      </c>
      <c r="C409" s="45">
        <v>10110132</v>
      </c>
      <c r="D409" s="46" t="s">
        <v>775</v>
      </c>
      <c r="E409" s="47" t="s">
        <v>364</v>
      </c>
      <c r="F409" s="47" t="s">
        <v>58</v>
      </c>
      <c r="G409" s="62">
        <v>277.3</v>
      </c>
      <c r="H409" s="62">
        <v>10729.039999999999</v>
      </c>
      <c r="I409" s="49">
        <v>0</v>
      </c>
      <c r="J409" s="49">
        <v>0</v>
      </c>
      <c r="K409" s="49">
        <v>0</v>
      </c>
      <c r="L409" s="50">
        <v>0</v>
      </c>
      <c r="M409" s="51"/>
      <c r="N409" s="52" t="s">
        <v>1300</v>
      </c>
      <c r="O409" s="31"/>
      <c r="P409" s="53">
        <v>-0.1254778430021698</v>
      </c>
      <c r="Q409" s="54">
        <v>1</v>
      </c>
      <c r="R409" s="55">
        <v>0</v>
      </c>
      <c r="S409" s="55">
        <v>0</v>
      </c>
      <c r="T409" s="56">
        <v>0</v>
      </c>
      <c r="U409" s="57"/>
      <c r="V409" s="55">
        <v>0</v>
      </c>
      <c r="W409" s="55">
        <v>0</v>
      </c>
      <c r="X409" s="58">
        <v>0</v>
      </c>
      <c r="Y409" s="59">
        <v>0</v>
      </c>
      <c r="Z409" s="58">
        <v>0</v>
      </c>
      <c r="AA409" s="56">
        <v>0</v>
      </c>
      <c r="AB409" s="56">
        <v>0</v>
      </c>
      <c r="AC409" s="60">
        <v>46142</v>
      </c>
    </row>
    <row r="410" spans="1:29" x14ac:dyDescent="0.25">
      <c r="A410" s="43">
        <v>1054</v>
      </c>
      <c r="B410" s="44" t="s">
        <v>1294</v>
      </c>
      <c r="C410" s="45">
        <v>10110133</v>
      </c>
      <c r="D410" s="46" t="s">
        <v>776</v>
      </c>
      <c r="E410" s="47" t="s">
        <v>364</v>
      </c>
      <c r="F410" s="47" t="s">
        <v>58</v>
      </c>
      <c r="G410" s="62">
        <v>2336.2000000000003</v>
      </c>
      <c r="H410" s="62">
        <v>89946.67</v>
      </c>
      <c r="I410" s="49">
        <v>0</v>
      </c>
      <c r="J410" s="49">
        <v>0</v>
      </c>
      <c r="K410" s="49">
        <v>0</v>
      </c>
      <c r="L410" s="50">
        <v>0</v>
      </c>
      <c r="M410" s="51"/>
      <c r="N410" s="52" t="s">
        <v>1300</v>
      </c>
      <c r="O410" s="31"/>
      <c r="P410" s="53">
        <v>5.4758836096860542E-5</v>
      </c>
      <c r="Q410" s="54">
        <v>3</v>
      </c>
      <c r="R410" s="55">
        <v>0</v>
      </c>
      <c r="S410" s="55">
        <v>0</v>
      </c>
      <c r="T410" s="56">
        <v>0</v>
      </c>
      <c r="U410" s="57"/>
      <c r="V410" s="55">
        <v>0</v>
      </c>
      <c r="W410" s="55">
        <v>0</v>
      </c>
      <c r="X410" s="58">
        <v>0</v>
      </c>
      <c r="Y410" s="59">
        <v>0</v>
      </c>
      <c r="Z410" s="58">
        <v>0</v>
      </c>
      <c r="AA410" s="56">
        <v>0</v>
      </c>
      <c r="AB410" s="56">
        <v>0</v>
      </c>
      <c r="AC410" s="60">
        <v>46142</v>
      </c>
    </row>
    <row r="411" spans="1:29" x14ac:dyDescent="0.25">
      <c r="A411" s="43">
        <v>1054</v>
      </c>
      <c r="B411" s="44" t="s">
        <v>1294</v>
      </c>
      <c r="C411" s="45">
        <v>10110134</v>
      </c>
      <c r="D411" s="46" t="s">
        <v>620</v>
      </c>
      <c r="E411" s="47" t="s">
        <v>364</v>
      </c>
      <c r="F411" s="47" t="s">
        <v>58</v>
      </c>
      <c r="G411" s="62">
        <v>301.3</v>
      </c>
      <c r="H411" s="62">
        <v>11919.259999999998</v>
      </c>
      <c r="I411" s="49">
        <v>0</v>
      </c>
      <c r="J411" s="49">
        <v>0</v>
      </c>
      <c r="K411" s="49">
        <v>0</v>
      </c>
      <c r="L411" s="50">
        <v>0</v>
      </c>
      <c r="M411" s="51"/>
      <c r="N411" s="52" t="s">
        <v>1300</v>
      </c>
      <c r="O411" s="31"/>
      <c r="P411" s="53">
        <v>-1.8872590466735964E-2</v>
      </c>
      <c r="Q411" s="54">
        <v>6</v>
      </c>
      <c r="R411" s="55">
        <v>0</v>
      </c>
      <c r="S411" s="55">
        <v>0</v>
      </c>
      <c r="T411" s="56">
        <v>0</v>
      </c>
      <c r="U411" s="57"/>
      <c r="V411" s="55">
        <v>0</v>
      </c>
      <c r="W411" s="55">
        <v>0</v>
      </c>
      <c r="X411" s="58">
        <v>0</v>
      </c>
      <c r="Y411" s="59">
        <v>0</v>
      </c>
      <c r="Z411" s="58">
        <v>0</v>
      </c>
      <c r="AA411" s="56">
        <v>0</v>
      </c>
      <c r="AB411" s="56">
        <v>0</v>
      </c>
      <c r="AC411" s="60">
        <v>46142</v>
      </c>
    </row>
    <row r="412" spans="1:29" x14ac:dyDescent="0.25">
      <c r="A412" s="43">
        <v>1054</v>
      </c>
      <c r="B412" s="44" t="s">
        <v>1294</v>
      </c>
      <c r="C412" s="45">
        <v>10110135</v>
      </c>
      <c r="D412" s="46" t="s">
        <v>777</v>
      </c>
      <c r="E412" s="47" t="s">
        <v>364</v>
      </c>
      <c r="F412" s="47" t="s">
        <v>58</v>
      </c>
      <c r="G412" s="62">
        <v>609.5</v>
      </c>
      <c r="H412" s="62">
        <v>23428.06</v>
      </c>
      <c r="I412" s="49">
        <v>0</v>
      </c>
      <c r="J412" s="49">
        <v>0</v>
      </c>
      <c r="K412" s="49">
        <v>0</v>
      </c>
      <c r="L412" s="50">
        <v>0</v>
      </c>
      <c r="M412" s="51"/>
      <c r="N412" s="52" t="s">
        <v>1300</v>
      </c>
      <c r="O412" s="31"/>
      <c r="P412" s="53">
        <v>-2.1880358666342151E-2</v>
      </c>
      <c r="Q412" s="54">
        <v>11</v>
      </c>
      <c r="R412" s="55">
        <v>0</v>
      </c>
      <c r="S412" s="55">
        <v>0</v>
      </c>
      <c r="T412" s="56">
        <v>0</v>
      </c>
      <c r="U412" s="57"/>
      <c r="V412" s="55">
        <v>0</v>
      </c>
      <c r="W412" s="55">
        <v>0</v>
      </c>
      <c r="X412" s="58">
        <v>0</v>
      </c>
      <c r="Y412" s="59">
        <v>0</v>
      </c>
      <c r="Z412" s="58">
        <v>0</v>
      </c>
      <c r="AA412" s="56">
        <v>0</v>
      </c>
      <c r="AB412" s="56">
        <v>0</v>
      </c>
      <c r="AC412" s="60">
        <v>46142</v>
      </c>
    </row>
    <row r="413" spans="1:29" x14ac:dyDescent="0.25">
      <c r="A413" s="43">
        <v>1054</v>
      </c>
      <c r="B413" s="44" t="s">
        <v>1294</v>
      </c>
      <c r="C413" s="45">
        <v>10110140</v>
      </c>
      <c r="D413" s="46" t="s">
        <v>778</v>
      </c>
      <c r="E413" s="47" t="s">
        <v>364</v>
      </c>
      <c r="F413" s="47" t="s">
        <v>58</v>
      </c>
      <c r="G413" s="62">
        <v>210.6</v>
      </c>
      <c r="H413" s="62">
        <v>9183.7900000000009</v>
      </c>
      <c r="I413" s="49">
        <v>0</v>
      </c>
      <c r="J413" s="49">
        <v>641</v>
      </c>
      <c r="K413" s="49">
        <v>0</v>
      </c>
      <c r="L413" s="50" t="s">
        <v>409</v>
      </c>
      <c r="M413" s="51" t="s">
        <v>410</v>
      </c>
      <c r="N413" s="52" t="s">
        <v>1300</v>
      </c>
      <c r="O413" s="31"/>
      <c r="P413" s="53">
        <v>-6.4713296868843917E-2</v>
      </c>
      <c r="Q413" s="54">
        <v>6</v>
      </c>
      <c r="R413" s="55">
        <v>3255</v>
      </c>
      <c r="S413" s="55">
        <v>0</v>
      </c>
      <c r="T413" s="56">
        <v>3255</v>
      </c>
      <c r="U413" s="57"/>
      <c r="V413" s="55">
        <v>0</v>
      </c>
      <c r="W413" s="55">
        <v>0</v>
      </c>
      <c r="X413" s="58">
        <v>0</v>
      </c>
      <c r="Y413" s="59">
        <v>0</v>
      </c>
      <c r="Z413" s="58">
        <v>0</v>
      </c>
      <c r="AA413" s="56">
        <v>0</v>
      </c>
      <c r="AB413" s="56">
        <v>0</v>
      </c>
      <c r="AC413" s="60">
        <v>46142</v>
      </c>
    </row>
    <row r="414" spans="1:29" x14ac:dyDescent="0.25">
      <c r="A414" s="43">
        <v>1054</v>
      </c>
      <c r="B414" s="44" t="s">
        <v>1294</v>
      </c>
      <c r="C414" s="45">
        <v>10110141</v>
      </c>
      <c r="D414" s="46" t="s">
        <v>779</v>
      </c>
      <c r="E414" s="47" t="s">
        <v>364</v>
      </c>
      <c r="F414" s="47" t="s">
        <v>58</v>
      </c>
      <c r="G414" s="62">
        <v>983.80000000000007</v>
      </c>
      <c r="H414" s="62">
        <v>39743.249999999993</v>
      </c>
      <c r="I414" s="49">
        <v>0</v>
      </c>
      <c r="J414" s="49">
        <v>0</v>
      </c>
      <c r="K414" s="49">
        <v>0</v>
      </c>
      <c r="L414" s="50">
        <v>0</v>
      </c>
      <c r="M414" s="51"/>
      <c r="N414" s="52" t="s">
        <v>1300</v>
      </c>
      <c r="O414" s="31"/>
      <c r="P414" s="53">
        <v>-2.890414032723904E-2</v>
      </c>
      <c r="Q414" s="54">
        <v>20</v>
      </c>
      <c r="R414" s="55">
        <v>0</v>
      </c>
      <c r="S414" s="55">
        <v>0</v>
      </c>
      <c r="T414" s="56">
        <v>0</v>
      </c>
      <c r="U414" s="57"/>
      <c r="V414" s="55">
        <v>0</v>
      </c>
      <c r="W414" s="55">
        <v>0</v>
      </c>
      <c r="X414" s="58">
        <v>0</v>
      </c>
      <c r="Y414" s="59">
        <v>0</v>
      </c>
      <c r="Z414" s="58">
        <v>0</v>
      </c>
      <c r="AA414" s="56">
        <v>0</v>
      </c>
      <c r="AB414" s="56">
        <v>0</v>
      </c>
      <c r="AC414" s="60">
        <v>46142</v>
      </c>
    </row>
    <row r="415" spans="1:29" x14ac:dyDescent="0.25">
      <c r="A415" s="43">
        <v>1054</v>
      </c>
      <c r="B415" s="44" t="s">
        <v>1294</v>
      </c>
      <c r="C415" s="45">
        <v>10110143</v>
      </c>
      <c r="D415" s="46" t="s">
        <v>780</v>
      </c>
      <c r="E415" s="47" t="s">
        <v>364</v>
      </c>
      <c r="F415" s="47" t="s">
        <v>58</v>
      </c>
      <c r="G415" s="62">
        <v>1098.9000000000001</v>
      </c>
      <c r="H415" s="62">
        <v>40662.01</v>
      </c>
      <c r="I415" s="49">
        <v>0</v>
      </c>
      <c r="J415" s="49">
        <v>0</v>
      </c>
      <c r="K415" s="49">
        <v>0</v>
      </c>
      <c r="L415" s="50">
        <v>0</v>
      </c>
      <c r="M415" s="51"/>
      <c r="N415" s="52" t="s">
        <v>1300</v>
      </c>
      <c r="O415" s="31"/>
      <c r="P415" s="53">
        <v>-7.6459738636039026E-2</v>
      </c>
      <c r="Q415" s="54">
        <v>2</v>
      </c>
      <c r="R415" s="55">
        <v>0</v>
      </c>
      <c r="S415" s="55">
        <v>0</v>
      </c>
      <c r="T415" s="56">
        <v>0</v>
      </c>
      <c r="U415" s="57"/>
      <c r="V415" s="55">
        <v>0</v>
      </c>
      <c r="W415" s="55">
        <v>0</v>
      </c>
      <c r="X415" s="58">
        <v>0</v>
      </c>
      <c r="Y415" s="59">
        <v>0</v>
      </c>
      <c r="Z415" s="58">
        <v>0</v>
      </c>
      <c r="AA415" s="56">
        <v>0</v>
      </c>
      <c r="AB415" s="56">
        <v>0</v>
      </c>
      <c r="AC415" s="60">
        <v>46142</v>
      </c>
    </row>
    <row r="416" spans="1:29" x14ac:dyDescent="0.25">
      <c r="A416" s="43">
        <v>1054</v>
      </c>
      <c r="B416" s="44" t="s">
        <v>1294</v>
      </c>
      <c r="C416" s="45">
        <v>10110144</v>
      </c>
      <c r="D416" s="46" t="s">
        <v>781</v>
      </c>
      <c r="E416" s="47" t="s">
        <v>364</v>
      </c>
      <c r="F416" s="47" t="s">
        <v>58</v>
      </c>
      <c r="G416" s="62">
        <v>1080.3999999999999</v>
      </c>
      <c r="H416" s="62">
        <v>40257.430000000008</v>
      </c>
      <c r="I416" s="49">
        <v>0</v>
      </c>
      <c r="J416" s="49">
        <v>14036</v>
      </c>
      <c r="K416" s="49">
        <v>0</v>
      </c>
      <c r="L416" s="50" t="s">
        <v>409</v>
      </c>
      <c r="M416" s="51" t="s">
        <v>410</v>
      </c>
      <c r="N416" s="52" t="s">
        <v>1300</v>
      </c>
      <c r="O416" s="31"/>
      <c r="P416" s="53">
        <v>-0.15046054066164685</v>
      </c>
      <c r="Q416" s="54">
        <v>6</v>
      </c>
      <c r="R416" s="55">
        <v>14434</v>
      </c>
      <c r="S416" s="55">
        <v>0</v>
      </c>
      <c r="T416" s="56">
        <v>14434</v>
      </c>
      <c r="U416" s="57"/>
      <c r="V416" s="55">
        <v>0</v>
      </c>
      <c r="W416" s="55">
        <v>0</v>
      </c>
      <c r="X416" s="58">
        <v>0</v>
      </c>
      <c r="Y416" s="59">
        <v>0</v>
      </c>
      <c r="Z416" s="58">
        <v>0</v>
      </c>
      <c r="AA416" s="56">
        <v>0</v>
      </c>
      <c r="AB416" s="56">
        <v>0</v>
      </c>
      <c r="AC416" s="60">
        <v>46142</v>
      </c>
    </row>
    <row r="417" spans="1:29" x14ac:dyDescent="0.25">
      <c r="A417" s="43">
        <v>1011</v>
      </c>
      <c r="B417" s="44" t="s">
        <v>1293</v>
      </c>
      <c r="C417" s="45">
        <v>10110146</v>
      </c>
      <c r="D417" s="46" t="s">
        <v>782</v>
      </c>
      <c r="E417" s="47" t="s">
        <v>364</v>
      </c>
      <c r="F417" s="47" t="s">
        <v>58</v>
      </c>
      <c r="G417" s="62">
        <v>1425.1999999999998</v>
      </c>
      <c r="H417" s="62">
        <v>50364.070000000007</v>
      </c>
      <c r="I417" s="49">
        <v>0</v>
      </c>
      <c r="J417" s="49">
        <v>0</v>
      </c>
      <c r="K417" s="49">
        <v>4342.4248451612902</v>
      </c>
      <c r="L417" s="50">
        <v>0</v>
      </c>
      <c r="M417" s="51"/>
      <c r="N417" s="52" t="s">
        <v>1300</v>
      </c>
      <c r="O417" s="31"/>
      <c r="P417" s="53">
        <v>-2.5740319231547563E-2</v>
      </c>
      <c r="Q417" s="54">
        <v>4</v>
      </c>
      <c r="R417" s="55">
        <v>0</v>
      </c>
      <c r="S417" s="55">
        <v>0</v>
      </c>
      <c r="T417" s="56">
        <v>0</v>
      </c>
      <c r="U417" s="57"/>
      <c r="V417" s="55">
        <v>4342.4248451612902</v>
      </c>
      <c r="W417" s="55">
        <v>0</v>
      </c>
      <c r="X417" s="58">
        <v>0</v>
      </c>
      <c r="Y417" s="59">
        <v>4342.4248451612902</v>
      </c>
      <c r="Z417" s="58">
        <v>4342.4248451612902</v>
      </c>
      <c r="AA417" s="56">
        <v>0</v>
      </c>
      <c r="AB417" s="56">
        <v>0</v>
      </c>
      <c r="AC417" s="60">
        <v>46142</v>
      </c>
    </row>
    <row r="418" spans="1:29" x14ac:dyDescent="0.25">
      <c r="A418" s="43">
        <v>1054</v>
      </c>
      <c r="B418" s="44" t="s">
        <v>1294</v>
      </c>
      <c r="C418" s="45">
        <v>10110149</v>
      </c>
      <c r="D418" s="46" t="s">
        <v>783</v>
      </c>
      <c r="E418" s="47" t="s">
        <v>364</v>
      </c>
      <c r="F418" s="47" t="s">
        <v>58</v>
      </c>
      <c r="G418" s="62">
        <v>457.8</v>
      </c>
      <c r="H418" s="62">
        <v>16955.760000000002</v>
      </c>
      <c r="I418" s="49">
        <v>0</v>
      </c>
      <c r="J418" s="49">
        <v>1596</v>
      </c>
      <c r="K418" s="49">
        <v>0</v>
      </c>
      <c r="L418" s="50" t="s">
        <v>409</v>
      </c>
      <c r="M418" s="51" t="s">
        <v>410</v>
      </c>
      <c r="N418" s="52" t="s">
        <v>1300</v>
      </c>
      <c r="O418" s="31"/>
      <c r="P418" s="53">
        <v>-0.23158386799715264</v>
      </c>
      <c r="Q418" s="54">
        <v>4</v>
      </c>
      <c r="R418" s="55">
        <v>1857</v>
      </c>
      <c r="S418" s="55">
        <v>0</v>
      </c>
      <c r="T418" s="56">
        <v>1857</v>
      </c>
      <c r="U418" s="57"/>
      <c r="V418" s="55">
        <v>0</v>
      </c>
      <c r="W418" s="55">
        <v>0</v>
      </c>
      <c r="X418" s="58">
        <v>0</v>
      </c>
      <c r="Y418" s="59">
        <v>0</v>
      </c>
      <c r="Z418" s="58">
        <v>0</v>
      </c>
      <c r="AA418" s="56">
        <v>0</v>
      </c>
      <c r="AB418" s="56">
        <v>0</v>
      </c>
      <c r="AC418" s="60">
        <v>46142</v>
      </c>
    </row>
    <row r="419" spans="1:29" x14ac:dyDescent="0.25">
      <c r="A419" s="43">
        <v>1011</v>
      </c>
      <c r="B419" s="44" t="s">
        <v>1293</v>
      </c>
      <c r="C419" s="45">
        <v>10110153</v>
      </c>
      <c r="D419" s="46" t="s">
        <v>784</v>
      </c>
      <c r="E419" s="47" t="s">
        <v>371</v>
      </c>
      <c r="F419" s="47" t="s">
        <v>59</v>
      </c>
      <c r="G419" s="62">
        <v>491.49999999999994</v>
      </c>
      <c r="H419" s="62">
        <v>19337.97</v>
      </c>
      <c r="I419" s="49">
        <v>0</v>
      </c>
      <c r="J419" s="49">
        <v>0</v>
      </c>
      <c r="K419" s="49">
        <v>1803.3399483870967</v>
      </c>
      <c r="L419" s="50">
        <v>0</v>
      </c>
      <c r="M419" s="51"/>
      <c r="N419" s="52" t="s">
        <v>1300</v>
      </c>
      <c r="O419" s="31"/>
      <c r="P419" s="53">
        <v>0</v>
      </c>
      <c r="Q419" s="54">
        <v>0</v>
      </c>
      <c r="R419" s="55">
        <v>0</v>
      </c>
      <c r="S419" s="55">
        <v>0</v>
      </c>
      <c r="T419" s="56">
        <v>0</v>
      </c>
      <c r="U419" s="57"/>
      <c r="V419" s="55">
        <v>1803.3399483870967</v>
      </c>
      <c r="W419" s="55">
        <v>0</v>
      </c>
      <c r="X419" s="58">
        <v>0</v>
      </c>
      <c r="Y419" s="59">
        <v>1803.3399483870967</v>
      </c>
      <c r="Z419" s="58">
        <v>1803.3399483870967</v>
      </c>
      <c r="AA419" s="56">
        <v>0</v>
      </c>
      <c r="AB419" s="56">
        <v>0</v>
      </c>
      <c r="AC419" s="60">
        <v>46142</v>
      </c>
    </row>
    <row r="420" spans="1:29" x14ac:dyDescent="0.25">
      <c r="A420" s="43">
        <v>1055</v>
      </c>
      <c r="B420" s="44" t="s">
        <v>142</v>
      </c>
      <c r="C420" s="45">
        <v>10110155</v>
      </c>
      <c r="D420" s="46" t="s">
        <v>785</v>
      </c>
      <c r="E420" s="47" t="s">
        <v>371</v>
      </c>
      <c r="F420" s="47" t="s">
        <v>59</v>
      </c>
      <c r="G420" s="62">
        <v>414</v>
      </c>
      <c r="H420" s="62">
        <v>15633.83</v>
      </c>
      <c r="I420" s="49">
        <v>0</v>
      </c>
      <c r="J420" s="49">
        <v>0</v>
      </c>
      <c r="K420" s="49">
        <v>0</v>
      </c>
      <c r="L420" s="50">
        <v>0</v>
      </c>
      <c r="M420" s="51"/>
      <c r="N420" s="52" t="s">
        <v>1300</v>
      </c>
      <c r="O420" s="31"/>
      <c r="P420" s="53">
        <v>0</v>
      </c>
      <c r="Q420" s="54">
        <v>0</v>
      </c>
      <c r="R420" s="55">
        <v>0</v>
      </c>
      <c r="S420" s="55">
        <v>0</v>
      </c>
      <c r="T420" s="56">
        <v>0</v>
      </c>
      <c r="U420" s="57"/>
      <c r="V420" s="55">
        <v>0</v>
      </c>
      <c r="W420" s="55">
        <v>0</v>
      </c>
      <c r="X420" s="58">
        <v>0</v>
      </c>
      <c r="Y420" s="59">
        <v>0</v>
      </c>
      <c r="Z420" s="58">
        <v>0</v>
      </c>
      <c r="AA420" s="56">
        <v>0</v>
      </c>
      <c r="AB420" s="56">
        <v>0</v>
      </c>
      <c r="AC420" s="60">
        <v>46142</v>
      </c>
    </row>
    <row r="421" spans="1:29" x14ac:dyDescent="0.25">
      <c r="A421" s="43">
        <v>1011</v>
      </c>
      <c r="B421" s="44" t="s">
        <v>1293</v>
      </c>
      <c r="C421" s="45">
        <v>10110158</v>
      </c>
      <c r="D421" s="46" t="s">
        <v>786</v>
      </c>
      <c r="E421" s="47" t="s">
        <v>364</v>
      </c>
      <c r="F421" s="47" t="s">
        <v>58</v>
      </c>
      <c r="G421" s="62">
        <v>3516.4000000000005</v>
      </c>
      <c r="H421" s="62">
        <v>136569.53000000003</v>
      </c>
      <c r="I421" s="49">
        <v>0</v>
      </c>
      <c r="J421" s="49">
        <v>0</v>
      </c>
      <c r="K421" s="49">
        <v>930.99</v>
      </c>
      <c r="L421" s="50" t="s">
        <v>366</v>
      </c>
      <c r="M421" s="51" t="s">
        <v>367</v>
      </c>
      <c r="N421" s="52" t="s">
        <v>1300</v>
      </c>
      <c r="O421" s="31"/>
      <c r="P421" s="53">
        <v>-2.9050267130660484E-2</v>
      </c>
      <c r="Q421" s="54">
        <v>28</v>
      </c>
      <c r="R421" s="55">
        <v>0</v>
      </c>
      <c r="S421" s="55">
        <v>0</v>
      </c>
      <c r="T421" s="56">
        <v>0</v>
      </c>
      <c r="U421" s="57"/>
      <c r="V421" s="55">
        <v>930.9910838709684</v>
      </c>
      <c r="W421" s="55">
        <v>0</v>
      </c>
      <c r="X421" s="58">
        <v>0</v>
      </c>
      <c r="Y421" s="59">
        <v>930.9910838709684</v>
      </c>
      <c r="Z421" s="58">
        <v>930.99</v>
      </c>
      <c r="AA421" s="56">
        <v>-1.0838709683866909E-3</v>
      </c>
      <c r="AB421" s="56">
        <v>-1.0838709683866909E-3</v>
      </c>
      <c r="AC421" s="60">
        <v>46142</v>
      </c>
    </row>
    <row r="422" spans="1:29" x14ac:dyDescent="0.25">
      <c r="A422" s="43">
        <v>1011</v>
      </c>
      <c r="B422" s="44" t="s">
        <v>1293</v>
      </c>
      <c r="C422" s="45">
        <v>10110159</v>
      </c>
      <c r="D422" s="46" t="s">
        <v>787</v>
      </c>
      <c r="E422" s="47" t="s">
        <v>364</v>
      </c>
      <c r="F422" s="47" t="s">
        <v>58</v>
      </c>
      <c r="G422" s="62">
        <v>1489</v>
      </c>
      <c r="H422" s="62">
        <v>56125.35</v>
      </c>
      <c r="I422" s="49">
        <v>0</v>
      </c>
      <c r="J422" s="49">
        <v>0</v>
      </c>
      <c r="K422" s="49">
        <v>0</v>
      </c>
      <c r="L422" s="50">
        <v>0</v>
      </c>
      <c r="M422" s="51"/>
      <c r="N422" s="52" t="s">
        <v>1300</v>
      </c>
      <c r="O422" s="31"/>
      <c r="P422" s="53">
        <v>-5.4806962885757026E-3</v>
      </c>
      <c r="Q422" s="54">
        <v>8</v>
      </c>
      <c r="R422" s="55">
        <v>0</v>
      </c>
      <c r="S422" s="55">
        <v>0</v>
      </c>
      <c r="T422" s="56">
        <v>0</v>
      </c>
      <c r="U422" s="57"/>
      <c r="V422" s="55">
        <v>0</v>
      </c>
      <c r="W422" s="55">
        <v>0</v>
      </c>
      <c r="X422" s="58">
        <v>0</v>
      </c>
      <c r="Y422" s="59">
        <v>0</v>
      </c>
      <c r="Z422" s="58">
        <v>0</v>
      </c>
      <c r="AA422" s="56">
        <v>0</v>
      </c>
      <c r="AB422" s="56">
        <v>0</v>
      </c>
      <c r="AC422" s="60">
        <v>46142</v>
      </c>
    </row>
    <row r="423" spans="1:29" x14ac:dyDescent="0.25">
      <c r="A423" s="43">
        <v>1011</v>
      </c>
      <c r="B423" s="44" t="s">
        <v>1293</v>
      </c>
      <c r="C423" s="45">
        <v>10110160</v>
      </c>
      <c r="D423" s="46" t="s">
        <v>788</v>
      </c>
      <c r="E423" s="47" t="s">
        <v>371</v>
      </c>
      <c r="F423" s="47" t="s">
        <v>59</v>
      </c>
      <c r="G423" s="62">
        <v>844.00000000000011</v>
      </c>
      <c r="H423" s="62">
        <v>29755.230000000003</v>
      </c>
      <c r="I423" s="49">
        <v>0</v>
      </c>
      <c r="J423" s="49">
        <v>0</v>
      </c>
      <c r="K423" s="49">
        <v>0</v>
      </c>
      <c r="L423" s="50">
        <v>0</v>
      </c>
      <c r="M423" s="51"/>
      <c r="N423" s="52" t="s">
        <v>1300</v>
      </c>
      <c r="O423" s="31"/>
      <c r="P423" s="53">
        <v>0</v>
      </c>
      <c r="Q423" s="54">
        <v>0</v>
      </c>
      <c r="R423" s="55">
        <v>0</v>
      </c>
      <c r="S423" s="55">
        <v>0</v>
      </c>
      <c r="T423" s="56">
        <v>0</v>
      </c>
      <c r="U423" s="57"/>
      <c r="V423" s="55">
        <v>0</v>
      </c>
      <c r="W423" s="55">
        <v>0</v>
      </c>
      <c r="X423" s="58">
        <v>0</v>
      </c>
      <c r="Y423" s="59">
        <v>0</v>
      </c>
      <c r="Z423" s="58">
        <v>0</v>
      </c>
      <c r="AA423" s="56">
        <v>0</v>
      </c>
      <c r="AB423" s="56">
        <v>0</v>
      </c>
      <c r="AC423" s="60">
        <v>46142</v>
      </c>
    </row>
    <row r="424" spans="1:29" x14ac:dyDescent="0.25">
      <c r="A424" s="43">
        <v>1011</v>
      </c>
      <c r="B424" s="44" t="s">
        <v>1293</v>
      </c>
      <c r="C424" s="45">
        <v>10110161</v>
      </c>
      <c r="D424" s="46" t="s">
        <v>789</v>
      </c>
      <c r="E424" s="47" t="s">
        <v>371</v>
      </c>
      <c r="F424" s="47" t="s">
        <v>59</v>
      </c>
      <c r="G424" s="62">
        <v>820.3</v>
      </c>
      <c r="H424" s="62">
        <v>28827.13</v>
      </c>
      <c r="I424" s="49">
        <v>0</v>
      </c>
      <c r="J424" s="49">
        <v>0</v>
      </c>
      <c r="K424" s="49">
        <v>0</v>
      </c>
      <c r="L424" s="50">
        <v>0</v>
      </c>
      <c r="M424" s="51"/>
      <c r="N424" s="52" t="s">
        <v>1300</v>
      </c>
      <c r="O424" s="31"/>
      <c r="P424" s="53">
        <v>0</v>
      </c>
      <c r="Q424" s="54">
        <v>0</v>
      </c>
      <c r="R424" s="55">
        <v>0</v>
      </c>
      <c r="S424" s="55">
        <v>0</v>
      </c>
      <c r="T424" s="56">
        <v>0</v>
      </c>
      <c r="U424" s="57"/>
      <c r="V424" s="55">
        <v>0</v>
      </c>
      <c r="W424" s="55">
        <v>0</v>
      </c>
      <c r="X424" s="58">
        <v>0</v>
      </c>
      <c r="Y424" s="59">
        <v>0</v>
      </c>
      <c r="Z424" s="58">
        <v>0</v>
      </c>
      <c r="AA424" s="56">
        <v>0</v>
      </c>
      <c r="AB424" s="56">
        <v>0</v>
      </c>
      <c r="AC424" s="60">
        <v>46142</v>
      </c>
    </row>
    <row r="425" spans="1:29" x14ac:dyDescent="0.25">
      <c r="A425" s="43">
        <v>1011</v>
      </c>
      <c r="B425" s="44" t="s">
        <v>1293</v>
      </c>
      <c r="C425" s="45">
        <v>10110164</v>
      </c>
      <c r="D425" s="46" t="s">
        <v>790</v>
      </c>
      <c r="E425" s="47" t="s">
        <v>364</v>
      </c>
      <c r="F425" s="47" t="s">
        <v>58</v>
      </c>
      <c r="G425" s="62">
        <v>261.2</v>
      </c>
      <c r="H425" s="62">
        <v>11131.19</v>
      </c>
      <c r="I425" s="49">
        <v>0</v>
      </c>
      <c r="J425" s="49">
        <v>0</v>
      </c>
      <c r="K425" s="49">
        <v>0</v>
      </c>
      <c r="L425" s="50">
        <v>0</v>
      </c>
      <c r="M425" s="51"/>
      <c r="N425" s="52" t="s">
        <v>1300</v>
      </c>
      <c r="O425" s="31"/>
      <c r="P425" s="53">
        <v>2.6063322969051457E-4</v>
      </c>
      <c r="Q425" s="54">
        <v>4</v>
      </c>
      <c r="R425" s="55">
        <v>0</v>
      </c>
      <c r="S425" s="55">
        <v>0</v>
      </c>
      <c r="T425" s="56">
        <v>0</v>
      </c>
      <c r="U425" s="57"/>
      <c r="V425" s="55">
        <v>0</v>
      </c>
      <c r="W425" s="55">
        <v>0</v>
      </c>
      <c r="X425" s="58">
        <v>0</v>
      </c>
      <c r="Y425" s="59">
        <v>0</v>
      </c>
      <c r="Z425" s="58">
        <v>0</v>
      </c>
      <c r="AA425" s="56">
        <v>0</v>
      </c>
      <c r="AB425" s="56">
        <v>0</v>
      </c>
      <c r="AC425" s="60">
        <v>46142</v>
      </c>
    </row>
    <row r="426" spans="1:29" x14ac:dyDescent="0.25">
      <c r="A426" s="43">
        <v>1011</v>
      </c>
      <c r="B426" s="44" t="s">
        <v>1293</v>
      </c>
      <c r="C426" s="45">
        <v>10110166</v>
      </c>
      <c r="D426" s="46" t="s">
        <v>791</v>
      </c>
      <c r="E426" s="47" t="s">
        <v>371</v>
      </c>
      <c r="F426" s="47" t="s">
        <v>59</v>
      </c>
      <c r="G426" s="62">
        <v>422.09999999999997</v>
      </c>
      <c r="H426" s="62">
        <v>15186.479999999998</v>
      </c>
      <c r="I426" s="49">
        <v>0</v>
      </c>
      <c r="J426" s="49">
        <v>0</v>
      </c>
      <c r="K426" s="49">
        <v>0</v>
      </c>
      <c r="L426" s="50">
        <v>0</v>
      </c>
      <c r="M426" s="51"/>
      <c r="N426" s="52" t="s">
        <v>1300</v>
      </c>
      <c r="O426" s="31"/>
      <c r="P426" s="53">
        <v>0</v>
      </c>
      <c r="Q426" s="54">
        <v>0</v>
      </c>
      <c r="R426" s="55">
        <v>0</v>
      </c>
      <c r="S426" s="55">
        <v>0</v>
      </c>
      <c r="T426" s="56">
        <v>0</v>
      </c>
      <c r="U426" s="57"/>
      <c r="V426" s="55">
        <v>0</v>
      </c>
      <c r="W426" s="55">
        <v>0</v>
      </c>
      <c r="X426" s="58">
        <v>0</v>
      </c>
      <c r="Y426" s="59">
        <v>0</v>
      </c>
      <c r="Z426" s="58">
        <v>0</v>
      </c>
      <c r="AA426" s="56">
        <v>0</v>
      </c>
      <c r="AB426" s="56">
        <v>0</v>
      </c>
      <c r="AC426" s="60">
        <v>46142</v>
      </c>
    </row>
    <row r="427" spans="1:29" x14ac:dyDescent="0.25">
      <c r="A427" s="43">
        <v>1011</v>
      </c>
      <c r="B427" s="44" t="s">
        <v>1293</v>
      </c>
      <c r="C427" s="45">
        <v>10110167</v>
      </c>
      <c r="D427" s="46" t="s">
        <v>792</v>
      </c>
      <c r="E427" s="47" t="s">
        <v>364</v>
      </c>
      <c r="F427" s="47" t="s">
        <v>58</v>
      </c>
      <c r="G427" s="62">
        <v>48.5</v>
      </c>
      <c r="H427" s="62">
        <v>1922.15</v>
      </c>
      <c r="I427" s="49">
        <v>0</v>
      </c>
      <c r="J427" s="49">
        <v>0</v>
      </c>
      <c r="K427" s="49">
        <v>113.45414482758619</v>
      </c>
      <c r="L427" s="50">
        <v>0</v>
      </c>
      <c r="M427" s="51"/>
      <c r="N427" s="52" t="s">
        <v>1300</v>
      </c>
      <c r="O427" s="31"/>
      <c r="P427" s="53">
        <v>2.3579200374509109E-5</v>
      </c>
      <c r="Q427" s="54">
        <v>1</v>
      </c>
      <c r="R427" s="55">
        <v>0</v>
      </c>
      <c r="S427" s="55">
        <v>0</v>
      </c>
      <c r="T427" s="56">
        <v>0</v>
      </c>
      <c r="U427" s="57"/>
      <c r="V427" s="55">
        <v>113.45414482758619</v>
      </c>
      <c r="W427" s="55">
        <v>0</v>
      </c>
      <c r="X427" s="58">
        <v>0</v>
      </c>
      <c r="Y427" s="59">
        <v>113.45414482758619</v>
      </c>
      <c r="Z427" s="58">
        <v>113.45414482758619</v>
      </c>
      <c r="AA427" s="56">
        <v>0</v>
      </c>
      <c r="AB427" s="56">
        <v>0</v>
      </c>
      <c r="AC427" s="60">
        <v>46142</v>
      </c>
    </row>
    <row r="428" spans="1:29" x14ac:dyDescent="0.25">
      <c r="A428" s="43">
        <v>1011</v>
      </c>
      <c r="B428" s="44" t="s">
        <v>1293</v>
      </c>
      <c r="C428" s="45">
        <v>10110168</v>
      </c>
      <c r="D428" s="46" t="s">
        <v>793</v>
      </c>
      <c r="E428" s="47" t="s">
        <v>364</v>
      </c>
      <c r="F428" s="47" t="s">
        <v>58</v>
      </c>
      <c r="G428" s="62">
        <v>1619.7000000000003</v>
      </c>
      <c r="H428" s="62">
        <v>59166.41</v>
      </c>
      <c r="I428" s="49">
        <v>0</v>
      </c>
      <c r="J428" s="49">
        <v>0</v>
      </c>
      <c r="K428" s="49">
        <v>0</v>
      </c>
      <c r="L428" s="50">
        <v>0</v>
      </c>
      <c r="M428" s="51"/>
      <c r="N428" s="52" t="s">
        <v>1300</v>
      </c>
      <c r="O428" s="31"/>
      <c r="P428" s="53">
        <v>1.4220778643152352E-2</v>
      </c>
      <c r="Q428" s="54">
        <v>3</v>
      </c>
      <c r="R428" s="55">
        <v>0</v>
      </c>
      <c r="S428" s="55">
        <v>0</v>
      </c>
      <c r="T428" s="56">
        <v>0</v>
      </c>
      <c r="U428" s="57"/>
      <c r="V428" s="55">
        <v>0</v>
      </c>
      <c r="W428" s="55">
        <v>0</v>
      </c>
      <c r="X428" s="58">
        <v>0</v>
      </c>
      <c r="Y428" s="59">
        <v>0</v>
      </c>
      <c r="Z428" s="58">
        <v>0</v>
      </c>
      <c r="AA428" s="56">
        <v>0</v>
      </c>
      <c r="AB428" s="56">
        <v>0</v>
      </c>
      <c r="AC428" s="60">
        <v>46142</v>
      </c>
    </row>
    <row r="429" spans="1:29" x14ac:dyDescent="0.25">
      <c r="A429" s="43">
        <v>1011</v>
      </c>
      <c r="B429" s="44" t="s">
        <v>1293</v>
      </c>
      <c r="C429" s="45">
        <v>10110172</v>
      </c>
      <c r="D429" s="46" t="s">
        <v>794</v>
      </c>
      <c r="E429" s="47" t="s">
        <v>364</v>
      </c>
      <c r="F429" s="47" t="s">
        <v>58</v>
      </c>
      <c r="G429" s="62">
        <v>296.8</v>
      </c>
      <c r="H429" s="62">
        <v>10526.159999999998</v>
      </c>
      <c r="I429" s="49">
        <v>0</v>
      </c>
      <c r="J429" s="49">
        <v>0</v>
      </c>
      <c r="K429" s="49">
        <v>0</v>
      </c>
      <c r="L429" s="50">
        <v>0</v>
      </c>
      <c r="M429" s="51"/>
      <c r="N429" s="52" t="s">
        <v>1300</v>
      </c>
      <c r="O429" s="31"/>
      <c r="P429" s="53">
        <v>3.3330408827146906E-3</v>
      </c>
      <c r="Q429" s="54">
        <v>1</v>
      </c>
      <c r="R429" s="55">
        <v>0</v>
      </c>
      <c r="S429" s="55">
        <v>0</v>
      </c>
      <c r="T429" s="56">
        <v>0</v>
      </c>
      <c r="U429" s="57"/>
      <c r="V429" s="55">
        <v>0</v>
      </c>
      <c r="W429" s="55">
        <v>0</v>
      </c>
      <c r="X429" s="58">
        <v>0</v>
      </c>
      <c r="Y429" s="59">
        <v>0</v>
      </c>
      <c r="Z429" s="58">
        <v>0</v>
      </c>
      <c r="AA429" s="56">
        <v>0</v>
      </c>
      <c r="AB429" s="56">
        <v>0</v>
      </c>
      <c r="AC429" s="60">
        <v>46142</v>
      </c>
    </row>
    <row r="430" spans="1:29" x14ac:dyDescent="0.25">
      <c r="A430" s="43">
        <v>1011</v>
      </c>
      <c r="B430" s="44" t="s">
        <v>1293</v>
      </c>
      <c r="C430" s="45">
        <v>10110173</v>
      </c>
      <c r="D430" s="46" t="s">
        <v>795</v>
      </c>
      <c r="E430" s="47" t="s">
        <v>371</v>
      </c>
      <c r="F430" s="47" t="s">
        <v>59</v>
      </c>
      <c r="G430" s="62">
        <v>229.9</v>
      </c>
      <c r="H430" s="62">
        <v>9376.8700000000008</v>
      </c>
      <c r="I430" s="49">
        <v>0</v>
      </c>
      <c r="J430" s="49">
        <v>0</v>
      </c>
      <c r="K430" s="49">
        <v>1379.6112387096782</v>
      </c>
      <c r="L430" s="50">
        <v>0</v>
      </c>
      <c r="M430" s="51"/>
      <c r="N430" s="52" t="s">
        <v>1300</v>
      </c>
      <c r="O430" s="31"/>
      <c r="P430" s="53">
        <v>0</v>
      </c>
      <c r="Q430" s="54">
        <v>0</v>
      </c>
      <c r="R430" s="55">
        <v>0</v>
      </c>
      <c r="S430" s="55">
        <v>0</v>
      </c>
      <c r="T430" s="56">
        <v>0</v>
      </c>
      <c r="U430" s="57"/>
      <c r="V430" s="55">
        <v>1379.6112387096782</v>
      </c>
      <c r="W430" s="55">
        <v>0</v>
      </c>
      <c r="X430" s="58">
        <v>0</v>
      </c>
      <c r="Y430" s="59">
        <v>1379.6112387096782</v>
      </c>
      <c r="Z430" s="58">
        <v>1379.6112387096782</v>
      </c>
      <c r="AA430" s="56">
        <v>0</v>
      </c>
      <c r="AB430" s="56">
        <v>0</v>
      </c>
      <c r="AC430" s="60">
        <v>46142</v>
      </c>
    </row>
    <row r="431" spans="1:29" x14ac:dyDescent="0.25">
      <c r="A431" s="43">
        <v>1011</v>
      </c>
      <c r="B431" s="44" t="s">
        <v>1293</v>
      </c>
      <c r="C431" s="45">
        <v>10110176</v>
      </c>
      <c r="D431" s="46" t="s">
        <v>796</v>
      </c>
      <c r="E431" s="47" t="s">
        <v>371</v>
      </c>
      <c r="F431" s="47" t="s">
        <v>59</v>
      </c>
      <c r="G431" s="62">
        <v>249.89999999999998</v>
      </c>
      <c r="H431" s="62">
        <v>8997.8900000000012</v>
      </c>
      <c r="I431" s="49">
        <v>0</v>
      </c>
      <c r="J431" s="49">
        <v>0</v>
      </c>
      <c r="K431" s="49">
        <v>653.0864516129036</v>
      </c>
      <c r="L431" s="50">
        <v>0</v>
      </c>
      <c r="M431" s="51"/>
      <c r="N431" s="52" t="s">
        <v>1300</v>
      </c>
      <c r="O431" s="31"/>
      <c r="P431" s="53">
        <v>0</v>
      </c>
      <c r="Q431" s="54">
        <v>0</v>
      </c>
      <c r="R431" s="55">
        <v>0</v>
      </c>
      <c r="S431" s="55">
        <v>0</v>
      </c>
      <c r="T431" s="56">
        <v>0</v>
      </c>
      <c r="U431" s="57"/>
      <c r="V431" s="55">
        <v>653.0864516129036</v>
      </c>
      <c r="W431" s="55">
        <v>0</v>
      </c>
      <c r="X431" s="58">
        <v>0</v>
      </c>
      <c r="Y431" s="59">
        <v>653.0864516129036</v>
      </c>
      <c r="Z431" s="58">
        <v>653.0864516129036</v>
      </c>
      <c r="AA431" s="56">
        <v>0</v>
      </c>
      <c r="AB431" s="56">
        <v>0</v>
      </c>
      <c r="AC431" s="60">
        <v>46142</v>
      </c>
    </row>
    <row r="432" spans="1:29" x14ac:dyDescent="0.25">
      <c r="A432" s="43">
        <v>1011</v>
      </c>
      <c r="B432" s="44" t="s">
        <v>1293</v>
      </c>
      <c r="C432" s="45">
        <v>10110177</v>
      </c>
      <c r="D432" s="46" t="s">
        <v>797</v>
      </c>
      <c r="E432" s="47" t="s">
        <v>364</v>
      </c>
      <c r="F432" s="47" t="s">
        <v>58</v>
      </c>
      <c r="G432" s="62">
        <v>552.20000000000005</v>
      </c>
      <c r="H432" s="62">
        <v>23480.420000000002</v>
      </c>
      <c r="I432" s="49">
        <v>0</v>
      </c>
      <c r="J432" s="49">
        <v>0</v>
      </c>
      <c r="K432" s="49">
        <v>0</v>
      </c>
      <c r="L432" s="50">
        <v>0</v>
      </c>
      <c r="M432" s="51"/>
      <c r="N432" s="52" t="s">
        <v>1300</v>
      </c>
      <c r="O432" s="31"/>
      <c r="P432" s="53">
        <v>4.712815700493748E-5</v>
      </c>
      <c r="Q432" s="54">
        <v>3</v>
      </c>
      <c r="R432" s="55">
        <v>0</v>
      </c>
      <c r="S432" s="55">
        <v>0</v>
      </c>
      <c r="T432" s="56">
        <v>0</v>
      </c>
      <c r="U432" s="57"/>
      <c r="V432" s="55">
        <v>0</v>
      </c>
      <c r="W432" s="55">
        <v>0</v>
      </c>
      <c r="X432" s="58">
        <v>0</v>
      </c>
      <c r="Y432" s="59">
        <v>0</v>
      </c>
      <c r="Z432" s="58">
        <v>0</v>
      </c>
      <c r="AA432" s="56">
        <v>0</v>
      </c>
      <c r="AB432" s="56">
        <v>0</v>
      </c>
      <c r="AC432" s="60">
        <v>46142</v>
      </c>
    </row>
    <row r="433" spans="1:29" x14ac:dyDescent="0.25">
      <c r="A433" s="43">
        <v>1011</v>
      </c>
      <c r="B433" s="44" t="s">
        <v>1293</v>
      </c>
      <c r="C433" s="45">
        <v>10110178</v>
      </c>
      <c r="D433" s="46" t="s">
        <v>798</v>
      </c>
      <c r="E433" s="47" t="s">
        <v>371</v>
      </c>
      <c r="F433" s="47" t="s">
        <v>59</v>
      </c>
      <c r="G433" s="62">
        <v>6710.8</v>
      </c>
      <c r="H433" s="62">
        <v>250303.82000000004</v>
      </c>
      <c r="I433" s="49">
        <v>0</v>
      </c>
      <c r="J433" s="49">
        <v>0</v>
      </c>
      <c r="K433" s="49">
        <v>0</v>
      </c>
      <c r="L433" s="50">
        <v>0</v>
      </c>
      <c r="M433" s="51"/>
      <c r="N433" s="52" t="s">
        <v>1300</v>
      </c>
      <c r="O433" s="31"/>
      <c r="P433" s="53">
        <v>0</v>
      </c>
      <c r="Q433" s="54">
        <v>0</v>
      </c>
      <c r="R433" s="55">
        <v>0</v>
      </c>
      <c r="S433" s="55">
        <v>0</v>
      </c>
      <c r="T433" s="56">
        <v>0</v>
      </c>
      <c r="U433" s="57"/>
      <c r="V433" s="55">
        <v>0</v>
      </c>
      <c r="W433" s="55">
        <v>0</v>
      </c>
      <c r="X433" s="58">
        <v>0</v>
      </c>
      <c r="Y433" s="59">
        <v>0</v>
      </c>
      <c r="Z433" s="58">
        <v>0</v>
      </c>
      <c r="AA433" s="56">
        <v>0</v>
      </c>
      <c r="AB433" s="56">
        <v>0</v>
      </c>
      <c r="AC433" s="60">
        <v>46142</v>
      </c>
    </row>
    <row r="434" spans="1:29" x14ac:dyDescent="0.25">
      <c r="A434" s="43">
        <v>1011</v>
      </c>
      <c r="B434" s="44" t="s">
        <v>1293</v>
      </c>
      <c r="C434" s="45">
        <v>10110181</v>
      </c>
      <c r="D434" s="46" t="s">
        <v>799</v>
      </c>
      <c r="E434" s="47" t="s">
        <v>364</v>
      </c>
      <c r="F434" s="47" t="s">
        <v>58</v>
      </c>
      <c r="G434" s="62">
        <v>68.5</v>
      </c>
      <c r="H434" s="62">
        <v>2494.34</v>
      </c>
      <c r="I434" s="49">
        <v>0</v>
      </c>
      <c r="J434" s="49">
        <v>0</v>
      </c>
      <c r="K434" s="49">
        <v>0</v>
      </c>
      <c r="L434" s="50">
        <v>0</v>
      </c>
      <c r="M434" s="51"/>
      <c r="N434" s="52" t="s">
        <v>1300</v>
      </c>
      <c r="O434" s="31"/>
      <c r="P434" s="53">
        <v>1.6628865031230608E-2</v>
      </c>
      <c r="Q434" s="54">
        <v>1</v>
      </c>
      <c r="R434" s="55">
        <v>0</v>
      </c>
      <c r="S434" s="55">
        <v>0</v>
      </c>
      <c r="T434" s="56">
        <v>0</v>
      </c>
      <c r="U434" s="57"/>
      <c r="V434" s="55">
        <v>0</v>
      </c>
      <c r="W434" s="55">
        <v>0</v>
      </c>
      <c r="X434" s="58">
        <v>0</v>
      </c>
      <c r="Y434" s="59">
        <v>0</v>
      </c>
      <c r="Z434" s="58">
        <v>0</v>
      </c>
      <c r="AA434" s="56">
        <v>0</v>
      </c>
      <c r="AB434" s="56">
        <v>0</v>
      </c>
      <c r="AC434" s="60">
        <v>46142</v>
      </c>
    </row>
    <row r="435" spans="1:29" x14ac:dyDescent="0.25">
      <c r="A435" s="43">
        <v>1011</v>
      </c>
      <c r="B435" s="44" t="s">
        <v>1293</v>
      </c>
      <c r="C435" s="45">
        <v>10110183</v>
      </c>
      <c r="D435" s="46" t="s">
        <v>800</v>
      </c>
      <c r="E435" s="47" t="s">
        <v>371</v>
      </c>
      <c r="F435" s="47" t="s">
        <v>59</v>
      </c>
      <c r="G435" s="62">
        <v>1457.5000000000002</v>
      </c>
      <c r="H435" s="62">
        <v>59508.170000000006</v>
      </c>
      <c r="I435" s="49">
        <v>0</v>
      </c>
      <c r="J435" s="49">
        <v>0</v>
      </c>
      <c r="K435" s="49">
        <v>0</v>
      </c>
      <c r="L435" s="50">
        <v>0</v>
      </c>
      <c r="M435" s="51"/>
      <c r="N435" s="52" t="s">
        <v>1300</v>
      </c>
      <c r="O435" s="31"/>
      <c r="P435" s="53">
        <v>0</v>
      </c>
      <c r="Q435" s="54">
        <v>0</v>
      </c>
      <c r="R435" s="55">
        <v>0</v>
      </c>
      <c r="S435" s="55">
        <v>0</v>
      </c>
      <c r="T435" s="56">
        <v>0</v>
      </c>
      <c r="U435" s="57"/>
      <c r="V435" s="55">
        <v>0</v>
      </c>
      <c r="W435" s="55">
        <v>0</v>
      </c>
      <c r="X435" s="58">
        <v>0</v>
      </c>
      <c r="Y435" s="59">
        <v>0</v>
      </c>
      <c r="Z435" s="58">
        <v>0</v>
      </c>
      <c r="AA435" s="56">
        <v>0</v>
      </c>
      <c r="AB435" s="56">
        <v>0</v>
      </c>
      <c r="AC435" s="60">
        <v>46142</v>
      </c>
    </row>
    <row r="436" spans="1:29" x14ac:dyDescent="0.25">
      <c r="A436" s="43">
        <v>1011</v>
      </c>
      <c r="B436" s="44" t="s">
        <v>1293</v>
      </c>
      <c r="C436" s="45">
        <v>10110184</v>
      </c>
      <c r="D436" s="46" t="s">
        <v>801</v>
      </c>
      <c r="E436" s="47" t="s">
        <v>371</v>
      </c>
      <c r="F436" s="47" t="s">
        <v>59</v>
      </c>
      <c r="G436" s="62">
        <v>470.40000000000003</v>
      </c>
      <c r="H436" s="62">
        <v>18822.849999999999</v>
      </c>
      <c r="I436" s="49">
        <v>0</v>
      </c>
      <c r="J436" s="49">
        <v>0</v>
      </c>
      <c r="K436" s="49">
        <v>0</v>
      </c>
      <c r="L436" s="50">
        <v>0</v>
      </c>
      <c r="M436" s="51"/>
      <c r="N436" s="52" t="s">
        <v>1300</v>
      </c>
      <c r="O436" s="31"/>
      <c r="P436" s="53">
        <v>0</v>
      </c>
      <c r="Q436" s="54">
        <v>0</v>
      </c>
      <c r="R436" s="55">
        <v>0</v>
      </c>
      <c r="S436" s="55">
        <v>0</v>
      </c>
      <c r="T436" s="56">
        <v>0</v>
      </c>
      <c r="U436" s="57"/>
      <c r="V436" s="55">
        <v>0</v>
      </c>
      <c r="W436" s="55">
        <v>0</v>
      </c>
      <c r="X436" s="58">
        <v>0</v>
      </c>
      <c r="Y436" s="59">
        <v>0</v>
      </c>
      <c r="Z436" s="58">
        <v>0</v>
      </c>
      <c r="AA436" s="56">
        <v>0</v>
      </c>
      <c r="AB436" s="56">
        <v>0</v>
      </c>
      <c r="AC436" s="60">
        <v>46142</v>
      </c>
    </row>
    <row r="437" spans="1:29" x14ac:dyDescent="0.25">
      <c r="A437" s="43">
        <v>1011</v>
      </c>
      <c r="B437" s="44" t="s">
        <v>1293</v>
      </c>
      <c r="C437" s="45">
        <v>10110185</v>
      </c>
      <c r="D437" s="46" t="s">
        <v>802</v>
      </c>
      <c r="E437" s="47" t="s">
        <v>371</v>
      </c>
      <c r="F437" s="47" t="s">
        <v>59</v>
      </c>
      <c r="G437" s="62">
        <v>271.20000000000005</v>
      </c>
      <c r="H437" s="62">
        <v>10112.469999999999</v>
      </c>
      <c r="I437" s="49">
        <v>0</v>
      </c>
      <c r="J437" s="49">
        <v>0</v>
      </c>
      <c r="K437" s="49">
        <v>0</v>
      </c>
      <c r="L437" s="50">
        <v>0</v>
      </c>
      <c r="M437" s="51"/>
      <c r="N437" s="52" t="s">
        <v>1300</v>
      </c>
      <c r="O437" s="31"/>
      <c r="P437" s="53">
        <v>0</v>
      </c>
      <c r="Q437" s="54">
        <v>0</v>
      </c>
      <c r="R437" s="55">
        <v>0</v>
      </c>
      <c r="S437" s="55">
        <v>0</v>
      </c>
      <c r="T437" s="56">
        <v>0</v>
      </c>
      <c r="U437" s="57"/>
      <c r="V437" s="55">
        <v>0</v>
      </c>
      <c r="W437" s="55">
        <v>0</v>
      </c>
      <c r="X437" s="58">
        <v>0</v>
      </c>
      <c r="Y437" s="59">
        <v>0</v>
      </c>
      <c r="Z437" s="58">
        <v>0</v>
      </c>
      <c r="AA437" s="56">
        <v>0</v>
      </c>
      <c r="AB437" s="56">
        <v>0</v>
      </c>
      <c r="AC437" s="60">
        <v>46142</v>
      </c>
    </row>
    <row r="438" spans="1:29" x14ac:dyDescent="0.25">
      <c r="A438" s="43">
        <v>1011</v>
      </c>
      <c r="B438" s="44" t="s">
        <v>1293</v>
      </c>
      <c r="C438" s="45">
        <v>10110186</v>
      </c>
      <c r="D438" s="46" t="s">
        <v>803</v>
      </c>
      <c r="E438" s="47" t="s">
        <v>364</v>
      </c>
      <c r="F438" s="47" t="s">
        <v>58</v>
      </c>
      <c r="G438" s="62">
        <v>156.80000000000001</v>
      </c>
      <c r="H438" s="62">
        <v>5931.93</v>
      </c>
      <c r="I438" s="49">
        <v>0</v>
      </c>
      <c r="J438" s="49">
        <v>0</v>
      </c>
      <c r="K438" s="49">
        <v>0</v>
      </c>
      <c r="L438" s="50">
        <v>0</v>
      </c>
      <c r="M438" s="51"/>
      <c r="N438" s="52" t="s">
        <v>1300</v>
      </c>
      <c r="O438" s="31"/>
      <c r="P438" s="53">
        <v>1.0627772883361778E-2</v>
      </c>
      <c r="Q438" s="54">
        <v>1</v>
      </c>
      <c r="R438" s="55">
        <v>0</v>
      </c>
      <c r="S438" s="55">
        <v>0</v>
      </c>
      <c r="T438" s="56">
        <v>0</v>
      </c>
      <c r="U438" s="57"/>
      <c r="V438" s="55">
        <v>0</v>
      </c>
      <c r="W438" s="55">
        <v>0</v>
      </c>
      <c r="X438" s="58">
        <v>0</v>
      </c>
      <c r="Y438" s="59">
        <v>0</v>
      </c>
      <c r="Z438" s="58">
        <v>0</v>
      </c>
      <c r="AA438" s="56">
        <v>0</v>
      </c>
      <c r="AB438" s="56">
        <v>0</v>
      </c>
      <c r="AC438" s="60">
        <v>46142</v>
      </c>
    </row>
    <row r="439" spans="1:29" x14ac:dyDescent="0.25">
      <c r="A439" s="43">
        <v>1012</v>
      </c>
      <c r="B439" s="44" t="s">
        <v>1295</v>
      </c>
      <c r="C439" s="45">
        <v>10120001</v>
      </c>
      <c r="D439" s="46" t="s">
        <v>804</v>
      </c>
      <c r="E439" s="47" t="s">
        <v>371</v>
      </c>
      <c r="F439" s="47" t="s">
        <v>59</v>
      </c>
      <c r="G439" s="62">
        <v>99.98</v>
      </c>
      <c r="H439" s="62">
        <v>4700.41</v>
      </c>
      <c r="I439" s="49">
        <v>0</v>
      </c>
      <c r="J439" s="49">
        <v>4700</v>
      </c>
      <c r="K439" s="49">
        <v>0</v>
      </c>
      <c r="L439" s="50">
        <v>0</v>
      </c>
      <c r="M439" s="51"/>
      <c r="N439" s="52" t="s">
        <v>1300</v>
      </c>
      <c r="O439" s="31"/>
      <c r="P439" s="53">
        <v>0</v>
      </c>
      <c r="Q439" s="54">
        <v>0</v>
      </c>
      <c r="R439" s="55">
        <v>14673</v>
      </c>
      <c r="S439" s="55">
        <v>350</v>
      </c>
      <c r="T439" s="56">
        <v>14323</v>
      </c>
      <c r="U439" s="57"/>
      <c r="V439" s="55">
        <v>0</v>
      </c>
      <c r="W439" s="55">
        <v>0</v>
      </c>
      <c r="X439" s="58">
        <v>0</v>
      </c>
      <c r="Y439" s="59">
        <v>0</v>
      </c>
      <c r="Z439" s="58">
        <v>0</v>
      </c>
      <c r="AA439" s="56">
        <v>0</v>
      </c>
      <c r="AB439" s="56">
        <v>0</v>
      </c>
      <c r="AC439" s="60">
        <v>46142</v>
      </c>
    </row>
    <row r="440" spans="1:29" x14ac:dyDescent="0.25">
      <c r="A440" s="43">
        <v>1012</v>
      </c>
      <c r="B440" s="44" t="s">
        <v>1295</v>
      </c>
      <c r="C440" s="45">
        <v>10120002</v>
      </c>
      <c r="D440" s="46" t="s">
        <v>805</v>
      </c>
      <c r="E440" s="47" t="s">
        <v>371</v>
      </c>
      <c r="F440" s="47" t="s">
        <v>59</v>
      </c>
      <c r="G440" s="62">
        <v>426.2</v>
      </c>
      <c r="H440" s="62">
        <v>16831.650000000001</v>
      </c>
      <c r="I440" s="49">
        <v>0</v>
      </c>
      <c r="J440" s="49">
        <v>0</v>
      </c>
      <c r="K440" s="49">
        <v>0</v>
      </c>
      <c r="L440" s="50">
        <v>0</v>
      </c>
      <c r="M440" s="51"/>
      <c r="N440" s="52" t="s">
        <v>1300</v>
      </c>
      <c r="O440" s="31"/>
      <c r="P440" s="53">
        <v>0</v>
      </c>
      <c r="Q440" s="54">
        <v>0</v>
      </c>
      <c r="R440" s="55">
        <v>0</v>
      </c>
      <c r="S440" s="55">
        <v>0</v>
      </c>
      <c r="T440" s="56">
        <v>0</v>
      </c>
      <c r="U440" s="57"/>
      <c r="V440" s="55">
        <v>0</v>
      </c>
      <c r="W440" s="55">
        <v>0</v>
      </c>
      <c r="X440" s="58">
        <v>0</v>
      </c>
      <c r="Y440" s="59">
        <v>0</v>
      </c>
      <c r="Z440" s="58">
        <v>0</v>
      </c>
      <c r="AA440" s="56">
        <v>0</v>
      </c>
      <c r="AB440" s="56">
        <v>0</v>
      </c>
      <c r="AC440" s="60">
        <v>46142</v>
      </c>
    </row>
    <row r="441" spans="1:29" x14ac:dyDescent="0.25">
      <c r="A441" s="43">
        <v>1012</v>
      </c>
      <c r="B441" s="44" t="s">
        <v>1295</v>
      </c>
      <c r="C441" s="45">
        <v>10120005</v>
      </c>
      <c r="D441" s="46" t="s">
        <v>806</v>
      </c>
      <c r="E441" s="47" t="s">
        <v>364</v>
      </c>
      <c r="F441" s="47" t="s">
        <v>58</v>
      </c>
      <c r="G441" s="62">
        <v>371.53000000000009</v>
      </c>
      <c r="H441" s="62">
        <v>14268.619999999999</v>
      </c>
      <c r="I441" s="49">
        <v>0</v>
      </c>
      <c r="J441" s="49">
        <v>0</v>
      </c>
      <c r="K441" s="49">
        <v>0</v>
      </c>
      <c r="L441" s="50" t="s">
        <v>366</v>
      </c>
      <c r="M441" s="51" t="s">
        <v>367</v>
      </c>
      <c r="N441" s="52" t="s">
        <v>1300</v>
      </c>
      <c r="O441" s="31"/>
      <c r="P441" s="53">
        <v>-5.7980206057761836E-2</v>
      </c>
      <c r="Q441" s="54">
        <v>4</v>
      </c>
      <c r="R441" s="55">
        <v>0</v>
      </c>
      <c r="S441" s="55">
        <v>0</v>
      </c>
      <c r="T441" s="56">
        <v>0</v>
      </c>
      <c r="U441" s="57"/>
      <c r="V441" s="55">
        <v>0</v>
      </c>
      <c r="W441" s="55">
        <v>0</v>
      </c>
      <c r="X441" s="58">
        <v>0</v>
      </c>
      <c r="Y441" s="59">
        <v>0</v>
      </c>
      <c r="Z441" s="58">
        <v>0</v>
      </c>
      <c r="AA441" s="56">
        <v>0</v>
      </c>
      <c r="AB441" s="56">
        <v>0</v>
      </c>
      <c r="AC441" s="60">
        <v>46142</v>
      </c>
    </row>
    <row r="442" spans="1:29" x14ac:dyDescent="0.25">
      <c r="A442" s="43">
        <v>1012</v>
      </c>
      <c r="B442" s="44" t="s">
        <v>1295</v>
      </c>
      <c r="C442" s="45">
        <v>10120006</v>
      </c>
      <c r="D442" s="46" t="s">
        <v>807</v>
      </c>
      <c r="E442" s="47" t="s">
        <v>364</v>
      </c>
      <c r="F442" s="47" t="s">
        <v>58</v>
      </c>
      <c r="G442" s="62">
        <v>362.77</v>
      </c>
      <c r="H442" s="62">
        <v>13578.39</v>
      </c>
      <c r="I442" s="49">
        <v>0</v>
      </c>
      <c r="J442" s="49">
        <v>0</v>
      </c>
      <c r="K442" s="49">
        <v>0</v>
      </c>
      <c r="L442" s="50">
        <v>0</v>
      </c>
      <c r="M442" s="51"/>
      <c r="N442" s="52" t="s">
        <v>1300</v>
      </c>
      <c r="O442" s="31"/>
      <c r="P442" s="53">
        <v>-1.0688556809605574E-2</v>
      </c>
      <c r="Q442" s="54">
        <v>14</v>
      </c>
      <c r="R442" s="55">
        <v>0</v>
      </c>
      <c r="S442" s="55">
        <v>0</v>
      </c>
      <c r="T442" s="56">
        <v>0</v>
      </c>
      <c r="U442" s="57"/>
      <c r="V442" s="55">
        <v>0</v>
      </c>
      <c r="W442" s="55">
        <v>0</v>
      </c>
      <c r="X442" s="58">
        <v>0</v>
      </c>
      <c r="Y442" s="59">
        <v>0</v>
      </c>
      <c r="Z442" s="58">
        <v>0</v>
      </c>
      <c r="AA442" s="56">
        <v>0</v>
      </c>
      <c r="AB442" s="56">
        <v>0</v>
      </c>
      <c r="AC442" s="60">
        <v>46142</v>
      </c>
    </row>
    <row r="443" spans="1:29" x14ac:dyDescent="0.25">
      <c r="A443" s="43">
        <v>1012</v>
      </c>
      <c r="B443" s="44" t="s">
        <v>1295</v>
      </c>
      <c r="C443" s="45">
        <v>10120007</v>
      </c>
      <c r="D443" s="46" t="s">
        <v>808</v>
      </c>
      <c r="E443" s="47" t="s">
        <v>364</v>
      </c>
      <c r="F443" s="47" t="s">
        <v>58</v>
      </c>
      <c r="G443" s="62">
        <v>1321.95</v>
      </c>
      <c r="H443" s="62">
        <v>52849.599999999999</v>
      </c>
      <c r="I443" s="49">
        <v>0</v>
      </c>
      <c r="J443" s="49">
        <v>9182</v>
      </c>
      <c r="K443" s="49">
        <v>0</v>
      </c>
      <c r="L443" s="50">
        <v>0</v>
      </c>
      <c r="M443" s="51"/>
      <c r="N443" s="52" t="s">
        <v>1300</v>
      </c>
      <c r="O443" s="31"/>
      <c r="P443" s="53">
        <v>-5.9272144007487693E-3</v>
      </c>
      <c r="Q443" s="54">
        <v>38</v>
      </c>
      <c r="R443" s="55">
        <v>0</v>
      </c>
      <c r="S443" s="55">
        <v>0</v>
      </c>
      <c r="T443" s="56">
        <v>0</v>
      </c>
      <c r="U443" s="57"/>
      <c r="V443" s="55">
        <v>0</v>
      </c>
      <c r="W443" s="55">
        <v>0</v>
      </c>
      <c r="X443" s="58">
        <v>0</v>
      </c>
      <c r="Y443" s="59">
        <v>0</v>
      </c>
      <c r="Z443" s="58">
        <v>0</v>
      </c>
      <c r="AA443" s="56">
        <v>0</v>
      </c>
      <c r="AB443" s="56">
        <v>0</v>
      </c>
      <c r="AC443" s="60">
        <v>46142</v>
      </c>
    </row>
    <row r="444" spans="1:29" x14ac:dyDescent="0.25">
      <c r="A444" s="43">
        <v>1012</v>
      </c>
      <c r="B444" s="44" t="s">
        <v>1295</v>
      </c>
      <c r="C444" s="45">
        <v>10120008</v>
      </c>
      <c r="D444" s="46" t="s">
        <v>809</v>
      </c>
      <c r="E444" s="47" t="s">
        <v>371</v>
      </c>
      <c r="F444" s="47" t="s">
        <v>59</v>
      </c>
      <c r="G444" s="62">
        <v>68.940000000000012</v>
      </c>
      <c r="H444" s="62">
        <v>2411.8200000000002</v>
      </c>
      <c r="I444" s="49">
        <v>0</v>
      </c>
      <c r="J444" s="49">
        <v>1350</v>
      </c>
      <c r="K444" s="49">
        <v>0</v>
      </c>
      <c r="L444" s="50">
        <v>0</v>
      </c>
      <c r="M444" s="51"/>
      <c r="N444" s="52" t="s">
        <v>1300</v>
      </c>
      <c r="O444" s="31"/>
      <c r="P444" s="53">
        <v>0</v>
      </c>
      <c r="Q444" s="54">
        <v>0</v>
      </c>
      <c r="R444" s="55">
        <v>1350</v>
      </c>
      <c r="S444" s="55">
        <v>1350</v>
      </c>
      <c r="T444" s="56">
        <v>0</v>
      </c>
      <c r="U444" s="57"/>
      <c r="V444" s="55">
        <v>0</v>
      </c>
      <c r="W444" s="55">
        <v>0</v>
      </c>
      <c r="X444" s="58">
        <v>0</v>
      </c>
      <c r="Y444" s="59">
        <v>0</v>
      </c>
      <c r="Z444" s="58">
        <v>0</v>
      </c>
      <c r="AA444" s="56">
        <v>0</v>
      </c>
      <c r="AB444" s="56">
        <v>0</v>
      </c>
      <c r="AC444" s="60">
        <v>46142</v>
      </c>
    </row>
    <row r="445" spans="1:29" x14ac:dyDescent="0.25">
      <c r="A445" s="43">
        <v>1012</v>
      </c>
      <c r="B445" s="44" t="s">
        <v>1295</v>
      </c>
      <c r="C445" s="45">
        <v>10120010</v>
      </c>
      <c r="D445" s="46" t="s">
        <v>810</v>
      </c>
      <c r="E445" s="47" t="s">
        <v>371</v>
      </c>
      <c r="F445" s="47" t="s">
        <v>59</v>
      </c>
      <c r="G445" s="62">
        <v>1822.2199999999996</v>
      </c>
      <c r="H445" s="62">
        <v>77055.39</v>
      </c>
      <c r="I445" s="49">
        <v>0</v>
      </c>
      <c r="J445" s="49">
        <v>4050</v>
      </c>
      <c r="K445" s="49">
        <v>0</v>
      </c>
      <c r="L445" s="50">
        <v>0</v>
      </c>
      <c r="M445" s="51"/>
      <c r="N445" s="52" t="s">
        <v>1300</v>
      </c>
      <c r="O445" s="31"/>
      <c r="P445" s="53">
        <v>0</v>
      </c>
      <c r="Q445" s="54">
        <v>0</v>
      </c>
      <c r="R445" s="55">
        <v>0</v>
      </c>
      <c r="S445" s="55">
        <v>0</v>
      </c>
      <c r="T445" s="56">
        <v>0</v>
      </c>
      <c r="U445" s="57"/>
      <c r="V445" s="55">
        <v>0</v>
      </c>
      <c r="W445" s="55">
        <v>0</v>
      </c>
      <c r="X445" s="58">
        <v>0</v>
      </c>
      <c r="Y445" s="59">
        <v>0</v>
      </c>
      <c r="Z445" s="58">
        <v>0</v>
      </c>
      <c r="AA445" s="56">
        <v>0</v>
      </c>
      <c r="AB445" s="56">
        <v>0</v>
      </c>
      <c r="AC445" s="60">
        <v>46142</v>
      </c>
    </row>
    <row r="446" spans="1:29" x14ac:dyDescent="0.25">
      <c r="A446" s="43">
        <v>1012</v>
      </c>
      <c r="B446" s="44" t="s">
        <v>1295</v>
      </c>
      <c r="C446" s="45">
        <v>10120011</v>
      </c>
      <c r="D446" s="46" t="s">
        <v>811</v>
      </c>
      <c r="E446" s="47" t="s">
        <v>371</v>
      </c>
      <c r="F446" s="47" t="s">
        <v>59</v>
      </c>
      <c r="G446" s="62">
        <v>88.03</v>
      </c>
      <c r="H446" s="62">
        <v>3336.2200000000003</v>
      </c>
      <c r="I446" s="49">
        <v>0</v>
      </c>
      <c r="J446" s="49">
        <v>0</v>
      </c>
      <c r="K446" s="49">
        <v>567.87740903225813</v>
      </c>
      <c r="L446" s="50">
        <v>0</v>
      </c>
      <c r="M446" s="51"/>
      <c r="N446" s="52" t="s">
        <v>1300</v>
      </c>
      <c r="O446" s="31"/>
      <c r="P446" s="53">
        <v>0</v>
      </c>
      <c r="Q446" s="54">
        <v>0</v>
      </c>
      <c r="R446" s="55">
        <v>0</v>
      </c>
      <c r="S446" s="55">
        <v>0</v>
      </c>
      <c r="T446" s="56">
        <v>0</v>
      </c>
      <c r="U446" s="57"/>
      <c r="V446" s="55">
        <v>567.87740903225813</v>
      </c>
      <c r="W446" s="55">
        <v>0</v>
      </c>
      <c r="X446" s="58">
        <v>0</v>
      </c>
      <c r="Y446" s="59">
        <v>567.87740903225813</v>
      </c>
      <c r="Z446" s="58">
        <v>567.87740903225813</v>
      </c>
      <c r="AA446" s="56">
        <v>0</v>
      </c>
      <c r="AB446" s="56">
        <v>0</v>
      </c>
      <c r="AC446" s="60">
        <v>46142</v>
      </c>
    </row>
    <row r="447" spans="1:29" x14ac:dyDescent="0.25">
      <c r="A447" s="43">
        <v>1012</v>
      </c>
      <c r="B447" s="44" t="s">
        <v>1295</v>
      </c>
      <c r="C447" s="45">
        <v>10120012</v>
      </c>
      <c r="D447" s="46" t="s">
        <v>812</v>
      </c>
      <c r="E447" s="47" t="s">
        <v>364</v>
      </c>
      <c r="F447" s="47" t="s">
        <v>58</v>
      </c>
      <c r="G447" s="62">
        <v>773.69999999999993</v>
      </c>
      <c r="H447" s="62">
        <v>35379.749999999993</v>
      </c>
      <c r="I447" s="49">
        <v>0</v>
      </c>
      <c r="J447" s="49">
        <v>1360</v>
      </c>
      <c r="K447" s="49">
        <v>0</v>
      </c>
      <c r="L447" s="50">
        <v>0</v>
      </c>
      <c r="M447" s="51"/>
      <c r="N447" s="52" t="s">
        <v>1300</v>
      </c>
      <c r="O447" s="31"/>
      <c r="P447" s="53">
        <v>-9.7290810508252295E-4</v>
      </c>
      <c r="Q447" s="54">
        <v>21</v>
      </c>
      <c r="R447" s="55">
        <v>0</v>
      </c>
      <c r="S447" s="55">
        <v>0</v>
      </c>
      <c r="T447" s="56">
        <v>0</v>
      </c>
      <c r="U447" s="57"/>
      <c r="V447" s="55">
        <v>0</v>
      </c>
      <c r="W447" s="55">
        <v>0</v>
      </c>
      <c r="X447" s="58">
        <v>0</v>
      </c>
      <c r="Y447" s="59">
        <v>0</v>
      </c>
      <c r="Z447" s="58">
        <v>0</v>
      </c>
      <c r="AA447" s="56">
        <v>0</v>
      </c>
      <c r="AB447" s="56">
        <v>0</v>
      </c>
      <c r="AC447" s="60">
        <v>46142</v>
      </c>
    </row>
    <row r="448" spans="1:29" x14ac:dyDescent="0.25">
      <c r="A448" s="43">
        <v>1012</v>
      </c>
      <c r="B448" s="44" t="s">
        <v>1295</v>
      </c>
      <c r="C448" s="45">
        <v>10120013</v>
      </c>
      <c r="D448" s="46" t="s">
        <v>813</v>
      </c>
      <c r="E448" s="47" t="s">
        <v>371</v>
      </c>
      <c r="F448" s="47" t="s">
        <v>59</v>
      </c>
      <c r="G448" s="62">
        <v>367.8</v>
      </c>
      <c r="H448" s="62">
        <v>12717.42</v>
      </c>
      <c r="I448" s="49">
        <v>0</v>
      </c>
      <c r="J448" s="49">
        <v>2700</v>
      </c>
      <c r="K448" s="49">
        <v>0</v>
      </c>
      <c r="L448" s="50">
        <v>0</v>
      </c>
      <c r="M448" s="51"/>
      <c r="N448" s="52" t="s">
        <v>1300</v>
      </c>
      <c r="O448" s="31"/>
      <c r="P448" s="53">
        <v>0</v>
      </c>
      <c r="Q448" s="54">
        <v>0</v>
      </c>
      <c r="R448" s="55">
        <v>0</v>
      </c>
      <c r="S448" s="55">
        <v>0</v>
      </c>
      <c r="T448" s="56">
        <v>0</v>
      </c>
      <c r="U448" s="57"/>
      <c r="V448" s="55">
        <v>0</v>
      </c>
      <c r="W448" s="55">
        <v>0</v>
      </c>
      <c r="X448" s="58">
        <v>0</v>
      </c>
      <c r="Y448" s="59">
        <v>0</v>
      </c>
      <c r="Z448" s="58">
        <v>0</v>
      </c>
      <c r="AA448" s="56">
        <v>0</v>
      </c>
      <c r="AB448" s="56">
        <v>0</v>
      </c>
      <c r="AC448" s="60">
        <v>46142</v>
      </c>
    </row>
    <row r="449" spans="1:29" x14ac:dyDescent="0.25">
      <c r="A449" s="43">
        <v>1012</v>
      </c>
      <c r="B449" s="44" t="s">
        <v>1295</v>
      </c>
      <c r="C449" s="45">
        <v>10120014</v>
      </c>
      <c r="D449" s="46" t="s">
        <v>814</v>
      </c>
      <c r="E449" s="47" t="s">
        <v>364</v>
      </c>
      <c r="F449" s="47" t="s">
        <v>58</v>
      </c>
      <c r="G449" s="62">
        <v>1009.82</v>
      </c>
      <c r="H449" s="62">
        <v>40931.899999999994</v>
      </c>
      <c r="I449" s="49">
        <v>0</v>
      </c>
      <c r="J449" s="49">
        <v>0</v>
      </c>
      <c r="K449" s="49">
        <v>0</v>
      </c>
      <c r="L449" s="50">
        <v>0</v>
      </c>
      <c r="M449" s="51"/>
      <c r="N449" s="52" t="s">
        <v>1300</v>
      </c>
      <c r="O449" s="31"/>
      <c r="P449" s="53">
        <v>-1.798263143687456E-2</v>
      </c>
      <c r="Q449" s="54">
        <v>15</v>
      </c>
      <c r="R449" s="55">
        <v>0</v>
      </c>
      <c r="S449" s="55">
        <v>0</v>
      </c>
      <c r="T449" s="56">
        <v>0</v>
      </c>
      <c r="U449" s="57"/>
      <c r="V449" s="55">
        <v>0</v>
      </c>
      <c r="W449" s="55">
        <v>0</v>
      </c>
      <c r="X449" s="58">
        <v>0</v>
      </c>
      <c r="Y449" s="59">
        <v>0</v>
      </c>
      <c r="Z449" s="58">
        <v>0</v>
      </c>
      <c r="AA449" s="56">
        <v>0</v>
      </c>
      <c r="AB449" s="56">
        <v>0</v>
      </c>
      <c r="AC449" s="60">
        <v>46142</v>
      </c>
    </row>
    <row r="450" spans="1:29" x14ac:dyDescent="0.25">
      <c r="A450" s="43">
        <v>1012</v>
      </c>
      <c r="B450" s="44" t="s">
        <v>1295</v>
      </c>
      <c r="C450" s="45">
        <v>10120015</v>
      </c>
      <c r="D450" s="46" t="s">
        <v>648</v>
      </c>
      <c r="E450" s="47" t="s">
        <v>364</v>
      </c>
      <c r="F450" s="47" t="s">
        <v>58</v>
      </c>
      <c r="G450" s="62">
        <v>1124.8400000000001</v>
      </c>
      <c r="H450" s="62">
        <v>43020.53</v>
      </c>
      <c r="I450" s="49">
        <v>0</v>
      </c>
      <c r="J450" s="49">
        <v>1350</v>
      </c>
      <c r="K450" s="49">
        <v>0</v>
      </c>
      <c r="L450" s="50">
        <v>0</v>
      </c>
      <c r="M450" s="51"/>
      <c r="N450" s="52" t="s">
        <v>1300</v>
      </c>
      <c r="O450" s="31"/>
      <c r="P450" s="53">
        <v>-0.1965889719163568</v>
      </c>
      <c r="Q450" s="54">
        <v>18</v>
      </c>
      <c r="R450" s="55">
        <v>0</v>
      </c>
      <c r="S450" s="55">
        <v>0</v>
      </c>
      <c r="T450" s="56">
        <v>0</v>
      </c>
      <c r="U450" s="57"/>
      <c r="V450" s="55">
        <v>0</v>
      </c>
      <c r="W450" s="55">
        <v>0</v>
      </c>
      <c r="X450" s="58">
        <v>0</v>
      </c>
      <c r="Y450" s="59">
        <v>0</v>
      </c>
      <c r="Z450" s="58">
        <v>0</v>
      </c>
      <c r="AA450" s="56">
        <v>0</v>
      </c>
      <c r="AB450" s="56">
        <v>0</v>
      </c>
      <c r="AC450" s="60">
        <v>46142</v>
      </c>
    </row>
    <row r="451" spans="1:29" x14ac:dyDescent="0.25">
      <c r="A451" s="43">
        <v>1012</v>
      </c>
      <c r="B451" s="44" t="s">
        <v>1295</v>
      </c>
      <c r="C451" s="45">
        <v>10120016</v>
      </c>
      <c r="D451" s="46" t="s">
        <v>815</v>
      </c>
      <c r="E451" s="47" t="s">
        <v>364</v>
      </c>
      <c r="F451" s="47" t="s">
        <v>58</v>
      </c>
      <c r="G451" s="62">
        <v>285.85000000000002</v>
      </c>
      <c r="H451" s="62">
        <v>11022.240000000002</v>
      </c>
      <c r="I451" s="49">
        <v>0</v>
      </c>
      <c r="J451" s="49">
        <v>1738</v>
      </c>
      <c r="K451" s="49">
        <v>0</v>
      </c>
      <c r="L451" s="50">
        <v>0</v>
      </c>
      <c r="M451" s="51"/>
      <c r="N451" s="52" t="s">
        <v>1300</v>
      </c>
      <c r="O451" s="31"/>
      <c r="P451" s="53">
        <v>7.5150528519683915E-2</v>
      </c>
      <c r="Q451" s="54">
        <v>5</v>
      </c>
      <c r="R451" s="55">
        <v>0</v>
      </c>
      <c r="S451" s="55">
        <v>0</v>
      </c>
      <c r="T451" s="56">
        <v>0</v>
      </c>
      <c r="U451" s="57"/>
      <c r="V451" s="55">
        <v>0</v>
      </c>
      <c r="W451" s="55">
        <v>0</v>
      </c>
      <c r="X451" s="58">
        <v>0</v>
      </c>
      <c r="Y451" s="59">
        <v>0</v>
      </c>
      <c r="Z451" s="58">
        <v>0</v>
      </c>
      <c r="AA451" s="56">
        <v>0</v>
      </c>
      <c r="AB451" s="56">
        <v>0</v>
      </c>
      <c r="AC451" s="60">
        <v>46142</v>
      </c>
    </row>
    <row r="452" spans="1:29" x14ac:dyDescent="0.25">
      <c r="A452" s="43">
        <v>1012</v>
      </c>
      <c r="B452" s="44" t="s">
        <v>1295</v>
      </c>
      <c r="C452" s="45">
        <v>10120017</v>
      </c>
      <c r="D452" s="46" t="s">
        <v>816</v>
      </c>
      <c r="E452" s="47" t="s">
        <v>364</v>
      </c>
      <c r="F452" s="47" t="s">
        <v>58</v>
      </c>
      <c r="G452" s="62">
        <v>407.73999999999995</v>
      </c>
      <c r="H452" s="62">
        <v>15488.44</v>
      </c>
      <c r="I452" s="49">
        <v>0</v>
      </c>
      <c r="J452" s="49">
        <v>6750</v>
      </c>
      <c r="K452" s="49">
        <v>0</v>
      </c>
      <c r="L452" s="50">
        <v>0</v>
      </c>
      <c r="M452" s="51"/>
      <c r="N452" s="52" t="s">
        <v>1300</v>
      </c>
      <c r="O452" s="31"/>
      <c r="P452" s="53">
        <v>-8.9903821209624854E-2</v>
      </c>
      <c r="Q452" s="54">
        <v>3</v>
      </c>
      <c r="R452" s="55">
        <v>0</v>
      </c>
      <c r="S452" s="55">
        <v>0</v>
      </c>
      <c r="T452" s="56">
        <v>0</v>
      </c>
      <c r="U452" s="57"/>
      <c r="V452" s="55">
        <v>0</v>
      </c>
      <c r="W452" s="55">
        <v>0</v>
      </c>
      <c r="X452" s="58">
        <v>0</v>
      </c>
      <c r="Y452" s="59">
        <v>0</v>
      </c>
      <c r="Z452" s="58">
        <v>0</v>
      </c>
      <c r="AA452" s="56">
        <v>0</v>
      </c>
      <c r="AB452" s="56">
        <v>0</v>
      </c>
      <c r="AC452" s="60">
        <v>46142</v>
      </c>
    </row>
    <row r="453" spans="1:29" x14ac:dyDescent="0.25">
      <c r="A453" s="43">
        <v>1012</v>
      </c>
      <c r="B453" s="44" t="s">
        <v>1295</v>
      </c>
      <c r="C453" s="45">
        <v>10120018</v>
      </c>
      <c r="D453" s="46" t="s">
        <v>817</v>
      </c>
      <c r="E453" s="47" t="s">
        <v>364</v>
      </c>
      <c r="F453" s="47" t="s">
        <v>58</v>
      </c>
      <c r="G453" s="62">
        <v>285.91999999999996</v>
      </c>
      <c r="H453" s="62">
        <v>11198.08</v>
      </c>
      <c r="I453" s="49">
        <v>0</v>
      </c>
      <c r="J453" s="49">
        <v>0</v>
      </c>
      <c r="K453" s="49">
        <v>68.770043225806518</v>
      </c>
      <c r="L453" s="50">
        <v>0</v>
      </c>
      <c r="M453" s="51"/>
      <c r="N453" s="52" t="s">
        <v>1300</v>
      </c>
      <c r="O453" s="31"/>
      <c r="P453" s="53">
        <v>-0.36953612940789843</v>
      </c>
      <c r="Q453" s="54">
        <v>3</v>
      </c>
      <c r="R453" s="55">
        <v>0</v>
      </c>
      <c r="S453" s="55">
        <v>0</v>
      </c>
      <c r="T453" s="56">
        <v>0</v>
      </c>
      <c r="U453" s="57"/>
      <c r="V453" s="55">
        <v>68.770043225806518</v>
      </c>
      <c r="W453" s="55">
        <v>0</v>
      </c>
      <c r="X453" s="58">
        <v>0</v>
      </c>
      <c r="Y453" s="59">
        <v>68.770043225806518</v>
      </c>
      <c r="Z453" s="58">
        <v>68.770043225806518</v>
      </c>
      <c r="AA453" s="56">
        <v>0</v>
      </c>
      <c r="AB453" s="56">
        <v>0</v>
      </c>
      <c r="AC453" s="60">
        <v>46142</v>
      </c>
    </row>
    <row r="454" spans="1:29" x14ac:dyDescent="0.25">
      <c r="A454" s="43">
        <v>1012</v>
      </c>
      <c r="B454" s="44" t="s">
        <v>1295</v>
      </c>
      <c r="C454" s="45">
        <v>10120019</v>
      </c>
      <c r="D454" s="46" t="s">
        <v>818</v>
      </c>
      <c r="E454" s="47" t="s">
        <v>364</v>
      </c>
      <c r="F454" s="47" t="s">
        <v>58</v>
      </c>
      <c r="G454" s="62">
        <v>276.36</v>
      </c>
      <c r="H454" s="62">
        <v>10619.06</v>
      </c>
      <c r="I454" s="49">
        <v>0</v>
      </c>
      <c r="J454" s="49">
        <v>0</v>
      </c>
      <c r="K454" s="49">
        <v>0</v>
      </c>
      <c r="L454" s="50">
        <v>0</v>
      </c>
      <c r="M454" s="51"/>
      <c r="N454" s="52" t="s">
        <v>1300</v>
      </c>
      <c r="O454" s="31"/>
      <c r="P454" s="53">
        <v>6.3765276173217743E-3</v>
      </c>
      <c r="Q454" s="54">
        <v>6</v>
      </c>
      <c r="R454" s="55">
        <v>0</v>
      </c>
      <c r="S454" s="55">
        <v>0</v>
      </c>
      <c r="T454" s="56">
        <v>0</v>
      </c>
      <c r="U454" s="57"/>
      <c r="V454" s="55">
        <v>0</v>
      </c>
      <c r="W454" s="55">
        <v>0</v>
      </c>
      <c r="X454" s="58">
        <v>0</v>
      </c>
      <c r="Y454" s="59">
        <v>0</v>
      </c>
      <c r="Z454" s="58">
        <v>0</v>
      </c>
      <c r="AA454" s="56">
        <v>0</v>
      </c>
      <c r="AB454" s="56">
        <v>0</v>
      </c>
      <c r="AC454" s="60">
        <v>46142</v>
      </c>
    </row>
    <row r="455" spans="1:29" x14ac:dyDescent="0.25">
      <c r="A455" s="43">
        <v>1012</v>
      </c>
      <c r="B455" s="44" t="s">
        <v>1295</v>
      </c>
      <c r="C455" s="45">
        <v>10120022</v>
      </c>
      <c r="D455" s="46" t="s">
        <v>819</v>
      </c>
      <c r="E455" s="47" t="s">
        <v>371</v>
      </c>
      <c r="F455" s="47" t="s">
        <v>59</v>
      </c>
      <c r="G455" s="62">
        <v>263.62000000000006</v>
      </c>
      <c r="H455" s="62">
        <v>10782.8</v>
      </c>
      <c r="I455" s="49">
        <v>0</v>
      </c>
      <c r="J455" s="49">
        <v>0</v>
      </c>
      <c r="K455" s="49">
        <v>0</v>
      </c>
      <c r="L455" s="50">
        <v>0</v>
      </c>
      <c r="M455" s="51"/>
      <c r="N455" s="52" t="s">
        <v>1300</v>
      </c>
      <c r="O455" s="31"/>
      <c r="P455" s="53">
        <v>0</v>
      </c>
      <c r="Q455" s="54">
        <v>0</v>
      </c>
      <c r="R455" s="55">
        <v>0</v>
      </c>
      <c r="S455" s="55">
        <v>0</v>
      </c>
      <c r="T455" s="56">
        <v>0</v>
      </c>
      <c r="U455" s="57"/>
      <c r="V455" s="55">
        <v>0</v>
      </c>
      <c r="W455" s="55">
        <v>0</v>
      </c>
      <c r="X455" s="58">
        <v>0</v>
      </c>
      <c r="Y455" s="59">
        <v>0</v>
      </c>
      <c r="Z455" s="58">
        <v>0</v>
      </c>
      <c r="AA455" s="56">
        <v>0</v>
      </c>
      <c r="AB455" s="56">
        <v>0</v>
      </c>
      <c r="AC455" s="60">
        <v>46142</v>
      </c>
    </row>
    <row r="456" spans="1:29" x14ac:dyDescent="0.25">
      <c r="A456" s="43">
        <v>1012</v>
      </c>
      <c r="B456" s="44" t="s">
        <v>1295</v>
      </c>
      <c r="C456" s="45">
        <v>10120023</v>
      </c>
      <c r="D456" s="46" t="s">
        <v>820</v>
      </c>
      <c r="E456" s="47" t="s">
        <v>371</v>
      </c>
      <c r="F456" s="47" t="s">
        <v>59</v>
      </c>
      <c r="G456" s="62">
        <v>296.06</v>
      </c>
      <c r="H456" s="62">
        <v>10955.070000000002</v>
      </c>
      <c r="I456" s="49">
        <v>0</v>
      </c>
      <c r="J456" s="49">
        <v>0</v>
      </c>
      <c r="K456" s="49">
        <v>0</v>
      </c>
      <c r="L456" s="50">
        <v>0</v>
      </c>
      <c r="M456" s="51"/>
      <c r="N456" s="52" t="s">
        <v>1300</v>
      </c>
      <c r="O456" s="31"/>
      <c r="P456" s="53">
        <v>0</v>
      </c>
      <c r="Q456" s="54">
        <v>0</v>
      </c>
      <c r="R456" s="55">
        <v>0</v>
      </c>
      <c r="S456" s="55">
        <v>0</v>
      </c>
      <c r="T456" s="56">
        <v>0</v>
      </c>
      <c r="U456" s="57"/>
      <c r="V456" s="55">
        <v>0</v>
      </c>
      <c r="W456" s="55">
        <v>0</v>
      </c>
      <c r="X456" s="58">
        <v>0</v>
      </c>
      <c r="Y456" s="59">
        <v>0</v>
      </c>
      <c r="Z456" s="58">
        <v>0</v>
      </c>
      <c r="AA456" s="56">
        <v>0</v>
      </c>
      <c r="AB456" s="56">
        <v>0</v>
      </c>
      <c r="AC456" s="60">
        <v>46142</v>
      </c>
    </row>
    <row r="457" spans="1:29" x14ac:dyDescent="0.25">
      <c r="A457" s="43">
        <v>1012</v>
      </c>
      <c r="B457" s="44" t="s">
        <v>1295</v>
      </c>
      <c r="C457" s="45">
        <v>10120024</v>
      </c>
      <c r="D457" s="46" t="s">
        <v>821</v>
      </c>
      <c r="E457" s="47" t="s">
        <v>371</v>
      </c>
      <c r="F457" s="47" t="s">
        <v>59</v>
      </c>
      <c r="G457" s="62">
        <v>276.72999999999996</v>
      </c>
      <c r="H457" s="62">
        <v>10180.280000000001</v>
      </c>
      <c r="I457" s="49">
        <v>0</v>
      </c>
      <c r="J457" s="49">
        <v>0</v>
      </c>
      <c r="K457" s="49">
        <v>0</v>
      </c>
      <c r="L457" s="50">
        <v>0</v>
      </c>
      <c r="M457" s="51"/>
      <c r="N457" s="52" t="s">
        <v>1300</v>
      </c>
      <c r="O457" s="31"/>
      <c r="P457" s="53">
        <v>0</v>
      </c>
      <c r="Q457" s="54">
        <v>0</v>
      </c>
      <c r="R457" s="55">
        <v>0</v>
      </c>
      <c r="S457" s="55">
        <v>0</v>
      </c>
      <c r="T457" s="56">
        <v>0</v>
      </c>
      <c r="U457" s="57"/>
      <c r="V457" s="55">
        <v>0</v>
      </c>
      <c r="W457" s="55">
        <v>0</v>
      </c>
      <c r="X457" s="58">
        <v>0</v>
      </c>
      <c r="Y457" s="59">
        <v>0</v>
      </c>
      <c r="Z457" s="58">
        <v>0</v>
      </c>
      <c r="AA457" s="56">
        <v>0</v>
      </c>
      <c r="AB457" s="56">
        <v>0</v>
      </c>
      <c r="AC457" s="60">
        <v>46142</v>
      </c>
    </row>
    <row r="458" spans="1:29" x14ac:dyDescent="0.25">
      <c r="A458" s="43">
        <v>1012</v>
      </c>
      <c r="B458" s="44" t="s">
        <v>1295</v>
      </c>
      <c r="C458" s="45">
        <v>10120025</v>
      </c>
      <c r="D458" s="46" t="s">
        <v>822</v>
      </c>
      <c r="E458" s="47" t="s">
        <v>364</v>
      </c>
      <c r="F458" s="47" t="s">
        <v>58</v>
      </c>
      <c r="G458" s="62">
        <v>1798.16</v>
      </c>
      <c r="H458" s="62">
        <v>71941.279999999999</v>
      </c>
      <c r="I458" s="49">
        <v>0</v>
      </c>
      <c r="J458" s="49">
        <v>4050</v>
      </c>
      <c r="K458" s="49">
        <v>204.09</v>
      </c>
      <c r="L458" s="50" t="s">
        <v>366</v>
      </c>
      <c r="M458" s="51" t="s">
        <v>367</v>
      </c>
      <c r="N458" s="52" t="s">
        <v>1300</v>
      </c>
      <c r="O458" s="31"/>
      <c r="P458" s="53">
        <v>-0.15056908399808241</v>
      </c>
      <c r="Q458" s="54">
        <v>28</v>
      </c>
      <c r="R458" s="55">
        <v>0</v>
      </c>
      <c r="S458" s="55">
        <v>0</v>
      </c>
      <c r="T458" s="56">
        <v>0</v>
      </c>
      <c r="U458" s="57"/>
      <c r="V458" s="55">
        <v>204.08812064516206</v>
      </c>
      <c r="W458" s="55">
        <v>0</v>
      </c>
      <c r="X458" s="58">
        <v>0</v>
      </c>
      <c r="Y458" s="59">
        <v>204.08812064516206</v>
      </c>
      <c r="Z458" s="58">
        <v>204.09</v>
      </c>
      <c r="AA458" s="56">
        <v>1.8793548379392178E-3</v>
      </c>
      <c r="AB458" s="56">
        <v>1.8793548379392178E-3</v>
      </c>
      <c r="AC458" s="60">
        <v>46142</v>
      </c>
    </row>
    <row r="459" spans="1:29" x14ac:dyDescent="0.25">
      <c r="A459" s="43">
        <v>1012</v>
      </c>
      <c r="B459" s="44" t="s">
        <v>1295</v>
      </c>
      <c r="C459" s="45">
        <v>10120026</v>
      </c>
      <c r="D459" s="46" t="s">
        <v>823</v>
      </c>
      <c r="E459" s="47" t="s">
        <v>371</v>
      </c>
      <c r="F459" s="47" t="s">
        <v>59</v>
      </c>
      <c r="G459" s="62">
        <v>59.349999999999994</v>
      </c>
      <c r="H459" s="62">
        <v>1978.5499999999997</v>
      </c>
      <c r="I459" s="49">
        <v>0</v>
      </c>
      <c r="J459" s="49">
        <v>0</v>
      </c>
      <c r="K459" s="49">
        <v>0</v>
      </c>
      <c r="L459" s="50">
        <v>0</v>
      </c>
      <c r="M459" s="51"/>
      <c r="N459" s="52" t="s">
        <v>1300</v>
      </c>
      <c r="O459" s="31"/>
      <c r="P459" s="53">
        <v>0</v>
      </c>
      <c r="Q459" s="54">
        <v>0</v>
      </c>
      <c r="R459" s="55">
        <v>0</v>
      </c>
      <c r="S459" s="55">
        <v>0</v>
      </c>
      <c r="T459" s="56">
        <v>0</v>
      </c>
      <c r="U459" s="57"/>
      <c r="V459" s="55">
        <v>0</v>
      </c>
      <c r="W459" s="55">
        <v>0</v>
      </c>
      <c r="X459" s="58">
        <v>0</v>
      </c>
      <c r="Y459" s="59">
        <v>0</v>
      </c>
      <c r="Z459" s="58">
        <v>0</v>
      </c>
      <c r="AA459" s="56">
        <v>0</v>
      </c>
      <c r="AB459" s="56">
        <v>0</v>
      </c>
      <c r="AC459" s="60">
        <v>46142</v>
      </c>
    </row>
    <row r="460" spans="1:29" x14ac:dyDescent="0.25">
      <c r="A460" s="43">
        <v>1012</v>
      </c>
      <c r="B460" s="44" t="s">
        <v>1295</v>
      </c>
      <c r="C460" s="45">
        <v>10120029</v>
      </c>
      <c r="D460" s="46" t="s">
        <v>824</v>
      </c>
      <c r="E460" s="47" t="s">
        <v>364</v>
      </c>
      <c r="F460" s="47" t="s">
        <v>58</v>
      </c>
      <c r="G460" s="62">
        <v>912.57999999999993</v>
      </c>
      <c r="H460" s="62">
        <v>35913.270000000004</v>
      </c>
      <c r="I460" s="49">
        <v>0</v>
      </c>
      <c r="J460" s="49">
        <v>0</v>
      </c>
      <c r="K460" s="49">
        <v>0</v>
      </c>
      <c r="L460" s="50">
        <v>0</v>
      </c>
      <c r="M460" s="51"/>
      <c r="N460" s="52" t="s">
        <v>1300</v>
      </c>
      <c r="O460" s="31"/>
      <c r="P460" s="53">
        <v>-2.517492657051041E-2</v>
      </c>
      <c r="Q460" s="54">
        <v>18</v>
      </c>
      <c r="R460" s="55">
        <v>0</v>
      </c>
      <c r="S460" s="55">
        <v>0</v>
      </c>
      <c r="T460" s="56">
        <v>0</v>
      </c>
      <c r="U460" s="57"/>
      <c r="V460" s="55">
        <v>0</v>
      </c>
      <c r="W460" s="55">
        <v>0</v>
      </c>
      <c r="X460" s="58">
        <v>0</v>
      </c>
      <c r="Y460" s="59">
        <v>0</v>
      </c>
      <c r="Z460" s="58">
        <v>0</v>
      </c>
      <c r="AA460" s="56">
        <v>0</v>
      </c>
      <c r="AB460" s="56">
        <v>0</v>
      </c>
      <c r="AC460" s="60">
        <v>46142</v>
      </c>
    </row>
    <row r="461" spans="1:29" x14ac:dyDescent="0.25">
      <c r="A461" s="43">
        <v>1012</v>
      </c>
      <c r="B461" s="44" t="s">
        <v>1295</v>
      </c>
      <c r="C461" s="45">
        <v>10120031</v>
      </c>
      <c r="D461" s="46" t="s">
        <v>825</v>
      </c>
      <c r="E461" s="47" t="s">
        <v>364</v>
      </c>
      <c r="F461" s="47" t="s">
        <v>58</v>
      </c>
      <c r="G461" s="62">
        <v>412.6</v>
      </c>
      <c r="H461" s="62">
        <v>15627.35</v>
      </c>
      <c r="I461" s="49">
        <v>0</v>
      </c>
      <c r="J461" s="49">
        <v>0</v>
      </c>
      <c r="K461" s="49">
        <v>0</v>
      </c>
      <c r="L461" s="50">
        <v>0</v>
      </c>
      <c r="M461" s="51"/>
      <c r="N461" s="52" t="s">
        <v>1300</v>
      </c>
      <c r="O461" s="31"/>
      <c r="P461" s="53">
        <v>-8.6900324749877786E-2</v>
      </c>
      <c r="Q461" s="54">
        <v>7</v>
      </c>
      <c r="R461" s="55">
        <v>0</v>
      </c>
      <c r="S461" s="55">
        <v>0</v>
      </c>
      <c r="T461" s="56">
        <v>0</v>
      </c>
      <c r="U461" s="57"/>
      <c r="V461" s="55">
        <v>0</v>
      </c>
      <c r="W461" s="55">
        <v>0</v>
      </c>
      <c r="X461" s="58">
        <v>0</v>
      </c>
      <c r="Y461" s="59">
        <v>0</v>
      </c>
      <c r="Z461" s="58">
        <v>0</v>
      </c>
      <c r="AA461" s="56">
        <v>0</v>
      </c>
      <c r="AB461" s="56">
        <v>0</v>
      </c>
      <c r="AC461" s="60">
        <v>46142</v>
      </c>
    </row>
    <row r="462" spans="1:29" x14ac:dyDescent="0.25">
      <c r="A462" s="43">
        <v>1012</v>
      </c>
      <c r="B462" s="44" t="s">
        <v>1295</v>
      </c>
      <c r="C462" s="45">
        <v>10120034</v>
      </c>
      <c r="D462" s="46" t="s">
        <v>826</v>
      </c>
      <c r="E462" s="47" t="s">
        <v>364</v>
      </c>
      <c r="F462" s="47" t="s">
        <v>58</v>
      </c>
      <c r="G462" s="62">
        <v>122.73</v>
      </c>
      <c r="H462" s="62">
        <v>4663.82</v>
      </c>
      <c r="I462" s="49">
        <v>0</v>
      </c>
      <c r="J462" s="49">
        <v>1200</v>
      </c>
      <c r="K462" s="49">
        <v>0</v>
      </c>
      <c r="L462" s="50">
        <v>0</v>
      </c>
      <c r="M462" s="51"/>
      <c r="N462" s="52" t="s">
        <v>1300</v>
      </c>
      <c r="O462" s="31"/>
      <c r="P462" s="53">
        <v>-9.0143390151935815E-2</v>
      </c>
      <c r="Q462" s="54">
        <v>1</v>
      </c>
      <c r="R462" s="55">
        <v>0</v>
      </c>
      <c r="S462" s="55">
        <v>0</v>
      </c>
      <c r="T462" s="56">
        <v>0</v>
      </c>
      <c r="U462" s="57"/>
      <c r="V462" s="55">
        <v>0</v>
      </c>
      <c r="W462" s="55">
        <v>0</v>
      </c>
      <c r="X462" s="58">
        <v>0</v>
      </c>
      <c r="Y462" s="59">
        <v>0</v>
      </c>
      <c r="Z462" s="58">
        <v>0</v>
      </c>
      <c r="AA462" s="56">
        <v>0</v>
      </c>
      <c r="AB462" s="56">
        <v>0</v>
      </c>
      <c r="AC462" s="60">
        <v>46142</v>
      </c>
    </row>
    <row r="463" spans="1:29" x14ac:dyDescent="0.25">
      <c r="A463" s="43">
        <v>1012</v>
      </c>
      <c r="B463" s="44" t="s">
        <v>1295</v>
      </c>
      <c r="C463" s="45">
        <v>10120035</v>
      </c>
      <c r="D463" s="46" t="s">
        <v>827</v>
      </c>
      <c r="E463" s="47" t="s">
        <v>371</v>
      </c>
      <c r="F463" s="47" t="s">
        <v>59</v>
      </c>
      <c r="G463" s="62">
        <v>388.11999999999995</v>
      </c>
      <c r="H463" s="62">
        <v>15984.139999999998</v>
      </c>
      <c r="I463" s="49">
        <v>0</v>
      </c>
      <c r="J463" s="49">
        <v>0</v>
      </c>
      <c r="K463" s="49">
        <v>0</v>
      </c>
      <c r="L463" s="50">
        <v>0</v>
      </c>
      <c r="M463" s="51"/>
      <c r="N463" s="52" t="s">
        <v>1300</v>
      </c>
      <c r="O463" s="31"/>
      <c r="P463" s="53">
        <v>0</v>
      </c>
      <c r="Q463" s="54">
        <v>0</v>
      </c>
      <c r="R463" s="55">
        <v>0</v>
      </c>
      <c r="S463" s="55">
        <v>0</v>
      </c>
      <c r="T463" s="56">
        <v>0</v>
      </c>
      <c r="U463" s="57"/>
      <c r="V463" s="55">
        <v>0</v>
      </c>
      <c r="W463" s="55">
        <v>0</v>
      </c>
      <c r="X463" s="58">
        <v>0</v>
      </c>
      <c r="Y463" s="59">
        <v>0</v>
      </c>
      <c r="Z463" s="58">
        <v>0</v>
      </c>
      <c r="AA463" s="56">
        <v>0</v>
      </c>
      <c r="AB463" s="56">
        <v>0</v>
      </c>
      <c r="AC463" s="60">
        <v>46142</v>
      </c>
    </row>
    <row r="464" spans="1:29" x14ac:dyDescent="0.25">
      <c r="A464" s="43">
        <v>1012</v>
      </c>
      <c r="B464" s="44" t="s">
        <v>1295</v>
      </c>
      <c r="C464" s="45">
        <v>10120043</v>
      </c>
      <c r="D464" s="46" t="s">
        <v>828</v>
      </c>
      <c r="E464" s="47" t="s">
        <v>364</v>
      </c>
      <c r="F464" s="47" t="s">
        <v>58</v>
      </c>
      <c r="G464" s="62">
        <v>157.83000000000001</v>
      </c>
      <c r="H464" s="62">
        <v>6921.75</v>
      </c>
      <c r="I464" s="49">
        <v>0</v>
      </c>
      <c r="J464" s="49">
        <v>0</v>
      </c>
      <c r="K464" s="49">
        <v>0</v>
      </c>
      <c r="L464" s="50">
        <v>0</v>
      </c>
      <c r="M464" s="51"/>
      <c r="N464" s="52" t="s">
        <v>1300</v>
      </c>
      <c r="O464" s="31"/>
      <c r="P464" s="53">
        <v>2.0663632557518432E-3</v>
      </c>
      <c r="Q464" s="54">
        <v>1</v>
      </c>
      <c r="R464" s="55">
        <v>0</v>
      </c>
      <c r="S464" s="55">
        <v>0</v>
      </c>
      <c r="T464" s="56">
        <v>0</v>
      </c>
      <c r="U464" s="57"/>
      <c r="V464" s="55">
        <v>0</v>
      </c>
      <c r="W464" s="55">
        <v>0</v>
      </c>
      <c r="X464" s="58">
        <v>0</v>
      </c>
      <c r="Y464" s="59">
        <v>0</v>
      </c>
      <c r="Z464" s="58">
        <v>0</v>
      </c>
      <c r="AA464" s="56">
        <v>0</v>
      </c>
      <c r="AB464" s="56">
        <v>0</v>
      </c>
      <c r="AC464" s="60">
        <v>46142</v>
      </c>
    </row>
    <row r="465" spans="1:29" x14ac:dyDescent="0.25">
      <c r="A465" s="43">
        <v>1012</v>
      </c>
      <c r="B465" s="44" t="s">
        <v>1295</v>
      </c>
      <c r="C465" s="45">
        <v>10120046</v>
      </c>
      <c r="D465" s="46" t="s">
        <v>829</v>
      </c>
      <c r="E465" s="47" t="s">
        <v>364</v>
      </c>
      <c r="F465" s="47" t="s">
        <v>58</v>
      </c>
      <c r="G465" s="62">
        <v>1869.3899999999999</v>
      </c>
      <c r="H465" s="62">
        <v>70525.179999999993</v>
      </c>
      <c r="I465" s="49">
        <v>0</v>
      </c>
      <c r="J465" s="49">
        <v>0</v>
      </c>
      <c r="K465" s="49">
        <v>0</v>
      </c>
      <c r="L465" s="50">
        <v>0</v>
      </c>
      <c r="M465" s="51"/>
      <c r="N465" s="52" t="s">
        <v>1300</v>
      </c>
      <c r="O465" s="31"/>
      <c r="P465" s="53">
        <v>7.2631214460793844E-3</v>
      </c>
      <c r="Q465" s="54">
        <v>32</v>
      </c>
      <c r="R465" s="55">
        <v>0</v>
      </c>
      <c r="S465" s="55">
        <v>0</v>
      </c>
      <c r="T465" s="56">
        <v>0</v>
      </c>
      <c r="U465" s="57"/>
      <c r="V465" s="55">
        <v>0</v>
      </c>
      <c r="W465" s="55">
        <v>0</v>
      </c>
      <c r="X465" s="58">
        <v>0</v>
      </c>
      <c r="Y465" s="59">
        <v>0</v>
      </c>
      <c r="Z465" s="58">
        <v>0</v>
      </c>
      <c r="AA465" s="56">
        <v>0</v>
      </c>
      <c r="AB465" s="56">
        <v>0</v>
      </c>
      <c r="AC465" s="60">
        <v>46142</v>
      </c>
    </row>
    <row r="466" spans="1:29" x14ac:dyDescent="0.25">
      <c r="A466" s="43">
        <v>1012</v>
      </c>
      <c r="B466" s="44" t="s">
        <v>1295</v>
      </c>
      <c r="C466" s="45">
        <v>10120049</v>
      </c>
      <c r="D466" s="46" t="s">
        <v>830</v>
      </c>
      <c r="E466" s="47" t="s">
        <v>371</v>
      </c>
      <c r="F466" s="47" t="s">
        <v>59</v>
      </c>
      <c r="G466" s="62">
        <v>478.31999999999994</v>
      </c>
      <c r="H466" s="62">
        <v>22272.420000000002</v>
      </c>
      <c r="I466" s="49">
        <v>0</v>
      </c>
      <c r="J466" s="49">
        <v>0</v>
      </c>
      <c r="K466" s="49">
        <v>0</v>
      </c>
      <c r="L466" s="50">
        <v>0</v>
      </c>
      <c r="M466" s="66"/>
      <c r="N466" s="52" t="s">
        <v>1300</v>
      </c>
      <c r="O466" s="31"/>
      <c r="P466" s="53">
        <v>0</v>
      </c>
      <c r="Q466" s="54">
        <v>0</v>
      </c>
      <c r="R466" s="55">
        <v>0</v>
      </c>
      <c r="S466" s="55">
        <v>0</v>
      </c>
      <c r="T466" s="56">
        <v>0</v>
      </c>
      <c r="U466" s="57"/>
      <c r="V466" s="55">
        <v>0</v>
      </c>
      <c r="W466" s="55">
        <v>0</v>
      </c>
      <c r="X466" s="58">
        <v>0</v>
      </c>
      <c r="Y466" s="59">
        <v>0</v>
      </c>
      <c r="Z466" s="58">
        <v>0</v>
      </c>
      <c r="AA466" s="56">
        <v>0</v>
      </c>
      <c r="AB466" s="56">
        <v>0</v>
      </c>
      <c r="AC466" s="60">
        <v>46142</v>
      </c>
    </row>
    <row r="467" spans="1:29" x14ac:dyDescent="0.25">
      <c r="A467" s="43">
        <v>1012</v>
      </c>
      <c r="B467" s="44" t="s">
        <v>1295</v>
      </c>
      <c r="C467" s="45">
        <v>10120050</v>
      </c>
      <c r="D467" s="46" t="s">
        <v>831</v>
      </c>
      <c r="E467" s="47" t="s">
        <v>371</v>
      </c>
      <c r="F467" s="47" t="s">
        <v>59</v>
      </c>
      <c r="G467" s="62">
        <v>878.49999999999989</v>
      </c>
      <c r="H467" s="62">
        <v>43036.21</v>
      </c>
      <c r="I467" s="49">
        <v>0</v>
      </c>
      <c r="J467" s="49">
        <v>0</v>
      </c>
      <c r="K467" s="49">
        <v>0</v>
      </c>
      <c r="L467" s="50">
        <v>0</v>
      </c>
      <c r="M467" s="51"/>
      <c r="N467" s="52" t="s">
        <v>1300</v>
      </c>
      <c r="O467" s="31"/>
      <c r="P467" s="53">
        <v>0</v>
      </c>
      <c r="Q467" s="54">
        <v>0</v>
      </c>
      <c r="R467" s="55">
        <v>0</v>
      </c>
      <c r="S467" s="55">
        <v>0</v>
      </c>
      <c r="T467" s="56">
        <v>0</v>
      </c>
      <c r="U467" s="57"/>
      <c r="V467" s="55">
        <v>0</v>
      </c>
      <c r="W467" s="55">
        <v>0</v>
      </c>
      <c r="X467" s="58">
        <v>0</v>
      </c>
      <c r="Y467" s="59">
        <v>0</v>
      </c>
      <c r="Z467" s="58">
        <v>0</v>
      </c>
      <c r="AA467" s="56">
        <v>0</v>
      </c>
      <c r="AB467" s="56">
        <v>0</v>
      </c>
      <c r="AC467" s="60">
        <v>46142</v>
      </c>
    </row>
    <row r="468" spans="1:29" x14ac:dyDescent="0.25">
      <c r="A468" s="43">
        <v>1012</v>
      </c>
      <c r="B468" s="44" t="s">
        <v>1295</v>
      </c>
      <c r="C468" s="45">
        <v>10120051</v>
      </c>
      <c r="D468" s="46" t="s">
        <v>832</v>
      </c>
      <c r="E468" s="47" t="s">
        <v>364</v>
      </c>
      <c r="F468" s="47" t="s">
        <v>58</v>
      </c>
      <c r="G468" s="62">
        <v>337.57</v>
      </c>
      <c r="H468" s="62">
        <v>14067.130000000001</v>
      </c>
      <c r="I468" s="49">
        <v>0</v>
      </c>
      <c r="J468" s="49">
        <v>0</v>
      </c>
      <c r="K468" s="49">
        <v>0</v>
      </c>
      <c r="L468" s="50">
        <v>0</v>
      </c>
      <c r="M468" s="51"/>
      <c r="N468" s="52" t="s">
        <v>1300</v>
      </c>
      <c r="O468" s="31"/>
      <c r="P468" s="53">
        <v>-5.9700048924371594E-4</v>
      </c>
      <c r="Q468" s="54">
        <v>11</v>
      </c>
      <c r="R468" s="55">
        <v>0</v>
      </c>
      <c r="S468" s="55">
        <v>0</v>
      </c>
      <c r="T468" s="56">
        <v>0</v>
      </c>
      <c r="U468" s="57"/>
      <c r="V468" s="55">
        <v>0</v>
      </c>
      <c r="W468" s="55">
        <v>0</v>
      </c>
      <c r="X468" s="58">
        <v>0</v>
      </c>
      <c r="Y468" s="59">
        <v>0</v>
      </c>
      <c r="Z468" s="58">
        <v>0</v>
      </c>
      <c r="AA468" s="56">
        <v>0</v>
      </c>
      <c r="AB468" s="56">
        <v>0</v>
      </c>
      <c r="AC468" s="60">
        <v>46142</v>
      </c>
    </row>
    <row r="469" spans="1:29" x14ac:dyDescent="0.25">
      <c r="A469" s="43">
        <v>1012</v>
      </c>
      <c r="B469" s="44" t="s">
        <v>1295</v>
      </c>
      <c r="C469" s="45">
        <v>10120052</v>
      </c>
      <c r="D469" s="46" t="s">
        <v>833</v>
      </c>
      <c r="E469" s="47" t="s">
        <v>364</v>
      </c>
      <c r="F469" s="47" t="s">
        <v>58</v>
      </c>
      <c r="G469" s="62">
        <v>2029.08</v>
      </c>
      <c r="H469" s="62">
        <v>78879.680000000008</v>
      </c>
      <c r="I469" s="49">
        <v>0</v>
      </c>
      <c r="J469" s="49">
        <v>3000</v>
      </c>
      <c r="K469" s="49">
        <v>0</v>
      </c>
      <c r="L469" s="50">
        <v>0</v>
      </c>
      <c r="M469" s="51"/>
      <c r="N469" s="52" t="s">
        <v>1300</v>
      </c>
      <c r="O469" s="31"/>
      <c r="P469" s="53">
        <v>4.9894464146021528E-2</v>
      </c>
      <c r="Q469" s="54">
        <v>8</v>
      </c>
      <c r="R469" s="55">
        <v>0</v>
      </c>
      <c r="S469" s="55">
        <v>0</v>
      </c>
      <c r="T469" s="56">
        <v>0</v>
      </c>
      <c r="U469" s="57"/>
      <c r="V469" s="55">
        <v>0</v>
      </c>
      <c r="W469" s="55">
        <v>0</v>
      </c>
      <c r="X469" s="58">
        <v>0</v>
      </c>
      <c r="Y469" s="59">
        <v>0</v>
      </c>
      <c r="Z469" s="58">
        <v>0</v>
      </c>
      <c r="AA469" s="56">
        <v>0</v>
      </c>
      <c r="AB469" s="56">
        <v>0</v>
      </c>
      <c r="AC469" s="60">
        <v>46142</v>
      </c>
    </row>
    <row r="470" spans="1:29" x14ac:dyDescent="0.25">
      <c r="A470" s="43">
        <v>1012</v>
      </c>
      <c r="B470" s="44" t="s">
        <v>1295</v>
      </c>
      <c r="C470" s="45">
        <v>10120053</v>
      </c>
      <c r="D470" s="46" t="s">
        <v>834</v>
      </c>
      <c r="E470" s="47" t="s">
        <v>364</v>
      </c>
      <c r="F470" s="47" t="s">
        <v>58</v>
      </c>
      <c r="G470" s="62">
        <v>231.45000000000002</v>
      </c>
      <c r="H470" s="62">
        <v>8972.9500000000007</v>
      </c>
      <c r="I470" s="49">
        <v>0</v>
      </c>
      <c r="J470" s="49">
        <v>757</v>
      </c>
      <c r="K470" s="49">
        <v>0</v>
      </c>
      <c r="L470" s="50">
        <v>0</v>
      </c>
      <c r="M470" s="51"/>
      <c r="N470" s="52" t="s">
        <v>1300</v>
      </c>
      <c r="O470" s="31"/>
      <c r="P470" s="53">
        <v>-1.8587117511817141E-2</v>
      </c>
      <c r="Q470" s="54">
        <v>9</v>
      </c>
      <c r="R470" s="55">
        <v>0</v>
      </c>
      <c r="S470" s="55">
        <v>0</v>
      </c>
      <c r="T470" s="56">
        <v>0</v>
      </c>
      <c r="U470" s="57"/>
      <c r="V470" s="55">
        <v>0</v>
      </c>
      <c r="W470" s="55">
        <v>0</v>
      </c>
      <c r="X470" s="58">
        <v>0</v>
      </c>
      <c r="Y470" s="59">
        <v>0</v>
      </c>
      <c r="Z470" s="58">
        <v>0</v>
      </c>
      <c r="AA470" s="56">
        <v>0</v>
      </c>
      <c r="AB470" s="56">
        <v>0</v>
      </c>
      <c r="AC470" s="60">
        <v>46142</v>
      </c>
    </row>
    <row r="471" spans="1:29" x14ac:dyDescent="0.25">
      <c r="A471" s="43">
        <v>1012</v>
      </c>
      <c r="B471" s="44" t="s">
        <v>1295</v>
      </c>
      <c r="C471" s="45">
        <v>10120060</v>
      </c>
      <c r="D471" s="46" t="s">
        <v>835</v>
      </c>
      <c r="E471" s="47" t="s">
        <v>371</v>
      </c>
      <c r="F471" s="47" t="s">
        <v>59</v>
      </c>
      <c r="G471" s="62">
        <v>1816.1</v>
      </c>
      <c r="H471" s="62">
        <v>63491.28</v>
      </c>
      <c r="I471" s="49">
        <v>0</v>
      </c>
      <c r="J471" s="49">
        <v>0</v>
      </c>
      <c r="K471" s="49">
        <v>630.25035483870863</v>
      </c>
      <c r="L471" s="50">
        <v>0</v>
      </c>
      <c r="M471" s="51"/>
      <c r="N471" s="52" t="s">
        <v>1300</v>
      </c>
      <c r="O471" s="31"/>
      <c r="P471" s="53">
        <v>0</v>
      </c>
      <c r="Q471" s="54">
        <v>0</v>
      </c>
      <c r="R471" s="55">
        <v>0</v>
      </c>
      <c r="S471" s="55">
        <v>0</v>
      </c>
      <c r="T471" s="56">
        <v>0</v>
      </c>
      <c r="U471" s="57"/>
      <c r="V471" s="55">
        <v>630.25035483870863</v>
      </c>
      <c r="W471" s="55">
        <v>0</v>
      </c>
      <c r="X471" s="58">
        <v>0</v>
      </c>
      <c r="Y471" s="59">
        <v>630.25035483870863</v>
      </c>
      <c r="Z471" s="58">
        <v>630.25035483870863</v>
      </c>
      <c r="AA471" s="56">
        <v>0</v>
      </c>
      <c r="AB471" s="56">
        <v>0</v>
      </c>
      <c r="AC471" s="60">
        <v>46142</v>
      </c>
    </row>
    <row r="472" spans="1:29" x14ac:dyDescent="0.25">
      <c r="A472" s="43">
        <v>1012</v>
      </c>
      <c r="B472" s="44" t="s">
        <v>1295</v>
      </c>
      <c r="C472" s="45">
        <v>10120066</v>
      </c>
      <c r="D472" s="46" t="s">
        <v>836</v>
      </c>
      <c r="E472" s="47" t="s">
        <v>371</v>
      </c>
      <c r="F472" s="47" t="s">
        <v>59</v>
      </c>
      <c r="G472" s="62">
        <v>171.18</v>
      </c>
      <c r="H472" s="62">
        <v>6514.41</v>
      </c>
      <c r="I472" s="49">
        <v>0</v>
      </c>
      <c r="J472" s="49">
        <v>0</v>
      </c>
      <c r="K472" s="49">
        <v>0</v>
      </c>
      <c r="L472" s="50">
        <v>0</v>
      </c>
      <c r="M472" s="51"/>
      <c r="N472" s="52" t="s">
        <v>1300</v>
      </c>
      <c r="O472" s="31"/>
      <c r="P472" s="53">
        <v>0</v>
      </c>
      <c r="Q472" s="54">
        <v>0</v>
      </c>
      <c r="R472" s="55">
        <v>0</v>
      </c>
      <c r="S472" s="55">
        <v>0</v>
      </c>
      <c r="T472" s="56">
        <v>0</v>
      </c>
      <c r="U472" s="57"/>
      <c r="V472" s="55">
        <v>0</v>
      </c>
      <c r="W472" s="55">
        <v>0</v>
      </c>
      <c r="X472" s="58">
        <v>0</v>
      </c>
      <c r="Y472" s="59">
        <v>0</v>
      </c>
      <c r="Z472" s="58">
        <v>0</v>
      </c>
      <c r="AA472" s="56">
        <v>0</v>
      </c>
      <c r="AB472" s="56">
        <v>0</v>
      </c>
      <c r="AC472" s="60">
        <v>46142</v>
      </c>
    </row>
    <row r="473" spans="1:29" x14ac:dyDescent="0.25">
      <c r="A473" s="43">
        <v>1012</v>
      </c>
      <c r="B473" s="44" t="s">
        <v>1295</v>
      </c>
      <c r="C473" s="45">
        <v>10120071</v>
      </c>
      <c r="D473" s="46" t="s">
        <v>837</v>
      </c>
      <c r="E473" s="47" t="s">
        <v>364</v>
      </c>
      <c r="F473" s="47" t="s">
        <v>58</v>
      </c>
      <c r="G473" s="62">
        <v>548.80000000000007</v>
      </c>
      <c r="H473" s="62">
        <v>22378.77</v>
      </c>
      <c r="I473" s="49">
        <v>0</v>
      </c>
      <c r="J473" s="49">
        <v>0</v>
      </c>
      <c r="K473" s="49">
        <v>0</v>
      </c>
      <c r="L473" s="50">
        <v>0</v>
      </c>
      <c r="M473" s="51"/>
      <c r="N473" s="52" t="s">
        <v>1300</v>
      </c>
      <c r="O473" s="31"/>
      <c r="P473" s="53">
        <v>-0.10822595328425992</v>
      </c>
      <c r="Q473" s="54">
        <v>14</v>
      </c>
      <c r="R473" s="55">
        <v>0</v>
      </c>
      <c r="S473" s="55">
        <v>0</v>
      </c>
      <c r="T473" s="56">
        <v>0</v>
      </c>
      <c r="U473" s="57"/>
      <c r="V473" s="55">
        <v>0</v>
      </c>
      <c r="W473" s="55">
        <v>0</v>
      </c>
      <c r="X473" s="58">
        <v>0</v>
      </c>
      <c r="Y473" s="59">
        <v>0</v>
      </c>
      <c r="Z473" s="58">
        <v>0</v>
      </c>
      <c r="AA473" s="56">
        <v>0</v>
      </c>
      <c r="AB473" s="56">
        <v>0</v>
      </c>
      <c r="AC473" s="60">
        <v>46142</v>
      </c>
    </row>
    <row r="474" spans="1:29" x14ac:dyDescent="0.25">
      <c r="A474" s="43">
        <v>1012</v>
      </c>
      <c r="B474" s="44" t="s">
        <v>1295</v>
      </c>
      <c r="C474" s="45">
        <v>10120080</v>
      </c>
      <c r="D474" s="46" t="s">
        <v>838</v>
      </c>
      <c r="E474" s="47" t="s">
        <v>364</v>
      </c>
      <c r="F474" s="47" t="s">
        <v>58</v>
      </c>
      <c r="G474" s="62">
        <v>91.210000000000008</v>
      </c>
      <c r="H474" s="62">
        <v>3054.99</v>
      </c>
      <c r="I474" s="49">
        <v>0</v>
      </c>
      <c r="J474" s="49">
        <v>0</v>
      </c>
      <c r="K474" s="49">
        <v>0</v>
      </c>
      <c r="L474" s="50">
        <v>0</v>
      </c>
      <c r="M474" s="51"/>
      <c r="N474" s="52" t="s">
        <v>1300</v>
      </c>
      <c r="O474" s="31"/>
      <c r="P474" s="53">
        <v>3.6727610134237409E-3</v>
      </c>
      <c r="Q474" s="54">
        <v>1</v>
      </c>
      <c r="R474" s="55">
        <v>0</v>
      </c>
      <c r="S474" s="55">
        <v>0</v>
      </c>
      <c r="T474" s="56">
        <v>0</v>
      </c>
      <c r="U474" s="57"/>
      <c r="V474" s="55">
        <v>0</v>
      </c>
      <c r="W474" s="55">
        <v>0</v>
      </c>
      <c r="X474" s="58">
        <v>0</v>
      </c>
      <c r="Y474" s="59">
        <v>0</v>
      </c>
      <c r="Z474" s="58">
        <v>0</v>
      </c>
      <c r="AA474" s="56">
        <v>0</v>
      </c>
      <c r="AB474" s="56">
        <v>0</v>
      </c>
      <c r="AC474" s="60">
        <v>46142</v>
      </c>
    </row>
    <row r="475" spans="1:29" x14ac:dyDescent="0.25">
      <c r="A475" s="43">
        <v>1012</v>
      </c>
      <c r="B475" s="44" t="s">
        <v>1295</v>
      </c>
      <c r="C475" s="45">
        <v>10120083</v>
      </c>
      <c r="D475" s="46" t="s">
        <v>839</v>
      </c>
      <c r="E475" s="47" t="s">
        <v>364</v>
      </c>
      <c r="F475" s="47" t="s">
        <v>58</v>
      </c>
      <c r="G475" s="62">
        <v>273.59000000000003</v>
      </c>
      <c r="H475" s="62">
        <v>10557.810000000001</v>
      </c>
      <c r="I475" s="49">
        <v>0</v>
      </c>
      <c r="J475" s="49">
        <v>10397</v>
      </c>
      <c r="K475" s="49">
        <v>14.152817999999968</v>
      </c>
      <c r="L475" s="50" t="s">
        <v>409</v>
      </c>
      <c r="M475" s="51" t="s">
        <v>410</v>
      </c>
      <c r="N475" s="52" t="s">
        <v>1300</v>
      </c>
      <c r="O475" s="31"/>
      <c r="P475" s="53">
        <v>-1.344341019921729E-2</v>
      </c>
      <c r="Q475" s="54">
        <v>6</v>
      </c>
      <c r="R475" s="55">
        <v>13843</v>
      </c>
      <c r="S475" s="55">
        <v>0</v>
      </c>
      <c r="T475" s="56">
        <v>13843</v>
      </c>
      <c r="U475" s="57"/>
      <c r="V475" s="55">
        <v>14.152817999999968</v>
      </c>
      <c r="W475" s="55">
        <v>0</v>
      </c>
      <c r="X475" s="58">
        <v>0</v>
      </c>
      <c r="Y475" s="59">
        <v>14.152817999999968</v>
      </c>
      <c r="Z475" s="58">
        <v>14.152817999999968</v>
      </c>
      <c r="AA475" s="56">
        <v>0</v>
      </c>
      <c r="AB475" s="56">
        <v>0</v>
      </c>
      <c r="AC475" s="60">
        <v>46142</v>
      </c>
    </row>
    <row r="476" spans="1:29" x14ac:dyDescent="0.25">
      <c r="A476" s="43">
        <v>1012</v>
      </c>
      <c r="B476" s="44" t="s">
        <v>1295</v>
      </c>
      <c r="C476" s="45">
        <v>10120084</v>
      </c>
      <c r="D476" s="46" t="s">
        <v>840</v>
      </c>
      <c r="E476" s="47" t="s">
        <v>364</v>
      </c>
      <c r="F476" s="47" t="s">
        <v>58</v>
      </c>
      <c r="G476" s="62">
        <v>1089.94</v>
      </c>
      <c r="H476" s="62">
        <v>57325.640000000007</v>
      </c>
      <c r="I476" s="49">
        <v>0</v>
      </c>
      <c r="J476" s="49">
        <v>6750</v>
      </c>
      <c r="K476" s="49">
        <v>0</v>
      </c>
      <c r="L476" s="50" t="s">
        <v>366</v>
      </c>
      <c r="M476" s="51" t="s">
        <v>367</v>
      </c>
      <c r="N476" s="52" t="s">
        <v>1300</v>
      </c>
      <c r="O476" s="31"/>
      <c r="P476" s="53">
        <v>-0.13763261367257509</v>
      </c>
      <c r="Q476" s="54">
        <v>27</v>
      </c>
      <c r="R476" s="55">
        <v>0</v>
      </c>
      <c r="S476" s="55">
        <v>0</v>
      </c>
      <c r="T476" s="56">
        <v>0</v>
      </c>
      <c r="U476" s="57"/>
      <c r="V476" s="55">
        <v>0</v>
      </c>
      <c r="W476" s="55">
        <v>0</v>
      </c>
      <c r="X476" s="58">
        <v>0</v>
      </c>
      <c r="Y476" s="59">
        <v>0</v>
      </c>
      <c r="Z476" s="58">
        <v>0</v>
      </c>
      <c r="AA476" s="56">
        <v>0</v>
      </c>
      <c r="AB476" s="56">
        <v>0</v>
      </c>
      <c r="AC476" s="60">
        <v>46142</v>
      </c>
    </row>
    <row r="477" spans="1:29" x14ac:dyDescent="0.25">
      <c r="A477" s="43">
        <v>1012</v>
      </c>
      <c r="B477" s="44" t="s">
        <v>1295</v>
      </c>
      <c r="C477" s="45">
        <v>10120086</v>
      </c>
      <c r="D477" s="46" t="s">
        <v>841</v>
      </c>
      <c r="E477" s="47" t="s">
        <v>371</v>
      </c>
      <c r="F477" s="47" t="s">
        <v>59</v>
      </c>
      <c r="G477" s="62">
        <v>857.70000000000016</v>
      </c>
      <c r="H477" s="62">
        <v>32991.64</v>
      </c>
      <c r="I477" s="49">
        <v>0</v>
      </c>
      <c r="J477" s="49">
        <v>0</v>
      </c>
      <c r="K477" s="49">
        <v>0</v>
      </c>
      <c r="L477" s="50">
        <v>0</v>
      </c>
      <c r="M477" s="51"/>
      <c r="N477" s="52" t="s">
        <v>1300</v>
      </c>
      <c r="O477" s="31"/>
      <c r="P477" s="53">
        <v>0</v>
      </c>
      <c r="Q477" s="54">
        <v>0</v>
      </c>
      <c r="R477" s="55">
        <v>0</v>
      </c>
      <c r="S477" s="55">
        <v>0</v>
      </c>
      <c r="T477" s="56">
        <v>0</v>
      </c>
      <c r="U477" s="57"/>
      <c r="V477" s="55">
        <v>0</v>
      </c>
      <c r="W477" s="55">
        <v>0</v>
      </c>
      <c r="X477" s="58">
        <v>0</v>
      </c>
      <c r="Y477" s="59">
        <v>0</v>
      </c>
      <c r="Z477" s="58">
        <v>0</v>
      </c>
      <c r="AA477" s="56">
        <v>0</v>
      </c>
      <c r="AB477" s="56">
        <v>0</v>
      </c>
      <c r="AC477" s="60">
        <v>46142</v>
      </c>
    </row>
    <row r="478" spans="1:29" x14ac:dyDescent="0.25">
      <c r="A478" s="43">
        <v>1062</v>
      </c>
      <c r="B478" s="44" t="s">
        <v>1296</v>
      </c>
      <c r="C478" s="45">
        <v>10120088</v>
      </c>
      <c r="D478" s="46" t="s">
        <v>842</v>
      </c>
      <c r="E478" s="47" t="s">
        <v>371</v>
      </c>
      <c r="F478" s="47" t="s">
        <v>59</v>
      </c>
      <c r="G478" s="62">
        <v>2713.3999999999996</v>
      </c>
      <c r="H478" s="62">
        <v>102445.03</v>
      </c>
      <c r="I478" s="49">
        <v>0</v>
      </c>
      <c r="J478" s="49">
        <v>0</v>
      </c>
      <c r="K478" s="49">
        <v>0</v>
      </c>
      <c r="L478" s="50">
        <v>0</v>
      </c>
      <c r="M478" s="51"/>
      <c r="N478" s="52" t="s">
        <v>1300</v>
      </c>
      <c r="O478" s="31"/>
      <c r="P478" s="53">
        <v>0</v>
      </c>
      <c r="Q478" s="54">
        <v>0</v>
      </c>
      <c r="R478" s="55">
        <v>0</v>
      </c>
      <c r="S478" s="55">
        <v>0</v>
      </c>
      <c r="T478" s="56">
        <v>0</v>
      </c>
      <c r="U478" s="57"/>
      <c r="V478" s="55">
        <v>0</v>
      </c>
      <c r="W478" s="55">
        <v>0</v>
      </c>
      <c r="X478" s="58">
        <v>0</v>
      </c>
      <c r="Y478" s="59">
        <v>0</v>
      </c>
      <c r="Z478" s="58">
        <v>0</v>
      </c>
      <c r="AA478" s="56">
        <v>0</v>
      </c>
      <c r="AB478" s="56">
        <v>0</v>
      </c>
      <c r="AC478" s="60">
        <v>46142</v>
      </c>
    </row>
    <row r="479" spans="1:29" x14ac:dyDescent="0.25">
      <c r="A479" s="43">
        <v>1012</v>
      </c>
      <c r="B479" s="44" t="s">
        <v>1295</v>
      </c>
      <c r="C479" s="45">
        <v>10120089</v>
      </c>
      <c r="D479" s="46" t="s">
        <v>843</v>
      </c>
      <c r="E479" s="47" t="s">
        <v>364</v>
      </c>
      <c r="F479" s="47" t="s">
        <v>58</v>
      </c>
      <c r="G479" s="62">
        <v>608.68999999999994</v>
      </c>
      <c r="H479" s="62">
        <v>22650.47</v>
      </c>
      <c r="I479" s="49">
        <v>0</v>
      </c>
      <c r="J479" s="49">
        <v>2700</v>
      </c>
      <c r="K479" s="49">
        <v>0</v>
      </c>
      <c r="L479" s="50">
        <v>0</v>
      </c>
      <c r="M479" s="51"/>
      <c r="N479" s="52" t="s">
        <v>1300</v>
      </c>
      <c r="O479" s="31"/>
      <c r="P479" s="53">
        <v>-2.7887500613982808E-2</v>
      </c>
      <c r="Q479" s="54">
        <v>2</v>
      </c>
      <c r="R479" s="55">
        <v>0</v>
      </c>
      <c r="S479" s="55">
        <v>0</v>
      </c>
      <c r="T479" s="56">
        <v>0</v>
      </c>
      <c r="U479" s="57"/>
      <c r="V479" s="55">
        <v>0</v>
      </c>
      <c r="W479" s="55">
        <v>0</v>
      </c>
      <c r="X479" s="58">
        <v>0</v>
      </c>
      <c r="Y479" s="59">
        <v>0</v>
      </c>
      <c r="Z479" s="58">
        <v>0</v>
      </c>
      <c r="AA479" s="56">
        <v>0</v>
      </c>
      <c r="AB479" s="56">
        <v>0</v>
      </c>
      <c r="AC479" s="60">
        <v>46142</v>
      </c>
    </row>
    <row r="480" spans="1:29" x14ac:dyDescent="0.25">
      <c r="A480" s="43">
        <v>1012</v>
      </c>
      <c r="B480" s="44" t="s">
        <v>1295</v>
      </c>
      <c r="C480" s="45">
        <v>10120091</v>
      </c>
      <c r="D480" s="46" t="s">
        <v>402</v>
      </c>
      <c r="E480" s="47" t="s">
        <v>364</v>
      </c>
      <c r="F480" s="47" t="s">
        <v>58</v>
      </c>
      <c r="G480" s="62">
        <v>465.61</v>
      </c>
      <c r="H480" s="62">
        <v>18612.420000000002</v>
      </c>
      <c r="I480" s="49">
        <v>0</v>
      </c>
      <c r="J480" s="49">
        <v>0</v>
      </c>
      <c r="K480" s="49">
        <v>0</v>
      </c>
      <c r="L480" s="50">
        <v>0</v>
      </c>
      <c r="M480" s="51"/>
      <c r="N480" s="52" t="s">
        <v>1300</v>
      </c>
      <c r="O480" s="31"/>
      <c r="P480" s="53">
        <v>6.5700738342454129E-2</v>
      </c>
      <c r="Q480" s="54">
        <v>13</v>
      </c>
      <c r="R480" s="55">
        <v>0</v>
      </c>
      <c r="S480" s="55">
        <v>0</v>
      </c>
      <c r="T480" s="56">
        <v>0</v>
      </c>
      <c r="U480" s="57"/>
      <c r="V480" s="55">
        <v>0</v>
      </c>
      <c r="W480" s="55">
        <v>0</v>
      </c>
      <c r="X480" s="58">
        <v>0</v>
      </c>
      <c r="Y480" s="59">
        <v>0</v>
      </c>
      <c r="Z480" s="58">
        <v>0</v>
      </c>
      <c r="AA480" s="56">
        <v>0</v>
      </c>
      <c r="AB480" s="56">
        <v>0</v>
      </c>
      <c r="AC480" s="60">
        <v>46142</v>
      </c>
    </row>
    <row r="481" spans="1:29" x14ac:dyDescent="0.25">
      <c r="A481" s="43">
        <v>1012</v>
      </c>
      <c r="B481" s="44" t="s">
        <v>1295</v>
      </c>
      <c r="C481" s="45">
        <v>10120094</v>
      </c>
      <c r="D481" s="46" t="s">
        <v>844</v>
      </c>
      <c r="E481" s="47" t="s">
        <v>364</v>
      </c>
      <c r="F481" s="47" t="s">
        <v>58</v>
      </c>
      <c r="G481" s="62">
        <v>853.16</v>
      </c>
      <c r="H481" s="62">
        <v>39274.299999999996</v>
      </c>
      <c r="I481" s="49">
        <v>0</v>
      </c>
      <c r="J481" s="49">
        <v>6750</v>
      </c>
      <c r="K481" s="49">
        <v>0</v>
      </c>
      <c r="L481" s="50">
        <v>0</v>
      </c>
      <c r="M481" s="51"/>
      <c r="N481" s="52" t="s">
        <v>1300</v>
      </c>
      <c r="O481" s="31"/>
      <c r="P481" s="53">
        <v>-6.8115611847897207E-3</v>
      </c>
      <c r="Q481" s="54">
        <v>24</v>
      </c>
      <c r="R481" s="55">
        <v>0</v>
      </c>
      <c r="S481" s="55">
        <v>0</v>
      </c>
      <c r="T481" s="56">
        <v>0</v>
      </c>
      <c r="U481" s="57"/>
      <c r="V481" s="55">
        <v>0</v>
      </c>
      <c r="W481" s="55">
        <v>0</v>
      </c>
      <c r="X481" s="58">
        <v>0</v>
      </c>
      <c r="Y481" s="59">
        <v>0</v>
      </c>
      <c r="Z481" s="58">
        <v>0</v>
      </c>
      <c r="AA481" s="56">
        <v>0</v>
      </c>
      <c r="AB481" s="56">
        <v>0</v>
      </c>
      <c r="AC481" s="60">
        <v>46142</v>
      </c>
    </row>
    <row r="482" spans="1:29" x14ac:dyDescent="0.25">
      <c r="A482" s="43">
        <v>1012</v>
      </c>
      <c r="B482" s="44" t="s">
        <v>1295</v>
      </c>
      <c r="C482" s="45">
        <v>10120095</v>
      </c>
      <c r="D482" s="46" t="s">
        <v>845</v>
      </c>
      <c r="E482" s="47" t="s">
        <v>364</v>
      </c>
      <c r="F482" s="47" t="s">
        <v>58</v>
      </c>
      <c r="G482" s="62">
        <v>180.94</v>
      </c>
      <c r="H482" s="62">
        <v>8296.3200000000015</v>
      </c>
      <c r="I482" s="49">
        <v>0</v>
      </c>
      <c r="J482" s="49">
        <v>0</v>
      </c>
      <c r="K482" s="49">
        <v>0</v>
      </c>
      <c r="L482" s="50">
        <v>0</v>
      </c>
      <c r="M482" s="51"/>
      <c r="N482" s="52" t="s">
        <v>1300</v>
      </c>
      <c r="O482" s="31"/>
      <c r="P482" s="53">
        <v>4.3329159916686288E-2</v>
      </c>
      <c r="Q482" s="54">
        <v>3</v>
      </c>
      <c r="R482" s="55">
        <v>0</v>
      </c>
      <c r="S482" s="55">
        <v>0</v>
      </c>
      <c r="T482" s="56">
        <v>0</v>
      </c>
      <c r="U482" s="57"/>
      <c r="V482" s="55">
        <v>0</v>
      </c>
      <c r="W482" s="55">
        <v>0</v>
      </c>
      <c r="X482" s="58">
        <v>0</v>
      </c>
      <c r="Y482" s="59">
        <v>0</v>
      </c>
      <c r="Z482" s="58">
        <v>0</v>
      </c>
      <c r="AA482" s="56">
        <v>0</v>
      </c>
      <c r="AB482" s="56">
        <v>0</v>
      </c>
      <c r="AC482" s="60">
        <v>46142</v>
      </c>
    </row>
    <row r="483" spans="1:29" x14ac:dyDescent="0.25">
      <c r="A483" s="43">
        <v>1012</v>
      </c>
      <c r="B483" s="44" t="s">
        <v>1295</v>
      </c>
      <c r="C483" s="45">
        <v>10120096</v>
      </c>
      <c r="D483" s="46" t="s">
        <v>846</v>
      </c>
      <c r="E483" s="47" t="s">
        <v>371</v>
      </c>
      <c r="F483" s="47" t="s">
        <v>59</v>
      </c>
      <c r="G483" s="62">
        <v>505.02</v>
      </c>
      <c r="H483" s="62">
        <v>20870.329999999998</v>
      </c>
      <c r="I483" s="49">
        <v>0</v>
      </c>
      <c r="J483" s="49">
        <v>20582</v>
      </c>
      <c r="K483" s="49">
        <v>288.80714903225794</v>
      </c>
      <c r="L483" s="50">
        <v>0</v>
      </c>
      <c r="M483" s="51"/>
      <c r="N483" s="52" t="s">
        <v>1300</v>
      </c>
      <c r="O483" s="31"/>
      <c r="P483" s="53">
        <v>0</v>
      </c>
      <c r="Q483" s="54">
        <v>0</v>
      </c>
      <c r="R483" s="55">
        <v>0</v>
      </c>
      <c r="S483" s="55">
        <v>0</v>
      </c>
      <c r="T483" s="56">
        <v>0</v>
      </c>
      <c r="U483" s="57"/>
      <c r="V483" s="55">
        <v>288.80714903225794</v>
      </c>
      <c r="W483" s="55">
        <v>0</v>
      </c>
      <c r="X483" s="58">
        <v>0</v>
      </c>
      <c r="Y483" s="59">
        <v>288.80714903225794</v>
      </c>
      <c r="Z483" s="58">
        <v>288.80714903225794</v>
      </c>
      <c r="AA483" s="56">
        <v>0</v>
      </c>
      <c r="AB483" s="56">
        <v>0</v>
      </c>
      <c r="AC483" s="60">
        <v>46142</v>
      </c>
    </row>
    <row r="484" spans="1:29" x14ac:dyDescent="0.25">
      <c r="A484" s="43">
        <v>1012</v>
      </c>
      <c r="B484" s="44" t="s">
        <v>1295</v>
      </c>
      <c r="C484" s="45">
        <v>10120099</v>
      </c>
      <c r="D484" s="46" t="s">
        <v>847</v>
      </c>
      <c r="E484" s="47" t="s">
        <v>371</v>
      </c>
      <c r="F484" s="47" t="s">
        <v>59</v>
      </c>
      <c r="G484" s="62">
        <v>973.8</v>
      </c>
      <c r="H484" s="62">
        <v>37941.589999999997</v>
      </c>
      <c r="I484" s="49">
        <v>0</v>
      </c>
      <c r="J484" s="49">
        <v>0</v>
      </c>
      <c r="K484" s="49">
        <v>19326.096000000001</v>
      </c>
      <c r="L484" s="50">
        <v>0</v>
      </c>
      <c r="M484" s="51"/>
      <c r="N484" s="52" t="s">
        <v>1300</v>
      </c>
      <c r="O484" s="31"/>
      <c r="P484" s="53">
        <v>0</v>
      </c>
      <c r="Q484" s="54">
        <v>0</v>
      </c>
      <c r="R484" s="55">
        <v>0</v>
      </c>
      <c r="S484" s="55">
        <v>0</v>
      </c>
      <c r="T484" s="56">
        <v>0</v>
      </c>
      <c r="U484" s="57"/>
      <c r="V484" s="55">
        <v>19326.096000000001</v>
      </c>
      <c r="W484" s="55">
        <v>0</v>
      </c>
      <c r="X484" s="58">
        <v>0</v>
      </c>
      <c r="Y484" s="59">
        <v>19326.096000000001</v>
      </c>
      <c r="Z484" s="58">
        <v>19326.096000000001</v>
      </c>
      <c r="AA484" s="56">
        <v>0</v>
      </c>
      <c r="AB484" s="56">
        <v>0</v>
      </c>
      <c r="AC484" s="60">
        <v>46142</v>
      </c>
    </row>
    <row r="485" spans="1:29" x14ac:dyDescent="0.25">
      <c r="A485" s="43">
        <v>1012</v>
      </c>
      <c r="B485" s="44" t="s">
        <v>1295</v>
      </c>
      <c r="C485" s="45">
        <v>10120103</v>
      </c>
      <c r="D485" s="46" t="s">
        <v>848</v>
      </c>
      <c r="E485" s="47" t="s">
        <v>371</v>
      </c>
      <c r="F485" s="47" t="s">
        <v>59</v>
      </c>
      <c r="G485" s="62">
        <v>1107</v>
      </c>
      <c r="H485" s="62">
        <v>40648.379999999997</v>
      </c>
      <c r="I485" s="49">
        <v>0</v>
      </c>
      <c r="J485" s="49">
        <v>0</v>
      </c>
      <c r="K485" s="49">
        <v>0</v>
      </c>
      <c r="L485" s="50">
        <v>0</v>
      </c>
      <c r="M485" s="51"/>
      <c r="N485" s="52" t="s">
        <v>1300</v>
      </c>
      <c r="O485" s="31"/>
      <c r="P485" s="53">
        <v>0</v>
      </c>
      <c r="Q485" s="54">
        <v>0</v>
      </c>
      <c r="R485" s="55">
        <v>0</v>
      </c>
      <c r="S485" s="55">
        <v>0</v>
      </c>
      <c r="T485" s="56">
        <v>0</v>
      </c>
      <c r="U485" s="57"/>
      <c r="V485" s="55">
        <v>0</v>
      </c>
      <c r="W485" s="55">
        <v>0</v>
      </c>
      <c r="X485" s="58">
        <v>0</v>
      </c>
      <c r="Y485" s="59">
        <v>0</v>
      </c>
      <c r="Z485" s="58">
        <v>0</v>
      </c>
      <c r="AA485" s="56">
        <v>0</v>
      </c>
      <c r="AB485" s="56">
        <v>0</v>
      </c>
      <c r="AC485" s="60">
        <v>46142</v>
      </c>
    </row>
    <row r="486" spans="1:29" x14ac:dyDescent="0.25">
      <c r="A486" s="43">
        <v>1012</v>
      </c>
      <c r="B486" s="44" t="s">
        <v>1295</v>
      </c>
      <c r="C486" s="45">
        <v>10120104</v>
      </c>
      <c r="D486" s="46" t="s">
        <v>849</v>
      </c>
      <c r="E486" s="47" t="s">
        <v>364</v>
      </c>
      <c r="F486" s="47" t="s">
        <v>58</v>
      </c>
      <c r="G486" s="62">
        <v>695.31</v>
      </c>
      <c r="H486" s="62">
        <v>26687.729999999996</v>
      </c>
      <c r="I486" s="49">
        <v>0</v>
      </c>
      <c r="J486" s="49">
        <v>1434</v>
      </c>
      <c r="K486" s="49">
        <v>0</v>
      </c>
      <c r="L486" s="50">
        <v>0</v>
      </c>
      <c r="M486" s="51"/>
      <c r="N486" s="52" t="s">
        <v>1300</v>
      </c>
      <c r="O486" s="31"/>
      <c r="P486" s="53">
        <v>-5.4233992326811233E-2</v>
      </c>
      <c r="Q486" s="54">
        <v>4</v>
      </c>
      <c r="R486" s="55">
        <v>0</v>
      </c>
      <c r="S486" s="55">
        <v>0</v>
      </c>
      <c r="T486" s="56">
        <v>0</v>
      </c>
      <c r="U486" s="57"/>
      <c r="V486" s="55">
        <v>0</v>
      </c>
      <c r="W486" s="55">
        <v>0</v>
      </c>
      <c r="X486" s="58">
        <v>0</v>
      </c>
      <c r="Y486" s="59">
        <v>0</v>
      </c>
      <c r="Z486" s="58">
        <v>0</v>
      </c>
      <c r="AA486" s="56">
        <v>0</v>
      </c>
      <c r="AB486" s="56">
        <v>0</v>
      </c>
      <c r="AC486" s="60">
        <v>46142</v>
      </c>
    </row>
    <row r="487" spans="1:29" x14ac:dyDescent="0.25">
      <c r="A487" s="43">
        <v>1012</v>
      </c>
      <c r="B487" s="44" t="s">
        <v>1295</v>
      </c>
      <c r="C487" s="45">
        <v>10120106</v>
      </c>
      <c r="D487" s="46" t="s">
        <v>850</v>
      </c>
      <c r="E487" s="47" t="s">
        <v>371</v>
      </c>
      <c r="F487" s="47" t="s">
        <v>59</v>
      </c>
      <c r="G487" s="62">
        <v>1400</v>
      </c>
      <c r="H487" s="62">
        <v>48501.1</v>
      </c>
      <c r="I487" s="49">
        <v>0</v>
      </c>
      <c r="J487" s="49">
        <v>0</v>
      </c>
      <c r="K487" s="49">
        <v>618.19935483871086</v>
      </c>
      <c r="L487" s="50">
        <v>0</v>
      </c>
      <c r="M487" s="51"/>
      <c r="N487" s="52" t="s">
        <v>1300</v>
      </c>
      <c r="O487" s="31"/>
      <c r="P487" s="53">
        <v>0</v>
      </c>
      <c r="Q487" s="54">
        <v>0</v>
      </c>
      <c r="R487" s="55">
        <v>0</v>
      </c>
      <c r="S487" s="55">
        <v>0</v>
      </c>
      <c r="T487" s="56">
        <v>0</v>
      </c>
      <c r="U487" s="57"/>
      <c r="V487" s="55">
        <v>618.19935483871086</v>
      </c>
      <c r="W487" s="55">
        <v>0</v>
      </c>
      <c r="X487" s="58">
        <v>0</v>
      </c>
      <c r="Y487" s="59">
        <v>618.19935483871086</v>
      </c>
      <c r="Z487" s="58">
        <v>618.19935483871086</v>
      </c>
      <c r="AA487" s="56">
        <v>0</v>
      </c>
      <c r="AB487" s="56">
        <v>0</v>
      </c>
      <c r="AC487" s="60">
        <v>46142</v>
      </c>
    </row>
    <row r="488" spans="1:29" x14ac:dyDescent="0.25">
      <c r="A488" s="43">
        <v>1012</v>
      </c>
      <c r="B488" s="44" t="s">
        <v>1295</v>
      </c>
      <c r="C488" s="45">
        <v>10120107</v>
      </c>
      <c r="D488" s="46" t="s">
        <v>851</v>
      </c>
      <c r="E488" s="47" t="s">
        <v>364</v>
      </c>
      <c r="F488" s="47" t="s">
        <v>58</v>
      </c>
      <c r="G488" s="62">
        <v>705.92999999999984</v>
      </c>
      <c r="H488" s="62">
        <v>27442.02</v>
      </c>
      <c r="I488" s="49">
        <v>0</v>
      </c>
      <c r="J488" s="49">
        <v>0</v>
      </c>
      <c r="K488" s="49">
        <v>0</v>
      </c>
      <c r="L488" s="50">
        <v>0</v>
      </c>
      <c r="M488" s="51"/>
      <c r="N488" s="52" t="s">
        <v>1300</v>
      </c>
      <c r="O488" s="31"/>
      <c r="P488" s="53">
        <v>2.539808436988221E-3</v>
      </c>
      <c r="Q488" s="54">
        <v>3</v>
      </c>
      <c r="R488" s="55">
        <v>0</v>
      </c>
      <c r="S488" s="55">
        <v>0</v>
      </c>
      <c r="T488" s="56">
        <v>0</v>
      </c>
      <c r="U488" s="57"/>
      <c r="V488" s="55">
        <v>0</v>
      </c>
      <c r="W488" s="55">
        <v>0</v>
      </c>
      <c r="X488" s="58">
        <v>0</v>
      </c>
      <c r="Y488" s="59">
        <v>0</v>
      </c>
      <c r="Z488" s="58">
        <v>0</v>
      </c>
      <c r="AA488" s="56">
        <v>0</v>
      </c>
      <c r="AB488" s="56">
        <v>0</v>
      </c>
      <c r="AC488" s="60">
        <v>46142</v>
      </c>
    </row>
    <row r="489" spans="1:29" x14ac:dyDescent="0.25">
      <c r="A489" s="43">
        <v>1012</v>
      </c>
      <c r="B489" s="44" t="s">
        <v>1295</v>
      </c>
      <c r="C489" s="45">
        <v>10120108</v>
      </c>
      <c r="D489" s="46" t="s">
        <v>852</v>
      </c>
      <c r="E489" s="47" t="s">
        <v>364</v>
      </c>
      <c r="F489" s="47" t="s">
        <v>58</v>
      </c>
      <c r="G489" s="62">
        <v>953.71999999999991</v>
      </c>
      <c r="H489" s="62">
        <v>37159.56</v>
      </c>
      <c r="I489" s="49">
        <v>0</v>
      </c>
      <c r="J489" s="49">
        <v>0</v>
      </c>
      <c r="K489" s="49">
        <v>0</v>
      </c>
      <c r="L489" s="50">
        <v>0</v>
      </c>
      <c r="M489" s="51"/>
      <c r="N489" s="52" t="s">
        <v>1300</v>
      </c>
      <c r="O489" s="31"/>
      <c r="P489" s="53">
        <v>-6.6647125959600997E-2</v>
      </c>
      <c r="Q489" s="54">
        <v>11</v>
      </c>
      <c r="R489" s="55">
        <v>0</v>
      </c>
      <c r="S489" s="55">
        <v>0</v>
      </c>
      <c r="T489" s="56">
        <v>0</v>
      </c>
      <c r="U489" s="57"/>
      <c r="V489" s="55">
        <v>0</v>
      </c>
      <c r="W489" s="55">
        <v>0</v>
      </c>
      <c r="X489" s="58">
        <v>0</v>
      </c>
      <c r="Y489" s="59">
        <v>0</v>
      </c>
      <c r="Z489" s="58">
        <v>0</v>
      </c>
      <c r="AA489" s="56">
        <v>0</v>
      </c>
      <c r="AB489" s="56">
        <v>0</v>
      </c>
      <c r="AC489" s="60">
        <v>46142</v>
      </c>
    </row>
    <row r="490" spans="1:29" x14ac:dyDescent="0.25">
      <c r="A490" s="43">
        <v>1012</v>
      </c>
      <c r="B490" s="44" t="s">
        <v>1295</v>
      </c>
      <c r="C490" s="45">
        <v>10120109</v>
      </c>
      <c r="D490" s="46" t="s">
        <v>853</v>
      </c>
      <c r="E490" s="47" t="s">
        <v>371</v>
      </c>
      <c r="F490" s="47" t="s">
        <v>59</v>
      </c>
      <c r="G490" s="62">
        <v>247.82999999999998</v>
      </c>
      <c r="H490" s="62">
        <v>9258.9</v>
      </c>
      <c r="I490" s="49">
        <v>0</v>
      </c>
      <c r="J490" s="49">
        <v>0</v>
      </c>
      <c r="K490" s="49">
        <v>0</v>
      </c>
      <c r="L490" s="50">
        <v>0</v>
      </c>
      <c r="M490" s="51"/>
      <c r="N490" s="52" t="s">
        <v>1300</v>
      </c>
      <c r="O490" s="31"/>
      <c r="P490" s="53">
        <v>0</v>
      </c>
      <c r="Q490" s="54">
        <v>0</v>
      </c>
      <c r="R490" s="55">
        <v>0</v>
      </c>
      <c r="S490" s="55">
        <v>0</v>
      </c>
      <c r="T490" s="56">
        <v>0</v>
      </c>
      <c r="U490" s="57"/>
      <c r="V490" s="55">
        <v>0</v>
      </c>
      <c r="W490" s="55">
        <v>0</v>
      </c>
      <c r="X490" s="58">
        <v>0</v>
      </c>
      <c r="Y490" s="59">
        <v>0</v>
      </c>
      <c r="Z490" s="58">
        <v>0</v>
      </c>
      <c r="AA490" s="56">
        <v>0</v>
      </c>
      <c r="AB490" s="56">
        <v>0</v>
      </c>
      <c r="AC490" s="60">
        <v>46142</v>
      </c>
    </row>
    <row r="491" spans="1:29" x14ac:dyDescent="0.25">
      <c r="A491" s="43">
        <v>1012</v>
      </c>
      <c r="B491" s="44" t="s">
        <v>1295</v>
      </c>
      <c r="C491" s="45">
        <v>10120110</v>
      </c>
      <c r="D491" s="46" t="s">
        <v>854</v>
      </c>
      <c r="E491" s="47" t="s">
        <v>371</v>
      </c>
      <c r="F491" s="47" t="s">
        <v>59</v>
      </c>
      <c r="G491" s="62">
        <v>294.24</v>
      </c>
      <c r="H491" s="62">
        <v>13961.130000000001</v>
      </c>
      <c r="I491" s="49">
        <v>0</v>
      </c>
      <c r="J491" s="49">
        <v>0</v>
      </c>
      <c r="K491" s="49">
        <v>89.187567096774416</v>
      </c>
      <c r="L491" s="50">
        <v>0</v>
      </c>
      <c r="M491" s="51"/>
      <c r="N491" s="52" t="s">
        <v>1300</v>
      </c>
      <c r="O491" s="31"/>
      <c r="P491" s="53">
        <v>0</v>
      </c>
      <c r="Q491" s="54">
        <v>0</v>
      </c>
      <c r="R491" s="55">
        <v>0</v>
      </c>
      <c r="S491" s="55">
        <v>0</v>
      </c>
      <c r="T491" s="56">
        <v>0</v>
      </c>
      <c r="U491" s="57"/>
      <c r="V491" s="55">
        <v>89.187567096774416</v>
      </c>
      <c r="W491" s="55">
        <v>0</v>
      </c>
      <c r="X491" s="58">
        <v>0</v>
      </c>
      <c r="Y491" s="59">
        <v>89.187567096774416</v>
      </c>
      <c r="Z491" s="58">
        <v>89.187567096774416</v>
      </c>
      <c r="AA491" s="56">
        <v>0</v>
      </c>
      <c r="AB491" s="56">
        <v>0</v>
      </c>
      <c r="AC491" s="60">
        <v>46142</v>
      </c>
    </row>
    <row r="492" spans="1:29" x14ac:dyDescent="0.25">
      <c r="A492" s="43">
        <v>1012</v>
      </c>
      <c r="B492" s="44" t="s">
        <v>1295</v>
      </c>
      <c r="C492" s="45">
        <v>10120111</v>
      </c>
      <c r="D492" s="46" t="s">
        <v>855</v>
      </c>
      <c r="E492" s="47" t="s">
        <v>364</v>
      </c>
      <c r="F492" s="47" t="s">
        <v>58</v>
      </c>
      <c r="G492" s="62">
        <v>765.16</v>
      </c>
      <c r="H492" s="62">
        <v>31107.820000000003</v>
      </c>
      <c r="I492" s="49">
        <v>0</v>
      </c>
      <c r="J492" s="49">
        <v>0</v>
      </c>
      <c r="K492" s="49">
        <v>64.777165161290455</v>
      </c>
      <c r="L492" s="50">
        <v>0</v>
      </c>
      <c r="M492" s="51"/>
      <c r="N492" s="52" t="s">
        <v>1300</v>
      </c>
      <c r="O492" s="31"/>
      <c r="P492" s="53">
        <v>-1.4824594313736323E-2</v>
      </c>
      <c r="Q492" s="54">
        <v>10</v>
      </c>
      <c r="R492" s="55">
        <v>0</v>
      </c>
      <c r="S492" s="55">
        <v>0</v>
      </c>
      <c r="T492" s="56">
        <v>0</v>
      </c>
      <c r="U492" s="57"/>
      <c r="V492" s="55">
        <v>64.777165161290455</v>
      </c>
      <c r="W492" s="55">
        <v>0</v>
      </c>
      <c r="X492" s="58">
        <v>0</v>
      </c>
      <c r="Y492" s="59">
        <v>64.777165161290455</v>
      </c>
      <c r="Z492" s="58">
        <v>64.777165161290455</v>
      </c>
      <c r="AA492" s="56">
        <v>0</v>
      </c>
      <c r="AB492" s="56">
        <v>0</v>
      </c>
      <c r="AC492" s="60">
        <v>46142</v>
      </c>
    </row>
    <row r="493" spans="1:29" x14ac:dyDescent="0.25">
      <c r="A493" s="43">
        <v>1012</v>
      </c>
      <c r="B493" s="44" t="s">
        <v>1295</v>
      </c>
      <c r="C493" s="45">
        <v>10120113</v>
      </c>
      <c r="D493" s="46" t="s">
        <v>856</v>
      </c>
      <c r="E493" s="47" t="s">
        <v>364</v>
      </c>
      <c r="F493" s="47" t="s">
        <v>58</v>
      </c>
      <c r="G493" s="62">
        <v>58.720000000000006</v>
      </c>
      <c r="H493" s="62">
        <v>2319.1799999999998</v>
      </c>
      <c r="I493" s="49">
        <v>0</v>
      </c>
      <c r="J493" s="49">
        <v>0</v>
      </c>
      <c r="K493" s="49">
        <v>0</v>
      </c>
      <c r="L493" s="50" t="s">
        <v>366</v>
      </c>
      <c r="M493" s="51" t="s">
        <v>367</v>
      </c>
      <c r="N493" s="52" t="s">
        <v>1300</v>
      </c>
      <c r="O493" s="31"/>
      <c r="P493" s="53">
        <v>-1.0502098414094855E-2</v>
      </c>
      <c r="Q493" s="54">
        <v>1</v>
      </c>
      <c r="R493" s="55">
        <v>0</v>
      </c>
      <c r="S493" s="55">
        <v>0</v>
      </c>
      <c r="T493" s="56">
        <v>0</v>
      </c>
      <c r="U493" s="57"/>
      <c r="V493" s="55">
        <v>0</v>
      </c>
      <c r="W493" s="55">
        <v>0</v>
      </c>
      <c r="X493" s="58">
        <v>0</v>
      </c>
      <c r="Y493" s="59">
        <v>0</v>
      </c>
      <c r="Z493" s="58">
        <v>0</v>
      </c>
      <c r="AA493" s="56">
        <v>0</v>
      </c>
      <c r="AB493" s="56">
        <v>0</v>
      </c>
      <c r="AC493" s="60">
        <v>46142</v>
      </c>
    </row>
    <row r="494" spans="1:29" x14ac:dyDescent="0.25">
      <c r="A494" s="43">
        <v>1012</v>
      </c>
      <c r="B494" s="44" t="s">
        <v>1295</v>
      </c>
      <c r="C494" s="45">
        <v>10120114</v>
      </c>
      <c r="D494" s="46" t="s">
        <v>857</v>
      </c>
      <c r="E494" s="47" t="s">
        <v>364</v>
      </c>
      <c r="F494" s="47" t="s">
        <v>58</v>
      </c>
      <c r="G494" s="62">
        <v>168.78000000000003</v>
      </c>
      <c r="H494" s="62">
        <v>6918.4900000000007</v>
      </c>
      <c r="I494" s="49">
        <v>0</v>
      </c>
      <c r="J494" s="49">
        <v>0</v>
      </c>
      <c r="K494" s="49">
        <v>0</v>
      </c>
      <c r="L494" s="50">
        <v>0</v>
      </c>
      <c r="M494" s="51"/>
      <c r="N494" s="52" t="s">
        <v>1300</v>
      </c>
      <c r="O494" s="31"/>
      <c r="P494" s="53">
        <v>5.7100386306377857E-3</v>
      </c>
      <c r="Q494" s="54">
        <v>5</v>
      </c>
      <c r="R494" s="55">
        <v>0</v>
      </c>
      <c r="S494" s="55">
        <v>0</v>
      </c>
      <c r="T494" s="56">
        <v>0</v>
      </c>
      <c r="U494" s="57"/>
      <c r="V494" s="55">
        <v>0</v>
      </c>
      <c r="W494" s="55">
        <v>0</v>
      </c>
      <c r="X494" s="58">
        <v>0</v>
      </c>
      <c r="Y494" s="59">
        <v>0</v>
      </c>
      <c r="Z494" s="58">
        <v>0</v>
      </c>
      <c r="AA494" s="56">
        <v>0</v>
      </c>
      <c r="AB494" s="56">
        <v>0</v>
      </c>
      <c r="AC494" s="60">
        <v>46142</v>
      </c>
    </row>
    <row r="495" spans="1:29" x14ac:dyDescent="0.25">
      <c r="A495" s="43">
        <v>1012</v>
      </c>
      <c r="B495" s="44" t="s">
        <v>1295</v>
      </c>
      <c r="C495" s="45">
        <v>10120115</v>
      </c>
      <c r="D495" s="46" t="s">
        <v>858</v>
      </c>
      <c r="E495" s="47" t="s">
        <v>371</v>
      </c>
      <c r="F495" s="47" t="s">
        <v>59</v>
      </c>
      <c r="G495" s="62">
        <v>340.88000000000005</v>
      </c>
      <c r="H495" s="62">
        <v>12451.16</v>
      </c>
      <c r="I495" s="49">
        <v>0</v>
      </c>
      <c r="J495" s="49">
        <v>0</v>
      </c>
      <c r="K495" s="49">
        <v>1431.6370703225816</v>
      </c>
      <c r="L495" s="50">
        <v>0</v>
      </c>
      <c r="M495" s="51"/>
      <c r="N495" s="52" t="s">
        <v>1300</v>
      </c>
      <c r="O495" s="31"/>
      <c r="P495" s="53">
        <v>0</v>
      </c>
      <c r="Q495" s="54">
        <v>0</v>
      </c>
      <c r="R495" s="55">
        <v>0</v>
      </c>
      <c r="S495" s="55">
        <v>0</v>
      </c>
      <c r="T495" s="56">
        <v>0</v>
      </c>
      <c r="U495" s="57"/>
      <c r="V495" s="55">
        <v>1431.6370703225816</v>
      </c>
      <c r="W495" s="55">
        <v>0</v>
      </c>
      <c r="X495" s="58">
        <v>0</v>
      </c>
      <c r="Y495" s="59">
        <v>1431.6370703225816</v>
      </c>
      <c r="Z495" s="58">
        <v>1431.6370703225816</v>
      </c>
      <c r="AA495" s="56">
        <v>0</v>
      </c>
      <c r="AB495" s="56">
        <v>0</v>
      </c>
      <c r="AC495" s="60">
        <v>46142</v>
      </c>
    </row>
    <row r="496" spans="1:29" x14ac:dyDescent="0.25">
      <c r="A496" s="43">
        <v>1012</v>
      </c>
      <c r="B496" s="44" t="s">
        <v>1295</v>
      </c>
      <c r="C496" s="45">
        <v>10120116</v>
      </c>
      <c r="D496" s="46" t="s">
        <v>859</v>
      </c>
      <c r="E496" s="47" t="s">
        <v>364</v>
      </c>
      <c r="F496" s="47" t="s">
        <v>58</v>
      </c>
      <c r="G496" s="62">
        <v>1703.97</v>
      </c>
      <c r="H496" s="62">
        <v>69763.760000000009</v>
      </c>
      <c r="I496" s="49">
        <v>0</v>
      </c>
      <c r="J496" s="49">
        <v>0</v>
      </c>
      <c r="K496" s="49">
        <v>0</v>
      </c>
      <c r="L496" s="50">
        <v>0</v>
      </c>
      <c r="M496" s="51"/>
      <c r="N496" s="52" t="s">
        <v>1300</v>
      </c>
      <c r="O496" s="31"/>
      <c r="P496" s="53">
        <v>9.8161136624361927E-5</v>
      </c>
      <c r="Q496" s="54">
        <v>28</v>
      </c>
      <c r="R496" s="55">
        <v>0</v>
      </c>
      <c r="S496" s="55">
        <v>0</v>
      </c>
      <c r="T496" s="56">
        <v>0</v>
      </c>
      <c r="U496" s="57"/>
      <c r="V496" s="55">
        <v>0</v>
      </c>
      <c r="W496" s="55">
        <v>0</v>
      </c>
      <c r="X496" s="58">
        <v>0</v>
      </c>
      <c r="Y496" s="59">
        <v>0</v>
      </c>
      <c r="Z496" s="58">
        <v>0</v>
      </c>
      <c r="AA496" s="56">
        <v>0</v>
      </c>
      <c r="AB496" s="56">
        <v>0</v>
      </c>
      <c r="AC496" s="60">
        <v>46142</v>
      </c>
    </row>
    <row r="497" spans="1:29" x14ac:dyDescent="0.25">
      <c r="A497" s="43">
        <v>1012</v>
      </c>
      <c r="B497" s="44" t="s">
        <v>1295</v>
      </c>
      <c r="C497" s="45">
        <v>10120119</v>
      </c>
      <c r="D497" s="46" t="s">
        <v>860</v>
      </c>
      <c r="E497" s="47" t="s">
        <v>371</v>
      </c>
      <c r="F497" s="47" t="s">
        <v>59</v>
      </c>
      <c r="G497" s="62">
        <v>360</v>
      </c>
      <c r="H497" s="62">
        <v>12024</v>
      </c>
      <c r="I497" s="49">
        <v>0</v>
      </c>
      <c r="J497" s="49">
        <v>0</v>
      </c>
      <c r="K497" s="49">
        <v>5920.8387096774186</v>
      </c>
      <c r="L497" s="50">
        <v>0</v>
      </c>
      <c r="M497" s="51"/>
      <c r="N497" s="52" t="s">
        <v>1300</v>
      </c>
      <c r="O497" s="31"/>
      <c r="P497" s="53">
        <v>0</v>
      </c>
      <c r="Q497" s="54">
        <v>0</v>
      </c>
      <c r="R497" s="55">
        <v>0</v>
      </c>
      <c r="S497" s="55">
        <v>0</v>
      </c>
      <c r="T497" s="56">
        <v>0</v>
      </c>
      <c r="U497" s="57"/>
      <c r="V497" s="55">
        <v>5920.8387096774186</v>
      </c>
      <c r="W497" s="55">
        <v>0</v>
      </c>
      <c r="X497" s="58">
        <v>0</v>
      </c>
      <c r="Y497" s="59">
        <v>5920.8387096774186</v>
      </c>
      <c r="Z497" s="58">
        <v>5920.8387096774186</v>
      </c>
      <c r="AA497" s="56">
        <v>0</v>
      </c>
      <c r="AB497" s="56">
        <v>0</v>
      </c>
      <c r="AC497" s="60">
        <v>46142</v>
      </c>
    </row>
    <row r="498" spans="1:29" x14ac:dyDescent="0.25">
      <c r="A498" s="43">
        <v>1012</v>
      </c>
      <c r="B498" s="44" t="s">
        <v>1295</v>
      </c>
      <c r="C498" s="45">
        <v>10120120</v>
      </c>
      <c r="D498" s="46" t="s">
        <v>861</v>
      </c>
      <c r="E498" s="47" t="s">
        <v>364</v>
      </c>
      <c r="F498" s="47" t="s">
        <v>58</v>
      </c>
      <c r="G498" s="62">
        <v>314.2</v>
      </c>
      <c r="H498" s="62">
        <v>11873.08</v>
      </c>
      <c r="I498" s="49">
        <v>0</v>
      </c>
      <c r="J498" s="49">
        <v>0</v>
      </c>
      <c r="K498" s="49">
        <v>0</v>
      </c>
      <c r="L498" s="50">
        <v>0</v>
      </c>
      <c r="M498" s="51"/>
      <c r="N498" s="52" t="s">
        <v>1300</v>
      </c>
      <c r="O498" s="31"/>
      <c r="P498" s="53">
        <v>0.1104733948339916</v>
      </c>
      <c r="Q498" s="54">
        <v>7</v>
      </c>
      <c r="R498" s="55">
        <v>0</v>
      </c>
      <c r="S498" s="55">
        <v>0</v>
      </c>
      <c r="T498" s="56">
        <v>0</v>
      </c>
      <c r="U498" s="57"/>
      <c r="V498" s="55">
        <v>0</v>
      </c>
      <c r="W498" s="55">
        <v>0</v>
      </c>
      <c r="X498" s="58">
        <v>0</v>
      </c>
      <c r="Y498" s="59">
        <v>0</v>
      </c>
      <c r="Z498" s="58">
        <v>0</v>
      </c>
      <c r="AA498" s="56">
        <v>0</v>
      </c>
      <c r="AB498" s="56">
        <v>0</v>
      </c>
      <c r="AC498" s="60">
        <v>46142</v>
      </c>
    </row>
    <row r="499" spans="1:29" x14ac:dyDescent="0.25">
      <c r="A499" s="43">
        <v>1012</v>
      </c>
      <c r="B499" s="44" t="s">
        <v>1295</v>
      </c>
      <c r="C499" s="45">
        <v>10120122</v>
      </c>
      <c r="D499" s="46" t="s">
        <v>862</v>
      </c>
      <c r="E499" s="47" t="s">
        <v>364</v>
      </c>
      <c r="F499" s="47" t="s">
        <v>58</v>
      </c>
      <c r="G499" s="62">
        <v>892.69999999999993</v>
      </c>
      <c r="H499" s="62">
        <v>38503.269999999997</v>
      </c>
      <c r="I499" s="49">
        <v>0</v>
      </c>
      <c r="J499" s="49">
        <v>0</v>
      </c>
      <c r="K499" s="49">
        <v>79.58</v>
      </c>
      <c r="L499" s="50" t="s">
        <v>366</v>
      </c>
      <c r="M499" s="51" t="s">
        <v>367</v>
      </c>
      <c r="N499" s="52" t="s">
        <v>1300</v>
      </c>
      <c r="O499" s="31"/>
      <c r="P499" s="53">
        <v>-0.15848787810425227</v>
      </c>
      <c r="Q499" s="54">
        <v>12</v>
      </c>
      <c r="R499" s="55">
        <v>0</v>
      </c>
      <c r="S499" s="55">
        <v>0</v>
      </c>
      <c r="T499" s="56">
        <v>0</v>
      </c>
      <c r="U499" s="57"/>
      <c r="V499" s="55">
        <v>79.581853548386363</v>
      </c>
      <c r="W499" s="55">
        <v>0</v>
      </c>
      <c r="X499" s="58">
        <v>0</v>
      </c>
      <c r="Y499" s="59">
        <v>79.581853548386363</v>
      </c>
      <c r="Z499" s="58">
        <v>79.58</v>
      </c>
      <c r="AA499" s="56">
        <v>-1.8535483863644231E-3</v>
      </c>
      <c r="AB499" s="56">
        <v>-1.8535483863644231E-3</v>
      </c>
      <c r="AC499" s="60">
        <v>46142</v>
      </c>
    </row>
    <row r="500" spans="1:29" x14ac:dyDescent="0.25">
      <c r="A500" s="43">
        <v>1012</v>
      </c>
      <c r="B500" s="44" t="s">
        <v>1295</v>
      </c>
      <c r="C500" s="45">
        <v>10120123</v>
      </c>
      <c r="D500" s="46" t="s">
        <v>863</v>
      </c>
      <c r="E500" s="47" t="s">
        <v>364</v>
      </c>
      <c r="F500" s="47" t="s">
        <v>58</v>
      </c>
      <c r="G500" s="62">
        <v>743.68999999999994</v>
      </c>
      <c r="H500" s="62">
        <v>28844.739999999998</v>
      </c>
      <c r="I500" s="49">
        <v>0</v>
      </c>
      <c r="J500" s="49">
        <v>1500</v>
      </c>
      <c r="K500" s="49">
        <v>0</v>
      </c>
      <c r="L500" s="50">
        <v>0</v>
      </c>
      <c r="M500" s="51"/>
      <c r="N500" s="52" t="s">
        <v>1300</v>
      </c>
      <c r="O500" s="31"/>
      <c r="P500" s="53">
        <v>-4.91647261123952E-4</v>
      </c>
      <c r="Q500" s="54">
        <v>15</v>
      </c>
      <c r="R500" s="55">
        <v>0</v>
      </c>
      <c r="S500" s="55">
        <v>0</v>
      </c>
      <c r="T500" s="56">
        <v>0</v>
      </c>
      <c r="U500" s="57"/>
      <c r="V500" s="55">
        <v>0</v>
      </c>
      <c r="W500" s="55">
        <v>0</v>
      </c>
      <c r="X500" s="58">
        <v>0</v>
      </c>
      <c r="Y500" s="59">
        <v>0</v>
      </c>
      <c r="Z500" s="58">
        <v>0</v>
      </c>
      <c r="AA500" s="56">
        <v>0</v>
      </c>
      <c r="AB500" s="56">
        <v>0</v>
      </c>
      <c r="AC500" s="60">
        <v>46142</v>
      </c>
    </row>
    <row r="501" spans="1:29" x14ac:dyDescent="0.25">
      <c r="A501" s="43">
        <v>1013</v>
      </c>
      <c r="B501" s="44" t="s">
        <v>1297</v>
      </c>
      <c r="C501" s="45">
        <v>10130001</v>
      </c>
      <c r="D501" s="46" t="s">
        <v>864</v>
      </c>
      <c r="E501" s="47" t="s">
        <v>364</v>
      </c>
      <c r="F501" s="47" t="s">
        <v>58</v>
      </c>
      <c r="G501" s="62">
        <v>570.5</v>
      </c>
      <c r="H501" s="62">
        <v>18717.98</v>
      </c>
      <c r="I501" s="49">
        <v>0</v>
      </c>
      <c r="J501" s="49">
        <v>0</v>
      </c>
      <c r="K501" s="49">
        <v>0</v>
      </c>
      <c r="L501" s="50">
        <v>0</v>
      </c>
      <c r="M501" s="51"/>
      <c r="N501" s="52" t="s">
        <v>1300</v>
      </c>
      <c r="O501" s="31"/>
      <c r="P501" s="53">
        <v>-8.3898300653810085E-2</v>
      </c>
      <c r="Q501" s="54">
        <v>10</v>
      </c>
      <c r="R501" s="55">
        <v>0</v>
      </c>
      <c r="S501" s="55">
        <v>0</v>
      </c>
      <c r="T501" s="56">
        <v>0</v>
      </c>
      <c r="U501" s="57"/>
      <c r="V501" s="55">
        <v>0</v>
      </c>
      <c r="W501" s="55">
        <v>0</v>
      </c>
      <c r="X501" s="58">
        <v>0</v>
      </c>
      <c r="Y501" s="59">
        <v>0</v>
      </c>
      <c r="Z501" s="58">
        <v>0</v>
      </c>
      <c r="AA501" s="56">
        <v>0</v>
      </c>
      <c r="AB501" s="56">
        <v>0</v>
      </c>
      <c r="AC501" s="60">
        <v>46142</v>
      </c>
    </row>
    <row r="502" spans="1:29" x14ac:dyDescent="0.25">
      <c r="A502" s="43">
        <v>1013</v>
      </c>
      <c r="B502" s="44" t="s">
        <v>1297</v>
      </c>
      <c r="C502" s="45">
        <v>10130002</v>
      </c>
      <c r="D502" s="46" t="s">
        <v>865</v>
      </c>
      <c r="E502" s="47" t="s">
        <v>371</v>
      </c>
      <c r="F502" s="47" t="s">
        <v>59</v>
      </c>
      <c r="G502" s="62">
        <v>132.29999999999998</v>
      </c>
      <c r="H502" s="62">
        <v>4185.55</v>
      </c>
      <c r="I502" s="49">
        <v>0</v>
      </c>
      <c r="J502" s="49">
        <v>0</v>
      </c>
      <c r="K502" s="49">
        <v>0</v>
      </c>
      <c r="L502" s="50">
        <v>0</v>
      </c>
      <c r="M502" s="51"/>
      <c r="N502" s="52" t="s">
        <v>1300</v>
      </c>
      <c r="O502" s="31"/>
      <c r="P502" s="53">
        <v>0</v>
      </c>
      <c r="Q502" s="54">
        <v>0</v>
      </c>
      <c r="R502" s="55">
        <v>0</v>
      </c>
      <c r="S502" s="55">
        <v>0</v>
      </c>
      <c r="T502" s="56">
        <v>0</v>
      </c>
      <c r="U502" s="57"/>
      <c r="V502" s="55">
        <v>0</v>
      </c>
      <c r="W502" s="55">
        <v>0</v>
      </c>
      <c r="X502" s="58">
        <v>0</v>
      </c>
      <c r="Y502" s="59">
        <v>0</v>
      </c>
      <c r="Z502" s="58">
        <v>0</v>
      </c>
      <c r="AA502" s="56">
        <v>0</v>
      </c>
      <c r="AB502" s="56">
        <v>0</v>
      </c>
      <c r="AC502" s="60">
        <v>46142</v>
      </c>
    </row>
    <row r="503" spans="1:29" x14ac:dyDescent="0.25">
      <c r="A503" s="43">
        <v>1013</v>
      </c>
      <c r="B503" s="44" t="s">
        <v>1297</v>
      </c>
      <c r="C503" s="45">
        <v>10130003</v>
      </c>
      <c r="D503" s="46" t="s">
        <v>866</v>
      </c>
      <c r="E503" s="47" t="s">
        <v>364</v>
      </c>
      <c r="F503" s="47" t="s">
        <v>58</v>
      </c>
      <c r="G503" s="62">
        <v>23.799999999999997</v>
      </c>
      <c r="H503" s="62">
        <v>736.54</v>
      </c>
      <c r="I503" s="49">
        <v>0</v>
      </c>
      <c r="J503" s="49">
        <v>0</v>
      </c>
      <c r="K503" s="49">
        <v>276.21510000000001</v>
      </c>
      <c r="L503" s="50">
        <v>0</v>
      </c>
      <c r="M503" s="51"/>
      <c r="N503" s="52" t="s">
        <v>1300</v>
      </c>
      <c r="O503" s="31"/>
      <c r="P503" s="53">
        <v>-2.7116623428462962E-2</v>
      </c>
      <c r="Q503" s="54">
        <v>1</v>
      </c>
      <c r="R503" s="55">
        <v>0</v>
      </c>
      <c r="S503" s="55">
        <v>0</v>
      </c>
      <c r="T503" s="56">
        <v>0</v>
      </c>
      <c r="U503" s="57"/>
      <c r="V503" s="55">
        <v>276.21510000000001</v>
      </c>
      <c r="W503" s="55">
        <v>0</v>
      </c>
      <c r="X503" s="58">
        <v>0</v>
      </c>
      <c r="Y503" s="59">
        <v>276.21510000000001</v>
      </c>
      <c r="Z503" s="58">
        <v>276.21510000000001</v>
      </c>
      <c r="AA503" s="56">
        <v>0</v>
      </c>
      <c r="AB503" s="56">
        <v>0</v>
      </c>
      <c r="AC503" s="60">
        <v>46142</v>
      </c>
    </row>
    <row r="504" spans="1:29" x14ac:dyDescent="0.25">
      <c r="A504" s="43">
        <v>1013</v>
      </c>
      <c r="B504" s="44" t="s">
        <v>1297</v>
      </c>
      <c r="C504" s="45">
        <v>10130005</v>
      </c>
      <c r="D504" s="46" t="s">
        <v>867</v>
      </c>
      <c r="E504" s="47" t="s">
        <v>371</v>
      </c>
      <c r="F504" s="47" t="s">
        <v>59</v>
      </c>
      <c r="G504" s="62">
        <v>45.500000000000007</v>
      </c>
      <c r="H504" s="62">
        <v>1454.1399999999999</v>
      </c>
      <c r="I504" s="49">
        <v>0</v>
      </c>
      <c r="J504" s="49">
        <v>0</v>
      </c>
      <c r="K504" s="49">
        <v>0</v>
      </c>
      <c r="L504" s="50">
        <v>0</v>
      </c>
      <c r="M504" s="51"/>
      <c r="N504" s="52" t="s">
        <v>1300</v>
      </c>
      <c r="O504" s="31"/>
      <c r="P504" s="53">
        <v>0</v>
      </c>
      <c r="Q504" s="54">
        <v>0</v>
      </c>
      <c r="R504" s="55">
        <v>0</v>
      </c>
      <c r="S504" s="55">
        <v>0</v>
      </c>
      <c r="T504" s="56">
        <v>0</v>
      </c>
      <c r="U504" s="57"/>
      <c r="V504" s="55">
        <v>0</v>
      </c>
      <c r="W504" s="55">
        <v>0</v>
      </c>
      <c r="X504" s="58">
        <v>0</v>
      </c>
      <c r="Y504" s="59">
        <v>0</v>
      </c>
      <c r="Z504" s="58">
        <v>0</v>
      </c>
      <c r="AA504" s="56">
        <v>0</v>
      </c>
      <c r="AB504" s="56">
        <v>0</v>
      </c>
      <c r="AC504" s="60">
        <v>46142</v>
      </c>
    </row>
    <row r="505" spans="1:29" x14ac:dyDescent="0.25">
      <c r="A505" s="43">
        <v>1013</v>
      </c>
      <c r="B505" s="44" t="s">
        <v>1297</v>
      </c>
      <c r="C505" s="45">
        <v>10130006</v>
      </c>
      <c r="D505" s="46" t="s">
        <v>868</v>
      </c>
      <c r="E505" s="47" t="s">
        <v>364</v>
      </c>
      <c r="F505" s="47" t="s">
        <v>58</v>
      </c>
      <c r="G505" s="62">
        <v>538.9</v>
      </c>
      <c r="H505" s="62">
        <v>19010.29</v>
      </c>
      <c r="I505" s="49">
        <v>0</v>
      </c>
      <c r="J505" s="49">
        <v>0</v>
      </c>
      <c r="K505" s="49">
        <v>0</v>
      </c>
      <c r="L505" s="50">
        <v>0</v>
      </c>
      <c r="M505" s="51"/>
      <c r="N505" s="52" t="s">
        <v>1300</v>
      </c>
      <c r="O505" s="31"/>
      <c r="P505" s="53">
        <v>6.8314519700972637E-4</v>
      </c>
      <c r="Q505" s="54">
        <v>10</v>
      </c>
      <c r="R505" s="55">
        <v>0</v>
      </c>
      <c r="S505" s="55">
        <v>0</v>
      </c>
      <c r="T505" s="56">
        <v>0</v>
      </c>
      <c r="U505" s="57"/>
      <c r="V505" s="55">
        <v>0</v>
      </c>
      <c r="W505" s="55">
        <v>0</v>
      </c>
      <c r="X505" s="58">
        <v>0</v>
      </c>
      <c r="Y505" s="59">
        <v>0</v>
      </c>
      <c r="Z505" s="58">
        <v>0</v>
      </c>
      <c r="AA505" s="56">
        <v>0</v>
      </c>
      <c r="AB505" s="56">
        <v>0</v>
      </c>
      <c r="AC505" s="60">
        <v>46142</v>
      </c>
    </row>
    <row r="506" spans="1:29" x14ac:dyDescent="0.25">
      <c r="A506" s="43">
        <v>1013</v>
      </c>
      <c r="B506" s="44" t="s">
        <v>1297</v>
      </c>
      <c r="C506" s="45">
        <v>10130008</v>
      </c>
      <c r="D506" s="46" t="s">
        <v>869</v>
      </c>
      <c r="E506" s="47" t="s">
        <v>364</v>
      </c>
      <c r="F506" s="47" t="s">
        <v>58</v>
      </c>
      <c r="G506" s="62">
        <v>805.69999999999993</v>
      </c>
      <c r="H506" s="62">
        <v>31508.21</v>
      </c>
      <c r="I506" s="49">
        <v>0</v>
      </c>
      <c r="J506" s="49">
        <v>0</v>
      </c>
      <c r="K506" s="49">
        <v>0</v>
      </c>
      <c r="L506" s="50">
        <v>0</v>
      </c>
      <c r="M506" s="51"/>
      <c r="N506" s="52" t="s">
        <v>1300</v>
      </c>
      <c r="O506" s="31"/>
      <c r="P506" s="53">
        <v>-0.11821391054680426</v>
      </c>
      <c r="Q506" s="54">
        <v>13</v>
      </c>
      <c r="R506" s="55">
        <v>0</v>
      </c>
      <c r="S506" s="55">
        <v>0</v>
      </c>
      <c r="T506" s="56">
        <v>0</v>
      </c>
      <c r="U506" s="57"/>
      <c r="V506" s="55">
        <v>0</v>
      </c>
      <c r="W506" s="55">
        <v>0</v>
      </c>
      <c r="X506" s="58">
        <v>0</v>
      </c>
      <c r="Y506" s="59">
        <v>0</v>
      </c>
      <c r="Z506" s="58">
        <v>0</v>
      </c>
      <c r="AA506" s="56">
        <v>0</v>
      </c>
      <c r="AB506" s="56">
        <v>0</v>
      </c>
      <c r="AC506" s="60">
        <v>46142</v>
      </c>
    </row>
    <row r="507" spans="1:29" x14ac:dyDescent="0.25">
      <c r="A507" s="43">
        <v>1013</v>
      </c>
      <c r="B507" s="44" t="s">
        <v>1297</v>
      </c>
      <c r="C507" s="45">
        <v>10130012</v>
      </c>
      <c r="D507" s="46" t="s">
        <v>870</v>
      </c>
      <c r="E507" s="47" t="s">
        <v>364</v>
      </c>
      <c r="F507" s="47" t="s">
        <v>58</v>
      </c>
      <c r="G507" s="62">
        <v>3609.4999999999995</v>
      </c>
      <c r="H507" s="62">
        <v>132428</v>
      </c>
      <c r="I507" s="49">
        <v>0</v>
      </c>
      <c r="J507" s="49">
        <v>0</v>
      </c>
      <c r="K507" s="49">
        <v>0</v>
      </c>
      <c r="L507" s="50">
        <v>0</v>
      </c>
      <c r="M507" s="51"/>
      <c r="N507" s="52" t="s">
        <v>1300</v>
      </c>
      <c r="O507" s="31"/>
      <c r="P507" s="53">
        <v>-1.0473658497357249E-2</v>
      </c>
      <c r="Q507" s="54">
        <v>56</v>
      </c>
      <c r="R507" s="55">
        <v>0</v>
      </c>
      <c r="S507" s="55">
        <v>0</v>
      </c>
      <c r="T507" s="56">
        <v>0</v>
      </c>
      <c r="U507" s="57"/>
      <c r="V507" s="55">
        <v>0</v>
      </c>
      <c r="W507" s="55">
        <v>0</v>
      </c>
      <c r="X507" s="58">
        <v>0</v>
      </c>
      <c r="Y507" s="59">
        <v>0</v>
      </c>
      <c r="Z507" s="58">
        <v>0</v>
      </c>
      <c r="AA507" s="56">
        <v>0</v>
      </c>
      <c r="AB507" s="56">
        <v>0</v>
      </c>
      <c r="AC507" s="60">
        <v>46142</v>
      </c>
    </row>
    <row r="508" spans="1:29" x14ac:dyDescent="0.25">
      <c r="A508" s="43">
        <v>1013</v>
      </c>
      <c r="B508" s="44" t="s">
        <v>1297</v>
      </c>
      <c r="C508" s="45">
        <v>10130015</v>
      </c>
      <c r="D508" s="46" t="s">
        <v>871</v>
      </c>
      <c r="E508" s="47" t="s">
        <v>371</v>
      </c>
      <c r="F508" s="47" t="s">
        <v>59</v>
      </c>
      <c r="G508" s="62">
        <v>549.70000000000005</v>
      </c>
      <c r="H508" s="62">
        <v>21261.38</v>
      </c>
      <c r="I508" s="49">
        <v>0</v>
      </c>
      <c r="J508" s="49">
        <v>2700</v>
      </c>
      <c r="K508" s="49">
        <v>0</v>
      </c>
      <c r="L508" s="50">
        <v>0</v>
      </c>
      <c r="M508" s="51"/>
      <c r="N508" s="52" t="s">
        <v>1300</v>
      </c>
      <c r="O508" s="31"/>
      <c r="P508" s="53">
        <v>0</v>
      </c>
      <c r="Q508" s="54">
        <v>0</v>
      </c>
      <c r="R508" s="55">
        <v>0</v>
      </c>
      <c r="S508" s="55">
        <v>0</v>
      </c>
      <c r="T508" s="56">
        <v>0</v>
      </c>
      <c r="U508" s="57"/>
      <c r="V508" s="55">
        <v>0</v>
      </c>
      <c r="W508" s="55">
        <v>0</v>
      </c>
      <c r="X508" s="58">
        <v>0</v>
      </c>
      <c r="Y508" s="59">
        <v>0</v>
      </c>
      <c r="Z508" s="58">
        <v>0</v>
      </c>
      <c r="AA508" s="56">
        <v>0</v>
      </c>
      <c r="AB508" s="56">
        <v>0</v>
      </c>
      <c r="AC508" s="60">
        <v>46142</v>
      </c>
    </row>
    <row r="509" spans="1:29" x14ac:dyDescent="0.25">
      <c r="A509" s="43">
        <v>1013</v>
      </c>
      <c r="B509" s="44" t="s">
        <v>1297</v>
      </c>
      <c r="C509" s="45">
        <v>10130016</v>
      </c>
      <c r="D509" s="46" t="s">
        <v>872</v>
      </c>
      <c r="E509" s="47" t="s">
        <v>371</v>
      </c>
      <c r="F509" s="47" t="s">
        <v>59</v>
      </c>
      <c r="G509" s="62">
        <v>128.6</v>
      </c>
      <c r="H509" s="62">
        <v>5845.7900000000009</v>
      </c>
      <c r="I509" s="49">
        <v>0</v>
      </c>
      <c r="J509" s="49">
        <v>0</v>
      </c>
      <c r="K509" s="49">
        <v>0</v>
      </c>
      <c r="L509" s="50">
        <v>0</v>
      </c>
      <c r="M509" s="51"/>
      <c r="N509" s="52" t="s">
        <v>1300</v>
      </c>
      <c r="O509" s="31"/>
      <c r="P509" s="53">
        <v>0</v>
      </c>
      <c r="Q509" s="54">
        <v>0</v>
      </c>
      <c r="R509" s="55">
        <v>0</v>
      </c>
      <c r="S509" s="55">
        <v>0</v>
      </c>
      <c r="T509" s="56">
        <v>0</v>
      </c>
      <c r="U509" s="57"/>
      <c r="V509" s="55">
        <v>0</v>
      </c>
      <c r="W509" s="55">
        <v>0</v>
      </c>
      <c r="X509" s="58">
        <v>0</v>
      </c>
      <c r="Y509" s="59">
        <v>0</v>
      </c>
      <c r="Z509" s="58">
        <v>0</v>
      </c>
      <c r="AA509" s="56">
        <v>0</v>
      </c>
      <c r="AB509" s="56">
        <v>0</v>
      </c>
      <c r="AC509" s="60">
        <v>46142</v>
      </c>
    </row>
    <row r="510" spans="1:29" x14ac:dyDescent="0.25">
      <c r="A510" s="43">
        <v>1013</v>
      </c>
      <c r="B510" s="44" t="s">
        <v>1297</v>
      </c>
      <c r="C510" s="45">
        <v>10130018</v>
      </c>
      <c r="D510" s="46" t="s">
        <v>873</v>
      </c>
      <c r="E510" s="47" t="s">
        <v>371</v>
      </c>
      <c r="F510" s="47" t="s">
        <v>59</v>
      </c>
      <c r="G510" s="62">
        <v>255.39999999999998</v>
      </c>
      <c r="H510" s="62">
        <v>7613.47</v>
      </c>
      <c r="I510" s="49">
        <v>0</v>
      </c>
      <c r="J510" s="49">
        <v>1350</v>
      </c>
      <c r="K510" s="49">
        <v>0</v>
      </c>
      <c r="L510" s="50">
        <v>0</v>
      </c>
      <c r="M510" s="51"/>
      <c r="N510" s="52" t="s">
        <v>1300</v>
      </c>
      <c r="O510" s="31"/>
      <c r="P510" s="53">
        <v>0</v>
      </c>
      <c r="Q510" s="54">
        <v>0</v>
      </c>
      <c r="R510" s="55">
        <v>0</v>
      </c>
      <c r="S510" s="55">
        <v>0</v>
      </c>
      <c r="T510" s="56">
        <v>0</v>
      </c>
      <c r="U510" s="57"/>
      <c r="V510" s="55">
        <v>0</v>
      </c>
      <c r="W510" s="55">
        <v>0</v>
      </c>
      <c r="X510" s="58">
        <v>0</v>
      </c>
      <c r="Y510" s="59">
        <v>0</v>
      </c>
      <c r="Z510" s="58">
        <v>0</v>
      </c>
      <c r="AA510" s="56">
        <v>0</v>
      </c>
      <c r="AB510" s="56">
        <v>0</v>
      </c>
      <c r="AC510" s="60">
        <v>46142</v>
      </c>
    </row>
    <row r="511" spans="1:29" x14ac:dyDescent="0.25">
      <c r="A511" s="43">
        <v>1013</v>
      </c>
      <c r="B511" s="44" t="s">
        <v>1297</v>
      </c>
      <c r="C511" s="45">
        <v>10130020</v>
      </c>
      <c r="D511" s="46" t="s">
        <v>874</v>
      </c>
      <c r="E511" s="47" t="s">
        <v>371</v>
      </c>
      <c r="F511" s="47" t="s">
        <v>59</v>
      </c>
      <c r="G511" s="62">
        <v>610.20000000000005</v>
      </c>
      <c r="H511" s="62">
        <v>21385.450000000004</v>
      </c>
      <c r="I511" s="49">
        <v>0</v>
      </c>
      <c r="J511" s="49">
        <v>0</v>
      </c>
      <c r="K511" s="49">
        <v>0</v>
      </c>
      <c r="L511" s="50">
        <v>0</v>
      </c>
      <c r="M511" s="51"/>
      <c r="N511" s="52" t="s">
        <v>1300</v>
      </c>
      <c r="O511" s="31"/>
      <c r="P511" s="53">
        <v>0</v>
      </c>
      <c r="Q511" s="54">
        <v>0</v>
      </c>
      <c r="R511" s="55">
        <v>0</v>
      </c>
      <c r="S511" s="55">
        <v>0</v>
      </c>
      <c r="T511" s="56">
        <v>0</v>
      </c>
      <c r="U511" s="57"/>
      <c r="V511" s="55">
        <v>0</v>
      </c>
      <c r="W511" s="55">
        <v>0</v>
      </c>
      <c r="X511" s="58">
        <v>0</v>
      </c>
      <c r="Y511" s="59">
        <v>0</v>
      </c>
      <c r="Z511" s="58">
        <v>0</v>
      </c>
      <c r="AA511" s="56">
        <v>0</v>
      </c>
      <c r="AB511" s="56">
        <v>0</v>
      </c>
      <c r="AC511" s="60">
        <v>46142</v>
      </c>
    </row>
    <row r="512" spans="1:29" x14ac:dyDescent="0.25">
      <c r="A512" s="43">
        <v>1013</v>
      </c>
      <c r="B512" s="44" t="s">
        <v>1297</v>
      </c>
      <c r="C512" s="45">
        <v>10130025</v>
      </c>
      <c r="D512" s="46" t="s">
        <v>875</v>
      </c>
      <c r="E512" s="47" t="s">
        <v>371</v>
      </c>
      <c r="F512" s="47" t="s">
        <v>59</v>
      </c>
      <c r="G512" s="62">
        <v>334.4</v>
      </c>
      <c r="H512" s="62">
        <v>13623.210000000003</v>
      </c>
      <c r="I512" s="49">
        <v>0</v>
      </c>
      <c r="J512" s="49">
        <v>3000</v>
      </c>
      <c r="K512" s="49">
        <v>0</v>
      </c>
      <c r="L512" s="50">
        <v>0</v>
      </c>
      <c r="M512" s="51"/>
      <c r="N512" s="52" t="s">
        <v>1300</v>
      </c>
      <c r="O512" s="31"/>
      <c r="P512" s="53">
        <v>0</v>
      </c>
      <c r="Q512" s="54">
        <v>0</v>
      </c>
      <c r="R512" s="55">
        <v>0</v>
      </c>
      <c r="S512" s="55">
        <v>0</v>
      </c>
      <c r="T512" s="56">
        <v>0</v>
      </c>
      <c r="U512" s="57"/>
      <c r="V512" s="55">
        <v>0</v>
      </c>
      <c r="W512" s="55">
        <v>0</v>
      </c>
      <c r="X512" s="58">
        <v>0</v>
      </c>
      <c r="Y512" s="59">
        <v>0</v>
      </c>
      <c r="Z512" s="58">
        <v>0</v>
      </c>
      <c r="AA512" s="56">
        <v>0</v>
      </c>
      <c r="AB512" s="56">
        <v>0</v>
      </c>
      <c r="AC512" s="60">
        <v>46142</v>
      </c>
    </row>
    <row r="513" spans="1:29" x14ac:dyDescent="0.25">
      <c r="A513" s="43">
        <v>1013</v>
      </c>
      <c r="B513" s="44" t="s">
        <v>1297</v>
      </c>
      <c r="C513" s="45">
        <v>10130026</v>
      </c>
      <c r="D513" s="46" t="s">
        <v>648</v>
      </c>
      <c r="E513" s="47" t="s">
        <v>364</v>
      </c>
      <c r="F513" s="47" t="s">
        <v>58</v>
      </c>
      <c r="G513" s="62">
        <v>197.3</v>
      </c>
      <c r="H513" s="62">
        <v>7664.6399999999994</v>
      </c>
      <c r="I513" s="49">
        <v>0</v>
      </c>
      <c r="J513" s="49">
        <v>0</v>
      </c>
      <c r="K513" s="49">
        <v>0</v>
      </c>
      <c r="L513" s="50">
        <v>0</v>
      </c>
      <c r="M513" s="51"/>
      <c r="N513" s="52" t="s">
        <v>1300</v>
      </c>
      <c r="O513" s="31"/>
      <c r="P513" s="53">
        <v>-0.10145112623280414</v>
      </c>
      <c r="Q513" s="54">
        <v>9</v>
      </c>
      <c r="R513" s="55">
        <v>0</v>
      </c>
      <c r="S513" s="55">
        <v>0</v>
      </c>
      <c r="T513" s="56">
        <v>0</v>
      </c>
      <c r="U513" s="57"/>
      <c r="V513" s="55">
        <v>0</v>
      </c>
      <c r="W513" s="55">
        <v>0</v>
      </c>
      <c r="X513" s="58">
        <v>0</v>
      </c>
      <c r="Y513" s="59">
        <v>0</v>
      </c>
      <c r="Z513" s="58">
        <v>0</v>
      </c>
      <c r="AA513" s="56">
        <v>0</v>
      </c>
      <c r="AB513" s="56">
        <v>0</v>
      </c>
      <c r="AC513" s="60">
        <v>46142</v>
      </c>
    </row>
    <row r="514" spans="1:29" x14ac:dyDescent="0.25">
      <c r="A514" s="43">
        <v>1013</v>
      </c>
      <c r="B514" s="44" t="s">
        <v>1297</v>
      </c>
      <c r="C514" s="45">
        <v>10130027</v>
      </c>
      <c r="D514" s="46" t="s">
        <v>876</v>
      </c>
      <c r="E514" s="47" t="s">
        <v>371</v>
      </c>
      <c r="F514" s="47" t="s">
        <v>59</v>
      </c>
      <c r="G514" s="62">
        <v>42.500000000000007</v>
      </c>
      <c r="H514" s="62">
        <v>1495.26</v>
      </c>
      <c r="I514" s="49">
        <v>0</v>
      </c>
      <c r="J514" s="49">
        <v>0</v>
      </c>
      <c r="K514" s="49">
        <v>0</v>
      </c>
      <c r="L514" s="50">
        <v>0</v>
      </c>
      <c r="M514" s="51"/>
      <c r="N514" s="52" t="s">
        <v>1300</v>
      </c>
      <c r="O514" s="31"/>
      <c r="P514" s="53">
        <v>0</v>
      </c>
      <c r="Q514" s="54">
        <v>0</v>
      </c>
      <c r="R514" s="55">
        <v>0</v>
      </c>
      <c r="S514" s="55">
        <v>0</v>
      </c>
      <c r="T514" s="56">
        <v>0</v>
      </c>
      <c r="U514" s="57"/>
      <c r="V514" s="55">
        <v>0</v>
      </c>
      <c r="W514" s="55">
        <v>0</v>
      </c>
      <c r="X514" s="58">
        <v>0</v>
      </c>
      <c r="Y514" s="59">
        <v>0</v>
      </c>
      <c r="Z514" s="58">
        <v>0</v>
      </c>
      <c r="AA514" s="56">
        <v>0</v>
      </c>
      <c r="AB514" s="56">
        <v>0</v>
      </c>
      <c r="AC514" s="60">
        <v>46142</v>
      </c>
    </row>
    <row r="515" spans="1:29" x14ac:dyDescent="0.25">
      <c r="A515" s="43">
        <v>1013</v>
      </c>
      <c r="B515" s="44" t="s">
        <v>1297</v>
      </c>
      <c r="C515" s="45">
        <v>10130030</v>
      </c>
      <c r="D515" s="46" t="s">
        <v>877</v>
      </c>
      <c r="E515" s="47" t="s">
        <v>364</v>
      </c>
      <c r="F515" s="47" t="s">
        <v>58</v>
      </c>
      <c r="G515" s="62">
        <v>78.099999999999994</v>
      </c>
      <c r="H515" s="62">
        <v>2280.38</v>
      </c>
      <c r="I515" s="49">
        <v>0</v>
      </c>
      <c r="J515" s="49">
        <v>0</v>
      </c>
      <c r="K515" s="49">
        <v>628.40191578947349</v>
      </c>
      <c r="L515" s="50">
        <v>0</v>
      </c>
      <c r="M515" s="51"/>
      <c r="N515" s="52" t="s">
        <v>1300</v>
      </c>
      <c r="O515" s="31"/>
      <c r="P515" s="53">
        <v>-0.62082880923354866</v>
      </c>
      <c r="Q515" s="54">
        <v>1</v>
      </c>
      <c r="R515" s="55">
        <v>0</v>
      </c>
      <c r="S515" s="55">
        <v>0</v>
      </c>
      <c r="T515" s="56">
        <v>0</v>
      </c>
      <c r="U515" s="57"/>
      <c r="V515" s="55">
        <v>628.40191578947349</v>
      </c>
      <c r="W515" s="55">
        <v>0</v>
      </c>
      <c r="X515" s="58">
        <v>0</v>
      </c>
      <c r="Y515" s="59">
        <v>628.40191578947349</v>
      </c>
      <c r="Z515" s="58">
        <v>628.40191578947349</v>
      </c>
      <c r="AA515" s="56">
        <v>0</v>
      </c>
      <c r="AB515" s="56">
        <v>0</v>
      </c>
      <c r="AC515" s="60">
        <v>46142</v>
      </c>
    </row>
    <row r="516" spans="1:29" x14ac:dyDescent="0.25">
      <c r="A516" s="43">
        <v>1013</v>
      </c>
      <c r="B516" s="44" t="s">
        <v>1297</v>
      </c>
      <c r="C516" s="45">
        <v>10130031</v>
      </c>
      <c r="D516" s="46" t="s">
        <v>878</v>
      </c>
      <c r="E516" s="47" t="s">
        <v>371</v>
      </c>
      <c r="F516" s="47" t="s">
        <v>59</v>
      </c>
      <c r="G516" s="62">
        <v>242.2</v>
      </c>
      <c r="H516" s="62">
        <v>9178.4299999999985</v>
      </c>
      <c r="I516" s="49">
        <v>0</v>
      </c>
      <c r="J516" s="49">
        <v>3000</v>
      </c>
      <c r="K516" s="49">
        <v>0</v>
      </c>
      <c r="L516" s="50">
        <v>0</v>
      </c>
      <c r="M516" s="51"/>
      <c r="N516" s="52" t="s">
        <v>1300</v>
      </c>
      <c r="O516" s="31"/>
      <c r="P516" s="53">
        <v>0</v>
      </c>
      <c r="Q516" s="54">
        <v>0</v>
      </c>
      <c r="R516" s="55">
        <v>0</v>
      </c>
      <c r="S516" s="55">
        <v>0</v>
      </c>
      <c r="T516" s="56">
        <v>0</v>
      </c>
      <c r="U516" s="57"/>
      <c r="V516" s="55">
        <v>0</v>
      </c>
      <c r="W516" s="55">
        <v>0</v>
      </c>
      <c r="X516" s="58">
        <v>0</v>
      </c>
      <c r="Y516" s="59">
        <v>0</v>
      </c>
      <c r="Z516" s="58">
        <v>0</v>
      </c>
      <c r="AA516" s="56">
        <v>0</v>
      </c>
      <c r="AB516" s="56">
        <v>0</v>
      </c>
      <c r="AC516" s="60">
        <v>46142</v>
      </c>
    </row>
    <row r="517" spans="1:29" x14ac:dyDescent="0.25">
      <c r="A517" s="43">
        <v>1013</v>
      </c>
      <c r="B517" s="44" t="s">
        <v>1297</v>
      </c>
      <c r="C517" s="45">
        <v>10130032</v>
      </c>
      <c r="D517" s="46" t="s">
        <v>879</v>
      </c>
      <c r="E517" s="47" t="s">
        <v>364</v>
      </c>
      <c r="F517" s="47" t="s">
        <v>58</v>
      </c>
      <c r="G517" s="62">
        <v>38.799999999999997</v>
      </c>
      <c r="H517" s="62">
        <v>1903.26</v>
      </c>
      <c r="I517" s="49">
        <v>0</v>
      </c>
      <c r="J517" s="49">
        <v>0</v>
      </c>
      <c r="K517" s="49">
        <v>59.116413559322027</v>
      </c>
      <c r="L517" s="50">
        <v>0</v>
      </c>
      <c r="M517" s="51"/>
      <c r="N517" s="52" t="s">
        <v>1300</v>
      </c>
      <c r="O517" s="31"/>
      <c r="P517" s="53">
        <v>-0.1322137843752299</v>
      </c>
      <c r="Q517" s="54">
        <v>1</v>
      </c>
      <c r="R517" s="55">
        <v>0</v>
      </c>
      <c r="S517" s="55">
        <v>0</v>
      </c>
      <c r="T517" s="56">
        <v>0</v>
      </c>
      <c r="U517" s="57"/>
      <c r="V517" s="55">
        <v>59.116413559322027</v>
      </c>
      <c r="W517" s="55">
        <v>0</v>
      </c>
      <c r="X517" s="58">
        <v>0</v>
      </c>
      <c r="Y517" s="59">
        <v>59.116413559322027</v>
      </c>
      <c r="Z517" s="58">
        <v>59.116413559322027</v>
      </c>
      <c r="AA517" s="56">
        <v>0</v>
      </c>
      <c r="AB517" s="56">
        <v>0</v>
      </c>
      <c r="AC517" s="60">
        <v>46142</v>
      </c>
    </row>
    <row r="518" spans="1:29" x14ac:dyDescent="0.25">
      <c r="A518" s="43">
        <v>1013</v>
      </c>
      <c r="B518" s="44" t="s">
        <v>1297</v>
      </c>
      <c r="C518" s="45">
        <v>10130040</v>
      </c>
      <c r="D518" s="46" t="s">
        <v>880</v>
      </c>
      <c r="E518" s="47" t="s">
        <v>371</v>
      </c>
      <c r="F518" s="47" t="s">
        <v>59</v>
      </c>
      <c r="G518" s="62">
        <v>863.6</v>
      </c>
      <c r="H518" s="62">
        <v>22047.71</v>
      </c>
      <c r="I518" s="49">
        <v>0</v>
      </c>
      <c r="J518" s="49">
        <v>0</v>
      </c>
      <c r="K518" s="49">
        <v>715.38483870967684</v>
      </c>
      <c r="L518" s="50">
        <v>0</v>
      </c>
      <c r="M518" s="51"/>
      <c r="N518" s="52" t="s">
        <v>1300</v>
      </c>
      <c r="O518" s="31"/>
      <c r="P518" s="53">
        <v>0</v>
      </c>
      <c r="Q518" s="54">
        <v>0</v>
      </c>
      <c r="R518" s="55">
        <v>0</v>
      </c>
      <c r="S518" s="55">
        <v>0</v>
      </c>
      <c r="T518" s="56">
        <v>0</v>
      </c>
      <c r="U518" s="57"/>
      <c r="V518" s="55">
        <v>715.38483870967684</v>
      </c>
      <c r="W518" s="55">
        <v>0</v>
      </c>
      <c r="X518" s="58">
        <v>0</v>
      </c>
      <c r="Y518" s="59">
        <v>715.38483870967684</v>
      </c>
      <c r="Z518" s="58">
        <v>715.38483870967684</v>
      </c>
      <c r="AA518" s="56">
        <v>0</v>
      </c>
      <c r="AB518" s="56">
        <v>0</v>
      </c>
      <c r="AC518" s="60">
        <v>46142</v>
      </c>
    </row>
    <row r="519" spans="1:29" x14ac:dyDescent="0.25">
      <c r="A519" s="43">
        <v>1013</v>
      </c>
      <c r="B519" s="44" t="s">
        <v>1297</v>
      </c>
      <c r="C519" s="45">
        <v>10130041</v>
      </c>
      <c r="D519" s="46" t="s">
        <v>881</v>
      </c>
      <c r="E519" s="47" t="s">
        <v>371</v>
      </c>
      <c r="F519" s="47" t="s">
        <v>59</v>
      </c>
      <c r="G519" s="62">
        <v>53.5</v>
      </c>
      <c r="H519" s="62">
        <v>1983.4599999999998</v>
      </c>
      <c r="I519" s="49">
        <v>0</v>
      </c>
      <c r="J519" s="49">
        <v>0</v>
      </c>
      <c r="K519" s="49">
        <v>6.9993483870967692</v>
      </c>
      <c r="L519" s="50">
        <v>0</v>
      </c>
      <c r="M519" s="51"/>
      <c r="N519" s="52" t="s">
        <v>1300</v>
      </c>
      <c r="O519" s="31"/>
      <c r="P519" s="53">
        <v>0</v>
      </c>
      <c r="Q519" s="54">
        <v>0</v>
      </c>
      <c r="R519" s="55">
        <v>0</v>
      </c>
      <c r="S519" s="55">
        <v>0</v>
      </c>
      <c r="T519" s="56">
        <v>0</v>
      </c>
      <c r="U519" s="57"/>
      <c r="V519" s="55">
        <v>6.9993483870967692</v>
      </c>
      <c r="W519" s="55">
        <v>0</v>
      </c>
      <c r="X519" s="58">
        <v>0</v>
      </c>
      <c r="Y519" s="59">
        <v>6.9993483870967692</v>
      </c>
      <c r="Z519" s="58">
        <v>6.9993483870967692</v>
      </c>
      <c r="AA519" s="56">
        <v>0</v>
      </c>
      <c r="AB519" s="56">
        <v>0</v>
      </c>
      <c r="AC519" s="60">
        <v>46142</v>
      </c>
    </row>
    <row r="520" spans="1:29" x14ac:dyDescent="0.25">
      <c r="A520" s="43">
        <v>1013</v>
      </c>
      <c r="B520" s="44" t="s">
        <v>1297</v>
      </c>
      <c r="C520" s="45">
        <v>10130042</v>
      </c>
      <c r="D520" s="46" t="s">
        <v>882</v>
      </c>
      <c r="E520" s="47" t="s">
        <v>371</v>
      </c>
      <c r="F520" s="47" t="s">
        <v>59</v>
      </c>
      <c r="G520" s="62">
        <v>21.4</v>
      </c>
      <c r="H520" s="62">
        <v>790.06999999999994</v>
      </c>
      <c r="I520" s="49">
        <v>0</v>
      </c>
      <c r="J520" s="49">
        <v>0</v>
      </c>
      <c r="K520" s="49">
        <v>0</v>
      </c>
      <c r="L520" s="50">
        <v>0</v>
      </c>
      <c r="M520" s="51"/>
      <c r="N520" s="52" t="s">
        <v>1300</v>
      </c>
      <c r="O520" s="31"/>
      <c r="P520" s="53">
        <v>0</v>
      </c>
      <c r="Q520" s="54">
        <v>0</v>
      </c>
      <c r="R520" s="55">
        <v>0</v>
      </c>
      <c r="S520" s="55">
        <v>0</v>
      </c>
      <c r="T520" s="56">
        <v>0</v>
      </c>
      <c r="U520" s="57"/>
      <c r="V520" s="55">
        <v>0</v>
      </c>
      <c r="W520" s="55">
        <v>0</v>
      </c>
      <c r="X520" s="58">
        <v>0</v>
      </c>
      <c r="Y520" s="59">
        <v>0</v>
      </c>
      <c r="Z520" s="58">
        <v>0</v>
      </c>
      <c r="AA520" s="56">
        <v>0</v>
      </c>
      <c r="AB520" s="56">
        <v>0</v>
      </c>
      <c r="AC520" s="60">
        <v>46142</v>
      </c>
    </row>
    <row r="521" spans="1:29" x14ac:dyDescent="0.25">
      <c r="A521" s="43">
        <v>1013</v>
      </c>
      <c r="B521" s="44" t="s">
        <v>1297</v>
      </c>
      <c r="C521" s="45">
        <v>10130044</v>
      </c>
      <c r="D521" s="46" t="s">
        <v>883</v>
      </c>
      <c r="E521" s="47" t="s">
        <v>364</v>
      </c>
      <c r="F521" s="47" t="s">
        <v>59</v>
      </c>
      <c r="G521" s="62">
        <v>2624</v>
      </c>
      <c r="H521" s="62">
        <v>108795.37999999999</v>
      </c>
      <c r="I521" s="49">
        <v>0</v>
      </c>
      <c r="J521" s="49">
        <v>3000</v>
      </c>
      <c r="K521" s="49">
        <v>0</v>
      </c>
      <c r="L521" s="50">
        <v>0</v>
      </c>
      <c r="M521" s="51"/>
      <c r="N521" s="52" t="s">
        <v>1300</v>
      </c>
      <c r="O521" s="31"/>
      <c r="P521" s="53">
        <v>0</v>
      </c>
      <c r="Q521" s="54">
        <v>0</v>
      </c>
      <c r="R521" s="55">
        <v>3000</v>
      </c>
      <c r="S521" s="55">
        <v>3000</v>
      </c>
      <c r="T521" s="56">
        <v>0</v>
      </c>
      <c r="U521" s="57"/>
      <c r="V521" s="55">
        <v>0</v>
      </c>
      <c r="W521" s="55">
        <v>0</v>
      </c>
      <c r="X521" s="58">
        <v>0</v>
      </c>
      <c r="Y521" s="59">
        <v>0</v>
      </c>
      <c r="Z521" s="58">
        <v>0</v>
      </c>
      <c r="AA521" s="56">
        <v>0</v>
      </c>
      <c r="AB521" s="56">
        <v>0</v>
      </c>
      <c r="AC521" s="60">
        <v>46142</v>
      </c>
    </row>
    <row r="522" spans="1:29" x14ac:dyDescent="0.25">
      <c r="A522" s="43">
        <v>1013</v>
      </c>
      <c r="B522" s="44" t="s">
        <v>1297</v>
      </c>
      <c r="C522" s="45">
        <v>10130046</v>
      </c>
      <c r="D522" s="46" t="s">
        <v>884</v>
      </c>
      <c r="E522" s="47" t="s">
        <v>364</v>
      </c>
      <c r="F522" s="47" t="s">
        <v>58</v>
      </c>
      <c r="G522" s="62">
        <v>355.90000000000003</v>
      </c>
      <c r="H522" s="62">
        <v>15323.379999999997</v>
      </c>
      <c r="I522" s="49">
        <v>0</v>
      </c>
      <c r="J522" s="49">
        <v>871</v>
      </c>
      <c r="K522" s="49">
        <v>0</v>
      </c>
      <c r="L522" s="50">
        <v>0</v>
      </c>
      <c r="M522" s="51"/>
      <c r="N522" s="52" t="s">
        <v>1300</v>
      </c>
      <c r="O522" s="31"/>
      <c r="P522" s="53">
        <v>-0.1045899549560617</v>
      </c>
      <c r="Q522" s="54">
        <v>12</v>
      </c>
      <c r="R522" s="55">
        <v>0</v>
      </c>
      <c r="S522" s="55">
        <v>0</v>
      </c>
      <c r="T522" s="56">
        <v>0</v>
      </c>
      <c r="U522" s="57"/>
      <c r="V522" s="55">
        <v>0</v>
      </c>
      <c r="W522" s="55">
        <v>0</v>
      </c>
      <c r="X522" s="58">
        <v>0</v>
      </c>
      <c r="Y522" s="59">
        <v>0</v>
      </c>
      <c r="Z522" s="58">
        <v>0</v>
      </c>
      <c r="AA522" s="56">
        <v>0</v>
      </c>
      <c r="AB522" s="56">
        <v>0</v>
      </c>
      <c r="AC522" s="60">
        <v>46142</v>
      </c>
    </row>
    <row r="523" spans="1:29" x14ac:dyDescent="0.25">
      <c r="A523" s="43">
        <v>1013</v>
      </c>
      <c r="B523" s="44" t="s">
        <v>1297</v>
      </c>
      <c r="C523" s="45">
        <v>10130047</v>
      </c>
      <c r="D523" s="46" t="s">
        <v>885</v>
      </c>
      <c r="E523" s="47" t="s">
        <v>364</v>
      </c>
      <c r="F523" s="47" t="s">
        <v>58</v>
      </c>
      <c r="G523" s="62">
        <v>257.10000000000002</v>
      </c>
      <c r="H523" s="62">
        <v>9144.7900000000027</v>
      </c>
      <c r="I523" s="49">
        <v>0</v>
      </c>
      <c r="J523" s="49">
        <v>0</v>
      </c>
      <c r="K523" s="49">
        <v>0</v>
      </c>
      <c r="L523" s="50">
        <v>0</v>
      </c>
      <c r="M523" s="51"/>
      <c r="N523" s="52" t="s">
        <v>1300</v>
      </c>
      <c r="O523" s="31"/>
      <c r="P523" s="53">
        <v>-5.3410887991304196E-2</v>
      </c>
      <c r="Q523" s="54">
        <v>6</v>
      </c>
      <c r="R523" s="55">
        <v>0</v>
      </c>
      <c r="S523" s="55">
        <v>0</v>
      </c>
      <c r="T523" s="56">
        <v>0</v>
      </c>
      <c r="U523" s="57"/>
      <c r="V523" s="55">
        <v>0</v>
      </c>
      <c r="W523" s="55">
        <v>0</v>
      </c>
      <c r="X523" s="58">
        <v>0</v>
      </c>
      <c r="Y523" s="59">
        <v>0</v>
      </c>
      <c r="Z523" s="58">
        <v>0</v>
      </c>
      <c r="AA523" s="56">
        <v>0</v>
      </c>
      <c r="AB523" s="56">
        <v>0</v>
      </c>
      <c r="AC523" s="60">
        <v>46142</v>
      </c>
    </row>
    <row r="524" spans="1:29" x14ac:dyDescent="0.25">
      <c r="A524" s="43">
        <v>1013</v>
      </c>
      <c r="B524" s="44" t="s">
        <v>1297</v>
      </c>
      <c r="C524" s="45">
        <v>10130052</v>
      </c>
      <c r="D524" s="46" t="s">
        <v>886</v>
      </c>
      <c r="E524" s="47" t="s">
        <v>364</v>
      </c>
      <c r="F524" s="47" t="s">
        <v>58</v>
      </c>
      <c r="G524" s="62">
        <v>1388.8999999999999</v>
      </c>
      <c r="H524" s="62">
        <v>47935.770000000004</v>
      </c>
      <c r="I524" s="49">
        <v>0</v>
      </c>
      <c r="J524" s="49">
        <v>0</v>
      </c>
      <c r="K524" s="49">
        <v>0</v>
      </c>
      <c r="L524" s="50">
        <v>0</v>
      </c>
      <c r="M524" s="51"/>
      <c r="N524" s="52" t="s">
        <v>1300</v>
      </c>
      <c r="O524" s="31"/>
      <c r="P524" s="53">
        <v>-1.8242164577853024E-2</v>
      </c>
      <c r="Q524" s="54">
        <v>30</v>
      </c>
      <c r="R524" s="55">
        <v>0</v>
      </c>
      <c r="S524" s="55">
        <v>0</v>
      </c>
      <c r="T524" s="56">
        <v>0</v>
      </c>
      <c r="U524" s="57"/>
      <c r="V524" s="55">
        <v>0</v>
      </c>
      <c r="W524" s="55">
        <v>0</v>
      </c>
      <c r="X524" s="58">
        <v>0</v>
      </c>
      <c r="Y524" s="59">
        <v>0</v>
      </c>
      <c r="Z524" s="58">
        <v>0</v>
      </c>
      <c r="AA524" s="56">
        <v>0</v>
      </c>
      <c r="AB524" s="56">
        <v>0</v>
      </c>
      <c r="AC524" s="60">
        <v>46142</v>
      </c>
    </row>
    <row r="525" spans="1:29" x14ac:dyDescent="0.25">
      <c r="A525" s="43">
        <v>1013</v>
      </c>
      <c r="B525" s="44" t="s">
        <v>1297</v>
      </c>
      <c r="C525" s="45">
        <v>10130054</v>
      </c>
      <c r="D525" s="46" t="s">
        <v>887</v>
      </c>
      <c r="E525" s="47" t="s">
        <v>364</v>
      </c>
      <c r="F525" s="47" t="s">
        <v>58</v>
      </c>
      <c r="G525" s="62">
        <v>616.09999999999991</v>
      </c>
      <c r="H525" s="62">
        <v>23856.400000000001</v>
      </c>
      <c r="I525" s="49">
        <v>0</v>
      </c>
      <c r="J525" s="49">
        <v>0</v>
      </c>
      <c r="K525" s="49">
        <v>0</v>
      </c>
      <c r="L525" s="50">
        <v>0</v>
      </c>
      <c r="M525" s="51"/>
      <c r="N525" s="52" t="s">
        <v>1300</v>
      </c>
      <c r="O525" s="31"/>
      <c r="P525" s="53">
        <v>-4.2060727751030411E-2</v>
      </c>
      <c r="Q525" s="54">
        <v>11</v>
      </c>
      <c r="R525" s="55">
        <v>0</v>
      </c>
      <c r="S525" s="55">
        <v>0</v>
      </c>
      <c r="T525" s="56">
        <v>0</v>
      </c>
      <c r="U525" s="57"/>
      <c r="V525" s="55">
        <v>0</v>
      </c>
      <c r="W525" s="55">
        <v>0</v>
      </c>
      <c r="X525" s="58">
        <v>0</v>
      </c>
      <c r="Y525" s="59">
        <v>0</v>
      </c>
      <c r="Z525" s="58">
        <v>0</v>
      </c>
      <c r="AA525" s="56">
        <v>0</v>
      </c>
      <c r="AB525" s="56">
        <v>0</v>
      </c>
      <c r="AC525" s="60">
        <v>46142</v>
      </c>
    </row>
    <row r="526" spans="1:29" x14ac:dyDescent="0.25">
      <c r="A526" s="43">
        <v>1013</v>
      </c>
      <c r="B526" s="44" t="s">
        <v>1297</v>
      </c>
      <c r="C526" s="45">
        <v>10130058</v>
      </c>
      <c r="D526" s="46" t="s">
        <v>888</v>
      </c>
      <c r="E526" s="47" t="s">
        <v>371</v>
      </c>
      <c r="F526" s="47" t="s">
        <v>59</v>
      </c>
      <c r="G526" s="62">
        <v>221.29999999999998</v>
      </c>
      <c r="H526" s="62">
        <v>7690.79</v>
      </c>
      <c r="I526" s="49">
        <v>0</v>
      </c>
      <c r="J526" s="49">
        <v>0</v>
      </c>
      <c r="K526" s="49">
        <v>73.386503225806294</v>
      </c>
      <c r="L526" s="50">
        <v>0</v>
      </c>
      <c r="M526" s="51"/>
      <c r="N526" s="52" t="s">
        <v>1300</v>
      </c>
      <c r="O526" s="31"/>
      <c r="P526" s="53">
        <v>0</v>
      </c>
      <c r="Q526" s="54">
        <v>0</v>
      </c>
      <c r="R526" s="55">
        <v>0</v>
      </c>
      <c r="S526" s="55">
        <v>0</v>
      </c>
      <c r="T526" s="56">
        <v>0</v>
      </c>
      <c r="U526" s="57"/>
      <c r="V526" s="55">
        <v>73.386503225806294</v>
      </c>
      <c r="W526" s="55">
        <v>0</v>
      </c>
      <c r="X526" s="58">
        <v>0</v>
      </c>
      <c r="Y526" s="59">
        <v>73.386503225806294</v>
      </c>
      <c r="Z526" s="58">
        <v>73.386503225806294</v>
      </c>
      <c r="AA526" s="56">
        <v>0</v>
      </c>
      <c r="AB526" s="56">
        <v>0</v>
      </c>
      <c r="AC526" s="60">
        <v>46142</v>
      </c>
    </row>
    <row r="527" spans="1:29" x14ac:dyDescent="0.25">
      <c r="A527" s="43">
        <v>1013</v>
      </c>
      <c r="B527" s="44" t="s">
        <v>1297</v>
      </c>
      <c r="C527" s="45">
        <v>10130065</v>
      </c>
      <c r="D527" s="46" t="s">
        <v>889</v>
      </c>
      <c r="E527" s="47" t="s">
        <v>371</v>
      </c>
      <c r="F527" s="47" t="s">
        <v>59</v>
      </c>
      <c r="G527" s="62">
        <v>769.6</v>
      </c>
      <c r="H527" s="62">
        <v>30238.45</v>
      </c>
      <c r="I527" s="49">
        <v>0</v>
      </c>
      <c r="J527" s="49">
        <v>0</v>
      </c>
      <c r="K527" s="49">
        <v>0</v>
      </c>
      <c r="L527" s="50">
        <v>0</v>
      </c>
      <c r="M527" s="51"/>
      <c r="N527" s="52" t="s">
        <v>1300</v>
      </c>
      <c r="O527" s="31"/>
      <c r="P527" s="53">
        <v>0</v>
      </c>
      <c r="Q527" s="54">
        <v>0</v>
      </c>
      <c r="R527" s="55">
        <v>0</v>
      </c>
      <c r="S527" s="55">
        <v>0</v>
      </c>
      <c r="T527" s="56">
        <v>0</v>
      </c>
      <c r="U527" s="57"/>
      <c r="V527" s="55">
        <v>0</v>
      </c>
      <c r="W527" s="55">
        <v>0</v>
      </c>
      <c r="X527" s="58">
        <v>0</v>
      </c>
      <c r="Y527" s="59">
        <v>0</v>
      </c>
      <c r="Z527" s="58">
        <v>0</v>
      </c>
      <c r="AA527" s="56">
        <v>0</v>
      </c>
      <c r="AB527" s="56">
        <v>0</v>
      </c>
      <c r="AC527" s="60">
        <v>46142</v>
      </c>
    </row>
    <row r="528" spans="1:29" x14ac:dyDescent="0.25">
      <c r="A528" s="43">
        <v>1013</v>
      </c>
      <c r="B528" s="44" t="s">
        <v>1297</v>
      </c>
      <c r="C528" s="45">
        <v>10130073</v>
      </c>
      <c r="D528" s="46" t="s">
        <v>890</v>
      </c>
      <c r="E528" s="47" t="s">
        <v>364</v>
      </c>
      <c r="F528" s="47" t="s">
        <v>58</v>
      </c>
      <c r="G528" s="62">
        <v>64.900000000000006</v>
      </c>
      <c r="H528" s="62">
        <v>2330.73</v>
      </c>
      <c r="I528" s="49">
        <v>0</v>
      </c>
      <c r="J528" s="49">
        <v>1372</v>
      </c>
      <c r="K528" s="49">
        <v>398.03320000000014</v>
      </c>
      <c r="L528" s="50">
        <v>0</v>
      </c>
      <c r="M528" s="51"/>
      <c r="N528" s="52" t="s">
        <v>1300</v>
      </c>
      <c r="O528" s="31"/>
      <c r="P528" s="53">
        <v>-0.15988697042900729</v>
      </c>
      <c r="Q528" s="54">
        <v>2</v>
      </c>
      <c r="R528" s="55">
        <v>0</v>
      </c>
      <c r="S528" s="55">
        <v>0</v>
      </c>
      <c r="T528" s="56">
        <v>0</v>
      </c>
      <c r="U528" s="57"/>
      <c r="V528" s="55">
        <v>398.03320000000014</v>
      </c>
      <c r="W528" s="55">
        <v>0</v>
      </c>
      <c r="X528" s="58">
        <v>0</v>
      </c>
      <c r="Y528" s="59">
        <v>398.03320000000014</v>
      </c>
      <c r="Z528" s="58">
        <v>398.03320000000014</v>
      </c>
      <c r="AA528" s="56">
        <v>0</v>
      </c>
      <c r="AB528" s="56">
        <v>0</v>
      </c>
      <c r="AC528" s="60">
        <v>46142</v>
      </c>
    </row>
    <row r="529" spans="1:29" x14ac:dyDescent="0.25">
      <c r="A529" s="43">
        <v>1013</v>
      </c>
      <c r="B529" s="44" t="s">
        <v>1297</v>
      </c>
      <c r="C529" s="45">
        <v>10130074</v>
      </c>
      <c r="D529" s="46" t="s">
        <v>891</v>
      </c>
      <c r="E529" s="47" t="s">
        <v>364</v>
      </c>
      <c r="F529" s="47" t="s">
        <v>58</v>
      </c>
      <c r="G529" s="62">
        <v>291.79999999999995</v>
      </c>
      <c r="H529" s="62">
        <v>10899.48</v>
      </c>
      <c r="I529" s="49">
        <v>0</v>
      </c>
      <c r="J529" s="49">
        <v>0</v>
      </c>
      <c r="K529" s="49">
        <v>0</v>
      </c>
      <c r="L529" s="50">
        <v>0</v>
      </c>
      <c r="M529" s="51"/>
      <c r="N529" s="52" t="s">
        <v>1300</v>
      </c>
      <c r="O529" s="31"/>
      <c r="P529" s="53">
        <v>-2.8671807396995118E-2</v>
      </c>
      <c r="Q529" s="54">
        <v>11</v>
      </c>
      <c r="R529" s="55">
        <v>0</v>
      </c>
      <c r="S529" s="55">
        <v>0</v>
      </c>
      <c r="T529" s="56">
        <v>0</v>
      </c>
      <c r="U529" s="57"/>
      <c r="V529" s="55">
        <v>0</v>
      </c>
      <c r="W529" s="55">
        <v>0</v>
      </c>
      <c r="X529" s="58">
        <v>0</v>
      </c>
      <c r="Y529" s="59">
        <v>0</v>
      </c>
      <c r="Z529" s="58">
        <v>0</v>
      </c>
      <c r="AA529" s="56">
        <v>0</v>
      </c>
      <c r="AB529" s="56">
        <v>0</v>
      </c>
      <c r="AC529" s="60">
        <v>46142</v>
      </c>
    </row>
    <row r="530" spans="1:29" x14ac:dyDescent="0.25">
      <c r="A530" s="43">
        <v>1013</v>
      </c>
      <c r="B530" s="44" t="s">
        <v>1297</v>
      </c>
      <c r="C530" s="45">
        <v>10130077</v>
      </c>
      <c r="D530" s="46" t="s">
        <v>400</v>
      </c>
      <c r="E530" s="47" t="s">
        <v>364</v>
      </c>
      <c r="F530" s="47" t="s">
        <v>58</v>
      </c>
      <c r="G530" s="62">
        <v>173.5</v>
      </c>
      <c r="H530" s="62">
        <v>6096.67</v>
      </c>
      <c r="I530" s="49">
        <v>0</v>
      </c>
      <c r="J530" s="49">
        <v>1350</v>
      </c>
      <c r="K530" s="49">
        <v>0</v>
      </c>
      <c r="L530" s="50">
        <v>0</v>
      </c>
      <c r="M530" s="51"/>
      <c r="N530" s="52" t="s">
        <v>1300</v>
      </c>
      <c r="O530" s="31"/>
      <c r="P530" s="53">
        <v>-3.1137677365023802E-2</v>
      </c>
      <c r="Q530" s="54">
        <v>9</v>
      </c>
      <c r="R530" s="55">
        <v>0</v>
      </c>
      <c r="S530" s="55">
        <v>0</v>
      </c>
      <c r="T530" s="56">
        <v>0</v>
      </c>
      <c r="U530" s="57"/>
      <c r="V530" s="55">
        <v>0</v>
      </c>
      <c r="W530" s="55">
        <v>0</v>
      </c>
      <c r="X530" s="58">
        <v>0</v>
      </c>
      <c r="Y530" s="59">
        <v>0</v>
      </c>
      <c r="Z530" s="58">
        <v>0</v>
      </c>
      <c r="AA530" s="56">
        <v>0</v>
      </c>
      <c r="AB530" s="56">
        <v>0</v>
      </c>
      <c r="AC530" s="60">
        <v>46142</v>
      </c>
    </row>
    <row r="531" spans="1:29" x14ac:dyDescent="0.25">
      <c r="A531" s="43">
        <v>1013</v>
      </c>
      <c r="B531" s="44" t="s">
        <v>1297</v>
      </c>
      <c r="C531" s="45">
        <v>10130080</v>
      </c>
      <c r="D531" s="46" t="s">
        <v>892</v>
      </c>
      <c r="E531" s="47" t="s">
        <v>371</v>
      </c>
      <c r="F531" s="47" t="s">
        <v>59</v>
      </c>
      <c r="G531" s="62">
        <v>161.4</v>
      </c>
      <c r="H531" s="62">
        <v>5029.3100000000004</v>
      </c>
      <c r="I531" s="49">
        <v>0</v>
      </c>
      <c r="J531" s="49">
        <v>1500</v>
      </c>
      <c r="K531" s="49">
        <v>0</v>
      </c>
      <c r="L531" s="50">
        <v>0</v>
      </c>
      <c r="M531" s="51"/>
      <c r="N531" s="52" t="s">
        <v>1300</v>
      </c>
      <c r="O531" s="31"/>
      <c r="P531" s="53">
        <v>0</v>
      </c>
      <c r="Q531" s="54">
        <v>0</v>
      </c>
      <c r="R531" s="55">
        <v>0</v>
      </c>
      <c r="S531" s="55">
        <v>0</v>
      </c>
      <c r="T531" s="56">
        <v>0</v>
      </c>
      <c r="U531" s="57"/>
      <c r="V531" s="55">
        <v>0</v>
      </c>
      <c r="W531" s="55">
        <v>0</v>
      </c>
      <c r="X531" s="58">
        <v>0</v>
      </c>
      <c r="Y531" s="59">
        <v>0</v>
      </c>
      <c r="Z531" s="58">
        <v>0</v>
      </c>
      <c r="AA531" s="56">
        <v>0</v>
      </c>
      <c r="AB531" s="56">
        <v>0</v>
      </c>
      <c r="AC531" s="60">
        <v>46142</v>
      </c>
    </row>
    <row r="532" spans="1:29" x14ac:dyDescent="0.25">
      <c r="A532" s="43">
        <v>1013</v>
      </c>
      <c r="B532" s="44" t="s">
        <v>1297</v>
      </c>
      <c r="C532" s="45">
        <v>10130081</v>
      </c>
      <c r="D532" s="46" t="s">
        <v>893</v>
      </c>
      <c r="E532" s="47" t="s">
        <v>371</v>
      </c>
      <c r="F532" s="47" t="s">
        <v>59</v>
      </c>
      <c r="G532" s="62">
        <v>70.7</v>
      </c>
      <c r="H532" s="62">
        <v>2611.17</v>
      </c>
      <c r="I532" s="49">
        <v>0</v>
      </c>
      <c r="J532" s="49">
        <v>0</v>
      </c>
      <c r="K532" s="49">
        <v>34.314948387096685</v>
      </c>
      <c r="L532" s="50">
        <v>0</v>
      </c>
      <c r="M532" s="51"/>
      <c r="N532" s="52" t="s">
        <v>1300</v>
      </c>
      <c r="O532" s="31"/>
      <c r="P532" s="53">
        <v>0</v>
      </c>
      <c r="Q532" s="54">
        <v>0</v>
      </c>
      <c r="R532" s="55">
        <v>0</v>
      </c>
      <c r="S532" s="55">
        <v>0</v>
      </c>
      <c r="T532" s="56">
        <v>0</v>
      </c>
      <c r="U532" s="57"/>
      <c r="V532" s="55">
        <v>34.314948387096685</v>
      </c>
      <c r="W532" s="55">
        <v>0</v>
      </c>
      <c r="X532" s="58">
        <v>0</v>
      </c>
      <c r="Y532" s="59">
        <v>34.314948387096685</v>
      </c>
      <c r="Z532" s="58">
        <v>34.314948387096685</v>
      </c>
      <c r="AA532" s="56">
        <v>0</v>
      </c>
      <c r="AB532" s="56">
        <v>0</v>
      </c>
      <c r="AC532" s="60">
        <v>46142</v>
      </c>
    </row>
    <row r="533" spans="1:29" x14ac:dyDescent="0.25">
      <c r="A533" s="43">
        <v>1013</v>
      </c>
      <c r="B533" s="44" t="s">
        <v>1297</v>
      </c>
      <c r="C533" s="45">
        <v>10130083</v>
      </c>
      <c r="D533" s="46" t="s">
        <v>894</v>
      </c>
      <c r="E533" s="47" t="s">
        <v>371</v>
      </c>
      <c r="F533" s="47" t="s">
        <v>59</v>
      </c>
      <c r="G533" s="62">
        <v>1325</v>
      </c>
      <c r="H533" s="62">
        <v>43724.61</v>
      </c>
      <c r="I533" s="49">
        <v>0</v>
      </c>
      <c r="J533" s="49">
        <v>0</v>
      </c>
      <c r="K533" s="49">
        <v>0</v>
      </c>
      <c r="L533" s="50">
        <v>0</v>
      </c>
      <c r="M533" s="51"/>
      <c r="N533" s="52" t="s">
        <v>1300</v>
      </c>
      <c r="O533" s="31"/>
      <c r="P533" s="53">
        <v>0</v>
      </c>
      <c r="Q533" s="54">
        <v>0</v>
      </c>
      <c r="R533" s="55">
        <v>0</v>
      </c>
      <c r="S533" s="55">
        <v>0</v>
      </c>
      <c r="T533" s="56">
        <v>0</v>
      </c>
      <c r="U533" s="57"/>
      <c r="V533" s="55">
        <v>0</v>
      </c>
      <c r="W533" s="55">
        <v>0</v>
      </c>
      <c r="X533" s="58">
        <v>0</v>
      </c>
      <c r="Y533" s="59">
        <v>0</v>
      </c>
      <c r="Z533" s="58">
        <v>0</v>
      </c>
      <c r="AA533" s="56">
        <v>0</v>
      </c>
      <c r="AB533" s="56">
        <v>0</v>
      </c>
      <c r="AC533" s="60">
        <v>46142</v>
      </c>
    </row>
    <row r="534" spans="1:29" x14ac:dyDescent="0.25">
      <c r="A534" s="43">
        <v>1013</v>
      </c>
      <c r="B534" s="44" t="s">
        <v>1297</v>
      </c>
      <c r="C534" s="45">
        <v>10130085</v>
      </c>
      <c r="D534" s="46" t="s">
        <v>423</v>
      </c>
      <c r="E534" s="47" t="s">
        <v>364</v>
      </c>
      <c r="F534" s="47" t="s">
        <v>58</v>
      </c>
      <c r="G534" s="62">
        <v>272.49999999999994</v>
      </c>
      <c r="H534" s="62">
        <v>9420.73</v>
      </c>
      <c r="I534" s="49">
        <v>0</v>
      </c>
      <c r="J534" s="49">
        <v>0</v>
      </c>
      <c r="K534" s="49">
        <v>0</v>
      </c>
      <c r="L534" s="50">
        <v>0</v>
      </c>
      <c r="M534" s="51"/>
      <c r="N534" s="52" t="s">
        <v>1300</v>
      </c>
      <c r="O534" s="31"/>
      <c r="P534" s="53">
        <v>3.4012111308571506E-2</v>
      </c>
      <c r="Q534" s="54">
        <v>6</v>
      </c>
      <c r="R534" s="55">
        <v>0</v>
      </c>
      <c r="S534" s="55">
        <v>0</v>
      </c>
      <c r="T534" s="56">
        <v>0</v>
      </c>
      <c r="U534" s="57"/>
      <c r="V534" s="55">
        <v>0</v>
      </c>
      <c r="W534" s="55">
        <v>0</v>
      </c>
      <c r="X534" s="58">
        <v>0</v>
      </c>
      <c r="Y534" s="59">
        <v>0</v>
      </c>
      <c r="Z534" s="58">
        <v>0</v>
      </c>
      <c r="AA534" s="56">
        <v>0</v>
      </c>
      <c r="AB534" s="56">
        <v>0</v>
      </c>
      <c r="AC534" s="60">
        <v>46142</v>
      </c>
    </row>
    <row r="535" spans="1:29" x14ac:dyDescent="0.25">
      <c r="A535" s="43">
        <v>1013</v>
      </c>
      <c r="B535" s="44" t="s">
        <v>1297</v>
      </c>
      <c r="C535" s="45">
        <v>10130093</v>
      </c>
      <c r="D535" s="46" t="s">
        <v>895</v>
      </c>
      <c r="E535" s="47" t="s">
        <v>364</v>
      </c>
      <c r="F535" s="47" t="s">
        <v>58</v>
      </c>
      <c r="G535" s="62">
        <v>260.90000000000003</v>
      </c>
      <c r="H535" s="62">
        <v>10099.329999999998</v>
      </c>
      <c r="I535" s="49">
        <v>0</v>
      </c>
      <c r="J535" s="49">
        <v>0</v>
      </c>
      <c r="K535" s="49">
        <v>154.02354193548373</v>
      </c>
      <c r="L535" s="50">
        <v>0</v>
      </c>
      <c r="M535" s="51"/>
      <c r="N535" s="52" t="s">
        <v>1300</v>
      </c>
      <c r="O535" s="31"/>
      <c r="P535" s="53">
        <v>-1.2421671008352373E-2</v>
      </c>
      <c r="Q535" s="54">
        <v>4</v>
      </c>
      <c r="R535" s="55">
        <v>0</v>
      </c>
      <c r="S535" s="55">
        <v>0</v>
      </c>
      <c r="T535" s="56">
        <v>0</v>
      </c>
      <c r="U535" s="57"/>
      <c r="V535" s="55">
        <v>154.02354193548373</v>
      </c>
      <c r="W535" s="55">
        <v>0</v>
      </c>
      <c r="X535" s="58">
        <v>0</v>
      </c>
      <c r="Y535" s="59">
        <v>154.02354193548373</v>
      </c>
      <c r="Z535" s="58">
        <v>154.02354193548373</v>
      </c>
      <c r="AA535" s="56">
        <v>0</v>
      </c>
      <c r="AB535" s="56">
        <v>0</v>
      </c>
      <c r="AC535" s="60">
        <v>46142</v>
      </c>
    </row>
    <row r="536" spans="1:29" x14ac:dyDescent="0.25">
      <c r="A536" s="43">
        <v>1013</v>
      </c>
      <c r="B536" s="44" t="s">
        <v>1297</v>
      </c>
      <c r="C536" s="45">
        <v>10130097</v>
      </c>
      <c r="D536" s="46" t="s">
        <v>896</v>
      </c>
      <c r="E536" s="47" t="s">
        <v>364</v>
      </c>
      <c r="F536" s="47" t="s">
        <v>58</v>
      </c>
      <c r="G536" s="62">
        <v>72.599999999999994</v>
      </c>
      <c r="H536" s="62">
        <v>2837.7599999999998</v>
      </c>
      <c r="I536" s="49">
        <v>0</v>
      </c>
      <c r="J536" s="49">
        <v>0</v>
      </c>
      <c r="K536" s="49">
        <v>354.1768474576271</v>
      </c>
      <c r="L536" s="50">
        <v>0</v>
      </c>
      <c r="M536" s="51"/>
      <c r="N536" s="52" t="s">
        <v>1300</v>
      </c>
      <c r="O536" s="31"/>
      <c r="P536" s="53">
        <v>-0.50016970145466855</v>
      </c>
      <c r="Q536" s="54">
        <v>1</v>
      </c>
      <c r="R536" s="55">
        <v>0</v>
      </c>
      <c r="S536" s="55">
        <v>0</v>
      </c>
      <c r="T536" s="56">
        <v>0</v>
      </c>
      <c r="U536" s="57"/>
      <c r="V536" s="55">
        <v>354.1768474576271</v>
      </c>
      <c r="W536" s="55">
        <v>0</v>
      </c>
      <c r="X536" s="58">
        <v>0</v>
      </c>
      <c r="Y536" s="59">
        <v>354.1768474576271</v>
      </c>
      <c r="Z536" s="58">
        <v>354.1768474576271</v>
      </c>
      <c r="AA536" s="56">
        <v>0</v>
      </c>
      <c r="AB536" s="56">
        <v>0</v>
      </c>
      <c r="AC536" s="60">
        <v>46142</v>
      </c>
    </row>
    <row r="537" spans="1:29" x14ac:dyDescent="0.25">
      <c r="A537" s="43">
        <v>1013</v>
      </c>
      <c r="B537" s="44" t="s">
        <v>1297</v>
      </c>
      <c r="C537" s="45">
        <v>10130098</v>
      </c>
      <c r="D537" s="46" t="s">
        <v>897</v>
      </c>
      <c r="E537" s="47" t="s">
        <v>364</v>
      </c>
      <c r="F537" s="47" t="s">
        <v>58</v>
      </c>
      <c r="G537" s="62">
        <v>712.1</v>
      </c>
      <c r="H537" s="62">
        <v>26386.87</v>
      </c>
      <c r="I537" s="49">
        <v>0</v>
      </c>
      <c r="J537" s="49">
        <v>0</v>
      </c>
      <c r="K537" s="49">
        <v>601.97984516128952</v>
      </c>
      <c r="L537" s="50">
        <v>0</v>
      </c>
      <c r="M537" s="51"/>
      <c r="N537" s="52" t="s">
        <v>1300</v>
      </c>
      <c r="O537" s="31"/>
      <c r="P537" s="53">
        <v>-2.1069349542420266E-2</v>
      </c>
      <c r="Q537" s="54">
        <v>5</v>
      </c>
      <c r="R537" s="55">
        <v>0</v>
      </c>
      <c r="S537" s="55">
        <v>0</v>
      </c>
      <c r="T537" s="56">
        <v>0</v>
      </c>
      <c r="U537" s="57"/>
      <c r="V537" s="55">
        <v>601.97984516128952</v>
      </c>
      <c r="W537" s="55">
        <v>0</v>
      </c>
      <c r="X537" s="58">
        <v>0</v>
      </c>
      <c r="Y537" s="59">
        <v>601.97984516128952</v>
      </c>
      <c r="Z537" s="58">
        <v>601.97984516128952</v>
      </c>
      <c r="AA537" s="56">
        <v>0</v>
      </c>
      <c r="AB537" s="56">
        <v>0</v>
      </c>
      <c r="AC537" s="60">
        <v>46142</v>
      </c>
    </row>
    <row r="538" spans="1:29" x14ac:dyDescent="0.25">
      <c r="A538" s="43">
        <v>1013</v>
      </c>
      <c r="B538" s="44" t="s">
        <v>1297</v>
      </c>
      <c r="C538" s="45">
        <v>10130100</v>
      </c>
      <c r="D538" s="46" t="s">
        <v>898</v>
      </c>
      <c r="E538" s="47" t="s">
        <v>364</v>
      </c>
      <c r="F538" s="47" t="s">
        <v>58</v>
      </c>
      <c r="G538" s="62">
        <v>146.6</v>
      </c>
      <c r="H538" s="62">
        <v>5613.41</v>
      </c>
      <c r="I538" s="49">
        <v>0</v>
      </c>
      <c r="J538" s="49">
        <v>0</v>
      </c>
      <c r="K538" s="49">
        <v>0</v>
      </c>
      <c r="L538" s="50">
        <v>0</v>
      </c>
      <c r="M538" s="51"/>
      <c r="N538" s="52" t="s">
        <v>1300</v>
      </c>
      <c r="O538" s="31"/>
      <c r="P538" s="53">
        <v>8.2392621775343442E-4</v>
      </c>
      <c r="Q538" s="54">
        <v>3</v>
      </c>
      <c r="R538" s="55">
        <v>0</v>
      </c>
      <c r="S538" s="55">
        <v>0</v>
      </c>
      <c r="T538" s="56">
        <v>0</v>
      </c>
      <c r="U538" s="57"/>
      <c r="V538" s="55">
        <v>0</v>
      </c>
      <c r="W538" s="55">
        <v>0</v>
      </c>
      <c r="X538" s="58">
        <v>0</v>
      </c>
      <c r="Y538" s="59">
        <v>0</v>
      </c>
      <c r="Z538" s="58">
        <v>0</v>
      </c>
      <c r="AA538" s="56">
        <v>0</v>
      </c>
      <c r="AB538" s="56">
        <v>0</v>
      </c>
      <c r="AC538" s="60">
        <v>46142</v>
      </c>
    </row>
    <row r="539" spans="1:29" x14ac:dyDescent="0.25">
      <c r="A539" s="43">
        <v>1061</v>
      </c>
      <c r="B539" s="44" t="s">
        <v>1298</v>
      </c>
      <c r="C539" s="45">
        <v>10130101</v>
      </c>
      <c r="D539" s="46" t="s">
        <v>899</v>
      </c>
      <c r="E539" s="47" t="s">
        <v>371</v>
      </c>
      <c r="F539" s="47" t="s">
        <v>59</v>
      </c>
      <c r="G539" s="62">
        <v>51.3</v>
      </c>
      <c r="H539" s="62">
        <v>2221.8599999999997</v>
      </c>
      <c r="I539" s="49">
        <v>0</v>
      </c>
      <c r="J539" s="49">
        <v>0</v>
      </c>
      <c r="K539" s="49">
        <v>0</v>
      </c>
      <c r="L539" s="50">
        <v>0</v>
      </c>
      <c r="M539" s="51"/>
      <c r="N539" s="52" t="s">
        <v>1300</v>
      </c>
      <c r="O539" s="31"/>
      <c r="P539" s="53">
        <v>0</v>
      </c>
      <c r="Q539" s="54">
        <v>0</v>
      </c>
      <c r="R539" s="55">
        <v>0</v>
      </c>
      <c r="S539" s="55">
        <v>0</v>
      </c>
      <c r="T539" s="56">
        <v>0</v>
      </c>
      <c r="U539" s="57"/>
      <c r="V539" s="55">
        <v>0</v>
      </c>
      <c r="W539" s="55">
        <v>0</v>
      </c>
      <c r="X539" s="58">
        <v>0</v>
      </c>
      <c r="Y539" s="59">
        <v>0</v>
      </c>
      <c r="Z539" s="58">
        <v>0</v>
      </c>
      <c r="AA539" s="56">
        <v>0</v>
      </c>
      <c r="AB539" s="56">
        <v>0</v>
      </c>
      <c r="AC539" s="60">
        <v>46142</v>
      </c>
    </row>
    <row r="540" spans="1:29" x14ac:dyDescent="0.25">
      <c r="A540" s="43">
        <v>1013</v>
      </c>
      <c r="B540" s="44" t="s">
        <v>1297</v>
      </c>
      <c r="C540" s="45">
        <v>10130102</v>
      </c>
      <c r="D540" s="46" t="s">
        <v>900</v>
      </c>
      <c r="E540" s="47" t="s">
        <v>371</v>
      </c>
      <c r="F540" s="47" t="s">
        <v>58</v>
      </c>
      <c r="G540" s="62">
        <v>121.7</v>
      </c>
      <c r="H540" s="62">
        <v>3746.73</v>
      </c>
      <c r="I540" s="49">
        <v>0</v>
      </c>
      <c r="J540" s="49">
        <v>0</v>
      </c>
      <c r="K540" s="49">
        <v>349.29921818181828</v>
      </c>
      <c r="L540" s="50">
        <v>0</v>
      </c>
      <c r="M540" s="51"/>
      <c r="N540" s="52" t="s">
        <v>1300</v>
      </c>
      <c r="O540" s="31"/>
      <c r="P540" s="53">
        <v>-1.2042903179572618E-2</v>
      </c>
      <c r="Q540" s="54">
        <v>1</v>
      </c>
      <c r="R540" s="55">
        <v>0</v>
      </c>
      <c r="S540" s="55">
        <v>0</v>
      </c>
      <c r="T540" s="56">
        <v>0</v>
      </c>
      <c r="U540" s="57"/>
      <c r="V540" s="55">
        <v>349.29921818181828</v>
      </c>
      <c r="W540" s="55">
        <v>0</v>
      </c>
      <c r="X540" s="58">
        <v>0</v>
      </c>
      <c r="Y540" s="59">
        <v>349.29921818181828</v>
      </c>
      <c r="Z540" s="58">
        <v>349.29921818181828</v>
      </c>
      <c r="AA540" s="56">
        <v>0</v>
      </c>
      <c r="AB540" s="56">
        <v>0</v>
      </c>
      <c r="AC540" s="60">
        <v>46142</v>
      </c>
    </row>
    <row r="541" spans="1:29" x14ac:dyDescent="0.25">
      <c r="A541" s="43">
        <v>1013</v>
      </c>
      <c r="B541" s="44" t="s">
        <v>1297</v>
      </c>
      <c r="C541" s="45">
        <v>10130107</v>
      </c>
      <c r="D541" s="46" t="s">
        <v>901</v>
      </c>
      <c r="E541" s="47" t="s">
        <v>371</v>
      </c>
      <c r="F541" s="47" t="s">
        <v>59</v>
      </c>
      <c r="G541" s="62">
        <v>346.8</v>
      </c>
      <c r="H541" s="62">
        <v>12280.33</v>
      </c>
      <c r="I541" s="49">
        <v>0</v>
      </c>
      <c r="J541" s="49">
        <v>0</v>
      </c>
      <c r="K541" s="49">
        <v>607.90865806451598</v>
      </c>
      <c r="L541" s="50">
        <v>0</v>
      </c>
      <c r="M541" s="51"/>
      <c r="N541" s="52" t="s">
        <v>1300</v>
      </c>
      <c r="O541" s="31"/>
      <c r="P541" s="53">
        <v>0</v>
      </c>
      <c r="Q541" s="54">
        <v>0</v>
      </c>
      <c r="R541" s="55">
        <v>0</v>
      </c>
      <c r="S541" s="55">
        <v>0</v>
      </c>
      <c r="T541" s="56">
        <v>0</v>
      </c>
      <c r="U541" s="57"/>
      <c r="V541" s="55">
        <v>607.90865806451598</v>
      </c>
      <c r="W541" s="55">
        <v>0</v>
      </c>
      <c r="X541" s="58">
        <v>0</v>
      </c>
      <c r="Y541" s="59">
        <v>607.90865806451598</v>
      </c>
      <c r="Z541" s="58">
        <v>607.90865806451598</v>
      </c>
      <c r="AA541" s="56">
        <v>0</v>
      </c>
      <c r="AB541" s="56">
        <v>0</v>
      </c>
      <c r="AC541" s="60">
        <v>46142</v>
      </c>
    </row>
    <row r="542" spans="1:29" x14ac:dyDescent="0.25">
      <c r="A542" s="43">
        <v>1013</v>
      </c>
      <c r="B542" s="44" t="s">
        <v>1297</v>
      </c>
      <c r="C542" s="45">
        <v>10130111</v>
      </c>
      <c r="D542" s="46" t="s">
        <v>902</v>
      </c>
      <c r="E542" s="47" t="s">
        <v>371</v>
      </c>
      <c r="F542" s="47" t="s">
        <v>59</v>
      </c>
      <c r="G542" s="62">
        <v>1044</v>
      </c>
      <c r="H542" s="62">
        <v>29875.279999999999</v>
      </c>
      <c r="I542" s="49">
        <v>0</v>
      </c>
      <c r="J542" s="49">
        <v>0</v>
      </c>
      <c r="K542" s="49">
        <v>873.20409677419241</v>
      </c>
      <c r="L542" s="50">
        <v>0</v>
      </c>
      <c r="M542" s="51"/>
      <c r="N542" s="52" t="s">
        <v>1300</v>
      </c>
      <c r="O542" s="31"/>
      <c r="P542" s="53">
        <v>0</v>
      </c>
      <c r="Q542" s="54">
        <v>0</v>
      </c>
      <c r="R542" s="55">
        <v>0</v>
      </c>
      <c r="S542" s="55">
        <v>0</v>
      </c>
      <c r="T542" s="56">
        <v>0</v>
      </c>
      <c r="U542" s="57"/>
      <c r="V542" s="55">
        <v>873.20409677419241</v>
      </c>
      <c r="W542" s="55">
        <v>0</v>
      </c>
      <c r="X542" s="58">
        <v>0</v>
      </c>
      <c r="Y542" s="59">
        <v>873.20409677419241</v>
      </c>
      <c r="Z542" s="58">
        <v>873.20409677419241</v>
      </c>
      <c r="AA542" s="56">
        <v>0</v>
      </c>
      <c r="AB542" s="56">
        <v>0</v>
      </c>
      <c r="AC542" s="60">
        <v>46142</v>
      </c>
    </row>
    <row r="543" spans="1:29" x14ac:dyDescent="0.25">
      <c r="A543" s="43">
        <v>1013</v>
      </c>
      <c r="B543" s="44" t="s">
        <v>1297</v>
      </c>
      <c r="C543" s="45">
        <v>10130114</v>
      </c>
      <c r="D543" s="46" t="s">
        <v>903</v>
      </c>
      <c r="E543" s="47" t="s">
        <v>371</v>
      </c>
      <c r="F543" s="47" t="s">
        <v>59</v>
      </c>
      <c r="G543" s="62">
        <v>422.40000000000009</v>
      </c>
      <c r="H543" s="62">
        <v>15246.2</v>
      </c>
      <c r="I543" s="49">
        <v>0</v>
      </c>
      <c r="J543" s="49">
        <v>0</v>
      </c>
      <c r="K543" s="49">
        <v>0</v>
      </c>
      <c r="L543" s="50">
        <v>0</v>
      </c>
      <c r="M543" s="51"/>
      <c r="N543" s="52" t="s">
        <v>1300</v>
      </c>
      <c r="O543" s="31"/>
      <c r="P543" s="53">
        <v>0</v>
      </c>
      <c r="Q543" s="54">
        <v>0</v>
      </c>
      <c r="R543" s="55">
        <v>0</v>
      </c>
      <c r="S543" s="55">
        <v>0</v>
      </c>
      <c r="T543" s="56">
        <v>0</v>
      </c>
      <c r="U543" s="57"/>
      <c r="V543" s="55">
        <v>0</v>
      </c>
      <c r="W543" s="55">
        <v>0</v>
      </c>
      <c r="X543" s="58">
        <v>0</v>
      </c>
      <c r="Y543" s="59">
        <v>0</v>
      </c>
      <c r="Z543" s="58">
        <v>0</v>
      </c>
      <c r="AA543" s="56">
        <v>0</v>
      </c>
      <c r="AB543" s="56">
        <v>0</v>
      </c>
      <c r="AC543" s="60">
        <v>46142</v>
      </c>
    </row>
    <row r="544" spans="1:29" x14ac:dyDescent="0.25">
      <c r="A544" s="43">
        <v>1013</v>
      </c>
      <c r="B544" s="44" t="s">
        <v>1297</v>
      </c>
      <c r="C544" s="45">
        <v>10130115</v>
      </c>
      <c r="D544" s="46" t="s">
        <v>904</v>
      </c>
      <c r="E544" s="47" t="s">
        <v>364</v>
      </c>
      <c r="F544" s="47" t="s">
        <v>58</v>
      </c>
      <c r="G544" s="62">
        <v>380.6</v>
      </c>
      <c r="H544" s="62">
        <v>17647.230000000003</v>
      </c>
      <c r="I544" s="49">
        <v>0</v>
      </c>
      <c r="J544" s="49">
        <v>0</v>
      </c>
      <c r="K544" s="49">
        <v>0</v>
      </c>
      <c r="L544" s="50">
        <v>0</v>
      </c>
      <c r="M544" s="51"/>
      <c r="N544" s="52" t="s">
        <v>1300</v>
      </c>
      <c r="O544" s="31"/>
      <c r="P544" s="53">
        <v>-9.8765467961204195E-2</v>
      </c>
      <c r="Q544" s="54">
        <v>2</v>
      </c>
      <c r="R544" s="55">
        <v>0</v>
      </c>
      <c r="S544" s="55">
        <v>0</v>
      </c>
      <c r="T544" s="56">
        <v>0</v>
      </c>
      <c r="U544" s="57"/>
      <c r="V544" s="55">
        <v>0</v>
      </c>
      <c r="W544" s="55">
        <v>0</v>
      </c>
      <c r="X544" s="58">
        <v>0</v>
      </c>
      <c r="Y544" s="59">
        <v>0</v>
      </c>
      <c r="Z544" s="58">
        <v>0</v>
      </c>
      <c r="AA544" s="56">
        <v>0</v>
      </c>
      <c r="AB544" s="56">
        <v>0</v>
      </c>
      <c r="AC544" s="60">
        <v>46142</v>
      </c>
    </row>
    <row r="545" spans="1:29" x14ac:dyDescent="0.25">
      <c r="A545" s="43">
        <v>1013</v>
      </c>
      <c r="B545" s="44" t="s">
        <v>1297</v>
      </c>
      <c r="C545" s="45">
        <v>10130116</v>
      </c>
      <c r="D545" s="46" t="s">
        <v>905</v>
      </c>
      <c r="E545" s="47" t="s">
        <v>364</v>
      </c>
      <c r="F545" s="47" t="s">
        <v>58</v>
      </c>
      <c r="G545" s="62">
        <v>89.9</v>
      </c>
      <c r="H545" s="62">
        <v>3192.65</v>
      </c>
      <c r="I545" s="49">
        <v>0</v>
      </c>
      <c r="J545" s="49">
        <v>568</v>
      </c>
      <c r="K545" s="49">
        <v>244.51070322580648</v>
      </c>
      <c r="L545" s="50">
        <v>0</v>
      </c>
      <c r="M545" s="51"/>
      <c r="N545" s="52" t="s">
        <v>1300</v>
      </c>
      <c r="O545" s="31"/>
      <c r="P545" s="53">
        <v>-0.27501268104176796</v>
      </c>
      <c r="Q545" s="54">
        <v>2</v>
      </c>
      <c r="R545" s="55">
        <v>0</v>
      </c>
      <c r="S545" s="55">
        <v>0</v>
      </c>
      <c r="T545" s="56">
        <v>0</v>
      </c>
      <c r="U545" s="57"/>
      <c r="V545" s="55">
        <v>244.51070322580648</v>
      </c>
      <c r="W545" s="55">
        <v>0</v>
      </c>
      <c r="X545" s="58">
        <v>0</v>
      </c>
      <c r="Y545" s="59">
        <v>244.51070322580648</v>
      </c>
      <c r="Z545" s="58">
        <v>244.51070322580648</v>
      </c>
      <c r="AA545" s="56">
        <v>0</v>
      </c>
      <c r="AB545" s="56">
        <v>0</v>
      </c>
      <c r="AC545" s="60">
        <v>46142</v>
      </c>
    </row>
    <row r="546" spans="1:29" x14ac:dyDescent="0.25">
      <c r="A546" s="43">
        <v>1013</v>
      </c>
      <c r="B546" s="44" t="s">
        <v>1297</v>
      </c>
      <c r="C546" s="45">
        <v>10130117</v>
      </c>
      <c r="D546" s="46" t="s">
        <v>906</v>
      </c>
      <c r="E546" s="47" t="s">
        <v>364</v>
      </c>
      <c r="F546" s="47" t="s">
        <v>58</v>
      </c>
      <c r="G546" s="62">
        <v>354.90000000000003</v>
      </c>
      <c r="H546" s="62">
        <v>11717.220000000001</v>
      </c>
      <c r="I546" s="49">
        <v>0</v>
      </c>
      <c r="J546" s="49">
        <v>0</v>
      </c>
      <c r="K546" s="49">
        <v>0</v>
      </c>
      <c r="L546" s="50">
        <v>0</v>
      </c>
      <c r="M546" s="51"/>
      <c r="N546" s="52" t="s">
        <v>1300</v>
      </c>
      <c r="O546" s="31"/>
      <c r="P546" s="53">
        <v>-9.8855711727867265E-2</v>
      </c>
      <c r="Q546" s="54">
        <v>1</v>
      </c>
      <c r="R546" s="55">
        <v>0</v>
      </c>
      <c r="S546" s="55">
        <v>0</v>
      </c>
      <c r="T546" s="56">
        <v>0</v>
      </c>
      <c r="U546" s="57"/>
      <c r="V546" s="55">
        <v>0</v>
      </c>
      <c r="W546" s="55">
        <v>0</v>
      </c>
      <c r="X546" s="58">
        <v>0</v>
      </c>
      <c r="Y546" s="59">
        <v>0</v>
      </c>
      <c r="Z546" s="58">
        <v>0</v>
      </c>
      <c r="AA546" s="56">
        <v>0</v>
      </c>
      <c r="AB546" s="56">
        <v>0</v>
      </c>
      <c r="AC546" s="60">
        <v>46142</v>
      </c>
    </row>
    <row r="547" spans="1:29" x14ac:dyDescent="0.25">
      <c r="A547" s="43">
        <v>1013</v>
      </c>
      <c r="B547" s="44" t="s">
        <v>1297</v>
      </c>
      <c r="C547" s="45">
        <v>10130118</v>
      </c>
      <c r="D547" s="46" t="s">
        <v>907</v>
      </c>
      <c r="E547" s="47" t="s">
        <v>371</v>
      </c>
      <c r="F547" s="47" t="s">
        <v>59</v>
      </c>
      <c r="G547" s="62">
        <v>7099</v>
      </c>
      <c r="H547" s="62">
        <v>252697.99000000002</v>
      </c>
      <c r="I547" s="49">
        <v>0</v>
      </c>
      <c r="J547" s="49">
        <v>0</v>
      </c>
      <c r="K547" s="49">
        <v>0</v>
      </c>
      <c r="L547" s="50">
        <v>0</v>
      </c>
      <c r="M547" s="51"/>
      <c r="N547" s="52" t="s">
        <v>1300</v>
      </c>
      <c r="O547" s="31"/>
      <c r="P547" s="53">
        <v>0</v>
      </c>
      <c r="Q547" s="54">
        <v>0</v>
      </c>
      <c r="R547" s="55">
        <v>0</v>
      </c>
      <c r="S547" s="55">
        <v>0</v>
      </c>
      <c r="T547" s="56">
        <v>0</v>
      </c>
      <c r="U547" s="57"/>
      <c r="V547" s="55">
        <v>0</v>
      </c>
      <c r="W547" s="55">
        <v>0</v>
      </c>
      <c r="X547" s="58">
        <v>0</v>
      </c>
      <c r="Y547" s="59">
        <v>0</v>
      </c>
      <c r="Z547" s="58">
        <v>0</v>
      </c>
      <c r="AA547" s="56">
        <v>0</v>
      </c>
      <c r="AB547" s="56">
        <v>0</v>
      </c>
      <c r="AC547" s="60">
        <v>46142</v>
      </c>
    </row>
    <row r="548" spans="1:29" x14ac:dyDescent="0.25">
      <c r="A548" s="43">
        <v>1013</v>
      </c>
      <c r="B548" s="44" t="s">
        <v>1297</v>
      </c>
      <c r="C548" s="45">
        <v>10130121</v>
      </c>
      <c r="D548" s="46" t="s">
        <v>908</v>
      </c>
      <c r="E548" s="47" t="s">
        <v>371</v>
      </c>
      <c r="F548" s="47" t="s">
        <v>59</v>
      </c>
      <c r="G548" s="62">
        <v>41.8</v>
      </c>
      <c r="H548" s="62">
        <v>1295.6600000000001</v>
      </c>
      <c r="I548" s="49">
        <v>0</v>
      </c>
      <c r="J548" s="49">
        <v>0</v>
      </c>
      <c r="K548" s="49">
        <v>0</v>
      </c>
      <c r="L548" s="50">
        <v>0</v>
      </c>
      <c r="M548" s="51"/>
      <c r="N548" s="52" t="s">
        <v>1300</v>
      </c>
      <c r="O548" s="31"/>
      <c r="P548" s="53">
        <v>0</v>
      </c>
      <c r="Q548" s="54">
        <v>0</v>
      </c>
      <c r="R548" s="55">
        <v>0</v>
      </c>
      <c r="S548" s="55">
        <v>0</v>
      </c>
      <c r="T548" s="56">
        <v>0</v>
      </c>
      <c r="U548" s="57"/>
      <c r="V548" s="55">
        <v>0</v>
      </c>
      <c r="W548" s="55">
        <v>0</v>
      </c>
      <c r="X548" s="58">
        <v>0</v>
      </c>
      <c r="Y548" s="59">
        <v>0</v>
      </c>
      <c r="Z548" s="58">
        <v>0</v>
      </c>
      <c r="AA548" s="56">
        <v>0</v>
      </c>
      <c r="AB548" s="56">
        <v>0</v>
      </c>
      <c r="AC548" s="60">
        <v>46142</v>
      </c>
    </row>
    <row r="549" spans="1:29" x14ac:dyDescent="0.25">
      <c r="A549" s="43">
        <v>1014</v>
      </c>
      <c r="B549" s="44" t="s">
        <v>167</v>
      </c>
      <c r="C549" s="45">
        <v>10140001</v>
      </c>
      <c r="D549" s="46" t="s">
        <v>909</v>
      </c>
      <c r="E549" s="47" t="s">
        <v>364</v>
      </c>
      <c r="F549" s="47" t="s">
        <v>58</v>
      </c>
      <c r="G549" s="62">
        <v>35.5</v>
      </c>
      <c r="H549" s="62">
        <v>1157.6600000000001</v>
      </c>
      <c r="I549" s="49">
        <v>0</v>
      </c>
      <c r="J549" s="49">
        <v>0</v>
      </c>
      <c r="K549" s="49">
        <v>0</v>
      </c>
      <c r="L549" s="50" t="s">
        <v>409</v>
      </c>
      <c r="M549" s="51" t="s">
        <v>410</v>
      </c>
      <c r="N549" s="52" t="s">
        <v>1300</v>
      </c>
      <c r="O549" s="31"/>
      <c r="P549" s="53">
        <v>-1.3047193275637929</v>
      </c>
      <c r="Q549" s="54">
        <v>3</v>
      </c>
      <c r="R549" s="55">
        <v>17546</v>
      </c>
      <c r="S549" s="55">
        <v>0</v>
      </c>
      <c r="T549" s="56">
        <v>17546</v>
      </c>
      <c r="U549" s="57"/>
      <c r="V549" s="55">
        <v>0</v>
      </c>
      <c r="W549" s="55">
        <v>0</v>
      </c>
      <c r="X549" s="58">
        <v>0</v>
      </c>
      <c r="Y549" s="59">
        <v>0</v>
      </c>
      <c r="Z549" s="58">
        <v>0</v>
      </c>
      <c r="AA549" s="56">
        <v>0</v>
      </c>
      <c r="AB549" s="56">
        <v>0</v>
      </c>
      <c r="AC549" s="60">
        <v>46142</v>
      </c>
    </row>
    <row r="550" spans="1:29" x14ac:dyDescent="0.25">
      <c r="A550" s="43">
        <v>1014</v>
      </c>
      <c r="B550" s="44" t="s">
        <v>167</v>
      </c>
      <c r="C550" s="45">
        <v>10140002</v>
      </c>
      <c r="D550" s="46" t="s">
        <v>910</v>
      </c>
      <c r="E550" s="47" t="s">
        <v>364</v>
      </c>
      <c r="F550" s="47" t="s">
        <v>58</v>
      </c>
      <c r="G550" s="62">
        <v>712.80000000000007</v>
      </c>
      <c r="H550" s="62">
        <v>26554.179999999997</v>
      </c>
      <c r="I550" s="49">
        <v>0</v>
      </c>
      <c r="J550" s="49">
        <v>0</v>
      </c>
      <c r="K550" s="49">
        <v>0</v>
      </c>
      <c r="L550" s="50">
        <v>0</v>
      </c>
      <c r="M550" s="51"/>
      <c r="N550" s="52" t="s">
        <v>1300</v>
      </c>
      <c r="O550" s="31"/>
      <c r="P550" s="53">
        <v>-0.1054057266804701</v>
      </c>
      <c r="Q550" s="54">
        <v>13</v>
      </c>
      <c r="R550" s="55">
        <v>0</v>
      </c>
      <c r="S550" s="55">
        <v>0</v>
      </c>
      <c r="T550" s="56">
        <v>0</v>
      </c>
      <c r="U550" s="57"/>
      <c r="V550" s="55">
        <v>0</v>
      </c>
      <c r="W550" s="55">
        <v>0</v>
      </c>
      <c r="X550" s="58">
        <v>0</v>
      </c>
      <c r="Y550" s="59">
        <v>0</v>
      </c>
      <c r="Z550" s="58">
        <v>0</v>
      </c>
      <c r="AA550" s="56">
        <v>0</v>
      </c>
      <c r="AB550" s="56">
        <v>0</v>
      </c>
      <c r="AC550" s="60">
        <v>46142</v>
      </c>
    </row>
    <row r="551" spans="1:29" x14ac:dyDescent="0.25">
      <c r="A551" s="43">
        <v>1014</v>
      </c>
      <c r="B551" s="44" t="s">
        <v>167</v>
      </c>
      <c r="C551" s="45">
        <v>10140003</v>
      </c>
      <c r="D551" s="46" t="s">
        <v>911</v>
      </c>
      <c r="E551" s="47" t="s">
        <v>364</v>
      </c>
      <c r="F551" s="47" t="s">
        <v>58</v>
      </c>
      <c r="G551" s="62">
        <v>872.8</v>
      </c>
      <c r="H551" s="62">
        <v>33923.06</v>
      </c>
      <c r="I551" s="49">
        <v>0</v>
      </c>
      <c r="J551" s="49">
        <v>0</v>
      </c>
      <c r="K551" s="49">
        <v>0</v>
      </c>
      <c r="L551" s="50">
        <v>0</v>
      </c>
      <c r="M551" s="51"/>
      <c r="N551" s="52" t="s">
        <v>1300</v>
      </c>
      <c r="O551" s="31"/>
      <c r="P551" s="53">
        <v>-2.4829239213942797E-2</v>
      </c>
      <c r="Q551" s="54">
        <v>27</v>
      </c>
      <c r="R551" s="55">
        <v>0</v>
      </c>
      <c r="S551" s="55">
        <v>0</v>
      </c>
      <c r="T551" s="56">
        <v>0</v>
      </c>
      <c r="U551" s="57"/>
      <c r="V551" s="55">
        <v>0</v>
      </c>
      <c r="W551" s="55">
        <v>0</v>
      </c>
      <c r="X551" s="58">
        <v>0</v>
      </c>
      <c r="Y551" s="59">
        <v>0</v>
      </c>
      <c r="Z551" s="58">
        <v>0</v>
      </c>
      <c r="AA551" s="56">
        <v>0</v>
      </c>
      <c r="AB551" s="56">
        <v>0</v>
      </c>
      <c r="AC551" s="60">
        <v>46142</v>
      </c>
    </row>
    <row r="552" spans="1:29" x14ac:dyDescent="0.25">
      <c r="A552" s="43">
        <v>1014</v>
      </c>
      <c r="B552" s="44" t="s">
        <v>167</v>
      </c>
      <c r="C552" s="45">
        <v>10140007</v>
      </c>
      <c r="D552" s="46" t="s">
        <v>912</v>
      </c>
      <c r="E552" s="47" t="s">
        <v>364</v>
      </c>
      <c r="F552" s="47" t="s">
        <v>58</v>
      </c>
      <c r="G552" s="62">
        <v>661.30000000000007</v>
      </c>
      <c r="H552" s="62">
        <v>22982.59</v>
      </c>
      <c r="I552" s="49">
        <v>0</v>
      </c>
      <c r="J552" s="49">
        <v>0</v>
      </c>
      <c r="K552" s="49">
        <v>0</v>
      </c>
      <c r="L552" s="50" t="s">
        <v>366</v>
      </c>
      <c r="M552" s="51" t="s">
        <v>367</v>
      </c>
      <c r="N552" s="52" t="s">
        <v>1300</v>
      </c>
      <c r="O552" s="31"/>
      <c r="P552" s="53">
        <v>-0.33619000674131411</v>
      </c>
      <c r="Q552" s="54">
        <v>13</v>
      </c>
      <c r="R552" s="55">
        <v>0</v>
      </c>
      <c r="S552" s="55">
        <v>0</v>
      </c>
      <c r="T552" s="56">
        <v>0</v>
      </c>
      <c r="U552" s="57"/>
      <c r="V552" s="55">
        <v>0</v>
      </c>
      <c r="W552" s="55">
        <v>0</v>
      </c>
      <c r="X552" s="58">
        <v>0</v>
      </c>
      <c r="Y552" s="59">
        <v>0</v>
      </c>
      <c r="Z552" s="58">
        <v>0</v>
      </c>
      <c r="AA552" s="56">
        <v>0</v>
      </c>
      <c r="AB552" s="56">
        <v>0</v>
      </c>
      <c r="AC552" s="60">
        <v>46142</v>
      </c>
    </row>
    <row r="553" spans="1:29" x14ac:dyDescent="0.25">
      <c r="A553" s="43">
        <v>1014</v>
      </c>
      <c r="B553" s="44" t="s">
        <v>167</v>
      </c>
      <c r="C553" s="45">
        <v>10140008</v>
      </c>
      <c r="D553" s="46" t="s">
        <v>913</v>
      </c>
      <c r="E553" s="47" t="s">
        <v>364</v>
      </c>
      <c r="F553" s="47" t="s">
        <v>58</v>
      </c>
      <c r="G553" s="62">
        <v>931.4</v>
      </c>
      <c r="H553" s="62">
        <v>34109.440000000002</v>
      </c>
      <c r="I553" s="49">
        <v>0</v>
      </c>
      <c r="J553" s="49">
        <v>0</v>
      </c>
      <c r="K553" s="49">
        <v>0</v>
      </c>
      <c r="L553" s="50">
        <v>0</v>
      </c>
      <c r="M553" s="51"/>
      <c r="N553" s="52" t="s">
        <v>1300</v>
      </c>
      <c r="O553" s="31"/>
      <c r="P553" s="53">
        <v>3.1162858899769696E-4</v>
      </c>
      <c r="Q553" s="54">
        <v>20</v>
      </c>
      <c r="R553" s="55">
        <v>0</v>
      </c>
      <c r="S553" s="55">
        <v>0</v>
      </c>
      <c r="T553" s="56">
        <v>0</v>
      </c>
      <c r="U553" s="57"/>
      <c r="V553" s="55">
        <v>0</v>
      </c>
      <c r="W553" s="55">
        <v>0</v>
      </c>
      <c r="X553" s="58">
        <v>0</v>
      </c>
      <c r="Y553" s="59">
        <v>0</v>
      </c>
      <c r="Z553" s="58">
        <v>0</v>
      </c>
      <c r="AA553" s="56">
        <v>0</v>
      </c>
      <c r="AB553" s="56">
        <v>0</v>
      </c>
      <c r="AC553" s="60">
        <v>46142</v>
      </c>
    </row>
    <row r="554" spans="1:29" x14ac:dyDescent="0.25">
      <c r="A554" s="43">
        <v>1014</v>
      </c>
      <c r="B554" s="44" t="s">
        <v>167</v>
      </c>
      <c r="C554" s="45">
        <v>10140009</v>
      </c>
      <c r="D554" s="46" t="s">
        <v>914</v>
      </c>
      <c r="E554" s="47" t="s">
        <v>364</v>
      </c>
      <c r="F554" s="47" t="s">
        <v>58</v>
      </c>
      <c r="G554" s="62">
        <v>534.69999999999993</v>
      </c>
      <c r="H554" s="62">
        <v>19830.779999999995</v>
      </c>
      <c r="I554" s="49">
        <v>0</v>
      </c>
      <c r="J554" s="49">
        <v>0</v>
      </c>
      <c r="K554" s="49">
        <v>0</v>
      </c>
      <c r="L554" s="50">
        <v>0</v>
      </c>
      <c r="M554" s="51"/>
      <c r="N554" s="52" t="s">
        <v>1300</v>
      </c>
      <c r="O554" s="31"/>
      <c r="P554" s="53">
        <v>-5.3687227958265124E-2</v>
      </c>
      <c r="Q554" s="54">
        <v>6</v>
      </c>
      <c r="R554" s="55">
        <v>0</v>
      </c>
      <c r="S554" s="55">
        <v>0</v>
      </c>
      <c r="T554" s="56">
        <v>0</v>
      </c>
      <c r="U554" s="57"/>
      <c r="V554" s="55">
        <v>0</v>
      </c>
      <c r="W554" s="55">
        <v>0</v>
      </c>
      <c r="X554" s="58">
        <v>0</v>
      </c>
      <c r="Y554" s="59">
        <v>0</v>
      </c>
      <c r="Z554" s="58">
        <v>0</v>
      </c>
      <c r="AA554" s="56">
        <v>0</v>
      </c>
      <c r="AB554" s="56">
        <v>0</v>
      </c>
      <c r="AC554" s="60">
        <v>46142</v>
      </c>
    </row>
    <row r="555" spans="1:29" x14ac:dyDescent="0.25">
      <c r="A555" s="43">
        <v>1014</v>
      </c>
      <c r="B555" s="44" t="s">
        <v>167</v>
      </c>
      <c r="C555" s="45">
        <v>10140012</v>
      </c>
      <c r="D555" s="46" t="s">
        <v>915</v>
      </c>
      <c r="E555" s="47" t="s">
        <v>364</v>
      </c>
      <c r="F555" s="47" t="s">
        <v>58</v>
      </c>
      <c r="G555" s="62">
        <v>423.50000000000006</v>
      </c>
      <c r="H555" s="62">
        <v>17359.079999999998</v>
      </c>
      <c r="I555" s="49">
        <v>0</v>
      </c>
      <c r="J555" s="49">
        <v>1300</v>
      </c>
      <c r="K555" s="49">
        <v>0</v>
      </c>
      <c r="L555" s="50" t="s">
        <v>366</v>
      </c>
      <c r="M555" s="51" t="s">
        <v>367</v>
      </c>
      <c r="N555" s="52" t="s">
        <v>1300</v>
      </c>
      <c r="O555" s="31"/>
      <c r="P555" s="53">
        <v>-3.3409310241510476E-2</v>
      </c>
      <c r="Q555" s="54">
        <v>17</v>
      </c>
      <c r="R555" s="55">
        <v>0</v>
      </c>
      <c r="S555" s="55">
        <v>0</v>
      </c>
      <c r="T555" s="56">
        <v>0</v>
      </c>
      <c r="U555" s="57"/>
      <c r="V555" s="55">
        <v>0</v>
      </c>
      <c r="W555" s="55">
        <v>0</v>
      </c>
      <c r="X555" s="58">
        <v>0</v>
      </c>
      <c r="Y555" s="59">
        <v>0</v>
      </c>
      <c r="Z555" s="58">
        <v>0</v>
      </c>
      <c r="AA555" s="56">
        <v>0</v>
      </c>
      <c r="AB555" s="56">
        <v>0</v>
      </c>
      <c r="AC555" s="60">
        <v>46142</v>
      </c>
    </row>
    <row r="556" spans="1:29" x14ac:dyDescent="0.25">
      <c r="A556" s="43">
        <v>1014</v>
      </c>
      <c r="B556" s="44" t="s">
        <v>167</v>
      </c>
      <c r="C556" s="45">
        <v>10140013</v>
      </c>
      <c r="D556" s="46" t="s">
        <v>916</v>
      </c>
      <c r="E556" s="47" t="s">
        <v>364</v>
      </c>
      <c r="F556" s="47" t="s">
        <v>58</v>
      </c>
      <c r="G556" s="62">
        <v>22.5</v>
      </c>
      <c r="H556" s="62">
        <v>818.3599999999999</v>
      </c>
      <c r="I556" s="49">
        <v>0</v>
      </c>
      <c r="J556" s="49">
        <v>0</v>
      </c>
      <c r="K556" s="49">
        <v>0</v>
      </c>
      <c r="L556" s="50" t="s">
        <v>366</v>
      </c>
      <c r="M556" s="51" t="s">
        <v>367</v>
      </c>
      <c r="N556" s="52" t="s">
        <v>1300</v>
      </c>
      <c r="O556" s="31"/>
      <c r="P556" s="53">
        <v>-0.11234670560633496</v>
      </c>
      <c r="Q556" s="54">
        <v>2</v>
      </c>
      <c r="R556" s="55">
        <v>0</v>
      </c>
      <c r="S556" s="55">
        <v>0</v>
      </c>
      <c r="T556" s="56">
        <v>0</v>
      </c>
      <c r="U556" s="57"/>
      <c r="V556" s="55">
        <v>0</v>
      </c>
      <c r="W556" s="55">
        <v>0</v>
      </c>
      <c r="X556" s="58">
        <v>0</v>
      </c>
      <c r="Y556" s="59">
        <v>0</v>
      </c>
      <c r="Z556" s="58">
        <v>0</v>
      </c>
      <c r="AA556" s="56">
        <v>0</v>
      </c>
      <c r="AB556" s="56">
        <v>0</v>
      </c>
      <c r="AC556" s="60">
        <v>46142</v>
      </c>
    </row>
    <row r="557" spans="1:29" x14ac:dyDescent="0.25">
      <c r="A557" s="43">
        <v>1014</v>
      </c>
      <c r="B557" s="44" t="s">
        <v>167</v>
      </c>
      <c r="C557" s="45">
        <v>10140018</v>
      </c>
      <c r="D557" s="46" t="s">
        <v>917</v>
      </c>
      <c r="E557" s="47" t="s">
        <v>364</v>
      </c>
      <c r="F557" s="47" t="s">
        <v>58</v>
      </c>
      <c r="G557" s="62">
        <v>619.19999999999993</v>
      </c>
      <c r="H557" s="62">
        <v>25568.549999999988</v>
      </c>
      <c r="I557" s="49">
        <v>0</v>
      </c>
      <c r="J557" s="49">
        <v>0</v>
      </c>
      <c r="K557" s="49">
        <v>0</v>
      </c>
      <c r="L557" s="50">
        <v>0</v>
      </c>
      <c r="M557" s="51"/>
      <c r="N557" s="52" t="s">
        <v>1300</v>
      </c>
      <c r="O557" s="31"/>
      <c r="P557" s="53">
        <v>1.3526351396535117E-3</v>
      </c>
      <c r="Q557" s="54">
        <v>1</v>
      </c>
      <c r="R557" s="55">
        <v>0</v>
      </c>
      <c r="S557" s="55">
        <v>0</v>
      </c>
      <c r="T557" s="56">
        <v>0</v>
      </c>
      <c r="U557" s="57"/>
      <c r="V557" s="55">
        <v>0</v>
      </c>
      <c r="W557" s="55">
        <v>0</v>
      </c>
      <c r="X557" s="58">
        <v>0</v>
      </c>
      <c r="Y557" s="59">
        <v>0</v>
      </c>
      <c r="Z557" s="58">
        <v>0</v>
      </c>
      <c r="AA557" s="56">
        <v>0</v>
      </c>
      <c r="AB557" s="56">
        <v>0</v>
      </c>
      <c r="AC557" s="60">
        <v>46142</v>
      </c>
    </row>
    <row r="558" spans="1:29" x14ac:dyDescent="0.25">
      <c r="A558" s="43">
        <v>1014</v>
      </c>
      <c r="B558" s="44" t="s">
        <v>167</v>
      </c>
      <c r="C558" s="45">
        <v>10140020</v>
      </c>
      <c r="D558" s="46" t="s">
        <v>918</v>
      </c>
      <c r="E558" s="47" t="s">
        <v>364</v>
      </c>
      <c r="F558" s="47" t="s">
        <v>58</v>
      </c>
      <c r="G558" s="62">
        <v>48.1</v>
      </c>
      <c r="H558" s="62">
        <v>1632.1000000000001</v>
      </c>
      <c r="I558" s="49">
        <v>0</v>
      </c>
      <c r="J558" s="49">
        <v>0</v>
      </c>
      <c r="K558" s="49">
        <v>0</v>
      </c>
      <c r="L558" s="50">
        <v>0</v>
      </c>
      <c r="M558" s="51"/>
      <c r="N558" s="52" t="s">
        <v>1300</v>
      </c>
      <c r="O558" s="31"/>
      <c r="P558" s="53">
        <v>1.9059716193860758E-2</v>
      </c>
      <c r="Q558" s="54">
        <v>1</v>
      </c>
      <c r="R558" s="55">
        <v>0</v>
      </c>
      <c r="S558" s="55">
        <v>0</v>
      </c>
      <c r="T558" s="56">
        <v>0</v>
      </c>
      <c r="U558" s="57"/>
      <c r="V558" s="55">
        <v>0</v>
      </c>
      <c r="W558" s="55">
        <v>0</v>
      </c>
      <c r="X558" s="58">
        <v>0</v>
      </c>
      <c r="Y558" s="59">
        <v>0</v>
      </c>
      <c r="Z558" s="58">
        <v>0</v>
      </c>
      <c r="AA558" s="56">
        <v>0</v>
      </c>
      <c r="AB558" s="56">
        <v>0</v>
      </c>
      <c r="AC558" s="60">
        <v>46142</v>
      </c>
    </row>
    <row r="559" spans="1:29" x14ac:dyDescent="0.25">
      <c r="A559" s="43">
        <v>1014</v>
      </c>
      <c r="B559" s="44" t="s">
        <v>167</v>
      </c>
      <c r="C559" s="45">
        <v>10140022</v>
      </c>
      <c r="D559" s="46" t="s">
        <v>919</v>
      </c>
      <c r="E559" s="47" t="s">
        <v>364</v>
      </c>
      <c r="F559" s="47" t="s">
        <v>58</v>
      </c>
      <c r="G559" s="62">
        <v>128.20000000000002</v>
      </c>
      <c r="H559" s="62">
        <v>4584.3999999999996</v>
      </c>
      <c r="I559" s="49">
        <v>0</v>
      </c>
      <c r="J559" s="49">
        <v>0</v>
      </c>
      <c r="K559" s="49">
        <v>0</v>
      </c>
      <c r="L559" s="50" t="s">
        <v>366</v>
      </c>
      <c r="M559" s="51" t="s">
        <v>367</v>
      </c>
      <c r="N559" s="52" t="s">
        <v>1300</v>
      </c>
      <c r="O559" s="31"/>
      <c r="P559" s="53">
        <v>-0.18404413759706842</v>
      </c>
      <c r="Q559" s="54">
        <v>3</v>
      </c>
      <c r="R559" s="55">
        <v>0</v>
      </c>
      <c r="S559" s="55">
        <v>0</v>
      </c>
      <c r="T559" s="56">
        <v>0</v>
      </c>
      <c r="U559" s="57"/>
      <c r="V559" s="55">
        <v>0</v>
      </c>
      <c r="W559" s="55">
        <v>0</v>
      </c>
      <c r="X559" s="58">
        <v>0</v>
      </c>
      <c r="Y559" s="59">
        <v>0</v>
      </c>
      <c r="Z559" s="58">
        <v>0</v>
      </c>
      <c r="AA559" s="56">
        <v>0</v>
      </c>
      <c r="AB559" s="56">
        <v>0</v>
      </c>
      <c r="AC559" s="60">
        <v>46142</v>
      </c>
    </row>
    <row r="560" spans="1:29" x14ac:dyDescent="0.25">
      <c r="A560" s="43">
        <v>1014</v>
      </c>
      <c r="B560" s="44" t="s">
        <v>167</v>
      </c>
      <c r="C560" s="45">
        <v>10140032</v>
      </c>
      <c r="D560" s="46" t="s">
        <v>920</v>
      </c>
      <c r="E560" s="47" t="s">
        <v>364</v>
      </c>
      <c r="F560" s="47" t="s">
        <v>58</v>
      </c>
      <c r="G560" s="62">
        <v>23.1</v>
      </c>
      <c r="H560" s="62">
        <v>834.99</v>
      </c>
      <c r="I560" s="49">
        <v>0</v>
      </c>
      <c r="J560" s="49">
        <v>0</v>
      </c>
      <c r="K560" s="49">
        <v>0</v>
      </c>
      <c r="L560" s="50">
        <v>0</v>
      </c>
      <c r="M560" s="51"/>
      <c r="N560" s="52" t="s">
        <v>1300</v>
      </c>
      <c r="O560" s="31"/>
      <c r="P560" s="53">
        <v>3.7146696367620054E-3</v>
      </c>
      <c r="Q560" s="54">
        <v>1</v>
      </c>
      <c r="R560" s="55">
        <v>0</v>
      </c>
      <c r="S560" s="55">
        <v>0</v>
      </c>
      <c r="T560" s="56">
        <v>0</v>
      </c>
      <c r="U560" s="57"/>
      <c r="V560" s="55">
        <v>0</v>
      </c>
      <c r="W560" s="55">
        <v>0</v>
      </c>
      <c r="X560" s="58">
        <v>0</v>
      </c>
      <c r="Y560" s="59">
        <v>0</v>
      </c>
      <c r="Z560" s="58">
        <v>0</v>
      </c>
      <c r="AA560" s="56">
        <v>0</v>
      </c>
      <c r="AB560" s="56">
        <v>0</v>
      </c>
      <c r="AC560" s="60">
        <v>46142</v>
      </c>
    </row>
    <row r="561" spans="1:29" x14ac:dyDescent="0.25">
      <c r="A561" s="43">
        <v>1014</v>
      </c>
      <c r="B561" s="44" t="s">
        <v>167</v>
      </c>
      <c r="C561" s="45">
        <v>10140033</v>
      </c>
      <c r="D561" s="46" t="s">
        <v>921</v>
      </c>
      <c r="E561" s="47" t="s">
        <v>364</v>
      </c>
      <c r="F561" s="47" t="s">
        <v>58</v>
      </c>
      <c r="G561" s="62">
        <v>172.39999999999998</v>
      </c>
      <c r="H561" s="62">
        <v>5774.93</v>
      </c>
      <c r="I561" s="49">
        <v>0</v>
      </c>
      <c r="J561" s="49">
        <v>0</v>
      </c>
      <c r="K561" s="49">
        <v>0</v>
      </c>
      <c r="L561" s="50">
        <v>0</v>
      </c>
      <c r="M561" s="51"/>
      <c r="N561" s="52" t="s">
        <v>1300</v>
      </c>
      <c r="O561" s="31"/>
      <c r="P561" s="53">
        <v>1.1384953930177423E-2</v>
      </c>
      <c r="Q561" s="54">
        <v>1</v>
      </c>
      <c r="R561" s="55">
        <v>0</v>
      </c>
      <c r="S561" s="55">
        <v>0</v>
      </c>
      <c r="T561" s="56">
        <v>0</v>
      </c>
      <c r="U561" s="57"/>
      <c r="V561" s="55">
        <v>0</v>
      </c>
      <c r="W561" s="55">
        <v>0</v>
      </c>
      <c r="X561" s="58">
        <v>0</v>
      </c>
      <c r="Y561" s="59">
        <v>0</v>
      </c>
      <c r="Z561" s="58">
        <v>0</v>
      </c>
      <c r="AA561" s="56">
        <v>0</v>
      </c>
      <c r="AB561" s="56">
        <v>0</v>
      </c>
      <c r="AC561" s="60">
        <v>46142</v>
      </c>
    </row>
    <row r="562" spans="1:29" x14ac:dyDescent="0.25">
      <c r="A562" s="43">
        <v>1014</v>
      </c>
      <c r="B562" s="44" t="s">
        <v>167</v>
      </c>
      <c r="C562" s="45">
        <v>10140034</v>
      </c>
      <c r="D562" s="46" t="s">
        <v>922</v>
      </c>
      <c r="E562" s="47" t="s">
        <v>364</v>
      </c>
      <c r="F562" s="47" t="s">
        <v>58</v>
      </c>
      <c r="G562" s="62">
        <v>374.80000000000007</v>
      </c>
      <c r="H562" s="62">
        <v>12293.55</v>
      </c>
      <c r="I562" s="49">
        <v>0</v>
      </c>
      <c r="J562" s="49">
        <v>0</v>
      </c>
      <c r="K562" s="49">
        <v>0</v>
      </c>
      <c r="L562" s="50">
        <v>0</v>
      </c>
      <c r="M562" s="51"/>
      <c r="N562" s="52" t="s">
        <v>1300</v>
      </c>
      <c r="O562" s="31"/>
      <c r="P562" s="53">
        <v>-0.20459818822746575</v>
      </c>
      <c r="Q562" s="54">
        <v>4</v>
      </c>
      <c r="R562" s="55">
        <v>0</v>
      </c>
      <c r="S562" s="55">
        <v>0</v>
      </c>
      <c r="T562" s="56">
        <v>0</v>
      </c>
      <c r="U562" s="57"/>
      <c r="V562" s="55">
        <v>0</v>
      </c>
      <c r="W562" s="55">
        <v>0</v>
      </c>
      <c r="X562" s="58">
        <v>0</v>
      </c>
      <c r="Y562" s="59">
        <v>0</v>
      </c>
      <c r="Z562" s="58">
        <v>0</v>
      </c>
      <c r="AA562" s="56">
        <v>0</v>
      </c>
      <c r="AB562" s="56">
        <v>0</v>
      </c>
      <c r="AC562" s="60">
        <v>46142</v>
      </c>
    </row>
    <row r="563" spans="1:29" x14ac:dyDescent="0.25">
      <c r="A563" s="43">
        <v>1014</v>
      </c>
      <c r="B563" s="44" t="s">
        <v>167</v>
      </c>
      <c r="C563" s="45">
        <v>10140039</v>
      </c>
      <c r="D563" s="46" t="s">
        <v>923</v>
      </c>
      <c r="E563" s="47" t="s">
        <v>364</v>
      </c>
      <c r="F563" s="47" t="s">
        <v>58</v>
      </c>
      <c r="G563" s="62">
        <v>283.2</v>
      </c>
      <c r="H563" s="62">
        <v>11079.630000000001</v>
      </c>
      <c r="I563" s="49">
        <v>0</v>
      </c>
      <c r="J563" s="49">
        <v>0</v>
      </c>
      <c r="K563" s="49">
        <v>0</v>
      </c>
      <c r="L563" s="50">
        <v>0</v>
      </c>
      <c r="M563" s="51"/>
      <c r="N563" s="52" t="s">
        <v>1300</v>
      </c>
      <c r="O563" s="31"/>
      <c r="P563" s="53">
        <v>3.6088189221057103E-2</v>
      </c>
      <c r="Q563" s="54">
        <v>13</v>
      </c>
      <c r="R563" s="55">
        <v>0</v>
      </c>
      <c r="S563" s="55">
        <v>0</v>
      </c>
      <c r="T563" s="56">
        <v>0</v>
      </c>
      <c r="U563" s="57"/>
      <c r="V563" s="55">
        <v>0</v>
      </c>
      <c r="W563" s="55">
        <v>0</v>
      </c>
      <c r="X563" s="58">
        <v>0</v>
      </c>
      <c r="Y563" s="59">
        <v>0</v>
      </c>
      <c r="Z563" s="58">
        <v>0</v>
      </c>
      <c r="AA563" s="56">
        <v>0</v>
      </c>
      <c r="AB563" s="56">
        <v>0</v>
      </c>
      <c r="AC563" s="60">
        <v>46142</v>
      </c>
    </row>
    <row r="564" spans="1:29" x14ac:dyDescent="0.25">
      <c r="A564" s="43">
        <v>1014</v>
      </c>
      <c r="B564" s="44" t="s">
        <v>167</v>
      </c>
      <c r="C564" s="45">
        <v>10140043</v>
      </c>
      <c r="D564" s="46" t="s">
        <v>924</v>
      </c>
      <c r="E564" s="47" t="s">
        <v>364</v>
      </c>
      <c r="F564" s="47" t="s">
        <v>58</v>
      </c>
      <c r="G564" s="62">
        <v>290.8</v>
      </c>
      <c r="H564" s="62">
        <v>9678.57</v>
      </c>
      <c r="I564" s="49">
        <v>0</v>
      </c>
      <c r="J564" s="49">
        <v>0</v>
      </c>
      <c r="K564" s="49">
        <v>0</v>
      </c>
      <c r="L564" s="50">
        <v>0</v>
      </c>
      <c r="M564" s="51"/>
      <c r="N564" s="52" t="s">
        <v>1300</v>
      </c>
      <c r="O564" s="31"/>
      <c r="P564" s="53">
        <v>4.3668451021170642E-3</v>
      </c>
      <c r="Q564" s="54">
        <v>2</v>
      </c>
      <c r="R564" s="55">
        <v>0</v>
      </c>
      <c r="S564" s="55">
        <v>0</v>
      </c>
      <c r="T564" s="56">
        <v>0</v>
      </c>
      <c r="U564" s="57"/>
      <c r="V564" s="55">
        <v>0</v>
      </c>
      <c r="W564" s="55">
        <v>0</v>
      </c>
      <c r="X564" s="58">
        <v>0</v>
      </c>
      <c r="Y564" s="59">
        <v>0</v>
      </c>
      <c r="Z564" s="58">
        <v>0</v>
      </c>
      <c r="AA564" s="56">
        <v>0</v>
      </c>
      <c r="AB564" s="56">
        <v>0</v>
      </c>
      <c r="AC564" s="60">
        <v>46142</v>
      </c>
    </row>
    <row r="565" spans="1:29" x14ac:dyDescent="0.25">
      <c r="A565" s="43">
        <v>1014</v>
      </c>
      <c r="B565" s="44" t="s">
        <v>167</v>
      </c>
      <c r="C565" s="45">
        <v>10140045</v>
      </c>
      <c r="D565" s="46" t="s">
        <v>925</v>
      </c>
      <c r="E565" s="47" t="s">
        <v>364</v>
      </c>
      <c r="F565" s="47" t="s">
        <v>58</v>
      </c>
      <c r="G565" s="62">
        <v>201.99999999999997</v>
      </c>
      <c r="H565" s="62">
        <v>7192.3099999999995</v>
      </c>
      <c r="I565" s="49">
        <v>0</v>
      </c>
      <c r="J565" s="49">
        <v>0</v>
      </c>
      <c r="K565" s="49">
        <v>0</v>
      </c>
      <c r="L565" s="50">
        <v>0</v>
      </c>
      <c r="M565" s="51"/>
      <c r="N565" s="52" t="s">
        <v>1300</v>
      </c>
      <c r="O565" s="31"/>
      <c r="P565" s="53">
        <v>6.4158369147045242E-3</v>
      </c>
      <c r="Q565" s="54">
        <v>1</v>
      </c>
      <c r="R565" s="55">
        <v>0</v>
      </c>
      <c r="S565" s="55">
        <v>0</v>
      </c>
      <c r="T565" s="56">
        <v>0</v>
      </c>
      <c r="U565" s="57"/>
      <c r="V565" s="55">
        <v>0</v>
      </c>
      <c r="W565" s="55">
        <v>0</v>
      </c>
      <c r="X565" s="58">
        <v>0</v>
      </c>
      <c r="Y565" s="59">
        <v>0</v>
      </c>
      <c r="Z565" s="58">
        <v>0</v>
      </c>
      <c r="AA565" s="56">
        <v>0</v>
      </c>
      <c r="AB565" s="56">
        <v>0</v>
      </c>
      <c r="AC565" s="60">
        <v>46142</v>
      </c>
    </row>
    <row r="566" spans="1:29" x14ac:dyDescent="0.25">
      <c r="A566" s="43">
        <v>1014</v>
      </c>
      <c r="B566" s="44" t="s">
        <v>167</v>
      </c>
      <c r="C566" s="45">
        <v>10140047</v>
      </c>
      <c r="D566" s="46" t="s">
        <v>926</v>
      </c>
      <c r="E566" s="47" t="s">
        <v>364</v>
      </c>
      <c r="F566" s="47" t="s">
        <v>58</v>
      </c>
      <c r="G566" s="62">
        <v>84.7</v>
      </c>
      <c r="H566" s="62">
        <v>3762.33</v>
      </c>
      <c r="I566" s="49">
        <v>0</v>
      </c>
      <c r="J566" s="49">
        <v>0</v>
      </c>
      <c r="K566" s="49">
        <v>0</v>
      </c>
      <c r="L566" s="50">
        <v>0</v>
      </c>
      <c r="M566" s="51"/>
      <c r="N566" s="52" t="s">
        <v>1300</v>
      </c>
      <c r="O566" s="31"/>
      <c r="P566" s="53">
        <v>-0.1233825214146925</v>
      </c>
      <c r="Q566" s="54">
        <v>3</v>
      </c>
      <c r="R566" s="55">
        <v>0</v>
      </c>
      <c r="S566" s="55">
        <v>0</v>
      </c>
      <c r="T566" s="56">
        <v>0</v>
      </c>
      <c r="U566" s="57"/>
      <c r="V566" s="55">
        <v>0</v>
      </c>
      <c r="W566" s="55">
        <v>0</v>
      </c>
      <c r="X566" s="58">
        <v>0</v>
      </c>
      <c r="Y566" s="59">
        <v>0</v>
      </c>
      <c r="Z566" s="58">
        <v>0</v>
      </c>
      <c r="AA566" s="56">
        <v>0</v>
      </c>
      <c r="AB566" s="56">
        <v>0</v>
      </c>
      <c r="AC566" s="60">
        <v>46142</v>
      </c>
    </row>
    <row r="567" spans="1:29" x14ac:dyDescent="0.25">
      <c r="A567" s="43">
        <v>1014</v>
      </c>
      <c r="B567" s="44" t="s">
        <v>167</v>
      </c>
      <c r="C567" s="45">
        <v>10140054</v>
      </c>
      <c r="D567" s="46" t="s">
        <v>927</v>
      </c>
      <c r="E567" s="47" t="s">
        <v>364</v>
      </c>
      <c r="F567" s="47" t="s">
        <v>58</v>
      </c>
      <c r="G567" s="62">
        <v>506.5</v>
      </c>
      <c r="H567" s="62">
        <v>19919.169999999998</v>
      </c>
      <c r="I567" s="49">
        <v>0</v>
      </c>
      <c r="J567" s="49">
        <v>0</v>
      </c>
      <c r="K567" s="49">
        <v>0</v>
      </c>
      <c r="L567" s="50">
        <v>0</v>
      </c>
      <c r="M567" s="51"/>
      <c r="N567" s="52" t="s">
        <v>1300</v>
      </c>
      <c r="O567" s="31"/>
      <c r="P567" s="53">
        <v>-1.5305157349233942E-2</v>
      </c>
      <c r="Q567" s="54">
        <v>8</v>
      </c>
      <c r="R567" s="55">
        <v>0</v>
      </c>
      <c r="S567" s="55">
        <v>0</v>
      </c>
      <c r="T567" s="56">
        <v>0</v>
      </c>
      <c r="U567" s="57"/>
      <c r="V567" s="55">
        <v>0</v>
      </c>
      <c r="W567" s="55">
        <v>0</v>
      </c>
      <c r="X567" s="58">
        <v>0</v>
      </c>
      <c r="Y567" s="59">
        <v>0</v>
      </c>
      <c r="Z567" s="58">
        <v>0</v>
      </c>
      <c r="AA567" s="56">
        <v>0</v>
      </c>
      <c r="AB567" s="56">
        <v>0</v>
      </c>
      <c r="AC567" s="60">
        <v>46142</v>
      </c>
    </row>
    <row r="568" spans="1:29" x14ac:dyDescent="0.25">
      <c r="A568" s="43">
        <v>1014</v>
      </c>
      <c r="B568" s="44" t="s">
        <v>167</v>
      </c>
      <c r="C568" s="45">
        <v>10140055</v>
      </c>
      <c r="D568" s="46" t="s">
        <v>928</v>
      </c>
      <c r="E568" s="47" t="s">
        <v>364</v>
      </c>
      <c r="F568" s="47" t="s">
        <v>58</v>
      </c>
      <c r="G568" s="62">
        <v>365.8</v>
      </c>
      <c r="H568" s="62">
        <v>13758.280000000002</v>
      </c>
      <c r="I568" s="49">
        <v>0</v>
      </c>
      <c r="J568" s="49">
        <v>0</v>
      </c>
      <c r="K568" s="49">
        <v>0</v>
      </c>
      <c r="L568" s="50">
        <v>0</v>
      </c>
      <c r="M568" s="51"/>
      <c r="N568" s="52" t="s">
        <v>1300</v>
      </c>
      <c r="O568" s="31"/>
      <c r="P568" s="53">
        <v>2.7093387836271327E-3</v>
      </c>
      <c r="Q568" s="54">
        <v>1</v>
      </c>
      <c r="R568" s="55">
        <v>0</v>
      </c>
      <c r="S568" s="55">
        <v>0</v>
      </c>
      <c r="T568" s="56">
        <v>0</v>
      </c>
      <c r="U568" s="57"/>
      <c r="V568" s="55">
        <v>0</v>
      </c>
      <c r="W568" s="55">
        <v>0</v>
      </c>
      <c r="X568" s="58">
        <v>0</v>
      </c>
      <c r="Y568" s="59">
        <v>0</v>
      </c>
      <c r="Z568" s="58">
        <v>0</v>
      </c>
      <c r="AA568" s="56">
        <v>0</v>
      </c>
      <c r="AB568" s="56">
        <v>0</v>
      </c>
      <c r="AC568" s="60">
        <v>46142</v>
      </c>
    </row>
    <row r="569" spans="1:29" x14ac:dyDescent="0.25">
      <c r="A569" s="43">
        <v>1014</v>
      </c>
      <c r="B569" s="44" t="s">
        <v>167</v>
      </c>
      <c r="C569" s="45">
        <v>10140066</v>
      </c>
      <c r="D569" s="46" t="s">
        <v>929</v>
      </c>
      <c r="E569" s="47" t="s">
        <v>364</v>
      </c>
      <c r="F569" s="47" t="s">
        <v>58</v>
      </c>
      <c r="G569" s="62">
        <v>121.60000000000001</v>
      </c>
      <c r="H569" s="62">
        <v>5438.79</v>
      </c>
      <c r="I569" s="49">
        <v>0</v>
      </c>
      <c r="J569" s="49">
        <v>0</v>
      </c>
      <c r="K569" s="49">
        <v>0</v>
      </c>
      <c r="L569" s="50">
        <v>0</v>
      </c>
      <c r="M569" s="51"/>
      <c r="N569" s="52" t="s">
        <v>1300</v>
      </c>
      <c r="O569" s="31"/>
      <c r="P569" s="53">
        <v>-0.34962718538687465</v>
      </c>
      <c r="Q569" s="54">
        <v>3</v>
      </c>
      <c r="R569" s="55">
        <v>0</v>
      </c>
      <c r="S569" s="55">
        <v>0</v>
      </c>
      <c r="T569" s="56">
        <v>0</v>
      </c>
      <c r="U569" s="57"/>
      <c r="V569" s="55">
        <v>0</v>
      </c>
      <c r="W569" s="55">
        <v>0</v>
      </c>
      <c r="X569" s="58">
        <v>0</v>
      </c>
      <c r="Y569" s="59">
        <v>0</v>
      </c>
      <c r="Z569" s="58">
        <v>0</v>
      </c>
      <c r="AA569" s="56">
        <v>0</v>
      </c>
      <c r="AB569" s="56">
        <v>0</v>
      </c>
      <c r="AC569" s="60">
        <v>46142</v>
      </c>
    </row>
    <row r="570" spans="1:29" x14ac:dyDescent="0.25">
      <c r="A570" s="43">
        <v>1014</v>
      </c>
      <c r="B570" s="44" t="s">
        <v>167</v>
      </c>
      <c r="C570" s="45">
        <v>10140068</v>
      </c>
      <c r="D570" s="46" t="s">
        <v>930</v>
      </c>
      <c r="E570" s="47" t="s">
        <v>364</v>
      </c>
      <c r="F570" s="47" t="s">
        <v>58</v>
      </c>
      <c r="G570" s="62">
        <v>212.79999999999998</v>
      </c>
      <c r="H570" s="62">
        <v>8228.4499999999989</v>
      </c>
      <c r="I570" s="49">
        <v>0</v>
      </c>
      <c r="J570" s="49">
        <v>0</v>
      </c>
      <c r="K570" s="49">
        <v>0</v>
      </c>
      <c r="L570" s="50">
        <v>0</v>
      </c>
      <c r="M570" s="51"/>
      <c r="N570" s="52" t="s">
        <v>1300</v>
      </c>
      <c r="O570" s="31"/>
      <c r="P570" s="53">
        <v>-4.1515250024938312E-2</v>
      </c>
      <c r="Q570" s="54">
        <v>3</v>
      </c>
      <c r="R570" s="55">
        <v>0</v>
      </c>
      <c r="S570" s="55">
        <v>0</v>
      </c>
      <c r="T570" s="56">
        <v>0</v>
      </c>
      <c r="U570" s="57"/>
      <c r="V570" s="55">
        <v>0</v>
      </c>
      <c r="W570" s="55">
        <v>0</v>
      </c>
      <c r="X570" s="58">
        <v>0</v>
      </c>
      <c r="Y570" s="59">
        <v>0</v>
      </c>
      <c r="Z570" s="58">
        <v>0</v>
      </c>
      <c r="AA570" s="56">
        <v>0</v>
      </c>
      <c r="AB570" s="56">
        <v>0</v>
      </c>
      <c r="AC570" s="60">
        <v>46142</v>
      </c>
    </row>
    <row r="571" spans="1:29" x14ac:dyDescent="0.25">
      <c r="A571" s="43">
        <v>1014</v>
      </c>
      <c r="B571" s="44" t="s">
        <v>167</v>
      </c>
      <c r="C571" s="45">
        <v>10140069</v>
      </c>
      <c r="D571" s="46" t="s">
        <v>733</v>
      </c>
      <c r="E571" s="47" t="s">
        <v>364</v>
      </c>
      <c r="F571" s="47" t="s">
        <v>58</v>
      </c>
      <c r="G571" s="62">
        <v>452.40000000000003</v>
      </c>
      <c r="H571" s="62">
        <v>16865.640000000003</v>
      </c>
      <c r="I571" s="49">
        <v>0</v>
      </c>
      <c r="J571" s="49">
        <v>0</v>
      </c>
      <c r="K571" s="49">
        <v>0</v>
      </c>
      <c r="L571" s="50" t="s">
        <v>366</v>
      </c>
      <c r="M571" s="51" t="s">
        <v>367</v>
      </c>
      <c r="N571" s="52" t="s">
        <v>1300</v>
      </c>
      <c r="O571" s="31"/>
      <c r="P571" s="53">
        <v>-1.9241140508150217E-4</v>
      </c>
      <c r="Q571" s="54">
        <v>4</v>
      </c>
      <c r="R571" s="55">
        <v>0</v>
      </c>
      <c r="S571" s="55">
        <v>0</v>
      </c>
      <c r="T571" s="56">
        <v>0</v>
      </c>
      <c r="U571" s="57"/>
      <c r="V571" s="55">
        <v>0</v>
      </c>
      <c r="W571" s="55">
        <v>0</v>
      </c>
      <c r="X571" s="58">
        <v>0</v>
      </c>
      <c r="Y571" s="59">
        <v>0</v>
      </c>
      <c r="Z571" s="58">
        <v>0</v>
      </c>
      <c r="AA571" s="56">
        <v>0</v>
      </c>
      <c r="AB571" s="56">
        <v>0</v>
      </c>
      <c r="AC571" s="60">
        <v>46142</v>
      </c>
    </row>
    <row r="572" spans="1:29" x14ac:dyDescent="0.25">
      <c r="A572" s="43">
        <v>1014</v>
      </c>
      <c r="B572" s="44" t="s">
        <v>167</v>
      </c>
      <c r="C572" s="45">
        <v>10140071</v>
      </c>
      <c r="D572" s="46" t="s">
        <v>931</v>
      </c>
      <c r="E572" s="47" t="s">
        <v>371</v>
      </c>
      <c r="F572" s="47" t="s">
        <v>59</v>
      </c>
      <c r="G572" s="62">
        <v>926.09999999999991</v>
      </c>
      <c r="H572" s="62">
        <v>30685.489999999998</v>
      </c>
      <c r="I572" s="49">
        <v>0</v>
      </c>
      <c r="J572" s="49">
        <v>0</v>
      </c>
      <c r="K572" s="49">
        <v>0</v>
      </c>
      <c r="L572" s="50">
        <v>0</v>
      </c>
      <c r="M572" s="51"/>
      <c r="N572" s="52" t="s">
        <v>1300</v>
      </c>
      <c r="O572" s="31"/>
      <c r="P572" s="53">
        <v>0</v>
      </c>
      <c r="Q572" s="54">
        <v>0</v>
      </c>
      <c r="R572" s="55">
        <v>0</v>
      </c>
      <c r="S572" s="55">
        <v>0</v>
      </c>
      <c r="T572" s="56">
        <v>0</v>
      </c>
      <c r="U572" s="57"/>
      <c r="V572" s="55">
        <v>0</v>
      </c>
      <c r="W572" s="55">
        <v>0</v>
      </c>
      <c r="X572" s="58">
        <v>0</v>
      </c>
      <c r="Y572" s="59">
        <v>0</v>
      </c>
      <c r="Z572" s="58">
        <v>0</v>
      </c>
      <c r="AA572" s="56">
        <v>0</v>
      </c>
      <c r="AB572" s="56">
        <v>0</v>
      </c>
      <c r="AC572" s="60">
        <v>46142</v>
      </c>
    </row>
    <row r="573" spans="1:29" x14ac:dyDescent="0.25">
      <c r="A573" s="43">
        <v>1014</v>
      </c>
      <c r="B573" s="44" t="s">
        <v>167</v>
      </c>
      <c r="C573" s="45">
        <v>10140083</v>
      </c>
      <c r="D573" s="46" t="s">
        <v>932</v>
      </c>
      <c r="E573" s="47" t="s">
        <v>364</v>
      </c>
      <c r="F573" s="47" t="s">
        <v>58</v>
      </c>
      <c r="G573" s="62">
        <v>245.4</v>
      </c>
      <c r="H573" s="62">
        <v>10590.100000000002</v>
      </c>
      <c r="I573" s="49">
        <v>0</v>
      </c>
      <c r="J573" s="49">
        <v>0</v>
      </c>
      <c r="K573" s="49">
        <v>0</v>
      </c>
      <c r="L573" s="50">
        <v>0</v>
      </c>
      <c r="M573" s="51"/>
      <c r="N573" s="52" t="s">
        <v>1300</v>
      </c>
      <c r="O573" s="31"/>
      <c r="P573" s="53">
        <v>-0.1307496517562721</v>
      </c>
      <c r="Q573" s="54">
        <v>5</v>
      </c>
      <c r="R573" s="55">
        <v>0</v>
      </c>
      <c r="S573" s="55">
        <v>0</v>
      </c>
      <c r="T573" s="56">
        <v>0</v>
      </c>
      <c r="U573" s="57"/>
      <c r="V573" s="55">
        <v>0</v>
      </c>
      <c r="W573" s="55">
        <v>0</v>
      </c>
      <c r="X573" s="58">
        <v>0</v>
      </c>
      <c r="Y573" s="59">
        <v>0</v>
      </c>
      <c r="Z573" s="58">
        <v>0</v>
      </c>
      <c r="AA573" s="56">
        <v>0</v>
      </c>
      <c r="AB573" s="56">
        <v>0</v>
      </c>
      <c r="AC573" s="60">
        <v>46142</v>
      </c>
    </row>
    <row r="574" spans="1:29" x14ac:dyDescent="0.25">
      <c r="A574" s="43">
        <v>1014</v>
      </c>
      <c r="B574" s="44" t="s">
        <v>167</v>
      </c>
      <c r="C574" s="45">
        <v>10140087</v>
      </c>
      <c r="D574" s="46" t="s">
        <v>933</v>
      </c>
      <c r="E574" s="47" t="s">
        <v>364</v>
      </c>
      <c r="F574" s="47" t="s">
        <v>58</v>
      </c>
      <c r="G574" s="62">
        <v>247.10000000000002</v>
      </c>
      <c r="H574" s="62">
        <v>9485.4200000000019</v>
      </c>
      <c r="I574" s="49">
        <v>0</v>
      </c>
      <c r="J574" s="49">
        <v>0</v>
      </c>
      <c r="K574" s="49">
        <v>0</v>
      </c>
      <c r="L574" s="50">
        <v>0</v>
      </c>
      <c r="M574" s="51"/>
      <c r="N574" s="52" t="s">
        <v>1300</v>
      </c>
      <c r="O574" s="31"/>
      <c r="P574" s="53">
        <v>8.8307624295571527E-3</v>
      </c>
      <c r="Q574" s="54">
        <v>6</v>
      </c>
      <c r="R574" s="55">
        <v>0</v>
      </c>
      <c r="S574" s="55">
        <v>0</v>
      </c>
      <c r="T574" s="56">
        <v>0</v>
      </c>
      <c r="U574" s="57"/>
      <c r="V574" s="55">
        <v>0</v>
      </c>
      <c r="W574" s="55">
        <v>0</v>
      </c>
      <c r="X574" s="58">
        <v>0</v>
      </c>
      <c r="Y574" s="59">
        <v>0</v>
      </c>
      <c r="Z574" s="58">
        <v>0</v>
      </c>
      <c r="AA574" s="56">
        <v>0</v>
      </c>
      <c r="AB574" s="56">
        <v>0</v>
      </c>
      <c r="AC574" s="60">
        <v>46142</v>
      </c>
    </row>
    <row r="575" spans="1:29" x14ac:dyDescent="0.25">
      <c r="A575" s="43">
        <v>1014</v>
      </c>
      <c r="B575" s="44" t="s">
        <v>167</v>
      </c>
      <c r="C575" s="45">
        <v>10140095</v>
      </c>
      <c r="D575" s="46" t="s">
        <v>934</v>
      </c>
      <c r="E575" s="47" t="s">
        <v>364</v>
      </c>
      <c r="F575" s="47" t="s">
        <v>58</v>
      </c>
      <c r="G575" s="62">
        <v>22.1</v>
      </c>
      <c r="H575" s="62">
        <v>783.72</v>
      </c>
      <c r="I575" s="49">
        <v>0</v>
      </c>
      <c r="J575" s="49">
        <v>0</v>
      </c>
      <c r="K575" s="49">
        <v>0</v>
      </c>
      <c r="L575" s="50" t="s">
        <v>366</v>
      </c>
      <c r="M575" s="51" t="s">
        <v>367</v>
      </c>
      <c r="N575" s="52" t="s">
        <v>1300</v>
      </c>
      <c r="O575" s="31"/>
      <c r="P575" s="53">
        <v>-1.2460378388286635</v>
      </c>
      <c r="Q575" s="54">
        <v>2</v>
      </c>
      <c r="R575" s="55">
        <v>0</v>
      </c>
      <c r="S575" s="55">
        <v>0</v>
      </c>
      <c r="T575" s="56">
        <v>0</v>
      </c>
      <c r="U575" s="57"/>
      <c r="V575" s="55">
        <v>0</v>
      </c>
      <c r="W575" s="55">
        <v>0</v>
      </c>
      <c r="X575" s="58">
        <v>0</v>
      </c>
      <c r="Y575" s="59">
        <v>0</v>
      </c>
      <c r="Z575" s="58">
        <v>0</v>
      </c>
      <c r="AA575" s="56">
        <v>0</v>
      </c>
      <c r="AB575" s="56">
        <v>0</v>
      </c>
      <c r="AC575" s="60">
        <v>46142</v>
      </c>
    </row>
    <row r="576" spans="1:29" x14ac:dyDescent="0.25">
      <c r="A576" s="43">
        <v>1014</v>
      </c>
      <c r="B576" s="44" t="s">
        <v>167</v>
      </c>
      <c r="C576" s="45">
        <v>10140098</v>
      </c>
      <c r="D576" s="46" t="s">
        <v>935</v>
      </c>
      <c r="E576" s="47" t="s">
        <v>364</v>
      </c>
      <c r="F576" s="47" t="s">
        <v>58</v>
      </c>
      <c r="G576" s="62">
        <v>1507.3</v>
      </c>
      <c r="H576" s="62">
        <v>58421.740000000005</v>
      </c>
      <c r="I576" s="49">
        <v>0</v>
      </c>
      <c r="J576" s="49">
        <v>15818</v>
      </c>
      <c r="K576" s="49">
        <v>0</v>
      </c>
      <c r="L576" s="50">
        <v>0</v>
      </c>
      <c r="M576" s="51"/>
      <c r="N576" s="52" t="s">
        <v>1300</v>
      </c>
      <c r="O576" s="31"/>
      <c r="P576" s="53">
        <v>1.118892751381748E-4</v>
      </c>
      <c r="Q576" s="54">
        <v>6</v>
      </c>
      <c r="R576" s="55">
        <v>0</v>
      </c>
      <c r="S576" s="55">
        <v>0</v>
      </c>
      <c r="T576" s="56">
        <v>0</v>
      </c>
      <c r="U576" s="57"/>
      <c r="V576" s="55">
        <v>0</v>
      </c>
      <c r="W576" s="55">
        <v>0</v>
      </c>
      <c r="X576" s="58">
        <v>0</v>
      </c>
      <c r="Y576" s="59">
        <v>0</v>
      </c>
      <c r="Z576" s="58">
        <v>0</v>
      </c>
      <c r="AA576" s="56">
        <v>0</v>
      </c>
      <c r="AB576" s="56">
        <v>0</v>
      </c>
      <c r="AC576" s="60">
        <v>46142</v>
      </c>
    </row>
    <row r="577" spans="1:29" x14ac:dyDescent="0.25">
      <c r="A577" s="43">
        <v>1014</v>
      </c>
      <c r="B577" s="44" t="s">
        <v>167</v>
      </c>
      <c r="C577" s="45">
        <v>10140099</v>
      </c>
      <c r="D577" s="46" t="s">
        <v>936</v>
      </c>
      <c r="E577" s="47" t="s">
        <v>364</v>
      </c>
      <c r="F577" s="47" t="s">
        <v>58</v>
      </c>
      <c r="G577" s="62">
        <v>202.2</v>
      </c>
      <c r="H577" s="62">
        <v>7110.12</v>
      </c>
      <c r="I577" s="49">
        <v>0</v>
      </c>
      <c r="J577" s="49">
        <v>0</v>
      </c>
      <c r="K577" s="49">
        <v>0</v>
      </c>
      <c r="L577" s="50" t="s">
        <v>366</v>
      </c>
      <c r="M577" s="51" t="s">
        <v>367</v>
      </c>
      <c r="N577" s="52" t="s">
        <v>1300</v>
      </c>
      <c r="O577" s="31"/>
      <c r="P577" s="53">
        <v>-0.50311470771666333</v>
      </c>
      <c r="Q577" s="54">
        <v>9</v>
      </c>
      <c r="R577" s="55">
        <v>0</v>
      </c>
      <c r="S577" s="55">
        <v>0</v>
      </c>
      <c r="T577" s="56">
        <v>0</v>
      </c>
      <c r="U577" s="57"/>
      <c r="V577" s="55">
        <v>0</v>
      </c>
      <c r="W577" s="55">
        <v>0</v>
      </c>
      <c r="X577" s="58">
        <v>0</v>
      </c>
      <c r="Y577" s="59">
        <v>0</v>
      </c>
      <c r="Z577" s="58">
        <v>0</v>
      </c>
      <c r="AA577" s="56">
        <v>0</v>
      </c>
      <c r="AB577" s="56">
        <v>0</v>
      </c>
      <c r="AC577" s="60">
        <v>46142</v>
      </c>
    </row>
    <row r="578" spans="1:29" x14ac:dyDescent="0.25">
      <c r="A578" s="43">
        <v>1014</v>
      </c>
      <c r="B578" s="44" t="s">
        <v>167</v>
      </c>
      <c r="C578" s="45">
        <v>10140109</v>
      </c>
      <c r="D578" s="46" t="s">
        <v>937</v>
      </c>
      <c r="E578" s="47" t="s">
        <v>371</v>
      </c>
      <c r="F578" s="47" t="s">
        <v>59</v>
      </c>
      <c r="G578" s="62">
        <v>60.2</v>
      </c>
      <c r="H578" s="62">
        <v>2173.25</v>
      </c>
      <c r="I578" s="49">
        <v>0</v>
      </c>
      <c r="J578" s="49">
        <v>0</v>
      </c>
      <c r="K578" s="49">
        <v>0</v>
      </c>
      <c r="L578" s="50">
        <v>0</v>
      </c>
      <c r="M578" s="51"/>
      <c r="N578" s="52" t="s">
        <v>1300</v>
      </c>
      <c r="O578" s="31"/>
      <c r="P578" s="53">
        <v>0</v>
      </c>
      <c r="Q578" s="54">
        <v>0</v>
      </c>
      <c r="R578" s="55">
        <v>0</v>
      </c>
      <c r="S578" s="55">
        <v>0</v>
      </c>
      <c r="T578" s="56">
        <v>0</v>
      </c>
      <c r="U578" s="57"/>
      <c r="V578" s="55">
        <v>0</v>
      </c>
      <c r="W578" s="55">
        <v>0</v>
      </c>
      <c r="X578" s="58">
        <v>0</v>
      </c>
      <c r="Y578" s="59">
        <v>0</v>
      </c>
      <c r="Z578" s="58">
        <v>0</v>
      </c>
      <c r="AA578" s="56">
        <v>0</v>
      </c>
      <c r="AB578" s="56">
        <v>0</v>
      </c>
      <c r="AC578" s="60">
        <v>46142</v>
      </c>
    </row>
    <row r="579" spans="1:29" x14ac:dyDescent="0.25">
      <c r="A579" s="43">
        <v>1014</v>
      </c>
      <c r="B579" s="44" t="s">
        <v>167</v>
      </c>
      <c r="C579" s="45">
        <v>10140120</v>
      </c>
      <c r="D579" s="46" t="s">
        <v>938</v>
      </c>
      <c r="E579" s="47" t="s">
        <v>364</v>
      </c>
      <c r="F579" s="47" t="s">
        <v>58</v>
      </c>
      <c r="G579" s="62">
        <v>370.6</v>
      </c>
      <c r="H579" s="62">
        <v>14400.06</v>
      </c>
      <c r="I579" s="49">
        <v>0</v>
      </c>
      <c r="J579" s="49">
        <v>0</v>
      </c>
      <c r="K579" s="49">
        <v>0</v>
      </c>
      <c r="L579" s="50">
        <v>0</v>
      </c>
      <c r="M579" s="51"/>
      <c r="N579" s="52" t="s">
        <v>1300</v>
      </c>
      <c r="O579" s="31"/>
      <c r="P579" s="53">
        <v>1.0343866817208229E-4</v>
      </c>
      <c r="Q579" s="54">
        <v>3</v>
      </c>
      <c r="R579" s="55">
        <v>0</v>
      </c>
      <c r="S579" s="55">
        <v>0</v>
      </c>
      <c r="T579" s="56">
        <v>0</v>
      </c>
      <c r="U579" s="57"/>
      <c r="V579" s="55">
        <v>0</v>
      </c>
      <c r="W579" s="55">
        <v>0</v>
      </c>
      <c r="X579" s="58">
        <v>0</v>
      </c>
      <c r="Y579" s="59">
        <v>0</v>
      </c>
      <c r="Z579" s="58">
        <v>0</v>
      </c>
      <c r="AA579" s="56">
        <v>0</v>
      </c>
      <c r="AB579" s="56">
        <v>0</v>
      </c>
      <c r="AC579" s="60">
        <v>46142</v>
      </c>
    </row>
    <row r="580" spans="1:29" x14ac:dyDescent="0.25">
      <c r="A580" s="43">
        <v>1014</v>
      </c>
      <c r="B580" s="44" t="s">
        <v>167</v>
      </c>
      <c r="C580" s="45">
        <v>10140126</v>
      </c>
      <c r="D580" s="46" t="s">
        <v>939</v>
      </c>
      <c r="E580" s="47" t="s">
        <v>364</v>
      </c>
      <c r="F580" s="47" t="s">
        <v>58</v>
      </c>
      <c r="G580" s="62">
        <v>130.69999999999999</v>
      </c>
      <c r="H580" s="62">
        <v>4734.97</v>
      </c>
      <c r="I580" s="49">
        <v>0</v>
      </c>
      <c r="J580" s="49">
        <v>0</v>
      </c>
      <c r="K580" s="49">
        <v>0</v>
      </c>
      <c r="L580" s="50" t="s">
        <v>366</v>
      </c>
      <c r="M580" s="51" t="s">
        <v>367</v>
      </c>
      <c r="N580" s="52" t="s">
        <v>1300</v>
      </c>
      <c r="O580" s="31"/>
      <c r="P580" s="53">
        <v>-0.10142883158341857</v>
      </c>
      <c r="Q580" s="54">
        <v>7</v>
      </c>
      <c r="R580" s="55">
        <v>0</v>
      </c>
      <c r="S580" s="55">
        <v>0</v>
      </c>
      <c r="T580" s="56">
        <v>0</v>
      </c>
      <c r="U580" s="57"/>
      <c r="V580" s="55">
        <v>0</v>
      </c>
      <c r="W580" s="55">
        <v>0</v>
      </c>
      <c r="X580" s="58">
        <v>0</v>
      </c>
      <c r="Y580" s="59">
        <v>0</v>
      </c>
      <c r="Z580" s="58">
        <v>0</v>
      </c>
      <c r="AA580" s="56">
        <v>0</v>
      </c>
      <c r="AB580" s="56">
        <v>0</v>
      </c>
      <c r="AC580" s="60">
        <v>46142</v>
      </c>
    </row>
    <row r="581" spans="1:29" x14ac:dyDescent="0.25">
      <c r="A581" s="43">
        <v>1014</v>
      </c>
      <c r="B581" s="44" t="s">
        <v>167</v>
      </c>
      <c r="C581" s="45">
        <v>10140129</v>
      </c>
      <c r="D581" s="46" t="s">
        <v>940</v>
      </c>
      <c r="E581" s="47" t="s">
        <v>364</v>
      </c>
      <c r="F581" s="47" t="s">
        <v>58</v>
      </c>
      <c r="G581" s="62">
        <v>158.49999999999997</v>
      </c>
      <c r="H581" s="62">
        <v>5492.1100000000006</v>
      </c>
      <c r="I581" s="49">
        <v>0</v>
      </c>
      <c r="J581" s="49">
        <v>0</v>
      </c>
      <c r="K581" s="49">
        <v>0</v>
      </c>
      <c r="L581" s="50">
        <v>0</v>
      </c>
      <c r="M581" s="51"/>
      <c r="N581" s="52" t="s">
        <v>1300</v>
      </c>
      <c r="O581" s="31"/>
      <c r="P581" s="53">
        <v>1.889733453991261E-3</v>
      </c>
      <c r="Q581" s="54">
        <v>1</v>
      </c>
      <c r="R581" s="55">
        <v>0</v>
      </c>
      <c r="S581" s="55">
        <v>0</v>
      </c>
      <c r="T581" s="56">
        <v>0</v>
      </c>
      <c r="U581" s="57"/>
      <c r="V581" s="55">
        <v>0</v>
      </c>
      <c r="W581" s="55">
        <v>0</v>
      </c>
      <c r="X581" s="58">
        <v>0</v>
      </c>
      <c r="Y581" s="59">
        <v>0</v>
      </c>
      <c r="Z581" s="58">
        <v>0</v>
      </c>
      <c r="AA581" s="56">
        <v>0</v>
      </c>
      <c r="AB581" s="56">
        <v>0</v>
      </c>
      <c r="AC581" s="60">
        <v>46142</v>
      </c>
    </row>
    <row r="582" spans="1:29" x14ac:dyDescent="0.25">
      <c r="A582" s="43">
        <v>1014</v>
      </c>
      <c r="B582" s="44" t="s">
        <v>167</v>
      </c>
      <c r="C582" s="45">
        <v>10140131</v>
      </c>
      <c r="D582" s="46" t="s">
        <v>941</v>
      </c>
      <c r="E582" s="47" t="s">
        <v>364</v>
      </c>
      <c r="F582" s="47" t="s">
        <v>58</v>
      </c>
      <c r="G582" s="62">
        <v>239.1</v>
      </c>
      <c r="H582" s="62">
        <v>8392.7099999999991</v>
      </c>
      <c r="I582" s="49">
        <v>0</v>
      </c>
      <c r="J582" s="49">
        <v>0</v>
      </c>
      <c r="K582" s="49">
        <v>0</v>
      </c>
      <c r="L582" s="50">
        <v>0</v>
      </c>
      <c r="M582" s="51"/>
      <c r="N582" s="52" t="s">
        <v>1300</v>
      </c>
      <c r="O582" s="31"/>
      <c r="P582" s="53">
        <v>-1.6772231629593144E-2</v>
      </c>
      <c r="Q582" s="54">
        <v>1</v>
      </c>
      <c r="R582" s="55">
        <v>0</v>
      </c>
      <c r="S582" s="55">
        <v>0</v>
      </c>
      <c r="T582" s="56">
        <v>0</v>
      </c>
      <c r="U582" s="57"/>
      <c r="V582" s="55">
        <v>0</v>
      </c>
      <c r="W582" s="55">
        <v>0</v>
      </c>
      <c r="X582" s="58">
        <v>0</v>
      </c>
      <c r="Y582" s="59">
        <v>0</v>
      </c>
      <c r="Z582" s="58">
        <v>0</v>
      </c>
      <c r="AA582" s="56">
        <v>0</v>
      </c>
      <c r="AB582" s="56">
        <v>0</v>
      </c>
      <c r="AC582" s="60">
        <v>46142</v>
      </c>
    </row>
    <row r="583" spans="1:29" x14ac:dyDescent="0.25">
      <c r="A583" s="43">
        <v>1014</v>
      </c>
      <c r="B583" s="44" t="s">
        <v>167</v>
      </c>
      <c r="C583" s="45">
        <v>10140132</v>
      </c>
      <c r="D583" s="46" t="s">
        <v>942</v>
      </c>
      <c r="E583" s="47" t="s">
        <v>364</v>
      </c>
      <c r="F583" s="47" t="s">
        <v>58</v>
      </c>
      <c r="G583" s="62">
        <v>265.10000000000002</v>
      </c>
      <c r="H583" s="62">
        <v>9162.0800000000017</v>
      </c>
      <c r="I583" s="49">
        <v>0</v>
      </c>
      <c r="J583" s="49">
        <v>0</v>
      </c>
      <c r="K583" s="49">
        <v>0</v>
      </c>
      <c r="L583" s="50">
        <v>0</v>
      </c>
      <c r="M583" s="51"/>
      <c r="N583" s="52" t="s">
        <v>1300</v>
      </c>
      <c r="O583" s="31"/>
      <c r="P583" s="53">
        <v>-2.8649527953457963E-2</v>
      </c>
      <c r="Q583" s="54">
        <v>10</v>
      </c>
      <c r="R583" s="55">
        <v>0</v>
      </c>
      <c r="S583" s="55">
        <v>0</v>
      </c>
      <c r="T583" s="56">
        <v>0</v>
      </c>
      <c r="U583" s="57"/>
      <c r="V583" s="55">
        <v>0</v>
      </c>
      <c r="W583" s="55">
        <v>0</v>
      </c>
      <c r="X583" s="58">
        <v>0</v>
      </c>
      <c r="Y583" s="59">
        <v>0</v>
      </c>
      <c r="Z583" s="58">
        <v>0</v>
      </c>
      <c r="AA583" s="56">
        <v>0</v>
      </c>
      <c r="AB583" s="56">
        <v>0</v>
      </c>
      <c r="AC583" s="60">
        <v>46142</v>
      </c>
    </row>
    <row r="584" spans="1:29" x14ac:dyDescent="0.25">
      <c r="A584" s="43">
        <v>1014</v>
      </c>
      <c r="B584" s="44" t="s">
        <v>167</v>
      </c>
      <c r="C584" s="45">
        <v>10140135</v>
      </c>
      <c r="D584" s="46" t="s">
        <v>943</v>
      </c>
      <c r="E584" s="47" t="s">
        <v>364</v>
      </c>
      <c r="F584" s="47" t="s">
        <v>58</v>
      </c>
      <c r="G584" s="62">
        <v>275.10000000000002</v>
      </c>
      <c r="H584" s="62">
        <v>10056.810000000001</v>
      </c>
      <c r="I584" s="49">
        <v>0</v>
      </c>
      <c r="J584" s="49">
        <v>0</v>
      </c>
      <c r="K584" s="49">
        <v>0</v>
      </c>
      <c r="L584" s="50">
        <v>0</v>
      </c>
      <c r="M584" s="51"/>
      <c r="N584" s="52" t="s">
        <v>1300</v>
      </c>
      <c r="O584" s="31"/>
      <c r="P584" s="53">
        <v>-3.442893826562398E-2</v>
      </c>
      <c r="Q584" s="54">
        <v>2</v>
      </c>
      <c r="R584" s="55">
        <v>0</v>
      </c>
      <c r="S584" s="55">
        <v>0</v>
      </c>
      <c r="T584" s="56">
        <v>0</v>
      </c>
      <c r="U584" s="57"/>
      <c r="V584" s="55">
        <v>0</v>
      </c>
      <c r="W584" s="55">
        <v>0</v>
      </c>
      <c r="X584" s="58">
        <v>0</v>
      </c>
      <c r="Y584" s="59">
        <v>0</v>
      </c>
      <c r="Z584" s="58">
        <v>0</v>
      </c>
      <c r="AA584" s="56">
        <v>0</v>
      </c>
      <c r="AB584" s="56">
        <v>0</v>
      </c>
      <c r="AC584" s="60">
        <v>46142</v>
      </c>
    </row>
    <row r="585" spans="1:29" x14ac:dyDescent="0.25">
      <c r="A585" s="43">
        <v>1014</v>
      </c>
      <c r="B585" s="44" t="s">
        <v>167</v>
      </c>
      <c r="C585" s="45">
        <v>10140137</v>
      </c>
      <c r="D585" s="46" t="s">
        <v>944</v>
      </c>
      <c r="E585" s="47" t="s">
        <v>364</v>
      </c>
      <c r="F585" s="47" t="s">
        <v>58</v>
      </c>
      <c r="G585" s="62">
        <v>523.40000000000009</v>
      </c>
      <c r="H585" s="62">
        <v>20937.21</v>
      </c>
      <c r="I585" s="49">
        <v>0</v>
      </c>
      <c r="J585" s="49">
        <v>0</v>
      </c>
      <c r="K585" s="49">
        <v>0</v>
      </c>
      <c r="L585" s="50">
        <v>0</v>
      </c>
      <c r="M585" s="51"/>
      <c r="N585" s="52" t="s">
        <v>1300</v>
      </c>
      <c r="O585" s="31"/>
      <c r="P585" s="53">
        <v>-0.15741564446879502</v>
      </c>
      <c r="Q585" s="54">
        <v>4</v>
      </c>
      <c r="R585" s="55">
        <v>0</v>
      </c>
      <c r="S585" s="55">
        <v>0</v>
      </c>
      <c r="T585" s="56">
        <v>0</v>
      </c>
      <c r="U585" s="57"/>
      <c r="V585" s="55">
        <v>0</v>
      </c>
      <c r="W585" s="55">
        <v>0</v>
      </c>
      <c r="X585" s="58">
        <v>0</v>
      </c>
      <c r="Y585" s="59">
        <v>0</v>
      </c>
      <c r="Z585" s="58">
        <v>0</v>
      </c>
      <c r="AA585" s="56">
        <v>0</v>
      </c>
      <c r="AB585" s="56">
        <v>0</v>
      </c>
      <c r="AC585" s="60">
        <v>46142</v>
      </c>
    </row>
    <row r="586" spans="1:29" x14ac:dyDescent="0.25">
      <c r="A586" s="43">
        <v>1014</v>
      </c>
      <c r="B586" s="44" t="s">
        <v>167</v>
      </c>
      <c r="C586" s="45">
        <v>10140139</v>
      </c>
      <c r="D586" s="46" t="s">
        <v>945</v>
      </c>
      <c r="E586" s="47" t="s">
        <v>364</v>
      </c>
      <c r="F586" s="47" t="s">
        <v>58</v>
      </c>
      <c r="G586" s="62">
        <v>106.2</v>
      </c>
      <c r="H586" s="62">
        <v>3277.08</v>
      </c>
      <c r="I586" s="49">
        <v>0</v>
      </c>
      <c r="J586" s="49">
        <v>0</v>
      </c>
      <c r="K586" s="49">
        <v>0</v>
      </c>
      <c r="L586" s="50">
        <v>0</v>
      </c>
      <c r="M586" s="51"/>
      <c r="N586" s="52" t="s">
        <v>1300</v>
      </c>
      <c r="O586" s="31"/>
      <c r="P586" s="53">
        <v>2.5268647698542659E-4</v>
      </c>
      <c r="Q586" s="54">
        <v>2</v>
      </c>
      <c r="R586" s="55">
        <v>0</v>
      </c>
      <c r="S586" s="55">
        <v>0</v>
      </c>
      <c r="T586" s="56">
        <v>0</v>
      </c>
      <c r="U586" s="57"/>
      <c r="V586" s="55">
        <v>0</v>
      </c>
      <c r="W586" s="55">
        <v>0</v>
      </c>
      <c r="X586" s="58">
        <v>0</v>
      </c>
      <c r="Y586" s="59">
        <v>0</v>
      </c>
      <c r="Z586" s="58">
        <v>0</v>
      </c>
      <c r="AA586" s="56">
        <v>0</v>
      </c>
      <c r="AB586" s="56">
        <v>0</v>
      </c>
      <c r="AC586" s="60">
        <v>46142</v>
      </c>
    </row>
    <row r="587" spans="1:29" x14ac:dyDescent="0.25">
      <c r="A587" s="43">
        <v>1014</v>
      </c>
      <c r="B587" s="44" t="s">
        <v>167</v>
      </c>
      <c r="C587" s="45">
        <v>10140141</v>
      </c>
      <c r="D587" s="46" t="s">
        <v>946</v>
      </c>
      <c r="E587" s="47" t="s">
        <v>371</v>
      </c>
      <c r="F587" s="47" t="s">
        <v>59</v>
      </c>
      <c r="G587" s="62">
        <v>417</v>
      </c>
      <c r="H587" s="62">
        <v>17264.03</v>
      </c>
      <c r="I587" s="49">
        <v>0</v>
      </c>
      <c r="J587" s="49">
        <v>0</v>
      </c>
      <c r="K587" s="49">
        <v>0</v>
      </c>
      <c r="L587" s="50">
        <v>0</v>
      </c>
      <c r="M587" s="51"/>
      <c r="N587" s="52" t="s">
        <v>1300</v>
      </c>
      <c r="O587" s="31"/>
      <c r="P587" s="53">
        <v>0</v>
      </c>
      <c r="Q587" s="54">
        <v>0</v>
      </c>
      <c r="R587" s="55">
        <v>0</v>
      </c>
      <c r="S587" s="55">
        <v>0</v>
      </c>
      <c r="T587" s="56">
        <v>0</v>
      </c>
      <c r="U587" s="57"/>
      <c r="V587" s="55">
        <v>0</v>
      </c>
      <c r="W587" s="55">
        <v>0</v>
      </c>
      <c r="X587" s="58">
        <v>0</v>
      </c>
      <c r="Y587" s="59">
        <v>0</v>
      </c>
      <c r="Z587" s="58">
        <v>0</v>
      </c>
      <c r="AA587" s="56">
        <v>0</v>
      </c>
      <c r="AB587" s="56">
        <v>0</v>
      </c>
      <c r="AC587" s="60">
        <v>46142</v>
      </c>
    </row>
    <row r="588" spans="1:29" x14ac:dyDescent="0.25">
      <c r="A588" s="43">
        <v>1014</v>
      </c>
      <c r="B588" s="44" t="s">
        <v>167</v>
      </c>
      <c r="C588" s="45">
        <v>10140147</v>
      </c>
      <c r="D588" s="46" t="s">
        <v>947</v>
      </c>
      <c r="E588" s="47" t="s">
        <v>371</v>
      </c>
      <c r="F588" s="47" t="s">
        <v>59</v>
      </c>
      <c r="G588" s="62">
        <v>171.89999999999998</v>
      </c>
      <c r="H588" s="62">
        <v>5977.4700000000012</v>
      </c>
      <c r="I588" s="49">
        <v>0</v>
      </c>
      <c r="J588" s="49">
        <v>0</v>
      </c>
      <c r="K588" s="49">
        <v>0</v>
      </c>
      <c r="L588" s="50">
        <v>0</v>
      </c>
      <c r="M588" s="51"/>
      <c r="N588" s="52" t="s">
        <v>1300</v>
      </c>
      <c r="O588" s="31"/>
      <c r="P588" s="53">
        <v>0</v>
      </c>
      <c r="Q588" s="54">
        <v>0</v>
      </c>
      <c r="R588" s="55">
        <v>0</v>
      </c>
      <c r="S588" s="55">
        <v>0</v>
      </c>
      <c r="T588" s="56">
        <v>0</v>
      </c>
      <c r="U588" s="57"/>
      <c r="V588" s="55">
        <v>0</v>
      </c>
      <c r="W588" s="55">
        <v>0</v>
      </c>
      <c r="X588" s="58">
        <v>0</v>
      </c>
      <c r="Y588" s="59">
        <v>0</v>
      </c>
      <c r="Z588" s="58">
        <v>0</v>
      </c>
      <c r="AA588" s="56">
        <v>0</v>
      </c>
      <c r="AB588" s="56">
        <v>0</v>
      </c>
      <c r="AC588" s="60">
        <v>46142</v>
      </c>
    </row>
    <row r="589" spans="1:29" x14ac:dyDescent="0.25">
      <c r="A589" s="43">
        <v>1014</v>
      </c>
      <c r="B589" s="44" t="s">
        <v>167</v>
      </c>
      <c r="C589" s="45">
        <v>10140152</v>
      </c>
      <c r="D589" s="46" t="s">
        <v>948</v>
      </c>
      <c r="E589" s="47" t="s">
        <v>364</v>
      </c>
      <c r="F589" s="47" t="s">
        <v>58</v>
      </c>
      <c r="G589" s="62">
        <v>48.1</v>
      </c>
      <c r="H589" s="62">
        <v>1803.33</v>
      </c>
      <c r="I589" s="49">
        <v>0</v>
      </c>
      <c r="J589" s="49">
        <v>0</v>
      </c>
      <c r="K589" s="49">
        <v>0</v>
      </c>
      <c r="L589" s="50">
        <v>0</v>
      </c>
      <c r="M589" s="51"/>
      <c r="N589" s="52" t="s">
        <v>1300</v>
      </c>
      <c r="O589" s="31"/>
      <c r="P589" s="53">
        <v>5.2677098567648472E-3</v>
      </c>
      <c r="Q589" s="54">
        <v>1</v>
      </c>
      <c r="R589" s="55">
        <v>0</v>
      </c>
      <c r="S589" s="55">
        <v>0</v>
      </c>
      <c r="T589" s="56">
        <v>0</v>
      </c>
      <c r="U589" s="57"/>
      <c r="V589" s="55">
        <v>0</v>
      </c>
      <c r="W589" s="55">
        <v>0</v>
      </c>
      <c r="X589" s="58">
        <v>0</v>
      </c>
      <c r="Y589" s="59">
        <v>0</v>
      </c>
      <c r="Z589" s="58">
        <v>0</v>
      </c>
      <c r="AA589" s="56">
        <v>0</v>
      </c>
      <c r="AB589" s="56">
        <v>0</v>
      </c>
      <c r="AC589" s="60">
        <v>46142</v>
      </c>
    </row>
    <row r="590" spans="1:29" x14ac:dyDescent="0.25">
      <c r="A590" s="43">
        <v>1014</v>
      </c>
      <c r="B590" s="44" t="s">
        <v>167</v>
      </c>
      <c r="C590" s="45">
        <v>10140153</v>
      </c>
      <c r="D590" s="46" t="s">
        <v>949</v>
      </c>
      <c r="E590" s="47" t="s">
        <v>364</v>
      </c>
      <c r="F590" s="47" t="s">
        <v>58</v>
      </c>
      <c r="G590" s="62">
        <v>128.1</v>
      </c>
      <c r="H590" s="62">
        <v>4395.9400000000005</v>
      </c>
      <c r="I590" s="49">
        <v>0</v>
      </c>
      <c r="J590" s="49">
        <v>0</v>
      </c>
      <c r="K590" s="49">
        <v>0</v>
      </c>
      <c r="L590" s="50">
        <v>0</v>
      </c>
      <c r="M590" s="51"/>
      <c r="N590" s="52" t="s">
        <v>1300</v>
      </c>
      <c r="O590" s="31"/>
      <c r="P590" s="53">
        <v>-0.22834253199287069</v>
      </c>
      <c r="Q590" s="54">
        <v>1</v>
      </c>
      <c r="R590" s="55">
        <v>0</v>
      </c>
      <c r="S590" s="55">
        <v>0</v>
      </c>
      <c r="T590" s="56">
        <v>0</v>
      </c>
      <c r="U590" s="57"/>
      <c r="V590" s="55">
        <v>0</v>
      </c>
      <c r="W590" s="55">
        <v>0</v>
      </c>
      <c r="X590" s="58">
        <v>0</v>
      </c>
      <c r="Y590" s="59">
        <v>0</v>
      </c>
      <c r="Z590" s="58">
        <v>0</v>
      </c>
      <c r="AA590" s="56">
        <v>0</v>
      </c>
      <c r="AB590" s="56">
        <v>0</v>
      </c>
      <c r="AC590" s="60">
        <v>46142</v>
      </c>
    </row>
    <row r="591" spans="1:29" x14ac:dyDescent="0.25">
      <c r="A591" s="43">
        <v>1014</v>
      </c>
      <c r="B591" s="44" t="s">
        <v>167</v>
      </c>
      <c r="C591" s="45">
        <v>10140156</v>
      </c>
      <c r="D591" s="46" t="s">
        <v>950</v>
      </c>
      <c r="E591" s="47" t="s">
        <v>364</v>
      </c>
      <c r="F591" s="47" t="s">
        <v>58</v>
      </c>
      <c r="G591" s="62">
        <v>343.4</v>
      </c>
      <c r="H591" s="62">
        <v>15270.82</v>
      </c>
      <c r="I591" s="49">
        <v>0</v>
      </c>
      <c r="J591" s="49">
        <v>0</v>
      </c>
      <c r="K591" s="49">
        <v>0</v>
      </c>
      <c r="L591" s="50">
        <v>0</v>
      </c>
      <c r="M591" s="51"/>
      <c r="N591" s="52" t="s">
        <v>1300</v>
      </c>
      <c r="O591" s="31"/>
      <c r="P591" s="53">
        <v>4.8861772181752784E-4</v>
      </c>
      <c r="Q591" s="54">
        <v>3</v>
      </c>
      <c r="R591" s="55">
        <v>0</v>
      </c>
      <c r="S591" s="55">
        <v>0</v>
      </c>
      <c r="T591" s="56">
        <v>0</v>
      </c>
      <c r="U591" s="57"/>
      <c r="V591" s="55">
        <v>0</v>
      </c>
      <c r="W591" s="55">
        <v>0</v>
      </c>
      <c r="X591" s="58">
        <v>0</v>
      </c>
      <c r="Y591" s="59">
        <v>0</v>
      </c>
      <c r="Z591" s="58">
        <v>0</v>
      </c>
      <c r="AA591" s="56">
        <v>0</v>
      </c>
      <c r="AB591" s="56">
        <v>0</v>
      </c>
      <c r="AC591" s="60">
        <v>46142</v>
      </c>
    </row>
    <row r="592" spans="1:29" x14ac:dyDescent="0.25">
      <c r="A592" s="43">
        <v>1014</v>
      </c>
      <c r="B592" s="44" t="s">
        <v>167</v>
      </c>
      <c r="C592" s="45">
        <v>10140157</v>
      </c>
      <c r="D592" s="46" t="s">
        <v>951</v>
      </c>
      <c r="E592" s="47" t="s">
        <v>371</v>
      </c>
      <c r="F592" s="47" t="s">
        <v>59</v>
      </c>
      <c r="G592" s="62">
        <v>28</v>
      </c>
      <c r="H592" s="62">
        <v>1030.3700000000001</v>
      </c>
      <c r="I592" s="49">
        <v>0</v>
      </c>
      <c r="J592" s="49">
        <v>0</v>
      </c>
      <c r="K592" s="49">
        <v>0</v>
      </c>
      <c r="L592" s="50">
        <v>0</v>
      </c>
      <c r="M592" s="51"/>
      <c r="N592" s="52" t="s">
        <v>1300</v>
      </c>
      <c r="O592" s="31"/>
      <c r="P592" s="53">
        <v>0</v>
      </c>
      <c r="Q592" s="54">
        <v>0</v>
      </c>
      <c r="R592" s="55">
        <v>0</v>
      </c>
      <c r="S592" s="55">
        <v>0</v>
      </c>
      <c r="T592" s="56">
        <v>0</v>
      </c>
      <c r="U592" s="57"/>
      <c r="V592" s="55">
        <v>0</v>
      </c>
      <c r="W592" s="55">
        <v>0</v>
      </c>
      <c r="X592" s="58">
        <v>0</v>
      </c>
      <c r="Y592" s="59">
        <v>0</v>
      </c>
      <c r="Z592" s="58">
        <v>0</v>
      </c>
      <c r="AA592" s="56">
        <v>0</v>
      </c>
      <c r="AB592" s="56">
        <v>0</v>
      </c>
      <c r="AC592" s="60">
        <v>46142</v>
      </c>
    </row>
    <row r="593" spans="1:29" x14ac:dyDescent="0.25">
      <c r="A593" s="43">
        <v>1014</v>
      </c>
      <c r="B593" s="44" t="s">
        <v>167</v>
      </c>
      <c r="C593" s="45">
        <v>10140166</v>
      </c>
      <c r="D593" s="46" t="s">
        <v>952</v>
      </c>
      <c r="E593" s="47" t="s">
        <v>364</v>
      </c>
      <c r="F593" s="47" t="s">
        <v>58</v>
      </c>
      <c r="G593" s="62">
        <v>343.29999999999995</v>
      </c>
      <c r="H593" s="62">
        <v>13936.050000000001</v>
      </c>
      <c r="I593" s="49">
        <v>0</v>
      </c>
      <c r="J593" s="49">
        <v>0</v>
      </c>
      <c r="K593" s="49">
        <v>0</v>
      </c>
      <c r="L593" s="50">
        <v>0</v>
      </c>
      <c r="M593" s="51"/>
      <c r="N593" s="52" t="s">
        <v>1300</v>
      </c>
      <c r="O593" s="31"/>
      <c r="P593" s="53">
        <v>4.091394620427098E-4</v>
      </c>
      <c r="Q593" s="54">
        <v>1</v>
      </c>
      <c r="R593" s="55">
        <v>0</v>
      </c>
      <c r="S593" s="55">
        <v>0</v>
      </c>
      <c r="T593" s="56">
        <v>0</v>
      </c>
      <c r="U593" s="57"/>
      <c r="V593" s="55">
        <v>0</v>
      </c>
      <c r="W593" s="55">
        <v>0</v>
      </c>
      <c r="X593" s="58">
        <v>0</v>
      </c>
      <c r="Y593" s="59">
        <v>0</v>
      </c>
      <c r="Z593" s="58">
        <v>0</v>
      </c>
      <c r="AA593" s="56">
        <v>0</v>
      </c>
      <c r="AB593" s="56">
        <v>0</v>
      </c>
      <c r="AC593" s="60">
        <v>46142</v>
      </c>
    </row>
    <row r="594" spans="1:29" x14ac:dyDescent="0.25">
      <c r="A594" s="43">
        <v>1014</v>
      </c>
      <c r="B594" s="44" t="s">
        <v>167</v>
      </c>
      <c r="C594" s="45">
        <v>10140167</v>
      </c>
      <c r="D594" s="46" t="s">
        <v>953</v>
      </c>
      <c r="E594" s="47" t="s">
        <v>371</v>
      </c>
      <c r="F594" s="47" t="s">
        <v>59</v>
      </c>
      <c r="G594" s="62">
        <v>310.3</v>
      </c>
      <c r="H594" s="62">
        <v>12569.16</v>
      </c>
      <c r="I594" s="49">
        <v>0</v>
      </c>
      <c r="J594" s="49">
        <v>0</v>
      </c>
      <c r="K594" s="49">
        <v>0</v>
      </c>
      <c r="L594" s="50">
        <v>0</v>
      </c>
      <c r="M594" s="51"/>
      <c r="N594" s="52" t="s">
        <v>1300</v>
      </c>
      <c r="O594" s="31"/>
      <c r="P594" s="53">
        <v>0</v>
      </c>
      <c r="Q594" s="54">
        <v>0</v>
      </c>
      <c r="R594" s="55">
        <v>0</v>
      </c>
      <c r="S594" s="55">
        <v>0</v>
      </c>
      <c r="T594" s="56">
        <v>0</v>
      </c>
      <c r="U594" s="57"/>
      <c r="V594" s="55">
        <v>0</v>
      </c>
      <c r="W594" s="55">
        <v>0</v>
      </c>
      <c r="X594" s="58">
        <v>0</v>
      </c>
      <c r="Y594" s="59">
        <v>0</v>
      </c>
      <c r="Z594" s="58">
        <v>0</v>
      </c>
      <c r="AA594" s="56">
        <v>0</v>
      </c>
      <c r="AB594" s="56">
        <v>0</v>
      </c>
      <c r="AC594" s="60">
        <v>46142</v>
      </c>
    </row>
    <row r="595" spans="1:29" x14ac:dyDescent="0.25">
      <c r="A595" s="43">
        <v>1014</v>
      </c>
      <c r="B595" s="44" t="s">
        <v>167</v>
      </c>
      <c r="C595" s="45">
        <v>10140170</v>
      </c>
      <c r="D595" s="46" t="s">
        <v>954</v>
      </c>
      <c r="E595" s="47" t="s">
        <v>364</v>
      </c>
      <c r="F595" s="47" t="s">
        <v>58</v>
      </c>
      <c r="G595" s="62">
        <v>633.79999999999995</v>
      </c>
      <c r="H595" s="62">
        <v>25574.55</v>
      </c>
      <c r="I595" s="49">
        <v>0</v>
      </c>
      <c r="J595" s="49">
        <v>0</v>
      </c>
      <c r="K595" s="49">
        <v>0</v>
      </c>
      <c r="L595" s="50">
        <v>0</v>
      </c>
      <c r="M595" s="51"/>
      <c r="N595" s="52" t="s">
        <v>1300</v>
      </c>
      <c r="O595" s="31"/>
      <c r="P595" s="53">
        <v>-0.15756005780854559</v>
      </c>
      <c r="Q595" s="54">
        <v>2</v>
      </c>
      <c r="R595" s="55">
        <v>0</v>
      </c>
      <c r="S595" s="55">
        <v>0</v>
      </c>
      <c r="T595" s="56">
        <v>0</v>
      </c>
      <c r="U595" s="57"/>
      <c r="V595" s="55">
        <v>0</v>
      </c>
      <c r="W595" s="55">
        <v>0</v>
      </c>
      <c r="X595" s="58">
        <v>0</v>
      </c>
      <c r="Y595" s="59">
        <v>0</v>
      </c>
      <c r="Z595" s="58">
        <v>0</v>
      </c>
      <c r="AA595" s="56">
        <v>0</v>
      </c>
      <c r="AB595" s="56">
        <v>0</v>
      </c>
      <c r="AC595" s="60">
        <v>46142</v>
      </c>
    </row>
    <row r="596" spans="1:29" x14ac:dyDescent="0.25">
      <c r="A596" s="43">
        <v>1014</v>
      </c>
      <c r="B596" s="44" t="s">
        <v>167</v>
      </c>
      <c r="C596" s="45">
        <v>10140173</v>
      </c>
      <c r="D596" s="46" t="s">
        <v>955</v>
      </c>
      <c r="E596" s="47" t="s">
        <v>364</v>
      </c>
      <c r="F596" s="47" t="s">
        <v>58</v>
      </c>
      <c r="G596" s="62">
        <v>838.5999999999998</v>
      </c>
      <c r="H596" s="62">
        <v>30589.39</v>
      </c>
      <c r="I596" s="49">
        <v>0</v>
      </c>
      <c r="J596" s="49">
        <v>0</v>
      </c>
      <c r="K596" s="49">
        <v>0</v>
      </c>
      <c r="L596" s="50">
        <v>0</v>
      </c>
      <c r="M596" s="51"/>
      <c r="N596" s="52" t="s">
        <v>1300</v>
      </c>
      <c r="O596" s="31"/>
      <c r="P596" s="53">
        <v>-0.16847422208016583</v>
      </c>
      <c r="Q596" s="54">
        <v>3</v>
      </c>
      <c r="R596" s="55">
        <v>0</v>
      </c>
      <c r="S596" s="55">
        <v>0</v>
      </c>
      <c r="T596" s="56">
        <v>0</v>
      </c>
      <c r="U596" s="57"/>
      <c r="V596" s="55">
        <v>0</v>
      </c>
      <c r="W596" s="55">
        <v>0</v>
      </c>
      <c r="X596" s="58">
        <v>0</v>
      </c>
      <c r="Y596" s="59">
        <v>0</v>
      </c>
      <c r="Z596" s="58">
        <v>0</v>
      </c>
      <c r="AA596" s="56">
        <v>0</v>
      </c>
      <c r="AB596" s="56">
        <v>0</v>
      </c>
      <c r="AC596" s="60">
        <v>46142</v>
      </c>
    </row>
    <row r="597" spans="1:29" x14ac:dyDescent="0.25">
      <c r="A597" s="43">
        <v>1014</v>
      </c>
      <c r="B597" s="44" t="s">
        <v>167</v>
      </c>
      <c r="C597" s="45">
        <v>10140174</v>
      </c>
      <c r="D597" s="46" t="s">
        <v>956</v>
      </c>
      <c r="E597" s="47" t="s">
        <v>364</v>
      </c>
      <c r="F597" s="47" t="s">
        <v>58</v>
      </c>
      <c r="G597" s="62">
        <v>48.1</v>
      </c>
      <c r="H597" s="62">
        <v>1909.5299999999997</v>
      </c>
      <c r="I597" s="49">
        <v>0</v>
      </c>
      <c r="J597" s="49">
        <v>0</v>
      </c>
      <c r="K597" s="49">
        <v>0</v>
      </c>
      <c r="L597" s="50">
        <v>0</v>
      </c>
      <c r="M597" s="51"/>
      <c r="N597" s="52" t="s">
        <v>1300</v>
      </c>
      <c r="O597" s="31"/>
      <c r="P597" s="53">
        <v>4.5438092095956865E-3</v>
      </c>
      <c r="Q597" s="54">
        <v>1</v>
      </c>
      <c r="R597" s="55">
        <v>0</v>
      </c>
      <c r="S597" s="55">
        <v>0</v>
      </c>
      <c r="T597" s="56">
        <v>0</v>
      </c>
      <c r="U597" s="57"/>
      <c r="V597" s="55">
        <v>0</v>
      </c>
      <c r="W597" s="55">
        <v>0</v>
      </c>
      <c r="X597" s="58">
        <v>0</v>
      </c>
      <c r="Y597" s="59">
        <v>0</v>
      </c>
      <c r="Z597" s="58">
        <v>0</v>
      </c>
      <c r="AA597" s="56">
        <v>0</v>
      </c>
      <c r="AB597" s="56">
        <v>0</v>
      </c>
      <c r="AC597" s="60">
        <v>46142</v>
      </c>
    </row>
    <row r="598" spans="1:29" x14ac:dyDescent="0.25">
      <c r="A598" s="43">
        <v>1014</v>
      </c>
      <c r="B598" s="44" t="s">
        <v>167</v>
      </c>
      <c r="C598" s="45">
        <v>10140176</v>
      </c>
      <c r="D598" s="46" t="s">
        <v>957</v>
      </c>
      <c r="E598" s="47" t="s">
        <v>371</v>
      </c>
      <c r="F598" s="47" t="s">
        <v>59</v>
      </c>
      <c r="G598" s="62">
        <v>67.3</v>
      </c>
      <c r="H598" s="62">
        <v>2317.2200000000003</v>
      </c>
      <c r="I598" s="49">
        <v>0</v>
      </c>
      <c r="J598" s="49">
        <v>0</v>
      </c>
      <c r="K598" s="49">
        <v>0</v>
      </c>
      <c r="L598" s="50">
        <v>0</v>
      </c>
      <c r="M598" s="51"/>
      <c r="N598" s="52" t="s">
        <v>1300</v>
      </c>
      <c r="O598" s="31"/>
      <c r="P598" s="53">
        <v>0</v>
      </c>
      <c r="Q598" s="54">
        <v>0</v>
      </c>
      <c r="R598" s="55">
        <v>0</v>
      </c>
      <c r="S598" s="55">
        <v>0</v>
      </c>
      <c r="T598" s="56">
        <v>0</v>
      </c>
      <c r="U598" s="57"/>
      <c r="V598" s="55">
        <v>0</v>
      </c>
      <c r="W598" s="55">
        <v>0</v>
      </c>
      <c r="X598" s="58">
        <v>0</v>
      </c>
      <c r="Y598" s="59">
        <v>0</v>
      </c>
      <c r="Z598" s="58">
        <v>0</v>
      </c>
      <c r="AA598" s="56">
        <v>0</v>
      </c>
      <c r="AB598" s="56">
        <v>0</v>
      </c>
      <c r="AC598" s="60">
        <v>46142</v>
      </c>
    </row>
    <row r="599" spans="1:29" x14ac:dyDescent="0.25">
      <c r="A599" s="43">
        <v>1014</v>
      </c>
      <c r="B599" s="44" t="s">
        <v>167</v>
      </c>
      <c r="C599" s="45">
        <v>10140179</v>
      </c>
      <c r="D599" s="46" t="s">
        <v>958</v>
      </c>
      <c r="E599" s="47" t="s">
        <v>364</v>
      </c>
      <c r="F599" s="47" t="s">
        <v>58</v>
      </c>
      <c r="G599" s="62">
        <v>1170.0999999999999</v>
      </c>
      <c r="H599" s="62">
        <v>44348.160000000003</v>
      </c>
      <c r="I599" s="49">
        <v>0</v>
      </c>
      <c r="J599" s="49">
        <v>0</v>
      </c>
      <c r="K599" s="49">
        <v>0</v>
      </c>
      <c r="L599" s="50" t="s">
        <v>409</v>
      </c>
      <c r="M599" s="51" t="s">
        <v>410</v>
      </c>
      <c r="N599" s="52" t="s">
        <v>1300</v>
      </c>
      <c r="O599" s="31"/>
      <c r="P599" s="53">
        <v>2.9818554730409418E-3</v>
      </c>
      <c r="Q599" s="54">
        <v>35</v>
      </c>
      <c r="R599" s="55">
        <v>25600</v>
      </c>
      <c r="S599" s="55">
        <v>0</v>
      </c>
      <c r="T599" s="56">
        <v>25600</v>
      </c>
      <c r="U599" s="57"/>
      <c r="V599" s="55">
        <v>0</v>
      </c>
      <c r="W599" s="55">
        <v>0</v>
      </c>
      <c r="X599" s="58">
        <v>0</v>
      </c>
      <c r="Y599" s="59">
        <v>0</v>
      </c>
      <c r="Z599" s="58">
        <v>0</v>
      </c>
      <c r="AA599" s="56">
        <v>0</v>
      </c>
      <c r="AB599" s="56">
        <v>0</v>
      </c>
      <c r="AC599" s="60">
        <v>46142</v>
      </c>
    </row>
    <row r="600" spans="1:29" x14ac:dyDescent="0.25">
      <c r="A600" s="43">
        <v>1014</v>
      </c>
      <c r="B600" s="44" t="s">
        <v>167</v>
      </c>
      <c r="C600" s="45">
        <v>10140180</v>
      </c>
      <c r="D600" s="46" t="s">
        <v>959</v>
      </c>
      <c r="E600" s="47" t="s">
        <v>364</v>
      </c>
      <c r="F600" s="47" t="s">
        <v>58</v>
      </c>
      <c r="G600" s="62">
        <v>147</v>
      </c>
      <c r="H600" s="62">
        <v>5475.5499999999993</v>
      </c>
      <c r="I600" s="49">
        <v>0</v>
      </c>
      <c r="J600" s="49">
        <v>2560</v>
      </c>
      <c r="K600" s="49">
        <v>0</v>
      </c>
      <c r="L600" s="50">
        <v>0</v>
      </c>
      <c r="M600" s="51"/>
      <c r="N600" s="52" t="s">
        <v>1300</v>
      </c>
      <c r="O600" s="31"/>
      <c r="P600" s="53">
        <v>-2.9701906168330214E-2</v>
      </c>
      <c r="Q600" s="54">
        <v>5</v>
      </c>
      <c r="R600" s="55">
        <v>0</v>
      </c>
      <c r="S600" s="55">
        <v>0</v>
      </c>
      <c r="T600" s="56">
        <v>0</v>
      </c>
      <c r="U600" s="57"/>
      <c r="V600" s="55">
        <v>0</v>
      </c>
      <c r="W600" s="55">
        <v>0</v>
      </c>
      <c r="X600" s="58">
        <v>0</v>
      </c>
      <c r="Y600" s="59">
        <v>0</v>
      </c>
      <c r="Z600" s="58">
        <v>0</v>
      </c>
      <c r="AA600" s="56">
        <v>0</v>
      </c>
      <c r="AB600" s="56">
        <v>0</v>
      </c>
      <c r="AC600" s="60">
        <v>46142</v>
      </c>
    </row>
    <row r="601" spans="1:29" x14ac:dyDescent="0.25">
      <c r="A601" s="43">
        <v>1014</v>
      </c>
      <c r="B601" s="44" t="s">
        <v>167</v>
      </c>
      <c r="C601" s="45">
        <v>10140181</v>
      </c>
      <c r="D601" s="46" t="s">
        <v>960</v>
      </c>
      <c r="E601" s="47" t="s">
        <v>371</v>
      </c>
      <c r="F601" s="47" t="s">
        <v>59</v>
      </c>
      <c r="G601" s="62">
        <v>59.5</v>
      </c>
      <c r="H601" s="62">
        <v>2434.44</v>
      </c>
      <c r="I601" s="49">
        <v>0</v>
      </c>
      <c r="J601" s="49">
        <v>0</v>
      </c>
      <c r="K601" s="49">
        <v>0</v>
      </c>
      <c r="L601" s="50">
        <v>0</v>
      </c>
      <c r="M601" s="51"/>
      <c r="N601" s="52" t="s">
        <v>1300</v>
      </c>
      <c r="O601" s="31"/>
      <c r="P601" s="53">
        <v>0</v>
      </c>
      <c r="Q601" s="54">
        <v>0</v>
      </c>
      <c r="R601" s="55">
        <v>0</v>
      </c>
      <c r="S601" s="55">
        <v>0</v>
      </c>
      <c r="T601" s="56">
        <v>0</v>
      </c>
      <c r="U601" s="57"/>
      <c r="V601" s="55">
        <v>0</v>
      </c>
      <c r="W601" s="55">
        <v>0</v>
      </c>
      <c r="X601" s="58">
        <v>0</v>
      </c>
      <c r="Y601" s="59">
        <v>0</v>
      </c>
      <c r="Z601" s="58">
        <v>0</v>
      </c>
      <c r="AA601" s="56">
        <v>0</v>
      </c>
      <c r="AB601" s="56">
        <v>0</v>
      </c>
      <c r="AC601" s="60">
        <v>46142</v>
      </c>
    </row>
    <row r="602" spans="1:29" x14ac:dyDescent="0.25">
      <c r="A602" s="43">
        <v>1014</v>
      </c>
      <c r="B602" s="44" t="s">
        <v>167</v>
      </c>
      <c r="C602" s="45">
        <v>10140185</v>
      </c>
      <c r="D602" s="46" t="s">
        <v>961</v>
      </c>
      <c r="E602" s="47" t="s">
        <v>364</v>
      </c>
      <c r="F602" s="47" t="s">
        <v>58</v>
      </c>
      <c r="G602" s="62">
        <v>1412.6</v>
      </c>
      <c r="H602" s="62">
        <v>47337.770000000004</v>
      </c>
      <c r="I602" s="49">
        <v>0</v>
      </c>
      <c r="J602" s="49">
        <v>0</v>
      </c>
      <c r="K602" s="49">
        <v>0</v>
      </c>
      <c r="L602" s="50">
        <v>0</v>
      </c>
      <c r="M602" s="51"/>
      <c r="N602" s="52" t="s">
        <v>1300</v>
      </c>
      <c r="O602" s="31"/>
      <c r="P602" s="53">
        <v>7.360211011208026E-4</v>
      </c>
      <c r="Q602" s="54">
        <v>1</v>
      </c>
      <c r="R602" s="55">
        <v>0</v>
      </c>
      <c r="S602" s="55">
        <v>0</v>
      </c>
      <c r="T602" s="56">
        <v>0</v>
      </c>
      <c r="U602" s="57"/>
      <c r="V602" s="55">
        <v>0</v>
      </c>
      <c r="W602" s="55">
        <v>0</v>
      </c>
      <c r="X602" s="58">
        <v>0</v>
      </c>
      <c r="Y602" s="59">
        <v>0</v>
      </c>
      <c r="Z602" s="58">
        <v>0</v>
      </c>
      <c r="AA602" s="56">
        <v>0</v>
      </c>
      <c r="AB602" s="56">
        <v>0</v>
      </c>
      <c r="AC602" s="60">
        <v>46142</v>
      </c>
    </row>
    <row r="603" spans="1:29" x14ac:dyDescent="0.25">
      <c r="A603" s="43">
        <v>1014</v>
      </c>
      <c r="B603" s="44" t="s">
        <v>167</v>
      </c>
      <c r="C603" s="45">
        <v>10140194</v>
      </c>
      <c r="D603" s="46" t="s">
        <v>962</v>
      </c>
      <c r="E603" s="47" t="s">
        <v>364</v>
      </c>
      <c r="F603" s="47" t="s">
        <v>58</v>
      </c>
      <c r="G603" s="62">
        <v>233.4</v>
      </c>
      <c r="H603" s="62">
        <v>7937.58</v>
      </c>
      <c r="I603" s="49">
        <v>0</v>
      </c>
      <c r="J603" s="49">
        <v>0</v>
      </c>
      <c r="K603" s="49">
        <v>0</v>
      </c>
      <c r="L603" s="50" t="s">
        <v>409</v>
      </c>
      <c r="M603" s="51" t="s">
        <v>410</v>
      </c>
      <c r="N603" s="52" t="s">
        <v>1300</v>
      </c>
      <c r="O603" s="31"/>
      <c r="P603" s="53">
        <v>7.2049768317273167E-4</v>
      </c>
      <c r="Q603" s="54">
        <v>1</v>
      </c>
      <c r="R603" s="55">
        <v>541</v>
      </c>
      <c r="S603" s="55">
        <v>0</v>
      </c>
      <c r="T603" s="56">
        <v>541</v>
      </c>
      <c r="U603" s="57"/>
      <c r="V603" s="55">
        <v>0</v>
      </c>
      <c r="W603" s="55">
        <v>0</v>
      </c>
      <c r="X603" s="58">
        <v>0</v>
      </c>
      <c r="Y603" s="59">
        <v>0</v>
      </c>
      <c r="Z603" s="58">
        <v>0</v>
      </c>
      <c r="AA603" s="56">
        <v>0</v>
      </c>
      <c r="AB603" s="56">
        <v>0</v>
      </c>
      <c r="AC603" s="60">
        <v>46142</v>
      </c>
    </row>
    <row r="604" spans="1:29" x14ac:dyDescent="0.25">
      <c r="A604" s="43">
        <v>1014</v>
      </c>
      <c r="B604" s="44" t="s">
        <v>167</v>
      </c>
      <c r="C604" s="45">
        <v>10140196</v>
      </c>
      <c r="D604" s="46" t="s">
        <v>963</v>
      </c>
      <c r="E604" s="47" t="s">
        <v>371</v>
      </c>
      <c r="F604" s="47" t="s">
        <v>59</v>
      </c>
      <c r="G604" s="62">
        <v>163.29999999999998</v>
      </c>
      <c r="H604" s="62">
        <v>6124.74</v>
      </c>
      <c r="I604" s="49">
        <v>0</v>
      </c>
      <c r="J604" s="49">
        <v>0</v>
      </c>
      <c r="K604" s="49">
        <v>0</v>
      </c>
      <c r="L604" s="50">
        <v>0</v>
      </c>
      <c r="M604" s="51"/>
      <c r="N604" s="52" t="s">
        <v>1300</v>
      </c>
      <c r="O604" s="31"/>
      <c r="P604" s="53">
        <v>0</v>
      </c>
      <c r="Q604" s="54">
        <v>0</v>
      </c>
      <c r="R604" s="55">
        <v>0</v>
      </c>
      <c r="S604" s="55">
        <v>0</v>
      </c>
      <c r="T604" s="56">
        <v>0</v>
      </c>
      <c r="U604" s="57"/>
      <c r="V604" s="55">
        <v>0</v>
      </c>
      <c r="W604" s="55">
        <v>0</v>
      </c>
      <c r="X604" s="58">
        <v>0</v>
      </c>
      <c r="Y604" s="59">
        <v>0</v>
      </c>
      <c r="Z604" s="58">
        <v>0</v>
      </c>
      <c r="AA604" s="56">
        <v>0</v>
      </c>
      <c r="AB604" s="56">
        <v>0</v>
      </c>
      <c r="AC604" s="60">
        <v>46142</v>
      </c>
    </row>
    <row r="605" spans="1:29" x14ac:dyDescent="0.25">
      <c r="A605" s="43">
        <v>1014</v>
      </c>
      <c r="B605" s="44" t="s">
        <v>167</v>
      </c>
      <c r="C605" s="45">
        <v>10140197</v>
      </c>
      <c r="D605" s="46" t="s">
        <v>964</v>
      </c>
      <c r="E605" s="47" t="s">
        <v>364</v>
      </c>
      <c r="F605" s="47" t="s">
        <v>58</v>
      </c>
      <c r="G605" s="62">
        <v>260.40000000000003</v>
      </c>
      <c r="H605" s="62">
        <v>10169.75</v>
      </c>
      <c r="I605" s="49">
        <v>0</v>
      </c>
      <c r="J605" s="49">
        <v>0</v>
      </c>
      <c r="K605" s="49">
        <v>0</v>
      </c>
      <c r="L605" s="50">
        <v>0</v>
      </c>
      <c r="M605" s="51"/>
      <c r="N605" s="52" t="s">
        <v>1300</v>
      </c>
      <c r="O605" s="31"/>
      <c r="P605" s="53">
        <v>1.8394708908280159E-3</v>
      </c>
      <c r="Q605" s="54">
        <v>1</v>
      </c>
      <c r="R605" s="55">
        <v>0</v>
      </c>
      <c r="S605" s="55">
        <v>0</v>
      </c>
      <c r="T605" s="56">
        <v>0</v>
      </c>
      <c r="U605" s="57"/>
      <c r="V605" s="55">
        <v>0</v>
      </c>
      <c r="W605" s="55">
        <v>0</v>
      </c>
      <c r="X605" s="58">
        <v>0</v>
      </c>
      <c r="Y605" s="59">
        <v>0</v>
      </c>
      <c r="Z605" s="58">
        <v>0</v>
      </c>
      <c r="AA605" s="56">
        <v>0</v>
      </c>
      <c r="AB605" s="56">
        <v>0</v>
      </c>
      <c r="AC605" s="60">
        <v>46142</v>
      </c>
    </row>
    <row r="606" spans="1:29" x14ac:dyDescent="0.25">
      <c r="A606" s="43">
        <v>1014</v>
      </c>
      <c r="B606" s="44" t="s">
        <v>167</v>
      </c>
      <c r="C606" s="45">
        <v>10140198</v>
      </c>
      <c r="D606" s="46" t="s">
        <v>965</v>
      </c>
      <c r="E606" s="47" t="s">
        <v>371</v>
      </c>
      <c r="F606" s="47" t="s">
        <v>59</v>
      </c>
      <c r="G606" s="62">
        <v>407.4</v>
      </c>
      <c r="H606" s="62">
        <v>15621.63</v>
      </c>
      <c r="I606" s="49">
        <v>0</v>
      </c>
      <c r="J606" s="49">
        <v>6400</v>
      </c>
      <c r="K606" s="49">
        <v>0</v>
      </c>
      <c r="L606" s="50">
        <v>0</v>
      </c>
      <c r="M606" s="51"/>
      <c r="N606" s="52" t="s">
        <v>1300</v>
      </c>
      <c r="O606" s="31"/>
      <c r="P606" s="53">
        <v>0</v>
      </c>
      <c r="Q606" s="54">
        <v>0</v>
      </c>
      <c r="R606" s="55">
        <v>6400</v>
      </c>
      <c r="S606" s="55">
        <v>6400</v>
      </c>
      <c r="T606" s="56">
        <v>0</v>
      </c>
      <c r="U606" s="57"/>
      <c r="V606" s="55">
        <v>0</v>
      </c>
      <c r="W606" s="55">
        <v>0</v>
      </c>
      <c r="X606" s="58">
        <v>0</v>
      </c>
      <c r="Y606" s="59">
        <v>0</v>
      </c>
      <c r="Z606" s="58">
        <v>0</v>
      </c>
      <c r="AA606" s="56">
        <v>0</v>
      </c>
      <c r="AB606" s="56">
        <v>0</v>
      </c>
      <c r="AC606" s="60">
        <v>46142</v>
      </c>
    </row>
    <row r="607" spans="1:29" x14ac:dyDescent="0.25">
      <c r="A607" s="43">
        <v>1014</v>
      </c>
      <c r="B607" s="44" t="s">
        <v>167</v>
      </c>
      <c r="C607" s="45">
        <v>10140201</v>
      </c>
      <c r="D607" s="46" t="s">
        <v>966</v>
      </c>
      <c r="E607" s="47" t="s">
        <v>371</v>
      </c>
      <c r="F607" s="47" t="s">
        <v>59</v>
      </c>
      <c r="G607" s="62">
        <v>387.9</v>
      </c>
      <c r="H607" s="62">
        <v>12973.219999999998</v>
      </c>
      <c r="I607" s="49">
        <v>0</v>
      </c>
      <c r="J607" s="49">
        <v>0</v>
      </c>
      <c r="K607" s="49">
        <v>0</v>
      </c>
      <c r="L607" s="50">
        <v>0</v>
      </c>
      <c r="M607" s="51"/>
      <c r="N607" s="52" t="s">
        <v>1300</v>
      </c>
      <c r="O607" s="31"/>
      <c r="P607" s="53">
        <v>0</v>
      </c>
      <c r="Q607" s="54">
        <v>0</v>
      </c>
      <c r="R607" s="55">
        <v>0</v>
      </c>
      <c r="S607" s="55">
        <v>0</v>
      </c>
      <c r="T607" s="56">
        <v>0</v>
      </c>
      <c r="U607" s="57"/>
      <c r="V607" s="55">
        <v>0</v>
      </c>
      <c r="W607" s="55">
        <v>0</v>
      </c>
      <c r="X607" s="58">
        <v>0</v>
      </c>
      <c r="Y607" s="59">
        <v>0</v>
      </c>
      <c r="Z607" s="58">
        <v>0</v>
      </c>
      <c r="AA607" s="56">
        <v>0</v>
      </c>
      <c r="AB607" s="56">
        <v>0</v>
      </c>
      <c r="AC607" s="60">
        <v>46142</v>
      </c>
    </row>
    <row r="608" spans="1:29" x14ac:dyDescent="0.25">
      <c r="A608" s="43">
        <v>1014</v>
      </c>
      <c r="B608" s="44" t="s">
        <v>167</v>
      </c>
      <c r="C608" s="45">
        <v>10140204</v>
      </c>
      <c r="D608" s="46" t="s">
        <v>967</v>
      </c>
      <c r="E608" s="47" t="s">
        <v>371</v>
      </c>
      <c r="F608" s="47" t="s">
        <v>59</v>
      </c>
      <c r="G608" s="62">
        <v>203.8</v>
      </c>
      <c r="H608" s="62">
        <v>7635.87</v>
      </c>
      <c r="I608" s="49">
        <v>0</v>
      </c>
      <c r="J608" s="49">
        <v>0</v>
      </c>
      <c r="K608" s="49">
        <v>0</v>
      </c>
      <c r="L608" s="50">
        <v>0</v>
      </c>
      <c r="M608" s="51"/>
      <c r="N608" s="52" t="s">
        <v>1300</v>
      </c>
      <c r="O608" s="31"/>
      <c r="P608" s="53">
        <v>0</v>
      </c>
      <c r="Q608" s="54">
        <v>0</v>
      </c>
      <c r="R608" s="55">
        <v>0</v>
      </c>
      <c r="S608" s="55">
        <v>0</v>
      </c>
      <c r="T608" s="56">
        <v>0</v>
      </c>
      <c r="U608" s="57"/>
      <c r="V608" s="55">
        <v>0</v>
      </c>
      <c r="W608" s="55">
        <v>0</v>
      </c>
      <c r="X608" s="58">
        <v>0</v>
      </c>
      <c r="Y608" s="59">
        <v>0</v>
      </c>
      <c r="Z608" s="58">
        <v>0</v>
      </c>
      <c r="AA608" s="56">
        <v>0</v>
      </c>
      <c r="AB608" s="56">
        <v>0</v>
      </c>
      <c r="AC608" s="60">
        <v>46142</v>
      </c>
    </row>
    <row r="609" spans="1:29" x14ac:dyDescent="0.25">
      <c r="A609" s="43">
        <v>1014</v>
      </c>
      <c r="B609" s="44" t="s">
        <v>167</v>
      </c>
      <c r="C609" s="45">
        <v>10140205</v>
      </c>
      <c r="D609" s="46" t="s">
        <v>968</v>
      </c>
      <c r="E609" s="47" t="s">
        <v>364</v>
      </c>
      <c r="F609" s="47" t="s">
        <v>58</v>
      </c>
      <c r="G609" s="62">
        <v>268.7</v>
      </c>
      <c r="H609" s="62">
        <v>12117.300000000001</v>
      </c>
      <c r="I609" s="49">
        <v>0</v>
      </c>
      <c r="J609" s="49">
        <v>0</v>
      </c>
      <c r="K609" s="49">
        <v>0</v>
      </c>
      <c r="L609" s="50">
        <v>0</v>
      </c>
      <c r="M609" s="51"/>
      <c r="N609" s="52" t="s">
        <v>1300</v>
      </c>
      <c r="O609" s="31"/>
      <c r="P609" s="53">
        <v>-0.23470884548082088</v>
      </c>
      <c r="Q609" s="54">
        <v>1</v>
      </c>
      <c r="R609" s="55">
        <v>0</v>
      </c>
      <c r="S609" s="55">
        <v>0</v>
      </c>
      <c r="T609" s="56">
        <v>0</v>
      </c>
      <c r="U609" s="57"/>
      <c r="V609" s="55">
        <v>0</v>
      </c>
      <c r="W609" s="55">
        <v>0</v>
      </c>
      <c r="X609" s="58">
        <v>0</v>
      </c>
      <c r="Y609" s="59">
        <v>0</v>
      </c>
      <c r="Z609" s="58">
        <v>0</v>
      </c>
      <c r="AA609" s="56">
        <v>0</v>
      </c>
      <c r="AB609" s="56">
        <v>0</v>
      </c>
      <c r="AC609" s="60">
        <v>46142</v>
      </c>
    </row>
    <row r="610" spans="1:29" x14ac:dyDescent="0.25">
      <c r="A610" s="43">
        <v>1014</v>
      </c>
      <c r="B610" s="44" t="s">
        <v>167</v>
      </c>
      <c r="C610" s="45">
        <v>10140206</v>
      </c>
      <c r="D610" s="46" t="s">
        <v>969</v>
      </c>
      <c r="E610" s="47" t="s">
        <v>364</v>
      </c>
      <c r="F610" s="47" t="s">
        <v>58</v>
      </c>
      <c r="G610" s="62">
        <v>417.1</v>
      </c>
      <c r="H610" s="62">
        <v>18159.590000000004</v>
      </c>
      <c r="I610" s="49">
        <v>0</v>
      </c>
      <c r="J610" s="49">
        <v>0</v>
      </c>
      <c r="K610" s="49">
        <v>0</v>
      </c>
      <c r="L610" s="50">
        <v>0</v>
      </c>
      <c r="M610" s="51"/>
      <c r="N610" s="52" t="s">
        <v>1300</v>
      </c>
      <c r="O610" s="31"/>
      <c r="P610" s="53">
        <v>2.5525154016405659E-3</v>
      </c>
      <c r="Q610" s="54">
        <v>1</v>
      </c>
      <c r="R610" s="55">
        <v>0</v>
      </c>
      <c r="S610" s="55">
        <v>0</v>
      </c>
      <c r="T610" s="56">
        <v>0</v>
      </c>
      <c r="U610" s="57"/>
      <c r="V610" s="55">
        <v>0</v>
      </c>
      <c r="W610" s="55">
        <v>0</v>
      </c>
      <c r="X610" s="58">
        <v>0</v>
      </c>
      <c r="Y610" s="59">
        <v>0</v>
      </c>
      <c r="Z610" s="58">
        <v>0</v>
      </c>
      <c r="AA610" s="56">
        <v>0</v>
      </c>
      <c r="AB610" s="56">
        <v>0</v>
      </c>
      <c r="AC610" s="60">
        <v>46142</v>
      </c>
    </row>
    <row r="611" spans="1:29" x14ac:dyDescent="0.25">
      <c r="A611" s="43">
        <v>1002</v>
      </c>
      <c r="B611" s="44" t="s">
        <v>1284</v>
      </c>
      <c r="C611" s="45">
        <v>10180001</v>
      </c>
      <c r="D611" s="46" t="s">
        <v>970</v>
      </c>
      <c r="E611" s="47" t="s">
        <v>371</v>
      </c>
      <c r="F611" s="47" t="s">
        <v>59</v>
      </c>
      <c r="G611" s="62">
        <v>918.2</v>
      </c>
      <c r="H611" s="62">
        <v>38742.950000000004</v>
      </c>
      <c r="I611" s="49">
        <v>0</v>
      </c>
      <c r="J611" s="49">
        <v>0</v>
      </c>
      <c r="K611" s="49">
        <v>0</v>
      </c>
      <c r="L611" s="50">
        <v>0</v>
      </c>
      <c r="M611" s="51"/>
      <c r="N611" s="52" t="s">
        <v>1300</v>
      </c>
      <c r="O611" s="31"/>
      <c r="P611" s="53">
        <v>0</v>
      </c>
      <c r="Q611" s="54">
        <v>0</v>
      </c>
      <c r="R611" s="55">
        <v>0</v>
      </c>
      <c r="S611" s="55">
        <v>0</v>
      </c>
      <c r="T611" s="56">
        <v>0</v>
      </c>
      <c r="U611" s="57"/>
      <c r="V611" s="55">
        <v>0</v>
      </c>
      <c r="W611" s="55">
        <v>0</v>
      </c>
      <c r="X611" s="58">
        <v>0</v>
      </c>
      <c r="Y611" s="59">
        <v>0</v>
      </c>
      <c r="Z611" s="58">
        <v>0</v>
      </c>
      <c r="AA611" s="56">
        <v>0</v>
      </c>
      <c r="AB611" s="56">
        <v>0</v>
      </c>
      <c r="AC611" s="60">
        <v>46142</v>
      </c>
    </row>
    <row r="612" spans="1:29" x14ac:dyDescent="0.25">
      <c r="A612" s="43">
        <v>1003</v>
      </c>
      <c r="B612" s="44" t="s">
        <v>1285</v>
      </c>
      <c r="C612" s="45">
        <v>10220001</v>
      </c>
      <c r="D612" s="46" t="s">
        <v>971</v>
      </c>
      <c r="E612" s="47" t="s">
        <v>972</v>
      </c>
      <c r="F612" s="47" t="s">
        <v>58</v>
      </c>
      <c r="G612" s="62">
        <v>528</v>
      </c>
      <c r="H612" s="62">
        <v>17635.2</v>
      </c>
      <c r="I612" s="49">
        <v>0</v>
      </c>
      <c r="J612" s="49">
        <v>0</v>
      </c>
      <c r="K612" s="49">
        <v>0</v>
      </c>
      <c r="L612" s="50">
        <v>0</v>
      </c>
      <c r="M612" s="51"/>
      <c r="N612" s="52" t="s">
        <v>1300</v>
      </c>
      <c r="O612" s="31"/>
      <c r="P612" s="53">
        <v>-5.0883137193114006E-2</v>
      </c>
      <c r="Q612" s="54">
        <v>13</v>
      </c>
      <c r="R612" s="55">
        <v>0</v>
      </c>
      <c r="S612" s="55">
        <v>0</v>
      </c>
      <c r="T612" s="56">
        <v>0</v>
      </c>
      <c r="U612" s="57"/>
      <c r="V612" s="55">
        <v>0</v>
      </c>
      <c r="W612" s="55">
        <v>0</v>
      </c>
      <c r="X612" s="58">
        <v>0</v>
      </c>
      <c r="Y612" s="59">
        <v>0</v>
      </c>
      <c r="Z612" s="58">
        <v>0</v>
      </c>
      <c r="AA612" s="56">
        <v>0</v>
      </c>
      <c r="AB612" s="56">
        <v>0</v>
      </c>
      <c r="AC612" s="60">
        <v>46142</v>
      </c>
    </row>
    <row r="613" spans="1:29" x14ac:dyDescent="0.25">
      <c r="A613" s="43">
        <v>1003</v>
      </c>
      <c r="B613" s="44" t="s">
        <v>1285</v>
      </c>
      <c r="C613" s="45">
        <v>10240001</v>
      </c>
      <c r="D613" s="46" t="s">
        <v>973</v>
      </c>
      <c r="E613" s="47" t="s">
        <v>972</v>
      </c>
      <c r="F613" s="47" t="s">
        <v>58</v>
      </c>
      <c r="G613" s="62">
        <v>1144</v>
      </c>
      <c r="H613" s="62">
        <v>39570.959999999999</v>
      </c>
      <c r="I613" s="49">
        <v>0</v>
      </c>
      <c r="J613" s="49">
        <v>0</v>
      </c>
      <c r="K613" s="49">
        <v>0</v>
      </c>
      <c r="L613" s="50" t="s">
        <v>366</v>
      </c>
      <c r="M613" s="51" t="s">
        <v>367</v>
      </c>
      <c r="N613" s="52" t="s">
        <v>1300</v>
      </c>
      <c r="O613" s="31"/>
      <c r="P613" s="53">
        <v>-2.3981424859751192E-2</v>
      </c>
      <c r="Q613" s="54">
        <v>49</v>
      </c>
      <c r="R613" s="55">
        <v>0</v>
      </c>
      <c r="S613" s="55">
        <v>0</v>
      </c>
      <c r="T613" s="56">
        <v>0</v>
      </c>
      <c r="U613" s="57"/>
      <c r="V613" s="55">
        <v>0</v>
      </c>
      <c r="W613" s="55">
        <v>0</v>
      </c>
      <c r="X613" s="58">
        <v>0</v>
      </c>
      <c r="Y613" s="59">
        <v>0</v>
      </c>
      <c r="Z613" s="58">
        <v>0</v>
      </c>
      <c r="AA613" s="56">
        <v>0</v>
      </c>
      <c r="AB613" s="56">
        <v>0</v>
      </c>
      <c r="AC613" s="60">
        <v>46142</v>
      </c>
    </row>
    <row r="614" spans="1:29" x14ac:dyDescent="0.25">
      <c r="A614" s="43">
        <v>1003</v>
      </c>
      <c r="B614" s="44" t="s">
        <v>1285</v>
      </c>
      <c r="C614" s="45">
        <v>10250001</v>
      </c>
      <c r="D614" s="46" t="s">
        <v>974</v>
      </c>
      <c r="E614" s="47" t="s">
        <v>972</v>
      </c>
      <c r="F614" s="47" t="s">
        <v>58</v>
      </c>
      <c r="G614" s="62">
        <v>326.10000000000002</v>
      </c>
      <c r="H614" s="62">
        <v>14729.05</v>
      </c>
      <c r="I614" s="49">
        <v>0</v>
      </c>
      <c r="J614" s="49">
        <v>0</v>
      </c>
      <c r="K614" s="49">
        <v>0</v>
      </c>
      <c r="L614" s="50">
        <v>0</v>
      </c>
      <c r="M614" s="51"/>
      <c r="N614" s="52" t="s">
        <v>1300</v>
      </c>
      <c r="O614" s="31"/>
      <c r="P614" s="53">
        <v>-6.7848864330491048E-3</v>
      </c>
      <c r="Q614" s="54">
        <v>13</v>
      </c>
      <c r="R614" s="55">
        <v>0</v>
      </c>
      <c r="S614" s="55">
        <v>0</v>
      </c>
      <c r="T614" s="56">
        <v>0</v>
      </c>
      <c r="U614" s="57"/>
      <c r="V614" s="55">
        <v>0</v>
      </c>
      <c r="W614" s="55">
        <v>0</v>
      </c>
      <c r="X614" s="58">
        <v>0</v>
      </c>
      <c r="Y614" s="59">
        <v>0</v>
      </c>
      <c r="Z614" s="58">
        <v>0</v>
      </c>
      <c r="AA614" s="56">
        <v>0</v>
      </c>
      <c r="AB614" s="56">
        <v>0</v>
      </c>
      <c r="AC614" s="60">
        <v>46142</v>
      </c>
    </row>
    <row r="615" spans="1:29" x14ac:dyDescent="0.25">
      <c r="A615" s="43">
        <v>1003</v>
      </c>
      <c r="B615" s="44" t="s">
        <v>1285</v>
      </c>
      <c r="C615" s="45">
        <v>10260001</v>
      </c>
      <c r="D615" s="46" t="s">
        <v>975</v>
      </c>
      <c r="E615" s="47" t="s">
        <v>972</v>
      </c>
      <c r="F615" s="47" t="s">
        <v>58</v>
      </c>
      <c r="G615" s="62">
        <v>930.25</v>
      </c>
      <c r="H615" s="62">
        <v>34204.350000000006</v>
      </c>
      <c r="I615" s="49">
        <v>0</v>
      </c>
      <c r="J615" s="49">
        <v>0</v>
      </c>
      <c r="K615" s="49">
        <v>0</v>
      </c>
      <c r="L615" s="50" t="s">
        <v>366</v>
      </c>
      <c r="M615" s="51" t="s">
        <v>367</v>
      </c>
      <c r="N615" s="52" t="s">
        <v>1300</v>
      </c>
      <c r="O615" s="31"/>
      <c r="P615" s="53">
        <v>-0.22263943034887893</v>
      </c>
      <c r="Q615" s="54">
        <v>14</v>
      </c>
      <c r="R615" s="55">
        <v>0</v>
      </c>
      <c r="S615" s="55">
        <v>0</v>
      </c>
      <c r="T615" s="56">
        <v>0</v>
      </c>
      <c r="U615" s="57"/>
      <c r="V615" s="55">
        <v>0</v>
      </c>
      <c r="W615" s="55">
        <v>0</v>
      </c>
      <c r="X615" s="58">
        <v>0</v>
      </c>
      <c r="Y615" s="59">
        <v>0</v>
      </c>
      <c r="Z615" s="58">
        <v>0</v>
      </c>
      <c r="AA615" s="56">
        <v>0</v>
      </c>
      <c r="AB615" s="56">
        <v>0</v>
      </c>
      <c r="AC615" s="60">
        <v>46142</v>
      </c>
    </row>
    <row r="616" spans="1:29" x14ac:dyDescent="0.25">
      <c r="A616" s="43">
        <v>1006</v>
      </c>
      <c r="B616" s="44" t="s">
        <v>1287</v>
      </c>
      <c r="C616" s="45">
        <v>10290001</v>
      </c>
      <c r="D616" s="46" t="s">
        <v>976</v>
      </c>
      <c r="E616" s="47" t="s">
        <v>972</v>
      </c>
      <c r="F616" s="47" t="s">
        <v>58</v>
      </c>
      <c r="G616" s="62">
        <v>1850.6999999999998</v>
      </c>
      <c r="H616" s="62">
        <v>64912.499999999993</v>
      </c>
      <c r="I616" s="49">
        <v>0</v>
      </c>
      <c r="J616" s="49">
        <v>0</v>
      </c>
      <c r="K616" s="49">
        <v>0</v>
      </c>
      <c r="L616" s="50">
        <v>0</v>
      </c>
      <c r="M616" s="51"/>
      <c r="N616" s="52" t="s">
        <v>1300</v>
      </c>
      <c r="O616" s="31"/>
      <c r="P616" s="53">
        <v>-2.7169294014558237E-2</v>
      </c>
      <c r="Q616" s="54">
        <v>14</v>
      </c>
      <c r="R616" s="55">
        <v>0</v>
      </c>
      <c r="S616" s="55">
        <v>0</v>
      </c>
      <c r="T616" s="56">
        <v>0</v>
      </c>
      <c r="U616" s="57"/>
      <c r="V616" s="55">
        <v>0</v>
      </c>
      <c r="W616" s="55">
        <v>0</v>
      </c>
      <c r="X616" s="58">
        <v>0</v>
      </c>
      <c r="Y616" s="59">
        <v>0</v>
      </c>
      <c r="Z616" s="58">
        <v>0</v>
      </c>
      <c r="AA616" s="56">
        <v>0</v>
      </c>
      <c r="AB616" s="56">
        <v>0</v>
      </c>
      <c r="AC616" s="60">
        <v>46142</v>
      </c>
    </row>
    <row r="617" spans="1:29" x14ac:dyDescent="0.25">
      <c r="A617" s="43">
        <v>1006</v>
      </c>
      <c r="B617" s="44" t="s">
        <v>1287</v>
      </c>
      <c r="C617" s="45">
        <v>10300001</v>
      </c>
      <c r="D617" s="46" t="s">
        <v>977</v>
      </c>
      <c r="E617" s="47" t="s">
        <v>371</v>
      </c>
      <c r="F617" s="47" t="s">
        <v>59</v>
      </c>
      <c r="G617" s="62">
        <v>558.20000000000016</v>
      </c>
      <c r="H617" s="62">
        <v>31340.400000000005</v>
      </c>
      <c r="I617" s="49">
        <v>0</v>
      </c>
      <c r="J617" s="49">
        <v>0</v>
      </c>
      <c r="K617" s="49">
        <v>0</v>
      </c>
      <c r="L617" s="50">
        <v>0</v>
      </c>
      <c r="M617" s="51"/>
      <c r="N617" s="52" t="s">
        <v>1300</v>
      </c>
      <c r="O617" s="31"/>
      <c r="P617" s="53">
        <v>0</v>
      </c>
      <c r="Q617" s="54">
        <v>0</v>
      </c>
      <c r="R617" s="55">
        <v>0</v>
      </c>
      <c r="S617" s="55">
        <v>0</v>
      </c>
      <c r="T617" s="56">
        <v>0</v>
      </c>
      <c r="U617" s="57"/>
      <c r="V617" s="55">
        <v>0</v>
      </c>
      <c r="W617" s="55">
        <v>0</v>
      </c>
      <c r="X617" s="58">
        <v>0</v>
      </c>
      <c r="Y617" s="59">
        <v>0</v>
      </c>
      <c r="Z617" s="58">
        <v>0</v>
      </c>
      <c r="AA617" s="56">
        <v>0</v>
      </c>
      <c r="AB617" s="56">
        <v>0</v>
      </c>
      <c r="AC617" s="60">
        <v>46142</v>
      </c>
    </row>
    <row r="618" spans="1:29" x14ac:dyDescent="0.25">
      <c r="A618" s="43">
        <v>1006</v>
      </c>
      <c r="B618" s="44" t="s">
        <v>1287</v>
      </c>
      <c r="C618" s="45">
        <v>10310001</v>
      </c>
      <c r="D618" s="46" t="s">
        <v>978</v>
      </c>
      <c r="E618" s="47" t="s">
        <v>972</v>
      </c>
      <c r="F618" s="47" t="s">
        <v>58</v>
      </c>
      <c r="G618" s="62">
        <v>768.5</v>
      </c>
      <c r="H618" s="62">
        <v>29932.869999999995</v>
      </c>
      <c r="I618" s="49">
        <v>0</v>
      </c>
      <c r="J618" s="49">
        <v>0</v>
      </c>
      <c r="K618" s="49">
        <v>311.93</v>
      </c>
      <c r="L618" s="50" t="s">
        <v>409</v>
      </c>
      <c r="M618" s="51" t="s">
        <v>367</v>
      </c>
      <c r="N618" s="52" t="s">
        <v>1300</v>
      </c>
      <c r="O618" s="31"/>
      <c r="P618" s="53">
        <v>-1.903678211945619E-2</v>
      </c>
      <c r="Q618" s="54">
        <v>18</v>
      </c>
      <c r="R618" s="55">
        <v>21750</v>
      </c>
      <c r="S618" s="55">
        <v>0</v>
      </c>
      <c r="T618" s="56">
        <v>21750</v>
      </c>
      <c r="U618" s="57"/>
      <c r="V618" s="55">
        <v>311.93074615384558</v>
      </c>
      <c r="W618" s="55">
        <v>0</v>
      </c>
      <c r="X618" s="58">
        <v>0</v>
      </c>
      <c r="Y618" s="59">
        <v>311.93074615384558</v>
      </c>
      <c r="Z618" s="58">
        <v>311.93</v>
      </c>
      <c r="AA618" s="56">
        <v>-7.4615384556864228E-4</v>
      </c>
      <c r="AB618" s="56">
        <v>-7.4615384556864228E-4</v>
      </c>
      <c r="AC618" s="60">
        <v>46142</v>
      </c>
    </row>
    <row r="619" spans="1:29" x14ac:dyDescent="0.25">
      <c r="A619" s="43">
        <v>1006</v>
      </c>
      <c r="B619" s="44" t="s">
        <v>1287</v>
      </c>
      <c r="C619" s="45">
        <v>10320001</v>
      </c>
      <c r="D619" s="46" t="s">
        <v>979</v>
      </c>
      <c r="E619" s="47" t="s">
        <v>371</v>
      </c>
      <c r="F619" s="47" t="s">
        <v>59</v>
      </c>
      <c r="G619" s="62">
        <v>2313.2000000000003</v>
      </c>
      <c r="H619" s="62">
        <v>87009.180000000008</v>
      </c>
      <c r="I619" s="49">
        <v>0</v>
      </c>
      <c r="J619" s="49">
        <v>0</v>
      </c>
      <c r="K619" s="49">
        <v>0</v>
      </c>
      <c r="L619" s="50">
        <v>0</v>
      </c>
      <c r="M619" s="51"/>
      <c r="N619" s="52" t="s">
        <v>1300</v>
      </c>
      <c r="O619" s="31"/>
      <c r="P619" s="53">
        <v>0</v>
      </c>
      <c r="Q619" s="54">
        <v>0</v>
      </c>
      <c r="R619" s="55">
        <v>0</v>
      </c>
      <c r="S619" s="55">
        <v>0</v>
      </c>
      <c r="T619" s="56">
        <v>0</v>
      </c>
      <c r="U619" s="57"/>
      <c r="V619" s="55">
        <v>0</v>
      </c>
      <c r="W619" s="55">
        <v>0</v>
      </c>
      <c r="X619" s="58">
        <v>0</v>
      </c>
      <c r="Y619" s="59">
        <v>0</v>
      </c>
      <c r="Z619" s="58">
        <v>0</v>
      </c>
      <c r="AA619" s="56">
        <v>0</v>
      </c>
      <c r="AB619" s="56">
        <v>0</v>
      </c>
      <c r="AC619" s="60">
        <v>46142</v>
      </c>
    </row>
    <row r="620" spans="1:29" x14ac:dyDescent="0.25">
      <c r="A620" s="43">
        <v>1006</v>
      </c>
      <c r="B620" s="44" t="s">
        <v>1287</v>
      </c>
      <c r="C620" s="45">
        <v>10330001</v>
      </c>
      <c r="D620" s="46" t="s">
        <v>980</v>
      </c>
      <c r="E620" s="47" t="s">
        <v>371</v>
      </c>
      <c r="F620" s="47" t="s">
        <v>59</v>
      </c>
      <c r="G620" s="62">
        <v>367.3</v>
      </c>
      <c r="H620" s="62">
        <v>12690.630000000001</v>
      </c>
      <c r="I620" s="49">
        <v>0</v>
      </c>
      <c r="J620" s="49">
        <v>9580</v>
      </c>
      <c r="K620" s="49">
        <v>3110.8166322580632</v>
      </c>
      <c r="L620" s="50">
        <v>0</v>
      </c>
      <c r="M620" s="51"/>
      <c r="N620" s="52" t="s">
        <v>1300</v>
      </c>
      <c r="O620" s="31"/>
      <c r="P620" s="53">
        <v>0</v>
      </c>
      <c r="Q620" s="54">
        <v>0</v>
      </c>
      <c r="R620" s="55">
        <v>37274</v>
      </c>
      <c r="S620" s="55">
        <v>9580</v>
      </c>
      <c r="T620" s="56">
        <v>27694</v>
      </c>
      <c r="U620" s="57"/>
      <c r="V620" s="55">
        <v>3110.8166322580632</v>
      </c>
      <c r="W620" s="55">
        <v>0</v>
      </c>
      <c r="X620" s="58">
        <v>0</v>
      </c>
      <c r="Y620" s="59">
        <v>3110.8166322580632</v>
      </c>
      <c r="Z620" s="58">
        <v>3110.8166322580632</v>
      </c>
      <c r="AA620" s="56">
        <v>0</v>
      </c>
      <c r="AB620" s="56">
        <v>0</v>
      </c>
      <c r="AC620" s="60">
        <v>46142</v>
      </c>
    </row>
    <row r="621" spans="1:29" x14ac:dyDescent="0.25">
      <c r="A621" s="43">
        <v>1006</v>
      </c>
      <c r="B621" s="44" t="s">
        <v>1287</v>
      </c>
      <c r="C621" s="45">
        <v>10340001</v>
      </c>
      <c r="D621" s="46" t="s">
        <v>981</v>
      </c>
      <c r="E621" s="47" t="s">
        <v>371</v>
      </c>
      <c r="F621" s="47" t="s">
        <v>59</v>
      </c>
      <c r="G621" s="62">
        <v>1707.6000000000001</v>
      </c>
      <c r="H621" s="62">
        <v>62872.539999999994</v>
      </c>
      <c r="I621" s="49">
        <v>0</v>
      </c>
      <c r="J621" s="49">
        <v>0</v>
      </c>
      <c r="K621" s="49">
        <v>0</v>
      </c>
      <c r="L621" s="50">
        <v>0</v>
      </c>
      <c r="M621" s="51"/>
      <c r="N621" s="52" t="s">
        <v>1300</v>
      </c>
      <c r="O621" s="31"/>
      <c r="P621" s="53">
        <v>0</v>
      </c>
      <c r="Q621" s="54">
        <v>0</v>
      </c>
      <c r="R621" s="55">
        <v>0</v>
      </c>
      <c r="S621" s="55">
        <v>0</v>
      </c>
      <c r="T621" s="56">
        <v>0</v>
      </c>
      <c r="U621" s="57"/>
      <c r="V621" s="55">
        <v>0</v>
      </c>
      <c r="W621" s="55">
        <v>0</v>
      </c>
      <c r="X621" s="58">
        <v>0</v>
      </c>
      <c r="Y621" s="59">
        <v>0</v>
      </c>
      <c r="Z621" s="58">
        <v>0</v>
      </c>
      <c r="AA621" s="56">
        <v>0</v>
      </c>
      <c r="AB621" s="56">
        <v>0</v>
      </c>
      <c r="AC621" s="60">
        <v>46142</v>
      </c>
    </row>
    <row r="622" spans="1:29" x14ac:dyDescent="0.25">
      <c r="A622" s="43">
        <v>1006</v>
      </c>
      <c r="B622" s="44" t="s">
        <v>1287</v>
      </c>
      <c r="C622" s="45">
        <v>10350001</v>
      </c>
      <c r="D622" s="46" t="s">
        <v>982</v>
      </c>
      <c r="E622" s="47" t="s">
        <v>972</v>
      </c>
      <c r="F622" s="47" t="s">
        <v>58</v>
      </c>
      <c r="G622" s="62">
        <v>1867</v>
      </c>
      <c r="H622" s="62">
        <v>68493.440000000002</v>
      </c>
      <c r="I622" s="49">
        <v>0</v>
      </c>
      <c r="J622" s="49">
        <v>0</v>
      </c>
      <c r="K622" s="49">
        <v>8742</v>
      </c>
      <c r="L622" s="50" t="s">
        <v>409</v>
      </c>
      <c r="M622" s="51" t="s">
        <v>367</v>
      </c>
      <c r="N622" s="52" t="s">
        <v>1300</v>
      </c>
      <c r="O622" s="31"/>
      <c r="P622" s="53">
        <v>-2.0514825863137662E-2</v>
      </c>
      <c r="Q622" s="54">
        <v>19</v>
      </c>
      <c r="R622" s="55">
        <v>0</v>
      </c>
      <c r="S622" s="55">
        <v>0</v>
      </c>
      <c r="T622" s="56">
        <v>0</v>
      </c>
      <c r="U622" s="57"/>
      <c r="V622" s="55">
        <v>21787.983272727273</v>
      </c>
      <c r="W622" s="55">
        <v>0</v>
      </c>
      <c r="X622" s="58">
        <v>0</v>
      </c>
      <c r="Y622" s="59">
        <v>21787.983272727273</v>
      </c>
      <c r="Z622" s="58">
        <v>8742</v>
      </c>
      <c r="AA622" s="56">
        <v>-13045.983272727273</v>
      </c>
      <c r="AB622" s="56">
        <v>-13045.983272727273</v>
      </c>
      <c r="AC622" s="60">
        <v>46142</v>
      </c>
    </row>
    <row r="623" spans="1:29" x14ac:dyDescent="0.25">
      <c r="A623" s="43">
        <v>1036</v>
      </c>
      <c r="B623" s="44" t="s">
        <v>983</v>
      </c>
      <c r="C623" s="45">
        <v>10360001</v>
      </c>
      <c r="D623" s="46" t="s">
        <v>983</v>
      </c>
      <c r="E623" s="47" t="s">
        <v>972</v>
      </c>
      <c r="F623" s="47" t="s">
        <v>58</v>
      </c>
      <c r="G623" s="62">
        <v>2500.6</v>
      </c>
      <c r="H623" s="62">
        <v>92858.589999999967</v>
      </c>
      <c r="I623" s="49">
        <v>0</v>
      </c>
      <c r="J623" s="49">
        <v>0</v>
      </c>
      <c r="K623" s="49">
        <v>0</v>
      </c>
      <c r="L623" s="50">
        <v>0</v>
      </c>
      <c r="M623" s="51"/>
      <c r="N623" s="52" t="s">
        <v>1300</v>
      </c>
      <c r="O623" s="31"/>
      <c r="P623" s="53">
        <v>2.6355205018188672E-5</v>
      </c>
      <c r="Q623" s="54">
        <v>11</v>
      </c>
      <c r="R623" s="55">
        <v>0</v>
      </c>
      <c r="S623" s="55">
        <v>0</v>
      </c>
      <c r="T623" s="56">
        <v>0</v>
      </c>
      <c r="U623" s="57"/>
      <c r="V623" s="55">
        <v>0</v>
      </c>
      <c r="W623" s="55">
        <v>0</v>
      </c>
      <c r="X623" s="58">
        <v>0</v>
      </c>
      <c r="Y623" s="59">
        <v>0</v>
      </c>
      <c r="Z623" s="58">
        <v>0</v>
      </c>
      <c r="AA623" s="56">
        <v>0</v>
      </c>
      <c r="AB623" s="56">
        <v>0</v>
      </c>
      <c r="AC623" s="60">
        <v>46142</v>
      </c>
    </row>
    <row r="624" spans="1:29" x14ac:dyDescent="0.25">
      <c r="A624" s="43">
        <v>1007</v>
      </c>
      <c r="B624" s="44" t="s">
        <v>592</v>
      </c>
      <c r="C624" s="45">
        <v>10370001</v>
      </c>
      <c r="D624" s="46" t="s">
        <v>984</v>
      </c>
      <c r="E624" s="47" t="s">
        <v>972</v>
      </c>
      <c r="F624" s="47" t="s">
        <v>58</v>
      </c>
      <c r="G624" s="62">
        <v>133</v>
      </c>
      <c r="H624" s="62">
        <v>4339.79</v>
      </c>
      <c r="I624" s="49">
        <v>0</v>
      </c>
      <c r="J624" s="49">
        <v>0</v>
      </c>
      <c r="K624" s="49">
        <v>0</v>
      </c>
      <c r="L624" s="50" t="s">
        <v>409</v>
      </c>
      <c r="M624" s="51" t="s">
        <v>367</v>
      </c>
      <c r="N624" s="52" t="s">
        <v>1300</v>
      </c>
      <c r="O624" s="31"/>
      <c r="P624" s="53">
        <v>-4.2234753294808085E-5</v>
      </c>
      <c r="Q624" s="54">
        <v>2</v>
      </c>
      <c r="R624" s="55">
        <v>0</v>
      </c>
      <c r="S624" s="55">
        <v>0</v>
      </c>
      <c r="T624" s="56">
        <v>0</v>
      </c>
      <c r="U624" s="57"/>
      <c r="V624" s="55">
        <v>9784.5468000000001</v>
      </c>
      <c r="W624" s="55">
        <v>0</v>
      </c>
      <c r="X624" s="58">
        <v>0</v>
      </c>
      <c r="Y624" s="59">
        <v>9784.5468000000001</v>
      </c>
      <c r="Z624" s="58">
        <v>0</v>
      </c>
      <c r="AA624" s="56">
        <v>-9784.5468000000001</v>
      </c>
      <c r="AB624" s="56">
        <v>-9784.5468000000001</v>
      </c>
      <c r="AC624" s="60">
        <v>46142</v>
      </c>
    </row>
    <row r="625" spans="1:29" x14ac:dyDescent="0.25">
      <c r="A625" s="43">
        <v>1007</v>
      </c>
      <c r="B625" s="44" t="s">
        <v>592</v>
      </c>
      <c r="C625" s="45">
        <v>10380001</v>
      </c>
      <c r="D625" s="46" t="s">
        <v>985</v>
      </c>
      <c r="E625" s="47" t="s">
        <v>972</v>
      </c>
      <c r="F625" s="47" t="s">
        <v>58</v>
      </c>
      <c r="G625" s="62">
        <v>787</v>
      </c>
      <c r="H625" s="62">
        <v>27077.93</v>
      </c>
      <c r="I625" s="49">
        <v>0</v>
      </c>
      <c r="J625" s="49">
        <v>0</v>
      </c>
      <c r="K625" s="49">
        <v>5764.5</v>
      </c>
      <c r="L625" s="50" t="s">
        <v>366</v>
      </c>
      <c r="M625" s="51" t="s">
        <v>367</v>
      </c>
      <c r="N625" s="52" t="s">
        <v>1300</v>
      </c>
      <c r="O625" s="31"/>
      <c r="P625" s="53">
        <v>9.0366139508962903E-5</v>
      </c>
      <c r="Q625" s="54">
        <v>8</v>
      </c>
      <c r="R625" s="55">
        <v>0</v>
      </c>
      <c r="S625" s="55">
        <v>0</v>
      </c>
      <c r="T625" s="56">
        <v>0</v>
      </c>
      <c r="U625" s="57"/>
      <c r="V625" s="55">
        <v>5764.4979999999996</v>
      </c>
      <c r="W625" s="55">
        <v>0</v>
      </c>
      <c r="X625" s="58">
        <v>0</v>
      </c>
      <c r="Y625" s="59">
        <v>5764.4979999999996</v>
      </c>
      <c r="Z625" s="58">
        <v>5764.5</v>
      </c>
      <c r="AA625" s="56">
        <v>2.0000000004074536E-3</v>
      </c>
      <c r="AB625" s="56">
        <v>2.0000000004074536E-3</v>
      </c>
      <c r="AC625" s="60">
        <v>46142</v>
      </c>
    </row>
    <row r="626" spans="1:29" x14ac:dyDescent="0.25">
      <c r="A626" s="43">
        <v>1007</v>
      </c>
      <c r="B626" s="44" t="s">
        <v>592</v>
      </c>
      <c r="C626" s="45">
        <v>10390001</v>
      </c>
      <c r="D626" s="46" t="s">
        <v>986</v>
      </c>
      <c r="E626" s="47" t="s">
        <v>972</v>
      </c>
      <c r="F626" s="47" t="s">
        <v>59</v>
      </c>
      <c r="G626" s="62">
        <v>622</v>
      </c>
      <c r="H626" s="62">
        <v>21306.58</v>
      </c>
      <c r="I626" s="49">
        <v>0</v>
      </c>
      <c r="J626" s="49">
        <v>0</v>
      </c>
      <c r="K626" s="49">
        <v>0</v>
      </c>
      <c r="L626" s="50">
        <v>0</v>
      </c>
      <c r="M626" s="51"/>
      <c r="N626" s="52" t="s">
        <v>1300</v>
      </c>
      <c r="O626" s="31"/>
      <c r="P626" s="53">
        <v>0</v>
      </c>
      <c r="Q626" s="54">
        <v>5</v>
      </c>
      <c r="R626" s="55">
        <v>0</v>
      </c>
      <c r="S626" s="55">
        <v>0</v>
      </c>
      <c r="T626" s="56">
        <v>0</v>
      </c>
      <c r="U626" s="57"/>
      <c r="V626" s="55">
        <v>0</v>
      </c>
      <c r="W626" s="55">
        <v>0</v>
      </c>
      <c r="X626" s="58">
        <v>0</v>
      </c>
      <c r="Y626" s="59">
        <v>0</v>
      </c>
      <c r="Z626" s="58">
        <v>0</v>
      </c>
      <c r="AA626" s="56">
        <v>0</v>
      </c>
      <c r="AB626" s="56">
        <v>0</v>
      </c>
      <c r="AC626" s="60">
        <v>46142</v>
      </c>
    </row>
    <row r="627" spans="1:29" x14ac:dyDescent="0.25">
      <c r="A627" s="43">
        <v>1007</v>
      </c>
      <c r="B627" s="44" t="s">
        <v>592</v>
      </c>
      <c r="C627" s="45">
        <v>10400001</v>
      </c>
      <c r="D627" s="46" t="s">
        <v>987</v>
      </c>
      <c r="E627" s="47" t="s">
        <v>972</v>
      </c>
      <c r="F627" s="47" t="s">
        <v>58</v>
      </c>
      <c r="G627" s="62">
        <v>1985</v>
      </c>
      <c r="H627" s="62">
        <v>67333.549999999988</v>
      </c>
      <c r="I627" s="49">
        <v>0</v>
      </c>
      <c r="J627" s="49">
        <v>0</v>
      </c>
      <c r="K627" s="49">
        <v>11267.25</v>
      </c>
      <c r="L627" s="50" t="s">
        <v>366</v>
      </c>
      <c r="M627" s="51" t="s">
        <v>367</v>
      </c>
      <c r="N627" s="52" t="s">
        <v>1300</v>
      </c>
      <c r="O627" s="31"/>
      <c r="P627" s="53">
        <v>-5.1418052367802451E-5</v>
      </c>
      <c r="Q627" s="54">
        <v>7</v>
      </c>
      <c r="R627" s="55">
        <v>0</v>
      </c>
      <c r="S627" s="55">
        <v>0</v>
      </c>
      <c r="T627" s="56">
        <v>0</v>
      </c>
      <c r="U627" s="57"/>
      <c r="V627" s="55">
        <v>11267.252400000003</v>
      </c>
      <c r="W627" s="55">
        <v>0</v>
      </c>
      <c r="X627" s="58">
        <v>0</v>
      </c>
      <c r="Y627" s="59">
        <v>11267.252400000003</v>
      </c>
      <c r="Z627" s="58">
        <v>11267.25</v>
      </c>
      <c r="AA627" s="56">
        <v>-2.4000000030355295E-3</v>
      </c>
      <c r="AB627" s="56">
        <v>-2.4000000030355295E-3</v>
      </c>
      <c r="AC627" s="60">
        <v>46142</v>
      </c>
    </row>
    <row r="628" spans="1:29" x14ac:dyDescent="0.25">
      <c r="A628" s="43">
        <v>1007</v>
      </c>
      <c r="B628" s="44" t="s">
        <v>592</v>
      </c>
      <c r="C628" s="45">
        <v>10410001</v>
      </c>
      <c r="D628" s="46" t="s">
        <v>988</v>
      </c>
      <c r="E628" s="47" t="s">
        <v>972</v>
      </c>
      <c r="F628" s="47" t="s">
        <v>58</v>
      </c>
      <c r="G628" s="62">
        <v>2741</v>
      </c>
      <c r="H628" s="62">
        <v>92974.39</v>
      </c>
      <c r="I628" s="49">
        <v>0</v>
      </c>
      <c r="J628" s="49">
        <v>0</v>
      </c>
      <c r="K628" s="49">
        <v>13980.396000000004</v>
      </c>
      <c r="L628" s="50">
        <v>0</v>
      </c>
      <c r="M628" s="51"/>
      <c r="N628" s="52" t="s">
        <v>1300</v>
      </c>
      <c r="O628" s="31"/>
      <c r="P628" s="53">
        <v>-7.8725558726446335E-4</v>
      </c>
      <c r="Q628" s="54">
        <v>8</v>
      </c>
      <c r="R628" s="55">
        <v>0</v>
      </c>
      <c r="S628" s="55">
        <v>0</v>
      </c>
      <c r="T628" s="56">
        <v>0</v>
      </c>
      <c r="U628" s="57"/>
      <c r="V628" s="55">
        <v>13980.396000000004</v>
      </c>
      <c r="W628" s="55">
        <v>0</v>
      </c>
      <c r="X628" s="58">
        <v>0</v>
      </c>
      <c r="Y628" s="59">
        <v>13980.396000000004</v>
      </c>
      <c r="Z628" s="58">
        <v>13980.396000000004</v>
      </c>
      <c r="AA628" s="56">
        <v>0</v>
      </c>
      <c r="AB628" s="56">
        <v>0</v>
      </c>
      <c r="AC628" s="60">
        <v>46142</v>
      </c>
    </row>
    <row r="629" spans="1:29" x14ac:dyDescent="0.25">
      <c r="A629" s="43">
        <v>1011</v>
      </c>
      <c r="B629" s="44" t="s">
        <v>1293</v>
      </c>
      <c r="C629" s="45">
        <v>10440001</v>
      </c>
      <c r="D629" s="46" t="s">
        <v>989</v>
      </c>
      <c r="E629" s="47" t="s">
        <v>364</v>
      </c>
      <c r="F629" s="47" t="s">
        <v>58</v>
      </c>
      <c r="G629" s="62">
        <v>148.49999999999997</v>
      </c>
      <c r="H629" s="62">
        <v>5210.4500000000007</v>
      </c>
      <c r="I629" s="49">
        <v>0</v>
      </c>
      <c r="J629" s="49">
        <v>0</v>
      </c>
      <c r="K629" s="49">
        <v>114.03</v>
      </c>
      <c r="L629" s="50" t="s">
        <v>366</v>
      </c>
      <c r="M629" s="51" t="s">
        <v>367</v>
      </c>
      <c r="N629" s="52" t="s">
        <v>1300</v>
      </c>
      <c r="O629" s="31"/>
      <c r="P629" s="53">
        <v>-0.87031009991075614</v>
      </c>
      <c r="Q629" s="54">
        <v>1</v>
      </c>
      <c r="R629" s="55">
        <v>0</v>
      </c>
      <c r="S629" s="55">
        <v>0</v>
      </c>
      <c r="T629" s="56">
        <v>0</v>
      </c>
      <c r="U629" s="57"/>
      <c r="V629" s="55">
        <v>114.03258750000039</v>
      </c>
      <c r="W629" s="55">
        <v>0</v>
      </c>
      <c r="X629" s="58">
        <v>0</v>
      </c>
      <c r="Y629" s="59">
        <v>114.03258750000039</v>
      </c>
      <c r="Z629" s="58">
        <v>114.03</v>
      </c>
      <c r="AA629" s="56">
        <v>-2.5875000003878768E-3</v>
      </c>
      <c r="AB629" s="56">
        <v>-2.5875000003878768E-3</v>
      </c>
      <c r="AC629" s="60">
        <v>46142</v>
      </c>
    </row>
    <row r="630" spans="1:29" x14ac:dyDescent="0.25">
      <c r="A630" s="43">
        <v>1003</v>
      </c>
      <c r="B630" s="44" t="s">
        <v>1285</v>
      </c>
      <c r="C630" s="45">
        <v>10460001</v>
      </c>
      <c r="D630" s="46" t="s">
        <v>990</v>
      </c>
      <c r="E630" s="47" t="s">
        <v>972</v>
      </c>
      <c r="F630" s="47" t="s">
        <v>58</v>
      </c>
      <c r="G630" s="62">
        <v>168.85</v>
      </c>
      <c r="H630" s="62">
        <v>5885.0700000000006</v>
      </c>
      <c r="I630" s="49">
        <v>0</v>
      </c>
      <c r="J630" s="49">
        <v>0</v>
      </c>
      <c r="K630" s="49">
        <v>0</v>
      </c>
      <c r="L630" s="50">
        <v>0</v>
      </c>
      <c r="M630" s="51"/>
      <c r="N630" s="52" t="s">
        <v>1300</v>
      </c>
      <c r="O630" s="31"/>
      <c r="P630" s="53">
        <v>-7.049373911984079E-2</v>
      </c>
      <c r="Q630" s="54">
        <v>7</v>
      </c>
      <c r="R630" s="55">
        <v>0</v>
      </c>
      <c r="S630" s="55">
        <v>0</v>
      </c>
      <c r="T630" s="56">
        <v>0</v>
      </c>
      <c r="U630" s="57"/>
      <c r="V630" s="55">
        <v>0</v>
      </c>
      <c r="W630" s="55">
        <v>0</v>
      </c>
      <c r="X630" s="58">
        <v>0</v>
      </c>
      <c r="Y630" s="59">
        <v>0</v>
      </c>
      <c r="Z630" s="58">
        <v>0</v>
      </c>
      <c r="AA630" s="56">
        <v>0</v>
      </c>
      <c r="AB630" s="56">
        <v>0</v>
      </c>
      <c r="AC630" s="60">
        <v>46142</v>
      </c>
    </row>
    <row r="631" spans="1:29" x14ac:dyDescent="0.25">
      <c r="A631" s="43">
        <v>1003</v>
      </c>
      <c r="B631" s="44" t="s">
        <v>1285</v>
      </c>
      <c r="C631" s="45">
        <v>10460002</v>
      </c>
      <c r="D631" s="46" t="s">
        <v>991</v>
      </c>
      <c r="E631" s="47" t="s">
        <v>364</v>
      </c>
      <c r="F631" s="47" t="s">
        <v>58</v>
      </c>
      <c r="G631" s="62">
        <v>500.15</v>
      </c>
      <c r="H631" s="62">
        <v>14825.130000000001</v>
      </c>
      <c r="I631" s="49">
        <v>0</v>
      </c>
      <c r="J631" s="49">
        <v>0</v>
      </c>
      <c r="K631" s="49">
        <v>0</v>
      </c>
      <c r="L631" s="50">
        <v>0</v>
      </c>
      <c r="M631" s="51"/>
      <c r="N631" s="52" t="s">
        <v>1300</v>
      </c>
      <c r="O631" s="31"/>
      <c r="P631" s="53">
        <v>0.13294397707514213</v>
      </c>
      <c r="Q631" s="54">
        <v>4</v>
      </c>
      <c r="R631" s="55">
        <v>0</v>
      </c>
      <c r="S631" s="55">
        <v>0</v>
      </c>
      <c r="T631" s="56">
        <v>0</v>
      </c>
      <c r="U631" s="57"/>
      <c r="V631" s="55">
        <v>0</v>
      </c>
      <c r="W631" s="55">
        <v>0</v>
      </c>
      <c r="X631" s="58">
        <v>0</v>
      </c>
      <c r="Y631" s="59">
        <v>0</v>
      </c>
      <c r="Z631" s="58">
        <v>0</v>
      </c>
      <c r="AA631" s="56">
        <v>0</v>
      </c>
      <c r="AB631" s="56">
        <v>0</v>
      </c>
      <c r="AC631" s="60">
        <v>46142</v>
      </c>
    </row>
    <row r="632" spans="1:29" x14ac:dyDescent="0.25">
      <c r="A632" s="43">
        <v>1036</v>
      </c>
      <c r="B632" s="44" t="s">
        <v>983</v>
      </c>
      <c r="C632" s="45">
        <v>10480001</v>
      </c>
      <c r="D632" s="46" t="s">
        <v>992</v>
      </c>
      <c r="E632" s="47" t="s">
        <v>364</v>
      </c>
      <c r="F632" s="47" t="s">
        <v>58</v>
      </c>
      <c r="G632" s="62">
        <v>348.69999999999993</v>
      </c>
      <c r="H632" s="62">
        <v>11524.149999999998</v>
      </c>
      <c r="I632" s="49">
        <v>0</v>
      </c>
      <c r="J632" s="49">
        <v>0</v>
      </c>
      <c r="K632" s="49">
        <v>0</v>
      </c>
      <c r="L632" s="50">
        <v>0</v>
      </c>
      <c r="M632" s="51"/>
      <c r="N632" s="52" t="s">
        <v>1300</v>
      </c>
      <c r="O632" s="31"/>
      <c r="P632" s="53">
        <v>-3.3653787259104083E-2</v>
      </c>
      <c r="Q632" s="54">
        <v>3</v>
      </c>
      <c r="R632" s="55">
        <v>0</v>
      </c>
      <c r="S632" s="55">
        <v>0</v>
      </c>
      <c r="T632" s="56">
        <v>0</v>
      </c>
      <c r="U632" s="57"/>
      <c r="V632" s="55">
        <v>0</v>
      </c>
      <c r="W632" s="55">
        <v>0</v>
      </c>
      <c r="X632" s="58">
        <v>0</v>
      </c>
      <c r="Y632" s="59">
        <v>0</v>
      </c>
      <c r="Z632" s="58">
        <v>0</v>
      </c>
      <c r="AA632" s="56">
        <v>0</v>
      </c>
      <c r="AB632" s="56">
        <v>0</v>
      </c>
      <c r="AC632" s="60">
        <v>46142</v>
      </c>
    </row>
    <row r="633" spans="1:29" x14ac:dyDescent="0.25">
      <c r="A633" s="43">
        <v>1036</v>
      </c>
      <c r="B633" s="44" t="s">
        <v>983</v>
      </c>
      <c r="C633" s="45">
        <v>10480002</v>
      </c>
      <c r="D633" s="46" t="s">
        <v>993</v>
      </c>
      <c r="E633" s="47" t="s">
        <v>371</v>
      </c>
      <c r="F633" s="47" t="s">
        <v>59</v>
      </c>
      <c r="G633" s="62">
        <v>247.79999999999998</v>
      </c>
      <c r="H633" s="62">
        <v>8619.9500000000007</v>
      </c>
      <c r="I633" s="49">
        <v>0</v>
      </c>
      <c r="J633" s="49">
        <v>0</v>
      </c>
      <c r="K633" s="49">
        <v>0</v>
      </c>
      <c r="L633" s="50">
        <v>0</v>
      </c>
      <c r="M633" s="51"/>
      <c r="N633" s="52" t="s">
        <v>1300</v>
      </c>
      <c r="O633" s="31"/>
      <c r="P633" s="53">
        <v>0</v>
      </c>
      <c r="Q633" s="54">
        <v>1</v>
      </c>
      <c r="R633" s="55">
        <v>0</v>
      </c>
      <c r="S633" s="55">
        <v>0</v>
      </c>
      <c r="T633" s="56">
        <v>0</v>
      </c>
      <c r="U633" s="57"/>
      <c r="V633" s="55">
        <v>0</v>
      </c>
      <c r="W633" s="55">
        <v>0</v>
      </c>
      <c r="X633" s="58">
        <v>0</v>
      </c>
      <c r="Y633" s="59">
        <v>0</v>
      </c>
      <c r="Z633" s="58">
        <v>0</v>
      </c>
      <c r="AA633" s="56">
        <v>0</v>
      </c>
      <c r="AB633" s="56">
        <v>0</v>
      </c>
      <c r="AC633" s="60">
        <v>46142</v>
      </c>
    </row>
    <row r="634" spans="1:29" x14ac:dyDescent="0.25">
      <c r="A634" s="43">
        <v>1007</v>
      </c>
      <c r="B634" s="44" t="s">
        <v>592</v>
      </c>
      <c r="C634" s="45">
        <v>10480003</v>
      </c>
      <c r="D634" s="46" t="s">
        <v>994</v>
      </c>
      <c r="E634" s="47" t="s">
        <v>371</v>
      </c>
      <c r="F634" s="47" t="s">
        <v>59</v>
      </c>
      <c r="G634" s="62">
        <v>294</v>
      </c>
      <c r="H634" s="62">
        <v>9608.3700000000008</v>
      </c>
      <c r="I634" s="49">
        <v>0</v>
      </c>
      <c r="J634" s="49">
        <v>0</v>
      </c>
      <c r="K634" s="49">
        <v>9.2101935483871955</v>
      </c>
      <c r="L634" s="50">
        <v>0</v>
      </c>
      <c r="M634" s="51"/>
      <c r="N634" s="52" t="s">
        <v>1300</v>
      </c>
      <c r="O634" s="31"/>
      <c r="P634" s="53">
        <v>0</v>
      </c>
      <c r="Q634" s="54">
        <v>0</v>
      </c>
      <c r="R634" s="55">
        <v>0</v>
      </c>
      <c r="S634" s="55">
        <v>0</v>
      </c>
      <c r="T634" s="56">
        <v>0</v>
      </c>
      <c r="U634" s="57"/>
      <c r="V634" s="55">
        <v>9.2101935483871955</v>
      </c>
      <c r="W634" s="55">
        <v>0</v>
      </c>
      <c r="X634" s="58">
        <v>0</v>
      </c>
      <c r="Y634" s="59">
        <v>9.2101935483871955</v>
      </c>
      <c r="Z634" s="58">
        <v>9.2101935483871955</v>
      </c>
      <c r="AA634" s="56">
        <v>0</v>
      </c>
      <c r="AB634" s="56">
        <v>0</v>
      </c>
      <c r="AC634" s="60">
        <v>46142</v>
      </c>
    </row>
    <row r="635" spans="1:29" x14ac:dyDescent="0.25">
      <c r="A635" s="43">
        <v>1036</v>
      </c>
      <c r="B635" s="44" t="s">
        <v>983</v>
      </c>
      <c r="C635" s="45">
        <v>10480005</v>
      </c>
      <c r="D635" s="46" t="s">
        <v>995</v>
      </c>
      <c r="E635" s="47" t="s">
        <v>364</v>
      </c>
      <c r="F635" s="47" t="s">
        <v>58</v>
      </c>
      <c r="G635" s="62">
        <v>337.09999999999997</v>
      </c>
      <c r="H635" s="62">
        <v>12845.880000000001</v>
      </c>
      <c r="I635" s="49">
        <v>0</v>
      </c>
      <c r="J635" s="49">
        <v>0</v>
      </c>
      <c r="K635" s="49">
        <v>0</v>
      </c>
      <c r="L635" s="50">
        <v>0</v>
      </c>
      <c r="M635" s="51"/>
      <c r="N635" s="52" t="s">
        <v>1300</v>
      </c>
      <c r="O635" s="31"/>
      <c r="P635" s="53">
        <v>-1.0069007538603836E-2</v>
      </c>
      <c r="Q635" s="54">
        <v>5</v>
      </c>
      <c r="R635" s="55">
        <v>0</v>
      </c>
      <c r="S635" s="55">
        <v>0</v>
      </c>
      <c r="T635" s="56">
        <v>0</v>
      </c>
      <c r="U635" s="57"/>
      <c r="V635" s="55">
        <v>0</v>
      </c>
      <c r="W635" s="55">
        <v>0</v>
      </c>
      <c r="X635" s="58">
        <v>0</v>
      </c>
      <c r="Y635" s="59">
        <v>0</v>
      </c>
      <c r="Z635" s="58">
        <v>0</v>
      </c>
      <c r="AA635" s="56">
        <v>0</v>
      </c>
      <c r="AB635" s="56">
        <v>0</v>
      </c>
      <c r="AC635" s="60">
        <v>46142</v>
      </c>
    </row>
    <row r="636" spans="1:29" x14ac:dyDescent="0.25">
      <c r="A636" s="43">
        <v>1036</v>
      </c>
      <c r="B636" s="44" t="s">
        <v>983</v>
      </c>
      <c r="C636" s="45">
        <v>10480008</v>
      </c>
      <c r="D636" s="46" t="s">
        <v>996</v>
      </c>
      <c r="E636" s="47" t="s">
        <v>364</v>
      </c>
      <c r="F636" s="47" t="s">
        <v>58</v>
      </c>
      <c r="G636" s="62">
        <v>401.2</v>
      </c>
      <c r="H636" s="62">
        <v>15057.04</v>
      </c>
      <c r="I636" s="49">
        <v>0</v>
      </c>
      <c r="J636" s="49">
        <v>0</v>
      </c>
      <c r="K636" s="49">
        <v>0</v>
      </c>
      <c r="L636" s="50">
        <v>0</v>
      </c>
      <c r="M636" s="51"/>
      <c r="N636" s="52" t="s">
        <v>1300</v>
      </c>
      <c r="O636" s="31"/>
      <c r="P636" s="53">
        <v>-8.1334624266294051E-2</v>
      </c>
      <c r="Q636" s="54">
        <v>8</v>
      </c>
      <c r="R636" s="55">
        <v>0</v>
      </c>
      <c r="S636" s="55">
        <v>0</v>
      </c>
      <c r="T636" s="56">
        <v>0</v>
      </c>
      <c r="U636" s="57"/>
      <c r="V636" s="55">
        <v>0</v>
      </c>
      <c r="W636" s="55">
        <v>0</v>
      </c>
      <c r="X636" s="58">
        <v>0</v>
      </c>
      <c r="Y636" s="59">
        <v>0</v>
      </c>
      <c r="Z636" s="58">
        <v>0</v>
      </c>
      <c r="AA636" s="56">
        <v>0</v>
      </c>
      <c r="AB636" s="56">
        <v>0</v>
      </c>
      <c r="AC636" s="60">
        <v>46142</v>
      </c>
    </row>
    <row r="637" spans="1:29" x14ac:dyDescent="0.25">
      <c r="A637" s="43">
        <v>1036</v>
      </c>
      <c r="B637" s="44" t="s">
        <v>983</v>
      </c>
      <c r="C637" s="45">
        <v>10480012</v>
      </c>
      <c r="D637" s="46" t="s">
        <v>997</v>
      </c>
      <c r="E637" s="47" t="s">
        <v>364</v>
      </c>
      <c r="F637" s="47" t="s">
        <v>58</v>
      </c>
      <c r="G637" s="62">
        <v>428.70000000000005</v>
      </c>
      <c r="H637" s="62">
        <v>14122.220000000003</v>
      </c>
      <c r="I637" s="49">
        <v>0</v>
      </c>
      <c r="J637" s="49">
        <v>0</v>
      </c>
      <c r="K637" s="49">
        <v>0</v>
      </c>
      <c r="L637" s="50">
        <v>0</v>
      </c>
      <c r="M637" s="51"/>
      <c r="N637" s="52" t="s">
        <v>1300</v>
      </c>
      <c r="O637" s="31"/>
      <c r="P637" s="53">
        <v>-0.2866146083120541</v>
      </c>
      <c r="Q637" s="54">
        <v>10</v>
      </c>
      <c r="R637" s="55">
        <v>0</v>
      </c>
      <c r="S637" s="55">
        <v>0</v>
      </c>
      <c r="T637" s="56">
        <v>0</v>
      </c>
      <c r="U637" s="57"/>
      <c r="V637" s="55">
        <v>0</v>
      </c>
      <c r="W637" s="55">
        <v>0</v>
      </c>
      <c r="X637" s="58">
        <v>0</v>
      </c>
      <c r="Y637" s="59">
        <v>0</v>
      </c>
      <c r="Z637" s="58">
        <v>0</v>
      </c>
      <c r="AA637" s="56">
        <v>0</v>
      </c>
      <c r="AB637" s="56">
        <v>0</v>
      </c>
      <c r="AC637" s="60">
        <v>46142</v>
      </c>
    </row>
    <row r="638" spans="1:29" x14ac:dyDescent="0.25">
      <c r="A638" s="43">
        <v>1036</v>
      </c>
      <c r="B638" s="44" t="s">
        <v>983</v>
      </c>
      <c r="C638" s="45">
        <v>10480016</v>
      </c>
      <c r="D638" s="46" t="s">
        <v>998</v>
      </c>
      <c r="E638" s="47" t="s">
        <v>364</v>
      </c>
      <c r="F638" s="47" t="s">
        <v>58</v>
      </c>
      <c r="G638" s="62">
        <v>106.5</v>
      </c>
      <c r="H638" s="62">
        <v>3534.39</v>
      </c>
      <c r="I638" s="49">
        <v>0</v>
      </c>
      <c r="J638" s="49">
        <v>0</v>
      </c>
      <c r="K638" s="49">
        <v>0</v>
      </c>
      <c r="L638" s="50">
        <v>0</v>
      </c>
      <c r="M638" s="51"/>
      <c r="N638" s="52" t="s">
        <v>1300</v>
      </c>
      <c r="O638" s="31"/>
      <c r="P638" s="53">
        <v>-0.11065115073209265</v>
      </c>
      <c r="Q638" s="54">
        <v>1</v>
      </c>
      <c r="R638" s="55">
        <v>0</v>
      </c>
      <c r="S638" s="55">
        <v>0</v>
      </c>
      <c r="T638" s="56">
        <v>0</v>
      </c>
      <c r="U638" s="57"/>
      <c r="V638" s="55">
        <v>0</v>
      </c>
      <c r="W638" s="55">
        <v>0</v>
      </c>
      <c r="X638" s="58">
        <v>0</v>
      </c>
      <c r="Y638" s="59">
        <v>0</v>
      </c>
      <c r="Z638" s="58">
        <v>0</v>
      </c>
      <c r="AA638" s="56">
        <v>0</v>
      </c>
      <c r="AB638" s="56">
        <v>0</v>
      </c>
      <c r="AC638" s="60">
        <v>46142</v>
      </c>
    </row>
    <row r="639" spans="1:29" x14ac:dyDescent="0.25">
      <c r="A639" s="43">
        <v>1036</v>
      </c>
      <c r="B639" s="44" t="s">
        <v>983</v>
      </c>
      <c r="C639" s="45">
        <v>10480022</v>
      </c>
      <c r="D639" s="46" t="s">
        <v>999</v>
      </c>
      <c r="E639" s="47" t="s">
        <v>364</v>
      </c>
      <c r="F639" s="47" t="s">
        <v>58</v>
      </c>
      <c r="G639" s="62">
        <v>575.19999999999993</v>
      </c>
      <c r="H639" s="62">
        <v>21398.270000000004</v>
      </c>
      <c r="I639" s="49">
        <v>0</v>
      </c>
      <c r="J639" s="49">
        <v>0</v>
      </c>
      <c r="K639" s="49">
        <v>0</v>
      </c>
      <c r="L639" s="50">
        <v>0</v>
      </c>
      <c r="M639" s="51"/>
      <c r="N639" s="52" t="s">
        <v>1300</v>
      </c>
      <c r="O639" s="31"/>
      <c r="P639" s="53">
        <v>7.8312657763454918E-2</v>
      </c>
      <c r="Q639" s="54">
        <v>3</v>
      </c>
      <c r="R639" s="55">
        <v>0</v>
      </c>
      <c r="S639" s="55">
        <v>0</v>
      </c>
      <c r="T639" s="56">
        <v>0</v>
      </c>
      <c r="U639" s="57"/>
      <c r="V639" s="55">
        <v>0</v>
      </c>
      <c r="W639" s="55">
        <v>0</v>
      </c>
      <c r="X639" s="58">
        <v>0</v>
      </c>
      <c r="Y639" s="59">
        <v>0</v>
      </c>
      <c r="Z639" s="58">
        <v>0</v>
      </c>
      <c r="AA639" s="56">
        <v>0</v>
      </c>
      <c r="AB639" s="56">
        <v>0</v>
      </c>
      <c r="AC639" s="60">
        <v>46142</v>
      </c>
    </row>
    <row r="640" spans="1:29" x14ac:dyDescent="0.25">
      <c r="A640" s="43">
        <v>1036</v>
      </c>
      <c r="B640" s="44" t="s">
        <v>983</v>
      </c>
      <c r="C640" s="45">
        <v>10480023</v>
      </c>
      <c r="D640" s="46" t="s">
        <v>1000</v>
      </c>
      <c r="E640" s="47" t="s">
        <v>364</v>
      </c>
      <c r="F640" s="47" t="s">
        <v>58</v>
      </c>
      <c r="G640" s="62">
        <v>1283.6000000000004</v>
      </c>
      <c r="H640" s="62">
        <v>49979.18</v>
      </c>
      <c r="I640" s="49">
        <v>0</v>
      </c>
      <c r="J640" s="49">
        <v>0</v>
      </c>
      <c r="K640" s="49">
        <v>0</v>
      </c>
      <c r="L640" s="50">
        <v>0</v>
      </c>
      <c r="M640" s="51"/>
      <c r="N640" s="52" t="s">
        <v>1300</v>
      </c>
      <c r="O640" s="31"/>
      <c r="P640" s="53">
        <v>-1.7388766078195322E-2</v>
      </c>
      <c r="Q640" s="54">
        <v>6</v>
      </c>
      <c r="R640" s="55">
        <v>0</v>
      </c>
      <c r="S640" s="55">
        <v>0</v>
      </c>
      <c r="T640" s="56">
        <v>0</v>
      </c>
      <c r="U640" s="57"/>
      <c r="V640" s="55">
        <v>0</v>
      </c>
      <c r="W640" s="55">
        <v>0</v>
      </c>
      <c r="X640" s="58">
        <v>0</v>
      </c>
      <c r="Y640" s="59">
        <v>0</v>
      </c>
      <c r="Z640" s="58">
        <v>0</v>
      </c>
      <c r="AA640" s="56">
        <v>0</v>
      </c>
      <c r="AB640" s="56">
        <v>0</v>
      </c>
      <c r="AC640" s="60">
        <v>46142</v>
      </c>
    </row>
    <row r="641" spans="1:29" x14ac:dyDescent="0.25">
      <c r="A641" s="43">
        <v>1036</v>
      </c>
      <c r="B641" s="44" t="s">
        <v>983</v>
      </c>
      <c r="C641" s="45">
        <v>10480028</v>
      </c>
      <c r="D641" s="46" t="s">
        <v>1001</v>
      </c>
      <c r="E641" s="47" t="s">
        <v>371</v>
      </c>
      <c r="F641" s="47" t="s">
        <v>59</v>
      </c>
      <c r="G641" s="62">
        <v>60.3</v>
      </c>
      <c r="H641" s="62">
        <v>2191.6799999999998</v>
      </c>
      <c r="I641" s="49">
        <v>0</v>
      </c>
      <c r="J641" s="49">
        <v>0</v>
      </c>
      <c r="K641" s="49">
        <v>0</v>
      </c>
      <c r="L641" s="50">
        <v>0</v>
      </c>
      <c r="M641" s="51"/>
      <c r="N641" s="52" t="s">
        <v>1300</v>
      </c>
      <c r="O641" s="31"/>
      <c r="P641" s="53">
        <v>0</v>
      </c>
      <c r="Q641" s="54">
        <v>0</v>
      </c>
      <c r="R641" s="55">
        <v>0</v>
      </c>
      <c r="S641" s="55">
        <v>0</v>
      </c>
      <c r="T641" s="56">
        <v>0</v>
      </c>
      <c r="U641" s="57"/>
      <c r="V641" s="55">
        <v>0</v>
      </c>
      <c r="W641" s="55">
        <v>0</v>
      </c>
      <c r="X641" s="58">
        <v>0</v>
      </c>
      <c r="Y641" s="59">
        <v>0</v>
      </c>
      <c r="Z641" s="58">
        <v>0</v>
      </c>
      <c r="AA641" s="56">
        <v>0</v>
      </c>
      <c r="AB641" s="56">
        <v>0</v>
      </c>
      <c r="AC641" s="60">
        <v>46142</v>
      </c>
    </row>
    <row r="642" spans="1:29" x14ac:dyDescent="0.25">
      <c r="A642" s="43">
        <v>1036</v>
      </c>
      <c r="B642" s="44" t="s">
        <v>983</v>
      </c>
      <c r="C642" s="45">
        <v>10480033</v>
      </c>
      <c r="D642" s="46" t="s">
        <v>1002</v>
      </c>
      <c r="E642" s="47" t="s">
        <v>371</v>
      </c>
      <c r="F642" s="47" t="s">
        <v>59</v>
      </c>
      <c r="G642" s="62">
        <v>310.59999999999997</v>
      </c>
      <c r="H642" s="62">
        <v>10585.45</v>
      </c>
      <c r="I642" s="49">
        <v>0</v>
      </c>
      <c r="J642" s="49">
        <v>0</v>
      </c>
      <c r="K642" s="49">
        <v>0</v>
      </c>
      <c r="L642" s="50">
        <v>0</v>
      </c>
      <c r="M642" s="51"/>
      <c r="N642" s="52" t="s">
        <v>1300</v>
      </c>
      <c r="O642" s="31"/>
      <c r="P642" s="53">
        <v>0</v>
      </c>
      <c r="Q642" s="54">
        <v>0</v>
      </c>
      <c r="R642" s="55">
        <v>0</v>
      </c>
      <c r="S642" s="55">
        <v>0</v>
      </c>
      <c r="T642" s="56">
        <v>0</v>
      </c>
      <c r="U642" s="57"/>
      <c r="V642" s="55">
        <v>0</v>
      </c>
      <c r="W642" s="55">
        <v>0</v>
      </c>
      <c r="X642" s="58">
        <v>0</v>
      </c>
      <c r="Y642" s="59">
        <v>0</v>
      </c>
      <c r="Z642" s="58">
        <v>0</v>
      </c>
      <c r="AA642" s="56">
        <v>0</v>
      </c>
      <c r="AB642" s="56">
        <v>0</v>
      </c>
      <c r="AC642" s="60">
        <v>46142</v>
      </c>
    </row>
    <row r="643" spans="1:29" x14ac:dyDescent="0.25">
      <c r="A643" s="43">
        <v>1036</v>
      </c>
      <c r="B643" s="44" t="s">
        <v>983</v>
      </c>
      <c r="C643" s="45">
        <v>10480034</v>
      </c>
      <c r="D643" s="46" t="s">
        <v>1003</v>
      </c>
      <c r="E643" s="47" t="s">
        <v>371</v>
      </c>
      <c r="F643" s="47" t="s">
        <v>59</v>
      </c>
      <c r="G643" s="62">
        <v>254.6</v>
      </c>
      <c r="H643" s="62">
        <v>9492.65</v>
      </c>
      <c r="I643" s="49">
        <v>0</v>
      </c>
      <c r="J643" s="49">
        <v>0</v>
      </c>
      <c r="K643" s="49">
        <v>0</v>
      </c>
      <c r="L643" s="50">
        <v>0</v>
      </c>
      <c r="M643" s="51"/>
      <c r="N643" s="52" t="s">
        <v>1300</v>
      </c>
      <c r="O643" s="31"/>
      <c r="P643" s="53">
        <v>0</v>
      </c>
      <c r="Q643" s="54">
        <v>0</v>
      </c>
      <c r="R643" s="55">
        <v>0</v>
      </c>
      <c r="S643" s="55">
        <v>0</v>
      </c>
      <c r="T643" s="56">
        <v>0</v>
      </c>
      <c r="U643" s="57"/>
      <c r="V643" s="55">
        <v>0</v>
      </c>
      <c r="W643" s="55">
        <v>0</v>
      </c>
      <c r="X643" s="58">
        <v>0</v>
      </c>
      <c r="Y643" s="59">
        <v>0</v>
      </c>
      <c r="Z643" s="58">
        <v>0</v>
      </c>
      <c r="AA643" s="56">
        <v>0</v>
      </c>
      <c r="AB643" s="56">
        <v>0</v>
      </c>
      <c r="AC643" s="60">
        <v>46142</v>
      </c>
    </row>
    <row r="644" spans="1:29" x14ac:dyDescent="0.25">
      <c r="A644" s="43">
        <v>1036</v>
      </c>
      <c r="B644" s="44" t="s">
        <v>983</v>
      </c>
      <c r="C644" s="45">
        <v>10480036</v>
      </c>
      <c r="D644" s="46" t="s">
        <v>1004</v>
      </c>
      <c r="E644" s="47" t="s">
        <v>371</v>
      </c>
      <c r="F644" s="47" t="s">
        <v>59</v>
      </c>
      <c r="G644" s="62">
        <v>178.6</v>
      </c>
      <c r="H644" s="62">
        <v>6456.8700000000008</v>
      </c>
      <c r="I644" s="49">
        <v>0</v>
      </c>
      <c r="J644" s="49">
        <v>0</v>
      </c>
      <c r="K644" s="49">
        <v>0</v>
      </c>
      <c r="L644" s="50">
        <v>0</v>
      </c>
      <c r="M644" s="51"/>
      <c r="N644" s="52" t="s">
        <v>1300</v>
      </c>
      <c r="O644" s="31"/>
      <c r="P644" s="53">
        <v>0</v>
      </c>
      <c r="Q644" s="54">
        <v>0</v>
      </c>
      <c r="R644" s="55">
        <v>0</v>
      </c>
      <c r="S644" s="55">
        <v>0</v>
      </c>
      <c r="T644" s="56">
        <v>0</v>
      </c>
      <c r="U644" s="57"/>
      <c r="V644" s="55">
        <v>0</v>
      </c>
      <c r="W644" s="55">
        <v>0</v>
      </c>
      <c r="X644" s="58">
        <v>0</v>
      </c>
      <c r="Y644" s="59">
        <v>0</v>
      </c>
      <c r="Z644" s="58">
        <v>0</v>
      </c>
      <c r="AA644" s="56">
        <v>0</v>
      </c>
      <c r="AB644" s="56">
        <v>0</v>
      </c>
      <c r="AC644" s="60">
        <v>46142</v>
      </c>
    </row>
    <row r="645" spans="1:29" x14ac:dyDescent="0.25">
      <c r="A645" s="43">
        <v>1003</v>
      </c>
      <c r="B645" s="44" t="s">
        <v>1285</v>
      </c>
      <c r="C645" s="45">
        <v>10500001</v>
      </c>
      <c r="D645" s="46" t="s">
        <v>1005</v>
      </c>
      <c r="E645" s="47" t="s">
        <v>972</v>
      </c>
      <c r="F645" s="47" t="s">
        <v>58</v>
      </c>
      <c r="G645" s="62">
        <v>647</v>
      </c>
      <c r="H645" s="62">
        <v>16912.580000000002</v>
      </c>
      <c r="I645" s="49">
        <v>0</v>
      </c>
      <c r="J645" s="49">
        <v>0</v>
      </c>
      <c r="K645" s="49">
        <v>0</v>
      </c>
      <c r="L645" s="50" t="s">
        <v>366</v>
      </c>
      <c r="M645" s="51" t="s">
        <v>367</v>
      </c>
      <c r="N645" s="52" t="s">
        <v>1300</v>
      </c>
      <c r="O645" s="31"/>
      <c r="P645" s="53">
        <v>-0.49889910927841868</v>
      </c>
      <c r="Q645" s="54">
        <v>11</v>
      </c>
      <c r="R645" s="55">
        <v>0</v>
      </c>
      <c r="S645" s="55">
        <v>0</v>
      </c>
      <c r="T645" s="56">
        <v>0</v>
      </c>
      <c r="U645" s="57"/>
      <c r="V645" s="55">
        <v>0</v>
      </c>
      <c r="W645" s="55">
        <v>0</v>
      </c>
      <c r="X645" s="58">
        <v>0</v>
      </c>
      <c r="Y645" s="59">
        <v>0</v>
      </c>
      <c r="Z645" s="58">
        <v>0</v>
      </c>
      <c r="AA645" s="56">
        <v>0</v>
      </c>
      <c r="AB645" s="56">
        <v>0</v>
      </c>
      <c r="AC645" s="60">
        <v>46142</v>
      </c>
    </row>
    <row r="646" spans="1:29" x14ac:dyDescent="0.25">
      <c r="A646" s="43">
        <v>1014</v>
      </c>
      <c r="B646" s="44" t="s">
        <v>167</v>
      </c>
      <c r="C646" s="45">
        <v>10510001</v>
      </c>
      <c r="D646" s="46" t="s">
        <v>1006</v>
      </c>
      <c r="E646" s="47" t="s">
        <v>364</v>
      </c>
      <c r="F646" s="47" t="s">
        <v>58</v>
      </c>
      <c r="G646" s="62">
        <v>1978.4999999999993</v>
      </c>
      <c r="H646" s="62">
        <v>72921.320000000007</v>
      </c>
      <c r="I646" s="49">
        <v>0</v>
      </c>
      <c r="J646" s="49">
        <v>0</v>
      </c>
      <c r="K646" s="49">
        <v>0</v>
      </c>
      <c r="L646" s="50">
        <v>0</v>
      </c>
      <c r="M646" s="51"/>
      <c r="N646" s="52" t="s">
        <v>1300</v>
      </c>
      <c r="O646" s="31"/>
      <c r="P646" s="53">
        <v>-2.9827992622808421E-2</v>
      </c>
      <c r="Q646" s="54">
        <v>42</v>
      </c>
      <c r="R646" s="55">
        <v>0</v>
      </c>
      <c r="S646" s="55">
        <v>0</v>
      </c>
      <c r="T646" s="56">
        <v>0</v>
      </c>
      <c r="U646" s="57"/>
      <c r="V646" s="55">
        <v>0</v>
      </c>
      <c r="W646" s="55">
        <v>0</v>
      </c>
      <c r="X646" s="58">
        <v>0</v>
      </c>
      <c r="Y646" s="59">
        <v>0</v>
      </c>
      <c r="Z646" s="58">
        <v>0</v>
      </c>
      <c r="AA646" s="56">
        <v>0</v>
      </c>
      <c r="AB646" s="56">
        <v>0</v>
      </c>
      <c r="AC646" s="60">
        <v>46142</v>
      </c>
    </row>
    <row r="647" spans="1:29" x14ac:dyDescent="0.25">
      <c r="A647" s="43">
        <v>1014</v>
      </c>
      <c r="B647" s="44" t="s">
        <v>167</v>
      </c>
      <c r="C647" s="45">
        <v>10510002</v>
      </c>
      <c r="D647" s="46" t="s">
        <v>1007</v>
      </c>
      <c r="E647" s="47" t="s">
        <v>364</v>
      </c>
      <c r="F647" s="47" t="s">
        <v>58</v>
      </c>
      <c r="G647" s="62">
        <v>1687.8999999999999</v>
      </c>
      <c r="H647" s="62">
        <v>66944.39</v>
      </c>
      <c r="I647" s="49">
        <v>0</v>
      </c>
      <c r="J647" s="49">
        <v>0</v>
      </c>
      <c r="K647" s="49">
        <v>0</v>
      </c>
      <c r="L647" s="50">
        <v>0</v>
      </c>
      <c r="M647" s="51"/>
      <c r="N647" s="52" t="s">
        <v>1300</v>
      </c>
      <c r="O647" s="31"/>
      <c r="P647" s="53">
        <v>-1.5009692231183598E-2</v>
      </c>
      <c r="Q647" s="54">
        <v>9</v>
      </c>
      <c r="R647" s="55">
        <v>0</v>
      </c>
      <c r="S647" s="55">
        <v>0</v>
      </c>
      <c r="T647" s="56">
        <v>0</v>
      </c>
      <c r="U647" s="57"/>
      <c r="V647" s="55">
        <v>0</v>
      </c>
      <c r="W647" s="55">
        <v>0</v>
      </c>
      <c r="X647" s="58">
        <v>0</v>
      </c>
      <c r="Y647" s="59">
        <v>0</v>
      </c>
      <c r="Z647" s="58">
        <v>0</v>
      </c>
      <c r="AA647" s="56">
        <v>0</v>
      </c>
      <c r="AB647" s="56">
        <v>0</v>
      </c>
      <c r="AC647" s="60">
        <v>46142</v>
      </c>
    </row>
    <row r="648" spans="1:29" x14ac:dyDescent="0.25">
      <c r="A648" s="43">
        <v>1014</v>
      </c>
      <c r="B648" s="44" t="s">
        <v>167</v>
      </c>
      <c r="C648" s="45">
        <v>10510004</v>
      </c>
      <c r="D648" s="46" t="s">
        <v>1008</v>
      </c>
      <c r="E648" s="47" t="s">
        <v>364</v>
      </c>
      <c r="F648" s="47" t="s">
        <v>58</v>
      </c>
      <c r="G648" s="62">
        <v>2142.6999999999998</v>
      </c>
      <c r="H648" s="62">
        <v>79455.37</v>
      </c>
      <c r="I648" s="49">
        <v>0</v>
      </c>
      <c r="J648" s="49">
        <v>0</v>
      </c>
      <c r="K648" s="49">
        <v>0</v>
      </c>
      <c r="L648" s="50">
        <v>0</v>
      </c>
      <c r="M648" s="51"/>
      <c r="N648" s="52" t="s">
        <v>1300</v>
      </c>
      <c r="O648" s="31"/>
      <c r="P648" s="53">
        <v>-0.2108137064102856</v>
      </c>
      <c r="Q648" s="54">
        <v>6</v>
      </c>
      <c r="R648" s="55">
        <v>0</v>
      </c>
      <c r="S648" s="55">
        <v>0</v>
      </c>
      <c r="T648" s="56">
        <v>0</v>
      </c>
      <c r="U648" s="57"/>
      <c r="V648" s="55">
        <v>0</v>
      </c>
      <c r="W648" s="55">
        <v>0</v>
      </c>
      <c r="X648" s="58">
        <v>0</v>
      </c>
      <c r="Y648" s="59">
        <v>0</v>
      </c>
      <c r="Z648" s="58">
        <v>0</v>
      </c>
      <c r="AA648" s="56">
        <v>0</v>
      </c>
      <c r="AB648" s="56">
        <v>0</v>
      </c>
      <c r="AC648" s="60">
        <v>46142</v>
      </c>
    </row>
    <row r="649" spans="1:29" x14ac:dyDescent="0.25">
      <c r="A649" s="43">
        <v>1012</v>
      </c>
      <c r="B649" s="44" t="s">
        <v>1295</v>
      </c>
      <c r="C649" s="45">
        <v>10520006</v>
      </c>
      <c r="D649" s="46" t="s">
        <v>1009</v>
      </c>
      <c r="E649" s="47" t="s">
        <v>371</v>
      </c>
      <c r="F649" s="47" t="s">
        <v>59</v>
      </c>
      <c r="G649" s="62">
        <v>19251</v>
      </c>
      <c r="H649" s="62">
        <v>666304.07999999996</v>
      </c>
      <c r="I649" s="49">
        <v>0</v>
      </c>
      <c r="J649" s="49">
        <v>0</v>
      </c>
      <c r="K649" s="49">
        <v>0</v>
      </c>
      <c r="L649" s="50">
        <v>0</v>
      </c>
      <c r="M649" s="51"/>
      <c r="N649" s="52" t="s">
        <v>1300</v>
      </c>
      <c r="O649" s="31"/>
      <c r="P649" s="53">
        <v>0</v>
      </c>
      <c r="Q649" s="54">
        <v>0</v>
      </c>
      <c r="R649" s="55">
        <v>0</v>
      </c>
      <c r="S649" s="55">
        <v>0</v>
      </c>
      <c r="T649" s="56">
        <v>0</v>
      </c>
      <c r="U649" s="57"/>
      <c r="V649" s="55">
        <v>0</v>
      </c>
      <c r="W649" s="55">
        <v>0</v>
      </c>
      <c r="X649" s="58">
        <v>0</v>
      </c>
      <c r="Y649" s="59">
        <v>0</v>
      </c>
      <c r="Z649" s="58">
        <v>0</v>
      </c>
      <c r="AA649" s="56">
        <v>0</v>
      </c>
      <c r="AB649" s="56">
        <v>0</v>
      </c>
      <c r="AC649" s="60">
        <v>46142</v>
      </c>
    </row>
    <row r="650" spans="1:29" x14ac:dyDescent="0.25">
      <c r="A650" s="43">
        <v>1053</v>
      </c>
      <c r="B650" s="44" t="s">
        <v>156</v>
      </c>
      <c r="C650" s="45">
        <v>10520010</v>
      </c>
      <c r="D650" s="46" t="s">
        <v>1010</v>
      </c>
      <c r="E650" s="47" t="s">
        <v>371</v>
      </c>
      <c r="F650" s="47" t="s">
        <v>59</v>
      </c>
      <c r="G650" s="62">
        <v>5394</v>
      </c>
      <c r="H650" s="62">
        <v>214252.78</v>
      </c>
      <c r="I650" s="49">
        <v>0</v>
      </c>
      <c r="J650" s="49">
        <v>0</v>
      </c>
      <c r="K650" s="49">
        <v>0</v>
      </c>
      <c r="L650" s="50">
        <v>0</v>
      </c>
      <c r="M650" s="51"/>
      <c r="N650" s="52" t="s">
        <v>1300</v>
      </c>
      <c r="O650" s="31"/>
      <c r="P650" s="53">
        <v>0</v>
      </c>
      <c r="Q650" s="54">
        <v>0</v>
      </c>
      <c r="R650" s="55">
        <v>0</v>
      </c>
      <c r="S650" s="55">
        <v>0</v>
      </c>
      <c r="T650" s="56">
        <v>0</v>
      </c>
      <c r="U650" s="57"/>
      <c r="V650" s="55">
        <v>0</v>
      </c>
      <c r="W650" s="55">
        <v>0</v>
      </c>
      <c r="X650" s="58">
        <v>0</v>
      </c>
      <c r="Y650" s="59">
        <v>0</v>
      </c>
      <c r="Z650" s="58">
        <v>0</v>
      </c>
      <c r="AA650" s="56">
        <v>0</v>
      </c>
      <c r="AB650" s="56">
        <v>0</v>
      </c>
      <c r="AC650" s="60">
        <v>46142</v>
      </c>
    </row>
    <row r="651" spans="1:29" x14ac:dyDescent="0.25">
      <c r="A651" s="43">
        <v>1010</v>
      </c>
      <c r="B651" s="44" t="s">
        <v>1290</v>
      </c>
      <c r="C651" s="45">
        <v>10520011</v>
      </c>
      <c r="D651" s="46" t="s">
        <v>1011</v>
      </c>
      <c r="E651" s="47" t="s">
        <v>371</v>
      </c>
      <c r="F651" s="47" t="s">
        <v>59</v>
      </c>
      <c r="G651" s="62">
        <v>4100</v>
      </c>
      <c r="H651" s="62">
        <v>127100.5</v>
      </c>
      <c r="I651" s="49">
        <v>0</v>
      </c>
      <c r="J651" s="49">
        <v>0</v>
      </c>
      <c r="K651" s="49">
        <v>0</v>
      </c>
      <c r="L651" s="50">
        <v>0</v>
      </c>
      <c r="M651" s="51"/>
      <c r="N651" s="52" t="s">
        <v>1300</v>
      </c>
      <c r="O651" s="31"/>
      <c r="P651" s="53">
        <v>0</v>
      </c>
      <c r="Q651" s="54">
        <v>0</v>
      </c>
      <c r="R651" s="55">
        <v>0</v>
      </c>
      <c r="S651" s="55">
        <v>0</v>
      </c>
      <c r="T651" s="56">
        <v>0</v>
      </c>
      <c r="U651" s="57"/>
      <c r="V651" s="55">
        <v>0</v>
      </c>
      <c r="W651" s="55">
        <v>0</v>
      </c>
      <c r="X651" s="58">
        <v>0</v>
      </c>
      <c r="Y651" s="59">
        <v>0</v>
      </c>
      <c r="Z651" s="58">
        <v>0</v>
      </c>
      <c r="AA651" s="56">
        <v>0</v>
      </c>
      <c r="AB651" s="56">
        <v>0</v>
      </c>
      <c r="AC651" s="60">
        <v>46142</v>
      </c>
    </row>
    <row r="652" spans="1:29" x14ac:dyDescent="0.25">
      <c r="A652" s="43">
        <v>1053</v>
      </c>
      <c r="B652" s="44" t="s">
        <v>156</v>
      </c>
      <c r="C652" s="45">
        <v>10530001</v>
      </c>
      <c r="D652" s="46" t="s">
        <v>1012</v>
      </c>
      <c r="E652" s="47" t="s">
        <v>364</v>
      </c>
      <c r="F652" s="47" t="s">
        <v>58</v>
      </c>
      <c r="G652" s="62">
        <v>1110.5</v>
      </c>
      <c r="H652" s="62">
        <v>45784.079999999994</v>
      </c>
      <c r="I652" s="49">
        <v>0</v>
      </c>
      <c r="J652" s="49">
        <v>0</v>
      </c>
      <c r="K652" s="49">
        <v>0</v>
      </c>
      <c r="L652" s="50">
        <v>0</v>
      </c>
      <c r="M652" s="51"/>
      <c r="N652" s="52" t="s">
        <v>1300</v>
      </c>
      <c r="O652" s="31"/>
      <c r="P652" s="53">
        <v>-2.436461844494622E-2</v>
      </c>
      <c r="Q652" s="54">
        <v>25</v>
      </c>
      <c r="R652" s="55">
        <v>0</v>
      </c>
      <c r="S652" s="55">
        <v>0</v>
      </c>
      <c r="T652" s="56">
        <v>0</v>
      </c>
      <c r="U652" s="57"/>
      <c r="V652" s="55">
        <v>0</v>
      </c>
      <c r="W652" s="55">
        <v>0</v>
      </c>
      <c r="X652" s="58">
        <v>0</v>
      </c>
      <c r="Y652" s="59">
        <v>0</v>
      </c>
      <c r="Z652" s="58">
        <v>0</v>
      </c>
      <c r="AA652" s="56">
        <v>0</v>
      </c>
      <c r="AB652" s="56">
        <v>0</v>
      </c>
      <c r="AC652" s="60">
        <v>46142</v>
      </c>
    </row>
    <row r="653" spans="1:29" x14ac:dyDescent="0.25">
      <c r="A653" s="43">
        <v>1053</v>
      </c>
      <c r="B653" s="44" t="s">
        <v>156</v>
      </c>
      <c r="C653" s="45">
        <v>10530002</v>
      </c>
      <c r="D653" s="46" t="s">
        <v>1013</v>
      </c>
      <c r="E653" s="47" t="s">
        <v>364</v>
      </c>
      <c r="F653" s="47" t="s">
        <v>58</v>
      </c>
      <c r="G653" s="62">
        <v>1115.3499999999999</v>
      </c>
      <c r="H653" s="62">
        <v>46414.610000000008</v>
      </c>
      <c r="I653" s="49">
        <v>0</v>
      </c>
      <c r="J653" s="49">
        <v>15263</v>
      </c>
      <c r="K653" s="49">
        <v>0</v>
      </c>
      <c r="L653" s="50">
        <v>0</v>
      </c>
      <c r="M653" s="51"/>
      <c r="N653" s="52" t="s">
        <v>1300</v>
      </c>
      <c r="O653" s="31"/>
      <c r="P653" s="53">
        <v>-1.5139162764188037E-2</v>
      </c>
      <c r="Q653" s="54">
        <v>30</v>
      </c>
      <c r="R653" s="55">
        <v>0</v>
      </c>
      <c r="S653" s="55">
        <v>0</v>
      </c>
      <c r="T653" s="56">
        <v>0</v>
      </c>
      <c r="U653" s="57"/>
      <c r="V653" s="55">
        <v>0</v>
      </c>
      <c r="W653" s="55">
        <v>0</v>
      </c>
      <c r="X653" s="58">
        <v>0</v>
      </c>
      <c r="Y653" s="59">
        <v>0</v>
      </c>
      <c r="Z653" s="58">
        <v>0</v>
      </c>
      <c r="AA653" s="56">
        <v>0</v>
      </c>
      <c r="AB653" s="56">
        <v>0</v>
      </c>
      <c r="AC653" s="60">
        <v>46142</v>
      </c>
    </row>
    <row r="654" spans="1:29" x14ac:dyDescent="0.25">
      <c r="A654" s="43">
        <v>1053</v>
      </c>
      <c r="B654" s="44" t="s">
        <v>156</v>
      </c>
      <c r="C654" s="45">
        <v>10530003</v>
      </c>
      <c r="D654" s="46" t="s">
        <v>1014</v>
      </c>
      <c r="E654" s="47" t="s">
        <v>364</v>
      </c>
      <c r="F654" s="47" t="s">
        <v>58</v>
      </c>
      <c r="G654" s="62">
        <v>532.85</v>
      </c>
      <c r="H654" s="62">
        <v>23289.940000000002</v>
      </c>
      <c r="I654" s="49">
        <v>0</v>
      </c>
      <c r="J654" s="49">
        <v>874</v>
      </c>
      <c r="K654" s="49">
        <v>28.325332258064165</v>
      </c>
      <c r="L654" s="50">
        <v>0</v>
      </c>
      <c r="M654" s="51"/>
      <c r="N654" s="52" t="s">
        <v>1300</v>
      </c>
      <c r="O654" s="31"/>
      <c r="P654" s="53">
        <v>8.1791531403688873E-4</v>
      </c>
      <c r="Q654" s="54">
        <v>28</v>
      </c>
      <c r="R654" s="55">
        <v>0</v>
      </c>
      <c r="S654" s="55">
        <v>0</v>
      </c>
      <c r="T654" s="56">
        <v>0</v>
      </c>
      <c r="U654" s="57"/>
      <c r="V654" s="55">
        <v>28.325332258064165</v>
      </c>
      <c r="W654" s="55">
        <v>0</v>
      </c>
      <c r="X654" s="58">
        <v>0</v>
      </c>
      <c r="Y654" s="59">
        <v>28.325332258064165</v>
      </c>
      <c r="Z654" s="58">
        <v>28.325332258064165</v>
      </c>
      <c r="AA654" s="56">
        <v>0</v>
      </c>
      <c r="AB654" s="56">
        <v>0</v>
      </c>
      <c r="AC654" s="60">
        <v>46142</v>
      </c>
    </row>
    <row r="655" spans="1:29" x14ac:dyDescent="0.25">
      <c r="A655" s="43">
        <v>1053</v>
      </c>
      <c r="B655" s="44" t="s">
        <v>156</v>
      </c>
      <c r="C655" s="45">
        <v>10530005</v>
      </c>
      <c r="D655" s="46" t="s">
        <v>766</v>
      </c>
      <c r="E655" s="47" t="s">
        <v>364</v>
      </c>
      <c r="F655" s="47" t="s">
        <v>58</v>
      </c>
      <c r="G655" s="62">
        <v>358.94999999999993</v>
      </c>
      <c r="H655" s="62">
        <v>16600.120000000003</v>
      </c>
      <c r="I655" s="49">
        <v>0</v>
      </c>
      <c r="J655" s="49">
        <v>2062</v>
      </c>
      <c r="K655" s="49">
        <v>98.719519354838397</v>
      </c>
      <c r="L655" s="50" t="s">
        <v>409</v>
      </c>
      <c r="M655" s="51" t="s">
        <v>410</v>
      </c>
      <c r="N655" s="52" t="s">
        <v>1300</v>
      </c>
      <c r="O655" s="31"/>
      <c r="P655" s="53">
        <v>-1.0929175165371521E-2</v>
      </c>
      <c r="Q655" s="54">
        <v>17</v>
      </c>
      <c r="R655" s="55">
        <v>2399</v>
      </c>
      <c r="S655" s="55">
        <v>0</v>
      </c>
      <c r="T655" s="56">
        <v>2399</v>
      </c>
      <c r="U655" s="57"/>
      <c r="V655" s="55">
        <v>98.719519354838397</v>
      </c>
      <c r="W655" s="55">
        <v>0</v>
      </c>
      <c r="X655" s="58">
        <v>0</v>
      </c>
      <c r="Y655" s="59">
        <v>98.719519354838397</v>
      </c>
      <c r="Z655" s="58">
        <v>98.719519354838397</v>
      </c>
      <c r="AA655" s="56">
        <v>0</v>
      </c>
      <c r="AB655" s="56">
        <v>0</v>
      </c>
      <c r="AC655" s="60">
        <v>46142</v>
      </c>
    </row>
    <row r="656" spans="1:29" x14ac:dyDescent="0.25">
      <c r="A656" s="43">
        <v>1053</v>
      </c>
      <c r="B656" s="44" t="s">
        <v>156</v>
      </c>
      <c r="C656" s="45">
        <v>10530006</v>
      </c>
      <c r="D656" s="46" t="s">
        <v>1015</v>
      </c>
      <c r="E656" s="47" t="s">
        <v>364</v>
      </c>
      <c r="F656" s="47" t="s">
        <v>58</v>
      </c>
      <c r="G656" s="62">
        <v>1117.6499999999999</v>
      </c>
      <c r="H656" s="62">
        <v>44370.15</v>
      </c>
      <c r="I656" s="49">
        <v>0</v>
      </c>
      <c r="J656" s="49">
        <v>0</v>
      </c>
      <c r="K656" s="49">
        <v>0</v>
      </c>
      <c r="L656" s="50">
        <v>0</v>
      </c>
      <c r="M656" s="51"/>
      <c r="N656" s="52" t="s">
        <v>1300</v>
      </c>
      <c r="O656" s="31"/>
      <c r="P656" s="53">
        <v>1.8691994043976053E-4</v>
      </c>
      <c r="Q656" s="54">
        <v>58</v>
      </c>
      <c r="R656" s="55">
        <v>0</v>
      </c>
      <c r="S656" s="55">
        <v>0</v>
      </c>
      <c r="T656" s="56">
        <v>0</v>
      </c>
      <c r="U656" s="57"/>
      <c r="V656" s="55">
        <v>0</v>
      </c>
      <c r="W656" s="55">
        <v>0</v>
      </c>
      <c r="X656" s="58">
        <v>0</v>
      </c>
      <c r="Y656" s="59">
        <v>0</v>
      </c>
      <c r="Z656" s="58">
        <v>0</v>
      </c>
      <c r="AA656" s="56">
        <v>0</v>
      </c>
      <c r="AB656" s="56">
        <v>0</v>
      </c>
      <c r="AC656" s="60">
        <v>46142</v>
      </c>
    </row>
    <row r="657" spans="1:30" x14ac:dyDescent="0.25">
      <c r="A657" s="43">
        <v>1053</v>
      </c>
      <c r="B657" s="44" t="s">
        <v>156</v>
      </c>
      <c r="C657" s="45">
        <v>10530007</v>
      </c>
      <c r="D657" s="46" t="s">
        <v>1016</v>
      </c>
      <c r="E657" s="47" t="s">
        <v>364</v>
      </c>
      <c r="F657" s="47" t="s">
        <v>58</v>
      </c>
      <c r="G657" s="62">
        <v>418.40000000000009</v>
      </c>
      <c r="H657" s="62">
        <v>18516.859999999997</v>
      </c>
      <c r="I657" s="49">
        <v>0</v>
      </c>
      <c r="J657" s="49">
        <v>0</v>
      </c>
      <c r="K657" s="49">
        <v>0</v>
      </c>
      <c r="L657" s="50">
        <v>0</v>
      </c>
      <c r="M657" s="51"/>
      <c r="N657" s="52" t="s">
        <v>1300</v>
      </c>
      <c r="O657" s="31"/>
      <c r="P657" s="53">
        <v>-1.0981312704129779E-2</v>
      </c>
      <c r="Q657" s="54">
        <v>14</v>
      </c>
      <c r="R657" s="55">
        <v>0</v>
      </c>
      <c r="S657" s="55">
        <v>0</v>
      </c>
      <c r="T657" s="56">
        <v>0</v>
      </c>
      <c r="U657" s="57"/>
      <c r="V657" s="55">
        <v>0</v>
      </c>
      <c r="W657" s="55">
        <v>0</v>
      </c>
      <c r="X657" s="58">
        <v>0</v>
      </c>
      <c r="Y657" s="59">
        <v>0</v>
      </c>
      <c r="Z657" s="58">
        <v>0</v>
      </c>
      <c r="AA657" s="56">
        <v>0</v>
      </c>
      <c r="AB657" s="56">
        <v>0</v>
      </c>
      <c r="AC657" s="60">
        <v>46142</v>
      </c>
    </row>
    <row r="658" spans="1:30" x14ac:dyDescent="0.25">
      <c r="A658" s="43">
        <v>1053</v>
      </c>
      <c r="B658" s="44" t="s">
        <v>156</v>
      </c>
      <c r="C658" s="45">
        <v>10530008</v>
      </c>
      <c r="D658" s="46" t="s">
        <v>1017</v>
      </c>
      <c r="E658" s="47" t="s">
        <v>364</v>
      </c>
      <c r="F658" s="47" t="s">
        <v>58</v>
      </c>
      <c r="G658" s="62">
        <v>370.4</v>
      </c>
      <c r="H658" s="62">
        <v>18212.36</v>
      </c>
      <c r="I658" s="49">
        <v>0</v>
      </c>
      <c r="J658" s="49">
        <v>0</v>
      </c>
      <c r="K658" s="49">
        <v>0</v>
      </c>
      <c r="L658" s="50">
        <v>0</v>
      </c>
      <c r="M658" s="51"/>
      <c r="N658" s="52" t="s">
        <v>1300</v>
      </c>
      <c r="O658" s="31"/>
      <c r="P658" s="53">
        <v>-2.2019154456966827E-3</v>
      </c>
      <c r="Q658" s="54">
        <v>7</v>
      </c>
      <c r="R658" s="55">
        <v>0</v>
      </c>
      <c r="S658" s="55">
        <v>0</v>
      </c>
      <c r="T658" s="56">
        <v>0</v>
      </c>
      <c r="U658" s="57"/>
      <c r="V658" s="55">
        <v>0</v>
      </c>
      <c r="W658" s="55">
        <v>0</v>
      </c>
      <c r="X658" s="58">
        <v>0</v>
      </c>
      <c r="Y658" s="59">
        <v>0</v>
      </c>
      <c r="Z658" s="58">
        <v>0</v>
      </c>
      <c r="AA658" s="56">
        <v>0</v>
      </c>
      <c r="AB658" s="56">
        <v>0</v>
      </c>
      <c r="AC658" s="60">
        <v>46142</v>
      </c>
    </row>
    <row r="659" spans="1:30" x14ac:dyDescent="0.25">
      <c r="A659" s="43">
        <v>1053</v>
      </c>
      <c r="B659" s="44" t="s">
        <v>156</v>
      </c>
      <c r="C659" s="45">
        <v>10530009</v>
      </c>
      <c r="D659" s="46" t="s">
        <v>1018</v>
      </c>
      <c r="E659" s="47" t="s">
        <v>371</v>
      </c>
      <c r="F659" s="47" t="s">
        <v>59</v>
      </c>
      <c r="G659" s="62">
        <v>8347.7999999999993</v>
      </c>
      <c r="H659" s="62">
        <v>322996.66000000003</v>
      </c>
      <c r="I659" s="49">
        <v>0</v>
      </c>
      <c r="J659" s="49">
        <v>0</v>
      </c>
      <c r="K659" s="49">
        <v>0</v>
      </c>
      <c r="L659" s="50">
        <v>0</v>
      </c>
      <c r="M659" s="51"/>
      <c r="N659" s="52" t="s">
        <v>1300</v>
      </c>
      <c r="O659" s="31"/>
      <c r="P659" s="53">
        <v>0</v>
      </c>
      <c r="Q659" s="54">
        <v>0</v>
      </c>
      <c r="R659" s="55">
        <v>0</v>
      </c>
      <c r="S659" s="55">
        <v>0</v>
      </c>
      <c r="T659" s="56">
        <v>0</v>
      </c>
      <c r="U659" s="57"/>
      <c r="V659" s="55">
        <v>0</v>
      </c>
      <c r="W659" s="55">
        <v>0</v>
      </c>
      <c r="X659" s="58">
        <v>0</v>
      </c>
      <c r="Y659" s="59">
        <v>0</v>
      </c>
      <c r="Z659" s="58">
        <v>0</v>
      </c>
      <c r="AA659" s="56">
        <v>0</v>
      </c>
      <c r="AB659" s="56">
        <v>0</v>
      </c>
      <c r="AC659" s="60">
        <v>46142</v>
      </c>
    </row>
    <row r="660" spans="1:30" x14ac:dyDescent="0.25">
      <c r="A660" s="43">
        <v>1053</v>
      </c>
      <c r="B660" s="44" t="s">
        <v>156</v>
      </c>
      <c r="C660" s="45">
        <v>10530010</v>
      </c>
      <c r="D660" s="46" t="s">
        <v>1019</v>
      </c>
      <c r="E660" s="47" t="s">
        <v>371</v>
      </c>
      <c r="F660" s="47" t="s">
        <v>59</v>
      </c>
      <c r="G660" s="62">
        <v>2985.2999999999997</v>
      </c>
      <c r="H660" s="62">
        <v>122059.58999999998</v>
      </c>
      <c r="I660" s="49">
        <v>0</v>
      </c>
      <c r="J660" s="49">
        <v>0</v>
      </c>
      <c r="K660" s="49">
        <v>0</v>
      </c>
      <c r="L660" s="50">
        <v>0</v>
      </c>
      <c r="M660" s="51"/>
      <c r="N660" s="52" t="s">
        <v>1300</v>
      </c>
      <c r="O660" s="31"/>
      <c r="P660" s="53">
        <v>0</v>
      </c>
      <c r="Q660" s="54">
        <v>0</v>
      </c>
      <c r="R660" s="55">
        <v>0</v>
      </c>
      <c r="S660" s="55">
        <v>0</v>
      </c>
      <c r="T660" s="56">
        <v>0</v>
      </c>
      <c r="U660" s="57"/>
      <c r="V660" s="55">
        <v>0</v>
      </c>
      <c r="W660" s="55">
        <v>0</v>
      </c>
      <c r="X660" s="58">
        <v>0</v>
      </c>
      <c r="Y660" s="59">
        <v>0</v>
      </c>
      <c r="Z660" s="58">
        <v>0</v>
      </c>
      <c r="AA660" s="56">
        <v>0</v>
      </c>
      <c r="AB660" s="56">
        <v>0</v>
      </c>
      <c r="AC660" s="60">
        <v>46142</v>
      </c>
    </row>
    <row r="661" spans="1:30" x14ac:dyDescent="0.25">
      <c r="A661" s="43">
        <v>1053</v>
      </c>
      <c r="B661" s="44" t="s">
        <v>156</v>
      </c>
      <c r="C661" s="45">
        <v>10530015</v>
      </c>
      <c r="D661" s="46" t="s">
        <v>1020</v>
      </c>
      <c r="E661" s="47" t="s">
        <v>371</v>
      </c>
      <c r="F661" s="47" t="s">
        <v>59</v>
      </c>
      <c r="G661" s="62">
        <v>344.75</v>
      </c>
      <c r="H661" s="62">
        <v>13993.02</v>
      </c>
      <c r="I661" s="49">
        <v>0</v>
      </c>
      <c r="J661" s="49">
        <v>0</v>
      </c>
      <c r="K661" s="49">
        <v>298.626570967742</v>
      </c>
      <c r="L661" s="50">
        <v>0</v>
      </c>
      <c r="M661" s="51"/>
      <c r="N661" s="52" t="s">
        <v>1300</v>
      </c>
      <c r="O661" s="31"/>
      <c r="P661" s="53">
        <v>0</v>
      </c>
      <c r="Q661" s="54">
        <v>0</v>
      </c>
      <c r="R661" s="55">
        <v>0</v>
      </c>
      <c r="S661" s="55">
        <v>0</v>
      </c>
      <c r="T661" s="56">
        <v>0</v>
      </c>
      <c r="U661" s="57"/>
      <c r="V661" s="55">
        <v>298.626570967742</v>
      </c>
      <c r="W661" s="55">
        <v>0</v>
      </c>
      <c r="X661" s="58">
        <v>0</v>
      </c>
      <c r="Y661" s="59">
        <v>298.626570967742</v>
      </c>
      <c r="Z661" s="58">
        <v>298.626570967742</v>
      </c>
      <c r="AA661" s="56">
        <v>0</v>
      </c>
      <c r="AB661" s="56">
        <v>0</v>
      </c>
      <c r="AC661" s="60">
        <v>46142</v>
      </c>
    </row>
    <row r="662" spans="1:30" x14ac:dyDescent="0.25">
      <c r="A662" s="43">
        <v>1053</v>
      </c>
      <c r="B662" s="44" t="s">
        <v>156</v>
      </c>
      <c r="C662" s="45">
        <v>10530016</v>
      </c>
      <c r="D662" s="46" t="s">
        <v>1021</v>
      </c>
      <c r="E662" s="47" t="s">
        <v>371</v>
      </c>
      <c r="F662" s="47" t="s">
        <v>59</v>
      </c>
      <c r="G662" s="62">
        <v>303.2</v>
      </c>
      <c r="H662" s="62">
        <v>11811.100000000002</v>
      </c>
      <c r="I662" s="49">
        <v>0</v>
      </c>
      <c r="J662" s="49">
        <v>0</v>
      </c>
      <c r="K662" s="49">
        <v>493.30853225806408</v>
      </c>
      <c r="L662" s="50">
        <v>0</v>
      </c>
      <c r="M662" s="51"/>
      <c r="N662" s="52" t="s">
        <v>1300</v>
      </c>
      <c r="O662" s="31"/>
      <c r="P662" s="53">
        <v>0</v>
      </c>
      <c r="Q662" s="54">
        <v>0</v>
      </c>
      <c r="R662" s="55">
        <v>0</v>
      </c>
      <c r="S662" s="55">
        <v>0</v>
      </c>
      <c r="T662" s="56">
        <v>0</v>
      </c>
      <c r="U662" s="57"/>
      <c r="V662" s="55">
        <v>493.30853225806408</v>
      </c>
      <c r="W662" s="55">
        <v>0</v>
      </c>
      <c r="X662" s="58">
        <v>0</v>
      </c>
      <c r="Y662" s="59">
        <v>493.30853225806408</v>
      </c>
      <c r="Z662" s="58">
        <v>493.30853225806408</v>
      </c>
      <c r="AA662" s="56">
        <v>0</v>
      </c>
      <c r="AB662" s="56">
        <v>0</v>
      </c>
      <c r="AC662" s="60">
        <v>46142</v>
      </c>
    </row>
    <row r="663" spans="1:30" x14ac:dyDescent="0.25">
      <c r="A663" s="43">
        <v>1053</v>
      </c>
      <c r="B663" s="44" t="s">
        <v>156</v>
      </c>
      <c r="C663" s="45">
        <v>10530017</v>
      </c>
      <c r="D663" s="46" t="s">
        <v>1022</v>
      </c>
      <c r="E663" s="47" t="s">
        <v>371</v>
      </c>
      <c r="F663" s="47" t="s">
        <v>59</v>
      </c>
      <c r="G663" s="62">
        <v>1479</v>
      </c>
      <c r="H663" s="62">
        <v>62471.099999999977</v>
      </c>
      <c r="I663" s="49">
        <v>0</v>
      </c>
      <c r="J663" s="49">
        <v>7500</v>
      </c>
      <c r="K663" s="49">
        <v>0</v>
      </c>
      <c r="L663" s="50">
        <v>0</v>
      </c>
      <c r="M663" s="51"/>
      <c r="N663" s="52" t="s">
        <v>1300</v>
      </c>
      <c r="O663" s="31"/>
      <c r="P663" s="53">
        <v>0</v>
      </c>
      <c r="Q663" s="54">
        <v>0</v>
      </c>
      <c r="R663" s="55">
        <v>0</v>
      </c>
      <c r="S663" s="55">
        <v>0</v>
      </c>
      <c r="T663" s="56">
        <v>0</v>
      </c>
      <c r="U663" s="57"/>
      <c r="V663" s="55">
        <v>0</v>
      </c>
      <c r="W663" s="55">
        <v>0</v>
      </c>
      <c r="X663" s="58">
        <v>0</v>
      </c>
      <c r="Y663" s="59">
        <v>0</v>
      </c>
      <c r="Z663" s="58">
        <v>0</v>
      </c>
      <c r="AA663" s="56">
        <v>0</v>
      </c>
      <c r="AB663" s="56">
        <v>0</v>
      </c>
      <c r="AC663" s="60">
        <v>46142</v>
      </c>
    </row>
    <row r="664" spans="1:30" x14ac:dyDescent="0.25">
      <c r="A664" s="43">
        <v>1053</v>
      </c>
      <c r="B664" s="44" t="s">
        <v>156</v>
      </c>
      <c r="C664" s="45">
        <v>10530018</v>
      </c>
      <c r="D664" s="46" t="s">
        <v>1023</v>
      </c>
      <c r="E664" s="47" t="s">
        <v>371</v>
      </c>
      <c r="F664" s="47" t="s">
        <v>59</v>
      </c>
      <c r="G664" s="62">
        <v>973.9000000000002</v>
      </c>
      <c r="H664" s="62">
        <v>41597.629999999997</v>
      </c>
      <c r="I664" s="49">
        <v>0</v>
      </c>
      <c r="J664" s="49">
        <v>1350</v>
      </c>
      <c r="K664" s="49">
        <v>0</v>
      </c>
      <c r="L664" s="50">
        <v>0</v>
      </c>
      <c r="M664" s="51"/>
      <c r="N664" s="52" t="s">
        <v>1300</v>
      </c>
      <c r="O664" s="31"/>
      <c r="P664" s="53">
        <v>0</v>
      </c>
      <c r="Q664" s="54">
        <v>0</v>
      </c>
      <c r="R664" s="55">
        <v>0</v>
      </c>
      <c r="S664" s="55">
        <v>0</v>
      </c>
      <c r="T664" s="56">
        <v>0</v>
      </c>
      <c r="U664" s="57"/>
      <c r="V664" s="55">
        <v>0</v>
      </c>
      <c r="W664" s="55">
        <v>0</v>
      </c>
      <c r="X664" s="58">
        <v>0</v>
      </c>
      <c r="Y664" s="59">
        <v>0</v>
      </c>
      <c r="Z664" s="58">
        <v>0</v>
      </c>
      <c r="AA664" s="56">
        <v>0</v>
      </c>
      <c r="AB664" s="56">
        <v>0</v>
      </c>
      <c r="AC664" s="60">
        <v>46142</v>
      </c>
    </row>
    <row r="665" spans="1:30" x14ac:dyDescent="0.25">
      <c r="A665" s="43">
        <v>1053</v>
      </c>
      <c r="B665" s="44" t="s">
        <v>156</v>
      </c>
      <c r="C665" s="45">
        <v>10530029</v>
      </c>
      <c r="D665" s="46" t="s">
        <v>1024</v>
      </c>
      <c r="E665" s="47" t="s">
        <v>371</v>
      </c>
      <c r="F665" s="47" t="s">
        <v>59</v>
      </c>
      <c r="G665" s="62">
        <v>1241.3499999999999</v>
      </c>
      <c r="H665" s="62">
        <v>50972.87</v>
      </c>
      <c r="I665" s="49">
        <v>0</v>
      </c>
      <c r="J665" s="49">
        <v>0</v>
      </c>
      <c r="K665" s="49">
        <v>0</v>
      </c>
      <c r="L665" s="50">
        <v>0</v>
      </c>
      <c r="M665" s="51"/>
      <c r="N665" s="52" t="s">
        <v>1300</v>
      </c>
      <c r="O665" s="31"/>
      <c r="P665" s="53">
        <v>0</v>
      </c>
      <c r="Q665" s="54">
        <v>0</v>
      </c>
      <c r="R665" s="55">
        <v>0</v>
      </c>
      <c r="S665" s="55">
        <v>0</v>
      </c>
      <c r="T665" s="56">
        <v>0</v>
      </c>
      <c r="U665" s="57"/>
      <c r="V665" s="55">
        <v>0</v>
      </c>
      <c r="W665" s="55">
        <v>0</v>
      </c>
      <c r="X665" s="58">
        <v>0</v>
      </c>
      <c r="Y665" s="59">
        <v>0</v>
      </c>
      <c r="Z665" s="58">
        <v>0</v>
      </c>
      <c r="AA665" s="56">
        <v>0</v>
      </c>
      <c r="AB665" s="56">
        <v>0</v>
      </c>
      <c r="AC665" s="60">
        <v>46142</v>
      </c>
    </row>
    <row r="666" spans="1:30" x14ac:dyDescent="0.25">
      <c r="A666" s="43">
        <v>1053</v>
      </c>
      <c r="B666" s="44" t="s">
        <v>156</v>
      </c>
      <c r="C666" s="45">
        <v>10530030</v>
      </c>
      <c r="D666" s="46" t="s">
        <v>1025</v>
      </c>
      <c r="E666" s="47" t="s">
        <v>371</v>
      </c>
      <c r="F666" s="47" t="s">
        <v>59</v>
      </c>
      <c r="G666" s="62">
        <v>218.20000000000002</v>
      </c>
      <c r="H666" s="62">
        <v>8275.18</v>
      </c>
      <c r="I666" s="49">
        <v>0</v>
      </c>
      <c r="J666" s="49">
        <v>0</v>
      </c>
      <c r="K666" s="49">
        <v>291.11587741935512</v>
      </c>
      <c r="L666" s="50">
        <v>0</v>
      </c>
      <c r="M666" s="51"/>
      <c r="N666" s="52" t="s">
        <v>1300</v>
      </c>
      <c r="O666" s="31"/>
      <c r="P666" s="53">
        <v>0</v>
      </c>
      <c r="Q666" s="54">
        <v>0</v>
      </c>
      <c r="R666" s="55">
        <v>0</v>
      </c>
      <c r="S666" s="55">
        <v>0</v>
      </c>
      <c r="T666" s="56">
        <v>0</v>
      </c>
      <c r="U666" s="57"/>
      <c r="V666" s="55">
        <v>291.11587741935512</v>
      </c>
      <c r="W666" s="55">
        <v>0</v>
      </c>
      <c r="X666" s="58">
        <v>0</v>
      </c>
      <c r="Y666" s="59">
        <v>291.11587741935512</v>
      </c>
      <c r="Z666" s="58">
        <v>291.11587741935512</v>
      </c>
      <c r="AA666" s="56">
        <v>0</v>
      </c>
      <c r="AB666" s="56">
        <v>0</v>
      </c>
      <c r="AC666" s="60">
        <v>46142</v>
      </c>
    </row>
    <row r="667" spans="1:30" x14ac:dyDescent="0.25">
      <c r="A667" s="43">
        <v>1053</v>
      </c>
      <c r="B667" s="44" t="s">
        <v>156</v>
      </c>
      <c r="C667" s="45">
        <v>10530031</v>
      </c>
      <c r="D667" s="46" t="s">
        <v>1026</v>
      </c>
      <c r="E667" s="47" t="s">
        <v>371</v>
      </c>
      <c r="F667" s="47" t="s">
        <v>59</v>
      </c>
      <c r="G667" s="62">
        <v>1396.75</v>
      </c>
      <c r="H667" s="62">
        <v>59225.47</v>
      </c>
      <c r="I667" s="49">
        <v>0</v>
      </c>
      <c r="J667" s="49">
        <v>1500</v>
      </c>
      <c r="K667" s="49">
        <v>0</v>
      </c>
      <c r="L667" s="50">
        <v>0</v>
      </c>
      <c r="M667" s="51"/>
      <c r="N667" s="52" t="s">
        <v>1300</v>
      </c>
      <c r="O667" s="31"/>
      <c r="P667" s="53">
        <v>0</v>
      </c>
      <c r="Q667" s="54">
        <v>0</v>
      </c>
      <c r="R667" s="55">
        <v>0</v>
      </c>
      <c r="S667" s="55">
        <v>0</v>
      </c>
      <c r="T667" s="56">
        <v>0</v>
      </c>
      <c r="U667" s="57"/>
      <c r="V667" s="55">
        <v>0</v>
      </c>
      <c r="W667" s="55">
        <v>0</v>
      </c>
      <c r="X667" s="58">
        <v>0</v>
      </c>
      <c r="Y667" s="59">
        <v>0</v>
      </c>
      <c r="Z667" s="58">
        <v>0</v>
      </c>
      <c r="AA667" s="56">
        <v>0</v>
      </c>
      <c r="AB667" s="56">
        <v>0</v>
      </c>
      <c r="AC667" s="60">
        <v>46142</v>
      </c>
    </row>
    <row r="668" spans="1:30" x14ac:dyDescent="0.25">
      <c r="A668" s="43">
        <v>1053</v>
      </c>
      <c r="B668" s="44" t="s">
        <v>156</v>
      </c>
      <c r="C668" s="45">
        <v>10530032</v>
      </c>
      <c r="D668" s="46" t="s">
        <v>1027</v>
      </c>
      <c r="E668" s="47" t="s">
        <v>364</v>
      </c>
      <c r="F668" s="47" t="s">
        <v>58</v>
      </c>
      <c r="G668" s="62">
        <v>454.49999999999989</v>
      </c>
      <c r="H668" s="62">
        <v>23517.410000000003</v>
      </c>
      <c r="I668" s="49">
        <v>0</v>
      </c>
      <c r="J668" s="49">
        <v>1500</v>
      </c>
      <c r="K668" s="49">
        <v>0</v>
      </c>
      <c r="L668" s="50">
        <v>0</v>
      </c>
      <c r="M668" s="51"/>
      <c r="N668" s="52" t="s">
        <v>1300</v>
      </c>
      <c r="O668" s="31"/>
      <c r="P668" s="53">
        <v>2.330616170864177E-4</v>
      </c>
      <c r="Q668" s="54">
        <v>21</v>
      </c>
      <c r="R668" s="55">
        <v>0</v>
      </c>
      <c r="S668" s="55">
        <v>0</v>
      </c>
      <c r="T668" s="56">
        <v>0</v>
      </c>
      <c r="U668" s="57"/>
      <c r="V668" s="55">
        <v>0</v>
      </c>
      <c r="W668" s="55">
        <v>0</v>
      </c>
      <c r="X668" s="58">
        <v>0</v>
      </c>
      <c r="Y668" s="59">
        <v>0</v>
      </c>
      <c r="Z668" s="58">
        <v>0</v>
      </c>
      <c r="AA668" s="56">
        <v>0</v>
      </c>
      <c r="AB668" s="56">
        <v>0</v>
      </c>
      <c r="AC668" s="60">
        <v>46142</v>
      </c>
      <c r="AD668" s="61"/>
    </row>
    <row r="669" spans="1:30" x14ac:dyDescent="0.25">
      <c r="A669" s="43">
        <v>1053</v>
      </c>
      <c r="B669" s="44" t="s">
        <v>156</v>
      </c>
      <c r="C669" s="45">
        <v>10530033</v>
      </c>
      <c r="D669" s="46" t="s">
        <v>1028</v>
      </c>
      <c r="E669" s="47" t="s">
        <v>364</v>
      </c>
      <c r="F669" s="47" t="s">
        <v>58</v>
      </c>
      <c r="G669" s="62">
        <v>938.19999999999993</v>
      </c>
      <c r="H669" s="62">
        <v>38381.990000000005</v>
      </c>
      <c r="I669" s="49">
        <v>0</v>
      </c>
      <c r="J669" s="49">
        <v>0</v>
      </c>
      <c r="K669" s="49">
        <v>0</v>
      </c>
      <c r="L669" s="50">
        <v>0</v>
      </c>
      <c r="M669" s="51"/>
      <c r="N669" s="52" t="s">
        <v>1300</v>
      </c>
      <c r="O669" s="31"/>
      <c r="P669" s="53">
        <v>1.7288450475241052E-3</v>
      </c>
      <c r="Q669" s="54">
        <v>28</v>
      </c>
      <c r="R669" s="55">
        <v>0</v>
      </c>
      <c r="S669" s="55">
        <v>0</v>
      </c>
      <c r="T669" s="56">
        <v>0</v>
      </c>
      <c r="U669" s="57"/>
      <c r="V669" s="55">
        <v>0</v>
      </c>
      <c r="W669" s="55">
        <v>0</v>
      </c>
      <c r="X669" s="58">
        <v>0</v>
      </c>
      <c r="Y669" s="59">
        <v>0</v>
      </c>
      <c r="Z669" s="58">
        <v>0</v>
      </c>
      <c r="AA669" s="56">
        <v>0</v>
      </c>
      <c r="AB669" s="56">
        <v>0</v>
      </c>
      <c r="AC669" s="60">
        <v>46142</v>
      </c>
    </row>
    <row r="670" spans="1:30" x14ac:dyDescent="0.25">
      <c r="A670" s="43">
        <v>1053</v>
      </c>
      <c r="B670" s="44" t="s">
        <v>156</v>
      </c>
      <c r="C670" s="45">
        <v>10530034</v>
      </c>
      <c r="D670" s="46" t="s">
        <v>1029</v>
      </c>
      <c r="E670" s="47" t="s">
        <v>364</v>
      </c>
      <c r="F670" s="47" t="s">
        <v>58</v>
      </c>
      <c r="G670" s="62">
        <v>856.74999999999989</v>
      </c>
      <c r="H670" s="62">
        <v>43941.419999999991</v>
      </c>
      <c r="I670" s="49">
        <v>0</v>
      </c>
      <c r="J670" s="49">
        <v>0</v>
      </c>
      <c r="K670" s="49">
        <v>0</v>
      </c>
      <c r="L670" s="50">
        <v>0</v>
      </c>
      <c r="M670" s="51"/>
      <c r="N670" s="52" t="s">
        <v>1300</v>
      </c>
      <c r="O670" s="31"/>
      <c r="P670" s="53">
        <v>-2.897462894005198E-3</v>
      </c>
      <c r="Q670" s="54">
        <v>35</v>
      </c>
      <c r="R670" s="55">
        <v>0</v>
      </c>
      <c r="S670" s="55">
        <v>0</v>
      </c>
      <c r="T670" s="56">
        <v>0</v>
      </c>
      <c r="U670" s="57"/>
      <c r="V670" s="55">
        <v>0</v>
      </c>
      <c r="W670" s="55">
        <v>0</v>
      </c>
      <c r="X670" s="58">
        <v>0</v>
      </c>
      <c r="Y670" s="59">
        <v>0</v>
      </c>
      <c r="Z670" s="58">
        <v>0</v>
      </c>
      <c r="AA670" s="56">
        <v>0</v>
      </c>
      <c r="AB670" s="56">
        <v>0</v>
      </c>
      <c r="AC670" s="60">
        <v>46142</v>
      </c>
    </row>
    <row r="671" spans="1:30" x14ac:dyDescent="0.25">
      <c r="A671" s="43">
        <v>1053</v>
      </c>
      <c r="B671" s="44" t="s">
        <v>156</v>
      </c>
      <c r="C671" s="45">
        <v>10530035</v>
      </c>
      <c r="D671" s="46" t="s">
        <v>1030</v>
      </c>
      <c r="E671" s="47" t="s">
        <v>364</v>
      </c>
      <c r="F671" s="47" t="s">
        <v>58</v>
      </c>
      <c r="G671" s="62">
        <v>507.44999999999993</v>
      </c>
      <c r="H671" s="62">
        <v>22094.400000000001</v>
      </c>
      <c r="I671" s="49">
        <v>0</v>
      </c>
      <c r="J671" s="49">
        <v>6882</v>
      </c>
      <c r="K671" s="49">
        <v>244.31533548387134</v>
      </c>
      <c r="L671" s="50" t="s">
        <v>409</v>
      </c>
      <c r="M671" s="51" t="s">
        <v>410</v>
      </c>
      <c r="N671" s="52" t="s">
        <v>1300</v>
      </c>
      <c r="O671" s="31"/>
      <c r="P671" s="53">
        <v>1.7515742188768358E-3</v>
      </c>
      <c r="Q671" s="54">
        <v>22</v>
      </c>
      <c r="R671" s="55">
        <v>8884</v>
      </c>
      <c r="S671" s="55">
        <v>0</v>
      </c>
      <c r="T671" s="56">
        <v>8884</v>
      </c>
      <c r="U671" s="57"/>
      <c r="V671" s="55">
        <v>244.31533548387134</v>
      </c>
      <c r="W671" s="55">
        <v>0</v>
      </c>
      <c r="X671" s="58">
        <v>0</v>
      </c>
      <c r="Y671" s="59">
        <v>244.31533548387134</v>
      </c>
      <c r="Z671" s="58">
        <v>244.31533548387134</v>
      </c>
      <c r="AA671" s="56">
        <v>0</v>
      </c>
      <c r="AB671" s="56">
        <v>0</v>
      </c>
      <c r="AC671" s="60">
        <v>46142</v>
      </c>
    </row>
    <row r="672" spans="1:30" x14ac:dyDescent="0.25">
      <c r="A672" s="43">
        <v>1053</v>
      </c>
      <c r="B672" s="44" t="s">
        <v>156</v>
      </c>
      <c r="C672" s="45">
        <v>10530038</v>
      </c>
      <c r="D672" s="46" t="s">
        <v>1031</v>
      </c>
      <c r="E672" s="47" t="s">
        <v>371</v>
      </c>
      <c r="F672" s="47" t="s">
        <v>59</v>
      </c>
      <c r="G672" s="62">
        <v>502.84999999999997</v>
      </c>
      <c r="H672" s="62">
        <v>19767.069999999992</v>
      </c>
      <c r="I672" s="49">
        <v>0</v>
      </c>
      <c r="J672" s="49">
        <v>0</v>
      </c>
      <c r="K672" s="49">
        <v>0</v>
      </c>
      <c r="L672" s="50">
        <v>0</v>
      </c>
      <c r="M672" s="51"/>
      <c r="N672" s="52" t="s">
        <v>1300</v>
      </c>
      <c r="O672" s="31"/>
      <c r="P672" s="53">
        <v>0</v>
      </c>
      <c r="Q672" s="54">
        <v>0</v>
      </c>
      <c r="R672" s="55">
        <v>0</v>
      </c>
      <c r="S672" s="55">
        <v>0</v>
      </c>
      <c r="T672" s="56">
        <v>0</v>
      </c>
      <c r="U672" s="57"/>
      <c r="V672" s="55">
        <v>0</v>
      </c>
      <c r="W672" s="55">
        <v>0</v>
      </c>
      <c r="X672" s="58">
        <v>0</v>
      </c>
      <c r="Y672" s="59">
        <v>0</v>
      </c>
      <c r="Z672" s="58">
        <v>0</v>
      </c>
      <c r="AA672" s="56">
        <v>0</v>
      </c>
      <c r="AB672" s="56">
        <v>0</v>
      </c>
      <c r="AC672" s="60">
        <v>46142</v>
      </c>
    </row>
    <row r="673" spans="1:29" x14ac:dyDescent="0.25">
      <c r="A673" s="43">
        <v>1053</v>
      </c>
      <c r="B673" s="44" t="s">
        <v>156</v>
      </c>
      <c r="C673" s="45">
        <v>10530040</v>
      </c>
      <c r="D673" s="46" t="s">
        <v>1032</v>
      </c>
      <c r="E673" s="47" t="s">
        <v>364</v>
      </c>
      <c r="F673" s="47" t="s">
        <v>58</v>
      </c>
      <c r="G673" s="62">
        <v>548.55000000000007</v>
      </c>
      <c r="H673" s="62">
        <v>23915.93</v>
      </c>
      <c r="I673" s="49">
        <v>0</v>
      </c>
      <c r="J673" s="49">
        <v>2276</v>
      </c>
      <c r="K673" s="49">
        <v>0</v>
      </c>
      <c r="L673" s="50">
        <v>0</v>
      </c>
      <c r="M673" s="51"/>
      <c r="N673" s="52" t="s">
        <v>1300</v>
      </c>
      <c r="O673" s="31"/>
      <c r="P673" s="53">
        <v>-1.6514681442308353E-2</v>
      </c>
      <c r="Q673" s="54">
        <v>22</v>
      </c>
      <c r="R673" s="55">
        <v>0</v>
      </c>
      <c r="S673" s="55">
        <v>0</v>
      </c>
      <c r="T673" s="56">
        <v>0</v>
      </c>
      <c r="U673" s="57"/>
      <c r="V673" s="55">
        <v>0</v>
      </c>
      <c r="W673" s="55">
        <v>0</v>
      </c>
      <c r="X673" s="58">
        <v>0</v>
      </c>
      <c r="Y673" s="59">
        <v>0</v>
      </c>
      <c r="Z673" s="58">
        <v>0</v>
      </c>
      <c r="AA673" s="56">
        <v>0</v>
      </c>
      <c r="AB673" s="56">
        <v>0</v>
      </c>
      <c r="AC673" s="60">
        <v>46142</v>
      </c>
    </row>
    <row r="674" spans="1:29" x14ac:dyDescent="0.25">
      <c r="A674" s="43">
        <v>1053</v>
      </c>
      <c r="B674" s="44" t="s">
        <v>156</v>
      </c>
      <c r="C674" s="45">
        <v>10530041</v>
      </c>
      <c r="D674" s="46" t="s">
        <v>1033</v>
      </c>
      <c r="E674" s="47" t="s">
        <v>371</v>
      </c>
      <c r="F674" s="47" t="s">
        <v>59</v>
      </c>
      <c r="G674" s="62">
        <v>2626.95</v>
      </c>
      <c r="H674" s="62">
        <v>105472.77000000002</v>
      </c>
      <c r="I674" s="49">
        <v>0</v>
      </c>
      <c r="J674" s="49">
        <v>0</v>
      </c>
      <c r="K674" s="49">
        <v>0</v>
      </c>
      <c r="L674" s="50">
        <v>0</v>
      </c>
      <c r="M674" s="51"/>
      <c r="N674" s="52" t="s">
        <v>1300</v>
      </c>
      <c r="O674" s="31"/>
      <c r="P674" s="53">
        <v>0</v>
      </c>
      <c r="Q674" s="54">
        <v>0</v>
      </c>
      <c r="R674" s="55">
        <v>0</v>
      </c>
      <c r="S674" s="55">
        <v>0</v>
      </c>
      <c r="T674" s="56">
        <v>0</v>
      </c>
      <c r="U674" s="57"/>
      <c r="V674" s="55">
        <v>0</v>
      </c>
      <c r="W674" s="55">
        <v>0</v>
      </c>
      <c r="X674" s="58">
        <v>0</v>
      </c>
      <c r="Y674" s="59">
        <v>0</v>
      </c>
      <c r="Z674" s="58">
        <v>0</v>
      </c>
      <c r="AA674" s="56">
        <v>0</v>
      </c>
      <c r="AB674" s="56">
        <v>0</v>
      </c>
      <c r="AC674" s="60">
        <v>46142</v>
      </c>
    </row>
    <row r="675" spans="1:29" x14ac:dyDescent="0.25">
      <c r="A675" s="43">
        <v>1053</v>
      </c>
      <c r="B675" s="44" t="s">
        <v>156</v>
      </c>
      <c r="C675" s="45">
        <v>10530044</v>
      </c>
      <c r="D675" s="46" t="s">
        <v>1034</v>
      </c>
      <c r="E675" s="47" t="s">
        <v>364</v>
      </c>
      <c r="F675" s="47" t="s">
        <v>58</v>
      </c>
      <c r="G675" s="62">
        <v>777.05</v>
      </c>
      <c r="H675" s="62">
        <v>34006.559999999998</v>
      </c>
      <c r="I675" s="49">
        <v>0</v>
      </c>
      <c r="J675" s="49">
        <v>0</v>
      </c>
      <c r="K675" s="49">
        <v>533.59714838709704</v>
      </c>
      <c r="L675" s="50">
        <v>0</v>
      </c>
      <c r="M675" s="51"/>
      <c r="N675" s="52" t="s">
        <v>1300</v>
      </c>
      <c r="O675" s="31"/>
      <c r="P675" s="53">
        <v>1.0054904220819704E-3</v>
      </c>
      <c r="Q675" s="54">
        <v>20</v>
      </c>
      <c r="R675" s="55">
        <v>0</v>
      </c>
      <c r="S675" s="55">
        <v>0</v>
      </c>
      <c r="T675" s="56">
        <v>0</v>
      </c>
      <c r="U675" s="57"/>
      <c r="V675" s="55">
        <v>533.59714838709704</v>
      </c>
      <c r="W675" s="55">
        <v>0</v>
      </c>
      <c r="X675" s="58">
        <v>0</v>
      </c>
      <c r="Y675" s="59">
        <v>533.59714838709704</v>
      </c>
      <c r="Z675" s="58">
        <v>533.59714838709704</v>
      </c>
      <c r="AA675" s="56">
        <v>0</v>
      </c>
      <c r="AB675" s="56">
        <v>0</v>
      </c>
      <c r="AC675" s="60">
        <v>46142</v>
      </c>
    </row>
    <row r="676" spans="1:29" x14ac:dyDescent="0.25">
      <c r="A676" s="43">
        <v>1053</v>
      </c>
      <c r="B676" s="44" t="s">
        <v>156</v>
      </c>
      <c r="C676" s="45">
        <v>10530046</v>
      </c>
      <c r="D676" s="46" t="s">
        <v>1035</v>
      </c>
      <c r="E676" s="47" t="s">
        <v>364</v>
      </c>
      <c r="F676" s="47" t="s">
        <v>58</v>
      </c>
      <c r="G676" s="62">
        <v>425.95</v>
      </c>
      <c r="H676" s="62">
        <v>19473.02</v>
      </c>
      <c r="I676" s="49">
        <v>0</v>
      </c>
      <c r="J676" s="49">
        <v>0</v>
      </c>
      <c r="K676" s="49">
        <v>0</v>
      </c>
      <c r="L676" s="50">
        <v>0</v>
      </c>
      <c r="M676" s="51"/>
      <c r="N676" s="52" t="s">
        <v>1300</v>
      </c>
      <c r="O676" s="31"/>
      <c r="P676" s="53">
        <v>2.5030460282993248E-4</v>
      </c>
      <c r="Q676" s="54">
        <v>23</v>
      </c>
      <c r="R676" s="55">
        <v>0</v>
      </c>
      <c r="S676" s="55">
        <v>0</v>
      </c>
      <c r="T676" s="56">
        <v>0</v>
      </c>
      <c r="U676" s="57"/>
      <c r="V676" s="55">
        <v>0</v>
      </c>
      <c r="W676" s="55">
        <v>0</v>
      </c>
      <c r="X676" s="58">
        <v>0</v>
      </c>
      <c r="Y676" s="59">
        <v>0</v>
      </c>
      <c r="Z676" s="58">
        <v>0</v>
      </c>
      <c r="AA676" s="56">
        <v>0</v>
      </c>
      <c r="AB676" s="56">
        <v>0</v>
      </c>
      <c r="AC676" s="60">
        <v>46142</v>
      </c>
    </row>
    <row r="677" spans="1:29" x14ac:dyDescent="0.25">
      <c r="A677" s="43">
        <v>1053</v>
      </c>
      <c r="B677" s="44" t="s">
        <v>156</v>
      </c>
      <c r="C677" s="45">
        <v>10530047</v>
      </c>
      <c r="D677" s="46" t="s">
        <v>1036</v>
      </c>
      <c r="E677" s="47" t="s">
        <v>364</v>
      </c>
      <c r="F677" s="47" t="s">
        <v>58</v>
      </c>
      <c r="G677" s="62">
        <v>287.15000000000003</v>
      </c>
      <c r="H677" s="62">
        <v>9674.09</v>
      </c>
      <c r="I677" s="49">
        <v>0</v>
      </c>
      <c r="J677" s="49">
        <v>0</v>
      </c>
      <c r="K677" s="49">
        <v>94.889912903225877</v>
      </c>
      <c r="L677" s="50">
        <v>0</v>
      </c>
      <c r="M677" s="51"/>
      <c r="N677" s="52" t="s">
        <v>1300</v>
      </c>
      <c r="O677" s="31"/>
      <c r="P677" s="53">
        <v>-4.7297472837155595E-2</v>
      </c>
      <c r="Q677" s="54">
        <v>5</v>
      </c>
      <c r="R677" s="55">
        <v>0</v>
      </c>
      <c r="S677" s="55">
        <v>0</v>
      </c>
      <c r="T677" s="56">
        <v>0</v>
      </c>
      <c r="U677" s="57"/>
      <c r="V677" s="55">
        <v>94.889912903225877</v>
      </c>
      <c r="W677" s="55">
        <v>0</v>
      </c>
      <c r="X677" s="58">
        <v>0</v>
      </c>
      <c r="Y677" s="59">
        <v>94.889912903225877</v>
      </c>
      <c r="Z677" s="58">
        <v>94.889912903225877</v>
      </c>
      <c r="AA677" s="56">
        <v>0</v>
      </c>
      <c r="AB677" s="56">
        <v>0</v>
      </c>
      <c r="AC677" s="60">
        <v>46142</v>
      </c>
    </row>
    <row r="678" spans="1:29" x14ac:dyDescent="0.25">
      <c r="A678" s="43">
        <v>1053</v>
      </c>
      <c r="B678" s="44" t="s">
        <v>156</v>
      </c>
      <c r="C678" s="45">
        <v>10530048</v>
      </c>
      <c r="D678" s="46" t="s">
        <v>1037</v>
      </c>
      <c r="E678" s="47" t="s">
        <v>364</v>
      </c>
      <c r="F678" s="47" t="s">
        <v>58</v>
      </c>
      <c r="G678" s="62">
        <v>348.59999999999997</v>
      </c>
      <c r="H678" s="62">
        <v>12837.179999999998</v>
      </c>
      <c r="I678" s="49">
        <v>0</v>
      </c>
      <c r="J678" s="49">
        <v>0</v>
      </c>
      <c r="K678" s="49">
        <v>0</v>
      </c>
      <c r="L678" s="50">
        <v>0</v>
      </c>
      <c r="M678" s="51"/>
      <c r="N678" s="52" t="s">
        <v>1300</v>
      </c>
      <c r="O678" s="31"/>
      <c r="P678" s="53">
        <v>1.8823769366253355E-3</v>
      </c>
      <c r="Q678" s="54">
        <v>12</v>
      </c>
      <c r="R678" s="55">
        <v>0</v>
      </c>
      <c r="S678" s="55">
        <v>0</v>
      </c>
      <c r="T678" s="56">
        <v>0</v>
      </c>
      <c r="U678" s="57"/>
      <c r="V678" s="55">
        <v>0</v>
      </c>
      <c r="W678" s="55">
        <v>0</v>
      </c>
      <c r="X678" s="58">
        <v>0</v>
      </c>
      <c r="Y678" s="59">
        <v>0</v>
      </c>
      <c r="Z678" s="58">
        <v>0</v>
      </c>
      <c r="AA678" s="56">
        <v>0</v>
      </c>
      <c r="AB678" s="56">
        <v>0</v>
      </c>
      <c r="AC678" s="60">
        <v>46142</v>
      </c>
    </row>
    <row r="679" spans="1:29" x14ac:dyDescent="0.25">
      <c r="A679" s="43">
        <v>1053</v>
      </c>
      <c r="B679" s="44" t="s">
        <v>156</v>
      </c>
      <c r="C679" s="45">
        <v>10530049</v>
      </c>
      <c r="D679" s="46" t="s">
        <v>1038</v>
      </c>
      <c r="E679" s="47" t="s">
        <v>371</v>
      </c>
      <c r="F679" s="47" t="s">
        <v>59</v>
      </c>
      <c r="G679" s="62">
        <v>1806.7999999999997</v>
      </c>
      <c r="H679" s="62">
        <v>68849.05</v>
      </c>
      <c r="I679" s="49">
        <v>0</v>
      </c>
      <c r="J679" s="49">
        <v>0</v>
      </c>
      <c r="K679" s="49">
        <v>0</v>
      </c>
      <c r="L679" s="50">
        <v>0</v>
      </c>
      <c r="M679" s="51"/>
      <c r="N679" s="52" t="s">
        <v>1300</v>
      </c>
      <c r="O679" s="31"/>
      <c r="P679" s="53">
        <v>0</v>
      </c>
      <c r="Q679" s="54">
        <v>0</v>
      </c>
      <c r="R679" s="55">
        <v>0</v>
      </c>
      <c r="S679" s="55">
        <v>0</v>
      </c>
      <c r="T679" s="56">
        <v>0</v>
      </c>
      <c r="U679" s="57"/>
      <c r="V679" s="55">
        <v>0</v>
      </c>
      <c r="W679" s="55">
        <v>0</v>
      </c>
      <c r="X679" s="58">
        <v>0</v>
      </c>
      <c r="Y679" s="59">
        <v>0</v>
      </c>
      <c r="Z679" s="58">
        <v>0</v>
      </c>
      <c r="AA679" s="56">
        <v>0</v>
      </c>
      <c r="AB679" s="56">
        <v>0</v>
      </c>
      <c r="AC679" s="60">
        <v>46142</v>
      </c>
    </row>
    <row r="680" spans="1:29" x14ac:dyDescent="0.25">
      <c r="A680" s="43">
        <v>1053</v>
      </c>
      <c r="B680" s="44" t="s">
        <v>156</v>
      </c>
      <c r="C680" s="45">
        <v>10530050</v>
      </c>
      <c r="D680" s="46" t="s">
        <v>1039</v>
      </c>
      <c r="E680" s="47" t="s">
        <v>371</v>
      </c>
      <c r="F680" s="47" t="s">
        <v>59</v>
      </c>
      <c r="G680" s="62">
        <v>48.650000000000006</v>
      </c>
      <c r="H680" s="62">
        <v>2286.06</v>
      </c>
      <c r="I680" s="49">
        <v>0</v>
      </c>
      <c r="J680" s="49">
        <v>0</v>
      </c>
      <c r="K680" s="49">
        <v>408.58372258064514</v>
      </c>
      <c r="L680" s="50">
        <v>0</v>
      </c>
      <c r="M680" s="51"/>
      <c r="N680" s="52" t="s">
        <v>1300</v>
      </c>
      <c r="O680" s="31"/>
      <c r="P680" s="53">
        <v>0</v>
      </c>
      <c r="Q680" s="54">
        <v>0</v>
      </c>
      <c r="R680" s="55">
        <v>0</v>
      </c>
      <c r="S680" s="55">
        <v>0</v>
      </c>
      <c r="T680" s="56">
        <v>0</v>
      </c>
      <c r="U680" s="57"/>
      <c r="V680" s="55">
        <v>408.58372258064514</v>
      </c>
      <c r="W680" s="55">
        <v>0</v>
      </c>
      <c r="X680" s="58">
        <v>0</v>
      </c>
      <c r="Y680" s="59">
        <v>408.58372258064514</v>
      </c>
      <c r="Z680" s="58">
        <v>408.58372258064514</v>
      </c>
      <c r="AA680" s="56">
        <v>0</v>
      </c>
      <c r="AB680" s="56">
        <v>0</v>
      </c>
      <c r="AC680" s="60">
        <v>46142</v>
      </c>
    </row>
    <row r="681" spans="1:29" x14ac:dyDescent="0.25">
      <c r="A681" s="43">
        <v>1053</v>
      </c>
      <c r="B681" s="44" t="s">
        <v>156</v>
      </c>
      <c r="C681" s="45">
        <v>10530055</v>
      </c>
      <c r="D681" s="46" t="s">
        <v>1040</v>
      </c>
      <c r="E681" s="47" t="s">
        <v>364</v>
      </c>
      <c r="F681" s="47" t="s">
        <v>58</v>
      </c>
      <c r="G681" s="62">
        <v>1924.8999999999999</v>
      </c>
      <c r="H681" s="62">
        <v>76006.280000000013</v>
      </c>
      <c r="I681" s="49">
        <v>0</v>
      </c>
      <c r="J681" s="49">
        <v>5243</v>
      </c>
      <c r="K681" s="49">
        <v>0</v>
      </c>
      <c r="L681" s="50">
        <v>0</v>
      </c>
      <c r="M681" s="51"/>
      <c r="N681" s="52" t="s">
        <v>1300</v>
      </c>
      <c r="O681" s="31"/>
      <c r="P681" s="53">
        <v>2.4473113355954822E-3</v>
      </c>
      <c r="Q681" s="54">
        <v>52</v>
      </c>
      <c r="R681" s="55">
        <v>0</v>
      </c>
      <c r="S681" s="55">
        <v>0</v>
      </c>
      <c r="T681" s="56">
        <v>0</v>
      </c>
      <c r="U681" s="57"/>
      <c r="V681" s="55">
        <v>0</v>
      </c>
      <c r="W681" s="55">
        <v>0</v>
      </c>
      <c r="X681" s="58">
        <v>0</v>
      </c>
      <c r="Y681" s="59">
        <v>0</v>
      </c>
      <c r="Z681" s="58">
        <v>0</v>
      </c>
      <c r="AA681" s="56">
        <v>0</v>
      </c>
      <c r="AB681" s="56">
        <v>0</v>
      </c>
      <c r="AC681" s="60">
        <v>46142</v>
      </c>
    </row>
    <row r="682" spans="1:29" x14ac:dyDescent="0.25">
      <c r="A682" s="43">
        <v>1053</v>
      </c>
      <c r="B682" s="44" t="s">
        <v>156</v>
      </c>
      <c r="C682" s="45">
        <v>10530058</v>
      </c>
      <c r="D682" s="46" t="s">
        <v>1041</v>
      </c>
      <c r="E682" s="47" t="s">
        <v>364</v>
      </c>
      <c r="F682" s="47" t="s">
        <v>58</v>
      </c>
      <c r="G682" s="62">
        <v>168.8</v>
      </c>
      <c r="H682" s="62">
        <v>6244.94</v>
      </c>
      <c r="I682" s="49">
        <v>0</v>
      </c>
      <c r="J682" s="49">
        <v>0</v>
      </c>
      <c r="K682" s="49">
        <v>0</v>
      </c>
      <c r="L682" s="50">
        <v>0</v>
      </c>
      <c r="M682" s="51"/>
      <c r="N682" s="52" t="s">
        <v>1300</v>
      </c>
      <c r="O682" s="31"/>
      <c r="P682" s="53">
        <v>5.7524713235033737E-3</v>
      </c>
      <c r="Q682" s="54">
        <v>9</v>
      </c>
      <c r="R682" s="55">
        <v>0</v>
      </c>
      <c r="S682" s="55">
        <v>0</v>
      </c>
      <c r="T682" s="56">
        <v>0</v>
      </c>
      <c r="U682" s="57"/>
      <c r="V682" s="55">
        <v>0</v>
      </c>
      <c r="W682" s="55">
        <v>0</v>
      </c>
      <c r="X682" s="58">
        <v>0</v>
      </c>
      <c r="Y682" s="59">
        <v>0</v>
      </c>
      <c r="Z682" s="58">
        <v>0</v>
      </c>
      <c r="AA682" s="56">
        <v>0</v>
      </c>
      <c r="AB682" s="56">
        <v>0</v>
      </c>
      <c r="AC682" s="60">
        <v>46142</v>
      </c>
    </row>
    <row r="683" spans="1:29" x14ac:dyDescent="0.25">
      <c r="A683" s="43">
        <v>1053</v>
      </c>
      <c r="B683" s="44" t="s">
        <v>156</v>
      </c>
      <c r="C683" s="45">
        <v>10530059</v>
      </c>
      <c r="D683" s="46" t="s">
        <v>1042</v>
      </c>
      <c r="E683" s="47" t="s">
        <v>371</v>
      </c>
      <c r="F683" s="47" t="s">
        <v>59</v>
      </c>
      <c r="G683" s="62">
        <v>1725.4499999999996</v>
      </c>
      <c r="H683" s="62">
        <v>81979.000000000015</v>
      </c>
      <c r="I683" s="49">
        <v>0</v>
      </c>
      <c r="J683" s="49">
        <v>0</v>
      </c>
      <c r="K683" s="49">
        <v>0</v>
      </c>
      <c r="L683" s="50">
        <v>0</v>
      </c>
      <c r="M683" s="51"/>
      <c r="N683" s="52" t="s">
        <v>1300</v>
      </c>
      <c r="O683" s="31"/>
      <c r="P683" s="53">
        <v>0</v>
      </c>
      <c r="Q683" s="54">
        <v>0</v>
      </c>
      <c r="R683" s="55">
        <v>0</v>
      </c>
      <c r="S683" s="55">
        <v>0</v>
      </c>
      <c r="T683" s="56">
        <v>0</v>
      </c>
      <c r="U683" s="57"/>
      <c r="V683" s="55">
        <v>0</v>
      </c>
      <c r="W683" s="55">
        <v>0</v>
      </c>
      <c r="X683" s="58">
        <v>0</v>
      </c>
      <c r="Y683" s="59">
        <v>0</v>
      </c>
      <c r="Z683" s="58">
        <v>0</v>
      </c>
      <c r="AA683" s="56">
        <v>0</v>
      </c>
      <c r="AB683" s="56">
        <v>0</v>
      </c>
      <c r="AC683" s="60">
        <v>46142</v>
      </c>
    </row>
    <row r="684" spans="1:29" x14ac:dyDescent="0.25">
      <c r="A684" s="43">
        <v>1053</v>
      </c>
      <c r="B684" s="44" t="s">
        <v>156</v>
      </c>
      <c r="C684" s="45">
        <v>10530060</v>
      </c>
      <c r="D684" s="46" t="s">
        <v>1043</v>
      </c>
      <c r="E684" s="47" t="s">
        <v>371</v>
      </c>
      <c r="F684" s="47" t="s">
        <v>59</v>
      </c>
      <c r="G684" s="62">
        <v>477.25</v>
      </c>
      <c r="H684" s="62">
        <v>20125.480000000003</v>
      </c>
      <c r="I684" s="49">
        <v>0</v>
      </c>
      <c r="J684" s="49">
        <v>0</v>
      </c>
      <c r="K684" s="49">
        <v>0</v>
      </c>
      <c r="L684" s="50">
        <v>0</v>
      </c>
      <c r="M684" s="51"/>
      <c r="N684" s="52" t="s">
        <v>1300</v>
      </c>
      <c r="O684" s="31"/>
      <c r="P684" s="53">
        <v>0</v>
      </c>
      <c r="Q684" s="54">
        <v>0</v>
      </c>
      <c r="R684" s="55">
        <v>0</v>
      </c>
      <c r="S684" s="55">
        <v>0</v>
      </c>
      <c r="T684" s="56">
        <v>0</v>
      </c>
      <c r="U684" s="57"/>
      <c r="V684" s="55">
        <v>0</v>
      </c>
      <c r="W684" s="55">
        <v>0</v>
      </c>
      <c r="X684" s="58">
        <v>0</v>
      </c>
      <c r="Y684" s="59">
        <v>0</v>
      </c>
      <c r="Z684" s="58">
        <v>0</v>
      </c>
      <c r="AA684" s="56">
        <v>0</v>
      </c>
      <c r="AB684" s="56">
        <v>0</v>
      </c>
      <c r="AC684" s="60">
        <v>46142</v>
      </c>
    </row>
    <row r="685" spans="1:29" x14ac:dyDescent="0.25">
      <c r="A685" s="43">
        <v>1053</v>
      </c>
      <c r="B685" s="44" t="s">
        <v>156</v>
      </c>
      <c r="C685" s="45">
        <v>10530062</v>
      </c>
      <c r="D685" s="46" t="s">
        <v>1044</v>
      </c>
      <c r="E685" s="47" t="s">
        <v>364</v>
      </c>
      <c r="F685" s="47" t="s">
        <v>58</v>
      </c>
      <c r="G685" s="62">
        <v>754.95000000000016</v>
      </c>
      <c r="H685" s="62">
        <v>31028.5</v>
      </c>
      <c r="I685" s="49">
        <v>0</v>
      </c>
      <c r="J685" s="49">
        <v>0</v>
      </c>
      <c r="K685" s="49">
        <v>0</v>
      </c>
      <c r="L685" s="50">
        <v>0</v>
      </c>
      <c r="M685" s="51"/>
      <c r="N685" s="52" t="s">
        <v>1300</v>
      </c>
      <c r="O685" s="31"/>
      <c r="P685" s="53">
        <v>-1.5080679494589647E-3</v>
      </c>
      <c r="Q685" s="54">
        <v>10</v>
      </c>
      <c r="R685" s="55">
        <v>0</v>
      </c>
      <c r="S685" s="55">
        <v>0</v>
      </c>
      <c r="T685" s="56">
        <v>0</v>
      </c>
      <c r="U685" s="57"/>
      <c r="V685" s="55">
        <v>0</v>
      </c>
      <c r="W685" s="55">
        <v>0</v>
      </c>
      <c r="X685" s="58">
        <v>0</v>
      </c>
      <c r="Y685" s="59">
        <v>0</v>
      </c>
      <c r="Z685" s="58">
        <v>0</v>
      </c>
      <c r="AA685" s="56">
        <v>0</v>
      </c>
      <c r="AB685" s="56">
        <v>0</v>
      </c>
      <c r="AC685" s="60">
        <v>46142</v>
      </c>
    </row>
    <row r="686" spans="1:29" x14ac:dyDescent="0.25">
      <c r="A686" s="43">
        <v>1053</v>
      </c>
      <c r="B686" s="44" t="s">
        <v>156</v>
      </c>
      <c r="C686" s="45">
        <v>10530063</v>
      </c>
      <c r="D686" s="46" t="s">
        <v>1045</v>
      </c>
      <c r="E686" s="47" t="s">
        <v>371</v>
      </c>
      <c r="F686" s="47" t="s">
        <v>59</v>
      </c>
      <c r="G686" s="62">
        <v>107.30000000000001</v>
      </c>
      <c r="H686" s="62">
        <v>6061.6900000000005</v>
      </c>
      <c r="I686" s="49">
        <v>0</v>
      </c>
      <c r="J686" s="49">
        <v>3000</v>
      </c>
      <c r="K686" s="49">
        <v>595.2187258064514</v>
      </c>
      <c r="L686" s="50">
        <v>0</v>
      </c>
      <c r="M686" s="51"/>
      <c r="N686" s="52" t="s">
        <v>1300</v>
      </c>
      <c r="O686" s="31"/>
      <c r="P686" s="53">
        <v>0</v>
      </c>
      <c r="Q686" s="54">
        <v>0</v>
      </c>
      <c r="R686" s="55">
        <v>0</v>
      </c>
      <c r="S686" s="55">
        <v>0</v>
      </c>
      <c r="T686" s="56">
        <v>0</v>
      </c>
      <c r="U686" s="57"/>
      <c r="V686" s="55">
        <v>595.2187258064514</v>
      </c>
      <c r="W686" s="55">
        <v>0</v>
      </c>
      <c r="X686" s="58">
        <v>0</v>
      </c>
      <c r="Y686" s="59">
        <v>595.2187258064514</v>
      </c>
      <c r="Z686" s="58">
        <v>595.2187258064514</v>
      </c>
      <c r="AA686" s="56">
        <v>0</v>
      </c>
      <c r="AB686" s="56">
        <v>0</v>
      </c>
      <c r="AC686" s="60">
        <v>46142</v>
      </c>
    </row>
    <row r="687" spans="1:29" x14ac:dyDescent="0.25">
      <c r="A687" s="43">
        <v>1053</v>
      </c>
      <c r="B687" s="44" t="s">
        <v>156</v>
      </c>
      <c r="C687" s="45">
        <v>10530064</v>
      </c>
      <c r="D687" s="46" t="s">
        <v>1046</v>
      </c>
      <c r="E687" s="47" t="s">
        <v>364</v>
      </c>
      <c r="F687" s="47" t="s">
        <v>58</v>
      </c>
      <c r="G687" s="62">
        <v>966.3</v>
      </c>
      <c r="H687" s="62">
        <v>40986.300000000003</v>
      </c>
      <c r="I687" s="49">
        <v>0</v>
      </c>
      <c r="J687" s="49">
        <v>7</v>
      </c>
      <c r="K687" s="49">
        <v>0</v>
      </c>
      <c r="L687" s="50">
        <v>0</v>
      </c>
      <c r="M687" s="51"/>
      <c r="N687" s="52" t="s">
        <v>1300</v>
      </c>
      <c r="O687" s="31"/>
      <c r="P687" s="53">
        <v>-2.2887684043277428E-3</v>
      </c>
      <c r="Q687" s="54">
        <v>34</v>
      </c>
      <c r="R687" s="55">
        <v>0</v>
      </c>
      <c r="S687" s="55">
        <v>0</v>
      </c>
      <c r="T687" s="56">
        <v>0</v>
      </c>
      <c r="U687" s="57"/>
      <c r="V687" s="55">
        <v>0</v>
      </c>
      <c r="W687" s="55">
        <v>0</v>
      </c>
      <c r="X687" s="58">
        <v>0</v>
      </c>
      <c r="Y687" s="59">
        <v>0</v>
      </c>
      <c r="Z687" s="58">
        <v>0</v>
      </c>
      <c r="AA687" s="56">
        <v>0</v>
      </c>
      <c r="AB687" s="56">
        <v>0</v>
      </c>
      <c r="AC687" s="60">
        <v>46142</v>
      </c>
    </row>
    <row r="688" spans="1:29" x14ac:dyDescent="0.25">
      <c r="A688" s="43">
        <v>1053</v>
      </c>
      <c r="B688" s="44" t="s">
        <v>156</v>
      </c>
      <c r="C688" s="45">
        <v>10530065</v>
      </c>
      <c r="D688" s="46" t="s">
        <v>1047</v>
      </c>
      <c r="E688" s="47" t="s">
        <v>364</v>
      </c>
      <c r="F688" s="47" t="s">
        <v>58</v>
      </c>
      <c r="G688" s="62">
        <v>1267.2499999999998</v>
      </c>
      <c r="H688" s="62">
        <v>47350.14</v>
      </c>
      <c r="I688" s="49">
        <v>0</v>
      </c>
      <c r="J688" s="49">
        <v>16263</v>
      </c>
      <c r="K688" s="49">
        <v>0</v>
      </c>
      <c r="L688" s="50">
        <v>0</v>
      </c>
      <c r="M688" s="51"/>
      <c r="N688" s="52" t="s">
        <v>1300</v>
      </c>
      <c r="O688" s="31"/>
      <c r="P688" s="53">
        <v>-4.3057912416996975E-2</v>
      </c>
      <c r="Q688" s="54">
        <v>10</v>
      </c>
      <c r="R688" s="55">
        <v>0</v>
      </c>
      <c r="S688" s="55">
        <v>0</v>
      </c>
      <c r="T688" s="56">
        <v>0</v>
      </c>
      <c r="U688" s="57"/>
      <c r="V688" s="55">
        <v>0</v>
      </c>
      <c r="W688" s="55">
        <v>0</v>
      </c>
      <c r="X688" s="58">
        <v>0</v>
      </c>
      <c r="Y688" s="59">
        <v>0</v>
      </c>
      <c r="Z688" s="58">
        <v>0</v>
      </c>
      <c r="AA688" s="56">
        <v>0</v>
      </c>
      <c r="AB688" s="56">
        <v>0</v>
      </c>
      <c r="AC688" s="60">
        <v>46142</v>
      </c>
    </row>
    <row r="689" spans="1:29" x14ac:dyDescent="0.25">
      <c r="A689" s="43">
        <v>1053</v>
      </c>
      <c r="B689" s="44" t="s">
        <v>156</v>
      </c>
      <c r="C689" s="45">
        <v>10530067</v>
      </c>
      <c r="D689" s="46" t="s">
        <v>1048</v>
      </c>
      <c r="E689" s="47" t="s">
        <v>364</v>
      </c>
      <c r="F689" s="47" t="s">
        <v>58</v>
      </c>
      <c r="G689" s="62">
        <v>549.6</v>
      </c>
      <c r="H689" s="62">
        <v>22512.560000000005</v>
      </c>
      <c r="I689" s="49">
        <v>0</v>
      </c>
      <c r="J689" s="49">
        <v>2535</v>
      </c>
      <c r="K689" s="49">
        <v>0</v>
      </c>
      <c r="L689" s="50">
        <v>0</v>
      </c>
      <c r="M689" s="51"/>
      <c r="N689" s="52" t="s">
        <v>1300</v>
      </c>
      <c r="O689" s="31"/>
      <c r="P689" s="53">
        <v>4.8616961471988789E-4</v>
      </c>
      <c r="Q689" s="54">
        <v>21</v>
      </c>
      <c r="R689" s="55">
        <v>0</v>
      </c>
      <c r="S689" s="55">
        <v>0</v>
      </c>
      <c r="T689" s="56">
        <v>0</v>
      </c>
      <c r="U689" s="57"/>
      <c r="V689" s="55">
        <v>0</v>
      </c>
      <c r="W689" s="55">
        <v>0</v>
      </c>
      <c r="X689" s="58">
        <v>0</v>
      </c>
      <c r="Y689" s="59">
        <v>0</v>
      </c>
      <c r="Z689" s="58">
        <v>0</v>
      </c>
      <c r="AA689" s="56">
        <v>0</v>
      </c>
      <c r="AB689" s="56">
        <v>0</v>
      </c>
      <c r="AC689" s="60">
        <v>46142</v>
      </c>
    </row>
    <row r="690" spans="1:29" x14ac:dyDescent="0.25">
      <c r="A690" s="43">
        <v>1053</v>
      </c>
      <c r="B690" s="44" t="s">
        <v>156</v>
      </c>
      <c r="C690" s="45">
        <v>10530070</v>
      </c>
      <c r="D690" s="46" t="s">
        <v>1049</v>
      </c>
      <c r="E690" s="47" t="s">
        <v>364</v>
      </c>
      <c r="F690" s="47" t="s">
        <v>58</v>
      </c>
      <c r="G690" s="62">
        <v>134.75</v>
      </c>
      <c r="H690" s="62">
        <v>7185.24</v>
      </c>
      <c r="I690" s="49">
        <v>0</v>
      </c>
      <c r="J690" s="49">
        <v>0</v>
      </c>
      <c r="K690" s="49">
        <v>0</v>
      </c>
      <c r="L690" s="50">
        <v>0</v>
      </c>
      <c r="M690" s="51"/>
      <c r="N690" s="52" t="s">
        <v>1300</v>
      </c>
      <c r="O690" s="31"/>
      <c r="P690" s="53">
        <v>5.722181177473391E-4</v>
      </c>
      <c r="Q690" s="54">
        <v>10</v>
      </c>
      <c r="R690" s="55">
        <v>0</v>
      </c>
      <c r="S690" s="55">
        <v>0</v>
      </c>
      <c r="T690" s="56">
        <v>0</v>
      </c>
      <c r="U690" s="57"/>
      <c r="V690" s="55">
        <v>0</v>
      </c>
      <c r="W690" s="55">
        <v>0</v>
      </c>
      <c r="X690" s="58">
        <v>0</v>
      </c>
      <c r="Y690" s="59">
        <v>0</v>
      </c>
      <c r="Z690" s="58">
        <v>0</v>
      </c>
      <c r="AA690" s="56">
        <v>0</v>
      </c>
      <c r="AB690" s="56">
        <v>0</v>
      </c>
      <c r="AC690" s="60">
        <v>46142</v>
      </c>
    </row>
    <row r="691" spans="1:29" x14ac:dyDescent="0.25">
      <c r="A691" s="43">
        <v>1053</v>
      </c>
      <c r="B691" s="44" t="s">
        <v>156</v>
      </c>
      <c r="C691" s="45">
        <v>10530071</v>
      </c>
      <c r="D691" s="46" t="s">
        <v>1050</v>
      </c>
      <c r="E691" s="47" t="s">
        <v>364</v>
      </c>
      <c r="F691" s="47" t="s">
        <v>58</v>
      </c>
      <c r="G691" s="62">
        <v>319.55</v>
      </c>
      <c r="H691" s="62">
        <v>16197.689999999999</v>
      </c>
      <c r="I691" s="49">
        <v>0</v>
      </c>
      <c r="J691" s="49">
        <v>0</v>
      </c>
      <c r="K691" s="49">
        <v>0</v>
      </c>
      <c r="L691" s="50">
        <v>0</v>
      </c>
      <c r="M691" s="51"/>
      <c r="N691" s="52" t="s">
        <v>1300</v>
      </c>
      <c r="O691" s="31"/>
      <c r="P691" s="53">
        <v>-1.7853083877843384E-2</v>
      </c>
      <c r="Q691" s="54">
        <v>11</v>
      </c>
      <c r="R691" s="55">
        <v>0</v>
      </c>
      <c r="S691" s="55">
        <v>0</v>
      </c>
      <c r="T691" s="56">
        <v>0</v>
      </c>
      <c r="U691" s="57"/>
      <c r="V691" s="55">
        <v>0</v>
      </c>
      <c r="W691" s="55">
        <v>0</v>
      </c>
      <c r="X691" s="58">
        <v>0</v>
      </c>
      <c r="Y691" s="59">
        <v>0</v>
      </c>
      <c r="Z691" s="58">
        <v>0</v>
      </c>
      <c r="AA691" s="56">
        <v>0</v>
      </c>
      <c r="AB691" s="56">
        <v>0</v>
      </c>
      <c r="AC691" s="60">
        <v>46142</v>
      </c>
    </row>
    <row r="692" spans="1:29" x14ac:dyDescent="0.25">
      <c r="A692" s="43">
        <v>1053</v>
      </c>
      <c r="B692" s="44" t="s">
        <v>156</v>
      </c>
      <c r="C692" s="45">
        <v>10530072</v>
      </c>
      <c r="D692" s="46" t="s">
        <v>1051</v>
      </c>
      <c r="E692" s="47" t="s">
        <v>371</v>
      </c>
      <c r="F692" s="47" t="s">
        <v>59</v>
      </c>
      <c r="G692" s="62">
        <v>458.70000000000005</v>
      </c>
      <c r="H692" s="62">
        <v>26611.29</v>
      </c>
      <c r="I692" s="49">
        <v>0</v>
      </c>
      <c r="J692" s="49">
        <v>0</v>
      </c>
      <c r="K692" s="49">
        <v>0</v>
      </c>
      <c r="L692" s="50">
        <v>0</v>
      </c>
      <c r="M692" s="51"/>
      <c r="N692" s="52" t="s">
        <v>1300</v>
      </c>
      <c r="O692" s="31"/>
      <c r="P692" s="53">
        <v>0</v>
      </c>
      <c r="Q692" s="54">
        <v>0</v>
      </c>
      <c r="R692" s="55">
        <v>0</v>
      </c>
      <c r="S692" s="55">
        <v>0</v>
      </c>
      <c r="T692" s="56">
        <v>0</v>
      </c>
      <c r="U692" s="57"/>
      <c r="V692" s="55">
        <v>0</v>
      </c>
      <c r="W692" s="55">
        <v>0</v>
      </c>
      <c r="X692" s="58">
        <v>0</v>
      </c>
      <c r="Y692" s="59">
        <v>0</v>
      </c>
      <c r="Z692" s="58">
        <v>0</v>
      </c>
      <c r="AA692" s="56">
        <v>0</v>
      </c>
      <c r="AB692" s="56">
        <v>0</v>
      </c>
      <c r="AC692" s="60">
        <v>46142</v>
      </c>
    </row>
    <row r="693" spans="1:29" x14ac:dyDescent="0.25">
      <c r="A693" s="43">
        <v>1053</v>
      </c>
      <c r="B693" s="44" t="s">
        <v>156</v>
      </c>
      <c r="C693" s="45">
        <v>10530074</v>
      </c>
      <c r="D693" s="46" t="s">
        <v>1052</v>
      </c>
      <c r="E693" s="47" t="s">
        <v>364</v>
      </c>
      <c r="F693" s="47" t="s">
        <v>58</v>
      </c>
      <c r="G693" s="62">
        <v>864.69999999999993</v>
      </c>
      <c r="H693" s="62">
        <v>32986.94</v>
      </c>
      <c r="I693" s="49">
        <v>0</v>
      </c>
      <c r="J693" s="49">
        <v>3080</v>
      </c>
      <c r="K693" s="49">
        <v>0</v>
      </c>
      <c r="L693" s="50">
        <v>0</v>
      </c>
      <c r="M693" s="51"/>
      <c r="N693" s="52" t="s">
        <v>1300</v>
      </c>
      <c r="O693" s="31"/>
      <c r="P693" s="53">
        <v>-1.6552334446660582E-2</v>
      </c>
      <c r="Q693" s="54">
        <v>24</v>
      </c>
      <c r="R693" s="55">
        <v>0</v>
      </c>
      <c r="S693" s="55">
        <v>0</v>
      </c>
      <c r="T693" s="56">
        <v>0</v>
      </c>
      <c r="U693" s="57"/>
      <c r="V693" s="55">
        <v>0</v>
      </c>
      <c r="W693" s="55">
        <v>0</v>
      </c>
      <c r="X693" s="58">
        <v>0</v>
      </c>
      <c r="Y693" s="59">
        <v>0</v>
      </c>
      <c r="Z693" s="58">
        <v>0</v>
      </c>
      <c r="AA693" s="56">
        <v>0</v>
      </c>
      <c r="AB693" s="56">
        <v>0</v>
      </c>
      <c r="AC693" s="60">
        <v>46142</v>
      </c>
    </row>
    <row r="694" spans="1:29" x14ac:dyDescent="0.25">
      <c r="A694" s="43">
        <v>1053</v>
      </c>
      <c r="B694" s="44" t="s">
        <v>156</v>
      </c>
      <c r="C694" s="45">
        <v>10530076</v>
      </c>
      <c r="D694" s="46" t="s">
        <v>1053</v>
      </c>
      <c r="E694" s="47" t="s">
        <v>364</v>
      </c>
      <c r="F694" s="47" t="s">
        <v>58</v>
      </c>
      <c r="G694" s="62">
        <v>1795.45</v>
      </c>
      <c r="H694" s="62">
        <v>87948.400000000038</v>
      </c>
      <c r="I694" s="49">
        <v>0</v>
      </c>
      <c r="J694" s="49">
        <v>0</v>
      </c>
      <c r="K694" s="49">
        <v>0</v>
      </c>
      <c r="L694" s="50">
        <v>0</v>
      </c>
      <c r="M694" s="51"/>
      <c r="N694" s="52" t="s">
        <v>1300</v>
      </c>
      <c r="O694" s="31"/>
      <c r="P694" s="53">
        <v>6.3477606294801E-3</v>
      </c>
      <c r="Q694" s="54">
        <v>54</v>
      </c>
      <c r="R694" s="55">
        <v>0</v>
      </c>
      <c r="S694" s="55">
        <v>0</v>
      </c>
      <c r="T694" s="56">
        <v>0</v>
      </c>
      <c r="U694" s="57"/>
      <c r="V694" s="55">
        <v>0</v>
      </c>
      <c r="W694" s="55">
        <v>0</v>
      </c>
      <c r="X694" s="58">
        <v>0</v>
      </c>
      <c r="Y694" s="59">
        <v>0</v>
      </c>
      <c r="Z694" s="58">
        <v>0</v>
      </c>
      <c r="AA694" s="56">
        <v>0</v>
      </c>
      <c r="AB694" s="56">
        <v>0</v>
      </c>
      <c r="AC694" s="60">
        <v>46142</v>
      </c>
    </row>
    <row r="695" spans="1:29" x14ac:dyDescent="0.25">
      <c r="A695" s="43">
        <v>1053</v>
      </c>
      <c r="B695" s="44" t="s">
        <v>156</v>
      </c>
      <c r="C695" s="45">
        <v>10530077</v>
      </c>
      <c r="D695" s="46" t="s">
        <v>1054</v>
      </c>
      <c r="E695" s="47" t="s">
        <v>371</v>
      </c>
      <c r="F695" s="47" t="s">
        <v>59</v>
      </c>
      <c r="G695" s="62">
        <v>400</v>
      </c>
      <c r="H695" s="62">
        <v>14508.699999999999</v>
      </c>
      <c r="I695" s="49">
        <v>0</v>
      </c>
      <c r="J695" s="49">
        <v>0</v>
      </c>
      <c r="K695" s="49">
        <v>0</v>
      </c>
      <c r="L695" s="50">
        <v>0</v>
      </c>
      <c r="M695" s="51"/>
      <c r="N695" s="52" t="s">
        <v>1300</v>
      </c>
      <c r="O695" s="31"/>
      <c r="P695" s="53">
        <v>0</v>
      </c>
      <c r="Q695" s="54">
        <v>0</v>
      </c>
      <c r="R695" s="55">
        <v>0</v>
      </c>
      <c r="S695" s="55">
        <v>0</v>
      </c>
      <c r="T695" s="56">
        <v>0</v>
      </c>
      <c r="U695" s="57"/>
      <c r="V695" s="55">
        <v>0</v>
      </c>
      <c r="W695" s="55">
        <v>0</v>
      </c>
      <c r="X695" s="58">
        <v>0</v>
      </c>
      <c r="Y695" s="59">
        <v>0</v>
      </c>
      <c r="Z695" s="58">
        <v>0</v>
      </c>
      <c r="AA695" s="56">
        <v>0</v>
      </c>
      <c r="AB695" s="56">
        <v>0</v>
      </c>
      <c r="AC695" s="60">
        <v>46142</v>
      </c>
    </row>
    <row r="696" spans="1:29" x14ac:dyDescent="0.25">
      <c r="A696" s="43">
        <v>1053</v>
      </c>
      <c r="B696" s="44" t="s">
        <v>156</v>
      </c>
      <c r="C696" s="45">
        <v>10530078</v>
      </c>
      <c r="D696" s="46" t="s">
        <v>1055</v>
      </c>
      <c r="E696" s="47" t="s">
        <v>364</v>
      </c>
      <c r="F696" s="47" t="s">
        <v>58</v>
      </c>
      <c r="G696" s="62">
        <v>467.4</v>
      </c>
      <c r="H696" s="62">
        <v>21070.859999999997</v>
      </c>
      <c r="I696" s="49">
        <v>0</v>
      </c>
      <c r="J696" s="49">
        <v>0</v>
      </c>
      <c r="K696" s="49">
        <v>0</v>
      </c>
      <c r="L696" s="50">
        <v>0</v>
      </c>
      <c r="M696" s="51"/>
      <c r="N696" s="52" t="s">
        <v>1300</v>
      </c>
      <c r="O696" s="31"/>
      <c r="P696" s="53">
        <v>4.5510395956343869E-4</v>
      </c>
      <c r="Q696" s="54">
        <v>11</v>
      </c>
      <c r="R696" s="55">
        <v>0</v>
      </c>
      <c r="S696" s="55">
        <v>0</v>
      </c>
      <c r="T696" s="56">
        <v>0</v>
      </c>
      <c r="U696" s="57"/>
      <c r="V696" s="55">
        <v>0</v>
      </c>
      <c r="W696" s="55">
        <v>0</v>
      </c>
      <c r="X696" s="58">
        <v>0</v>
      </c>
      <c r="Y696" s="59">
        <v>0</v>
      </c>
      <c r="Z696" s="58">
        <v>0</v>
      </c>
      <c r="AA696" s="56">
        <v>0</v>
      </c>
      <c r="AB696" s="56">
        <v>0</v>
      </c>
      <c r="AC696" s="60">
        <v>46142</v>
      </c>
    </row>
    <row r="697" spans="1:29" x14ac:dyDescent="0.25">
      <c r="A697" s="43">
        <v>1053</v>
      </c>
      <c r="B697" s="44" t="s">
        <v>156</v>
      </c>
      <c r="C697" s="45">
        <v>10530079</v>
      </c>
      <c r="D697" s="46" t="s">
        <v>1056</v>
      </c>
      <c r="E697" s="47" t="s">
        <v>371</v>
      </c>
      <c r="F697" s="47" t="s">
        <v>59</v>
      </c>
      <c r="G697" s="62">
        <v>70.5</v>
      </c>
      <c r="H697" s="62">
        <v>2963.3900000000003</v>
      </c>
      <c r="I697" s="49">
        <v>0</v>
      </c>
      <c r="J697" s="49">
        <v>0</v>
      </c>
      <c r="K697" s="49">
        <v>157.1145387096775</v>
      </c>
      <c r="L697" s="50">
        <v>0</v>
      </c>
      <c r="M697" s="51"/>
      <c r="N697" s="52" t="s">
        <v>1300</v>
      </c>
      <c r="O697" s="31"/>
      <c r="P697" s="53">
        <v>0</v>
      </c>
      <c r="Q697" s="54">
        <v>0</v>
      </c>
      <c r="R697" s="55">
        <v>0</v>
      </c>
      <c r="S697" s="55">
        <v>0</v>
      </c>
      <c r="T697" s="56">
        <v>0</v>
      </c>
      <c r="U697" s="57"/>
      <c r="V697" s="55">
        <v>157.1145387096775</v>
      </c>
      <c r="W697" s="55">
        <v>0</v>
      </c>
      <c r="X697" s="58">
        <v>0</v>
      </c>
      <c r="Y697" s="59">
        <v>157.1145387096775</v>
      </c>
      <c r="Z697" s="58">
        <v>157.1145387096775</v>
      </c>
      <c r="AA697" s="56">
        <v>0</v>
      </c>
      <c r="AB697" s="56">
        <v>0</v>
      </c>
      <c r="AC697" s="60">
        <v>46142</v>
      </c>
    </row>
    <row r="698" spans="1:29" x14ac:dyDescent="0.25">
      <c r="A698" s="43">
        <v>1053</v>
      </c>
      <c r="B698" s="44" t="s">
        <v>156</v>
      </c>
      <c r="C698" s="45">
        <v>10530080</v>
      </c>
      <c r="D698" s="46" t="s">
        <v>1057</v>
      </c>
      <c r="E698" s="47" t="s">
        <v>371</v>
      </c>
      <c r="F698" s="47" t="s">
        <v>59</v>
      </c>
      <c r="G698" s="62">
        <v>145.9</v>
      </c>
      <c r="H698" s="62">
        <v>4936.4400000000005</v>
      </c>
      <c r="I698" s="49">
        <v>0</v>
      </c>
      <c r="J698" s="49">
        <v>0</v>
      </c>
      <c r="K698" s="49">
        <v>321.71584838709703</v>
      </c>
      <c r="L698" s="50">
        <v>0</v>
      </c>
      <c r="M698" s="51"/>
      <c r="N698" s="52" t="s">
        <v>1300</v>
      </c>
      <c r="O698" s="31"/>
      <c r="P698" s="53">
        <v>0</v>
      </c>
      <c r="Q698" s="54">
        <v>0</v>
      </c>
      <c r="R698" s="55">
        <v>0</v>
      </c>
      <c r="S698" s="55">
        <v>0</v>
      </c>
      <c r="T698" s="56">
        <v>0</v>
      </c>
      <c r="U698" s="57"/>
      <c r="V698" s="55">
        <v>321.71584838709703</v>
      </c>
      <c r="W698" s="55">
        <v>0</v>
      </c>
      <c r="X698" s="58">
        <v>0</v>
      </c>
      <c r="Y698" s="59">
        <v>321.71584838709703</v>
      </c>
      <c r="Z698" s="58">
        <v>321.71584838709703</v>
      </c>
      <c r="AA698" s="56">
        <v>0</v>
      </c>
      <c r="AB698" s="56">
        <v>0</v>
      </c>
      <c r="AC698" s="60">
        <v>46142</v>
      </c>
    </row>
    <row r="699" spans="1:29" x14ac:dyDescent="0.25">
      <c r="A699" s="43">
        <v>1053</v>
      </c>
      <c r="B699" s="44" t="s">
        <v>156</v>
      </c>
      <c r="C699" s="45">
        <v>10530081</v>
      </c>
      <c r="D699" s="46" t="s">
        <v>1058</v>
      </c>
      <c r="E699" s="47" t="s">
        <v>364</v>
      </c>
      <c r="F699" s="47" t="s">
        <v>58</v>
      </c>
      <c r="G699" s="62">
        <v>1529.95</v>
      </c>
      <c r="H699" s="62">
        <v>68574.48</v>
      </c>
      <c r="I699" s="49">
        <v>0</v>
      </c>
      <c r="J699" s="49">
        <v>0</v>
      </c>
      <c r="K699" s="49">
        <v>0</v>
      </c>
      <c r="L699" s="50">
        <v>0</v>
      </c>
      <c r="M699" s="51"/>
      <c r="N699" s="52" t="s">
        <v>1300</v>
      </c>
      <c r="O699" s="31"/>
      <c r="P699" s="53">
        <v>6.1381060578319976E-5</v>
      </c>
      <c r="Q699" s="54">
        <v>38</v>
      </c>
      <c r="R699" s="55">
        <v>0</v>
      </c>
      <c r="S699" s="55">
        <v>0</v>
      </c>
      <c r="T699" s="56">
        <v>0</v>
      </c>
      <c r="U699" s="57"/>
      <c r="V699" s="55">
        <v>0</v>
      </c>
      <c r="W699" s="55">
        <v>0</v>
      </c>
      <c r="X699" s="58">
        <v>0</v>
      </c>
      <c r="Y699" s="59">
        <v>0</v>
      </c>
      <c r="Z699" s="58">
        <v>0</v>
      </c>
      <c r="AA699" s="56">
        <v>0</v>
      </c>
      <c r="AB699" s="56">
        <v>0</v>
      </c>
      <c r="AC699" s="60">
        <v>46142</v>
      </c>
    </row>
    <row r="700" spans="1:29" x14ac:dyDescent="0.25">
      <c r="A700" s="43">
        <v>1053</v>
      </c>
      <c r="B700" s="44" t="s">
        <v>156</v>
      </c>
      <c r="C700" s="45">
        <v>10530082</v>
      </c>
      <c r="D700" s="46" t="s">
        <v>1059</v>
      </c>
      <c r="E700" s="47" t="s">
        <v>364</v>
      </c>
      <c r="F700" s="47" t="s">
        <v>58</v>
      </c>
      <c r="G700" s="62">
        <v>1210.8999999999999</v>
      </c>
      <c r="H700" s="62">
        <v>48470.98</v>
      </c>
      <c r="I700" s="49">
        <v>0</v>
      </c>
      <c r="J700" s="49">
        <v>12844</v>
      </c>
      <c r="K700" s="49">
        <v>0</v>
      </c>
      <c r="L700" s="50">
        <v>0</v>
      </c>
      <c r="M700" s="51"/>
      <c r="N700" s="52" t="s">
        <v>1300</v>
      </c>
      <c r="O700" s="31"/>
      <c r="P700" s="53">
        <v>7.4721504663885163E-5</v>
      </c>
      <c r="Q700" s="54">
        <v>28</v>
      </c>
      <c r="R700" s="55">
        <v>0</v>
      </c>
      <c r="S700" s="55">
        <v>0</v>
      </c>
      <c r="T700" s="56">
        <v>0</v>
      </c>
      <c r="U700" s="57"/>
      <c r="V700" s="55">
        <v>0</v>
      </c>
      <c r="W700" s="55">
        <v>0</v>
      </c>
      <c r="X700" s="58">
        <v>0</v>
      </c>
      <c r="Y700" s="59">
        <v>0</v>
      </c>
      <c r="Z700" s="58">
        <v>0</v>
      </c>
      <c r="AA700" s="56">
        <v>0</v>
      </c>
      <c r="AB700" s="56">
        <v>0</v>
      </c>
      <c r="AC700" s="60">
        <v>46142</v>
      </c>
    </row>
    <row r="701" spans="1:29" x14ac:dyDescent="0.25">
      <c r="A701" s="43">
        <v>1053</v>
      </c>
      <c r="B701" s="44" t="s">
        <v>156</v>
      </c>
      <c r="C701" s="45">
        <v>10530084</v>
      </c>
      <c r="D701" s="46" t="s">
        <v>1060</v>
      </c>
      <c r="E701" s="47" t="s">
        <v>364</v>
      </c>
      <c r="F701" s="47" t="s">
        <v>58</v>
      </c>
      <c r="G701" s="62">
        <v>1865.3999999999999</v>
      </c>
      <c r="H701" s="62">
        <v>76786.59</v>
      </c>
      <c r="I701" s="49">
        <v>0</v>
      </c>
      <c r="J701" s="49">
        <v>1927</v>
      </c>
      <c r="K701" s="49">
        <v>0</v>
      </c>
      <c r="L701" s="50">
        <v>0</v>
      </c>
      <c r="M701" s="51"/>
      <c r="N701" s="52" t="s">
        <v>1300</v>
      </c>
      <c r="O701" s="31"/>
      <c r="P701" s="53">
        <v>1.1829982350233666E-4</v>
      </c>
      <c r="Q701" s="54">
        <v>38</v>
      </c>
      <c r="R701" s="55">
        <v>0</v>
      </c>
      <c r="S701" s="55">
        <v>0</v>
      </c>
      <c r="T701" s="56">
        <v>0</v>
      </c>
      <c r="U701" s="57"/>
      <c r="V701" s="55">
        <v>0</v>
      </c>
      <c r="W701" s="55">
        <v>0</v>
      </c>
      <c r="X701" s="58">
        <v>0</v>
      </c>
      <c r="Y701" s="59">
        <v>0</v>
      </c>
      <c r="Z701" s="58">
        <v>0</v>
      </c>
      <c r="AA701" s="56">
        <v>0</v>
      </c>
      <c r="AB701" s="56">
        <v>0</v>
      </c>
      <c r="AC701" s="60">
        <v>46142</v>
      </c>
    </row>
    <row r="702" spans="1:29" x14ac:dyDescent="0.25">
      <c r="A702" s="43">
        <v>1053</v>
      </c>
      <c r="B702" s="44" t="s">
        <v>156</v>
      </c>
      <c r="C702" s="45">
        <v>10530085</v>
      </c>
      <c r="D702" s="46" t="s">
        <v>1061</v>
      </c>
      <c r="E702" s="47" t="s">
        <v>364</v>
      </c>
      <c r="F702" s="47" t="s">
        <v>58</v>
      </c>
      <c r="G702" s="62">
        <v>724.25</v>
      </c>
      <c r="H702" s="62">
        <v>32705.980000000003</v>
      </c>
      <c r="I702" s="49">
        <v>0</v>
      </c>
      <c r="J702" s="49">
        <v>12469</v>
      </c>
      <c r="K702" s="49">
        <v>0</v>
      </c>
      <c r="L702" s="50">
        <v>0</v>
      </c>
      <c r="M702" s="51"/>
      <c r="N702" s="52" t="s">
        <v>1300</v>
      </c>
      <c r="O702" s="31"/>
      <c r="P702" s="53">
        <v>2.9965230174287203E-4</v>
      </c>
      <c r="Q702" s="54">
        <v>23</v>
      </c>
      <c r="R702" s="55">
        <v>0</v>
      </c>
      <c r="S702" s="55">
        <v>0</v>
      </c>
      <c r="T702" s="56">
        <v>0</v>
      </c>
      <c r="U702" s="57"/>
      <c r="V702" s="55">
        <v>0</v>
      </c>
      <c r="W702" s="55">
        <v>0</v>
      </c>
      <c r="X702" s="58">
        <v>0</v>
      </c>
      <c r="Y702" s="59">
        <v>0</v>
      </c>
      <c r="Z702" s="58">
        <v>0</v>
      </c>
      <c r="AA702" s="56">
        <v>0</v>
      </c>
      <c r="AB702" s="56">
        <v>0</v>
      </c>
      <c r="AC702" s="60">
        <v>46142</v>
      </c>
    </row>
    <row r="703" spans="1:29" x14ac:dyDescent="0.25">
      <c r="A703" s="43">
        <v>1053</v>
      </c>
      <c r="B703" s="44" t="s">
        <v>156</v>
      </c>
      <c r="C703" s="45">
        <v>10530089</v>
      </c>
      <c r="D703" s="46" t="s">
        <v>1062</v>
      </c>
      <c r="E703" s="47" t="s">
        <v>371</v>
      </c>
      <c r="F703" s="47" t="s">
        <v>59</v>
      </c>
      <c r="G703" s="62">
        <v>135.44999999999999</v>
      </c>
      <c r="H703" s="62">
        <v>5310.99</v>
      </c>
      <c r="I703" s="49">
        <v>0</v>
      </c>
      <c r="J703" s="49">
        <v>1350</v>
      </c>
      <c r="K703" s="49">
        <v>0</v>
      </c>
      <c r="L703" s="50">
        <v>0</v>
      </c>
      <c r="M703" s="51"/>
      <c r="N703" s="52" t="s">
        <v>1300</v>
      </c>
      <c r="O703" s="31"/>
      <c r="P703" s="53">
        <v>0</v>
      </c>
      <c r="Q703" s="54">
        <v>0</v>
      </c>
      <c r="R703" s="55">
        <v>0</v>
      </c>
      <c r="S703" s="55">
        <v>0</v>
      </c>
      <c r="T703" s="56">
        <v>0</v>
      </c>
      <c r="U703" s="57"/>
      <c r="V703" s="55">
        <v>0</v>
      </c>
      <c r="W703" s="55">
        <v>0</v>
      </c>
      <c r="X703" s="58">
        <v>0</v>
      </c>
      <c r="Y703" s="59">
        <v>0</v>
      </c>
      <c r="Z703" s="58">
        <v>0</v>
      </c>
      <c r="AA703" s="56">
        <v>0</v>
      </c>
      <c r="AB703" s="56">
        <v>0</v>
      </c>
      <c r="AC703" s="60">
        <v>46142</v>
      </c>
    </row>
    <row r="704" spans="1:29" x14ac:dyDescent="0.25">
      <c r="A704" s="43">
        <v>1012</v>
      </c>
      <c r="B704" s="44" t="s">
        <v>1295</v>
      </c>
      <c r="C704" s="45">
        <v>10530090</v>
      </c>
      <c r="D704" s="46" t="s">
        <v>1063</v>
      </c>
      <c r="E704" s="47" t="s">
        <v>371</v>
      </c>
      <c r="F704" s="47" t="s">
        <v>59</v>
      </c>
      <c r="G704" s="62">
        <v>275.60999999999996</v>
      </c>
      <c r="H704" s="62">
        <v>10010.35</v>
      </c>
      <c r="I704" s="49">
        <v>0</v>
      </c>
      <c r="J704" s="49">
        <v>0</v>
      </c>
      <c r="K704" s="49">
        <v>0</v>
      </c>
      <c r="L704" s="50">
        <v>0</v>
      </c>
      <c r="M704" s="51"/>
      <c r="N704" s="52" t="s">
        <v>1300</v>
      </c>
      <c r="O704" s="31"/>
      <c r="P704" s="53">
        <v>0</v>
      </c>
      <c r="Q704" s="54">
        <v>0</v>
      </c>
      <c r="R704" s="55">
        <v>0</v>
      </c>
      <c r="S704" s="55">
        <v>0</v>
      </c>
      <c r="T704" s="56">
        <v>0</v>
      </c>
      <c r="U704" s="57"/>
      <c r="V704" s="55">
        <v>0</v>
      </c>
      <c r="W704" s="55">
        <v>0</v>
      </c>
      <c r="X704" s="58">
        <v>0</v>
      </c>
      <c r="Y704" s="59">
        <v>0</v>
      </c>
      <c r="Z704" s="58">
        <v>0</v>
      </c>
      <c r="AA704" s="56">
        <v>0</v>
      </c>
      <c r="AB704" s="56">
        <v>0</v>
      </c>
      <c r="AC704" s="60">
        <v>46142</v>
      </c>
    </row>
    <row r="705" spans="1:29" x14ac:dyDescent="0.25">
      <c r="A705" s="43">
        <v>1053</v>
      </c>
      <c r="B705" s="44" t="s">
        <v>156</v>
      </c>
      <c r="C705" s="45">
        <v>10530091</v>
      </c>
      <c r="D705" s="46" t="s">
        <v>1064</v>
      </c>
      <c r="E705" s="47" t="s">
        <v>364</v>
      </c>
      <c r="F705" s="47" t="s">
        <v>58</v>
      </c>
      <c r="G705" s="62">
        <v>253.95</v>
      </c>
      <c r="H705" s="62">
        <v>12133.239999999998</v>
      </c>
      <c r="I705" s="49">
        <v>0</v>
      </c>
      <c r="J705" s="49">
        <v>0</v>
      </c>
      <c r="K705" s="49">
        <v>81.680661290322533</v>
      </c>
      <c r="L705" s="50">
        <v>0</v>
      </c>
      <c r="M705" s="51"/>
      <c r="N705" s="52" t="s">
        <v>1300</v>
      </c>
      <c r="O705" s="31"/>
      <c r="P705" s="53">
        <v>1.6571908527964476E-3</v>
      </c>
      <c r="Q705" s="54">
        <v>15</v>
      </c>
      <c r="R705" s="55">
        <v>0</v>
      </c>
      <c r="S705" s="55">
        <v>0</v>
      </c>
      <c r="T705" s="56">
        <v>0</v>
      </c>
      <c r="U705" s="57"/>
      <c r="V705" s="55">
        <v>81.680661290322533</v>
      </c>
      <c r="W705" s="55">
        <v>0</v>
      </c>
      <c r="X705" s="58">
        <v>0</v>
      </c>
      <c r="Y705" s="59">
        <v>81.680661290322533</v>
      </c>
      <c r="Z705" s="58">
        <v>81.680661290322533</v>
      </c>
      <c r="AA705" s="56">
        <v>0</v>
      </c>
      <c r="AB705" s="56">
        <v>0</v>
      </c>
      <c r="AC705" s="60">
        <v>46142</v>
      </c>
    </row>
    <row r="706" spans="1:29" x14ac:dyDescent="0.25">
      <c r="A706" s="43">
        <v>1053</v>
      </c>
      <c r="B706" s="44" t="s">
        <v>156</v>
      </c>
      <c r="C706" s="45">
        <v>10530092</v>
      </c>
      <c r="D706" s="46" t="s">
        <v>1065</v>
      </c>
      <c r="E706" s="47" t="s">
        <v>364</v>
      </c>
      <c r="F706" s="47" t="s">
        <v>58</v>
      </c>
      <c r="G706" s="62">
        <v>1089.4499999999998</v>
      </c>
      <c r="H706" s="62">
        <v>42883.490000000005</v>
      </c>
      <c r="I706" s="49">
        <v>0</v>
      </c>
      <c r="J706" s="49">
        <v>5470</v>
      </c>
      <c r="K706" s="49">
        <v>0</v>
      </c>
      <c r="L706" s="50">
        <v>0</v>
      </c>
      <c r="M706" s="51"/>
      <c r="N706" s="52" t="s">
        <v>1300</v>
      </c>
      <c r="O706" s="31"/>
      <c r="P706" s="53">
        <v>1.105080879716433E-4</v>
      </c>
      <c r="Q706" s="54">
        <v>21</v>
      </c>
      <c r="R706" s="55">
        <v>0</v>
      </c>
      <c r="S706" s="55">
        <v>0</v>
      </c>
      <c r="T706" s="56">
        <v>0</v>
      </c>
      <c r="U706" s="57"/>
      <c r="V706" s="55">
        <v>0</v>
      </c>
      <c r="W706" s="55">
        <v>0</v>
      </c>
      <c r="X706" s="58">
        <v>0</v>
      </c>
      <c r="Y706" s="59">
        <v>0</v>
      </c>
      <c r="Z706" s="58">
        <v>0</v>
      </c>
      <c r="AA706" s="56">
        <v>0</v>
      </c>
      <c r="AB706" s="56">
        <v>0</v>
      </c>
      <c r="AC706" s="60">
        <v>46142</v>
      </c>
    </row>
    <row r="707" spans="1:29" x14ac:dyDescent="0.25">
      <c r="A707" s="43">
        <v>1053</v>
      </c>
      <c r="B707" s="44" t="s">
        <v>156</v>
      </c>
      <c r="C707" s="45">
        <v>10530093</v>
      </c>
      <c r="D707" s="46" t="s">
        <v>1066</v>
      </c>
      <c r="E707" s="47" t="s">
        <v>364</v>
      </c>
      <c r="F707" s="47" t="s">
        <v>58</v>
      </c>
      <c r="G707" s="62">
        <v>1042.3</v>
      </c>
      <c r="H707" s="62">
        <v>46841.120000000003</v>
      </c>
      <c r="I707" s="49">
        <v>0</v>
      </c>
      <c r="J707" s="49">
        <v>6904</v>
      </c>
      <c r="K707" s="49">
        <v>0</v>
      </c>
      <c r="L707" s="50">
        <v>0</v>
      </c>
      <c r="M707" s="51"/>
      <c r="N707" s="52" t="s">
        <v>1300</v>
      </c>
      <c r="O707" s="31"/>
      <c r="P707" s="53">
        <v>2.3329640495058256E-4</v>
      </c>
      <c r="Q707" s="54">
        <v>32</v>
      </c>
      <c r="R707" s="55">
        <v>0</v>
      </c>
      <c r="S707" s="55">
        <v>0</v>
      </c>
      <c r="T707" s="56">
        <v>0</v>
      </c>
      <c r="U707" s="57"/>
      <c r="V707" s="55">
        <v>0</v>
      </c>
      <c r="W707" s="55">
        <v>0</v>
      </c>
      <c r="X707" s="58">
        <v>0</v>
      </c>
      <c r="Y707" s="59">
        <v>0</v>
      </c>
      <c r="Z707" s="58">
        <v>0</v>
      </c>
      <c r="AA707" s="56">
        <v>0</v>
      </c>
      <c r="AB707" s="56">
        <v>0</v>
      </c>
      <c r="AC707" s="60">
        <v>46142</v>
      </c>
    </row>
    <row r="708" spans="1:29" x14ac:dyDescent="0.25">
      <c r="A708" s="43">
        <v>1053</v>
      </c>
      <c r="B708" s="44" t="s">
        <v>156</v>
      </c>
      <c r="C708" s="45">
        <v>10530096</v>
      </c>
      <c r="D708" s="46" t="s">
        <v>1067</v>
      </c>
      <c r="E708" s="47" t="s">
        <v>364</v>
      </c>
      <c r="F708" s="47" t="s">
        <v>58</v>
      </c>
      <c r="G708" s="62">
        <v>340.65000000000003</v>
      </c>
      <c r="H708" s="62">
        <v>19365.410000000003</v>
      </c>
      <c r="I708" s="49">
        <v>0</v>
      </c>
      <c r="J708" s="49">
        <v>18323</v>
      </c>
      <c r="K708" s="49">
        <v>1042.1244290322584</v>
      </c>
      <c r="L708" s="50" t="s">
        <v>409</v>
      </c>
      <c r="M708" s="51" t="s">
        <v>410</v>
      </c>
      <c r="N708" s="52" t="s">
        <v>1300</v>
      </c>
      <c r="O708" s="31"/>
      <c r="P708" s="53">
        <v>-2.0654335550370276E-2</v>
      </c>
      <c r="Q708" s="54">
        <v>1</v>
      </c>
      <c r="R708" s="55">
        <v>19174</v>
      </c>
      <c r="S708" s="55">
        <v>0</v>
      </c>
      <c r="T708" s="56">
        <v>19174</v>
      </c>
      <c r="U708" s="57"/>
      <c r="V708" s="55">
        <v>1042.1244290322584</v>
      </c>
      <c r="W708" s="55">
        <v>0</v>
      </c>
      <c r="X708" s="58">
        <v>0</v>
      </c>
      <c r="Y708" s="59">
        <v>1042.1244290322584</v>
      </c>
      <c r="Z708" s="58">
        <v>1042.1244290322584</v>
      </c>
      <c r="AA708" s="56">
        <v>0</v>
      </c>
      <c r="AB708" s="56">
        <v>0</v>
      </c>
      <c r="AC708" s="60">
        <v>46142</v>
      </c>
    </row>
    <row r="709" spans="1:29" x14ac:dyDescent="0.25">
      <c r="A709" s="43">
        <v>1053</v>
      </c>
      <c r="B709" s="44" t="s">
        <v>156</v>
      </c>
      <c r="C709" s="45">
        <v>10530097</v>
      </c>
      <c r="D709" s="46" t="s">
        <v>1068</v>
      </c>
      <c r="E709" s="47" t="s">
        <v>364</v>
      </c>
      <c r="F709" s="47" t="s">
        <v>58</v>
      </c>
      <c r="G709" s="62">
        <v>619.49999999999989</v>
      </c>
      <c r="H709" s="62">
        <v>26375.51</v>
      </c>
      <c r="I709" s="49">
        <v>0</v>
      </c>
      <c r="J709" s="49">
        <v>1500</v>
      </c>
      <c r="K709" s="49">
        <v>0</v>
      </c>
      <c r="L709" s="50">
        <v>0</v>
      </c>
      <c r="M709" s="51"/>
      <c r="N709" s="52" t="s">
        <v>1300</v>
      </c>
      <c r="O709" s="31"/>
      <c r="P709" s="53">
        <v>3.1516420927302642E-4</v>
      </c>
      <c r="Q709" s="54">
        <v>20</v>
      </c>
      <c r="R709" s="55">
        <v>0</v>
      </c>
      <c r="S709" s="55">
        <v>0</v>
      </c>
      <c r="T709" s="56">
        <v>0</v>
      </c>
      <c r="U709" s="57"/>
      <c r="V709" s="55">
        <v>0</v>
      </c>
      <c r="W709" s="55">
        <v>0</v>
      </c>
      <c r="X709" s="58">
        <v>0</v>
      </c>
      <c r="Y709" s="59">
        <v>0</v>
      </c>
      <c r="Z709" s="58">
        <v>0</v>
      </c>
      <c r="AA709" s="56">
        <v>0</v>
      </c>
      <c r="AB709" s="56">
        <v>0</v>
      </c>
      <c r="AC709" s="60">
        <v>46142</v>
      </c>
    </row>
    <row r="710" spans="1:29" x14ac:dyDescent="0.25">
      <c r="A710" s="43">
        <v>1053</v>
      </c>
      <c r="B710" s="44" t="s">
        <v>156</v>
      </c>
      <c r="C710" s="45">
        <v>10530100</v>
      </c>
      <c r="D710" s="46" t="s">
        <v>1069</v>
      </c>
      <c r="E710" s="47" t="s">
        <v>364</v>
      </c>
      <c r="F710" s="47" t="s">
        <v>58</v>
      </c>
      <c r="G710" s="62">
        <v>262.65000000000003</v>
      </c>
      <c r="H710" s="62">
        <v>10552.960000000001</v>
      </c>
      <c r="I710" s="49">
        <v>0</v>
      </c>
      <c r="J710" s="49">
        <v>3350</v>
      </c>
      <c r="K710" s="49">
        <v>0</v>
      </c>
      <c r="L710" s="50">
        <v>0</v>
      </c>
      <c r="M710" s="51"/>
      <c r="N710" s="52" t="s">
        <v>1300</v>
      </c>
      <c r="O710" s="31"/>
      <c r="P710" s="53">
        <v>-1.5081196961653364E-2</v>
      </c>
      <c r="Q710" s="54">
        <v>13</v>
      </c>
      <c r="R710" s="55">
        <v>0</v>
      </c>
      <c r="S710" s="55">
        <v>0</v>
      </c>
      <c r="T710" s="56">
        <v>0</v>
      </c>
      <c r="U710" s="57"/>
      <c r="V710" s="55">
        <v>0</v>
      </c>
      <c r="W710" s="55">
        <v>0</v>
      </c>
      <c r="X710" s="58">
        <v>0</v>
      </c>
      <c r="Y710" s="59">
        <v>0</v>
      </c>
      <c r="Z710" s="58">
        <v>0</v>
      </c>
      <c r="AA710" s="56">
        <v>0</v>
      </c>
      <c r="AB710" s="56">
        <v>0</v>
      </c>
      <c r="AC710" s="60">
        <v>46142</v>
      </c>
    </row>
    <row r="711" spans="1:29" x14ac:dyDescent="0.25">
      <c r="A711" s="43">
        <v>1053</v>
      </c>
      <c r="B711" s="44" t="s">
        <v>156</v>
      </c>
      <c r="C711" s="45">
        <v>10530101</v>
      </c>
      <c r="D711" s="46" t="s">
        <v>1070</v>
      </c>
      <c r="E711" s="47" t="s">
        <v>364</v>
      </c>
      <c r="F711" s="47" t="s">
        <v>58</v>
      </c>
      <c r="G711" s="62">
        <v>304.09999999999991</v>
      </c>
      <c r="H711" s="62">
        <v>13404.51</v>
      </c>
      <c r="I711" s="49">
        <v>0</v>
      </c>
      <c r="J711" s="49">
        <v>0</v>
      </c>
      <c r="K711" s="49">
        <v>0</v>
      </c>
      <c r="L711" s="50">
        <v>0</v>
      </c>
      <c r="M711" s="51"/>
      <c r="N711" s="52" t="s">
        <v>1300</v>
      </c>
      <c r="O711" s="31"/>
      <c r="P711" s="53">
        <v>3.0161054214858184E-4</v>
      </c>
      <c r="Q711" s="54">
        <v>14</v>
      </c>
      <c r="R711" s="55">
        <v>0</v>
      </c>
      <c r="S711" s="55">
        <v>0</v>
      </c>
      <c r="T711" s="56">
        <v>0</v>
      </c>
      <c r="U711" s="57"/>
      <c r="V711" s="55">
        <v>0</v>
      </c>
      <c r="W711" s="55">
        <v>0</v>
      </c>
      <c r="X711" s="58">
        <v>0</v>
      </c>
      <c r="Y711" s="59">
        <v>0</v>
      </c>
      <c r="Z711" s="58">
        <v>0</v>
      </c>
      <c r="AA711" s="56">
        <v>0</v>
      </c>
      <c r="AB711" s="56">
        <v>0</v>
      </c>
      <c r="AC711" s="60">
        <v>46142</v>
      </c>
    </row>
    <row r="712" spans="1:29" x14ac:dyDescent="0.25">
      <c r="A712" s="43">
        <v>1053</v>
      </c>
      <c r="B712" s="44" t="s">
        <v>156</v>
      </c>
      <c r="C712" s="45">
        <v>10530102</v>
      </c>
      <c r="D712" s="46" t="s">
        <v>1071</v>
      </c>
      <c r="E712" s="47" t="s">
        <v>364</v>
      </c>
      <c r="F712" s="47" t="s">
        <v>58</v>
      </c>
      <c r="G712" s="62">
        <v>93.949999999999974</v>
      </c>
      <c r="H712" s="62">
        <v>3892.1800000000003</v>
      </c>
      <c r="I712" s="49">
        <v>0</v>
      </c>
      <c r="J712" s="49">
        <v>0</v>
      </c>
      <c r="K712" s="49">
        <v>0</v>
      </c>
      <c r="L712" s="50">
        <v>0</v>
      </c>
      <c r="M712" s="51"/>
      <c r="N712" s="52" t="s">
        <v>1300</v>
      </c>
      <c r="O712" s="31"/>
      <c r="P712" s="53">
        <v>0.24661453052367954</v>
      </c>
      <c r="Q712" s="54">
        <v>5</v>
      </c>
      <c r="R712" s="55">
        <v>0</v>
      </c>
      <c r="S712" s="55">
        <v>0</v>
      </c>
      <c r="T712" s="56">
        <v>0</v>
      </c>
      <c r="U712" s="57"/>
      <c r="V712" s="55">
        <v>0</v>
      </c>
      <c r="W712" s="55">
        <v>0</v>
      </c>
      <c r="X712" s="58">
        <v>0</v>
      </c>
      <c r="Y712" s="59">
        <v>0</v>
      </c>
      <c r="Z712" s="58">
        <v>0</v>
      </c>
      <c r="AA712" s="56">
        <v>0</v>
      </c>
      <c r="AB712" s="56">
        <v>0</v>
      </c>
      <c r="AC712" s="60">
        <v>46142</v>
      </c>
    </row>
    <row r="713" spans="1:29" x14ac:dyDescent="0.25">
      <c r="A713" s="43">
        <v>1053</v>
      </c>
      <c r="B713" s="44" t="s">
        <v>156</v>
      </c>
      <c r="C713" s="45">
        <v>10530103</v>
      </c>
      <c r="D713" s="46" t="s">
        <v>1072</v>
      </c>
      <c r="E713" s="47" t="s">
        <v>364</v>
      </c>
      <c r="F713" s="47" t="s">
        <v>58</v>
      </c>
      <c r="G713" s="62">
        <v>2307.7000000000003</v>
      </c>
      <c r="H713" s="62">
        <v>100492.76000000002</v>
      </c>
      <c r="I713" s="49">
        <v>0</v>
      </c>
      <c r="J713" s="49">
        <v>13500</v>
      </c>
      <c r="K713" s="49">
        <v>0</v>
      </c>
      <c r="L713" s="50">
        <v>0</v>
      </c>
      <c r="M713" s="51"/>
      <c r="N713" s="52" t="s">
        <v>1300</v>
      </c>
      <c r="O713" s="31"/>
      <c r="P713" s="53">
        <v>3.1013061821144714E-4</v>
      </c>
      <c r="Q713" s="54">
        <v>29</v>
      </c>
      <c r="R713" s="55">
        <v>0</v>
      </c>
      <c r="S713" s="55">
        <v>0</v>
      </c>
      <c r="T713" s="56">
        <v>0</v>
      </c>
      <c r="U713" s="57"/>
      <c r="V713" s="55">
        <v>0</v>
      </c>
      <c r="W713" s="55">
        <v>0</v>
      </c>
      <c r="X713" s="58">
        <v>0</v>
      </c>
      <c r="Y713" s="59">
        <v>0</v>
      </c>
      <c r="Z713" s="58">
        <v>0</v>
      </c>
      <c r="AA713" s="56">
        <v>0</v>
      </c>
      <c r="AB713" s="56">
        <v>0</v>
      </c>
      <c r="AC713" s="60">
        <v>46142</v>
      </c>
    </row>
    <row r="714" spans="1:29" x14ac:dyDescent="0.25">
      <c r="A714" s="43">
        <v>1053</v>
      </c>
      <c r="B714" s="44" t="s">
        <v>156</v>
      </c>
      <c r="C714" s="45">
        <v>10530105</v>
      </c>
      <c r="D714" s="46" t="s">
        <v>1073</v>
      </c>
      <c r="E714" s="47" t="s">
        <v>364</v>
      </c>
      <c r="F714" s="47" t="s">
        <v>58</v>
      </c>
      <c r="G714" s="62">
        <v>159.85</v>
      </c>
      <c r="H714" s="62">
        <v>6275.0300000000007</v>
      </c>
      <c r="I714" s="49">
        <v>0</v>
      </c>
      <c r="J714" s="49">
        <v>0</v>
      </c>
      <c r="K714" s="49">
        <v>0</v>
      </c>
      <c r="L714" s="50">
        <v>0</v>
      </c>
      <c r="M714" s="51"/>
      <c r="N714" s="52" t="s">
        <v>1300</v>
      </c>
      <c r="O714" s="31"/>
      <c r="P714" s="53">
        <v>3.9303032502474154E-2</v>
      </c>
      <c r="Q714" s="54">
        <v>4</v>
      </c>
      <c r="R714" s="55">
        <v>0</v>
      </c>
      <c r="S714" s="55">
        <v>0</v>
      </c>
      <c r="T714" s="56">
        <v>0</v>
      </c>
      <c r="U714" s="57"/>
      <c r="V714" s="55">
        <v>0</v>
      </c>
      <c r="W714" s="55">
        <v>0</v>
      </c>
      <c r="X714" s="58">
        <v>0</v>
      </c>
      <c r="Y714" s="59">
        <v>0</v>
      </c>
      <c r="Z714" s="58">
        <v>0</v>
      </c>
      <c r="AA714" s="56">
        <v>0</v>
      </c>
      <c r="AB714" s="56">
        <v>0</v>
      </c>
      <c r="AC714" s="60">
        <v>46142</v>
      </c>
    </row>
    <row r="715" spans="1:29" x14ac:dyDescent="0.25">
      <c r="A715" s="43">
        <v>1053</v>
      </c>
      <c r="B715" s="44" t="s">
        <v>156</v>
      </c>
      <c r="C715" s="45">
        <v>10530106</v>
      </c>
      <c r="D715" s="46" t="s">
        <v>1074</v>
      </c>
      <c r="E715" s="47" t="s">
        <v>364</v>
      </c>
      <c r="F715" s="47" t="s">
        <v>58</v>
      </c>
      <c r="G715" s="62">
        <v>418.3</v>
      </c>
      <c r="H715" s="62">
        <v>14815.300000000001</v>
      </c>
      <c r="I715" s="49">
        <v>0</v>
      </c>
      <c r="J715" s="49">
        <v>2700</v>
      </c>
      <c r="K715" s="49">
        <v>0</v>
      </c>
      <c r="L715" s="50">
        <v>0</v>
      </c>
      <c r="M715" s="51"/>
      <c r="N715" s="52" t="s">
        <v>1300</v>
      </c>
      <c r="O715" s="31"/>
      <c r="P715" s="53">
        <v>-9.1738109348456966E-3</v>
      </c>
      <c r="Q715" s="54">
        <v>7</v>
      </c>
      <c r="R715" s="55">
        <v>0</v>
      </c>
      <c r="S715" s="55">
        <v>0</v>
      </c>
      <c r="T715" s="56">
        <v>0</v>
      </c>
      <c r="U715" s="57"/>
      <c r="V715" s="55">
        <v>0</v>
      </c>
      <c r="W715" s="55">
        <v>0</v>
      </c>
      <c r="X715" s="58">
        <v>0</v>
      </c>
      <c r="Y715" s="59">
        <v>0</v>
      </c>
      <c r="Z715" s="58">
        <v>0</v>
      </c>
      <c r="AA715" s="56">
        <v>0</v>
      </c>
      <c r="AB715" s="56">
        <v>0</v>
      </c>
      <c r="AC715" s="60">
        <v>46142</v>
      </c>
    </row>
    <row r="716" spans="1:29" x14ac:dyDescent="0.25">
      <c r="A716" s="43">
        <v>1053</v>
      </c>
      <c r="B716" s="44" t="s">
        <v>156</v>
      </c>
      <c r="C716" s="45">
        <v>10530107</v>
      </c>
      <c r="D716" s="46" t="s">
        <v>1075</v>
      </c>
      <c r="E716" s="47" t="s">
        <v>371</v>
      </c>
      <c r="F716" s="47" t="s">
        <v>59</v>
      </c>
      <c r="G716" s="62">
        <v>196.3</v>
      </c>
      <c r="H716" s="62">
        <v>10658.96</v>
      </c>
      <c r="I716" s="49">
        <v>0</v>
      </c>
      <c r="J716" s="49">
        <v>0</v>
      </c>
      <c r="K716" s="49">
        <v>0</v>
      </c>
      <c r="L716" s="50">
        <v>0</v>
      </c>
      <c r="M716" s="51"/>
      <c r="N716" s="52" t="s">
        <v>1300</v>
      </c>
      <c r="O716" s="31"/>
      <c r="P716" s="53">
        <v>0</v>
      </c>
      <c r="Q716" s="54">
        <v>0</v>
      </c>
      <c r="R716" s="55">
        <v>0</v>
      </c>
      <c r="S716" s="55">
        <v>0</v>
      </c>
      <c r="T716" s="56">
        <v>0</v>
      </c>
      <c r="U716" s="57"/>
      <c r="V716" s="55">
        <v>0</v>
      </c>
      <c r="W716" s="55">
        <v>0</v>
      </c>
      <c r="X716" s="58">
        <v>0</v>
      </c>
      <c r="Y716" s="59">
        <v>0</v>
      </c>
      <c r="Z716" s="58">
        <v>0</v>
      </c>
      <c r="AA716" s="56">
        <v>0</v>
      </c>
      <c r="AB716" s="56">
        <v>0</v>
      </c>
      <c r="AC716" s="60">
        <v>46142</v>
      </c>
    </row>
    <row r="717" spans="1:29" x14ac:dyDescent="0.25">
      <c r="A717" s="43">
        <v>1053</v>
      </c>
      <c r="B717" s="44" t="s">
        <v>156</v>
      </c>
      <c r="C717" s="45">
        <v>10530108</v>
      </c>
      <c r="D717" s="46" t="s">
        <v>1076</v>
      </c>
      <c r="E717" s="47" t="s">
        <v>364</v>
      </c>
      <c r="F717" s="47" t="s">
        <v>58</v>
      </c>
      <c r="G717" s="62">
        <v>204.20000000000005</v>
      </c>
      <c r="H717" s="62">
        <v>8261.369999999999</v>
      </c>
      <c r="I717" s="49">
        <v>0</v>
      </c>
      <c r="J717" s="49">
        <v>0</v>
      </c>
      <c r="K717" s="49">
        <v>0</v>
      </c>
      <c r="L717" s="50">
        <v>0</v>
      </c>
      <c r="M717" s="51"/>
      <c r="N717" s="52" t="s">
        <v>1300</v>
      </c>
      <c r="O717" s="31"/>
      <c r="P717" s="53">
        <v>1.2430592533197056E-3</v>
      </c>
      <c r="Q717" s="54">
        <v>4</v>
      </c>
      <c r="R717" s="55">
        <v>0</v>
      </c>
      <c r="S717" s="55">
        <v>0</v>
      </c>
      <c r="T717" s="56">
        <v>0</v>
      </c>
      <c r="U717" s="57"/>
      <c r="V717" s="55">
        <v>0</v>
      </c>
      <c r="W717" s="55">
        <v>0</v>
      </c>
      <c r="X717" s="58">
        <v>0</v>
      </c>
      <c r="Y717" s="59">
        <v>0</v>
      </c>
      <c r="Z717" s="58">
        <v>0</v>
      </c>
      <c r="AA717" s="56">
        <v>0</v>
      </c>
      <c r="AB717" s="56">
        <v>0</v>
      </c>
      <c r="AC717" s="60">
        <v>46142</v>
      </c>
    </row>
    <row r="718" spans="1:29" x14ac:dyDescent="0.25">
      <c r="A718" s="43">
        <v>1053</v>
      </c>
      <c r="B718" s="44" t="s">
        <v>156</v>
      </c>
      <c r="C718" s="45">
        <v>10530109</v>
      </c>
      <c r="D718" s="46" t="s">
        <v>1077</v>
      </c>
      <c r="E718" s="47" t="s">
        <v>364</v>
      </c>
      <c r="F718" s="47" t="s">
        <v>58</v>
      </c>
      <c r="G718" s="62">
        <v>1524.8999999999996</v>
      </c>
      <c r="H718" s="62">
        <v>63629.469999999994</v>
      </c>
      <c r="I718" s="49">
        <v>0</v>
      </c>
      <c r="J718" s="49">
        <v>27882</v>
      </c>
      <c r="K718" s="49">
        <v>0</v>
      </c>
      <c r="L718" s="50">
        <v>0</v>
      </c>
      <c r="M718" s="51"/>
      <c r="N718" s="52" t="s">
        <v>1300</v>
      </c>
      <c r="O718" s="31"/>
      <c r="P718" s="53">
        <v>-5.2582939154692879E-3</v>
      </c>
      <c r="Q718" s="54">
        <v>12</v>
      </c>
      <c r="R718" s="55">
        <v>0</v>
      </c>
      <c r="S718" s="55">
        <v>0</v>
      </c>
      <c r="T718" s="56">
        <v>0</v>
      </c>
      <c r="U718" s="57"/>
      <c r="V718" s="55">
        <v>0</v>
      </c>
      <c r="W718" s="55">
        <v>0</v>
      </c>
      <c r="X718" s="58">
        <v>0</v>
      </c>
      <c r="Y718" s="59">
        <v>0</v>
      </c>
      <c r="Z718" s="58">
        <v>0</v>
      </c>
      <c r="AA718" s="56">
        <v>0</v>
      </c>
      <c r="AB718" s="56">
        <v>0</v>
      </c>
      <c r="AC718" s="60">
        <v>46142</v>
      </c>
    </row>
    <row r="719" spans="1:29" x14ac:dyDescent="0.25">
      <c r="A719" s="43">
        <v>1053</v>
      </c>
      <c r="B719" s="44" t="s">
        <v>156</v>
      </c>
      <c r="C719" s="45">
        <v>10530110</v>
      </c>
      <c r="D719" s="46" t="s">
        <v>1078</v>
      </c>
      <c r="E719" s="47" t="s">
        <v>364</v>
      </c>
      <c r="F719" s="47" t="s">
        <v>58</v>
      </c>
      <c r="G719" s="62">
        <v>717.69999999999982</v>
      </c>
      <c r="H719" s="62">
        <v>28659.190000000002</v>
      </c>
      <c r="I719" s="49">
        <v>0</v>
      </c>
      <c r="J719" s="49">
        <v>0</v>
      </c>
      <c r="K719" s="49">
        <v>0</v>
      </c>
      <c r="L719" s="50">
        <v>0</v>
      </c>
      <c r="M719" s="51"/>
      <c r="N719" s="52" t="s">
        <v>1300</v>
      </c>
      <c r="O719" s="31"/>
      <c r="P719" s="53">
        <v>2.1837081620833822E-3</v>
      </c>
      <c r="Q719" s="54">
        <v>20</v>
      </c>
      <c r="R719" s="55">
        <v>0</v>
      </c>
      <c r="S719" s="55">
        <v>0</v>
      </c>
      <c r="T719" s="56">
        <v>0</v>
      </c>
      <c r="U719" s="57"/>
      <c r="V719" s="55">
        <v>0</v>
      </c>
      <c r="W719" s="55">
        <v>0</v>
      </c>
      <c r="X719" s="58">
        <v>0</v>
      </c>
      <c r="Y719" s="59">
        <v>0</v>
      </c>
      <c r="Z719" s="58">
        <v>0</v>
      </c>
      <c r="AA719" s="56">
        <v>0</v>
      </c>
      <c r="AB719" s="56">
        <v>0</v>
      </c>
      <c r="AC719" s="60">
        <v>46142</v>
      </c>
    </row>
    <row r="720" spans="1:29" x14ac:dyDescent="0.25">
      <c r="A720" s="43">
        <v>1053</v>
      </c>
      <c r="B720" s="44" t="s">
        <v>156</v>
      </c>
      <c r="C720" s="45">
        <v>10530111</v>
      </c>
      <c r="D720" s="46" t="s">
        <v>1079</v>
      </c>
      <c r="E720" s="47" t="s">
        <v>364</v>
      </c>
      <c r="F720" s="47" t="s">
        <v>58</v>
      </c>
      <c r="G720" s="62">
        <v>718.25</v>
      </c>
      <c r="H720" s="62">
        <v>29023.54</v>
      </c>
      <c r="I720" s="49">
        <v>0</v>
      </c>
      <c r="J720" s="49">
        <v>0</v>
      </c>
      <c r="K720" s="49">
        <v>0</v>
      </c>
      <c r="L720" s="50">
        <v>0</v>
      </c>
      <c r="M720" s="51"/>
      <c r="N720" s="52" t="s">
        <v>1300</v>
      </c>
      <c r="O720" s="31"/>
      <c r="P720" s="53">
        <v>2.3559407599965186E-2</v>
      </c>
      <c r="Q720" s="54">
        <v>17</v>
      </c>
      <c r="R720" s="55">
        <v>0</v>
      </c>
      <c r="S720" s="55">
        <v>0</v>
      </c>
      <c r="T720" s="56">
        <v>0</v>
      </c>
      <c r="U720" s="57"/>
      <c r="V720" s="55">
        <v>0</v>
      </c>
      <c r="W720" s="55">
        <v>0</v>
      </c>
      <c r="X720" s="58">
        <v>0</v>
      </c>
      <c r="Y720" s="59">
        <v>0</v>
      </c>
      <c r="Z720" s="58">
        <v>0</v>
      </c>
      <c r="AA720" s="56">
        <v>0</v>
      </c>
      <c r="AB720" s="56">
        <v>0</v>
      </c>
      <c r="AC720" s="60">
        <v>46142</v>
      </c>
    </row>
    <row r="721" spans="1:29" x14ac:dyDescent="0.25">
      <c r="A721" s="43">
        <v>1053</v>
      </c>
      <c r="B721" s="44" t="s">
        <v>156</v>
      </c>
      <c r="C721" s="45">
        <v>10530112</v>
      </c>
      <c r="D721" s="46" t="s">
        <v>1080</v>
      </c>
      <c r="E721" s="47" t="s">
        <v>364</v>
      </c>
      <c r="F721" s="47" t="s">
        <v>58</v>
      </c>
      <c r="G721" s="62">
        <v>318.95000000000005</v>
      </c>
      <c r="H721" s="62">
        <v>12242.99</v>
      </c>
      <c r="I721" s="49">
        <v>0</v>
      </c>
      <c r="J721" s="49">
        <v>0</v>
      </c>
      <c r="K721" s="49">
        <v>0</v>
      </c>
      <c r="L721" s="50">
        <v>0</v>
      </c>
      <c r="M721" s="51"/>
      <c r="N721" s="52" t="s">
        <v>1300</v>
      </c>
      <c r="O721" s="31"/>
      <c r="P721" s="53">
        <v>-2.4576746238035335E-2</v>
      </c>
      <c r="Q721" s="54">
        <v>3</v>
      </c>
      <c r="R721" s="55">
        <v>0</v>
      </c>
      <c r="S721" s="55">
        <v>0</v>
      </c>
      <c r="T721" s="56">
        <v>0</v>
      </c>
      <c r="U721" s="57"/>
      <c r="V721" s="55">
        <v>0</v>
      </c>
      <c r="W721" s="55">
        <v>0</v>
      </c>
      <c r="X721" s="58">
        <v>0</v>
      </c>
      <c r="Y721" s="59">
        <v>0</v>
      </c>
      <c r="Z721" s="58">
        <v>0</v>
      </c>
      <c r="AA721" s="56">
        <v>0</v>
      </c>
      <c r="AB721" s="56">
        <v>0</v>
      </c>
      <c r="AC721" s="60">
        <v>46142</v>
      </c>
    </row>
    <row r="722" spans="1:29" x14ac:dyDescent="0.25">
      <c r="A722" s="43">
        <v>1053</v>
      </c>
      <c r="B722" s="44" t="s">
        <v>156</v>
      </c>
      <c r="C722" s="45">
        <v>10530113</v>
      </c>
      <c r="D722" s="46" t="s">
        <v>1081</v>
      </c>
      <c r="E722" s="47" t="s">
        <v>364</v>
      </c>
      <c r="F722" s="47" t="s">
        <v>58</v>
      </c>
      <c r="G722" s="62">
        <v>486.75</v>
      </c>
      <c r="H722" s="62">
        <v>18792.88</v>
      </c>
      <c r="I722" s="49">
        <v>0</v>
      </c>
      <c r="J722" s="49">
        <v>0</v>
      </c>
      <c r="K722" s="49">
        <v>0</v>
      </c>
      <c r="L722" s="50">
        <v>0</v>
      </c>
      <c r="M722" s="51"/>
      <c r="N722" s="52" t="s">
        <v>1300</v>
      </c>
      <c r="O722" s="31"/>
      <c r="P722" s="53">
        <v>-4.5748683663707462E-2</v>
      </c>
      <c r="Q722" s="54">
        <v>9</v>
      </c>
      <c r="R722" s="55">
        <v>0</v>
      </c>
      <c r="S722" s="55">
        <v>0</v>
      </c>
      <c r="T722" s="56">
        <v>0</v>
      </c>
      <c r="U722" s="57"/>
      <c r="V722" s="55">
        <v>0</v>
      </c>
      <c r="W722" s="55">
        <v>0</v>
      </c>
      <c r="X722" s="58">
        <v>0</v>
      </c>
      <c r="Y722" s="59">
        <v>0</v>
      </c>
      <c r="Z722" s="58">
        <v>0</v>
      </c>
      <c r="AA722" s="56">
        <v>0</v>
      </c>
      <c r="AB722" s="56">
        <v>0</v>
      </c>
      <c r="AC722" s="60">
        <v>46142</v>
      </c>
    </row>
    <row r="723" spans="1:29" x14ac:dyDescent="0.25">
      <c r="A723" s="43">
        <v>1053</v>
      </c>
      <c r="B723" s="44" t="s">
        <v>156</v>
      </c>
      <c r="C723" s="45">
        <v>10530115</v>
      </c>
      <c r="D723" s="46" t="s">
        <v>1082</v>
      </c>
      <c r="E723" s="47" t="s">
        <v>371</v>
      </c>
      <c r="F723" s="47" t="s">
        <v>59</v>
      </c>
      <c r="G723" s="62">
        <v>319.34999999999997</v>
      </c>
      <c r="H723" s="62">
        <v>11987.01</v>
      </c>
      <c r="I723" s="49">
        <v>0</v>
      </c>
      <c r="J723" s="49">
        <v>0</v>
      </c>
      <c r="K723" s="49">
        <v>0</v>
      </c>
      <c r="L723" s="50">
        <v>0</v>
      </c>
      <c r="M723" s="51"/>
      <c r="N723" s="52" t="s">
        <v>1300</v>
      </c>
      <c r="O723" s="31"/>
      <c r="P723" s="53">
        <v>0</v>
      </c>
      <c r="Q723" s="54">
        <v>0</v>
      </c>
      <c r="R723" s="55">
        <v>0</v>
      </c>
      <c r="S723" s="55">
        <v>0</v>
      </c>
      <c r="T723" s="56">
        <v>0</v>
      </c>
      <c r="U723" s="57"/>
      <c r="V723" s="55">
        <v>0</v>
      </c>
      <c r="W723" s="55">
        <v>0</v>
      </c>
      <c r="X723" s="58">
        <v>0</v>
      </c>
      <c r="Y723" s="59">
        <v>0</v>
      </c>
      <c r="Z723" s="58">
        <v>0</v>
      </c>
      <c r="AA723" s="56">
        <v>0</v>
      </c>
      <c r="AB723" s="56">
        <v>0</v>
      </c>
      <c r="AC723" s="60">
        <v>46142</v>
      </c>
    </row>
    <row r="724" spans="1:29" x14ac:dyDescent="0.25">
      <c r="A724" s="43">
        <v>1054</v>
      </c>
      <c r="B724" s="44" t="s">
        <v>1294</v>
      </c>
      <c r="C724" s="45">
        <v>10540003</v>
      </c>
      <c r="D724" s="46" t="s">
        <v>1083</v>
      </c>
      <c r="E724" s="47" t="s">
        <v>364</v>
      </c>
      <c r="F724" s="47" t="s">
        <v>58</v>
      </c>
      <c r="G724" s="62">
        <v>2753</v>
      </c>
      <c r="H724" s="62">
        <v>110028.71</v>
      </c>
      <c r="I724" s="49">
        <v>0</v>
      </c>
      <c r="J724" s="49">
        <v>0</v>
      </c>
      <c r="K724" s="49">
        <v>0</v>
      </c>
      <c r="L724" s="50">
        <v>0</v>
      </c>
      <c r="M724" s="51"/>
      <c r="N724" s="52" t="s">
        <v>1300</v>
      </c>
      <c r="O724" s="31"/>
      <c r="P724" s="53">
        <v>-0.19490169614130698</v>
      </c>
      <c r="Q724" s="54">
        <v>1</v>
      </c>
      <c r="R724" s="55">
        <v>0</v>
      </c>
      <c r="S724" s="55">
        <v>0</v>
      </c>
      <c r="T724" s="56">
        <v>0</v>
      </c>
      <c r="U724" s="57"/>
      <c r="V724" s="55">
        <v>0</v>
      </c>
      <c r="W724" s="55">
        <v>0</v>
      </c>
      <c r="X724" s="58">
        <v>0</v>
      </c>
      <c r="Y724" s="59">
        <v>0</v>
      </c>
      <c r="Z724" s="58">
        <v>0</v>
      </c>
      <c r="AA724" s="56">
        <v>0</v>
      </c>
      <c r="AB724" s="56">
        <v>0</v>
      </c>
      <c r="AC724" s="60">
        <v>46142</v>
      </c>
    </row>
    <row r="725" spans="1:29" x14ac:dyDescent="0.25">
      <c r="A725" s="43">
        <v>1054</v>
      </c>
      <c r="B725" s="44" t="s">
        <v>1294</v>
      </c>
      <c r="C725" s="45">
        <v>10540005</v>
      </c>
      <c r="D725" s="46" t="s">
        <v>1084</v>
      </c>
      <c r="E725" s="47" t="s">
        <v>364</v>
      </c>
      <c r="F725" s="47" t="s">
        <v>58</v>
      </c>
      <c r="G725" s="62">
        <v>192.9</v>
      </c>
      <c r="H725" s="62">
        <v>7708.329999999999</v>
      </c>
      <c r="I725" s="49">
        <v>0</v>
      </c>
      <c r="J725" s="49">
        <v>0</v>
      </c>
      <c r="K725" s="49">
        <v>381.49</v>
      </c>
      <c r="L725" s="50" t="s">
        <v>366</v>
      </c>
      <c r="M725" s="51" t="s">
        <v>367</v>
      </c>
      <c r="N725" s="52" t="s">
        <v>1300</v>
      </c>
      <c r="O725" s="31"/>
      <c r="P725" s="53">
        <v>-0.20543096085076809</v>
      </c>
      <c r="Q725" s="54">
        <v>7</v>
      </c>
      <c r="R725" s="55">
        <v>0</v>
      </c>
      <c r="S725" s="55">
        <v>0</v>
      </c>
      <c r="T725" s="56">
        <v>0</v>
      </c>
      <c r="U725" s="57"/>
      <c r="V725" s="55">
        <v>381.48915272727254</v>
      </c>
      <c r="W725" s="55">
        <v>0</v>
      </c>
      <c r="X725" s="58">
        <v>0</v>
      </c>
      <c r="Y725" s="59">
        <v>381.48915272727254</v>
      </c>
      <c r="Z725" s="58">
        <v>381.49</v>
      </c>
      <c r="AA725" s="56">
        <v>8.4727272746931703E-4</v>
      </c>
      <c r="AB725" s="56">
        <v>8.4727272746931703E-4</v>
      </c>
      <c r="AC725" s="60">
        <v>46142</v>
      </c>
    </row>
    <row r="726" spans="1:29" x14ac:dyDescent="0.25">
      <c r="A726" s="43">
        <v>1054</v>
      </c>
      <c r="B726" s="44" t="s">
        <v>1294</v>
      </c>
      <c r="C726" s="45">
        <v>10540008</v>
      </c>
      <c r="D726" s="46" t="s">
        <v>1085</v>
      </c>
      <c r="E726" s="47" t="s">
        <v>364</v>
      </c>
      <c r="F726" s="47" t="s">
        <v>58</v>
      </c>
      <c r="G726" s="62">
        <v>175.3</v>
      </c>
      <c r="H726" s="62">
        <v>8376.7000000000007</v>
      </c>
      <c r="I726" s="49">
        <v>0</v>
      </c>
      <c r="J726" s="49">
        <v>1350</v>
      </c>
      <c r="K726" s="49">
        <v>34.85</v>
      </c>
      <c r="L726" s="50" t="s">
        <v>366</v>
      </c>
      <c r="M726" s="51" t="s">
        <v>554</v>
      </c>
      <c r="N726" s="52" t="s">
        <v>1300</v>
      </c>
      <c r="O726" s="31"/>
      <c r="P726" s="53">
        <v>-0.16943216117030835</v>
      </c>
      <c r="Q726" s="54">
        <v>10</v>
      </c>
      <c r="R726" s="55">
        <v>2700</v>
      </c>
      <c r="S726" s="55">
        <v>0</v>
      </c>
      <c r="T726" s="56">
        <v>2700</v>
      </c>
      <c r="U726" s="57"/>
      <c r="V726" s="55">
        <v>34.849019999999754</v>
      </c>
      <c r="W726" s="55">
        <v>0</v>
      </c>
      <c r="X726" s="58">
        <v>0</v>
      </c>
      <c r="Y726" s="59">
        <v>34.849019999999754</v>
      </c>
      <c r="Z726" s="58">
        <v>34.85</v>
      </c>
      <c r="AA726" s="56">
        <v>9.8000000024711653E-4</v>
      </c>
      <c r="AB726" s="56">
        <v>9.8000000024711653E-4</v>
      </c>
      <c r="AC726" s="60">
        <v>46142</v>
      </c>
    </row>
    <row r="727" spans="1:29" x14ac:dyDescent="0.25">
      <c r="A727" s="43">
        <v>1054</v>
      </c>
      <c r="B727" s="44" t="s">
        <v>1294</v>
      </c>
      <c r="C727" s="45">
        <v>10540009</v>
      </c>
      <c r="D727" s="46" t="s">
        <v>1086</v>
      </c>
      <c r="E727" s="47" t="s">
        <v>364</v>
      </c>
      <c r="F727" s="47" t="s">
        <v>58</v>
      </c>
      <c r="G727" s="62">
        <v>1086.7</v>
      </c>
      <c r="H727" s="62">
        <v>45631.16</v>
      </c>
      <c r="I727" s="49">
        <v>0</v>
      </c>
      <c r="J727" s="49">
        <v>0</v>
      </c>
      <c r="K727" s="49">
        <v>805.92</v>
      </c>
      <c r="L727" s="50" t="s">
        <v>366</v>
      </c>
      <c r="M727" s="51" t="s">
        <v>367</v>
      </c>
      <c r="N727" s="52" t="s">
        <v>1300</v>
      </c>
      <c r="O727" s="31"/>
      <c r="P727" s="53">
        <v>-4.1835923481395886E-2</v>
      </c>
      <c r="Q727" s="54">
        <v>32</v>
      </c>
      <c r="R727" s="55">
        <v>0</v>
      </c>
      <c r="S727" s="55">
        <v>0</v>
      </c>
      <c r="T727" s="56">
        <v>0</v>
      </c>
      <c r="U727" s="57"/>
      <c r="V727" s="55">
        <v>805.91525999999931</v>
      </c>
      <c r="W727" s="55">
        <v>0</v>
      </c>
      <c r="X727" s="58">
        <v>0</v>
      </c>
      <c r="Y727" s="59">
        <v>805.91525999999931</v>
      </c>
      <c r="Z727" s="58">
        <v>805.92</v>
      </c>
      <c r="AA727" s="56">
        <v>4.7400000006518894E-3</v>
      </c>
      <c r="AB727" s="56">
        <v>4.7400000006518894E-3</v>
      </c>
      <c r="AC727" s="60">
        <v>46142</v>
      </c>
    </row>
    <row r="728" spans="1:29" x14ac:dyDescent="0.25">
      <c r="A728" s="43">
        <v>1054</v>
      </c>
      <c r="B728" s="44" t="s">
        <v>1294</v>
      </c>
      <c r="C728" s="45">
        <v>10540010</v>
      </c>
      <c r="D728" s="46" t="s">
        <v>1087</v>
      </c>
      <c r="E728" s="47" t="s">
        <v>371</v>
      </c>
      <c r="F728" s="47" t="s">
        <v>59</v>
      </c>
      <c r="G728" s="62">
        <v>2576.5</v>
      </c>
      <c r="H728" s="62">
        <v>104785.76999999999</v>
      </c>
      <c r="I728" s="49">
        <v>0</v>
      </c>
      <c r="J728" s="49">
        <v>0</v>
      </c>
      <c r="K728" s="49">
        <v>0</v>
      </c>
      <c r="L728" s="50">
        <v>0</v>
      </c>
      <c r="M728" s="51"/>
      <c r="N728" s="52" t="s">
        <v>1300</v>
      </c>
      <c r="O728" s="31"/>
      <c r="P728" s="53">
        <v>0</v>
      </c>
      <c r="Q728" s="54">
        <v>0</v>
      </c>
      <c r="R728" s="55">
        <v>0</v>
      </c>
      <c r="S728" s="55">
        <v>0</v>
      </c>
      <c r="T728" s="56">
        <v>0</v>
      </c>
      <c r="U728" s="57"/>
      <c r="V728" s="55">
        <v>0</v>
      </c>
      <c r="W728" s="55">
        <v>0</v>
      </c>
      <c r="X728" s="58">
        <v>0</v>
      </c>
      <c r="Y728" s="59">
        <v>0</v>
      </c>
      <c r="Z728" s="58">
        <v>0</v>
      </c>
      <c r="AA728" s="56">
        <v>0</v>
      </c>
      <c r="AB728" s="56">
        <v>0</v>
      </c>
      <c r="AC728" s="60">
        <v>46142</v>
      </c>
    </row>
    <row r="729" spans="1:29" x14ac:dyDescent="0.25">
      <c r="A729" s="43">
        <v>1054</v>
      </c>
      <c r="B729" s="44" t="s">
        <v>1294</v>
      </c>
      <c r="C729" s="45">
        <v>10540012</v>
      </c>
      <c r="D729" s="46" t="s">
        <v>1088</v>
      </c>
      <c r="E729" s="47" t="s">
        <v>371</v>
      </c>
      <c r="F729" s="47" t="s">
        <v>59</v>
      </c>
      <c r="G729" s="62">
        <v>276</v>
      </c>
      <c r="H729" s="62">
        <v>9575.11</v>
      </c>
      <c r="I729" s="49">
        <v>0</v>
      </c>
      <c r="J729" s="49">
        <v>0</v>
      </c>
      <c r="K729" s="49">
        <v>0</v>
      </c>
      <c r="L729" s="50">
        <v>0</v>
      </c>
      <c r="M729" s="51"/>
      <c r="N729" s="52" t="s">
        <v>1300</v>
      </c>
      <c r="O729" s="31"/>
      <c r="P729" s="53">
        <v>0</v>
      </c>
      <c r="Q729" s="54">
        <v>0</v>
      </c>
      <c r="R729" s="55">
        <v>0</v>
      </c>
      <c r="S729" s="55">
        <v>0</v>
      </c>
      <c r="T729" s="56">
        <v>0</v>
      </c>
      <c r="U729" s="57"/>
      <c r="V729" s="55">
        <v>0</v>
      </c>
      <c r="W729" s="55">
        <v>0</v>
      </c>
      <c r="X729" s="58">
        <v>0</v>
      </c>
      <c r="Y729" s="59">
        <v>0</v>
      </c>
      <c r="Z729" s="58">
        <v>0</v>
      </c>
      <c r="AA729" s="56">
        <v>0</v>
      </c>
      <c r="AB729" s="56">
        <v>0</v>
      </c>
      <c r="AC729" s="60">
        <v>46142</v>
      </c>
    </row>
    <row r="730" spans="1:29" x14ac:dyDescent="0.25">
      <c r="A730" s="43">
        <v>1054</v>
      </c>
      <c r="B730" s="44" t="s">
        <v>1294</v>
      </c>
      <c r="C730" s="45">
        <v>10540014</v>
      </c>
      <c r="D730" s="46" t="s">
        <v>1089</v>
      </c>
      <c r="E730" s="47" t="s">
        <v>371</v>
      </c>
      <c r="F730" s="47" t="s">
        <v>59</v>
      </c>
      <c r="G730" s="62">
        <v>76.2</v>
      </c>
      <c r="H730" s="62">
        <v>3084.92</v>
      </c>
      <c r="I730" s="49">
        <v>0</v>
      </c>
      <c r="J730" s="49">
        <v>0</v>
      </c>
      <c r="K730" s="49">
        <v>0</v>
      </c>
      <c r="L730" s="50">
        <v>0</v>
      </c>
      <c r="M730" s="51"/>
      <c r="N730" s="52" t="s">
        <v>1300</v>
      </c>
      <c r="O730" s="31"/>
      <c r="P730" s="53">
        <v>0</v>
      </c>
      <c r="Q730" s="54">
        <v>0</v>
      </c>
      <c r="R730" s="55">
        <v>0</v>
      </c>
      <c r="S730" s="55">
        <v>0</v>
      </c>
      <c r="T730" s="56">
        <v>0</v>
      </c>
      <c r="U730" s="57"/>
      <c r="V730" s="55">
        <v>0</v>
      </c>
      <c r="W730" s="55">
        <v>0</v>
      </c>
      <c r="X730" s="58">
        <v>0</v>
      </c>
      <c r="Y730" s="59">
        <v>0</v>
      </c>
      <c r="Z730" s="58">
        <v>0</v>
      </c>
      <c r="AA730" s="56">
        <v>0</v>
      </c>
      <c r="AB730" s="56">
        <v>0</v>
      </c>
      <c r="AC730" s="60">
        <v>46142</v>
      </c>
    </row>
    <row r="731" spans="1:29" x14ac:dyDescent="0.25">
      <c r="A731" s="43">
        <v>1054</v>
      </c>
      <c r="B731" s="44" t="s">
        <v>1294</v>
      </c>
      <c r="C731" s="45">
        <v>10540016</v>
      </c>
      <c r="D731" s="46" t="s">
        <v>1090</v>
      </c>
      <c r="E731" s="47" t="s">
        <v>364</v>
      </c>
      <c r="F731" s="47" t="s">
        <v>58</v>
      </c>
      <c r="G731" s="62">
        <v>276.8</v>
      </c>
      <c r="H731" s="62">
        <v>14468.999999999998</v>
      </c>
      <c r="I731" s="49">
        <v>0</v>
      </c>
      <c r="J731" s="49">
        <v>0</v>
      </c>
      <c r="K731" s="49">
        <v>73.692833898304769</v>
      </c>
      <c r="L731" s="50">
        <v>0</v>
      </c>
      <c r="M731" s="51"/>
      <c r="N731" s="52" t="s">
        <v>1300</v>
      </c>
      <c r="O731" s="31"/>
      <c r="P731" s="53">
        <v>3.3830730575098569E-2</v>
      </c>
      <c r="Q731" s="54">
        <v>8</v>
      </c>
      <c r="R731" s="55">
        <v>0</v>
      </c>
      <c r="S731" s="55">
        <v>0</v>
      </c>
      <c r="T731" s="56">
        <v>0</v>
      </c>
      <c r="U731" s="57"/>
      <c r="V731" s="55">
        <v>73.692833898304769</v>
      </c>
      <c r="W731" s="55">
        <v>0</v>
      </c>
      <c r="X731" s="58">
        <v>0</v>
      </c>
      <c r="Y731" s="59">
        <v>73.692833898304769</v>
      </c>
      <c r="Z731" s="58">
        <v>73.692833898304769</v>
      </c>
      <c r="AA731" s="56">
        <v>0</v>
      </c>
      <c r="AB731" s="56">
        <v>0</v>
      </c>
      <c r="AC731" s="60">
        <v>46142</v>
      </c>
    </row>
    <row r="732" spans="1:29" x14ac:dyDescent="0.25">
      <c r="A732" s="43">
        <v>1054</v>
      </c>
      <c r="B732" s="44" t="s">
        <v>1294</v>
      </c>
      <c r="C732" s="45">
        <v>10540017</v>
      </c>
      <c r="D732" s="46" t="s">
        <v>1091</v>
      </c>
      <c r="E732" s="47" t="s">
        <v>364</v>
      </c>
      <c r="F732" s="47" t="s">
        <v>58</v>
      </c>
      <c r="G732" s="62">
        <v>753.8</v>
      </c>
      <c r="H732" s="62">
        <v>28542.259999999995</v>
      </c>
      <c r="I732" s="49">
        <v>0</v>
      </c>
      <c r="J732" s="49">
        <v>0</v>
      </c>
      <c r="K732" s="49">
        <v>0</v>
      </c>
      <c r="L732" s="50">
        <v>0</v>
      </c>
      <c r="M732" s="51"/>
      <c r="N732" s="52" t="s">
        <v>1300</v>
      </c>
      <c r="O732" s="31"/>
      <c r="P732" s="53">
        <v>-0.3314654752032607</v>
      </c>
      <c r="Q732" s="54">
        <v>2</v>
      </c>
      <c r="R732" s="55">
        <v>0</v>
      </c>
      <c r="S732" s="55">
        <v>0</v>
      </c>
      <c r="T732" s="56">
        <v>0</v>
      </c>
      <c r="U732" s="57"/>
      <c r="V732" s="55">
        <v>0</v>
      </c>
      <c r="W732" s="55">
        <v>0</v>
      </c>
      <c r="X732" s="58">
        <v>0</v>
      </c>
      <c r="Y732" s="59">
        <v>0</v>
      </c>
      <c r="Z732" s="58">
        <v>0</v>
      </c>
      <c r="AA732" s="56">
        <v>0</v>
      </c>
      <c r="AB732" s="56">
        <v>0</v>
      </c>
      <c r="AC732" s="60">
        <v>46142</v>
      </c>
    </row>
    <row r="733" spans="1:29" x14ac:dyDescent="0.25">
      <c r="A733" s="43">
        <v>1054</v>
      </c>
      <c r="B733" s="44" t="s">
        <v>1294</v>
      </c>
      <c r="C733" s="45">
        <v>10540018</v>
      </c>
      <c r="D733" s="46" t="s">
        <v>1092</v>
      </c>
      <c r="E733" s="47" t="s">
        <v>364</v>
      </c>
      <c r="F733" s="47" t="s">
        <v>58</v>
      </c>
      <c r="G733" s="62">
        <v>179.49999999999997</v>
      </c>
      <c r="H733" s="62">
        <v>8042.0400000000009</v>
      </c>
      <c r="I733" s="49">
        <v>0</v>
      </c>
      <c r="J733" s="49">
        <v>0</v>
      </c>
      <c r="K733" s="49">
        <v>0</v>
      </c>
      <c r="L733" s="50">
        <v>0</v>
      </c>
      <c r="M733" s="51"/>
      <c r="N733" s="52" t="s">
        <v>1300</v>
      </c>
      <c r="O733" s="31"/>
      <c r="P733" s="53">
        <v>-8.9188077770809893E-2</v>
      </c>
      <c r="Q733" s="54">
        <v>6</v>
      </c>
      <c r="R733" s="55">
        <v>0</v>
      </c>
      <c r="S733" s="55">
        <v>0</v>
      </c>
      <c r="T733" s="56">
        <v>0</v>
      </c>
      <c r="U733" s="57"/>
      <c r="V733" s="55">
        <v>0</v>
      </c>
      <c r="W733" s="55">
        <v>0</v>
      </c>
      <c r="X733" s="58">
        <v>0</v>
      </c>
      <c r="Y733" s="59">
        <v>0</v>
      </c>
      <c r="Z733" s="58">
        <v>0</v>
      </c>
      <c r="AA733" s="56">
        <v>0</v>
      </c>
      <c r="AB733" s="56">
        <v>0</v>
      </c>
      <c r="AC733" s="60">
        <v>46142</v>
      </c>
    </row>
    <row r="734" spans="1:29" x14ac:dyDescent="0.25">
      <c r="A734" s="43">
        <v>1054</v>
      </c>
      <c r="B734" s="44" t="s">
        <v>1294</v>
      </c>
      <c r="C734" s="45">
        <v>10540019</v>
      </c>
      <c r="D734" s="46" t="s">
        <v>1093</v>
      </c>
      <c r="E734" s="47" t="s">
        <v>364</v>
      </c>
      <c r="F734" s="47" t="s">
        <v>58</v>
      </c>
      <c r="G734" s="62">
        <v>189.8</v>
      </c>
      <c r="H734" s="62">
        <v>7019.1100000000006</v>
      </c>
      <c r="I734" s="49">
        <v>0</v>
      </c>
      <c r="J734" s="49">
        <v>0</v>
      </c>
      <c r="K734" s="49">
        <v>0</v>
      </c>
      <c r="L734" s="50">
        <v>0</v>
      </c>
      <c r="M734" s="51"/>
      <c r="N734" s="52" t="s">
        <v>1300</v>
      </c>
      <c r="O734" s="31"/>
      <c r="P734" s="53">
        <v>1.3775162350782365E-2</v>
      </c>
      <c r="Q734" s="54">
        <v>1</v>
      </c>
      <c r="R734" s="55">
        <v>0</v>
      </c>
      <c r="S734" s="55">
        <v>0</v>
      </c>
      <c r="T734" s="56">
        <v>0</v>
      </c>
      <c r="U734" s="57"/>
      <c r="V734" s="55">
        <v>0</v>
      </c>
      <c r="W734" s="55">
        <v>0</v>
      </c>
      <c r="X734" s="58">
        <v>0</v>
      </c>
      <c r="Y734" s="59">
        <v>0</v>
      </c>
      <c r="Z734" s="58">
        <v>0</v>
      </c>
      <c r="AA734" s="56">
        <v>0</v>
      </c>
      <c r="AB734" s="56">
        <v>0</v>
      </c>
      <c r="AC734" s="60">
        <v>46142</v>
      </c>
    </row>
    <row r="735" spans="1:29" x14ac:dyDescent="0.25">
      <c r="A735" s="43">
        <v>1054</v>
      </c>
      <c r="B735" s="44" t="s">
        <v>1294</v>
      </c>
      <c r="C735" s="45">
        <v>10540020</v>
      </c>
      <c r="D735" s="46" t="s">
        <v>1094</v>
      </c>
      <c r="E735" s="47" t="s">
        <v>364</v>
      </c>
      <c r="F735" s="47" t="s">
        <v>58</v>
      </c>
      <c r="G735" s="62">
        <v>117.19999999999999</v>
      </c>
      <c r="H735" s="62">
        <v>4177.0599999999995</v>
      </c>
      <c r="I735" s="49">
        <v>0</v>
      </c>
      <c r="J735" s="49">
        <v>0</v>
      </c>
      <c r="K735" s="49">
        <v>23.39</v>
      </c>
      <c r="L735" s="50" t="s">
        <v>366</v>
      </c>
      <c r="M735" s="51" t="s">
        <v>367</v>
      </c>
      <c r="N735" s="52" t="s">
        <v>1300</v>
      </c>
      <c r="O735" s="31"/>
      <c r="P735" s="53">
        <v>-3.9954251973983085E-2</v>
      </c>
      <c r="Q735" s="54">
        <v>6</v>
      </c>
      <c r="R735" s="55">
        <v>0</v>
      </c>
      <c r="S735" s="55">
        <v>0</v>
      </c>
      <c r="T735" s="56">
        <v>0</v>
      </c>
      <c r="U735" s="57"/>
      <c r="V735" s="55">
        <v>23.388103448275757</v>
      </c>
      <c r="W735" s="55">
        <v>0</v>
      </c>
      <c r="X735" s="58">
        <v>0</v>
      </c>
      <c r="Y735" s="59">
        <v>23.388103448275757</v>
      </c>
      <c r="Z735" s="58">
        <v>23.39</v>
      </c>
      <c r="AA735" s="56">
        <v>1.8965517242435226E-3</v>
      </c>
      <c r="AB735" s="56">
        <v>1.8965517242435226E-3</v>
      </c>
      <c r="AC735" s="60">
        <v>46142</v>
      </c>
    </row>
    <row r="736" spans="1:29" x14ac:dyDescent="0.25">
      <c r="A736" s="43">
        <v>1054</v>
      </c>
      <c r="B736" s="44" t="s">
        <v>1294</v>
      </c>
      <c r="C736" s="45">
        <v>10540021</v>
      </c>
      <c r="D736" s="46" t="s">
        <v>1095</v>
      </c>
      <c r="E736" s="47" t="s">
        <v>364</v>
      </c>
      <c r="F736" s="47" t="s">
        <v>59</v>
      </c>
      <c r="G736" s="62">
        <v>552.29999999999995</v>
      </c>
      <c r="H736" s="62">
        <v>20202.93</v>
      </c>
      <c r="I736" s="49">
        <v>0</v>
      </c>
      <c r="J736" s="49">
        <v>0</v>
      </c>
      <c r="K736" s="49">
        <v>0</v>
      </c>
      <c r="L736" s="50">
        <v>0</v>
      </c>
      <c r="M736" s="51"/>
      <c r="N736" s="52" t="s">
        <v>1300</v>
      </c>
      <c r="O736" s="31"/>
      <c r="P736" s="53">
        <v>0</v>
      </c>
      <c r="Q736" s="54">
        <v>0</v>
      </c>
      <c r="R736" s="55">
        <v>0</v>
      </c>
      <c r="S736" s="55">
        <v>0</v>
      </c>
      <c r="T736" s="56">
        <v>0</v>
      </c>
      <c r="U736" s="57"/>
      <c r="V736" s="55">
        <v>0</v>
      </c>
      <c r="W736" s="55">
        <v>0</v>
      </c>
      <c r="X736" s="58">
        <v>0</v>
      </c>
      <c r="Y736" s="59">
        <v>0</v>
      </c>
      <c r="Z736" s="58">
        <v>0</v>
      </c>
      <c r="AA736" s="56">
        <v>0</v>
      </c>
      <c r="AB736" s="56">
        <v>0</v>
      </c>
      <c r="AC736" s="60">
        <v>46142</v>
      </c>
    </row>
    <row r="737" spans="1:29" x14ac:dyDescent="0.25">
      <c r="A737" s="43">
        <v>1054</v>
      </c>
      <c r="B737" s="44" t="s">
        <v>1294</v>
      </c>
      <c r="C737" s="45">
        <v>10540026</v>
      </c>
      <c r="D737" s="46" t="s">
        <v>1096</v>
      </c>
      <c r="E737" s="47" t="s">
        <v>364</v>
      </c>
      <c r="F737" s="47" t="s">
        <v>58</v>
      </c>
      <c r="G737" s="62">
        <v>583.30000000000007</v>
      </c>
      <c r="H737" s="62">
        <v>23899.48</v>
      </c>
      <c r="I737" s="49">
        <v>0</v>
      </c>
      <c r="J737" s="49">
        <v>0</v>
      </c>
      <c r="K737" s="49">
        <v>0</v>
      </c>
      <c r="L737" s="50">
        <v>0</v>
      </c>
      <c r="M737" s="51"/>
      <c r="N737" s="52" t="s">
        <v>1300</v>
      </c>
      <c r="O737" s="31"/>
      <c r="P737" s="53">
        <v>-0.9526909807686279</v>
      </c>
      <c r="Q737" s="54">
        <v>7</v>
      </c>
      <c r="R737" s="55">
        <v>0</v>
      </c>
      <c r="S737" s="55">
        <v>0</v>
      </c>
      <c r="T737" s="56">
        <v>0</v>
      </c>
      <c r="U737" s="57"/>
      <c r="V737" s="55">
        <v>0</v>
      </c>
      <c r="W737" s="55">
        <v>0</v>
      </c>
      <c r="X737" s="58">
        <v>0</v>
      </c>
      <c r="Y737" s="59">
        <v>0</v>
      </c>
      <c r="Z737" s="58">
        <v>0</v>
      </c>
      <c r="AA737" s="56">
        <v>0</v>
      </c>
      <c r="AB737" s="56">
        <v>0</v>
      </c>
      <c r="AC737" s="60">
        <v>46142</v>
      </c>
    </row>
    <row r="738" spans="1:29" x14ac:dyDescent="0.25">
      <c r="A738" s="43">
        <v>1054</v>
      </c>
      <c r="B738" s="44" t="s">
        <v>1294</v>
      </c>
      <c r="C738" s="45">
        <v>10540027</v>
      </c>
      <c r="D738" s="46" t="s">
        <v>1097</v>
      </c>
      <c r="E738" s="47" t="s">
        <v>371</v>
      </c>
      <c r="F738" s="47" t="s">
        <v>59</v>
      </c>
      <c r="G738" s="62">
        <v>401.39999999999992</v>
      </c>
      <c r="H738" s="62">
        <v>15217.380000000001</v>
      </c>
      <c r="I738" s="49">
        <v>0</v>
      </c>
      <c r="J738" s="49">
        <v>0</v>
      </c>
      <c r="K738" s="49">
        <v>0</v>
      </c>
      <c r="L738" s="50">
        <v>0</v>
      </c>
      <c r="M738" s="51"/>
      <c r="N738" s="52" t="s">
        <v>1300</v>
      </c>
      <c r="O738" s="31"/>
      <c r="P738" s="53">
        <v>0</v>
      </c>
      <c r="Q738" s="54">
        <v>0</v>
      </c>
      <c r="R738" s="55">
        <v>0</v>
      </c>
      <c r="S738" s="55">
        <v>0</v>
      </c>
      <c r="T738" s="56">
        <v>0</v>
      </c>
      <c r="U738" s="57"/>
      <c r="V738" s="55">
        <v>0</v>
      </c>
      <c r="W738" s="55">
        <v>0</v>
      </c>
      <c r="X738" s="58">
        <v>0</v>
      </c>
      <c r="Y738" s="59">
        <v>0</v>
      </c>
      <c r="Z738" s="58">
        <v>0</v>
      </c>
      <c r="AA738" s="56">
        <v>0</v>
      </c>
      <c r="AB738" s="56">
        <v>0</v>
      </c>
      <c r="AC738" s="60">
        <v>46142</v>
      </c>
    </row>
    <row r="739" spans="1:29" x14ac:dyDescent="0.25">
      <c r="A739" s="43">
        <v>1054</v>
      </c>
      <c r="B739" s="44" t="s">
        <v>1294</v>
      </c>
      <c r="C739" s="45">
        <v>10540032</v>
      </c>
      <c r="D739" s="46" t="s">
        <v>1098</v>
      </c>
      <c r="E739" s="47" t="s">
        <v>364</v>
      </c>
      <c r="F739" s="47" t="s">
        <v>58</v>
      </c>
      <c r="G739" s="62">
        <v>202.3</v>
      </c>
      <c r="H739" s="62">
        <v>7552.93</v>
      </c>
      <c r="I739" s="49">
        <v>0</v>
      </c>
      <c r="J739" s="49">
        <v>0</v>
      </c>
      <c r="K739" s="49">
        <v>0</v>
      </c>
      <c r="L739" s="50">
        <v>0</v>
      </c>
      <c r="M739" s="51"/>
      <c r="N739" s="52" t="s">
        <v>1300</v>
      </c>
      <c r="O739" s="31"/>
      <c r="P739" s="53">
        <v>-1.4501190364534031</v>
      </c>
      <c r="Q739" s="54">
        <v>1</v>
      </c>
      <c r="R739" s="55">
        <v>0</v>
      </c>
      <c r="S739" s="55">
        <v>0</v>
      </c>
      <c r="T739" s="56">
        <v>0</v>
      </c>
      <c r="U739" s="57"/>
      <c r="V739" s="55">
        <v>0</v>
      </c>
      <c r="W739" s="55">
        <v>0</v>
      </c>
      <c r="X739" s="58">
        <v>0</v>
      </c>
      <c r="Y739" s="59">
        <v>0</v>
      </c>
      <c r="Z739" s="58">
        <v>0</v>
      </c>
      <c r="AA739" s="56">
        <v>0</v>
      </c>
      <c r="AB739" s="56">
        <v>0</v>
      </c>
      <c r="AC739" s="60">
        <v>46142</v>
      </c>
    </row>
    <row r="740" spans="1:29" x14ac:dyDescent="0.25">
      <c r="A740" s="43">
        <v>1054</v>
      </c>
      <c r="B740" s="44" t="s">
        <v>1294</v>
      </c>
      <c r="C740" s="45">
        <v>10540034</v>
      </c>
      <c r="D740" s="46" t="s">
        <v>1099</v>
      </c>
      <c r="E740" s="47" t="s">
        <v>364</v>
      </c>
      <c r="F740" s="47" t="s">
        <v>58</v>
      </c>
      <c r="G740" s="62">
        <v>282.60000000000002</v>
      </c>
      <c r="H740" s="62">
        <v>10268.19</v>
      </c>
      <c r="I740" s="49">
        <v>0</v>
      </c>
      <c r="J740" s="49">
        <v>0</v>
      </c>
      <c r="K740" s="49">
        <v>0</v>
      </c>
      <c r="L740" s="50">
        <v>0</v>
      </c>
      <c r="M740" s="51"/>
      <c r="N740" s="52" t="s">
        <v>1300</v>
      </c>
      <c r="O740" s="31"/>
      <c r="P740" s="53">
        <v>-0.53097205739278297</v>
      </c>
      <c r="Q740" s="54">
        <v>1</v>
      </c>
      <c r="R740" s="55">
        <v>0</v>
      </c>
      <c r="S740" s="55">
        <v>0</v>
      </c>
      <c r="T740" s="56">
        <v>0</v>
      </c>
      <c r="U740" s="57"/>
      <c r="V740" s="55">
        <v>0</v>
      </c>
      <c r="W740" s="55">
        <v>0</v>
      </c>
      <c r="X740" s="58">
        <v>0</v>
      </c>
      <c r="Y740" s="59">
        <v>0</v>
      </c>
      <c r="Z740" s="58">
        <v>0</v>
      </c>
      <c r="AA740" s="56">
        <v>0</v>
      </c>
      <c r="AB740" s="56">
        <v>0</v>
      </c>
      <c r="AC740" s="60">
        <v>46142</v>
      </c>
    </row>
    <row r="741" spans="1:29" x14ac:dyDescent="0.25">
      <c r="A741" s="43">
        <v>1054</v>
      </c>
      <c r="B741" s="44" t="s">
        <v>1294</v>
      </c>
      <c r="C741" s="45">
        <v>10540039</v>
      </c>
      <c r="D741" s="46" t="s">
        <v>1100</v>
      </c>
      <c r="E741" s="47" t="s">
        <v>371</v>
      </c>
      <c r="F741" s="47" t="s">
        <v>59</v>
      </c>
      <c r="G741" s="62">
        <v>605.90000000000009</v>
      </c>
      <c r="H741" s="62">
        <v>18954.030000000002</v>
      </c>
      <c r="I741" s="49">
        <v>0</v>
      </c>
      <c r="J741" s="49">
        <v>0</v>
      </c>
      <c r="K741" s="49">
        <v>0</v>
      </c>
      <c r="L741" s="50">
        <v>0</v>
      </c>
      <c r="M741" s="51"/>
      <c r="N741" s="52" t="s">
        <v>1300</v>
      </c>
      <c r="O741" s="31"/>
      <c r="P741" s="53">
        <v>0</v>
      </c>
      <c r="Q741" s="54">
        <v>0</v>
      </c>
      <c r="R741" s="55">
        <v>0</v>
      </c>
      <c r="S741" s="55">
        <v>0</v>
      </c>
      <c r="T741" s="56">
        <v>0</v>
      </c>
      <c r="U741" s="57"/>
      <c r="V741" s="55">
        <v>0</v>
      </c>
      <c r="W741" s="55">
        <v>0</v>
      </c>
      <c r="X741" s="58">
        <v>0</v>
      </c>
      <c r="Y741" s="59">
        <v>0</v>
      </c>
      <c r="Z741" s="58">
        <v>0</v>
      </c>
      <c r="AA741" s="56">
        <v>0</v>
      </c>
      <c r="AB741" s="56">
        <v>0</v>
      </c>
      <c r="AC741" s="60">
        <v>46142</v>
      </c>
    </row>
    <row r="742" spans="1:29" x14ac:dyDescent="0.25">
      <c r="A742" s="43">
        <v>1054</v>
      </c>
      <c r="B742" s="44" t="s">
        <v>1294</v>
      </c>
      <c r="C742" s="45">
        <v>10540041</v>
      </c>
      <c r="D742" s="46" t="s">
        <v>1101</v>
      </c>
      <c r="E742" s="47" t="s">
        <v>364</v>
      </c>
      <c r="F742" s="47" t="s">
        <v>59</v>
      </c>
      <c r="G742" s="62">
        <v>130.80000000000001</v>
      </c>
      <c r="H742" s="62">
        <v>4633.16</v>
      </c>
      <c r="I742" s="49">
        <v>0</v>
      </c>
      <c r="J742" s="49">
        <v>0</v>
      </c>
      <c r="K742" s="49">
        <v>92.503694117647058</v>
      </c>
      <c r="L742" s="50">
        <v>0</v>
      </c>
      <c r="M742" s="51"/>
      <c r="N742" s="52" t="s">
        <v>1300</v>
      </c>
      <c r="O742" s="31"/>
      <c r="P742" s="53">
        <v>0</v>
      </c>
      <c r="Q742" s="54">
        <v>0</v>
      </c>
      <c r="R742" s="55">
        <v>0</v>
      </c>
      <c r="S742" s="55">
        <v>0</v>
      </c>
      <c r="T742" s="56">
        <v>0</v>
      </c>
      <c r="U742" s="57"/>
      <c r="V742" s="55">
        <v>92.503694117647058</v>
      </c>
      <c r="W742" s="55">
        <v>0</v>
      </c>
      <c r="X742" s="58">
        <v>0</v>
      </c>
      <c r="Y742" s="59">
        <v>92.503694117647058</v>
      </c>
      <c r="Z742" s="58">
        <v>92.503694117647058</v>
      </c>
      <c r="AA742" s="56">
        <v>0</v>
      </c>
      <c r="AB742" s="56">
        <v>0</v>
      </c>
      <c r="AC742" s="60">
        <v>46142</v>
      </c>
    </row>
    <row r="743" spans="1:29" x14ac:dyDescent="0.25">
      <c r="A743" s="43">
        <v>1054</v>
      </c>
      <c r="B743" s="44" t="s">
        <v>1294</v>
      </c>
      <c r="C743" s="45">
        <v>10540042</v>
      </c>
      <c r="D743" s="46" t="s">
        <v>1102</v>
      </c>
      <c r="E743" s="47" t="s">
        <v>364</v>
      </c>
      <c r="F743" s="47" t="s">
        <v>58</v>
      </c>
      <c r="G743" s="62">
        <v>1258.5000000000002</v>
      </c>
      <c r="H743" s="62">
        <v>57594.18</v>
      </c>
      <c r="I743" s="49">
        <v>0</v>
      </c>
      <c r="J743" s="49">
        <v>0</v>
      </c>
      <c r="K743" s="49">
        <v>0</v>
      </c>
      <c r="L743" s="50">
        <v>0</v>
      </c>
      <c r="M743" s="51"/>
      <c r="N743" s="52" t="s">
        <v>1300</v>
      </c>
      <c r="O743" s="31"/>
      <c r="P743" s="53">
        <v>-0.48322389267384341</v>
      </c>
      <c r="Q743" s="54">
        <v>1</v>
      </c>
      <c r="R743" s="55">
        <v>0</v>
      </c>
      <c r="S743" s="55">
        <v>0</v>
      </c>
      <c r="T743" s="56">
        <v>0</v>
      </c>
      <c r="U743" s="57"/>
      <c r="V743" s="55">
        <v>0</v>
      </c>
      <c r="W743" s="55">
        <v>0</v>
      </c>
      <c r="X743" s="58">
        <v>0</v>
      </c>
      <c r="Y743" s="59">
        <v>0</v>
      </c>
      <c r="Z743" s="58">
        <v>0</v>
      </c>
      <c r="AA743" s="56">
        <v>0</v>
      </c>
      <c r="AB743" s="56">
        <v>0</v>
      </c>
      <c r="AC743" s="60">
        <v>46142</v>
      </c>
    </row>
    <row r="744" spans="1:29" x14ac:dyDescent="0.25">
      <c r="A744" s="43">
        <v>1054</v>
      </c>
      <c r="B744" s="44" t="s">
        <v>1294</v>
      </c>
      <c r="C744" s="45">
        <v>10540044</v>
      </c>
      <c r="D744" s="46" t="s">
        <v>1103</v>
      </c>
      <c r="E744" s="47" t="s">
        <v>364</v>
      </c>
      <c r="F744" s="47" t="s">
        <v>58</v>
      </c>
      <c r="G744" s="62">
        <v>432.6</v>
      </c>
      <c r="H744" s="62">
        <v>15950.36</v>
      </c>
      <c r="I744" s="49">
        <v>0</v>
      </c>
      <c r="J744" s="49">
        <v>0</v>
      </c>
      <c r="K744" s="49">
        <v>0</v>
      </c>
      <c r="L744" s="50">
        <v>0</v>
      </c>
      <c r="M744" s="51"/>
      <c r="N744" s="52" t="s">
        <v>1300</v>
      </c>
      <c r="O744" s="31"/>
      <c r="P744" s="53">
        <v>-0.49255810389232596</v>
      </c>
      <c r="Q744" s="54">
        <v>1</v>
      </c>
      <c r="R744" s="55">
        <v>0</v>
      </c>
      <c r="S744" s="55">
        <v>0</v>
      </c>
      <c r="T744" s="56">
        <v>0</v>
      </c>
      <c r="U744" s="57"/>
      <c r="V744" s="55">
        <v>0</v>
      </c>
      <c r="W744" s="55">
        <v>0</v>
      </c>
      <c r="X744" s="58">
        <v>0</v>
      </c>
      <c r="Y744" s="59">
        <v>0</v>
      </c>
      <c r="Z744" s="58">
        <v>0</v>
      </c>
      <c r="AA744" s="56">
        <v>0</v>
      </c>
      <c r="AB744" s="56">
        <v>0</v>
      </c>
      <c r="AC744" s="60">
        <v>46142</v>
      </c>
    </row>
    <row r="745" spans="1:29" x14ac:dyDescent="0.25">
      <c r="A745" s="43">
        <v>1054</v>
      </c>
      <c r="B745" s="44" t="s">
        <v>1294</v>
      </c>
      <c r="C745" s="45">
        <v>10540045</v>
      </c>
      <c r="D745" s="46" t="s">
        <v>1104</v>
      </c>
      <c r="E745" s="47" t="s">
        <v>371</v>
      </c>
      <c r="F745" s="47" t="s">
        <v>59</v>
      </c>
      <c r="G745" s="62">
        <v>472.5</v>
      </c>
      <c r="H745" s="62">
        <v>20595.060000000005</v>
      </c>
      <c r="I745" s="49">
        <v>0</v>
      </c>
      <c r="J745" s="49">
        <v>0</v>
      </c>
      <c r="K745" s="49">
        <v>0</v>
      </c>
      <c r="L745" s="50">
        <v>0</v>
      </c>
      <c r="M745" s="51"/>
      <c r="N745" s="52" t="s">
        <v>1300</v>
      </c>
      <c r="O745" s="31"/>
      <c r="P745" s="53">
        <v>0</v>
      </c>
      <c r="Q745" s="54">
        <v>0</v>
      </c>
      <c r="R745" s="55">
        <v>0</v>
      </c>
      <c r="S745" s="55">
        <v>0</v>
      </c>
      <c r="T745" s="56">
        <v>0</v>
      </c>
      <c r="U745" s="57"/>
      <c r="V745" s="55">
        <v>0</v>
      </c>
      <c r="W745" s="55">
        <v>0</v>
      </c>
      <c r="X745" s="58">
        <v>0</v>
      </c>
      <c r="Y745" s="59">
        <v>0</v>
      </c>
      <c r="Z745" s="58">
        <v>0</v>
      </c>
      <c r="AA745" s="56">
        <v>0</v>
      </c>
      <c r="AB745" s="56">
        <v>0</v>
      </c>
      <c r="AC745" s="60">
        <v>46142</v>
      </c>
    </row>
    <row r="746" spans="1:29" x14ac:dyDescent="0.25">
      <c r="A746" s="43">
        <v>1054</v>
      </c>
      <c r="B746" s="44" t="s">
        <v>1294</v>
      </c>
      <c r="C746" s="45">
        <v>10540046</v>
      </c>
      <c r="D746" s="46" t="s">
        <v>1105</v>
      </c>
      <c r="E746" s="47" t="s">
        <v>364</v>
      </c>
      <c r="F746" s="47" t="s">
        <v>58</v>
      </c>
      <c r="G746" s="62">
        <v>259.7</v>
      </c>
      <c r="H746" s="62">
        <v>11740.91</v>
      </c>
      <c r="I746" s="49">
        <v>0</v>
      </c>
      <c r="J746" s="49">
        <v>0</v>
      </c>
      <c r="K746" s="49">
        <v>0</v>
      </c>
      <c r="L746" s="50" t="s">
        <v>409</v>
      </c>
      <c r="M746" s="51" t="s">
        <v>410</v>
      </c>
      <c r="N746" s="52" t="s">
        <v>1300</v>
      </c>
      <c r="O746" s="31"/>
      <c r="P746" s="53">
        <v>-0.4134202277603789</v>
      </c>
      <c r="Q746" s="54">
        <v>1</v>
      </c>
      <c r="R746" s="55">
        <v>6750</v>
      </c>
      <c r="S746" s="55">
        <v>0</v>
      </c>
      <c r="T746" s="56">
        <v>6750</v>
      </c>
      <c r="U746" s="57"/>
      <c r="V746" s="55">
        <v>0</v>
      </c>
      <c r="W746" s="55">
        <v>0</v>
      </c>
      <c r="X746" s="58">
        <v>0</v>
      </c>
      <c r="Y746" s="59">
        <v>0</v>
      </c>
      <c r="Z746" s="58">
        <v>0</v>
      </c>
      <c r="AA746" s="56">
        <v>0</v>
      </c>
      <c r="AB746" s="56">
        <v>0</v>
      </c>
      <c r="AC746" s="60">
        <v>46142</v>
      </c>
    </row>
    <row r="747" spans="1:29" x14ac:dyDescent="0.25">
      <c r="A747" s="43">
        <v>1054</v>
      </c>
      <c r="B747" s="44" t="s">
        <v>1294</v>
      </c>
      <c r="C747" s="45">
        <v>10540048</v>
      </c>
      <c r="D747" s="46" t="s">
        <v>1106</v>
      </c>
      <c r="E747" s="47" t="s">
        <v>371</v>
      </c>
      <c r="F747" s="47" t="s">
        <v>59</v>
      </c>
      <c r="G747" s="62">
        <v>566.70000000000005</v>
      </c>
      <c r="H747" s="62">
        <v>23118.62</v>
      </c>
      <c r="I747" s="49">
        <v>0</v>
      </c>
      <c r="J747" s="49">
        <v>0</v>
      </c>
      <c r="K747" s="49">
        <v>0</v>
      </c>
      <c r="L747" s="50">
        <v>0</v>
      </c>
      <c r="M747" s="51"/>
      <c r="N747" s="52" t="s">
        <v>1300</v>
      </c>
      <c r="O747" s="31"/>
      <c r="P747" s="53">
        <v>0</v>
      </c>
      <c r="Q747" s="54">
        <v>0</v>
      </c>
      <c r="R747" s="55">
        <v>0</v>
      </c>
      <c r="S747" s="55">
        <v>0</v>
      </c>
      <c r="T747" s="56">
        <v>0</v>
      </c>
      <c r="U747" s="57"/>
      <c r="V747" s="55">
        <v>0</v>
      </c>
      <c r="W747" s="55">
        <v>0</v>
      </c>
      <c r="X747" s="58">
        <v>0</v>
      </c>
      <c r="Y747" s="59">
        <v>0</v>
      </c>
      <c r="Z747" s="58">
        <v>0</v>
      </c>
      <c r="AA747" s="56">
        <v>0</v>
      </c>
      <c r="AB747" s="56">
        <v>0</v>
      </c>
      <c r="AC747" s="60">
        <v>46142</v>
      </c>
    </row>
    <row r="748" spans="1:29" x14ac:dyDescent="0.25">
      <c r="A748" s="43">
        <v>1055</v>
      </c>
      <c r="B748" s="44" t="s">
        <v>142</v>
      </c>
      <c r="C748" s="45">
        <v>10550001</v>
      </c>
      <c r="D748" s="46" t="s">
        <v>1107</v>
      </c>
      <c r="E748" s="47" t="s">
        <v>371</v>
      </c>
      <c r="F748" s="47" t="s">
        <v>59</v>
      </c>
      <c r="G748" s="62">
        <v>12115</v>
      </c>
      <c r="H748" s="62">
        <v>444287.83000000007</v>
      </c>
      <c r="I748" s="49">
        <v>0</v>
      </c>
      <c r="J748" s="49">
        <v>0</v>
      </c>
      <c r="K748" s="49">
        <v>0</v>
      </c>
      <c r="L748" s="50">
        <v>0</v>
      </c>
      <c r="M748" s="51"/>
      <c r="N748" s="52" t="s">
        <v>1300</v>
      </c>
      <c r="O748" s="31"/>
      <c r="P748" s="53">
        <v>0</v>
      </c>
      <c r="Q748" s="54">
        <v>0</v>
      </c>
      <c r="R748" s="55">
        <v>0</v>
      </c>
      <c r="S748" s="55">
        <v>0</v>
      </c>
      <c r="T748" s="56">
        <v>0</v>
      </c>
      <c r="U748" s="57"/>
      <c r="V748" s="55">
        <v>0</v>
      </c>
      <c r="W748" s="55">
        <v>0</v>
      </c>
      <c r="X748" s="58">
        <v>0</v>
      </c>
      <c r="Y748" s="59">
        <v>0</v>
      </c>
      <c r="Z748" s="58">
        <v>0</v>
      </c>
      <c r="AA748" s="56">
        <v>0</v>
      </c>
      <c r="AB748" s="56">
        <v>0</v>
      </c>
      <c r="AC748" s="60">
        <v>46142</v>
      </c>
    </row>
    <row r="749" spans="1:29" x14ac:dyDescent="0.25">
      <c r="A749" s="43">
        <v>1055</v>
      </c>
      <c r="B749" s="44" t="s">
        <v>142</v>
      </c>
      <c r="C749" s="45">
        <v>10550002</v>
      </c>
      <c r="D749" s="46" t="s">
        <v>1108</v>
      </c>
      <c r="E749" s="47" t="s">
        <v>371</v>
      </c>
      <c r="F749" s="47" t="s">
        <v>59</v>
      </c>
      <c r="G749" s="62">
        <v>252.5</v>
      </c>
      <c r="H749" s="62">
        <v>9054.18</v>
      </c>
      <c r="I749" s="49">
        <v>0</v>
      </c>
      <c r="J749" s="49">
        <v>0</v>
      </c>
      <c r="K749" s="49">
        <v>0</v>
      </c>
      <c r="L749" s="50">
        <v>0</v>
      </c>
      <c r="M749" s="51"/>
      <c r="N749" s="52" t="s">
        <v>1300</v>
      </c>
      <c r="O749" s="31"/>
      <c r="P749" s="53">
        <v>0</v>
      </c>
      <c r="Q749" s="54">
        <v>0</v>
      </c>
      <c r="R749" s="55">
        <v>0</v>
      </c>
      <c r="S749" s="55">
        <v>0</v>
      </c>
      <c r="T749" s="56">
        <v>0</v>
      </c>
      <c r="U749" s="57"/>
      <c r="V749" s="55">
        <v>0</v>
      </c>
      <c r="W749" s="55">
        <v>0</v>
      </c>
      <c r="X749" s="58">
        <v>0</v>
      </c>
      <c r="Y749" s="59">
        <v>0</v>
      </c>
      <c r="Z749" s="58">
        <v>0</v>
      </c>
      <c r="AA749" s="56">
        <v>0</v>
      </c>
      <c r="AB749" s="56">
        <v>0</v>
      </c>
      <c r="AC749" s="60">
        <v>46142</v>
      </c>
    </row>
    <row r="750" spans="1:29" x14ac:dyDescent="0.25">
      <c r="A750" s="43">
        <v>1055</v>
      </c>
      <c r="B750" s="44" t="s">
        <v>142</v>
      </c>
      <c r="C750" s="45">
        <v>10550005</v>
      </c>
      <c r="D750" s="46" t="s">
        <v>1109</v>
      </c>
      <c r="E750" s="47" t="s">
        <v>364</v>
      </c>
      <c r="F750" s="47" t="s">
        <v>58</v>
      </c>
      <c r="G750" s="62">
        <v>194.90000000000003</v>
      </c>
      <c r="H750" s="62">
        <v>7284.5199999999995</v>
      </c>
      <c r="I750" s="49">
        <v>0</v>
      </c>
      <c r="J750" s="49">
        <v>0</v>
      </c>
      <c r="K750" s="49">
        <v>0</v>
      </c>
      <c r="L750" s="50">
        <v>0</v>
      </c>
      <c r="M750" s="51"/>
      <c r="N750" s="52" t="s">
        <v>1300</v>
      </c>
      <c r="O750" s="31"/>
      <c r="P750" s="53">
        <v>-7.3272102413227069E-2</v>
      </c>
      <c r="Q750" s="54">
        <v>3</v>
      </c>
      <c r="R750" s="55">
        <v>0</v>
      </c>
      <c r="S750" s="55">
        <v>0</v>
      </c>
      <c r="T750" s="56">
        <v>0</v>
      </c>
      <c r="U750" s="57"/>
      <c r="V750" s="55">
        <v>0</v>
      </c>
      <c r="W750" s="55">
        <v>0</v>
      </c>
      <c r="X750" s="58">
        <v>0</v>
      </c>
      <c r="Y750" s="59">
        <v>0</v>
      </c>
      <c r="Z750" s="58">
        <v>0</v>
      </c>
      <c r="AA750" s="56">
        <v>0</v>
      </c>
      <c r="AB750" s="56">
        <v>0</v>
      </c>
      <c r="AC750" s="60">
        <v>46142</v>
      </c>
    </row>
    <row r="751" spans="1:29" x14ac:dyDescent="0.25">
      <c r="A751" s="43">
        <v>1055</v>
      </c>
      <c r="B751" s="44" t="s">
        <v>142</v>
      </c>
      <c r="C751" s="45">
        <v>10550007</v>
      </c>
      <c r="D751" s="46" t="s">
        <v>1110</v>
      </c>
      <c r="E751" s="47" t="s">
        <v>371</v>
      </c>
      <c r="F751" s="47" t="s">
        <v>59</v>
      </c>
      <c r="G751" s="62">
        <v>1117.0999999999999</v>
      </c>
      <c r="H751" s="62">
        <v>40815.339999999997</v>
      </c>
      <c r="I751" s="49">
        <v>0</v>
      </c>
      <c r="J751" s="49">
        <v>0</v>
      </c>
      <c r="K751" s="49">
        <v>0</v>
      </c>
      <c r="L751" s="50">
        <v>0</v>
      </c>
      <c r="M751" s="51"/>
      <c r="N751" s="52" t="s">
        <v>1300</v>
      </c>
      <c r="O751" s="31"/>
      <c r="P751" s="53">
        <v>0</v>
      </c>
      <c r="Q751" s="54">
        <v>0</v>
      </c>
      <c r="R751" s="55">
        <v>0</v>
      </c>
      <c r="S751" s="55">
        <v>0</v>
      </c>
      <c r="T751" s="56">
        <v>0</v>
      </c>
      <c r="U751" s="57"/>
      <c r="V751" s="55">
        <v>0</v>
      </c>
      <c r="W751" s="55">
        <v>0</v>
      </c>
      <c r="X751" s="58">
        <v>0</v>
      </c>
      <c r="Y751" s="59">
        <v>0</v>
      </c>
      <c r="Z751" s="58">
        <v>0</v>
      </c>
      <c r="AA751" s="56">
        <v>0</v>
      </c>
      <c r="AB751" s="56">
        <v>0</v>
      </c>
      <c r="AC751" s="60">
        <v>46142</v>
      </c>
    </row>
    <row r="752" spans="1:29" x14ac:dyDescent="0.25">
      <c r="A752" s="43">
        <v>1055</v>
      </c>
      <c r="B752" s="44" t="s">
        <v>142</v>
      </c>
      <c r="C752" s="45">
        <v>10550009</v>
      </c>
      <c r="D752" s="46" t="s">
        <v>1111</v>
      </c>
      <c r="E752" s="47" t="s">
        <v>371</v>
      </c>
      <c r="F752" s="47" t="s">
        <v>59</v>
      </c>
      <c r="G752" s="62">
        <v>595.29999999999995</v>
      </c>
      <c r="H752" s="62">
        <v>22203.96</v>
      </c>
      <c r="I752" s="49">
        <v>0</v>
      </c>
      <c r="J752" s="49">
        <v>0</v>
      </c>
      <c r="K752" s="49">
        <v>0</v>
      </c>
      <c r="L752" s="50">
        <v>0</v>
      </c>
      <c r="M752" s="51"/>
      <c r="N752" s="52" t="s">
        <v>1300</v>
      </c>
      <c r="O752" s="31"/>
      <c r="P752" s="53">
        <v>0</v>
      </c>
      <c r="Q752" s="54">
        <v>0</v>
      </c>
      <c r="R752" s="55">
        <v>0</v>
      </c>
      <c r="S752" s="55">
        <v>0</v>
      </c>
      <c r="T752" s="56">
        <v>0</v>
      </c>
      <c r="U752" s="57"/>
      <c r="V752" s="55">
        <v>0</v>
      </c>
      <c r="W752" s="55">
        <v>0</v>
      </c>
      <c r="X752" s="58">
        <v>0</v>
      </c>
      <c r="Y752" s="59">
        <v>0</v>
      </c>
      <c r="Z752" s="58">
        <v>0</v>
      </c>
      <c r="AA752" s="56">
        <v>0</v>
      </c>
      <c r="AB752" s="56">
        <v>0</v>
      </c>
      <c r="AC752" s="60">
        <v>46142</v>
      </c>
    </row>
    <row r="753" spans="1:29" x14ac:dyDescent="0.25">
      <c r="A753" s="43">
        <v>1056</v>
      </c>
      <c r="B753" s="44" t="s">
        <v>1289</v>
      </c>
      <c r="C753" s="45">
        <v>10560001</v>
      </c>
      <c r="D753" s="46" t="s">
        <v>1112</v>
      </c>
      <c r="E753" s="47" t="s">
        <v>371</v>
      </c>
      <c r="F753" s="47" t="s">
        <v>59</v>
      </c>
      <c r="G753" s="62">
        <v>1087.04</v>
      </c>
      <c r="H753" s="62">
        <v>40563.89</v>
      </c>
      <c r="I753" s="49">
        <v>0</v>
      </c>
      <c r="J753" s="49">
        <v>0</v>
      </c>
      <c r="K753" s="49">
        <v>5935.823016774194</v>
      </c>
      <c r="L753" s="50">
        <v>0</v>
      </c>
      <c r="M753" s="51"/>
      <c r="N753" s="52" t="s">
        <v>1300</v>
      </c>
      <c r="O753" s="31"/>
      <c r="P753" s="53">
        <v>0</v>
      </c>
      <c r="Q753" s="54">
        <v>0</v>
      </c>
      <c r="R753" s="55">
        <v>0</v>
      </c>
      <c r="S753" s="55">
        <v>0</v>
      </c>
      <c r="T753" s="56">
        <v>0</v>
      </c>
      <c r="U753" s="57"/>
      <c r="V753" s="55">
        <v>5935.823016774194</v>
      </c>
      <c r="W753" s="55">
        <v>0</v>
      </c>
      <c r="X753" s="58">
        <v>0</v>
      </c>
      <c r="Y753" s="59">
        <v>5935.823016774194</v>
      </c>
      <c r="Z753" s="58">
        <v>5935.823016774194</v>
      </c>
      <c r="AA753" s="56">
        <v>0</v>
      </c>
      <c r="AB753" s="56">
        <v>0</v>
      </c>
      <c r="AC753" s="60">
        <v>46142</v>
      </c>
    </row>
    <row r="754" spans="1:29" x14ac:dyDescent="0.25">
      <c r="A754" s="43">
        <v>1056</v>
      </c>
      <c r="B754" s="44" t="s">
        <v>1289</v>
      </c>
      <c r="C754" s="45">
        <v>10560002</v>
      </c>
      <c r="D754" s="46" t="s">
        <v>1113</v>
      </c>
      <c r="E754" s="47" t="s">
        <v>371</v>
      </c>
      <c r="F754" s="47" t="s">
        <v>59</v>
      </c>
      <c r="G754" s="62">
        <v>858.54</v>
      </c>
      <c r="H754" s="62">
        <v>31340.61</v>
      </c>
      <c r="I754" s="49">
        <v>0</v>
      </c>
      <c r="J754" s="49">
        <v>0</v>
      </c>
      <c r="K754" s="49">
        <v>0</v>
      </c>
      <c r="L754" s="50">
        <v>0</v>
      </c>
      <c r="M754" s="51"/>
      <c r="N754" s="52" t="s">
        <v>1300</v>
      </c>
      <c r="O754" s="31"/>
      <c r="P754" s="53">
        <v>0</v>
      </c>
      <c r="Q754" s="54">
        <v>0</v>
      </c>
      <c r="R754" s="55">
        <v>0</v>
      </c>
      <c r="S754" s="55">
        <v>0</v>
      </c>
      <c r="T754" s="56">
        <v>0</v>
      </c>
      <c r="U754" s="57"/>
      <c r="V754" s="55">
        <v>0</v>
      </c>
      <c r="W754" s="55">
        <v>0</v>
      </c>
      <c r="X754" s="58">
        <v>0</v>
      </c>
      <c r="Y754" s="59">
        <v>0</v>
      </c>
      <c r="Z754" s="58">
        <v>0</v>
      </c>
      <c r="AA754" s="56">
        <v>0</v>
      </c>
      <c r="AB754" s="56">
        <v>0</v>
      </c>
      <c r="AC754" s="60">
        <v>46142</v>
      </c>
    </row>
    <row r="755" spans="1:29" x14ac:dyDescent="0.25">
      <c r="A755" s="43">
        <v>1056</v>
      </c>
      <c r="B755" s="44" t="s">
        <v>1289</v>
      </c>
      <c r="C755" s="45">
        <v>10560004</v>
      </c>
      <c r="D755" s="46" t="s">
        <v>1114</v>
      </c>
      <c r="E755" s="47" t="s">
        <v>364</v>
      </c>
      <c r="F755" s="47" t="s">
        <v>58</v>
      </c>
      <c r="G755" s="62">
        <v>917.66000000000008</v>
      </c>
      <c r="H755" s="62">
        <v>32120.75</v>
      </c>
      <c r="I755" s="49">
        <v>0</v>
      </c>
      <c r="J755" s="49">
        <v>0</v>
      </c>
      <c r="K755" s="49">
        <v>0</v>
      </c>
      <c r="L755" s="50">
        <v>0</v>
      </c>
      <c r="M755" s="51"/>
      <c r="N755" s="52" t="s">
        <v>1300</v>
      </c>
      <c r="O755" s="31"/>
      <c r="P755" s="53">
        <v>-1.1689390460932737E-2</v>
      </c>
      <c r="Q755" s="54">
        <v>1</v>
      </c>
      <c r="R755" s="55">
        <v>0</v>
      </c>
      <c r="S755" s="55">
        <v>0</v>
      </c>
      <c r="T755" s="56">
        <v>0</v>
      </c>
      <c r="U755" s="57"/>
      <c r="V755" s="55">
        <v>0</v>
      </c>
      <c r="W755" s="55">
        <v>0</v>
      </c>
      <c r="X755" s="58">
        <v>0</v>
      </c>
      <c r="Y755" s="59">
        <v>0</v>
      </c>
      <c r="Z755" s="58">
        <v>0</v>
      </c>
      <c r="AA755" s="56">
        <v>0</v>
      </c>
      <c r="AB755" s="56">
        <v>0</v>
      </c>
      <c r="AC755" s="60">
        <v>46142</v>
      </c>
    </row>
    <row r="756" spans="1:29" x14ac:dyDescent="0.25">
      <c r="A756" s="43">
        <v>1056</v>
      </c>
      <c r="B756" s="44" t="s">
        <v>1289</v>
      </c>
      <c r="C756" s="45">
        <v>10560005</v>
      </c>
      <c r="D756" s="46" t="s">
        <v>1115</v>
      </c>
      <c r="E756" s="47" t="s">
        <v>364</v>
      </c>
      <c r="F756" s="47" t="s">
        <v>58</v>
      </c>
      <c r="G756" s="62">
        <v>2242.36</v>
      </c>
      <c r="H756" s="62">
        <v>90184.860000000015</v>
      </c>
      <c r="I756" s="49">
        <v>0</v>
      </c>
      <c r="J756" s="49">
        <v>0</v>
      </c>
      <c r="K756" s="49">
        <v>0</v>
      </c>
      <c r="L756" s="50" t="s">
        <v>366</v>
      </c>
      <c r="M756" s="51" t="s">
        <v>367</v>
      </c>
      <c r="N756" s="52" t="s">
        <v>1300</v>
      </c>
      <c r="O756" s="31"/>
      <c r="P756" s="53">
        <v>-1.2360576999642483E-2</v>
      </c>
      <c r="Q756" s="54">
        <v>3</v>
      </c>
      <c r="R756" s="55">
        <v>0</v>
      </c>
      <c r="S756" s="55">
        <v>0</v>
      </c>
      <c r="T756" s="56">
        <v>0</v>
      </c>
      <c r="U756" s="57"/>
      <c r="V756" s="55">
        <v>0</v>
      </c>
      <c r="W756" s="55">
        <v>0</v>
      </c>
      <c r="X756" s="58">
        <v>0</v>
      </c>
      <c r="Y756" s="59">
        <v>0</v>
      </c>
      <c r="Z756" s="58">
        <v>0</v>
      </c>
      <c r="AA756" s="56">
        <v>0</v>
      </c>
      <c r="AB756" s="56">
        <v>0</v>
      </c>
      <c r="AC756" s="60">
        <v>46142</v>
      </c>
    </row>
    <row r="757" spans="1:29" x14ac:dyDescent="0.25">
      <c r="A757" s="43">
        <v>1056</v>
      </c>
      <c r="B757" s="44" t="s">
        <v>1289</v>
      </c>
      <c r="C757" s="45">
        <v>10560007</v>
      </c>
      <c r="D757" s="46" t="s">
        <v>1116</v>
      </c>
      <c r="E757" s="47" t="s">
        <v>364</v>
      </c>
      <c r="F757" s="47" t="s">
        <v>58</v>
      </c>
      <c r="G757" s="62">
        <v>180.35999999999999</v>
      </c>
      <c r="H757" s="62">
        <v>8030.8600000000006</v>
      </c>
      <c r="I757" s="49">
        <v>0</v>
      </c>
      <c r="J757" s="49">
        <v>0</v>
      </c>
      <c r="K757" s="49">
        <v>0</v>
      </c>
      <c r="L757" s="50">
        <v>0</v>
      </c>
      <c r="M757" s="51"/>
      <c r="N757" s="52" t="s">
        <v>1300</v>
      </c>
      <c r="O757" s="31"/>
      <c r="P757" s="53">
        <v>-7.9569989605098902E-3</v>
      </c>
      <c r="Q757" s="54">
        <v>1</v>
      </c>
      <c r="R757" s="55">
        <v>0</v>
      </c>
      <c r="S757" s="55">
        <v>0</v>
      </c>
      <c r="T757" s="56">
        <v>0</v>
      </c>
      <c r="U757" s="57"/>
      <c r="V757" s="55">
        <v>0</v>
      </c>
      <c r="W757" s="55">
        <v>0</v>
      </c>
      <c r="X757" s="58">
        <v>0</v>
      </c>
      <c r="Y757" s="59">
        <v>0</v>
      </c>
      <c r="Z757" s="58">
        <v>0</v>
      </c>
      <c r="AA757" s="56">
        <v>0</v>
      </c>
      <c r="AB757" s="56">
        <v>0</v>
      </c>
      <c r="AC757" s="60">
        <v>46142</v>
      </c>
    </row>
    <row r="758" spans="1:29" x14ac:dyDescent="0.25">
      <c r="A758" s="43">
        <v>1056</v>
      </c>
      <c r="B758" s="44" t="s">
        <v>1289</v>
      </c>
      <c r="C758" s="45">
        <v>10560011</v>
      </c>
      <c r="D758" s="46" t="s">
        <v>1117</v>
      </c>
      <c r="E758" s="47" t="s">
        <v>364</v>
      </c>
      <c r="F758" s="47" t="s">
        <v>58</v>
      </c>
      <c r="G758" s="62">
        <v>1834.04</v>
      </c>
      <c r="H758" s="62">
        <v>68652.429999999993</v>
      </c>
      <c r="I758" s="49">
        <v>0</v>
      </c>
      <c r="J758" s="49">
        <v>0</v>
      </c>
      <c r="K758" s="49">
        <v>0</v>
      </c>
      <c r="L758" s="50" t="s">
        <v>409</v>
      </c>
      <c r="M758" s="51" t="s">
        <v>410</v>
      </c>
      <c r="N758" s="52" t="s">
        <v>1300</v>
      </c>
      <c r="O758" s="31"/>
      <c r="P758" s="53">
        <v>-5.4454075845773678E-2</v>
      </c>
      <c r="Q758" s="54">
        <v>12</v>
      </c>
      <c r="R758" s="55">
        <v>13000</v>
      </c>
      <c r="S758" s="55">
        <v>0</v>
      </c>
      <c r="T758" s="56">
        <v>13000</v>
      </c>
      <c r="U758" s="57"/>
      <c r="V758" s="55">
        <v>0</v>
      </c>
      <c r="W758" s="55">
        <v>0</v>
      </c>
      <c r="X758" s="58">
        <v>0</v>
      </c>
      <c r="Y758" s="59">
        <v>0</v>
      </c>
      <c r="Z758" s="58">
        <v>0</v>
      </c>
      <c r="AA758" s="56">
        <v>0</v>
      </c>
      <c r="AB758" s="56">
        <v>0</v>
      </c>
      <c r="AC758" s="60">
        <v>46142</v>
      </c>
    </row>
    <row r="759" spans="1:29" x14ac:dyDescent="0.25">
      <c r="A759" s="43">
        <v>1056</v>
      </c>
      <c r="B759" s="44" t="s">
        <v>1289</v>
      </c>
      <c r="C759" s="45">
        <v>10560012</v>
      </c>
      <c r="D759" s="46" t="s">
        <v>1118</v>
      </c>
      <c r="E759" s="47" t="s">
        <v>364</v>
      </c>
      <c r="F759" s="47" t="s">
        <v>58</v>
      </c>
      <c r="G759" s="62">
        <v>1048.8200000000002</v>
      </c>
      <c r="H759" s="62">
        <v>39050.380000000005</v>
      </c>
      <c r="I759" s="49">
        <v>0</v>
      </c>
      <c r="J759" s="49">
        <v>0</v>
      </c>
      <c r="K759" s="49">
        <v>0</v>
      </c>
      <c r="L759" s="50">
        <v>0</v>
      </c>
      <c r="M759" s="51"/>
      <c r="N759" s="52" t="s">
        <v>1300</v>
      </c>
      <c r="O759" s="31"/>
      <c r="P759" s="53">
        <v>-7.4409929075415094E-3</v>
      </c>
      <c r="Q759" s="54">
        <v>2</v>
      </c>
      <c r="R759" s="55">
        <v>0</v>
      </c>
      <c r="S759" s="55">
        <v>0</v>
      </c>
      <c r="T759" s="56">
        <v>0</v>
      </c>
      <c r="U759" s="57"/>
      <c r="V759" s="55">
        <v>0</v>
      </c>
      <c r="W759" s="55">
        <v>0</v>
      </c>
      <c r="X759" s="58">
        <v>0</v>
      </c>
      <c r="Y759" s="59">
        <v>0</v>
      </c>
      <c r="Z759" s="58">
        <v>0</v>
      </c>
      <c r="AA759" s="56">
        <v>0</v>
      </c>
      <c r="AB759" s="56">
        <v>0</v>
      </c>
      <c r="AC759" s="60">
        <v>46142</v>
      </c>
    </row>
    <row r="760" spans="1:29" x14ac:dyDescent="0.25">
      <c r="A760" s="43">
        <v>1056</v>
      </c>
      <c r="B760" s="44" t="s">
        <v>1289</v>
      </c>
      <c r="C760" s="45">
        <v>10560015</v>
      </c>
      <c r="D760" s="46" t="s">
        <v>1119</v>
      </c>
      <c r="E760" s="47" t="s">
        <v>371</v>
      </c>
      <c r="F760" s="47" t="s">
        <v>59</v>
      </c>
      <c r="G760" s="62">
        <v>795.07999999999993</v>
      </c>
      <c r="H760" s="62">
        <v>28914.44</v>
      </c>
      <c r="I760" s="49">
        <v>0</v>
      </c>
      <c r="J760" s="49">
        <v>0</v>
      </c>
      <c r="K760" s="49">
        <v>0</v>
      </c>
      <c r="L760" s="50">
        <v>0</v>
      </c>
      <c r="M760" s="51"/>
      <c r="N760" s="52" t="s">
        <v>1300</v>
      </c>
      <c r="O760" s="31"/>
      <c r="P760" s="53">
        <v>0</v>
      </c>
      <c r="Q760" s="54">
        <v>0</v>
      </c>
      <c r="R760" s="55">
        <v>0</v>
      </c>
      <c r="S760" s="55">
        <v>0</v>
      </c>
      <c r="T760" s="56">
        <v>0</v>
      </c>
      <c r="U760" s="57"/>
      <c r="V760" s="55">
        <v>0</v>
      </c>
      <c r="W760" s="55">
        <v>0</v>
      </c>
      <c r="X760" s="58">
        <v>0</v>
      </c>
      <c r="Y760" s="59">
        <v>0</v>
      </c>
      <c r="Z760" s="58">
        <v>0</v>
      </c>
      <c r="AA760" s="56">
        <v>0</v>
      </c>
      <c r="AB760" s="56">
        <v>0</v>
      </c>
      <c r="AC760" s="60">
        <v>46142</v>
      </c>
    </row>
    <row r="761" spans="1:29" x14ac:dyDescent="0.25">
      <c r="A761" s="43">
        <v>1056</v>
      </c>
      <c r="B761" s="44" t="s">
        <v>1289</v>
      </c>
      <c r="C761" s="45">
        <v>10560016</v>
      </c>
      <c r="D761" s="46" t="s">
        <v>1120</v>
      </c>
      <c r="E761" s="47" t="s">
        <v>364</v>
      </c>
      <c r="F761" s="47" t="s">
        <v>58</v>
      </c>
      <c r="G761" s="62">
        <v>989.6</v>
      </c>
      <c r="H761" s="62">
        <v>37066.9</v>
      </c>
      <c r="I761" s="49">
        <v>0</v>
      </c>
      <c r="J761" s="49">
        <v>0</v>
      </c>
      <c r="K761" s="49">
        <v>0</v>
      </c>
      <c r="L761" s="50">
        <v>0</v>
      </c>
      <c r="M761" s="51"/>
      <c r="N761" s="52" t="s">
        <v>1300</v>
      </c>
      <c r="O761" s="31"/>
      <c r="P761" s="53">
        <v>-4.3161460256994889E-2</v>
      </c>
      <c r="Q761" s="54">
        <v>1</v>
      </c>
      <c r="R761" s="55">
        <v>0</v>
      </c>
      <c r="S761" s="55">
        <v>0</v>
      </c>
      <c r="T761" s="56">
        <v>0</v>
      </c>
      <c r="U761" s="57"/>
      <c r="V761" s="55">
        <v>0</v>
      </c>
      <c r="W761" s="55">
        <v>0</v>
      </c>
      <c r="X761" s="58">
        <v>0</v>
      </c>
      <c r="Y761" s="59">
        <v>0</v>
      </c>
      <c r="Z761" s="58">
        <v>0</v>
      </c>
      <c r="AA761" s="56">
        <v>0</v>
      </c>
      <c r="AB761" s="56">
        <v>0</v>
      </c>
      <c r="AC761" s="60">
        <v>46142</v>
      </c>
    </row>
    <row r="762" spans="1:29" x14ac:dyDescent="0.25">
      <c r="A762" s="43">
        <v>1056</v>
      </c>
      <c r="B762" s="44" t="s">
        <v>1289</v>
      </c>
      <c r="C762" s="45">
        <v>10560017</v>
      </c>
      <c r="D762" s="46" t="s">
        <v>1121</v>
      </c>
      <c r="E762" s="47" t="s">
        <v>364</v>
      </c>
      <c r="F762" s="47" t="s">
        <v>58</v>
      </c>
      <c r="G762" s="62">
        <v>1097.26</v>
      </c>
      <c r="H762" s="62">
        <v>41887.72</v>
      </c>
      <c r="I762" s="49">
        <v>0</v>
      </c>
      <c r="J762" s="49">
        <v>0</v>
      </c>
      <c r="K762" s="49">
        <v>0</v>
      </c>
      <c r="L762" s="50" t="s">
        <v>692</v>
      </c>
      <c r="M762" s="51" t="s">
        <v>367</v>
      </c>
      <c r="N762" s="52" t="s">
        <v>1300</v>
      </c>
      <c r="O762" s="31"/>
      <c r="P762" s="53">
        <v>-4.0192903408238272E-2</v>
      </c>
      <c r="Q762" s="54">
        <v>19</v>
      </c>
      <c r="R762" s="55">
        <v>0</v>
      </c>
      <c r="S762" s="55">
        <v>0</v>
      </c>
      <c r="T762" s="56">
        <v>0</v>
      </c>
      <c r="U762" s="57"/>
      <c r="V762" s="55">
        <v>0</v>
      </c>
      <c r="W762" s="55">
        <v>0</v>
      </c>
      <c r="X762" s="58">
        <v>0</v>
      </c>
      <c r="Y762" s="59">
        <v>0</v>
      </c>
      <c r="Z762" s="58">
        <v>0</v>
      </c>
      <c r="AA762" s="56">
        <v>0</v>
      </c>
      <c r="AB762" s="56">
        <v>0</v>
      </c>
      <c r="AC762" s="60">
        <v>46142</v>
      </c>
    </row>
    <row r="763" spans="1:29" x14ac:dyDescent="0.25">
      <c r="A763" s="43">
        <v>1056</v>
      </c>
      <c r="B763" s="44" t="s">
        <v>1289</v>
      </c>
      <c r="C763" s="45">
        <v>10560019</v>
      </c>
      <c r="D763" s="46" t="s">
        <v>1122</v>
      </c>
      <c r="E763" s="47" t="s">
        <v>364</v>
      </c>
      <c r="F763" s="47" t="s">
        <v>59</v>
      </c>
      <c r="G763" s="62">
        <v>1805.8200000000002</v>
      </c>
      <c r="H763" s="62">
        <v>64591.8</v>
      </c>
      <c r="I763" s="49">
        <v>0</v>
      </c>
      <c r="J763" s="49">
        <v>0</v>
      </c>
      <c r="K763" s="49">
        <v>0</v>
      </c>
      <c r="L763" s="50">
        <v>0</v>
      </c>
      <c r="M763" s="51"/>
      <c r="N763" s="52" t="s">
        <v>1300</v>
      </c>
      <c r="O763" s="31"/>
      <c r="P763" s="53">
        <v>0</v>
      </c>
      <c r="Q763" s="54">
        <v>0</v>
      </c>
      <c r="R763" s="55">
        <v>0</v>
      </c>
      <c r="S763" s="55">
        <v>0</v>
      </c>
      <c r="T763" s="56">
        <v>0</v>
      </c>
      <c r="U763" s="57"/>
      <c r="V763" s="55">
        <v>0</v>
      </c>
      <c r="W763" s="55">
        <v>0</v>
      </c>
      <c r="X763" s="58">
        <v>0</v>
      </c>
      <c r="Y763" s="59">
        <v>0</v>
      </c>
      <c r="Z763" s="58">
        <v>0</v>
      </c>
      <c r="AA763" s="56">
        <v>0</v>
      </c>
      <c r="AB763" s="56">
        <v>0</v>
      </c>
      <c r="AC763" s="60">
        <v>46142</v>
      </c>
    </row>
    <row r="764" spans="1:29" x14ac:dyDescent="0.25">
      <c r="A764" s="43">
        <v>1056</v>
      </c>
      <c r="B764" s="44" t="s">
        <v>1289</v>
      </c>
      <c r="C764" s="45">
        <v>10560022</v>
      </c>
      <c r="D764" s="46" t="s">
        <v>1123</v>
      </c>
      <c r="E764" s="47" t="s">
        <v>364</v>
      </c>
      <c r="F764" s="47" t="s">
        <v>58</v>
      </c>
      <c r="G764" s="62">
        <v>2035.1400000000003</v>
      </c>
      <c r="H764" s="62">
        <v>86308.03</v>
      </c>
      <c r="I764" s="49">
        <v>0</v>
      </c>
      <c r="J764" s="49">
        <v>0</v>
      </c>
      <c r="K764" s="49">
        <v>0</v>
      </c>
      <c r="L764" s="50">
        <v>0</v>
      </c>
      <c r="M764" s="51"/>
      <c r="N764" s="52" t="s">
        <v>1300</v>
      </c>
      <c r="O764" s="31"/>
      <c r="P764" s="53">
        <v>7.1491552509864399E-3</v>
      </c>
      <c r="Q764" s="54">
        <v>1</v>
      </c>
      <c r="R764" s="55">
        <v>0</v>
      </c>
      <c r="S764" s="55">
        <v>0</v>
      </c>
      <c r="T764" s="56">
        <v>0</v>
      </c>
      <c r="U764" s="57"/>
      <c r="V764" s="55">
        <v>0</v>
      </c>
      <c r="W764" s="55">
        <v>0</v>
      </c>
      <c r="X764" s="58">
        <v>0</v>
      </c>
      <c r="Y764" s="59">
        <v>0</v>
      </c>
      <c r="Z764" s="58">
        <v>0</v>
      </c>
      <c r="AA764" s="56">
        <v>0</v>
      </c>
      <c r="AB764" s="56">
        <v>0</v>
      </c>
      <c r="AC764" s="60">
        <v>46142</v>
      </c>
    </row>
    <row r="765" spans="1:29" x14ac:dyDescent="0.25">
      <c r="A765" s="43">
        <v>1056</v>
      </c>
      <c r="B765" s="44" t="s">
        <v>1289</v>
      </c>
      <c r="C765" s="45">
        <v>10560025</v>
      </c>
      <c r="D765" s="46" t="s">
        <v>1124</v>
      </c>
      <c r="E765" s="47" t="s">
        <v>371</v>
      </c>
      <c r="F765" s="47" t="s">
        <v>59</v>
      </c>
      <c r="G765" s="62">
        <v>132.82</v>
      </c>
      <c r="H765" s="62">
        <v>5624.7500000000009</v>
      </c>
      <c r="I765" s="49">
        <v>0</v>
      </c>
      <c r="J765" s="49">
        <v>0</v>
      </c>
      <c r="K765" s="49">
        <v>0</v>
      </c>
      <c r="L765" s="50">
        <v>0</v>
      </c>
      <c r="M765" s="51"/>
      <c r="N765" s="52" t="s">
        <v>1300</v>
      </c>
      <c r="O765" s="31"/>
      <c r="P765" s="53">
        <v>0</v>
      </c>
      <c r="Q765" s="54">
        <v>0</v>
      </c>
      <c r="R765" s="55">
        <v>0</v>
      </c>
      <c r="S765" s="55">
        <v>0</v>
      </c>
      <c r="T765" s="56">
        <v>0</v>
      </c>
      <c r="U765" s="57"/>
      <c r="V765" s="55">
        <v>0</v>
      </c>
      <c r="W765" s="55">
        <v>0</v>
      </c>
      <c r="X765" s="58">
        <v>0</v>
      </c>
      <c r="Y765" s="59">
        <v>0</v>
      </c>
      <c r="Z765" s="58">
        <v>0</v>
      </c>
      <c r="AA765" s="56">
        <v>0</v>
      </c>
      <c r="AB765" s="56">
        <v>0</v>
      </c>
      <c r="AC765" s="60">
        <v>46142</v>
      </c>
    </row>
    <row r="766" spans="1:29" x14ac:dyDescent="0.25">
      <c r="A766" s="43">
        <v>1056</v>
      </c>
      <c r="B766" s="44" t="s">
        <v>1289</v>
      </c>
      <c r="C766" s="45">
        <v>10560026</v>
      </c>
      <c r="D766" s="46" t="s">
        <v>1125</v>
      </c>
      <c r="E766" s="47" t="s">
        <v>364</v>
      </c>
      <c r="F766" s="47" t="s">
        <v>58</v>
      </c>
      <c r="G766" s="62">
        <v>1100.8000000000002</v>
      </c>
      <c r="H766" s="62">
        <v>41969.979999999996</v>
      </c>
      <c r="I766" s="49">
        <v>0</v>
      </c>
      <c r="J766" s="49">
        <v>0</v>
      </c>
      <c r="K766" s="49">
        <v>0</v>
      </c>
      <c r="L766" s="50" t="s">
        <v>409</v>
      </c>
      <c r="M766" s="51" t="s">
        <v>410</v>
      </c>
      <c r="N766" s="52" t="s">
        <v>1300</v>
      </c>
      <c r="O766" s="31"/>
      <c r="P766" s="53">
        <v>-2.7130752648062299E-2</v>
      </c>
      <c r="Q766" s="54">
        <v>21</v>
      </c>
      <c r="R766" s="55">
        <v>6500</v>
      </c>
      <c r="S766" s="55">
        <v>0</v>
      </c>
      <c r="T766" s="56">
        <v>6500</v>
      </c>
      <c r="U766" s="57"/>
      <c r="V766" s="55">
        <v>0</v>
      </c>
      <c r="W766" s="55">
        <v>0</v>
      </c>
      <c r="X766" s="58">
        <v>0</v>
      </c>
      <c r="Y766" s="59">
        <v>0</v>
      </c>
      <c r="Z766" s="58">
        <v>0</v>
      </c>
      <c r="AA766" s="56">
        <v>0</v>
      </c>
      <c r="AB766" s="56">
        <v>0</v>
      </c>
      <c r="AC766" s="60">
        <v>46142</v>
      </c>
    </row>
    <row r="767" spans="1:29" x14ac:dyDescent="0.25">
      <c r="A767" s="43">
        <v>1056</v>
      </c>
      <c r="B767" s="44" t="s">
        <v>1289</v>
      </c>
      <c r="C767" s="45">
        <v>10560027</v>
      </c>
      <c r="D767" s="46" t="s">
        <v>1126</v>
      </c>
      <c r="E767" s="47" t="s">
        <v>364</v>
      </c>
      <c r="F767" s="47" t="s">
        <v>58</v>
      </c>
      <c r="G767" s="62">
        <v>278.8</v>
      </c>
      <c r="H767" s="62">
        <v>10760.7</v>
      </c>
      <c r="I767" s="49">
        <v>0</v>
      </c>
      <c r="J767" s="49">
        <v>0</v>
      </c>
      <c r="K767" s="49">
        <v>0</v>
      </c>
      <c r="L767" s="50">
        <v>0</v>
      </c>
      <c r="M767" s="51"/>
      <c r="N767" s="52" t="s">
        <v>1300</v>
      </c>
      <c r="O767" s="31"/>
      <c r="P767" s="53">
        <v>4.7521357383813545E-3</v>
      </c>
      <c r="Q767" s="54">
        <v>1</v>
      </c>
      <c r="R767" s="55">
        <v>0</v>
      </c>
      <c r="S767" s="55">
        <v>0</v>
      </c>
      <c r="T767" s="56">
        <v>0</v>
      </c>
      <c r="U767" s="57"/>
      <c r="V767" s="55">
        <v>0</v>
      </c>
      <c r="W767" s="55">
        <v>0</v>
      </c>
      <c r="X767" s="58">
        <v>0</v>
      </c>
      <c r="Y767" s="59">
        <v>0</v>
      </c>
      <c r="Z767" s="58">
        <v>0</v>
      </c>
      <c r="AA767" s="56">
        <v>0</v>
      </c>
      <c r="AB767" s="56">
        <v>0</v>
      </c>
      <c r="AC767" s="60">
        <v>46142</v>
      </c>
    </row>
    <row r="768" spans="1:29" x14ac:dyDescent="0.25">
      <c r="A768" s="43">
        <v>1056</v>
      </c>
      <c r="B768" s="44" t="s">
        <v>1289</v>
      </c>
      <c r="C768" s="45">
        <v>10560028</v>
      </c>
      <c r="D768" s="46" t="s">
        <v>1127</v>
      </c>
      <c r="E768" s="47" t="s">
        <v>364</v>
      </c>
      <c r="F768" s="47" t="s">
        <v>58</v>
      </c>
      <c r="G768" s="62">
        <v>371.78</v>
      </c>
      <c r="H768" s="62">
        <v>15161.69</v>
      </c>
      <c r="I768" s="49">
        <v>0</v>
      </c>
      <c r="J768" s="49">
        <v>0</v>
      </c>
      <c r="K768" s="49">
        <v>0</v>
      </c>
      <c r="L768" s="50">
        <v>0</v>
      </c>
      <c r="M768" s="51"/>
      <c r="N768" s="52" t="s">
        <v>1300</v>
      </c>
      <c r="O768" s="31"/>
      <c r="P768" s="53">
        <v>-1.9027362147633928E-4</v>
      </c>
      <c r="Q768" s="54">
        <v>1</v>
      </c>
      <c r="R768" s="55">
        <v>0</v>
      </c>
      <c r="S768" s="55">
        <v>0</v>
      </c>
      <c r="T768" s="56">
        <v>0</v>
      </c>
      <c r="U768" s="57"/>
      <c r="V768" s="55">
        <v>0</v>
      </c>
      <c r="W768" s="55">
        <v>0</v>
      </c>
      <c r="X768" s="58">
        <v>0</v>
      </c>
      <c r="Y768" s="59">
        <v>0</v>
      </c>
      <c r="Z768" s="58">
        <v>0</v>
      </c>
      <c r="AA768" s="56">
        <v>0</v>
      </c>
      <c r="AB768" s="56">
        <v>0</v>
      </c>
      <c r="AC768" s="60">
        <v>46142</v>
      </c>
    </row>
    <row r="769" spans="1:29" x14ac:dyDescent="0.25">
      <c r="A769" s="43">
        <v>1056</v>
      </c>
      <c r="B769" s="44" t="s">
        <v>1289</v>
      </c>
      <c r="C769" s="45">
        <v>10560029</v>
      </c>
      <c r="D769" s="46" t="s">
        <v>1128</v>
      </c>
      <c r="E769" s="47" t="s">
        <v>364</v>
      </c>
      <c r="F769" s="47" t="s">
        <v>58</v>
      </c>
      <c r="G769" s="62">
        <v>151.12</v>
      </c>
      <c r="H769" s="62">
        <v>6477.47</v>
      </c>
      <c r="I769" s="49">
        <v>0</v>
      </c>
      <c r="J769" s="49">
        <v>0</v>
      </c>
      <c r="K769" s="49">
        <v>0</v>
      </c>
      <c r="L769" s="50">
        <v>0</v>
      </c>
      <c r="M769" s="51"/>
      <c r="N769" s="52" t="s">
        <v>1300</v>
      </c>
      <c r="O769" s="31"/>
      <c r="P769" s="53">
        <v>-0.17822209437504727</v>
      </c>
      <c r="Q769" s="54">
        <v>1</v>
      </c>
      <c r="R769" s="55">
        <v>0</v>
      </c>
      <c r="S769" s="55">
        <v>0</v>
      </c>
      <c r="T769" s="56">
        <v>0</v>
      </c>
      <c r="U769" s="57"/>
      <c r="V769" s="55">
        <v>0</v>
      </c>
      <c r="W769" s="55">
        <v>0</v>
      </c>
      <c r="X769" s="58">
        <v>0</v>
      </c>
      <c r="Y769" s="59">
        <v>0</v>
      </c>
      <c r="Z769" s="58">
        <v>0</v>
      </c>
      <c r="AA769" s="56">
        <v>0</v>
      </c>
      <c r="AB769" s="56">
        <v>0</v>
      </c>
      <c r="AC769" s="60">
        <v>46142</v>
      </c>
    </row>
    <row r="770" spans="1:29" x14ac:dyDescent="0.25">
      <c r="A770" s="43">
        <v>1056</v>
      </c>
      <c r="B770" s="44" t="s">
        <v>1289</v>
      </c>
      <c r="C770" s="45">
        <v>10560031</v>
      </c>
      <c r="D770" s="46" t="s">
        <v>1129</v>
      </c>
      <c r="E770" s="47" t="s">
        <v>364</v>
      </c>
      <c r="F770" s="47" t="s">
        <v>58</v>
      </c>
      <c r="G770" s="62">
        <v>583.33999999999992</v>
      </c>
      <c r="H770" s="62">
        <v>20976.369999999995</v>
      </c>
      <c r="I770" s="49">
        <v>0</v>
      </c>
      <c r="J770" s="49">
        <v>0</v>
      </c>
      <c r="K770" s="49">
        <v>0</v>
      </c>
      <c r="L770" s="50">
        <v>0</v>
      </c>
      <c r="M770" s="51"/>
      <c r="N770" s="52" t="s">
        <v>1300</v>
      </c>
      <c r="O770" s="31"/>
      <c r="P770" s="53">
        <v>2.0885175499509342E-5</v>
      </c>
      <c r="Q770" s="54">
        <v>1</v>
      </c>
      <c r="R770" s="55">
        <v>0</v>
      </c>
      <c r="S770" s="55">
        <v>0</v>
      </c>
      <c r="T770" s="56">
        <v>0</v>
      </c>
      <c r="U770" s="57"/>
      <c r="V770" s="55">
        <v>0</v>
      </c>
      <c r="W770" s="55">
        <v>0</v>
      </c>
      <c r="X770" s="58">
        <v>0</v>
      </c>
      <c r="Y770" s="59">
        <v>0</v>
      </c>
      <c r="Z770" s="58">
        <v>0</v>
      </c>
      <c r="AA770" s="56">
        <v>0</v>
      </c>
      <c r="AB770" s="56">
        <v>0</v>
      </c>
      <c r="AC770" s="60">
        <v>46142</v>
      </c>
    </row>
    <row r="771" spans="1:29" x14ac:dyDescent="0.25">
      <c r="A771" s="43">
        <v>1056</v>
      </c>
      <c r="B771" s="44" t="s">
        <v>1289</v>
      </c>
      <c r="C771" s="45">
        <v>10560033</v>
      </c>
      <c r="D771" s="46" t="s">
        <v>1130</v>
      </c>
      <c r="E771" s="47" t="s">
        <v>371</v>
      </c>
      <c r="F771" s="47" t="s">
        <v>58</v>
      </c>
      <c r="G771" s="62">
        <v>184.64</v>
      </c>
      <c r="H771" s="62">
        <v>7445.76</v>
      </c>
      <c r="I771" s="49">
        <v>0</v>
      </c>
      <c r="J771" s="49">
        <v>0</v>
      </c>
      <c r="K771" s="49">
        <v>0</v>
      </c>
      <c r="L771" s="50">
        <v>0</v>
      </c>
      <c r="M771" s="51"/>
      <c r="N771" s="52" t="s">
        <v>1300</v>
      </c>
      <c r="O771" s="31"/>
      <c r="P771" s="53">
        <v>4.8784527591541824E-3</v>
      </c>
      <c r="Q771" s="54">
        <v>1</v>
      </c>
      <c r="R771" s="55">
        <v>0</v>
      </c>
      <c r="S771" s="55">
        <v>0</v>
      </c>
      <c r="T771" s="56">
        <v>0</v>
      </c>
      <c r="U771" s="57"/>
      <c r="V771" s="55">
        <v>0</v>
      </c>
      <c r="W771" s="55">
        <v>0</v>
      </c>
      <c r="X771" s="58">
        <v>0</v>
      </c>
      <c r="Y771" s="59">
        <v>0</v>
      </c>
      <c r="Z771" s="58">
        <v>0</v>
      </c>
      <c r="AA771" s="56">
        <v>0</v>
      </c>
      <c r="AB771" s="56">
        <v>0</v>
      </c>
      <c r="AC771" s="60">
        <v>46142</v>
      </c>
    </row>
    <row r="772" spans="1:29" x14ac:dyDescent="0.25">
      <c r="A772" s="43">
        <v>1056</v>
      </c>
      <c r="B772" s="44" t="s">
        <v>1289</v>
      </c>
      <c r="C772" s="45">
        <v>10560034</v>
      </c>
      <c r="D772" s="46" t="s">
        <v>1131</v>
      </c>
      <c r="E772" s="47" t="s">
        <v>371</v>
      </c>
      <c r="F772" s="47" t="s">
        <v>59</v>
      </c>
      <c r="G772" s="62">
        <v>290.67999999999995</v>
      </c>
      <c r="H772" s="62">
        <v>10289.17</v>
      </c>
      <c r="I772" s="49">
        <v>0</v>
      </c>
      <c r="J772" s="49">
        <v>1300</v>
      </c>
      <c r="K772" s="49">
        <v>0</v>
      </c>
      <c r="L772" s="50">
        <v>0</v>
      </c>
      <c r="M772" s="51"/>
      <c r="N772" s="52" t="s">
        <v>1300</v>
      </c>
      <c r="O772" s="31"/>
      <c r="P772" s="53">
        <v>0</v>
      </c>
      <c r="Q772" s="54">
        <v>0</v>
      </c>
      <c r="R772" s="55">
        <v>1300</v>
      </c>
      <c r="S772" s="55">
        <v>1300</v>
      </c>
      <c r="T772" s="56">
        <v>0</v>
      </c>
      <c r="U772" s="57"/>
      <c r="V772" s="55">
        <v>0</v>
      </c>
      <c r="W772" s="55">
        <v>0</v>
      </c>
      <c r="X772" s="58">
        <v>0</v>
      </c>
      <c r="Y772" s="59">
        <v>0</v>
      </c>
      <c r="Z772" s="58">
        <v>0</v>
      </c>
      <c r="AA772" s="56">
        <v>0</v>
      </c>
      <c r="AB772" s="56">
        <v>0</v>
      </c>
      <c r="AC772" s="60">
        <v>46142</v>
      </c>
    </row>
    <row r="773" spans="1:29" x14ac:dyDescent="0.25">
      <c r="A773" s="43">
        <v>1056</v>
      </c>
      <c r="B773" s="44" t="s">
        <v>1289</v>
      </c>
      <c r="C773" s="45">
        <v>10560035</v>
      </c>
      <c r="D773" s="46" t="s">
        <v>1132</v>
      </c>
      <c r="E773" s="47" t="s">
        <v>364</v>
      </c>
      <c r="F773" s="47" t="s">
        <v>58</v>
      </c>
      <c r="G773" s="62">
        <v>229.72</v>
      </c>
      <c r="H773" s="62">
        <v>8737.83</v>
      </c>
      <c r="I773" s="49">
        <v>0</v>
      </c>
      <c r="J773" s="49">
        <v>0</v>
      </c>
      <c r="K773" s="49">
        <v>0</v>
      </c>
      <c r="L773" s="50">
        <v>0</v>
      </c>
      <c r="M773" s="51"/>
      <c r="N773" s="52" t="s">
        <v>1300</v>
      </c>
      <c r="O773" s="31"/>
      <c r="P773" s="53">
        <v>-1.9989848770690113E-2</v>
      </c>
      <c r="Q773" s="54">
        <v>1</v>
      </c>
      <c r="R773" s="55">
        <v>0</v>
      </c>
      <c r="S773" s="55">
        <v>0</v>
      </c>
      <c r="T773" s="56">
        <v>0</v>
      </c>
      <c r="U773" s="57"/>
      <c r="V773" s="55">
        <v>0</v>
      </c>
      <c r="W773" s="55">
        <v>0</v>
      </c>
      <c r="X773" s="58">
        <v>0</v>
      </c>
      <c r="Y773" s="59">
        <v>0</v>
      </c>
      <c r="Z773" s="58">
        <v>0</v>
      </c>
      <c r="AA773" s="56">
        <v>0</v>
      </c>
      <c r="AB773" s="56">
        <v>0</v>
      </c>
      <c r="AC773" s="60">
        <v>46142</v>
      </c>
    </row>
    <row r="774" spans="1:29" x14ac:dyDescent="0.25">
      <c r="A774" s="43">
        <v>1056</v>
      </c>
      <c r="B774" s="44" t="s">
        <v>1289</v>
      </c>
      <c r="C774" s="45">
        <v>10560036</v>
      </c>
      <c r="D774" s="46" t="s">
        <v>1133</v>
      </c>
      <c r="E774" s="47" t="s">
        <v>364</v>
      </c>
      <c r="F774" s="47" t="s">
        <v>58</v>
      </c>
      <c r="G774" s="62">
        <v>323.71999999999997</v>
      </c>
      <c r="H774" s="62">
        <v>14776.1</v>
      </c>
      <c r="I774" s="49">
        <v>0</v>
      </c>
      <c r="J774" s="49">
        <v>0</v>
      </c>
      <c r="K774" s="49">
        <v>0</v>
      </c>
      <c r="L774" s="50" t="s">
        <v>409</v>
      </c>
      <c r="M774" s="51" t="s">
        <v>410</v>
      </c>
      <c r="N774" s="52" t="s">
        <v>1300</v>
      </c>
      <c r="O774" s="31"/>
      <c r="P774" s="53">
        <v>-0.20817605264856087</v>
      </c>
      <c r="Q774" s="54">
        <v>1</v>
      </c>
      <c r="R774" s="55">
        <v>13000</v>
      </c>
      <c r="S774" s="55">
        <v>0</v>
      </c>
      <c r="T774" s="56">
        <v>13000</v>
      </c>
      <c r="U774" s="57"/>
      <c r="V774" s="55">
        <v>0</v>
      </c>
      <c r="W774" s="55">
        <v>0</v>
      </c>
      <c r="X774" s="58">
        <v>0</v>
      </c>
      <c r="Y774" s="59">
        <v>0</v>
      </c>
      <c r="Z774" s="58">
        <v>0</v>
      </c>
      <c r="AA774" s="56">
        <v>0</v>
      </c>
      <c r="AB774" s="56">
        <v>0</v>
      </c>
      <c r="AC774" s="60">
        <v>46142</v>
      </c>
    </row>
    <row r="775" spans="1:29" x14ac:dyDescent="0.25">
      <c r="A775" s="43">
        <v>1056</v>
      </c>
      <c r="B775" s="44" t="s">
        <v>1289</v>
      </c>
      <c r="C775" s="45">
        <v>10560037</v>
      </c>
      <c r="D775" s="46" t="s">
        <v>1134</v>
      </c>
      <c r="E775" s="47" t="s">
        <v>364</v>
      </c>
      <c r="F775" s="47" t="s">
        <v>58</v>
      </c>
      <c r="G775" s="62">
        <v>240.82</v>
      </c>
      <c r="H775" s="62">
        <v>9250.9499999999989</v>
      </c>
      <c r="I775" s="49">
        <v>0</v>
      </c>
      <c r="J775" s="49">
        <v>0</v>
      </c>
      <c r="K775" s="49">
        <v>0</v>
      </c>
      <c r="L775" s="50">
        <v>0</v>
      </c>
      <c r="M775" s="51"/>
      <c r="N775" s="52" t="s">
        <v>1300</v>
      </c>
      <c r="O775" s="31"/>
      <c r="P775" s="53">
        <v>-5.1800848936814289E-3</v>
      </c>
      <c r="Q775" s="54">
        <v>1</v>
      </c>
      <c r="R775" s="55">
        <v>0</v>
      </c>
      <c r="S775" s="55">
        <v>0</v>
      </c>
      <c r="T775" s="56">
        <v>0</v>
      </c>
      <c r="U775" s="57"/>
      <c r="V775" s="55">
        <v>0</v>
      </c>
      <c r="W775" s="55">
        <v>0</v>
      </c>
      <c r="X775" s="58">
        <v>0</v>
      </c>
      <c r="Y775" s="59">
        <v>0</v>
      </c>
      <c r="Z775" s="58">
        <v>0</v>
      </c>
      <c r="AA775" s="56">
        <v>0</v>
      </c>
      <c r="AB775" s="56">
        <v>0</v>
      </c>
      <c r="AC775" s="60">
        <v>46142</v>
      </c>
    </row>
    <row r="776" spans="1:29" x14ac:dyDescent="0.25">
      <c r="A776" s="43">
        <v>1057</v>
      </c>
      <c r="B776" s="44" t="s">
        <v>1299</v>
      </c>
      <c r="C776" s="45">
        <v>10570001</v>
      </c>
      <c r="D776" s="46" t="s">
        <v>1135</v>
      </c>
      <c r="E776" s="47" t="s">
        <v>364</v>
      </c>
      <c r="F776" s="47" t="s">
        <v>58</v>
      </c>
      <c r="G776" s="62">
        <v>72.2</v>
      </c>
      <c r="H776" s="62">
        <v>3083.69</v>
      </c>
      <c r="I776" s="49">
        <v>0</v>
      </c>
      <c r="J776" s="49">
        <v>0</v>
      </c>
      <c r="K776" s="49">
        <v>84.32662372881353</v>
      </c>
      <c r="L776" s="50">
        <v>0</v>
      </c>
      <c r="M776" s="51"/>
      <c r="N776" s="52" t="s">
        <v>1300</v>
      </c>
      <c r="O776" s="31"/>
      <c r="P776" s="53">
        <v>-3.9519258765634904E-3</v>
      </c>
      <c r="Q776" s="54">
        <v>1</v>
      </c>
      <c r="R776" s="55">
        <v>0</v>
      </c>
      <c r="S776" s="55">
        <v>0</v>
      </c>
      <c r="T776" s="56">
        <v>0</v>
      </c>
      <c r="U776" s="57"/>
      <c r="V776" s="55">
        <v>84.32662372881353</v>
      </c>
      <c r="W776" s="55">
        <v>0</v>
      </c>
      <c r="X776" s="58">
        <v>0</v>
      </c>
      <c r="Y776" s="59">
        <v>84.32662372881353</v>
      </c>
      <c r="Z776" s="58">
        <v>84.32662372881353</v>
      </c>
      <c r="AA776" s="56">
        <v>0</v>
      </c>
      <c r="AB776" s="56">
        <v>0</v>
      </c>
      <c r="AC776" s="60">
        <v>46142</v>
      </c>
    </row>
    <row r="777" spans="1:29" x14ac:dyDescent="0.25">
      <c r="A777" s="43">
        <v>1057</v>
      </c>
      <c r="B777" s="44" t="s">
        <v>1299</v>
      </c>
      <c r="C777" s="45">
        <v>10570003</v>
      </c>
      <c r="D777" s="46" t="s">
        <v>1136</v>
      </c>
      <c r="E777" s="47" t="s">
        <v>364</v>
      </c>
      <c r="F777" s="47" t="s">
        <v>58</v>
      </c>
      <c r="G777" s="62">
        <v>218.29999999999998</v>
      </c>
      <c r="H777" s="62">
        <v>8518.73</v>
      </c>
      <c r="I777" s="49">
        <v>0</v>
      </c>
      <c r="J777" s="49">
        <v>0</v>
      </c>
      <c r="K777" s="49">
        <v>0</v>
      </c>
      <c r="L777" s="50">
        <v>0</v>
      </c>
      <c r="M777" s="51"/>
      <c r="N777" s="52" t="s">
        <v>1300</v>
      </c>
      <c r="O777" s="31"/>
      <c r="P777" s="53">
        <v>-3.6662764902766593E-4</v>
      </c>
      <c r="Q777" s="54">
        <v>3</v>
      </c>
      <c r="R777" s="55">
        <v>0</v>
      </c>
      <c r="S777" s="55">
        <v>0</v>
      </c>
      <c r="T777" s="56">
        <v>0</v>
      </c>
      <c r="U777" s="57"/>
      <c r="V777" s="55">
        <v>0</v>
      </c>
      <c r="W777" s="55">
        <v>0</v>
      </c>
      <c r="X777" s="58">
        <v>0</v>
      </c>
      <c r="Y777" s="59">
        <v>0</v>
      </c>
      <c r="Z777" s="58">
        <v>0</v>
      </c>
      <c r="AA777" s="56">
        <v>0</v>
      </c>
      <c r="AB777" s="56">
        <v>0</v>
      </c>
      <c r="AC777" s="60">
        <v>46142</v>
      </c>
    </row>
    <row r="778" spans="1:29" x14ac:dyDescent="0.25">
      <c r="A778" s="43">
        <v>1057</v>
      </c>
      <c r="B778" s="44" t="s">
        <v>1299</v>
      </c>
      <c r="C778" s="45">
        <v>10570007</v>
      </c>
      <c r="D778" s="46" t="s">
        <v>1137</v>
      </c>
      <c r="E778" s="47" t="s">
        <v>364</v>
      </c>
      <c r="F778" s="47" t="s">
        <v>58</v>
      </c>
      <c r="G778" s="62">
        <v>904.9</v>
      </c>
      <c r="H778" s="62">
        <v>43196.67</v>
      </c>
      <c r="I778" s="49">
        <v>0</v>
      </c>
      <c r="J778" s="49">
        <v>0</v>
      </c>
      <c r="K778" s="49">
        <v>380.28194360655806</v>
      </c>
      <c r="L778" s="50">
        <v>0</v>
      </c>
      <c r="M778" s="51"/>
      <c r="N778" s="52" t="s">
        <v>1300</v>
      </c>
      <c r="O778" s="31"/>
      <c r="P778" s="53">
        <v>5.622604051630371E-4</v>
      </c>
      <c r="Q778" s="54">
        <v>1</v>
      </c>
      <c r="R778" s="55">
        <v>0</v>
      </c>
      <c r="S778" s="55">
        <v>0</v>
      </c>
      <c r="T778" s="56">
        <v>0</v>
      </c>
      <c r="U778" s="57"/>
      <c r="V778" s="55">
        <v>380.28194360655806</v>
      </c>
      <c r="W778" s="55">
        <v>0</v>
      </c>
      <c r="X778" s="58">
        <v>0</v>
      </c>
      <c r="Y778" s="59">
        <v>380.28194360655806</v>
      </c>
      <c r="Z778" s="58">
        <v>380.28194360655806</v>
      </c>
      <c r="AA778" s="56">
        <v>0</v>
      </c>
      <c r="AB778" s="56">
        <v>0</v>
      </c>
      <c r="AC778" s="60">
        <v>46142</v>
      </c>
    </row>
    <row r="779" spans="1:29" x14ac:dyDescent="0.25">
      <c r="A779" s="43">
        <v>1057</v>
      </c>
      <c r="B779" s="44" t="s">
        <v>1299</v>
      </c>
      <c r="C779" s="45">
        <v>10570008</v>
      </c>
      <c r="D779" s="46" t="s">
        <v>1138</v>
      </c>
      <c r="E779" s="47" t="s">
        <v>364</v>
      </c>
      <c r="F779" s="47" t="s">
        <v>58</v>
      </c>
      <c r="G779" s="62">
        <v>1393.7</v>
      </c>
      <c r="H779" s="62">
        <v>52604.470000000008</v>
      </c>
      <c r="I779" s="49">
        <v>0</v>
      </c>
      <c r="J779" s="49">
        <v>0</v>
      </c>
      <c r="K779" s="49">
        <v>0</v>
      </c>
      <c r="L779" s="50">
        <v>0</v>
      </c>
      <c r="M779" s="51"/>
      <c r="N779" s="52" t="s">
        <v>1300</v>
      </c>
      <c r="O779" s="31"/>
      <c r="P779" s="53">
        <v>5.0143552710902395E-3</v>
      </c>
      <c r="Q779" s="54">
        <v>16</v>
      </c>
      <c r="R779" s="55">
        <v>0</v>
      </c>
      <c r="S779" s="55">
        <v>0</v>
      </c>
      <c r="T779" s="56">
        <v>0</v>
      </c>
      <c r="U779" s="57"/>
      <c r="V779" s="55">
        <v>0</v>
      </c>
      <c r="W779" s="55">
        <v>0</v>
      </c>
      <c r="X779" s="58">
        <v>0</v>
      </c>
      <c r="Y779" s="59">
        <v>0</v>
      </c>
      <c r="Z779" s="58">
        <v>0</v>
      </c>
      <c r="AA779" s="56">
        <v>0</v>
      </c>
      <c r="AB779" s="56">
        <v>0</v>
      </c>
      <c r="AC779" s="60">
        <v>46142</v>
      </c>
    </row>
    <row r="780" spans="1:29" x14ac:dyDescent="0.25">
      <c r="A780" s="43">
        <v>1057</v>
      </c>
      <c r="B780" s="44" t="s">
        <v>1299</v>
      </c>
      <c r="C780" s="45">
        <v>10570009</v>
      </c>
      <c r="D780" s="46" t="s">
        <v>1139</v>
      </c>
      <c r="E780" s="47" t="s">
        <v>364</v>
      </c>
      <c r="F780" s="47" t="s">
        <v>58</v>
      </c>
      <c r="G780" s="62">
        <v>618.4</v>
      </c>
      <c r="H780" s="62">
        <v>24144.01</v>
      </c>
      <c r="I780" s="49">
        <v>0</v>
      </c>
      <c r="J780" s="49">
        <v>0</v>
      </c>
      <c r="K780" s="49">
        <v>0</v>
      </c>
      <c r="L780" s="50">
        <v>0</v>
      </c>
      <c r="M780" s="51"/>
      <c r="N780" s="52" t="s">
        <v>1300</v>
      </c>
      <c r="O780" s="31"/>
      <c r="P780" s="53">
        <v>1.4300743094454729E-3</v>
      </c>
      <c r="Q780" s="54">
        <v>3</v>
      </c>
      <c r="R780" s="55">
        <v>0</v>
      </c>
      <c r="S780" s="55">
        <v>0</v>
      </c>
      <c r="T780" s="56">
        <v>0</v>
      </c>
      <c r="U780" s="57"/>
      <c r="V780" s="55">
        <v>0</v>
      </c>
      <c r="W780" s="55">
        <v>0</v>
      </c>
      <c r="X780" s="58">
        <v>0</v>
      </c>
      <c r="Y780" s="59">
        <v>0</v>
      </c>
      <c r="Z780" s="58">
        <v>0</v>
      </c>
      <c r="AA780" s="56">
        <v>0</v>
      </c>
      <c r="AB780" s="56">
        <v>0</v>
      </c>
      <c r="AC780" s="60">
        <v>46142</v>
      </c>
    </row>
    <row r="781" spans="1:29" x14ac:dyDescent="0.25">
      <c r="A781" s="43">
        <v>1057</v>
      </c>
      <c r="B781" s="44" t="s">
        <v>1299</v>
      </c>
      <c r="C781" s="45">
        <v>10570010</v>
      </c>
      <c r="D781" s="46" t="s">
        <v>1140</v>
      </c>
      <c r="E781" s="47" t="s">
        <v>371</v>
      </c>
      <c r="F781" s="47" t="s">
        <v>59</v>
      </c>
      <c r="G781" s="62">
        <v>1008.8</v>
      </c>
      <c r="H781" s="62">
        <v>34097.29</v>
      </c>
      <c r="I781" s="49">
        <v>0</v>
      </c>
      <c r="J781" s="49">
        <v>0</v>
      </c>
      <c r="K781" s="49">
        <v>0</v>
      </c>
      <c r="L781" s="50">
        <v>0</v>
      </c>
      <c r="M781" s="51"/>
      <c r="N781" s="52" t="s">
        <v>1300</v>
      </c>
      <c r="O781" s="31"/>
      <c r="P781" s="53">
        <v>0</v>
      </c>
      <c r="Q781" s="54">
        <v>0</v>
      </c>
      <c r="R781" s="55">
        <v>0</v>
      </c>
      <c r="S781" s="55">
        <v>0</v>
      </c>
      <c r="T781" s="56">
        <v>0</v>
      </c>
      <c r="U781" s="57"/>
      <c r="V781" s="55">
        <v>0</v>
      </c>
      <c r="W781" s="55">
        <v>0</v>
      </c>
      <c r="X781" s="58">
        <v>0</v>
      </c>
      <c r="Y781" s="59">
        <v>0</v>
      </c>
      <c r="Z781" s="58">
        <v>0</v>
      </c>
      <c r="AA781" s="56">
        <v>0</v>
      </c>
      <c r="AB781" s="56">
        <v>0</v>
      </c>
      <c r="AC781" s="60">
        <v>46142</v>
      </c>
    </row>
    <row r="782" spans="1:29" x14ac:dyDescent="0.25">
      <c r="A782" s="43">
        <v>1057</v>
      </c>
      <c r="B782" s="44" t="s">
        <v>1299</v>
      </c>
      <c r="C782" s="45">
        <v>10570013</v>
      </c>
      <c r="D782" s="46" t="s">
        <v>1141</v>
      </c>
      <c r="E782" s="47" t="s">
        <v>371</v>
      </c>
      <c r="F782" s="47" t="s">
        <v>59</v>
      </c>
      <c r="G782" s="62">
        <v>470.1</v>
      </c>
      <c r="H782" s="62">
        <v>18282.120000000003</v>
      </c>
      <c r="I782" s="49">
        <v>0</v>
      </c>
      <c r="J782" s="49">
        <v>0</v>
      </c>
      <c r="K782" s="49">
        <v>0</v>
      </c>
      <c r="L782" s="50">
        <v>0</v>
      </c>
      <c r="M782" s="51"/>
      <c r="N782" s="52" t="s">
        <v>1300</v>
      </c>
      <c r="O782" s="31"/>
      <c r="P782" s="53">
        <v>0</v>
      </c>
      <c r="Q782" s="54">
        <v>0</v>
      </c>
      <c r="R782" s="55">
        <v>0</v>
      </c>
      <c r="S782" s="55">
        <v>0</v>
      </c>
      <c r="T782" s="56">
        <v>0</v>
      </c>
      <c r="U782" s="57"/>
      <c r="V782" s="55">
        <v>0</v>
      </c>
      <c r="W782" s="55">
        <v>0</v>
      </c>
      <c r="X782" s="58">
        <v>0</v>
      </c>
      <c r="Y782" s="59">
        <v>0</v>
      </c>
      <c r="Z782" s="58">
        <v>0</v>
      </c>
      <c r="AA782" s="56">
        <v>0</v>
      </c>
      <c r="AB782" s="56">
        <v>0</v>
      </c>
      <c r="AC782" s="60">
        <v>46142</v>
      </c>
    </row>
    <row r="783" spans="1:29" x14ac:dyDescent="0.25">
      <c r="A783" s="43">
        <v>1057</v>
      </c>
      <c r="B783" s="44" t="s">
        <v>1299</v>
      </c>
      <c r="C783" s="45">
        <v>10570015</v>
      </c>
      <c r="D783" s="46" t="s">
        <v>1142</v>
      </c>
      <c r="E783" s="47" t="s">
        <v>371</v>
      </c>
      <c r="F783" s="47" t="s">
        <v>59</v>
      </c>
      <c r="G783" s="62">
        <v>69.2</v>
      </c>
      <c r="H783" s="62">
        <v>2612.3000000000002</v>
      </c>
      <c r="I783" s="49">
        <v>0</v>
      </c>
      <c r="J783" s="49">
        <v>0</v>
      </c>
      <c r="K783" s="49">
        <v>1064.7561870967743</v>
      </c>
      <c r="L783" s="50">
        <v>0</v>
      </c>
      <c r="M783" s="51"/>
      <c r="N783" s="52" t="s">
        <v>1300</v>
      </c>
      <c r="O783" s="31"/>
      <c r="P783" s="53">
        <v>0</v>
      </c>
      <c r="Q783" s="54">
        <v>0</v>
      </c>
      <c r="R783" s="55">
        <v>0</v>
      </c>
      <c r="S783" s="55">
        <v>0</v>
      </c>
      <c r="T783" s="56">
        <v>0</v>
      </c>
      <c r="U783" s="57"/>
      <c r="V783" s="55">
        <v>1064.7561870967743</v>
      </c>
      <c r="W783" s="55">
        <v>0</v>
      </c>
      <c r="X783" s="58">
        <v>0</v>
      </c>
      <c r="Y783" s="59">
        <v>1064.7561870967743</v>
      </c>
      <c r="Z783" s="58">
        <v>1064.7561870967743</v>
      </c>
      <c r="AA783" s="56">
        <v>0</v>
      </c>
      <c r="AB783" s="56">
        <v>0</v>
      </c>
      <c r="AC783" s="60">
        <v>46142</v>
      </c>
    </row>
    <row r="784" spans="1:29" x14ac:dyDescent="0.25">
      <c r="A784" s="43">
        <v>1057</v>
      </c>
      <c r="B784" s="44" t="s">
        <v>1299</v>
      </c>
      <c r="C784" s="45">
        <v>10570016</v>
      </c>
      <c r="D784" s="46" t="s">
        <v>866</v>
      </c>
      <c r="E784" s="47" t="s">
        <v>371</v>
      </c>
      <c r="F784" s="47" t="s">
        <v>59</v>
      </c>
      <c r="G784" s="62">
        <v>499.09999999999991</v>
      </c>
      <c r="H784" s="62">
        <v>16086.630000000001</v>
      </c>
      <c r="I784" s="49">
        <v>0</v>
      </c>
      <c r="J784" s="49">
        <v>0</v>
      </c>
      <c r="K784" s="49">
        <v>0</v>
      </c>
      <c r="L784" s="50">
        <v>0</v>
      </c>
      <c r="M784" s="51"/>
      <c r="N784" s="52" t="s">
        <v>1300</v>
      </c>
      <c r="O784" s="31"/>
      <c r="P784" s="53">
        <v>0</v>
      </c>
      <c r="Q784" s="54">
        <v>0</v>
      </c>
      <c r="R784" s="55">
        <v>0</v>
      </c>
      <c r="S784" s="55">
        <v>0</v>
      </c>
      <c r="T784" s="56">
        <v>0</v>
      </c>
      <c r="U784" s="57"/>
      <c r="V784" s="55">
        <v>0</v>
      </c>
      <c r="W784" s="55">
        <v>0</v>
      </c>
      <c r="X784" s="58">
        <v>0</v>
      </c>
      <c r="Y784" s="59">
        <v>0</v>
      </c>
      <c r="Z784" s="58">
        <v>0</v>
      </c>
      <c r="AA784" s="56">
        <v>0</v>
      </c>
      <c r="AB784" s="56">
        <v>0</v>
      </c>
      <c r="AC784" s="60">
        <v>46142</v>
      </c>
    </row>
    <row r="785" spans="1:29" x14ac:dyDescent="0.25">
      <c r="A785" s="43">
        <v>1057</v>
      </c>
      <c r="B785" s="44" t="s">
        <v>1299</v>
      </c>
      <c r="C785" s="45">
        <v>10570017</v>
      </c>
      <c r="D785" s="46" t="s">
        <v>1143</v>
      </c>
      <c r="E785" s="47" t="s">
        <v>364</v>
      </c>
      <c r="F785" s="47" t="s">
        <v>58</v>
      </c>
      <c r="G785" s="62">
        <v>114.10000000000001</v>
      </c>
      <c r="H785" s="62">
        <v>5089.38</v>
      </c>
      <c r="I785" s="49">
        <v>0</v>
      </c>
      <c r="J785" s="49">
        <v>0</v>
      </c>
      <c r="K785" s="49">
        <v>59.880350163934452</v>
      </c>
      <c r="L785" s="50">
        <v>0</v>
      </c>
      <c r="M785" s="51"/>
      <c r="N785" s="52" t="s">
        <v>1300</v>
      </c>
      <c r="O785" s="31"/>
      <c r="P785" s="53">
        <v>-5.7687372085795264E-3</v>
      </c>
      <c r="Q785" s="54">
        <v>8</v>
      </c>
      <c r="R785" s="55">
        <v>0</v>
      </c>
      <c r="S785" s="55">
        <v>0</v>
      </c>
      <c r="T785" s="56">
        <v>0</v>
      </c>
      <c r="U785" s="57"/>
      <c r="V785" s="55">
        <v>59.880350163934452</v>
      </c>
      <c r="W785" s="55">
        <v>0</v>
      </c>
      <c r="X785" s="58">
        <v>0</v>
      </c>
      <c r="Y785" s="59">
        <v>59.880350163934452</v>
      </c>
      <c r="Z785" s="58">
        <v>59.880350163934452</v>
      </c>
      <c r="AA785" s="56">
        <v>0</v>
      </c>
      <c r="AB785" s="56">
        <v>0</v>
      </c>
      <c r="AC785" s="60">
        <v>46142</v>
      </c>
    </row>
    <row r="786" spans="1:29" x14ac:dyDescent="0.25">
      <c r="A786" s="43">
        <v>1057</v>
      </c>
      <c r="B786" s="44" t="s">
        <v>1299</v>
      </c>
      <c r="C786" s="45">
        <v>10570018</v>
      </c>
      <c r="D786" s="46" t="s">
        <v>1144</v>
      </c>
      <c r="E786" s="47" t="s">
        <v>364</v>
      </c>
      <c r="F786" s="47" t="s">
        <v>58</v>
      </c>
      <c r="G786" s="62">
        <v>389.4</v>
      </c>
      <c r="H786" s="62">
        <v>15583.76</v>
      </c>
      <c r="I786" s="49">
        <v>0</v>
      </c>
      <c r="J786" s="49">
        <v>0</v>
      </c>
      <c r="K786" s="49">
        <v>0</v>
      </c>
      <c r="L786" s="50">
        <v>0</v>
      </c>
      <c r="M786" s="51"/>
      <c r="N786" s="52" t="s">
        <v>1300</v>
      </c>
      <c r="O786" s="31"/>
      <c r="P786" s="53">
        <v>2.461332741328055E-3</v>
      </c>
      <c r="Q786" s="54">
        <v>13</v>
      </c>
      <c r="R786" s="55">
        <v>0</v>
      </c>
      <c r="S786" s="55">
        <v>0</v>
      </c>
      <c r="T786" s="56">
        <v>0</v>
      </c>
      <c r="U786" s="57"/>
      <c r="V786" s="55">
        <v>0</v>
      </c>
      <c r="W786" s="55">
        <v>0</v>
      </c>
      <c r="X786" s="58">
        <v>0</v>
      </c>
      <c r="Y786" s="59">
        <v>0</v>
      </c>
      <c r="Z786" s="58">
        <v>0</v>
      </c>
      <c r="AA786" s="56">
        <v>0</v>
      </c>
      <c r="AB786" s="56">
        <v>0</v>
      </c>
      <c r="AC786" s="60">
        <v>46142</v>
      </c>
    </row>
    <row r="787" spans="1:29" x14ac:dyDescent="0.25">
      <c r="A787" s="43">
        <v>1057</v>
      </c>
      <c r="B787" s="44" t="s">
        <v>1299</v>
      </c>
      <c r="C787" s="45">
        <v>10570019</v>
      </c>
      <c r="D787" s="46" t="s">
        <v>1145</v>
      </c>
      <c r="E787" s="47" t="s">
        <v>364</v>
      </c>
      <c r="F787" s="47" t="s">
        <v>58</v>
      </c>
      <c r="G787" s="62">
        <v>647.70000000000016</v>
      </c>
      <c r="H787" s="62">
        <v>27193.83</v>
      </c>
      <c r="I787" s="49">
        <v>0</v>
      </c>
      <c r="J787" s="49">
        <v>0</v>
      </c>
      <c r="K787" s="49">
        <v>0</v>
      </c>
      <c r="L787" s="50">
        <v>0</v>
      </c>
      <c r="M787" s="51"/>
      <c r="N787" s="52" t="s">
        <v>1300</v>
      </c>
      <c r="O787" s="31"/>
      <c r="P787" s="53">
        <v>-4.4408206900969417E-4</v>
      </c>
      <c r="Q787" s="54">
        <v>7</v>
      </c>
      <c r="R787" s="55">
        <v>0</v>
      </c>
      <c r="S787" s="55">
        <v>0</v>
      </c>
      <c r="T787" s="56">
        <v>0</v>
      </c>
      <c r="U787" s="57"/>
      <c r="V787" s="55">
        <v>0</v>
      </c>
      <c r="W787" s="55">
        <v>0</v>
      </c>
      <c r="X787" s="58">
        <v>0</v>
      </c>
      <c r="Y787" s="59">
        <v>0</v>
      </c>
      <c r="Z787" s="58">
        <v>0</v>
      </c>
      <c r="AA787" s="56">
        <v>0</v>
      </c>
      <c r="AB787" s="56">
        <v>0</v>
      </c>
      <c r="AC787" s="60">
        <v>46142</v>
      </c>
    </row>
    <row r="788" spans="1:29" x14ac:dyDescent="0.25">
      <c r="A788" s="43">
        <v>1057</v>
      </c>
      <c r="B788" s="44" t="s">
        <v>1299</v>
      </c>
      <c r="C788" s="45">
        <v>10570020</v>
      </c>
      <c r="D788" s="46" t="s">
        <v>1146</v>
      </c>
      <c r="E788" s="47" t="s">
        <v>364</v>
      </c>
      <c r="F788" s="47" t="s">
        <v>58</v>
      </c>
      <c r="G788" s="62">
        <v>855.30000000000007</v>
      </c>
      <c r="H788" s="62">
        <v>37101.640000000007</v>
      </c>
      <c r="I788" s="49">
        <v>0</v>
      </c>
      <c r="J788" s="49">
        <v>0</v>
      </c>
      <c r="K788" s="49">
        <v>0</v>
      </c>
      <c r="L788" s="50">
        <v>0</v>
      </c>
      <c r="M788" s="51"/>
      <c r="N788" s="52" t="s">
        <v>1300</v>
      </c>
      <c r="O788" s="31"/>
      <c r="P788" s="53">
        <v>-8.4164666575442171E-5</v>
      </c>
      <c r="Q788" s="54">
        <v>1</v>
      </c>
      <c r="R788" s="55">
        <v>0</v>
      </c>
      <c r="S788" s="55">
        <v>0</v>
      </c>
      <c r="T788" s="56">
        <v>0</v>
      </c>
      <c r="U788" s="57"/>
      <c r="V788" s="55">
        <v>0</v>
      </c>
      <c r="W788" s="55">
        <v>0</v>
      </c>
      <c r="X788" s="58">
        <v>0</v>
      </c>
      <c r="Y788" s="59">
        <v>0</v>
      </c>
      <c r="Z788" s="58">
        <v>0</v>
      </c>
      <c r="AA788" s="56">
        <v>0</v>
      </c>
      <c r="AB788" s="56">
        <v>0</v>
      </c>
      <c r="AC788" s="60">
        <v>46142</v>
      </c>
    </row>
    <row r="789" spans="1:29" x14ac:dyDescent="0.25">
      <c r="A789" s="43">
        <v>1057</v>
      </c>
      <c r="B789" s="44" t="s">
        <v>1299</v>
      </c>
      <c r="C789" s="45">
        <v>10570021</v>
      </c>
      <c r="D789" s="46" t="s">
        <v>1147</v>
      </c>
      <c r="E789" s="47" t="s">
        <v>364</v>
      </c>
      <c r="F789" s="47" t="s">
        <v>58</v>
      </c>
      <c r="G789" s="62">
        <v>655.70000000000016</v>
      </c>
      <c r="H789" s="62">
        <v>23041.989999999998</v>
      </c>
      <c r="I789" s="49">
        <v>0</v>
      </c>
      <c r="J789" s="49">
        <v>0</v>
      </c>
      <c r="K789" s="49">
        <v>0</v>
      </c>
      <c r="L789" s="50">
        <v>0</v>
      </c>
      <c r="M789" s="51"/>
      <c r="N789" s="52" t="s">
        <v>1300</v>
      </c>
      <c r="O789" s="31"/>
      <c r="P789" s="53">
        <v>-5.8101207604103443E-2</v>
      </c>
      <c r="Q789" s="54">
        <v>7</v>
      </c>
      <c r="R789" s="55">
        <v>0</v>
      </c>
      <c r="S789" s="55">
        <v>0</v>
      </c>
      <c r="T789" s="56">
        <v>0</v>
      </c>
      <c r="U789" s="57"/>
      <c r="V789" s="55">
        <v>0</v>
      </c>
      <c r="W789" s="55">
        <v>0</v>
      </c>
      <c r="X789" s="58">
        <v>0</v>
      </c>
      <c r="Y789" s="59">
        <v>0</v>
      </c>
      <c r="Z789" s="58">
        <v>0</v>
      </c>
      <c r="AA789" s="56">
        <v>0</v>
      </c>
      <c r="AB789" s="56">
        <v>0</v>
      </c>
      <c r="AC789" s="60">
        <v>46142</v>
      </c>
    </row>
    <row r="790" spans="1:29" x14ac:dyDescent="0.25">
      <c r="A790" s="43">
        <v>1057</v>
      </c>
      <c r="B790" s="44" t="s">
        <v>1299</v>
      </c>
      <c r="C790" s="45">
        <v>10570022</v>
      </c>
      <c r="D790" s="46" t="s">
        <v>1148</v>
      </c>
      <c r="E790" s="47" t="s">
        <v>371</v>
      </c>
      <c r="F790" s="47" t="s">
        <v>59</v>
      </c>
      <c r="G790" s="62">
        <v>484.9</v>
      </c>
      <c r="H790" s="62">
        <v>22534.91</v>
      </c>
      <c r="I790" s="49">
        <v>0</v>
      </c>
      <c r="J790" s="49">
        <v>0</v>
      </c>
      <c r="K790" s="49">
        <v>0</v>
      </c>
      <c r="L790" s="50">
        <v>0</v>
      </c>
      <c r="M790" s="51"/>
      <c r="N790" s="52" t="s">
        <v>1300</v>
      </c>
      <c r="O790" s="31"/>
      <c r="P790" s="53">
        <v>0</v>
      </c>
      <c r="Q790" s="54">
        <v>0</v>
      </c>
      <c r="R790" s="55">
        <v>0</v>
      </c>
      <c r="S790" s="55">
        <v>0</v>
      </c>
      <c r="T790" s="56">
        <v>0</v>
      </c>
      <c r="U790" s="57"/>
      <c r="V790" s="55">
        <v>0</v>
      </c>
      <c r="W790" s="55">
        <v>0</v>
      </c>
      <c r="X790" s="58">
        <v>0</v>
      </c>
      <c r="Y790" s="59">
        <v>0</v>
      </c>
      <c r="Z790" s="58">
        <v>0</v>
      </c>
      <c r="AA790" s="56">
        <v>0</v>
      </c>
      <c r="AB790" s="56">
        <v>0</v>
      </c>
      <c r="AC790" s="60">
        <v>46142</v>
      </c>
    </row>
    <row r="791" spans="1:29" x14ac:dyDescent="0.25">
      <c r="A791" s="43">
        <v>1057</v>
      </c>
      <c r="B791" s="44" t="s">
        <v>1299</v>
      </c>
      <c r="C791" s="45">
        <v>10570024</v>
      </c>
      <c r="D791" s="46" t="s">
        <v>1149</v>
      </c>
      <c r="E791" s="47" t="s">
        <v>371</v>
      </c>
      <c r="F791" s="47" t="s">
        <v>59</v>
      </c>
      <c r="G791" s="62">
        <v>816.80000000000007</v>
      </c>
      <c r="H791" s="62">
        <v>29801.230000000003</v>
      </c>
      <c r="I791" s="49">
        <v>0</v>
      </c>
      <c r="J791" s="49">
        <v>0</v>
      </c>
      <c r="K791" s="49">
        <v>0</v>
      </c>
      <c r="L791" s="50">
        <v>0</v>
      </c>
      <c r="M791" s="51"/>
      <c r="N791" s="52" t="s">
        <v>1300</v>
      </c>
      <c r="O791" s="31"/>
      <c r="P791" s="53">
        <v>0</v>
      </c>
      <c r="Q791" s="54">
        <v>0</v>
      </c>
      <c r="R791" s="55">
        <v>0</v>
      </c>
      <c r="S791" s="55">
        <v>0</v>
      </c>
      <c r="T791" s="56">
        <v>0</v>
      </c>
      <c r="U791" s="57"/>
      <c r="V791" s="55">
        <v>0</v>
      </c>
      <c r="W791" s="55">
        <v>0</v>
      </c>
      <c r="X791" s="58">
        <v>0</v>
      </c>
      <c r="Y791" s="59">
        <v>0</v>
      </c>
      <c r="Z791" s="58">
        <v>0</v>
      </c>
      <c r="AA791" s="56">
        <v>0</v>
      </c>
      <c r="AB791" s="56">
        <v>0</v>
      </c>
      <c r="AC791" s="60">
        <v>46142</v>
      </c>
    </row>
    <row r="792" spans="1:29" x14ac:dyDescent="0.25">
      <c r="A792" s="43">
        <v>1057</v>
      </c>
      <c r="B792" s="44" t="s">
        <v>1299</v>
      </c>
      <c r="C792" s="45">
        <v>10570025</v>
      </c>
      <c r="D792" s="46" t="s">
        <v>1150</v>
      </c>
      <c r="E792" s="47" t="s">
        <v>371</v>
      </c>
      <c r="F792" s="47" t="s">
        <v>59</v>
      </c>
      <c r="G792" s="62">
        <v>1284.7</v>
      </c>
      <c r="H792" s="62">
        <v>49490.369999999995</v>
      </c>
      <c r="I792" s="49">
        <v>0</v>
      </c>
      <c r="J792" s="49">
        <v>0</v>
      </c>
      <c r="K792" s="49">
        <v>0</v>
      </c>
      <c r="L792" s="50">
        <v>0</v>
      </c>
      <c r="M792" s="51"/>
      <c r="N792" s="52" t="s">
        <v>1300</v>
      </c>
      <c r="O792" s="31"/>
      <c r="P792" s="53">
        <v>0</v>
      </c>
      <c r="Q792" s="54">
        <v>0</v>
      </c>
      <c r="R792" s="55">
        <v>0</v>
      </c>
      <c r="S792" s="55">
        <v>0</v>
      </c>
      <c r="T792" s="56">
        <v>0</v>
      </c>
      <c r="U792" s="57"/>
      <c r="V792" s="55">
        <v>0</v>
      </c>
      <c r="W792" s="55">
        <v>0</v>
      </c>
      <c r="X792" s="58">
        <v>0</v>
      </c>
      <c r="Y792" s="59">
        <v>0</v>
      </c>
      <c r="Z792" s="58">
        <v>0</v>
      </c>
      <c r="AA792" s="56">
        <v>0</v>
      </c>
      <c r="AB792" s="56">
        <v>0</v>
      </c>
      <c r="AC792" s="60">
        <v>46142</v>
      </c>
    </row>
    <row r="793" spans="1:29" x14ac:dyDescent="0.25">
      <c r="A793" s="43">
        <v>1057</v>
      </c>
      <c r="B793" s="44" t="s">
        <v>1299</v>
      </c>
      <c r="C793" s="45">
        <v>10570026</v>
      </c>
      <c r="D793" s="46" t="s">
        <v>1151</v>
      </c>
      <c r="E793" s="47" t="s">
        <v>371</v>
      </c>
      <c r="F793" s="47" t="s">
        <v>59</v>
      </c>
      <c r="G793" s="62">
        <v>350.7</v>
      </c>
      <c r="H793" s="62">
        <v>13108.569999999998</v>
      </c>
      <c r="I793" s="49">
        <v>0</v>
      </c>
      <c r="J793" s="49">
        <v>0</v>
      </c>
      <c r="K793" s="49">
        <v>0</v>
      </c>
      <c r="L793" s="50">
        <v>0</v>
      </c>
      <c r="M793" s="51"/>
      <c r="N793" s="52" t="s">
        <v>1300</v>
      </c>
      <c r="O793" s="31"/>
      <c r="P793" s="53">
        <v>0</v>
      </c>
      <c r="Q793" s="54">
        <v>0</v>
      </c>
      <c r="R793" s="55">
        <v>0</v>
      </c>
      <c r="S793" s="55">
        <v>0</v>
      </c>
      <c r="T793" s="56">
        <v>0</v>
      </c>
      <c r="U793" s="57"/>
      <c r="V793" s="55">
        <v>0</v>
      </c>
      <c r="W793" s="55">
        <v>0</v>
      </c>
      <c r="X793" s="58">
        <v>0</v>
      </c>
      <c r="Y793" s="59">
        <v>0</v>
      </c>
      <c r="Z793" s="58">
        <v>0</v>
      </c>
      <c r="AA793" s="56">
        <v>0</v>
      </c>
      <c r="AB793" s="56">
        <v>0</v>
      </c>
      <c r="AC793" s="60">
        <v>46142</v>
      </c>
    </row>
    <row r="794" spans="1:29" x14ac:dyDescent="0.25">
      <c r="A794" s="43">
        <v>1057</v>
      </c>
      <c r="B794" s="44" t="s">
        <v>1299</v>
      </c>
      <c r="C794" s="45">
        <v>10570028</v>
      </c>
      <c r="D794" s="46" t="s">
        <v>1152</v>
      </c>
      <c r="E794" s="47" t="s">
        <v>364</v>
      </c>
      <c r="F794" s="47" t="s">
        <v>58</v>
      </c>
      <c r="G794" s="62">
        <v>289.8</v>
      </c>
      <c r="H794" s="62">
        <v>10403.75</v>
      </c>
      <c r="I794" s="49">
        <v>0</v>
      </c>
      <c r="J794" s="49">
        <v>0</v>
      </c>
      <c r="K794" s="49">
        <v>0</v>
      </c>
      <c r="L794" s="50">
        <v>0</v>
      </c>
      <c r="M794" s="51"/>
      <c r="N794" s="52" t="s">
        <v>1300</v>
      </c>
      <c r="O794" s="31"/>
      <c r="P794" s="53">
        <v>-5.4412989326733758E-3</v>
      </c>
      <c r="Q794" s="54">
        <v>2</v>
      </c>
      <c r="R794" s="55">
        <v>0</v>
      </c>
      <c r="S794" s="55">
        <v>0</v>
      </c>
      <c r="T794" s="56">
        <v>0</v>
      </c>
      <c r="U794" s="57"/>
      <c r="V794" s="55">
        <v>0</v>
      </c>
      <c r="W794" s="55">
        <v>0</v>
      </c>
      <c r="X794" s="58">
        <v>0</v>
      </c>
      <c r="Y794" s="59">
        <v>0</v>
      </c>
      <c r="Z794" s="58">
        <v>0</v>
      </c>
      <c r="AA794" s="56">
        <v>0</v>
      </c>
      <c r="AB794" s="56">
        <v>0</v>
      </c>
      <c r="AC794" s="60">
        <v>46142</v>
      </c>
    </row>
    <row r="795" spans="1:29" x14ac:dyDescent="0.25">
      <c r="A795" s="43">
        <v>1057</v>
      </c>
      <c r="B795" s="44" t="s">
        <v>1299</v>
      </c>
      <c r="C795" s="45">
        <v>10570029</v>
      </c>
      <c r="D795" s="46" t="s">
        <v>1153</v>
      </c>
      <c r="E795" s="47" t="s">
        <v>364</v>
      </c>
      <c r="F795" s="47" t="s">
        <v>58</v>
      </c>
      <c r="G795" s="62">
        <v>162.09999999999997</v>
      </c>
      <c r="H795" s="62">
        <v>6670.5</v>
      </c>
      <c r="I795" s="49">
        <v>0</v>
      </c>
      <c r="J795" s="49">
        <v>0</v>
      </c>
      <c r="K795" s="49">
        <v>96.481957377049127</v>
      </c>
      <c r="L795" s="50">
        <v>0</v>
      </c>
      <c r="M795" s="51"/>
      <c r="N795" s="52" t="s">
        <v>1300</v>
      </c>
      <c r="O795" s="31"/>
      <c r="P795" s="53">
        <v>-2.1687069548009057E-3</v>
      </c>
      <c r="Q795" s="54">
        <v>1</v>
      </c>
      <c r="R795" s="55">
        <v>0</v>
      </c>
      <c r="S795" s="55">
        <v>0</v>
      </c>
      <c r="T795" s="56">
        <v>0</v>
      </c>
      <c r="U795" s="57"/>
      <c r="V795" s="55">
        <v>96.481957377049127</v>
      </c>
      <c r="W795" s="55">
        <v>0</v>
      </c>
      <c r="X795" s="58">
        <v>0</v>
      </c>
      <c r="Y795" s="59">
        <v>96.481957377049127</v>
      </c>
      <c r="Z795" s="58">
        <v>96.481957377049127</v>
      </c>
      <c r="AA795" s="56">
        <v>0</v>
      </c>
      <c r="AB795" s="56">
        <v>0</v>
      </c>
      <c r="AC795" s="60">
        <v>46142</v>
      </c>
    </row>
    <row r="796" spans="1:29" x14ac:dyDescent="0.25">
      <c r="A796" s="43">
        <v>1057</v>
      </c>
      <c r="B796" s="44" t="s">
        <v>1299</v>
      </c>
      <c r="C796" s="45">
        <v>10570030</v>
      </c>
      <c r="D796" s="46" t="s">
        <v>1154</v>
      </c>
      <c r="E796" s="47" t="s">
        <v>364</v>
      </c>
      <c r="F796" s="47" t="s">
        <v>58</v>
      </c>
      <c r="G796" s="62">
        <v>291.5</v>
      </c>
      <c r="H796" s="62">
        <v>10417.640000000003</v>
      </c>
      <c r="I796" s="49">
        <v>0</v>
      </c>
      <c r="J796" s="49">
        <v>0</v>
      </c>
      <c r="K796" s="49">
        <v>144.18547868852465</v>
      </c>
      <c r="L796" s="50">
        <v>0</v>
      </c>
      <c r="M796" s="51"/>
      <c r="N796" s="52" t="s">
        <v>1300</v>
      </c>
      <c r="O796" s="31"/>
      <c r="P796" s="53">
        <v>6.3068038445737093E-6</v>
      </c>
      <c r="Q796" s="54">
        <v>1</v>
      </c>
      <c r="R796" s="55">
        <v>0</v>
      </c>
      <c r="S796" s="55">
        <v>0</v>
      </c>
      <c r="T796" s="56">
        <v>0</v>
      </c>
      <c r="U796" s="57"/>
      <c r="V796" s="55">
        <v>144.18547868852465</v>
      </c>
      <c r="W796" s="55">
        <v>0</v>
      </c>
      <c r="X796" s="58">
        <v>0</v>
      </c>
      <c r="Y796" s="59">
        <v>144.18547868852465</v>
      </c>
      <c r="Z796" s="58">
        <v>144.18547868852465</v>
      </c>
      <c r="AA796" s="56">
        <v>0</v>
      </c>
      <c r="AB796" s="56">
        <v>0</v>
      </c>
      <c r="AC796" s="60">
        <v>46142</v>
      </c>
    </row>
    <row r="797" spans="1:29" x14ac:dyDescent="0.25">
      <c r="A797" s="43">
        <v>1057</v>
      </c>
      <c r="B797" s="44" t="s">
        <v>1299</v>
      </c>
      <c r="C797" s="45">
        <v>10570031</v>
      </c>
      <c r="D797" s="46" t="s">
        <v>1155</v>
      </c>
      <c r="E797" s="47" t="s">
        <v>364</v>
      </c>
      <c r="F797" s="47" t="s">
        <v>58</v>
      </c>
      <c r="G797" s="62">
        <v>163.5</v>
      </c>
      <c r="H797" s="62">
        <v>6522.6000000000013</v>
      </c>
      <c r="I797" s="49">
        <v>0</v>
      </c>
      <c r="J797" s="49">
        <v>0</v>
      </c>
      <c r="K797" s="49">
        <v>0</v>
      </c>
      <c r="L797" s="50">
        <v>0</v>
      </c>
      <c r="M797" s="51"/>
      <c r="N797" s="52" t="s">
        <v>1300</v>
      </c>
      <c r="O797" s="31"/>
      <c r="P797" s="53">
        <v>1.0509794496826414E-2</v>
      </c>
      <c r="Q797" s="54">
        <v>2</v>
      </c>
      <c r="R797" s="55">
        <v>0</v>
      </c>
      <c r="S797" s="55">
        <v>0</v>
      </c>
      <c r="T797" s="56">
        <v>0</v>
      </c>
      <c r="U797" s="57"/>
      <c r="V797" s="55">
        <v>0</v>
      </c>
      <c r="W797" s="55">
        <v>0</v>
      </c>
      <c r="X797" s="58">
        <v>0</v>
      </c>
      <c r="Y797" s="59">
        <v>0</v>
      </c>
      <c r="Z797" s="58">
        <v>0</v>
      </c>
      <c r="AA797" s="56">
        <v>0</v>
      </c>
      <c r="AB797" s="56">
        <v>0</v>
      </c>
      <c r="AC797" s="60">
        <v>46142</v>
      </c>
    </row>
    <row r="798" spans="1:29" x14ac:dyDescent="0.25">
      <c r="A798" s="43">
        <v>1057</v>
      </c>
      <c r="B798" s="44" t="s">
        <v>1299</v>
      </c>
      <c r="C798" s="45">
        <v>10570033</v>
      </c>
      <c r="D798" s="46" t="s">
        <v>1156</v>
      </c>
      <c r="E798" s="47" t="s">
        <v>371</v>
      </c>
      <c r="F798" s="47" t="s">
        <v>59</v>
      </c>
      <c r="G798" s="62">
        <v>140.60000000000002</v>
      </c>
      <c r="H798" s="62">
        <v>5469.3600000000006</v>
      </c>
      <c r="I798" s="49">
        <v>0</v>
      </c>
      <c r="J798" s="49">
        <v>0</v>
      </c>
      <c r="K798" s="49">
        <v>162.1990838709678</v>
      </c>
      <c r="L798" s="50">
        <v>0</v>
      </c>
      <c r="M798" s="51"/>
      <c r="N798" s="52" t="s">
        <v>1300</v>
      </c>
      <c r="O798" s="31"/>
      <c r="P798" s="53">
        <v>0</v>
      </c>
      <c r="Q798" s="54">
        <v>0</v>
      </c>
      <c r="R798" s="55">
        <v>0</v>
      </c>
      <c r="S798" s="55">
        <v>0</v>
      </c>
      <c r="T798" s="56">
        <v>0</v>
      </c>
      <c r="U798" s="57"/>
      <c r="V798" s="55">
        <v>162.1990838709678</v>
      </c>
      <c r="W798" s="55">
        <v>0</v>
      </c>
      <c r="X798" s="58">
        <v>0</v>
      </c>
      <c r="Y798" s="59">
        <v>162.1990838709678</v>
      </c>
      <c r="Z798" s="58">
        <v>162.1990838709678</v>
      </c>
      <c r="AA798" s="56">
        <v>0</v>
      </c>
      <c r="AB798" s="56">
        <v>0</v>
      </c>
      <c r="AC798" s="60">
        <v>46142</v>
      </c>
    </row>
    <row r="799" spans="1:29" x14ac:dyDescent="0.25">
      <c r="A799" s="43">
        <v>1057</v>
      </c>
      <c r="B799" s="44" t="s">
        <v>1299</v>
      </c>
      <c r="C799" s="45">
        <v>10570036</v>
      </c>
      <c r="D799" s="46" t="s">
        <v>1157</v>
      </c>
      <c r="E799" s="47" t="s">
        <v>364</v>
      </c>
      <c r="F799" s="47" t="s">
        <v>58</v>
      </c>
      <c r="G799" s="62">
        <v>321.09999999999997</v>
      </c>
      <c r="H799" s="62">
        <v>13106.749999999998</v>
      </c>
      <c r="I799" s="49">
        <v>0</v>
      </c>
      <c r="J799" s="49">
        <v>0</v>
      </c>
      <c r="K799" s="49">
        <v>0</v>
      </c>
      <c r="L799" s="50">
        <v>0</v>
      </c>
      <c r="M799" s="51"/>
      <c r="N799" s="52" t="s">
        <v>1300</v>
      </c>
      <c r="O799" s="31"/>
      <c r="P799" s="53">
        <v>-1.5385560269701685E-3</v>
      </c>
      <c r="Q799" s="54">
        <v>1</v>
      </c>
      <c r="R799" s="55">
        <v>0</v>
      </c>
      <c r="S799" s="55">
        <v>0</v>
      </c>
      <c r="T799" s="56">
        <v>0</v>
      </c>
      <c r="U799" s="57"/>
      <c r="V799" s="55">
        <v>0</v>
      </c>
      <c r="W799" s="55">
        <v>0</v>
      </c>
      <c r="X799" s="58">
        <v>0</v>
      </c>
      <c r="Y799" s="59">
        <v>0</v>
      </c>
      <c r="Z799" s="58">
        <v>0</v>
      </c>
      <c r="AA799" s="56">
        <v>0</v>
      </c>
      <c r="AB799" s="56">
        <v>0</v>
      </c>
      <c r="AC799" s="60">
        <v>46142</v>
      </c>
    </row>
    <row r="800" spans="1:29" x14ac:dyDescent="0.25">
      <c r="A800" s="43">
        <v>1057</v>
      </c>
      <c r="B800" s="44" t="s">
        <v>1299</v>
      </c>
      <c r="C800" s="45">
        <v>10570037</v>
      </c>
      <c r="D800" s="46" t="s">
        <v>1158</v>
      </c>
      <c r="E800" s="47" t="s">
        <v>371</v>
      </c>
      <c r="F800" s="47" t="s">
        <v>59</v>
      </c>
      <c r="G800" s="62">
        <v>342.50000000000006</v>
      </c>
      <c r="H800" s="62">
        <v>11587.3</v>
      </c>
      <c r="I800" s="49">
        <v>0</v>
      </c>
      <c r="J800" s="49">
        <v>0</v>
      </c>
      <c r="K800" s="49">
        <v>0</v>
      </c>
      <c r="L800" s="50">
        <v>0</v>
      </c>
      <c r="M800" s="51"/>
      <c r="N800" s="52" t="s">
        <v>1300</v>
      </c>
      <c r="O800" s="31"/>
      <c r="P800" s="53">
        <v>0</v>
      </c>
      <c r="Q800" s="54">
        <v>0</v>
      </c>
      <c r="R800" s="55">
        <v>0</v>
      </c>
      <c r="S800" s="55">
        <v>0</v>
      </c>
      <c r="T800" s="56">
        <v>0</v>
      </c>
      <c r="U800" s="57"/>
      <c r="V800" s="55">
        <v>0</v>
      </c>
      <c r="W800" s="55">
        <v>0</v>
      </c>
      <c r="X800" s="58">
        <v>0</v>
      </c>
      <c r="Y800" s="59">
        <v>0</v>
      </c>
      <c r="Z800" s="58">
        <v>0</v>
      </c>
      <c r="AA800" s="56">
        <v>0</v>
      </c>
      <c r="AB800" s="56">
        <v>0</v>
      </c>
      <c r="AC800" s="60">
        <v>46142</v>
      </c>
    </row>
    <row r="801" spans="1:29" x14ac:dyDescent="0.25">
      <c r="A801" s="43">
        <v>1057</v>
      </c>
      <c r="B801" s="44" t="s">
        <v>1299</v>
      </c>
      <c r="C801" s="45">
        <v>10570038</v>
      </c>
      <c r="D801" s="46" t="s">
        <v>1159</v>
      </c>
      <c r="E801" s="47" t="s">
        <v>371</v>
      </c>
      <c r="F801" s="47" t="s">
        <v>59</v>
      </c>
      <c r="G801" s="62">
        <v>87.199999999999989</v>
      </c>
      <c r="H801" s="62">
        <v>3225.88</v>
      </c>
      <c r="I801" s="49">
        <v>0</v>
      </c>
      <c r="J801" s="49">
        <v>0</v>
      </c>
      <c r="K801" s="49">
        <v>0</v>
      </c>
      <c r="L801" s="50">
        <v>0</v>
      </c>
      <c r="M801" s="51"/>
      <c r="N801" s="52" t="s">
        <v>1300</v>
      </c>
      <c r="O801" s="31"/>
      <c r="P801" s="53">
        <v>0</v>
      </c>
      <c r="Q801" s="54">
        <v>0</v>
      </c>
      <c r="R801" s="55">
        <v>0</v>
      </c>
      <c r="S801" s="55">
        <v>0</v>
      </c>
      <c r="T801" s="56">
        <v>0</v>
      </c>
      <c r="U801" s="57"/>
      <c r="V801" s="55">
        <v>0</v>
      </c>
      <c r="W801" s="55">
        <v>0</v>
      </c>
      <c r="X801" s="58">
        <v>0</v>
      </c>
      <c r="Y801" s="59">
        <v>0</v>
      </c>
      <c r="Z801" s="58">
        <v>0</v>
      </c>
      <c r="AA801" s="56">
        <v>0</v>
      </c>
      <c r="AB801" s="56">
        <v>0</v>
      </c>
      <c r="AC801" s="60">
        <v>46142</v>
      </c>
    </row>
    <row r="802" spans="1:29" x14ac:dyDescent="0.25">
      <c r="A802" s="43">
        <v>1057</v>
      </c>
      <c r="B802" s="44" t="s">
        <v>1299</v>
      </c>
      <c r="C802" s="45">
        <v>10570042</v>
      </c>
      <c r="D802" s="46" t="s">
        <v>1160</v>
      </c>
      <c r="E802" s="47" t="s">
        <v>364</v>
      </c>
      <c r="F802" s="47" t="s">
        <v>58</v>
      </c>
      <c r="G802" s="62">
        <v>155.5</v>
      </c>
      <c r="H802" s="62">
        <v>6430.82</v>
      </c>
      <c r="I802" s="49">
        <v>0</v>
      </c>
      <c r="J802" s="49">
        <v>0</v>
      </c>
      <c r="K802" s="49">
        <v>0</v>
      </c>
      <c r="L802" s="50">
        <v>0</v>
      </c>
      <c r="M802" s="51"/>
      <c r="N802" s="52" t="s">
        <v>1300</v>
      </c>
      <c r="O802" s="31"/>
      <c r="P802" s="53">
        <v>6.6704185236115242E-5</v>
      </c>
      <c r="Q802" s="54">
        <v>1</v>
      </c>
      <c r="R802" s="55">
        <v>0</v>
      </c>
      <c r="S802" s="55">
        <v>0</v>
      </c>
      <c r="T802" s="56">
        <v>0</v>
      </c>
      <c r="U802" s="57"/>
      <c r="V802" s="55">
        <v>0</v>
      </c>
      <c r="W802" s="55">
        <v>0</v>
      </c>
      <c r="X802" s="58">
        <v>0</v>
      </c>
      <c r="Y802" s="59">
        <v>0</v>
      </c>
      <c r="Z802" s="58">
        <v>0</v>
      </c>
      <c r="AA802" s="56">
        <v>0</v>
      </c>
      <c r="AB802" s="56">
        <v>0</v>
      </c>
      <c r="AC802" s="60">
        <v>46142</v>
      </c>
    </row>
    <row r="803" spans="1:29" x14ac:dyDescent="0.25">
      <c r="A803" s="43">
        <v>1057</v>
      </c>
      <c r="B803" s="44" t="s">
        <v>1299</v>
      </c>
      <c r="C803" s="45">
        <v>10570044</v>
      </c>
      <c r="D803" s="46" t="s">
        <v>1161</v>
      </c>
      <c r="E803" s="47" t="s">
        <v>364</v>
      </c>
      <c r="F803" s="47" t="s">
        <v>58</v>
      </c>
      <c r="G803" s="62">
        <v>91.5</v>
      </c>
      <c r="H803" s="62">
        <v>4065.3</v>
      </c>
      <c r="I803" s="49">
        <v>0</v>
      </c>
      <c r="J803" s="49">
        <v>0</v>
      </c>
      <c r="K803" s="49">
        <v>0</v>
      </c>
      <c r="L803" s="50">
        <v>0</v>
      </c>
      <c r="M803" s="51"/>
      <c r="N803" s="52" t="s">
        <v>1300</v>
      </c>
      <c r="O803" s="31"/>
      <c r="P803" s="53">
        <v>8.9774332226403811E-2</v>
      </c>
      <c r="Q803" s="54">
        <v>1</v>
      </c>
      <c r="R803" s="55">
        <v>0</v>
      </c>
      <c r="S803" s="55">
        <v>0</v>
      </c>
      <c r="T803" s="56">
        <v>0</v>
      </c>
      <c r="U803" s="57"/>
      <c r="V803" s="55">
        <v>0</v>
      </c>
      <c r="W803" s="55">
        <v>0</v>
      </c>
      <c r="X803" s="58">
        <v>0</v>
      </c>
      <c r="Y803" s="59">
        <v>0</v>
      </c>
      <c r="Z803" s="58">
        <v>0</v>
      </c>
      <c r="AA803" s="56">
        <v>0</v>
      </c>
      <c r="AB803" s="56">
        <v>0</v>
      </c>
      <c r="AC803" s="60">
        <v>46142</v>
      </c>
    </row>
    <row r="804" spans="1:29" x14ac:dyDescent="0.25">
      <c r="A804" s="43">
        <v>1057</v>
      </c>
      <c r="B804" s="44" t="s">
        <v>1299</v>
      </c>
      <c r="C804" s="45">
        <v>10570045</v>
      </c>
      <c r="D804" s="46" t="s">
        <v>1162</v>
      </c>
      <c r="E804" s="47" t="s">
        <v>364</v>
      </c>
      <c r="F804" s="47" t="s">
        <v>58</v>
      </c>
      <c r="G804" s="62">
        <v>1243.6000000000001</v>
      </c>
      <c r="H804" s="62">
        <v>47186.689999999995</v>
      </c>
      <c r="I804" s="49">
        <v>0</v>
      </c>
      <c r="J804" s="49">
        <v>0</v>
      </c>
      <c r="K804" s="49">
        <v>0</v>
      </c>
      <c r="L804" s="50">
        <v>0</v>
      </c>
      <c r="M804" s="51"/>
      <c r="N804" s="52" t="s">
        <v>1300</v>
      </c>
      <c r="O804" s="31"/>
      <c r="P804" s="53">
        <v>-4.14453085463344E-3</v>
      </c>
      <c r="Q804" s="54">
        <v>13</v>
      </c>
      <c r="R804" s="55">
        <v>0</v>
      </c>
      <c r="S804" s="55">
        <v>0</v>
      </c>
      <c r="T804" s="56">
        <v>0</v>
      </c>
      <c r="U804" s="57"/>
      <c r="V804" s="55">
        <v>0</v>
      </c>
      <c r="W804" s="55">
        <v>0</v>
      </c>
      <c r="X804" s="58">
        <v>0</v>
      </c>
      <c r="Y804" s="59">
        <v>0</v>
      </c>
      <c r="Z804" s="58">
        <v>0</v>
      </c>
      <c r="AA804" s="56">
        <v>0</v>
      </c>
      <c r="AB804" s="56">
        <v>0</v>
      </c>
      <c r="AC804" s="60">
        <v>46142</v>
      </c>
    </row>
    <row r="805" spans="1:29" x14ac:dyDescent="0.25">
      <c r="A805" s="43">
        <v>1057</v>
      </c>
      <c r="B805" s="44" t="s">
        <v>1299</v>
      </c>
      <c r="C805" s="45">
        <v>10570046</v>
      </c>
      <c r="D805" s="46" t="s">
        <v>1163</v>
      </c>
      <c r="E805" s="47" t="s">
        <v>371</v>
      </c>
      <c r="F805" s="47" t="s">
        <v>59</v>
      </c>
      <c r="G805" s="62">
        <v>414.00000000000006</v>
      </c>
      <c r="H805" s="62">
        <v>14226.529999999999</v>
      </c>
      <c r="I805" s="49">
        <v>0</v>
      </c>
      <c r="J805" s="49">
        <v>0</v>
      </c>
      <c r="K805" s="49">
        <v>0</v>
      </c>
      <c r="L805" s="50">
        <v>0</v>
      </c>
      <c r="M805" s="51"/>
      <c r="N805" s="52" t="s">
        <v>1300</v>
      </c>
      <c r="O805" s="31"/>
      <c r="P805" s="53">
        <v>0</v>
      </c>
      <c r="Q805" s="54">
        <v>0</v>
      </c>
      <c r="R805" s="55">
        <v>0</v>
      </c>
      <c r="S805" s="55">
        <v>0</v>
      </c>
      <c r="T805" s="56">
        <v>0</v>
      </c>
      <c r="U805" s="57"/>
      <c r="V805" s="55">
        <v>0</v>
      </c>
      <c r="W805" s="55">
        <v>0</v>
      </c>
      <c r="X805" s="58">
        <v>0</v>
      </c>
      <c r="Y805" s="59">
        <v>0</v>
      </c>
      <c r="Z805" s="58">
        <v>0</v>
      </c>
      <c r="AA805" s="56">
        <v>0</v>
      </c>
      <c r="AB805" s="56">
        <v>0</v>
      </c>
      <c r="AC805" s="60">
        <v>46142</v>
      </c>
    </row>
    <row r="806" spans="1:29" x14ac:dyDescent="0.25">
      <c r="A806" s="43">
        <v>1057</v>
      </c>
      <c r="B806" s="44" t="s">
        <v>1299</v>
      </c>
      <c r="C806" s="45">
        <v>10570047</v>
      </c>
      <c r="D806" s="46" t="s">
        <v>1164</v>
      </c>
      <c r="E806" s="47" t="s">
        <v>364</v>
      </c>
      <c r="F806" s="47" t="s">
        <v>58</v>
      </c>
      <c r="G806" s="62">
        <v>377</v>
      </c>
      <c r="H806" s="62">
        <v>14675.28</v>
      </c>
      <c r="I806" s="49">
        <v>0</v>
      </c>
      <c r="J806" s="49">
        <v>0</v>
      </c>
      <c r="K806" s="49">
        <v>0</v>
      </c>
      <c r="L806" s="50">
        <v>0</v>
      </c>
      <c r="M806" s="51"/>
      <c r="N806" s="52" t="s">
        <v>1300</v>
      </c>
      <c r="O806" s="31"/>
      <c r="P806" s="53">
        <v>4.2070347232165033E-3</v>
      </c>
      <c r="Q806" s="54">
        <v>10</v>
      </c>
      <c r="R806" s="55">
        <v>0</v>
      </c>
      <c r="S806" s="55">
        <v>0</v>
      </c>
      <c r="T806" s="56">
        <v>0</v>
      </c>
      <c r="U806" s="57"/>
      <c r="V806" s="55">
        <v>0</v>
      </c>
      <c r="W806" s="55">
        <v>0</v>
      </c>
      <c r="X806" s="58">
        <v>0</v>
      </c>
      <c r="Y806" s="59">
        <v>0</v>
      </c>
      <c r="Z806" s="58">
        <v>0</v>
      </c>
      <c r="AA806" s="56">
        <v>0</v>
      </c>
      <c r="AB806" s="56">
        <v>0</v>
      </c>
      <c r="AC806" s="60">
        <v>46142</v>
      </c>
    </row>
    <row r="807" spans="1:29" x14ac:dyDescent="0.25">
      <c r="A807" s="43">
        <v>1057</v>
      </c>
      <c r="B807" s="44" t="s">
        <v>1299</v>
      </c>
      <c r="C807" s="45">
        <v>10570049</v>
      </c>
      <c r="D807" s="46" t="s">
        <v>1165</v>
      </c>
      <c r="E807" s="47" t="s">
        <v>364</v>
      </c>
      <c r="F807" s="47" t="s">
        <v>58</v>
      </c>
      <c r="G807" s="62">
        <v>244.4</v>
      </c>
      <c r="H807" s="62">
        <v>12659.029999999999</v>
      </c>
      <c r="I807" s="49">
        <v>0</v>
      </c>
      <c r="J807" s="49">
        <v>0</v>
      </c>
      <c r="K807" s="49">
        <v>0</v>
      </c>
      <c r="L807" s="50">
        <v>0</v>
      </c>
      <c r="M807" s="51"/>
      <c r="N807" s="52" t="s">
        <v>1300</v>
      </c>
      <c r="O807" s="31"/>
      <c r="P807" s="53">
        <v>-7.637595404963244E-3</v>
      </c>
      <c r="Q807" s="54">
        <v>1</v>
      </c>
      <c r="R807" s="55">
        <v>0</v>
      </c>
      <c r="S807" s="55">
        <v>0</v>
      </c>
      <c r="T807" s="56">
        <v>0</v>
      </c>
      <c r="U807" s="57"/>
      <c r="V807" s="55">
        <v>0</v>
      </c>
      <c r="W807" s="55">
        <v>0</v>
      </c>
      <c r="X807" s="58">
        <v>0</v>
      </c>
      <c r="Y807" s="59">
        <v>0</v>
      </c>
      <c r="Z807" s="58">
        <v>0</v>
      </c>
      <c r="AA807" s="56">
        <v>0</v>
      </c>
      <c r="AB807" s="56">
        <v>0</v>
      </c>
      <c r="AC807" s="60">
        <v>46142</v>
      </c>
    </row>
    <row r="808" spans="1:29" x14ac:dyDescent="0.25">
      <c r="A808" s="43">
        <v>1057</v>
      </c>
      <c r="B808" s="44" t="s">
        <v>1299</v>
      </c>
      <c r="C808" s="45">
        <v>10570053</v>
      </c>
      <c r="D808" s="46" t="s">
        <v>1166</v>
      </c>
      <c r="E808" s="47" t="s">
        <v>371</v>
      </c>
      <c r="F808" s="47" t="s">
        <v>59</v>
      </c>
      <c r="G808" s="62">
        <v>280.7</v>
      </c>
      <c r="H808" s="62">
        <v>10687.810000000001</v>
      </c>
      <c r="I808" s="49">
        <v>0</v>
      </c>
      <c r="J808" s="49">
        <v>0</v>
      </c>
      <c r="K808" s="49">
        <v>0</v>
      </c>
      <c r="L808" s="50">
        <v>0</v>
      </c>
      <c r="M808" s="51"/>
      <c r="N808" s="52" t="s">
        <v>1300</v>
      </c>
      <c r="O808" s="31"/>
      <c r="P808" s="53">
        <v>0</v>
      </c>
      <c r="Q808" s="54">
        <v>0</v>
      </c>
      <c r="R808" s="55">
        <v>0</v>
      </c>
      <c r="S808" s="55">
        <v>0</v>
      </c>
      <c r="T808" s="56">
        <v>0</v>
      </c>
      <c r="U808" s="57"/>
      <c r="V808" s="55">
        <v>0</v>
      </c>
      <c r="W808" s="55">
        <v>0</v>
      </c>
      <c r="X808" s="58">
        <v>0</v>
      </c>
      <c r="Y808" s="59">
        <v>0</v>
      </c>
      <c r="Z808" s="58">
        <v>0</v>
      </c>
      <c r="AA808" s="56">
        <v>0</v>
      </c>
      <c r="AB808" s="56">
        <v>0</v>
      </c>
      <c r="AC808" s="60">
        <v>46142</v>
      </c>
    </row>
    <row r="809" spans="1:29" x14ac:dyDescent="0.25">
      <c r="A809" s="43">
        <v>1057</v>
      </c>
      <c r="B809" s="44" t="s">
        <v>1299</v>
      </c>
      <c r="C809" s="45">
        <v>10570055</v>
      </c>
      <c r="D809" s="46" t="s">
        <v>1167</v>
      </c>
      <c r="E809" s="47" t="s">
        <v>364</v>
      </c>
      <c r="F809" s="47" t="s">
        <v>58</v>
      </c>
      <c r="G809" s="62">
        <v>168.7</v>
      </c>
      <c r="H809" s="62">
        <v>6796.7899999999991</v>
      </c>
      <c r="I809" s="49">
        <v>0</v>
      </c>
      <c r="J809" s="49">
        <v>0</v>
      </c>
      <c r="K809" s="49">
        <v>0</v>
      </c>
      <c r="L809" s="50">
        <v>0</v>
      </c>
      <c r="M809" s="51"/>
      <c r="N809" s="52" t="s">
        <v>1300</v>
      </c>
      <c r="O809" s="31"/>
      <c r="P809" s="53">
        <v>-9.1409891226182424E-3</v>
      </c>
      <c r="Q809" s="54">
        <v>1</v>
      </c>
      <c r="R809" s="55">
        <v>0</v>
      </c>
      <c r="S809" s="55">
        <v>0</v>
      </c>
      <c r="T809" s="56">
        <v>0</v>
      </c>
      <c r="U809" s="57"/>
      <c r="V809" s="55">
        <v>0</v>
      </c>
      <c r="W809" s="55">
        <v>0</v>
      </c>
      <c r="X809" s="58">
        <v>0</v>
      </c>
      <c r="Y809" s="59">
        <v>0</v>
      </c>
      <c r="Z809" s="58">
        <v>0</v>
      </c>
      <c r="AA809" s="56">
        <v>0</v>
      </c>
      <c r="AB809" s="56">
        <v>0</v>
      </c>
      <c r="AC809" s="60">
        <v>46142</v>
      </c>
    </row>
    <row r="810" spans="1:29" x14ac:dyDescent="0.25">
      <c r="A810" s="43">
        <v>1057</v>
      </c>
      <c r="B810" s="44" t="s">
        <v>1299</v>
      </c>
      <c r="C810" s="45">
        <v>10570056</v>
      </c>
      <c r="D810" s="46" t="s">
        <v>1168</v>
      </c>
      <c r="E810" s="47" t="s">
        <v>371</v>
      </c>
      <c r="F810" s="47" t="s">
        <v>59</v>
      </c>
      <c r="G810" s="62">
        <v>75.599999999999994</v>
      </c>
      <c r="H810" s="62">
        <v>2662.65</v>
      </c>
      <c r="I810" s="49">
        <v>0</v>
      </c>
      <c r="J810" s="49">
        <v>0</v>
      </c>
      <c r="K810" s="49">
        <v>0</v>
      </c>
      <c r="L810" s="50">
        <v>0</v>
      </c>
      <c r="M810" s="51"/>
      <c r="N810" s="52" t="s">
        <v>1300</v>
      </c>
      <c r="O810" s="31"/>
      <c r="P810" s="53">
        <v>0</v>
      </c>
      <c r="Q810" s="54">
        <v>0</v>
      </c>
      <c r="R810" s="55">
        <v>0</v>
      </c>
      <c r="S810" s="55">
        <v>0</v>
      </c>
      <c r="T810" s="56">
        <v>0</v>
      </c>
      <c r="U810" s="57"/>
      <c r="V810" s="55">
        <v>0</v>
      </c>
      <c r="W810" s="55">
        <v>0</v>
      </c>
      <c r="X810" s="58">
        <v>0</v>
      </c>
      <c r="Y810" s="59">
        <v>0</v>
      </c>
      <c r="Z810" s="58">
        <v>0</v>
      </c>
      <c r="AA810" s="56">
        <v>0</v>
      </c>
      <c r="AB810" s="56">
        <v>0</v>
      </c>
      <c r="AC810" s="60">
        <v>46142</v>
      </c>
    </row>
    <row r="811" spans="1:29" x14ac:dyDescent="0.25">
      <c r="A811" s="43">
        <v>1057</v>
      </c>
      <c r="B811" s="44" t="s">
        <v>1299</v>
      </c>
      <c r="C811" s="45">
        <v>10570057</v>
      </c>
      <c r="D811" s="46" t="s">
        <v>1169</v>
      </c>
      <c r="E811" s="47" t="s">
        <v>371</v>
      </c>
      <c r="F811" s="47" t="s">
        <v>59</v>
      </c>
      <c r="G811" s="62">
        <v>251</v>
      </c>
      <c r="H811" s="62">
        <v>9103.8499999999985</v>
      </c>
      <c r="I811" s="49">
        <v>0</v>
      </c>
      <c r="J811" s="49">
        <v>0</v>
      </c>
      <c r="K811" s="49">
        <v>0</v>
      </c>
      <c r="L811" s="50">
        <v>0</v>
      </c>
      <c r="M811" s="51"/>
      <c r="N811" s="52" t="s">
        <v>1300</v>
      </c>
      <c r="O811" s="31"/>
      <c r="P811" s="53">
        <v>0</v>
      </c>
      <c r="Q811" s="54">
        <v>0</v>
      </c>
      <c r="R811" s="55">
        <v>0</v>
      </c>
      <c r="S811" s="55">
        <v>0</v>
      </c>
      <c r="T811" s="56">
        <v>0</v>
      </c>
      <c r="U811" s="57"/>
      <c r="V811" s="55">
        <v>0</v>
      </c>
      <c r="W811" s="55">
        <v>0</v>
      </c>
      <c r="X811" s="58">
        <v>0</v>
      </c>
      <c r="Y811" s="59">
        <v>0</v>
      </c>
      <c r="Z811" s="58">
        <v>0</v>
      </c>
      <c r="AA811" s="56">
        <v>0</v>
      </c>
      <c r="AB811" s="56">
        <v>0</v>
      </c>
      <c r="AC811" s="60">
        <v>46142</v>
      </c>
    </row>
    <row r="812" spans="1:29" x14ac:dyDescent="0.25">
      <c r="A812" s="43">
        <v>1057</v>
      </c>
      <c r="B812" s="44" t="s">
        <v>1299</v>
      </c>
      <c r="C812" s="45">
        <v>10570058</v>
      </c>
      <c r="D812" s="46" t="s">
        <v>1170</v>
      </c>
      <c r="E812" s="47" t="s">
        <v>371</v>
      </c>
      <c r="F812" s="47" t="s">
        <v>59</v>
      </c>
      <c r="G812" s="62">
        <v>260.7</v>
      </c>
      <c r="H812" s="62">
        <v>9422.7100000000009</v>
      </c>
      <c r="I812" s="49">
        <v>0</v>
      </c>
      <c r="J812" s="49">
        <v>0</v>
      </c>
      <c r="K812" s="49">
        <v>0</v>
      </c>
      <c r="L812" s="50">
        <v>0</v>
      </c>
      <c r="M812" s="51"/>
      <c r="N812" s="52" t="s">
        <v>1300</v>
      </c>
      <c r="O812" s="31"/>
      <c r="P812" s="53">
        <v>0</v>
      </c>
      <c r="Q812" s="54">
        <v>0</v>
      </c>
      <c r="R812" s="55">
        <v>0</v>
      </c>
      <c r="S812" s="55">
        <v>0</v>
      </c>
      <c r="T812" s="56">
        <v>0</v>
      </c>
      <c r="U812" s="57"/>
      <c r="V812" s="55">
        <v>0</v>
      </c>
      <c r="W812" s="55">
        <v>0</v>
      </c>
      <c r="X812" s="58">
        <v>0</v>
      </c>
      <c r="Y812" s="59">
        <v>0</v>
      </c>
      <c r="Z812" s="58">
        <v>0</v>
      </c>
      <c r="AA812" s="56">
        <v>0</v>
      </c>
      <c r="AB812" s="56">
        <v>0</v>
      </c>
      <c r="AC812" s="60">
        <v>46142</v>
      </c>
    </row>
    <row r="813" spans="1:29" x14ac:dyDescent="0.25">
      <c r="A813" s="43">
        <v>1057</v>
      </c>
      <c r="B813" s="44" t="s">
        <v>1299</v>
      </c>
      <c r="C813" s="45">
        <v>10570059</v>
      </c>
      <c r="D813" s="46" t="s">
        <v>1171</v>
      </c>
      <c r="E813" s="47" t="s">
        <v>371</v>
      </c>
      <c r="F813" s="47" t="s">
        <v>59</v>
      </c>
      <c r="G813" s="62">
        <v>1554</v>
      </c>
      <c r="H813" s="62">
        <v>66602.070000000007</v>
      </c>
      <c r="I813" s="49">
        <v>0</v>
      </c>
      <c r="J813" s="49">
        <v>0</v>
      </c>
      <c r="K813" s="49">
        <v>0</v>
      </c>
      <c r="L813" s="50">
        <v>0</v>
      </c>
      <c r="M813" s="51"/>
      <c r="N813" s="52" t="s">
        <v>1300</v>
      </c>
      <c r="O813" s="31"/>
      <c r="P813" s="53">
        <v>0</v>
      </c>
      <c r="Q813" s="54">
        <v>0</v>
      </c>
      <c r="R813" s="55">
        <v>0</v>
      </c>
      <c r="S813" s="55">
        <v>0</v>
      </c>
      <c r="T813" s="56">
        <v>0</v>
      </c>
      <c r="U813" s="57"/>
      <c r="V813" s="55">
        <v>0</v>
      </c>
      <c r="W813" s="55">
        <v>0</v>
      </c>
      <c r="X813" s="58">
        <v>0</v>
      </c>
      <c r="Y813" s="59">
        <v>0</v>
      </c>
      <c r="Z813" s="58">
        <v>0</v>
      </c>
      <c r="AA813" s="56">
        <v>0</v>
      </c>
      <c r="AB813" s="56">
        <v>0</v>
      </c>
      <c r="AC813" s="60">
        <v>46142</v>
      </c>
    </row>
    <row r="814" spans="1:29" x14ac:dyDescent="0.25">
      <c r="A814" s="43">
        <v>1057</v>
      </c>
      <c r="B814" s="44" t="s">
        <v>1299</v>
      </c>
      <c r="C814" s="45">
        <v>10570060</v>
      </c>
      <c r="D814" s="46" t="s">
        <v>1172</v>
      </c>
      <c r="E814" s="47" t="s">
        <v>371</v>
      </c>
      <c r="F814" s="47" t="s">
        <v>59</v>
      </c>
      <c r="G814" s="62">
        <v>271.39999999999998</v>
      </c>
      <c r="H814" s="62">
        <v>10739.16</v>
      </c>
      <c r="I814" s="49">
        <v>0</v>
      </c>
      <c r="J814" s="49">
        <v>0</v>
      </c>
      <c r="K814" s="49">
        <v>0</v>
      </c>
      <c r="L814" s="50">
        <v>0</v>
      </c>
      <c r="M814" s="51"/>
      <c r="N814" s="52" t="s">
        <v>1300</v>
      </c>
      <c r="O814" s="31"/>
      <c r="P814" s="53">
        <v>0</v>
      </c>
      <c r="Q814" s="54">
        <v>0</v>
      </c>
      <c r="R814" s="55">
        <v>0</v>
      </c>
      <c r="S814" s="55">
        <v>0</v>
      </c>
      <c r="T814" s="56">
        <v>0</v>
      </c>
      <c r="U814" s="57"/>
      <c r="V814" s="55">
        <v>0</v>
      </c>
      <c r="W814" s="55">
        <v>0</v>
      </c>
      <c r="X814" s="58">
        <v>0</v>
      </c>
      <c r="Y814" s="59">
        <v>0</v>
      </c>
      <c r="Z814" s="58">
        <v>0</v>
      </c>
      <c r="AA814" s="56">
        <v>0</v>
      </c>
      <c r="AB814" s="56">
        <v>0</v>
      </c>
      <c r="AC814" s="60">
        <v>46142</v>
      </c>
    </row>
    <row r="815" spans="1:29" x14ac:dyDescent="0.25">
      <c r="A815" s="43">
        <v>1057</v>
      </c>
      <c r="B815" s="44" t="s">
        <v>1299</v>
      </c>
      <c r="C815" s="45">
        <v>10570062</v>
      </c>
      <c r="D815" s="46" t="s">
        <v>1173</v>
      </c>
      <c r="E815" s="47" t="s">
        <v>371</v>
      </c>
      <c r="F815" s="47" t="s">
        <v>59</v>
      </c>
      <c r="G815" s="62">
        <v>237.9</v>
      </c>
      <c r="H815" s="62">
        <v>8416.9</v>
      </c>
      <c r="I815" s="49">
        <v>0</v>
      </c>
      <c r="J815" s="49">
        <v>0</v>
      </c>
      <c r="K815" s="49">
        <v>0</v>
      </c>
      <c r="L815" s="50">
        <v>0</v>
      </c>
      <c r="M815" s="51"/>
      <c r="N815" s="52" t="s">
        <v>1300</v>
      </c>
      <c r="O815" s="31"/>
      <c r="P815" s="53">
        <v>0</v>
      </c>
      <c r="Q815" s="54">
        <v>0</v>
      </c>
      <c r="R815" s="55">
        <v>0</v>
      </c>
      <c r="S815" s="55">
        <v>0</v>
      </c>
      <c r="T815" s="56">
        <v>0</v>
      </c>
      <c r="U815" s="57"/>
      <c r="V815" s="55">
        <v>0</v>
      </c>
      <c r="W815" s="55">
        <v>0</v>
      </c>
      <c r="X815" s="58">
        <v>0</v>
      </c>
      <c r="Y815" s="59">
        <v>0</v>
      </c>
      <c r="Z815" s="58">
        <v>0</v>
      </c>
      <c r="AA815" s="56">
        <v>0</v>
      </c>
      <c r="AB815" s="56">
        <v>0</v>
      </c>
      <c r="AC815" s="60">
        <v>46142</v>
      </c>
    </row>
    <row r="816" spans="1:29" x14ac:dyDescent="0.25">
      <c r="A816" s="43">
        <v>1058</v>
      </c>
      <c r="B816" s="44" t="s">
        <v>1283</v>
      </c>
      <c r="C816" s="45">
        <v>10580001</v>
      </c>
      <c r="D816" s="46" t="s">
        <v>1174</v>
      </c>
      <c r="E816" s="47" t="s">
        <v>364</v>
      </c>
      <c r="F816" s="47" t="s">
        <v>58</v>
      </c>
      <c r="G816" s="62">
        <v>312.60000000000002</v>
      </c>
      <c r="H816" s="62">
        <v>12726.71</v>
      </c>
      <c r="I816" s="49">
        <v>0</v>
      </c>
      <c r="J816" s="49">
        <v>0</v>
      </c>
      <c r="K816" s="49">
        <v>0</v>
      </c>
      <c r="L816" s="50">
        <v>0</v>
      </c>
      <c r="M816" s="51"/>
      <c r="N816" s="52" t="s">
        <v>1300</v>
      </c>
      <c r="O816" s="31"/>
      <c r="P816" s="53">
        <v>1.7036288248274658E-2</v>
      </c>
      <c r="Q816" s="54">
        <v>14</v>
      </c>
      <c r="R816" s="55">
        <v>0</v>
      </c>
      <c r="S816" s="55">
        <v>0</v>
      </c>
      <c r="T816" s="56">
        <v>0</v>
      </c>
      <c r="U816" s="57"/>
      <c r="V816" s="55">
        <v>0</v>
      </c>
      <c r="W816" s="55">
        <v>0</v>
      </c>
      <c r="X816" s="58">
        <v>0</v>
      </c>
      <c r="Y816" s="59">
        <v>0</v>
      </c>
      <c r="Z816" s="58">
        <v>0</v>
      </c>
      <c r="AA816" s="56">
        <v>0</v>
      </c>
      <c r="AB816" s="56">
        <v>0</v>
      </c>
      <c r="AC816" s="60">
        <v>46142</v>
      </c>
    </row>
    <row r="817" spans="1:29" x14ac:dyDescent="0.25">
      <c r="A817" s="43">
        <v>1058</v>
      </c>
      <c r="B817" s="44" t="s">
        <v>1283</v>
      </c>
      <c r="C817" s="45">
        <v>10580002</v>
      </c>
      <c r="D817" s="46" t="s">
        <v>1175</v>
      </c>
      <c r="E817" s="47" t="s">
        <v>364</v>
      </c>
      <c r="F817" s="47" t="s">
        <v>58</v>
      </c>
      <c r="G817" s="62">
        <v>383.49999999999994</v>
      </c>
      <c r="H817" s="62">
        <v>15099.51</v>
      </c>
      <c r="I817" s="49">
        <v>0</v>
      </c>
      <c r="J817" s="49">
        <v>0</v>
      </c>
      <c r="K817" s="49">
        <v>0</v>
      </c>
      <c r="L817" s="50">
        <v>0</v>
      </c>
      <c r="M817" s="51"/>
      <c r="N817" s="52" t="s">
        <v>1300</v>
      </c>
      <c r="O817" s="31"/>
      <c r="P817" s="53">
        <v>-5.0251779173485778E-2</v>
      </c>
      <c r="Q817" s="54">
        <v>7</v>
      </c>
      <c r="R817" s="55">
        <v>0</v>
      </c>
      <c r="S817" s="55">
        <v>0</v>
      </c>
      <c r="T817" s="56">
        <v>0</v>
      </c>
      <c r="U817" s="57"/>
      <c r="V817" s="55">
        <v>0</v>
      </c>
      <c r="W817" s="55">
        <v>0</v>
      </c>
      <c r="X817" s="58">
        <v>0</v>
      </c>
      <c r="Y817" s="59">
        <v>0</v>
      </c>
      <c r="Z817" s="58">
        <v>0</v>
      </c>
      <c r="AA817" s="56">
        <v>0</v>
      </c>
      <c r="AB817" s="56">
        <v>0</v>
      </c>
      <c r="AC817" s="60">
        <v>46142</v>
      </c>
    </row>
    <row r="818" spans="1:29" x14ac:dyDescent="0.25">
      <c r="A818" s="43">
        <v>1058</v>
      </c>
      <c r="B818" s="44" t="s">
        <v>1283</v>
      </c>
      <c r="C818" s="45">
        <v>10580004</v>
      </c>
      <c r="D818" s="46" t="s">
        <v>1176</v>
      </c>
      <c r="E818" s="47" t="s">
        <v>364</v>
      </c>
      <c r="F818" s="47" t="s">
        <v>58</v>
      </c>
      <c r="G818" s="62">
        <v>277.60000000000002</v>
      </c>
      <c r="H818" s="62">
        <v>10197.209999999999</v>
      </c>
      <c r="I818" s="49">
        <v>0</v>
      </c>
      <c r="J818" s="49">
        <v>0</v>
      </c>
      <c r="K818" s="49">
        <v>0</v>
      </c>
      <c r="L818" s="50">
        <v>0</v>
      </c>
      <c r="M818" s="51"/>
      <c r="N818" s="52" t="s">
        <v>1300</v>
      </c>
      <c r="O818" s="31"/>
      <c r="P818" s="53">
        <v>-5.7228554402213902E-2</v>
      </c>
      <c r="Q818" s="54">
        <v>3</v>
      </c>
      <c r="R818" s="55">
        <v>0</v>
      </c>
      <c r="S818" s="55">
        <v>0</v>
      </c>
      <c r="T818" s="56">
        <v>0</v>
      </c>
      <c r="U818" s="57"/>
      <c r="V818" s="55">
        <v>0</v>
      </c>
      <c r="W818" s="55">
        <v>0</v>
      </c>
      <c r="X818" s="58">
        <v>0</v>
      </c>
      <c r="Y818" s="59">
        <v>0</v>
      </c>
      <c r="Z818" s="58">
        <v>0</v>
      </c>
      <c r="AA818" s="56">
        <v>0</v>
      </c>
      <c r="AB818" s="56">
        <v>0</v>
      </c>
      <c r="AC818" s="60">
        <v>46142</v>
      </c>
    </row>
    <row r="819" spans="1:29" x14ac:dyDescent="0.25">
      <c r="A819" s="43">
        <v>1058</v>
      </c>
      <c r="B819" s="44" t="s">
        <v>1283</v>
      </c>
      <c r="C819" s="45">
        <v>10580005</v>
      </c>
      <c r="D819" s="46" t="s">
        <v>1177</v>
      </c>
      <c r="E819" s="47" t="s">
        <v>364</v>
      </c>
      <c r="F819" s="47" t="s">
        <v>58</v>
      </c>
      <c r="G819" s="62">
        <v>441.80000000000007</v>
      </c>
      <c r="H819" s="62">
        <v>16478.98</v>
      </c>
      <c r="I819" s="49">
        <v>0</v>
      </c>
      <c r="J819" s="49">
        <v>0</v>
      </c>
      <c r="K819" s="49">
        <v>0</v>
      </c>
      <c r="L819" s="50" t="s">
        <v>366</v>
      </c>
      <c r="M819" s="51" t="s">
        <v>367</v>
      </c>
      <c r="N819" s="52" t="s">
        <v>1300</v>
      </c>
      <c r="O819" s="31"/>
      <c r="P819" s="53">
        <v>-0.13820930694754754</v>
      </c>
      <c r="Q819" s="54">
        <v>9</v>
      </c>
      <c r="R819" s="55">
        <v>0</v>
      </c>
      <c r="S819" s="55">
        <v>0</v>
      </c>
      <c r="T819" s="56">
        <v>0</v>
      </c>
      <c r="U819" s="57"/>
      <c r="V819" s="55">
        <v>0</v>
      </c>
      <c r="W819" s="55">
        <v>0</v>
      </c>
      <c r="X819" s="58">
        <v>0</v>
      </c>
      <c r="Y819" s="59">
        <v>0</v>
      </c>
      <c r="Z819" s="58">
        <v>0</v>
      </c>
      <c r="AA819" s="56">
        <v>0</v>
      </c>
      <c r="AB819" s="56">
        <v>0</v>
      </c>
      <c r="AC819" s="60">
        <v>46142</v>
      </c>
    </row>
    <row r="820" spans="1:29" x14ac:dyDescent="0.25">
      <c r="A820" s="43">
        <v>1058</v>
      </c>
      <c r="B820" s="44" t="s">
        <v>1283</v>
      </c>
      <c r="C820" s="45">
        <v>10580007</v>
      </c>
      <c r="D820" s="46" t="s">
        <v>1178</v>
      </c>
      <c r="E820" s="47" t="s">
        <v>364</v>
      </c>
      <c r="F820" s="47" t="s">
        <v>58</v>
      </c>
      <c r="G820" s="62">
        <v>156.6</v>
      </c>
      <c r="H820" s="62">
        <v>5712.9900000000007</v>
      </c>
      <c r="I820" s="49">
        <v>0</v>
      </c>
      <c r="J820" s="49">
        <v>0</v>
      </c>
      <c r="K820" s="49">
        <v>0</v>
      </c>
      <c r="L820" s="50">
        <v>0</v>
      </c>
      <c r="M820" s="51"/>
      <c r="N820" s="52" t="s">
        <v>1300</v>
      </c>
      <c r="O820" s="31"/>
      <c r="P820" s="53">
        <v>3.5561616001838032E-3</v>
      </c>
      <c r="Q820" s="54">
        <v>5</v>
      </c>
      <c r="R820" s="55">
        <v>0</v>
      </c>
      <c r="S820" s="55">
        <v>0</v>
      </c>
      <c r="T820" s="56">
        <v>0</v>
      </c>
      <c r="U820" s="57"/>
      <c r="V820" s="55">
        <v>0</v>
      </c>
      <c r="W820" s="55">
        <v>0</v>
      </c>
      <c r="X820" s="58">
        <v>0</v>
      </c>
      <c r="Y820" s="59">
        <v>0</v>
      </c>
      <c r="Z820" s="58">
        <v>0</v>
      </c>
      <c r="AA820" s="56">
        <v>0</v>
      </c>
      <c r="AB820" s="56">
        <v>0</v>
      </c>
      <c r="AC820" s="60">
        <v>46142</v>
      </c>
    </row>
    <row r="821" spans="1:29" x14ac:dyDescent="0.25">
      <c r="A821" s="43">
        <v>1058</v>
      </c>
      <c r="B821" s="44" t="s">
        <v>1283</v>
      </c>
      <c r="C821" s="45">
        <v>10580009</v>
      </c>
      <c r="D821" s="46" t="s">
        <v>1179</v>
      </c>
      <c r="E821" s="47" t="s">
        <v>364</v>
      </c>
      <c r="F821" s="47" t="s">
        <v>58</v>
      </c>
      <c r="G821" s="62">
        <v>120</v>
      </c>
      <c r="H821" s="62">
        <v>5401.8799999999992</v>
      </c>
      <c r="I821" s="49">
        <v>0</v>
      </c>
      <c r="J821" s="49">
        <v>0</v>
      </c>
      <c r="K821" s="49">
        <v>626.41000000000008</v>
      </c>
      <c r="L821" s="50" t="s">
        <v>366</v>
      </c>
      <c r="M821" s="51" t="s">
        <v>367</v>
      </c>
      <c r="N821" s="52" t="s">
        <v>1300</v>
      </c>
      <c r="O821" s="31"/>
      <c r="P821" s="53">
        <v>-4.5019495866272616E-2</v>
      </c>
      <c r="Q821" s="54">
        <v>13</v>
      </c>
      <c r="R821" s="55">
        <v>0</v>
      </c>
      <c r="S821" s="55">
        <v>0</v>
      </c>
      <c r="T821" s="56">
        <v>0</v>
      </c>
      <c r="U821" s="57"/>
      <c r="V821" s="55">
        <v>626.41130526315806</v>
      </c>
      <c r="W821" s="55">
        <v>0</v>
      </c>
      <c r="X821" s="58">
        <v>0</v>
      </c>
      <c r="Y821" s="59">
        <v>626.41130526315806</v>
      </c>
      <c r="Z821" s="58">
        <v>626.41000000000008</v>
      </c>
      <c r="AA821" s="56">
        <v>-1.3052631579739682E-3</v>
      </c>
      <c r="AB821" s="56">
        <v>-1.3052631579739682E-3</v>
      </c>
      <c r="AC821" s="60">
        <v>46142</v>
      </c>
    </row>
    <row r="822" spans="1:29" x14ac:dyDescent="0.25">
      <c r="A822" s="43">
        <v>1058</v>
      </c>
      <c r="B822" s="44" t="s">
        <v>1283</v>
      </c>
      <c r="C822" s="45">
        <v>10580010</v>
      </c>
      <c r="D822" s="46" t="s">
        <v>1180</v>
      </c>
      <c r="E822" s="47" t="s">
        <v>364</v>
      </c>
      <c r="F822" s="47" t="s">
        <v>58</v>
      </c>
      <c r="G822" s="62">
        <v>300.2</v>
      </c>
      <c r="H822" s="62">
        <v>11136.689999999999</v>
      </c>
      <c r="I822" s="49">
        <v>0</v>
      </c>
      <c r="J822" s="49">
        <v>0</v>
      </c>
      <c r="K822" s="49">
        <v>0</v>
      </c>
      <c r="L822" s="50">
        <v>0</v>
      </c>
      <c r="M822" s="51"/>
      <c r="N822" s="52" t="s">
        <v>1300</v>
      </c>
      <c r="O822" s="31"/>
      <c r="P822" s="53">
        <v>-0.17118068021270255</v>
      </c>
      <c r="Q822" s="54">
        <v>4</v>
      </c>
      <c r="R822" s="55">
        <v>0</v>
      </c>
      <c r="S822" s="55">
        <v>0</v>
      </c>
      <c r="T822" s="56">
        <v>0</v>
      </c>
      <c r="U822" s="57"/>
      <c r="V822" s="55">
        <v>0</v>
      </c>
      <c r="W822" s="55">
        <v>0</v>
      </c>
      <c r="X822" s="58">
        <v>0</v>
      </c>
      <c r="Y822" s="59">
        <v>0</v>
      </c>
      <c r="Z822" s="58">
        <v>0</v>
      </c>
      <c r="AA822" s="56">
        <v>0</v>
      </c>
      <c r="AB822" s="56">
        <v>0</v>
      </c>
      <c r="AC822" s="60">
        <v>46142</v>
      </c>
    </row>
    <row r="823" spans="1:29" x14ac:dyDescent="0.25">
      <c r="A823" s="43">
        <v>1058</v>
      </c>
      <c r="B823" s="44" t="s">
        <v>1283</v>
      </c>
      <c r="C823" s="45">
        <v>10580012</v>
      </c>
      <c r="D823" s="46" t="s">
        <v>1181</v>
      </c>
      <c r="E823" s="47" t="s">
        <v>364</v>
      </c>
      <c r="F823" s="47" t="s">
        <v>58</v>
      </c>
      <c r="G823" s="62">
        <v>76.499999999999986</v>
      </c>
      <c r="H823" s="62">
        <v>2809.12</v>
      </c>
      <c r="I823" s="49">
        <v>0</v>
      </c>
      <c r="J823" s="49">
        <v>0</v>
      </c>
      <c r="K823" s="49">
        <v>16.596496551724073</v>
      </c>
      <c r="L823" s="50">
        <v>0</v>
      </c>
      <c r="M823" s="51"/>
      <c r="N823" s="52" t="s">
        <v>1300</v>
      </c>
      <c r="O823" s="31"/>
      <c r="P823" s="53">
        <v>0.15556732516267047</v>
      </c>
      <c r="Q823" s="54">
        <v>4</v>
      </c>
      <c r="R823" s="55">
        <v>0</v>
      </c>
      <c r="S823" s="55">
        <v>0</v>
      </c>
      <c r="T823" s="56">
        <v>0</v>
      </c>
      <c r="U823" s="57"/>
      <c r="V823" s="55">
        <v>16.596496551724073</v>
      </c>
      <c r="W823" s="55">
        <v>0</v>
      </c>
      <c r="X823" s="58">
        <v>0</v>
      </c>
      <c r="Y823" s="59">
        <v>16.596496551724073</v>
      </c>
      <c r="Z823" s="58">
        <v>16.596496551724073</v>
      </c>
      <c r="AA823" s="56">
        <v>0</v>
      </c>
      <c r="AB823" s="56">
        <v>0</v>
      </c>
      <c r="AC823" s="60">
        <v>46142</v>
      </c>
    </row>
    <row r="824" spans="1:29" x14ac:dyDescent="0.25">
      <c r="A824" s="43">
        <v>1058</v>
      </c>
      <c r="B824" s="44" t="s">
        <v>1283</v>
      </c>
      <c r="C824" s="45">
        <v>10580013</v>
      </c>
      <c r="D824" s="46" t="s">
        <v>1182</v>
      </c>
      <c r="E824" s="47" t="s">
        <v>371</v>
      </c>
      <c r="F824" s="47" t="s">
        <v>59</v>
      </c>
      <c r="G824" s="62">
        <v>163.60000000000002</v>
      </c>
      <c r="H824" s="62">
        <v>5662.58</v>
      </c>
      <c r="I824" s="49">
        <v>0</v>
      </c>
      <c r="J824" s="49">
        <v>0</v>
      </c>
      <c r="K824" s="49">
        <v>0</v>
      </c>
      <c r="L824" s="50">
        <v>0</v>
      </c>
      <c r="M824" s="51"/>
      <c r="N824" s="52" t="s">
        <v>1300</v>
      </c>
      <c r="O824" s="31"/>
      <c r="P824" s="53">
        <v>0</v>
      </c>
      <c r="Q824" s="54">
        <v>0</v>
      </c>
      <c r="R824" s="55">
        <v>0</v>
      </c>
      <c r="S824" s="55">
        <v>0</v>
      </c>
      <c r="T824" s="56">
        <v>0</v>
      </c>
      <c r="U824" s="57"/>
      <c r="V824" s="55">
        <v>0</v>
      </c>
      <c r="W824" s="55">
        <v>0</v>
      </c>
      <c r="X824" s="58">
        <v>0</v>
      </c>
      <c r="Y824" s="59">
        <v>0</v>
      </c>
      <c r="Z824" s="58">
        <v>0</v>
      </c>
      <c r="AA824" s="56">
        <v>0</v>
      </c>
      <c r="AB824" s="56">
        <v>0</v>
      </c>
      <c r="AC824" s="60">
        <v>46142</v>
      </c>
    </row>
    <row r="825" spans="1:29" x14ac:dyDescent="0.25">
      <c r="A825" s="43">
        <v>1058</v>
      </c>
      <c r="B825" s="44" t="s">
        <v>1283</v>
      </c>
      <c r="C825" s="45">
        <v>10580015</v>
      </c>
      <c r="D825" s="46" t="s">
        <v>1183</v>
      </c>
      <c r="E825" s="47" t="s">
        <v>364</v>
      </c>
      <c r="F825" s="47" t="s">
        <v>58</v>
      </c>
      <c r="G825" s="62">
        <v>384.20000000000005</v>
      </c>
      <c r="H825" s="62">
        <v>12741.449999999997</v>
      </c>
      <c r="I825" s="49">
        <v>0</v>
      </c>
      <c r="J825" s="49">
        <v>0</v>
      </c>
      <c r="K825" s="49">
        <v>0</v>
      </c>
      <c r="L825" s="50">
        <v>0</v>
      </c>
      <c r="M825" s="51"/>
      <c r="N825" s="52" t="s">
        <v>1300</v>
      </c>
      <c r="O825" s="31"/>
      <c r="P825" s="53">
        <v>3.8528827304895709E-3</v>
      </c>
      <c r="Q825" s="54">
        <v>7</v>
      </c>
      <c r="R825" s="55">
        <v>0</v>
      </c>
      <c r="S825" s="55">
        <v>0</v>
      </c>
      <c r="T825" s="56">
        <v>0</v>
      </c>
      <c r="U825" s="57"/>
      <c r="V825" s="55">
        <v>0</v>
      </c>
      <c r="W825" s="55">
        <v>0</v>
      </c>
      <c r="X825" s="58">
        <v>0</v>
      </c>
      <c r="Y825" s="59">
        <v>0</v>
      </c>
      <c r="Z825" s="58">
        <v>0</v>
      </c>
      <c r="AA825" s="56">
        <v>0</v>
      </c>
      <c r="AB825" s="56">
        <v>0</v>
      </c>
      <c r="AC825" s="60">
        <v>46142</v>
      </c>
    </row>
    <row r="826" spans="1:29" x14ac:dyDescent="0.25">
      <c r="A826" s="43">
        <v>1058</v>
      </c>
      <c r="B826" s="44" t="s">
        <v>1283</v>
      </c>
      <c r="C826" s="45">
        <v>10580017</v>
      </c>
      <c r="D826" s="46" t="s">
        <v>1184</v>
      </c>
      <c r="E826" s="47" t="s">
        <v>364</v>
      </c>
      <c r="F826" s="47" t="s">
        <v>58</v>
      </c>
      <c r="G826" s="62">
        <v>1113.2</v>
      </c>
      <c r="H826" s="62">
        <v>48073.37</v>
      </c>
      <c r="I826" s="49">
        <v>0</v>
      </c>
      <c r="J826" s="49">
        <v>0</v>
      </c>
      <c r="K826" s="49">
        <v>0</v>
      </c>
      <c r="L826" s="50">
        <v>0</v>
      </c>
      <c r="M826" s="51"/>
      <c r="N826" s="52" t="s">
        <v>1300</v>
      </c>
      <c r="O826" s="31"/>
      <c r="P826" s="53">
        <v>-1.5538163772358714E-2</v>
      </c>
      <c r="Q826" s="54">
        <v>5</v>
      </c>
      <c r="R826" s="55">
        <v>0</v>
      </c>
      <c r="S826" s="55">
        <v>0</v>
      </c>
      <c r="T826" s="56">
        <v>0</v>
      </c>
      <c r="U826" s="57"/>
      <c r="V826" s="55">
        <v>0</v>
      </c>
      <c r="W826" s="55">
        <v>0</v>
      </c>
      <c r="X826" s="58">
        <v>0</v>
      </c>
      <c r="Y826" s="59">
        <v>0</v>
      </c>
      <c r="Z826" s="58">
        <v>0</v>
      </c>
      <c r="AA826" s="56">
        <v>0</v>
      </c>
      <c r="AB826" s="56">
        <v>0</v>
      </c>
      <c r="AC826" s="60">
        <v>46142</v>
      </c>
    </row>
    <row r="827" spans="1:29" x14ac:dyDescent="0.25">
      <c r="A827" s="43">
        <v>1058</v>
      </c>
      <c r="B827" s="44" t="s">
        <v>1283</v>
      </c>
      <c r="C827" s="45">
        <v>10580018</v>
      </c>
      <c r="D827" s="46" t="s">
        <v>1185</v>
      </c>
      <c r="E827" s="47" t="s">
        <v>364</v>
      </c>
      <c r="F827" s="47" t="s">
        <v>58</v>
      </c>
      <c r="G827" s="62">
        <v>183.1</v>
      </c>
      <c r="H827" s="62">
        <v>7951.66</v>
      </c>
      <c r="I827" s="49">
        <v>0</v>
      </c>
      <c r="J827" s="49">
        <v>0</v>
      </c>
      <c r="K827" s="49">
        <v>152.31</v>
      </c>
      <c r="L827" s="50" t="s">
        <v>366</v>
      </c>
      <c r="M827" s="51" t="s">
        <v>367</v>
      </c>
      <c r="N827" s="52" t="s">
        <v>1300</v>
      </c>
      <c r="O827" s="31"/>
      <c r="P827" s="53">
        <v>-5.3223636659469831E-2</v>
      </c>
      <c r="Q827" s="54">
        <v>12</v>
      </c>
      <c r="R827" s="55">
        <v>0</v>
      </c>
      <c r="S827" s="55">
        <v>0</v>
      </c>
      <c r="T827" s="56">
        <v>0</v>
      </c>
      <c r="U827" s="57"/>
      <c r="V827" s="55">
        <v>152.30716551724157</v>
      </c>
      <c r="W827" s="55">
        <v>0</v>
      </c>
      <c r="X827" s="58">
        <v>0</v>
      </c>
      <c r="Y827" s="59">
        <v>152.30716551724157</v>
      </c>
      <c r="Z827" s="58">
        <v>152.31</v>
      </c>
      <c r="AA827" s="56">
        <v>2.8344827584305676E-3</v>
      </c>
      <c r="AB827" s="56">
        <v>2.8344827584305676E-3</v>
      </c>
      <c r="AC827" s="60">
        <v>46142</v>
      </c>
    </row>
    <row r="828" spans="1:29" x14ac:dyDescent="0.25">
      <c r="A828" s="43">
        <v>1058</v>
      </c>
      <c r="B828" s="44" t="s">
        <v>1283</v>
      </c>
      <c r="C828" s="45">
        <v>10580019</v>
      </c>
      <c r="D828" s="46" t="s">
        <v>1186</v>
      </c>
      <c r="E828" s="47" t="s">
        <v>364</v>
      </c>
      <c r="F828" s="47" t="s">
        <v>58</v>
      </c>
      <c r="G828" s="62">
        <v>290.89999999999998</v>
      </c>
      <c r="H828" s="62">
        <v>9758</v>
      </c>
      <c r="I828" s="49">
        <v>0</v>
      </c>
      <c r="J828" s="49">
        <v>0</v>
      </c>
      <c r="K828" s="49">
        <v>0</v>
      </c>
      <c r="L828" s="50" t="s">
        <v>366</v>
      </c>
      <c r="M828" s="51" t="s">
        <v>367</v>
      </c>
      <c r="N828" s="52" t="s">
        <v>1300</v>
      </c>
      <c r="O828" s="31"/>
      <c r="P828" s="53">
        <v>-0.24098280066263575</v>
      </c>
      <c r="Q828" s="54">
        <v>1</v>
      </c>
      <c r="R828" s="55">
        <v>0</v>
      </c>
      <c r="S828" s="55">
        <v>0</v>
      </c>
      <c r="T828" s="56">
        <v>0</v>
      </c>
      <c r="U828" s="57"/>
      <c r="V828" s="55">
        <v>0</v>
      </c>
      <c r="W828" s="55">
        <v>0</v>
      </c>
      <c r="X828" s="58">
        <v>0</v>
      </c>
      <c r="Y828" s="59">
        <v>0</v>
      </c>
      <c r="Z828" s="58">
        <v>0</v>
      </c>
      <c r="AA828" s="56">
        <v>0</v>
      </c>
      <c r="AB828" s="56">
        <v>0</v>
      </c>
      <c r="AC828" s="60">
        <v>46142</v>
      </c>
    </row>
    <row r="829" spans="1:29" x14ac:dyDescent="0.25">
      <c r="A829" s="43">
        <v>1058</v>
      </c>
      <c r="B829" s="44" t="s">
        <v>1283</v>
      </c>
      <c r="C829" s="45">
        <v>10580022</v>
      </c>
      <c r="D829" s="46" t="s">
        <v>1187</v>
      </c>
      <c r="E829" s="47" t="s">
        <v>364</v>
      </c>
      <c r="F829" s="47" t="s">
        <v>58</v>
      </c>
      <c r="G829" s="62">
        <v>236.1</v>
      </c>
      <c r="H829" s="62">
        <v>11438.999999999998</v>
      </c>
      <c r="I829" s="49">
        <v>0</v>
      </c>
      <c r="J829" s="49">
        <v>0</v>
      </c>
      <c r="K829" s="49">
        <v>0</v>
      </c>
      <c r="L829" s="50">
        <v>0</v>
      </c>
      <c r="M829" s="51"/>
      <c r="N829" s="52" t="s">
        <v>1300</v>
      </c>
      <c r="O829" s="31"/>
      <c r="P829" s="53">
        <v>-5.1324578605610755E-3</v>
      </c>
      <c r="Q829" s="54">
        <v>3</v>
      </c>
      <c r="R829" s="55">
        <v>0</v>
      </c>
      <c r="S829" s="55">
        <v>0</v>
      </c>
      <c r="T829" s="56">
        <v>0</v>
      </c>
      <c r="U829" s="57"/>
      <c r="V829" s="55">
        <v>0</v>
      </c>
      <c r="W829" s="55">
        <v>0</v>
      </c>
      <c r="X829" s="58">
        <v>0</v>
      </c>
      <c r="Y829" s="59">
        <v>0</v>
      </c>
      <c r="Z829" s="58">
        <v>0</v>
      </c>
      <c r="AA829" s="56">
        <v>0</v>
      </c>
      <c r="AB829" s="56">
        <v>0</v>
      </c>
      <c r="AC829" s="60">
        <v>46142</v>
      </c>
    </row>
    <row r="830" spans="1:29" x14ac:dyDescent="0.25">
      <c r="A830" s="43">
        <v>1058</v>
      </c>
      <c r="B830" s="44" t="s">
        <v>1283</v>
      </c>
      <c r="C830" s="45">
        <v>10580023</v>
      </c>
      <c r="D830" s="46" t="s">
        <v>1188</v>
      </c>
      <c r="E830" s="47" t="s">
        <v>371</v>
      </c>
      <c r="F830" s="47" t="s">
        <v>59</v>
      </c>
      <c r="G830" s="62">
        <v>803.4</v>
      </c>
      <c r="H830" s="62">
        <v>31474.620000000003</v>
      </c>
      <c r="I830" s="49">
        <v>0</v>
      </c>
      <c r="J830" s="49">
        <v>0</v>
      </c>
      <c r="K830" s="49">
        <v>0</v>
      </c>
      <c r="L830" s="50">
        <v>0</v>
      </c>
      <c r="M830" s="51"/>
      <c r="N830" s="52" t="s">
        <v>1300</v>
      </c>
      <c r="O830" s="31"/>
      <c r="P830" s="53">
        <v>0</v>
      </c>
      <c r="Q830" s="54">
        <v>0</v>
      </c>
      <c r="R830" s="55">
        <v>0</v>
      </c>
      <c r="S830" s="55">
        <v>0</v>
      </c>
      <c r="T830" s="56">
        <v>0</v>
      </c>
      <c r="U830" s="57"/>
      <c r="V830" s="55">
        <v>0</v>
      </c>
      <c r="W830" s="55">
        <v>0</v>
      </c>
      <c r="X830" s="58">
        <v>0</v>
      </c>
      <c r="Y830" s="59">
        <v>0</v>
      </c>
      <c r="Z830" s="58">
        <v>0</v>
      </c>
      <c r="AA830" s="56">
        <v>0</v>
      </c>
      <c r="AB830" s="56">
        <v>0</v>
      </c>
      <c r="AC830" s="60">
        <v>46142</v>
      </c>
    </row>
    <row r="831" spans="1:29" x14ac:dyDescent="0.25">
      <c r="A831" s="43">
        <v>1058</v>
      </c>
      <c r="B831" s="44" t="s">
        <v>1283</v>
      </c>
      <c r="C831" s="45">
        <v>10580024</v>
      </c>
      <c r="D831" s="46" t="s">
        <v>1189</v>
      </c>
      <c r="E831" s="47" t="s">
        <v>364</v>
      </c>
      <c r="F831" s="47" t="s">
        <v>58</v>
      </c>
      <c r="G831" s="62">
        <v>143.29999999999998</v>
      </c>
      <c r="H831" s="62">
        <v>5620.58</v>
      </c>
      <c r="I831" s="49">
        <v>0</v>
      </c>
      <c r="J831" s="49">
        <v>0</v>
      </c>
      <c r="K831" s="49">
        <v>0</v>
      </c>
      <c r="L831" s="50">
        <v>0</v>
      </c>
      <c r="M831" s="51"/>
      <c r="N831" s="52" t="s">
        <v>1300</v>
      </c>
      <c r="O831" s="31"/>
      <c r="P831" s="53">
        <v>1.1933893690739292E-5</v>
      </c>
      <c r="Q831" s="54">
        <v>2</v>
      </c>
      <c r="R831" s="55">
        <v>0</v>
      </c>
      <c r="S831" s="55">
        <v>0</v>
      </c>
      <c r="T831" s="56">
        <v>0</v>
      </c>
      <c r="U831" s="57"/>
      <c r="V831" s="55">
        <v>0</v>
      </c>
      <c r="W831" s="55">
        <v>0</v>
      </c>
      <c r="X831" s="58">
        <v>0</v>
      </c>
      <c r="Y831" s="59">
        <v>0</v>
      </c>
      <c r="Z831" s="58">
        <v>0</v>
      </c>
      <c r="AA831" s="56">
        <v>0</v>
      </c>
      <c r="AB831" s="56">
        <v>0</v>
      </c>
      <c r="AC831" s="60">
        <v>46142</v>
      </c>
    </row>
    <row r="832" spans="1:29" x14ac:dyDescent="0.25">
      <c r="A832" s="43">
        <v>1058</v>
      </c>
      <c r="B832" s="44" t="s">
        <v>1283</v>
      </c>
      <c r="C832" s="45">
        <v>10580025</v>
      </c>
      <c r="D832" s="46" t="s">
        <v>1190</v>
      </c>
      <c r="E832" s="47" t="s">
        <v>364</v>
      </c>
      <c r="F832" s="47" t="s">
        <v>58</v>
      </c>
      <c r="G832" s="62">
        <v>354.50000000000006</v>
      </c>
      <c r="H832" s="62">
        <v>14995.140000000001</v>
      </c>
      <c r="I832" s="49">
        <v>0</v>
      </c>
      <c r="J832" s="49">
        <v>0</v>
      </c>
      <c r="K832" s="49">
        <v>0</v>
      </c>
      <c r="L832" s="50">
        <v>0</v>
      </c>
      <c r="M832" s="51"/>
      <c r="N832" s="52" t="s">
        <v>1300</v>
      </c>
      <c r="O832" s="31"/>
      <c r="P832" s="53">
        <v>-0.10921697493316078</v>
      </c>
      <c r="Q832" s="54">
        <v>8</v>
      </c>
      <c r="R832" s="55">
        <v>0</v>
      </c>
      <c r="S832" s="55">
        <v>0</v>
      </c>
      <c r="T832" s="56">
        <v>0</v>
      </c>
      <c r="U832" s="57"/>
      <c r="V832" s="55">
        <v>0</v>
      </c>
      <c r="W832" s="55">
        <v>0</v>
      </c>
      <c r="X832" s="58">
        <v>0</v>
      </c>
      <c r="Y832" s="59">
        <v>0</v>
      </c>
      <c r="Z832" s="58">
        <v>0</v>
      </c>
      <c r="AA832" s="56">
        <v>0</v>
      </c>
      <c r="AB832" s="56">
        <v>0</v>
      </c>
      <c r="AC832" s="60">
        <v>46142</v>
      </c>
    </row>
    <row r="833" spans="1:29" x14ac:dyDescent="0.25">
      <c r="A833" s="43">
        <v>1058</v>
      </c>
      <c r="B833" s="44" t="s">
        <v>1283</v>
      </c>
      <c r="C833" s="45">
        <v>10580026</v>
      </c>
      <c r="D833" s="46" t="s">
        <v>1191</v>
      </c>
      <c r="E833" s="47" t="s">
        <v>364</v>
      </c>
      <c r="F833" s="47" t="s">
        <v>58</v>
      </c>
      <c r="G833" s="62">
        <v>185.10000000000002</v>
      </c>
      <c r="H833" s="62">
        <v>6261.86</v>
      </c>
      <c r="I833" s="49">
        <v>0</v>
      </c>
      <c r="J833" s="49">
        <v>0</v>
      </c>
      <c r="K833" s="49">
        <v>0</v>
      </c>
      <c r="L833" s="50">
        <v>0</v>
      </c>
      <c r="M833" s="51"/>
      <c r="N833" s="52" t="s">
        <v>1300</v>
      </c>
      <c r="O833" s="31"/>
      <c r="P833" s="53">
        <v>-0.14743249965850408</v>
      </c>
      <c r="Q833" s="54">
        <v>1</v>
      </c>
      <c r="R833" s="55">
        <v>0</v>
      </c>
      <c r="S833" s="55">
        <v>0</v>
      </c>
      <c r="T833" s="56">
        <v>0</v>
      </c>
      <c r="U833" s="57"/>
      <c r="V833" s="55">
        <v>0</v>
      </c>
      <c r="W833" s="55">
        <v>0</v>
      </c>
      <c r="X833" s="58">
        <v>0</v>
      </c>
      <c r="Y833" s="59">
        <v>0</v>
      </c>
      <c r="Z833" s="58">
        <v>0</v>
      </c>
      <c r="AA833" s="56">
        <v>0</v>
      </c>
      <c r="AB833" s="56">
        <v>0</v>
      </c>
      <c r="AC833" s="60">
        <v>46142</v>
      </c>
    </row>
    <row r="834" spans="1:29" x14ac:dyDescent="0.25">
      <c r="A834" s="43">
        <v>1058</v>
      </c>
      <c r="B834" s="44" t="s">
        <v>1283</v>
      </c>
      <c r="C834" s="45">
        <v>10580027</v>
      </c>
      <c r="D834" s="46" t="s">
        <v>1192</v>
      </c>
      <c r="E834" s="47" t="s">
        <v>364</v>
      </c>
      <c r="F834" s="47" t="s">
        <v>58</v>
      </c>
      <c r="G834" s="62">
        <v>129.60000000000002</v>
      </c>
      <c r="H834" s="62">
        <v>4695.3999999999996</v>
      </c>
      <c r="I834" s="49">
        <v>0</v>
      </c>
      <c r="J834" s="49">
        <v>0</v>
      </c>
      <c r="K834" s="49">
        <v>0</v>
      </c>
      <c r="L834" s="50">
        <v>0</v>
      </c>
      <c r="M834" s="51"/>
      <c r="N834" s="52" t="s">
        <v>1300</v>
      </c>
      <c r="O834" s="31"/>
      <c r="P834" s="53">
        <v>-1.7809254169613143E-2</v>
      </c>
      <c r="Q834" s="54">
        <v>2</v>
      </c>
      <c r="R834" s="55">
        <v>0</v>
      </c>
      <c r="S834" s="55">
        <v>0</v>
      </c>
      <c r="T834" s="56">
        <v>0</v>
      </c>
      <c r="U834" s="57"/>
      <c r="V834" s="55">
        <v>0</v>
      </c>
      <c r="W834" s="55">
        <v>0</v>
      </c>
      <c r="X834" s="58">
        <v>0</v>
      </c>
      <c r="Y834" s="59">
        <v>0</v>
      </c>
      <c r="Z834" s="58">
        <v>0</v>
      </c>
      <c r="AA834" s="56">
        <v>0</v>
      </c>
      <c r="AB834" s="56">
        <v>0</v>
      </c>
      <c r="AC834" s="60">
        <v>46142</v>
      </c>
    </row>
    <row r="835" spans="1:29" x14ac:dyDescent="0.25">
      <c r="A835" s="43">
        <v>1058</v>
      </c>
      <c r="B835" s="44" t="s">
        <v>1283</v>
      </c>
      <c r="C835" s="45">
        <v>10580028</v>
      </c>
      <c r="D835" s="46" t="s">
        <v>1193</v>
      </c>
      <c r="E835" s="47" t="s">
        <v>364</v>
      </c>
      <c r="F835" s="47" t="s">
        <v>58</v>
      </c>
      <c r="G835" s="62">
        <v>339.6</v>
      </c>
      <c r="H835" s="62">
        <v>14219.54</v>
      </c>
      <c r="I835" s="49">
        <v>0</v>
      </c>
      <c r="J835" s="49">
        <v>0</v>
      </c>
      <c r="K835" s="49">
        <v>0</v>
      </c>
      <c r="L835" s="50">
        <v>0</v>
      </c>
      <c r="M835" s="51"/>
      <c r="N835" s="52" t="s">
        <v>1300</v>
      </c>
      <c r="O835" s="31"/>
      <c r="P835" s="53">
        <v>-4.2097398290301494E-4</v>
      </c>
      <c r="Q835" s="54">
        <v>5</v>
      </c>
      <c r="R835" s="55">
        <v>0</v>
      </c>
      <c r="S835" s="55">
        <v>0</v>
      </c>
      <c r="T835" s="56">
        <v>0</v>
      </c>
      <c r="U835" s="57"/>
      <c r="V835" s="55">
        <v>0</v>
      </c>
      <c r="W835" s="55">
        <v>0</v>
      </c>
      <c r="X835" s="58">
        <v>0</v>
      </c>
      <c r="Y835" s="59">
        <v>0</v>
      </c>
      <c r="Z835" s="58">
        <v>0</v>
      </c>
      <c r="AA835" s="56">
        <v>0</v>
      </c>
      <c r="AB835" s="56">
        <v>0</v>
      </c>
      <c r="AC835" s="60">
        <v>46142</v>
      </c>
    </row>
    <row r="836" spans="1:29" x14ac:dyDescent="0.25">
      <c r="A836" s="43">
        <v>1058</v>
      </c>
      <c r="B836" s="44" t="s">
        <v>1283</v>
      </c>
      <c r="C836" s="45">
        <v>10580029</v>
      </c>
      <c r="D836" s="46" t="s">
        <v>1148</v>
      </c>
      <c r="E836" s="47" t="s">
        <v>364</v>
      </c>
      <c r="F836" s="47" t="s">
        <v>58</v>
      </c>
      <c r="G836" s="62">
        <v>194.39999999999995</v>
      </c>
      <c r="H836" s="62">
        <v>8324.8499999999985</v>
      </c>
      <c r="I836" s="49">
        <v>0</v>
      </c>
      <c r="J836" s="49">
        <v>0</v>
      </c>
      <c r="K836" s="49">
        <v>0</v>
      </c>
      <c r="L836" s="50" t="s">
        <v>366</v>
      </c>
      <c r="M836" s="51" t="s">
        <v>367</v>
      </c>
      <c r="N836" s="52" t="s">
        <v>1300</v>
      </c>
      <c r="O836" s="31"/>
      <c r="P836" s="53">
        <v>-8.1598566121479962E-2</v>
      </c>
      <c r="Q836" s="54">
        <v>6</v>
      </c>
      <c r="R836" s="55">
        <v>0</v>
      </c>
      <c r="S836" s="55">
        <v>0</v>
      </c>
      <c r="T836" s="56">
        <v>0</v>
      </c>
      <c r="U836" s="57"/>
      <c r="V836" s="55">
        <v>0</v>
      </c>
      <c r="W836" s="55">
        <v>0</v>
      </c>
      <c r="X836" s="58">
        <v>0</v>
      </c>
      <c r="Y836" s="59">
        <v>0</v>
      </c>
      <c r="Z836" s="58">
        <v>0</v>
      </c>
      <c r="AA836" s="56">
        <v>0</v>
      </c>
      <c r="AB836" s="56">
        <v>0</v>
      </c>
      <c r="AC836" s="60">
        <v>46142</v>
      </c>
    </row>
    <row r="837" spans="1:29" x14ac:dyDescent="0.25">
      <c r="A837" s="43">
        <v>1058</v>
      </c>
      <c r="B837" s="44" t="s">
        <v>1283</v>
      </c>
      <c r="C837" s="45">
        <v>10580030</v>
      </c>
      <c r="D837" s="46" t="s">
        <v>1194</v>
      </c>
      <c r="E837" s="47" t="s">
        <v>364</v>
      </c>
      <c r="F837" s="47" t="s">
        <v>58</v>
      </c>
      <c r="G837" s="62">
        <v>498.59999999999997</v>
      </c>
      <c r="H837" s="62">
        <v>17248.870000000003</v>
      </c>
      <c r="I837" s="49">
        <v>0</v>
      </c>
      <c r="J837" s="49">
        <v>0</v>
      </c>
      <c r="K837" s="49">
        <v>0</v>
      </c>
      <c r="L837" s="50">
        <v>0</v>
      </c>
      <c r="M837" s="51"/>
      <c r="N837" s="52" t="s">
        <v>1300</v>
      </c>
      <c r="O837" s="31"/>
      <c r="P837" s="53">
        <v>-2.5530132451227251E-2</v>
      </c>
      <c r="Q837" s="54">
        <v>1</v>
      </c>
      <c r="R837" s="55">
        <v>0</v>
      </c>
      <c r="S837" s="55">
        <v>0</v>
      </c>
      <c r="T837" s="56">
        <v>0</v>
      </c>
      <c r="U837" s="57"/>
      <c r="V837" s="55">
        <v>0</v>
      </c>
      <c r="W837" s="55">
        <v>0</v>
      </c>
      <c r="X837" s="58">
        <v>0</v>
      </c>
      <c r="Y837" s="59">
        <v>0</v>
      </c>
      <c r="Z837" s="58">
        <v>0</v>
      </c>
      <c r="AA837" s="56">
        <v>0</v>
      </c>
      <c r="AB837" s="56">
        <v>0</v>
      </c>
      <c r="AC837" s="60">
        <v>46142</v>
      </c>
    </row>
    <row r="838" spans="1:29" x14ac:dyDescent="0.25">
      <c r="A838" s="43">
        <v>1059</v>
      </c>
      <c r="B838" s="44" t="s">
        <v>1288</v>
      </c>
      <c r="C838" s="45">
        <v>10590001</v>
      </c>
      <c r="D838" s="46" t="s">
        <v>1195</v>
      </c>
      <c r="E838" s="47" t="s">
        <v>364</v>
      </c>
      <c r="F838" s="47" t="s">
        <v>58</v>
      </c>
      <c r="G838" s="62">
        <v>765.3</v>
      </c>
      <c r="H838" s="62">
        <v>39366.86</v>
      </c>
      <c r="I838" s="49">
        <v>0</v>
      </c>
      <c r="J838" s="49">
        <v>0</v>
      </c>
      <c r="K838" s="49">
        <v>0</v>
      </c>
      <c r="L838" s="50">
        <v>0</v>
      </c>
      <c r="M838" s="51"/>
      <c r="N838" s="52" t="s">
        <v>1300</v>
      </c>
      <c r="O838" s="31"/>
      <c r="P838" s="53">
        <v>-0.15144543072322972</v>
      </c>
      <c r="Q838" s="54">
        <v>5</v>
      </c>
      <c r="R838" s="55">
        <v>0</v>
      </c>
      <c r="S838" s="55">
        <v>0</v>
      </c>
      <c r="T838" s="56">
        <v>0</v>
      </c>
      <c r="U838" s="57"/>
      <c r="V838" s="55">
        <v>0</v>
      </c>
      <c r="W838" s="55">
        <v>0</v>
      </c>
      <c r="X838" s="58">
        <v>0</v>
      </c>
      <c r="Y838" s="59">
        <v>0</v>
      </c>
      <c r="Z838" s="58">
        <v>0</v>
      </c>
      <c r="AA838" s="56">
        <v>0</v>
      </c>
      <c r="AB838" s="56">
        <v>0</v>
      </c>
      <c r="AC838" s="60">
        <v>46142</v>
      </c>
    </row>
    <row r="839" spans="1:29" x14ac:dyDescent="0.25">
      <c r="A839" s="43">
        <v>1059</v>
      </c>
      <c r="B839" s="44" t="s">
        <v>1288</v>
      </c>
      <c r="C839" s="45">
        <v>10590002</v>
      </c>
      <c r="D839" s="46" t="s">
        <v>1196</v>
      </c>
      <c r="E839" s="47" t="s">
        <v>364</v>
      </c>
      <c r="F839" s="47" t="s">
        <v>58</v>
      </c>
      <c r="G839" s="62">
        <v>152.6</v>
      </c>
      <c r="H839" s="62">
        <v>9296.7400000000016</v>
      </c>
      <c r="I839" s="49">
        <v>0</v>
      </c>
      <c r="J839" s="49">
        <v>0</v>
      </c>
      <c r="K839" s="49">
        <v>45.241587096774026</v>
      </c>
      <c r="L839" s="50">
        <v>0</v>
      </c>
      <c r="M839" s="51"/>
      <c r="N839" s="52" t="s">
        <v>1300</v>
      </c>
      <c r="O839" s="31"/>
      <c r="P839" s="53">
        <v>-2.7449538987666285E-2</v>
      </c>
      <c r="Q839" s="54">
        <v>1</v>
      </c>
      <c r="R839" s="55">
        <v>0</v>
      </c>
      <c r="S839" s="55">
        <v>0</v>
      </c>
      <c r="T839" s="56">
        <v>0</v>
      </c>
      <c r="U839" s="57"/>
      <c r="V839" s="55">
        <v>45.241587096774026</v>
      </c>
      <c r="W839" s="55">
        <v>0</v>
      </c>
      <c r="X839" s="58">
        <v>0</v>
      </c>
      <c r="Y839" s="59">
        <v>45.241587096774026</v>
      </c>
      <c r="Z839" s="58">
        <v>45.241587096774026</v>
      </c>
      <c r="AA839" s="56">
        <v>0</v>
      </c>
      <c r="AB839" s="56">
        <v>0</v>
      </c>
      <c r="AC839" s="60">
        <v>46142</v>
      </c>
    </row>
    <row r="840" spans="1:29" x14ac:dyDescent="0.25">
      <c r="A840" s="43">
        <v>1059</v>
      </c>
      <c r="B840" s="44" t="s">
        <v>1288</v>
      </c>
      <c r="C840" s="45">
        <v>10590004</v>
      </c>
      <c r="D840" s="46" t="s">
        <v>1197</v>
      </c>
      <c r="E840" s="47" t="s">
        <v>364</v>
      </c>
      <c r="F840" s="47" t="s">
        <v>58</v>
      </c>
      <c r="G840" s="62">
        <v>964.00000000000011</v>
      </c>
      <c r="H840" s="62">
        <v>35916.740000000005</v>
      </c>
      <c r="I840" s="49">
        <v>0</v>
      </c>
      <c r="J840" s="49">
        <v>0</v>
      </c>
      <c r="K840" s="49">
        <v>0</v>
      </c>
      <c r="L840" s="50">
        <v>0</v>
      </c>
      <c r="M840" s="51"/>
      <c r="N840" s="52" t="s">
        <v>1300</v>
      </c>
      <c r="O840" s="31"/>
      <c r="P840" s="53">
        <v>1.6620496328787451E-3</v>
      </c>
      <c r="Q840" s="54">
        <v>1</v>
      </c>
      <c r="R840" s="55">
        <v>0</v>
      </c>
      <c r="S840" s="55">
        <v>0</v>
      </c>
      <c r="T840" s="56">
        <v>0</v>
      </c>
      <c r="U840" s="57"/>
      <c r="V840" s="55">
        <v>0</v>
      </c>
      <c r="W840" s="55">
        <v>0</v>
      </c>
      <c r="X840" s="58">
        <v>0</v>
      </c>
      <c r="Y840" s="59">
        <v>0</v>
      </c>
      <c r="Z840" s="58">
        <v>0</v>
      </c>
      <c r="AA840" s="56">
        <v>0</v>
      </c>
      <c r="AB840" s="56">
        <v>0</v>
      </c>
      <c r="AC840" s="60">
        <v>46142</v>
      </c>
    </row>
    <row r="841" spans="1:29" x14ac:dyDescent="0.25">
      <c r="A841" s="43">
        <v>1059</v>
      </c>
      <c r="B841" s="44" t="s">
        <v>1288</v>
      </c>
      <c r="C841" s="45">
        <v>10590006</v>
      </c>
      <c r="D841" s="46" t="s">
        <v>1198</v>
      </c>
      <c r="E841" s="47" t="s">
        <v>364</v>
      </c>
      <c r="F841" s="47" t="s">
        <v>58</v>
      </c>
      <c r="G841" s="62">
        <v>351.6</v>
      </c>
      <c r="H841" s="62">
        <v>15216.81</v>
      </c>
      <c r="I841" s="49">
        <v>0</v>
      </c>
      <c r="J841" s="49">
        <v>0</v>
      </c>
      <c r="K841" s="49">
        <v>82.957529032258336</v>
      </c>
      <c r="L841" s="50">
        <v>0</v>
      </c>
      <c r="M841" s="51"/>
      <c r="N841" s="52" t="s">
        <v>1300</v>
      </c>
      <c r="O841" s="31"/>
      <c r="P841" s="53">
        <v>-1.7030050868085829E-3</v>
      </c>
      <c r="Q841" s="54">
        <v>9</v>
      </c>
      <c r="R841" s="55">
        <v>0</v>
      </c>
      <c r="S841" s="55">
        <v>0</v>
      </c>
      <c r="T841" s="56">
        <v>0</v>
      </c>
      <c r="U841" s="57"/>
      <c r="V841" s="55">
        <v>82.957529032258336</v>
      </c>
      <c r="W841" s="55">
        <v>0</v>
      </c>
      <c r="X841" s="58">
        <v>0</v>
      </c>
      <c r="Y841" s="59">
        <v>82.957529032258336</v>
      </c>
      <c r="Z841" s="58">
        <v>82.957529032258336</v>
      </c>
      <c r="AA841" s="56">
        <v>0</v>
      </c>
      <c r="AB841" s="56">
        <v>0</v>
      </c>
      <c r="AC841" s="60">
        <v>46142</v>
      </c>
    </row>
    <row r="842" spans="1:29" x14ac:dyDescent="0.25">
      <c r="A842" s="43">
        <v>1059</v>
      </c>
      <c r="B842" s="44" t="s">
        <v>1288</v>
      </c>
      <c r="C842" s="45">
        <v>10590008</v>
      </c>
      <c r="D842" s="46" t="s">
        <v>1199</v>
      </c>
      <c r="E842" s="47" t="s">
        <v>364</v>
      </c>
      <c r="F842" s="47" t="s">
        <v>58</v>
      </c>
      <c r="G842" s="62">
        <v>306</v>
      </c>
      <c r="H842" s="62">
        <v>13360.589999999998</v>
      </c>
      <c r="I842" s="49">
        <v>0</v>
      </c>
      <c r="J842" s="49">
        <v>0</v>
      </c>
      <c r="K842" s="49">
        <v>0</v>
      </c>
      <c r="L842" s="50">
        <v>0</v>
      </c>
      <c r="M842" s="51"/>
      <c r="N842" s="52" t="s">
        <v>1300</v>
      </c>
      <c r="O842" s="31"/>
      <c r="P842" s="53">
        <v>-8.6047248014496595E-3</v>
      </c>
      <c r="Q842" s="54">
        <v>1</v>
      </c>
      <c r="R842" s="55">
        <v>0</v>
      </c>
      <c r="S842" s="55">
        <v>0</v>
      </c>
      <c r="T842" s="56">
        <v>0</v>
      </c>
      <c r="U842" s="57"/>
      <c r="V842" s="55">
        <v>0</v>
      </c>
      <c r="W842" s="55">
        <v>0</v>
      </c>
      <c r="X842" s="58">
        <v>0</v>
      </c>
      <c r="Y842" s="59">
        <v>0</v>
      </c>
      <c r="Z842" s="58">
        <v>0</v>
      </c>
      <c r="AA842" s="56">
        <v>0</v>
      </c>
      <c r="AB842" s="56">
        <v>0</v>
      </c>
      <c r="AC842" s="60">
        <v>46142</v>
      </c>
    </row>
    <row r="843" spans="1:29" x14ac:dyDescent="0.25">
      <c r="A843" s="43">
        <v>1059</v>
      </c>
      <c r="B843" s="44" t="s">
        <v>1288</v>
      </c>
      <c r="C843" s="45">
        <v>10590010</v>
      </c>
      <c r="D843" s="46" t="s">
        <v>1200</v>
      </c>
      <c r="E843" s="47" t="s">
        <v>364</v>
      </c>
      <c r="F843" s="47" t="s">
        <v>58</v>
      </c>
      <c r="G843" s="62">
        <v>1221.3</v>
      </c>
      <c r="H843" s="62">
        <v>59091.07</v>
      </c>
      <c r="I843" s="49">
        <v>0</v>
      </c>
      <c r="J843" s="49">
        <v>0</v>
      </c>
      <c r="K843" s="49">
        <v>0</v>
      </c>
      <c r="L843" s="50">
        <v>0</v>
      </c>
      <c r="M843" s="51"/>
      <c r="N843" s="52" t="s">
        <v>1300</v>
      </c>
      <c r="O843" s="31"/>
      <c r="P843" s="53">
        <v>8.6131049577170288E-3</v>
      </c>
      <c r="Q843" s="54">
        <v>2</v>
      </c>
      <c r="R843" s="55">
        <v>0</v>
      </c>
      <c r="S843" s="55">
        <v>0</v>
      </c>
      <c r="T843" s="56">
        <v>0</v>
      </c>
      <c r="U843" s="57"/>
      <c r="V843" s="55">
        <v>0</v>
      </c>
      <c r="W843" s="55">
        <v>0</v>
      </c>
      <c r="X843" s="58">
        <v>0</v>
      </c>
      <c r="Y843" s="59">
        <v>0</v>
      </c>
      <c r="Z843" s="58">
        <v>0</v>
      </c>
      <c r="AA843" s="56">
        <v>0</v>
      </c>
      <c r="AB843" s="56">
        <v>0</v>
      </c>
      <c r="AC843" s="60">
        <v>46142</v>
      </c>
    </row>
    <row r="844" spans="1:29" x14ac:dyDescent="0.25">
      <c r="A844" s="43">
        <v>1059</v>
      </c>
      <c r="B844" s="44" t="s">
        <v>1288</v>
      </c>
      <c r="C844" s="45">
        <v>10590011</v>
      </c>
      <c r="D844" s="46" t="s">
        <v>1201</v>
      </c>
      <c r="E844" s="47" t="s">
        <v>364</v>
      </c>
      <c r="F844" s="47" t="s">
        <v>58</v>
      </c>
      <c r="G844" s="62">
        <v>670.60000000000014</v>
      </c>
      <c r="H844" s="62">
        <v>25726.579999999998</v>
      </c>
      <c r="I844" s="49">
        <v>0</v>
      </c>
      <c r="J844" s="49">
        <v>0</v>
      </c>
      <c r="K844" s="49">
        <v>0</v>
      </c>
      <c r="L844" s="50">
        <v>0</v>
      </c>
      <c r="M844" s="51"/>
      <c r="N844" s="52" t="s">
        <v>1300</v>
      </c>
      <c r="O844" s="31"/>
      <c r="P844" s="53">
        <v>-4.7133788095733466E-3</v>
      </c>
      <c r="Q844" s="54">
        <v>6</v>
      </c>
      <c r="R844" s="55">
        <v>0</v>
      </c>
      <c r="S844" s="55">
        <v>0</v>
      </c>
      <c r="T844" s="56">
        <v>0</v>
      </c>
      <c r="U844" s="57"/>
      <c r="V844" s="55">
        <v>0</v>
      </c>
      <c r="W844" s="55">
        <v>0</v>
      </c>
      <c r="X844" s="58">
        <v>0</v>
      </c>
      <c r="Y844" s="59">
        <v>0</v>
      </c>
      <c r="Z844" s="58">
        <v>0</v>
      </c>
      <c r="AA844" s="56">
        <v>0</v>
      </c>
      <c r="AB844" s="56">
        <v>0</v>
      </c>
      <c r="AC844" s="60">
        <v>46142</v>
      </c>
    </row>
    <row r="845" spans="1:29" x14ac:dyDescent="0.25">
      <c r="A845" s="43">
        <v>1059</v>
      </c>
      <c r="B845" s="44" t="s">
        <v>1288</v>
      </c>
      <c r="C845" s="45">
        <v>10590012</v>
      </c>
      <c r="D845" s="46" t="s">
        <v>1202</v>
      </c>
      <c r="E845" s="47" t="s">
        <v>364</v>
      </c>
      <c r="F845" s="47" t="s">
        <v>58</v>
      </c>
      <c r="G845" s="62">
        <v>543.99999999999989</v>
      </c>
      <c r="H845" s="62">
        <v>22343.430000000008</v>
      </c>
      <c r="I845" s="49">
        <v>0</v>
      </c>
      <c r="J845" s="49">
        <v>0</v>
      </c>
      <c r="K845" s="49">
        <v>0</v>
      </c>
      <c r="L845" s="50">
        <v>0</v>
      </c>
      <c r="M845" s="51"/>
      <c r="N845" s="52" t="s">
        <v>1300</v>
      </c>
      <c r="O845" s="31"/>
      <c r="P845" s="53">
        <v>1.797927449407023E-5</v>
      </c>
      <c r="Q845" s="54">
        <v>1</v>
      </c>
      <c r="R845" s="55">
        <v>0</v>
      </c>
      <c r="S845" s="55">
        <v>0</v>
      </c>
      <c r="T845" s="56">
        <v>0</v>
      </c>
      <c r="U845" s="57"/>
      <c r="V845" s="55">
        <v>0</v>
      </c>
      <c r="W845" s="55">
        <v>0</v>
      </c>
      <c r="X845" s="58">
        <v>0</v>
      </c>
      <c r="Y845" s="59">
        <v>0</v>
      </c>
      <c r="Z845" s="58">
        <v>0</v>
      </c>
      <c r="AA845" s="56">
        <v>0</v>
      </c>
      <c r="AB845" s="56">
        <v>0</v>
      </c>
      <c r="AC845" s="60">
        <v>46142</v>
      </c>
    </row>
    <row r="846" spans="1:29" x14ac:dyDescent="0.25">
      <c r="A846" s="43">
        <v>1059</v>
      </c>
      <c r="B846" s="44" t="s">
        <v>1288</v>
      </c>
      <c r="C846" s="45">
        <v>10590013</v>
      </c>
      <c r="D846" s="46" t="s">
        <v>574</v>
      </c>
      <c r="E846" s="47" t="s">
        <v>364</v>
      </c>
      <c r="F846" s="47" t="s">
        <v>58</v>
      </c>
      <c r="G846" s="62">
        <v>318.90000000000003</v>
      </c>
      <c r="H846" s="62">
        <v>14046.060000000001</v>
      </c>
      <c r="I846" s="49">
        <v>0</v>
      </c>
      <c r="J846" s="49">
        <v>0</v>
      </c>
      <c r="K846" s="49">
        <v>0</v>
      </c>
      <c r="L846" s="50">
        <v>0</v>
      </c>
      <c r="M846" s="51"/>
      <c r="N846" s="52" t="s">
        <v>1300</v>
      </c>
      <c r="O846" s="31"/>
      <c r="P846" s="53">
        <v>-2.2175681426678533E-3</v>
      </c>
      <c r="Q846" s="54">
        <v>1</v>
      </c>
      <c r="R846" s="55">
        <v>0</v>
      </c>
      <c r="S846" s="55">
        <v>0</v>
      </c>
      <c r="T846" s="56">
        <v>0</v>
      </c>
      <c r="U846" s="57"/>
      <c r="V846" s="55">
        <v>0</v>
      </c>
      <c r="W846" s="55">
        <v>0</v>
      </c>
      <c r="X846" s="58">
        <v>0</v>
      </c>
      <c r="Y846" s="59">
        <v>0</v>
      </c>
      <c r="Z846" s="58">
        <v>0</v>
      </c>
      <c r="AA846" s="56">
        <v>0</v>
      </c>
      <c r="AB846" s="56">
        <v>0</v>
      </c>
      <c r="AC846" s="60">
        <v>46142</v>
      </c>
    </row>
    <row r="847" spans="1:29" x14ac:dyDescent="0.25">
      <c r="A847" s="43">
        <v>1059</v>
      </c>
      <c r="B847" s="44" t="s">
        <v>1288</v>
      </c>
      <c r="C847" s="45">
        <v>10590014</v>
      </c>
      <c r="D847" s="46" t="s">
        <v>1203</v>
      </c>
      <c r="E847" s="47" t="s">
        <v>364</v>
      </c>
      <c r="F847" s="47" t="s">
        <v>58</v>
      </c>
      <c r="G847" s="62">
        <v>395.6</v>
      </c>
      <c r="H847" s="62">
        <v>17183.099999999999</v>
      </c>
      <c r="I847" s="49">
        <v>0</v>
      </c>
      <c r="J847" s="49">
        <v>0</v>
      </c>
      <c r="K847" s="49">
        <v>0</v>
      </c>
      <c r="L847" s="50">
        <v>0</v>
      </c>
      <c r="M847" s="51"/>
      <c r="N847" s="52" t="s">
        <v>1300</v>
      </c>
      <c r="O847" s="31"/>
      <c r="P847" s="53">
        <v>2.186970715295837E-2</v>
      </c>
      <c r="Q847" s="54">
        <v>1</v>
      </c>
      <c r="R847" s="55">
        <v>0</v>
      </c>
      <c r="S847" s="55">
        <v>0</v>
      </c>
      <c r="T847" s="56">
        <v>0</v>
      </c>
      <c r="U847" s="57"/>
      <c r="V847" s="55">
        <v>0</v>
      </c>
      <c r="W847" s="55">
        <v>0</v>
      </c>
      <c r="X847" s="58">
        <v>0</v>
      </c>
      <c r="Y847" s="59">
        <v>0</v>
      </c>
      <c r="Z847" s="58">
        <v>0</v>
      </c>
      <c r="AA847" s="56">
        <v>0</v>
      </c>
      <c r="AB847" s="56">
        <v>0</v>
      </c>
      <c r="AC847" s="60">
        <v>46142</v>
      </c>
    </row>
    <row r="848" spans="1:29" x14ac:dyDescent="0.25">
      <c r="A848" s="43">
        <v>1059</v>
      </c>
      <c r="B848" s="44" t="s">
        <v>1288</v>
      </c>
      <c r="C848" s="45">
        <v>10590015</v>
      </c>
      <c r="D848" s="46" t="s">
        <v>1204</v>
      </c>
      <c r="E848" s="47" t="s">
        <v>364</v>
      </c>
      <c r="F848" s="47" t="s">
        <v>58</v>
      </c>
      <c r="G848" s="62">
        <v>32.400000000000006</v>
      </c>
      <c r="H848" s="62">
        <v>1593.0100000000002</v>
      </c>
      <c r="I848" s="49">
        <v>0</v>
      </c>
      <c r="J848" s="49">
        <v>0</v>
      </c>
      <c r="K848" s="49">
        <v>0</v>
      </c>
      <c r="L848" s="50">
        <v>0</v>
      </c>
      <c r="M848" s="51"/>
      <c r="N848" s="52" t="s">
        <v>1300</v>
      </c>
      <c r="O848" s="31"/>
      <c r="P848" s="53">
        <v>-1.1891993255534108E-3</v>
      </c>
      <c r="Q848" s="54">
        <v>1</v>
      </c>
      <c r="R848" s="55">
        <v>0</v>
      </c>
      <c r="S848" s="55">
        <v>0</v>
      </c>
      <c r="T848" s="56">
        <v>0</v>
      </c>
      <c r="U848" s="57"/>
      <c r="V848" s="55">
        <v>0</v>
      </c>
      <c r="W848" s="55">
        <v>0</v>
      </c>
      <c r="X848" s="58">
        <v>0</v>
      </c>
      <c r="Y848" s="59">
        <v>0</v>
      </c>
      <c r="Z848" s="58">
        <v>0</v>
      </c>
      <c r="AA848" s="56">
        <v>0</v>
      </c>
      <c r="AB848" s="56">
        <v>0</v>
      </c>
      <c r="AC848" s="60">
        <v>46142</v>
      </c>
    </row>
    <row r="849" spans="1:29" x14ac:dyDescent="0.25">
      <c r="A849" s="43">
        <v>1059</v>
      </c>
      <c r="B849" s="44" t="s">
        <v>1288</v>
      </c>
      <c r="C849" s="45">
        <v>10590016</v>
      </c>
      <c r="D849" s="46" t="s">
        <v>1205</v>
      </c>
      <c r="E849" s="47" t="s">
        <v>371</v>
      </c>
      <c r="F849" s="47" t="s">
        <v>59</v>
      </c>
      <c r="G849" s="62">
        <v>266.09999999999997</v>
      </c>
      <c r="H849" s="62">
        <v>10751.78</v>
      </c>
      <c r="I849" s="49">
        <v>0</v>
      </c>
      <c r="J849" s="49">
        <v>0</v>
      </c>
      <c r="K849" s="49">
        <v>0</v>
      </c>
      <c r="L849" s="50">
        <v>0</v>
      </c>
      <c r="M849" s="51"/>
      <c r="N849" s="52" t="s">
        <v>1300</v>
      </c>
      <c r="O849" s="31"/>
      <c r="P849" s="53">
        <v>0</v>
      </c>
      <c r="Q849" s="54">
        <v>0</v>
      </c>
      <c r="R849" s="55">
        <v>0</v>
      </c>
      <c r="S849" s="55">
        <v>0</v>
      </c>
      <c r="T849" s="56">
        <v>0</v>
      </c>
      <c r="U849" s="57"/>
      <c r="V849" s="55">
        <v>0</v>
      </c>
      <c r="W849" s="55">
        <v>0</v>
      </c>
      <c r="X849" s="58">
        <v>0</v>
      </c>
      <c r="Y849" s="59">
        <v>0</v>
      </c>
      <c r="Z849" s="58">
        <v>0</v>
      </c>
      <c r="AA849" s="56">
        <v>0</v>
      </c>
      <c r="AB849" s="56">
        <v>0</v>
      </c>
      <c r="AC849" s="60">
        <v>46142</v>
      </c>
    </row>
    <row r="850" spans="1:29" x14ac:dyDescent="0.25">
      <c r="A850" s="43">
        <v>1014</v>
      </c>
      <c r="B850" s="44" t="s">
        <v>167</v>
      </c>
      <c r="C850" s="45">
        <v>10600001</v>
      </c>
      <c r="D850" s="46" t="s">
        <v>1206</v>
      </c>
      <c r="E850" s="47" t="s">
        <v>364</v>
      </c>
      <c r="F850" s="47" t="s">
        <v>58</v>
      </c>
      <c r="G850" s="62">
        <v>380.90000000000003</v>
      </c>
      <c r="H850" s="62">
        <v>13414.810000000001</v>
      </c>
      <c r="I850" s="49">
        <v>0</v>
      </c>
      <c r="J850" s="49">
        <v>10859</v>
      </c>
      <c r="K850" s="49">
        <v>0</v>
      </c>
      <c r="L850" s="50">
        <v>0</v>
      </c>
      <c r="M850" s="51"/>
      <c r="N850" s="52" t="s">
        <v>1300</v>
      </c>
      <c r="O850" s="31"/>
      <c r="P850" s="53">
        <v>-2.1502575347396038E-2</v>
      </c>
      <c r="Q850" s="54">
        <v>2</v>
      </c>
      <c r="R850" s="55">
        <v>0</v>
      </c>
      <c r="S850" s="55">
        <v>0</v>
      </c>
      <c r="T850" s="56">
        <v>0</v>
      </c>
      <c r="U850" s="57"/>
      <c r="V850" s="55">
        <v>0</v>
      </c>
      <c r="W850" s="55">
        <v>0</v>
      </c>
      <c r="X850" s="58">
        <v>0</v>
      </c>
      <c r="Y850" s="59">
        <v>0</v>
      </c>
      <c r="Z850" s="58">
        <v>0</v>
      </c>
      <c r="AA850" s="56">
        <v>0</v>
      </c>
      <c r="AB850" s="56">
        <v>0</v>
      </c>
      <c r="AC850" s="60">
        <v>46142</v>
      </c>
    </row>
    <row r="851" spans="1:29" x14ac:dyDescent="0.25">
      <c r="A851" s="43">
        <v>1014</v>
      </c>
      <c r="B851" s="44" t="s">
        <v>167</v>
      </c>
      <c r="C851" s="45">
        <v>10600002</v>
      </c>
      <c r="D851" s="46" t="s">
        <v>1207</v>
      </c>
      <c r="E851" s="47" t="s">
        <v>364</v>
      </c>
      <c r="F851" s="47" t="s">
        <v>58</v>
      </c>
      <c r="G851" s="62">
        <v>318.60000000000002</v>
      </c>
      <c r="H851" s="62">
        <v>11213.6</v>
      </c>
      <c r="I851" s="49">
        <v>0</v>
      </c>
      <c r="J851" s="49">
        <v>0</v>
      </c>
      <c r="K851" s="49">
        <v>0</v>
      </c>
      <c r="L851" s="50">
        <v>0</v>
      </c>
      <c r="M851" s="51"/>
      <c r="N851" s="52" t="s">
        <v>1300</v>
      </c>
      <c r="O851" s="31"/>
      <c r="P851" s="53">
        <v>4.8729342940713755E-3</v>
      </c>
      <c r="Q851" s="54">
        <v>1</v>
      </c>
      <c r="R851" s="55">
        <v>0</v>
      </c>
      <c r="S851" s="55">
        <v>0</v>
      </c>
      <c r="T851" s="56">
        <v>0</v>
      </c>
      <c r="U851" s="57"/>
      <c r="V851" s="55">
        <v>0</v>
      </c>
      <c r="W851" s="55">
        <v>0</v>
      </c>
      <c r="X851" s="58">
        <v>0</v>
      </c>
      <c r="Y851" s="59">
        <v>0</v>
      </c>
      <c r="Z851" s="58">
        <v>0</v>
      </c>
      <c r="AA851" s="56">
        <v>0</v>
      </c>
      <c r="AB851" s="56">
        <v>0</v>
      </c>
      <c r="AC851" s="60">
        <v>46142</v>
      </c>
    </row>
    <row r="852" spans="1:29" x14ac:dyDescent="0.25">
      <c r="A852" s="43">
        <v>1014</v>
      </c>
      <c r="B852" s="44" t="s">
        <v>167</v>
      </c>
      <c r="C852" s="45">
        <v>10600004</v>
      </c>
      <c r="D852" s="46" t="s">
        <v>1208</v>
      </c>
      <c r="E852" s="47" t="s">
        <v>364</v>
      </c>
      <c r="F852" s="47" t="s">
        <v>58</v>
      </c>
      <c r="G852" s="62">
        <v>127.2</v>
      </c>
      <c r="H852" s="62">
        <v>4636.28</v>
      </c>
      <c r="I852" s="49">
        <v>0</v>
      </c>
      <c r="J852" s="49">
        <v>4636</v>
      </c>
      <c r="K852" s="49">
        <v>0</v>
      </c>
      <c r="L852" s="50" t="s">
        <v>366</v>
      </c>
      <c r="M852" s="51" t="s">
        <v>554</v>
      </c>
      <c r="N852" s="52" t="s">
        <v>1300</v>
      </c>
      <c r="O852" s="31"/>
      <c r="P852" s="53">
        <v>-0.27464488809211279</v>
      </c>
      <c r="Q852" s="54">
        <v>2</v>
      </c>
      <c r="R852" s="55">
        <v>6400</v>
      </c>
      <c r="S852" s="55">
        <v>0</v>
      </c>
      <c r="T852" s="56">
        <v>6400</v>
      </c>
      <c r="U852" s="57"/>
      <c r="V852" s="55">
        <v>0</v>
      </c>
      <c r="W852" s="55">
        <v>0</v>
      </c>
      <c r="X852" s="58">
        <v>0</v>
      </c>
      <c r="Y852" s="59">
        <v>0</v>
      </c>
      <c r="Z852" s="58">
        <v>0</v>
      </c>
      <c r="AA852" s="56">
        <v>0</v>
      </c>
      <c r="AB852" s="56">
        <v>0</v>
      </c>
      <c r="AC852" s="60">
        <v>46142</v>
      </c>
    </row>
    <row r="853" spans="1:29" x14ac:dyDescent="0.25">
      <c r="A853" s="43">
        <v>1014</v>
      </c>
      <c r="B853" s="44" t="s">
        <v>167</v>
      </c>
      <c r="C853" s="45">
        <v>10600005</v>
      </c>
      <c r="D853" s="46" t="s">
        <v>1209</v>
      </c>
      <c r="E853" s="47" t="s">
        <v>364</v>
      </c>
      <c r="F853" s="47" t="s">
        <v>58</v>
      </c>
      <c r="G853" s="62">
        <v>183.6</v>
      </c>
      <c r="H853" s="62">
        <v>6887.73</v>
      </c>
      <c r="I853" s="49">
        <v>0</v>
      </c>
      <c r="J853" s="49">
        <v>0</v>
      </c>
      <c r="K853" s="49">
        <v>0</v>
      </c>
      <c r="L853" s="50" t="s">
        <v>409</v>
      </c>
      <c r="M853" s="51" t="s">
        <v>410</v>
      </c>
      <c r="N853" s="52" t="s">
        <v>1300</v>
      </c>
      <c r="O853" s="31"/>
      <c r="P853" s="53">
        <v>1.5857154679385828E-4</v>
      </c>
      <c r="Q853" s="54">
        <v>1</v>
      </c>
      <c r="R853" s="55">
        <v>5120</v>
      </c>
      <c r="S853" s="55">
        <v>0</v>
      </c>
      <c r="T853" s="56">
        <v>5120</v>
      </c>
      <c r="U853" s="57"/>
      <c r="V853" s="55">
        <v>0</v>
      </c>
      <c r="W853" s="55">
        <v>0</v>
      </c>
      <c r="X853" s="58">
        <v>0</v>
      </c>
      <c r="Y853" s="59">
        <v>0</v>
      </c>
      <c r="Z853" s="58">
        <v>0</v>
      </c>
      <c r="AA853" s="56">
        <v>0</v>
      </c>
      <c r="AB853" s="56">
        <v>0</v>
      </c>
      <c r="AC853" s="60">
        <v>46142</v>
      </c>
    </row>
    <row r="854" spans="1:29" x14ac:dyDescent="0.25">
      <c r="A854" s="43">
        <v>1014</v>
      </c>
      <c r="B854" s="44" t="s">
        <v>167</v>
      </c>
      <c r="C854" s="45">
        <v>10600006</v>
      </c>
      <c r="D854" s="46" t="s">
        <v>1210</v>
      </c>
      <c r="E854" s="47" t="s">
        <v>364</v>
      </c>
      <c r="F854" s="47" t="s">
        <v>58</v>
      </c>
      <c r="G854" s="62">
        <v>109.89999999999999</v>
      </c>
      <c r="H854" s="62">
        <v>4152.7900000000009</v>
      </c>
      <c r="I854" s="49">
        <v>0</v>
      </c>
      <c r="J854" s="49">
        <v>0</v>
      </c>
      <c r="K854" s="49">
        <v>0</v>
      </c>
      <c r="L854" s="50">
        <v>0</v>
      </c>
      <c r="M854" s="51"/>
      <c r="N854" s="52" t="s">
        <v>1300</v>
      </c>
      <c r="O854" s="31"/>
      <c r="P854" s="53">
        <v>-5.7326657389369561E-2</v>
      </c>
      <c r="Q854" s="54">
        <v>1</v>
      </c>
      <c r="R854" s="55">
        <v>0</v>
      </c>
      <c r="S854" s="55">
        <v>0</v>
      </c>
      <c r="T854" s="56">
        <v>0</v>
      </c>
      <c r="U854" s="57"/>
      <c r="V854" s="55">
        <v>0</v>
      </c>
      <c r="W854" s="55">
        <v>0</v>
      </c>
      <c r="X854" s="58">
        <v>0</v>
      </c>
      <c r="Y854" s="59">
        <v>0</v>
      </c>
      <c r="Z854" s="58">
        <v>0</v>
      </c>
      <c r="AA854" s="56">
        <v>0</v>
      </c>
      <c r="AB854" s="56">
        <v>0</v>
      </c>
      <c r="AC854" s="60">
        <v>46142</v>
      </c>
    </row>
    <row r="855" spans="1:29" x14ac:dyDescent="0.25">
      <c r="A855" s="43">
        <v>1014</v>
      </c>
      <c r="B855" s="44" t="s">
        <v>167</v>
      </c>
      <c r="C855" s="45">
        <v>10600008</v>
      </c>
      <c r="D855" s="46" t="s">
        <v>1211</v>
      </c>
      <c r="E855" s="47" t="s">
        <v>364</v>
      </c>
      <c r="F855" s="47" t="s">
        <v>58</v>
      </c>
      <c r="G855" s="62">
        <v>143.69999999999999</v>
      </c>
      <c r="H855" s="62">
        <v>4810.79</v>
      </c>
      <c r="I855" s="49">
        <v>0</v>
      </c>
      <c r="J855" s="49">
        <v>0</v>
      </c>
      <c r="K855" s="49">
        <v>0</v>
      </c>
      <c r="L855" s="50" t="s">
        <v>409</v>
      </c>
      <c r="M855" s="51" t="s">
        <v>410</v>
      </c>
      <c r="N855" s="52" t="s">
        <v>1300</v>
      </c>
      <c r="O855" s="31"/>
      <c r="P855" s="53">
        <v>1.2188837176430311E-2</v>
      </c>
      <c r="Q855" s="54">
        <v>1</v>
      </c>
      <c r="R855" s="55">
        <v>5200</v>
      </c>
      <c r="S855" s="55">
        <v>0</v>
      </c>
      <c r="T855" s="56">
        <v>5200</v>
      </c>
      <c r="U855" s="57"/>
      <c r="V855" s="55">
        <v>0</v>
      </c>
      <c r="W855" s="55">
        <v>0</v>
      </c>
      <c r="X855" s="58">
        <v>0</v>
      </c>
      <c r="Y855" s="59">
        <v>0</v>
      </c>
      <c r="Z855" s="58">
        <v>0</v>
      </c>
      <c r="AA855" s="56">
        <v>0</v>
      </c>
      <c r="AB855" s="56">
        <v>0</v>
      </c>
      <c r="AC855" s="60">
        <v>46142</v>
      </c>
    </row>
    <row r="856" spans="1:29" x14ac:dyDescent="0.25">
      <c r="A856" s="43">
        <v>1014</v>
      </c>
      <c r="B856" s="44" t="s">
        <v>167</v>
      </c>
      <c r="C856" s="45">
        <v>10600009</v>
      </c>
      <c r="D856" s="46" t="s">
        <v>1212</v>
      </c>
      <c r="E856" s="47" t="s">
        <v>364</v>
      </c>
      <c r="F856" s="47" t="s">
        <v>58</v>
      </c>
      <c r="G856" s="62">
        <v>433.4</v>
      </c>
      <c r="H856" s="62">
        <v>15659.909999999998</v>
      </c>
      <c r="I856" s="49">
        <v>0</v>
      </c>
      <c r="J856" s="49">
        <v>0</v>
      </c>
      <c r="K856" s="49">
        <v>0</v>
      </c>
      <c r="L856" s="50">
        <v>0</v>
      </c>
      <c r="M856" s="51"/>
      <c r="N856" s="52" t="s">
        <v>1300</v>
      </c>
      <c r="O856" s="31"/>
      <c r="P856" s="53">
        <v>-0.2743824001068399</v>
      </c>
      <c r="Q856" s="54">
        <v>2</v>
      </c>
      <c r="R856" s="55">
        <v>0</v>
      </c>
      <c r="S856" s="55">
        <v>0</v>
      </c>
      <c r="T856" s="56">
        <v>0</v>
      </c>
      <c r="U856" s="57"/>
      <c r="V856" s="55">
        <v>0</v>
      </c>
      <c r="W856" s="55">
        <v>0</v>
      </c>
      <c r="X856" s="58">
        <v>0</v>
      </c>
      <c r="Y856" s="59">
        <v>0</v>
      </c>
      <c r="Z856" s="58">
        <v>0</v>
      </c>
      <c r="AA856" s="56">
        <v>0</v>
      </c>
      <c r="AB856" s="56">
        <v>0</v>
      </c>
      <c r="AC856" s="60">
        <v>46142</v>
      </c>
    </row>
    <row r="857" spans="1:29" x14ac:dyDescent="0.25">
      <c r="A857" s="43">
        <v>1014</v>
      </c>
      <c r="B857" s="44" t="s">
        <v>167</v>
      </c>
      <c r="C857" s="45">
        <v>10600012</v>
      </c>
      <c r="D857" s="46" t="s">
        <v>1213</v>
      </c>
      <c r="E857" s="47" t="s">
        <v>364</v>
      </c>
      <c r="F857" s="47" t="s">
        <v>58</v>
      </c>
      <c r="G857" s="62">
        <v>458.1</v>
      </c>
      <c r="H857" s="62">
        <v>16093.11</v>
      </c>
      <c r="I857" s="49">
        <v>0</v>
      </c>
      <c r="J857" s="49">
        <v>0</v>
      </c>
      <c r="K857" s="49">
        <v>0</v>
      </c>
      <c r="L857" s="50" t="s">
        <v>409</v>
      </c>
      <c r="M857" s="51" t="s">
        <v>410</v>
      </c>
      <c r="N857" s="52" t="s">
        <v>1300</v>
      </c>
      <c r="O857" s="31"/>
      <c r="P857" s="53">
        <v>1.2116852215638054E-3</v>
      </c>
      <c r="Q857" s="54">
        <v>2</v>
      </c>
      <c r="R857" s="55">
        <v>2600</v>
      </c>
      <c r="S857" s="55">
        <v>0</v>
      </c>
      <c r="T857" s="56">
        <v>2600</v>
      </c>
      <c r="U857" s="57"/>
      <c r="V857" s="55">
        <v>0</v>
      </c>
      <c r="W857" s="55">
        <v>0</v>
      </c>
      <c r="X857" s="58">
        <v>0</v>
      </c>
      <c r="Y857" s="59">
        <v>0</v>
      </c>
      <c r="Z857" s="58">
        <v>0</v>
      </c>
      <c r="AA857" s="56">
        <v>0</v>
      </c>
      <c r="AB857" s="56">
        <v>0</v>
      </c>
      <c r="AC857" s="60">
        <v>46142</v>
      </c>
    </row>
    <row r="858" spans="1:29" x14ac:dyDescent="0.25">
      <c r="A858" s="43">
        <v>1014</v>
      </c>
      <c r="B858" s="44" t="s">
        <v>167</v>
      </c>
      <c r="C858" s="45">
        <v>10600013</v>
      </c>
      <c r="D858" s="46" t="s">
        <v>1214</v>
      </c>
      <c r="E858" s="47" t="s">
        <v>364</v>
      </c>
      <c r="F858" s="47" t="s">
        <v>58</v>
      </c>
      <c r="G858" s="62">
        <v>267.8</v>
      </c>
      <c r="H858" s="62">
        <v>11654.23</v>
      </c>
      <c r="I858" s="49">
        <v>0</v>
      </c>
      <c r="J858" s="49">
        <v>0</v>
      </c>
      <c r="K858" s="49">
        <v>0</v>
      </c>
      <c r="L858" s="50" t="s">
        <v>409</v>
      </c>
      <c r="M858" s="51" t="s">
        <v>410</v>
      </c>
      <c r="N858" s="52" t="s">
        <v>1300</v>
      </c>
      <c r="O858" s="31"/>
      <c r="P858" s="53">
        <v>-0.5157349194108849</v>
      </c>
      <c r="Q858" s="54">
        <v>2</v>
      </c>
      <c r="R858" s="55">
        <v>2600</v>
      </c>
      <c r="S858" s="55">
        <v>0</v>
      </c>
      <c r="T858" s="56">
        <v>2600</v>
      </c>
      <c r="U858" s="57"/>
      <c r="V858" s="55">
        <v>0</v>
      </c>
      <c r="W858" s="55">
        <v>0</v>
      </c>
      <c r="X858" s="58">
        <v>0</v>
      </c>
      <c r="Y858" s="59">
        <v>0</v>
      </c>
      <c r="Z858" s="58">
        <v>0</v>
      </c>
      <c r="AA858" s="56">
        <v>0</v>
      </c>
      <c r="AB858" s="56">
        <v>0</v>
      </c>
      <c r="AC858" s="60">
        <v>46142</v>
      </c>
    </row>
    <row r="859" spans="1:29" x14ac:dyDescent="0.25">
      <c r="A859" s="43">
        <v>1061</v>
      </c>
      <c r="B859" s="44" t="s">
        <v>1298</v>
      </c>
      <c r="C859" s="45">
        <v>10610001</v>
      </c>
      <c r="D859" s="46" t="s">
        <v>1215</v>
      </c>
      <c r="E859" s="47" t="s">
        <v>364</v>
      </c>
      <c r="F859" s="47" t="s">
        <v>58</v>
      </c>
      <c r="G859" s="62">
        <v>872.69999999999993</v>
      </c>
      <c r="H859" s="62">
        <v>38723.260000000009</v>
      </c>
      <c r="I859" s="49">
        <v>0</v>
      </c>
      <c r="J859" s="49">
        <v>0</v>
      </c>
      <c r="K859" s="49">
        <v>0</v>
      </c>
      <c r="L859" s="50">
        <v>0</v>
      </c>
      <c r="M859" s="51"/>
      <c r="N859" s="52" t="s">
        <v>1300</v>
      </c>
      <c r="O859" s="31"/>
      <c r="P859" s="53">
        <v>-1.486497637936467E-2</v>
      </c>
      <c r="Q859" s="54">
        <v>6</v>
      </c>
      <c r="R859" s="55">
        <v>0</v>
      </c>
      <c r="S859" s="55">
        <v>0</v>
      </c>
      <c r="T859" s="56">
        <v>0</v>
      </c>
      <c r="U859" s="57"/>
      <c r="V859" s="55">
        <v>0</v>
      </c>
      <c r="W859" s="55">
        <v>0</v>
      </c>
      <c r="X859" s="58">
        <v>0</v>
      </c>
      <c r="Y859" s="59">
        <v>0</v>
      </c>
      <c r="Z859" s="58">
        <v>0</v>
      </c>
      <c r="AA859" s="56">
        <v>0</v>
      </c>
      <c r="AB859" s="56">
        <v>0</v>
      </c>
      <c r="AC859" s="60">
        <v>46142</v>
      </c>
    </row>
    <row r="860" spans="1:29" x14ac:dyDescent="0.25">
      <c r="A860" s="43">
        <v>1061</v>
      </c>
      <c r="B860" s="44" t="s">
        <v>1298</v>
      </c>
      <c r="C860" s="45">
        <v>10610002</v>
      </c>
      <c r="D860" s="46" t="s">
        <v>1216</v>
      </c>
      <c r="E860" s="47" t="s">
        <v>364</v>
      </c>
      <c r="F860" s="47" t="s">
        <v>58</v>
      </c>
      <c r="G860" s="62">
        <v>321.49999999999994</v>
      </c>
      <c r="H860" s="62">
        <v>15013.240000000002</v>
      </c>
      <c r="I860" s="49">
        <v>0</v>
      </c>
      <c r="J860" s="49">
        <v>0</v>
      </c>
      <c r="K860" s="49">
        <v>0</v>
      </c>
      <c r="L860" s="50">
        <v>0</v>
      </c>
      <c r="M860" s="51"/>
      <c r="N860" s="52" t="s">
        <v>1300</v>
      </c>
      <c r="O860" s="31"/>
      <c r="P860" s="53">
        <v>-4.6840643528951793E-2</v>
      </c>
      <c r="Q860" s="54">
        <v>10</v>
      </c>
      <c r="R860" s="55">
        <v>0</v>
      </c>
      <c r="S860" s="55">
        <v>0</v>
      </c>
      <c r="T860" s="56">
        <v>0</v>
      </c>
      <c r="U860" s="57"/>
      <c r="V860" s="55">
        <v>0</v>
      </c>
      <c r="W860" s="55">
        <v>0</v>
      </c>
      <c r="X860" s="58">
        <v>0</v>
      </c>
      <c r="Y860" s="59">
        <v>0</v>
      </c>
      <c r="Z860" s="58">
        <v>0</v>
      </c>
      <c r="AA860" s="56">
        <v>0</v>
      </c>
      <c r="AB860" s="56">
        <v>0</v>
      </c>
      <c r="AC860" s="60">
        <v>46142</v>
      </c>
    </row>
    <row r="861" spans="1:29" x14ac:dyDescent="0.25">
      <c r="A861" s="43">
        <v>1061</v>
      </c>
      <c r="B861" s="44" t="s">
        <v>1298</v>
      </c>
      <c r="C861" s="45">
        <v>10610003</v>
      </c>
      <c r="D861" s="46" t="s">
        <v>1217</v>
      </c>
      <c r="E861" s="47" t="s">
        <v>364</v>
      </c>
      <c r="F861" s="47" t="s">
        <v>58</v>
      </c>
      <c r="G861" s="62">
        <v>497.3</v>
      </c>
      <c r="H861" s="62">
        <v>20102.57</v>
      </c>
      <c r="I861" s="49">
        <v>0</v>
      </c>
      <c r="J861" s="49">
        <v>0</v>
      </c>
      <c r="K861" s="49">
        <v>0</v>
      </c>
      <c r="L861" s="50">
        <v>0</v>
      </c>
      <c r="M861" s="51"/>
      <c r="N861" s="52" t="s">
        <v>1300</v>
      </c>
      <c r="O861" s="31"/>
      <c r="P861" s="53">
        <v>2.4351191021396559E-2</v>
      </c>
      <c r="Q861" s="54">
        <v>3</v>
      </c>
      <c r="R861" s="55">
        <v>0</v>
      </c>
      <c r="S861" s="55">
        <v>0</v>
      </c>
      <c r="T861" s="56">
        <v>0</v>
      </c>
      <c r="U861" s="57"/>
      <c r="V861" s="55">
        <v>0</v>
      </c>
      <c r="W861" s="55">
        <v>0</v>
      </c>
      <c r="X861" s="58">
        <v>0</v>
      </c>
      <c r="Y861" s="59">
        <v>0</v>
      </c>
      <c r="Z861" s="58">
        <v>0</v>
      </c>
      <c r="AA861" s="56">
        <v>0</v>
      </c>
      <c r="AB861" s="56">
        <v>0</v>
      </c>
      <c r="AC861" s="60">
        <v>46142</v>
      </c>
    </row>
    <row r="862" spans="1:29" x14ac:dyDescent="0.25">
      <c r="A862" s="43">
        <v>1061</v>
      </c>
      <c r="B862" s="44" t="s">
        <v>1298</v>
      </c>
      <c r="C862" s="45">
        <v>10610004</v>
      </c>
      <c r="D862" s="46" t="s">
        <v>1218</v>
      </c>
      <c r="E862" s="47" t="s">
        <v>364</v>
      </c>
      <c r="F862" s="47" t="s">
        <v>58</v>
      </c>
      <c r="G862" s="62">
        <v>164.8</v>
      </c>
      <c r="H862" s="62">
        <v>6838.16</v>
      </c>
      <c r="I862" s="49">
        <v>0</v>
      </c>
      <c r="J862" s="49">
        <v>0</v>
      </c>
      <c r="K862" s="49">
        <v>0</v>
      </c>
      <c r="L862" s="50">
        <v>0</v>
      </c>
      <c r="M862" s="51"/>
      <c r="N862" s="52" t="s">
        <v>1300</v>
      </c>
      <c r="O862" s="31"/>
      <c r="P862" s="53">
        <v>7.0227430419864317E-2</v>
      </c>
      <c r="Q862" s="54">
        <v>4</v>
      </c>
      <c r="R862" s="55">
        <v>0</v>
      </c>
      <c r="S862" s="55">
        <v>0</v>
      </c>
      <c r="T862" s="56">
        <v>0</v>
      </c>
      <c r="U862" s="57"/>
      <c r="V862" s="55">
        <v>0</v>
      </c>
      <c r="W862" s="55">
        <v>0</v>
      </c>
      <c r="X862" s="58">
        <v>0</v>
      </c>
      <c r="Y862" s="59">
        <v>0</v>
      </c>
      <c r="Z862" s="58">
        <v>0</v>
      </c>
      <c r="AA862" s="56">
        <v>0</v>
      </c>
      <c r="AB862" s="56">
        <v>0</v>
      </c>
      <c r="AC862" s="60">
        <v>46142</v>
      </c>
    </row>
    <row r="863" spans="1:29" x14ac:dyDescent="0.25">
      <c r="A863" s="43">
        <v>1061</v>
      </c>
      <c r="B863" s="44" t="s">
        <v>1298</v>
      </c>
      <c r="C863" s="45">
        <v>10610005</v>
      </c>
      <c r="D863" s="46" t="s">
        <v>940</v>
      </c>
      <c r="E863" s="47" t="s">
        <v>364</v>
      </c>
      <c r="F863" s="47" t="s">
        <v>58</v>
      </c>
      <c r="G863" s="62">
        <v>388.4</v>
      </c>
      <c r="H863" s="62">
        <v>16501.149999999998</v>
      </c>
      <c r="I863" s="49">
        <v>0</v>
      </c>
      <c r="J863" s="49">
        <v>0</v>
      </c>
      <c r="K863" s="49">
        <v>0</v>
      </c>
      <c r="L863" s="50">
        <v>0</v>
      </c>
      <c r="M863" s="51"/>
      <c r="N863" s="52" t="s">
        <v>1300</v>
      </c>
      <c r="O863" s="31"/>
      <c r="P863" s="53">
        <v>-4.6923024234729167E-2</v>
      </c>
      <c r="Q863" s="54">
        <v>4</v>
      </c>
      <c r="R863" s="55">
        <v>0</v>
      </c>
      <c r="S863" s="55">
        <v>0</v>
      </c>
      <c r="T863" s="56">
        <v>0</v>
      </c>
      <c r="U863" s="57"/>
      <c r="V863" s="55">
        <v>0</v>
      </c>
      <c r="W863" s="55">
        <v>0</v>
      </c>
      <c r="X863" s="58">
        <v>0</v>
      </c>
      <c r="Y863" s="59">
        <v>0</v>
      </c>
      <c r="Z863" s="58">
        <v>0</v>
      </c>
      <c r="AA863" s="56">
        <v>0</v>
      </c>
      <c r="AB863" s="56">
        <v>0</v>
      </c>
      <c r="AC863" s="60">
        <v>46142</v>
      </c>
    </row>
    <row r="864" spans="1:29" x14ac:dyDescent="0.25">
      <c r="A864" s="43">
        <v>1061</v>
      </c>
      <c r="B864" s="44" t="s">
        <v>1298</v>
      </c>
      <c r="C864" s="45">
        <v>10610006</v>
      </c>
      <c r="D864" s="46" t="s">
        <v>1219</v>
      </c>
      <c r="E864" s="47" t="s">
        <v>364</v>
      </c>
      <c r="F864" s="47" t="s">
        <v>58</v>
      </c>
      <c r="G864" s="62">
        <v>414.7</v>
      </c>
      <c r="H864" s="62">
        <v>19681.420000000002</v>
      </c>
      <c r="I864" s="49">
        <v>0</v>
      </c>
      <c r="J864" s="49">
        <v>0</v>
      </c>
      <c r="K864" s="49">
        <v>0</v>
      </c>
      <c r="L864" s="50">
        <v>0</v>
      </c>
      <c r="M864" s="51"/>
      <c r="N864" s="52" t="s">
        <v>1300</v>
      </c>
      <c r="O864" s="31"/>
      <c r="P864" s="53">
        <v>4.0691850045362819E-2</v>
      </c>
      <c r="Q864" s="54">
        <v>12</v>
      </c>
      <c r="R864" s="55">
        <v>0</v>
      </c>
      <c r="S864" s="55">
        <v>0</v>
      </c>
      <c r="T864" s="56">
        <v>0</v>
      </c>
      <c r="U864" s="57"/>
      <c r="V864" s="55">
        <v>0</v>
      </c>
      <c r="W864" s="55">
        <v>0</v>
      </c>
      <c r="X864" s="58">
        <v>0</v>
      </c>
      <c r="Y864" s="59">
        <v>0</v>
      </c>
      <c r="Z864" s="58">
        <v>0</v>
      </c>
      <c r="AA864" s="56">
        <v>0</v>
      </c>
      <c r="AB864" s="56">
        <v>0</v>
      </c>
      <c r="AC864" s="60">
        <v>46142</v>
      </c>
    </row>
    <row r="865" spans="1:29" x14ac:dyDescent="0.25">
      <c r="A865" s="43">
        <v>1061</v>
      </c>
      <c r="B865" s="44" t="s">
        <v>1298</v>
      </c>
      <c r="C865" s="45">
        <v>10610007</v>
      </c>
      <c r="D865" s="46" t="s">
        <v>1220</v>
      </c>
      <c r="E865" s="47" t="s">
        <v>364</v>
      </c>
      <c r="F865" s="47" t="s">
        <v>58</v>
      </c>
      <c r="G865" s="62">
        <v>284</v>
      </c>
      <c r="H865" s="62">
        <v>14674.699999999999</v>
      </c>
      <c r="I865" s="49">
        <v>0</v>
      </c>
      <c r="J865" s="49">
        <v>0</v>
      </c>
      <c r="K865" s="49">
        <v>0</v>
      </c>
      <c r="L865" s="50">
        <v>0</v>
      </c>
      <c r="M865" s="51"/>
      <c r="N865" s="52" t="s">
        <v>1300</v>
      </c>
      <c r="O865" s="31"/>
      <c r="P865" s="53">
        <v>6.4322273446993988E-3</v>
      </c>
      <c r="Q865" s="54">
        <v>13</v>
      </c>
      <c r="R865" s="55">
        <v>0</v>
      </c>
      <c r="S865" s="55">
        <v>0</v>
      </c>
      <c r="T865" s="56">
        <v>0</v>
      </c>
      <c r="U865" s="57"/>
      <c r="V865" s="55">
        <v>0</v>
      </c>
      <c r="W865" s="55">
        <v>0</v>
      </c>
      <c r="X865" s="58">
        <v>0</v>
      </c>
      <c r="Y865" s="59">
        <v>0</v>
      </c>
      <c r="Z865" s="58">
        <v>0</v>
      </c>
      <c r="AA865" s="56">
        <v>0</v>
      </c>
      <c r="AB865" s="56">
        <v>0</v>
      </c>
      <c r="AC865" s="60">
        <v>46142</v>
      </c>
    </row>
    <row r="866" spans="1:29" x14ac:dyDescent="0.25">
      <c r="A866" s="43">
        <v>1061</v>
      </c>
      <c r="B866" s="44" t="s">
        <v>1298</v>
      </c>
      <c r="C866" s="45">
        <v>10610008</v>
      </c>
      <c r="D866" s="46" t="s">
        <v>1221</v>
      </c>
      <c r="E866" s="47" t="s">
        <v>364</v>
      </c>
      <c r="F866" s="47" t="s">
        <v>58</v>
      </c>
      <c r="G866" s="62">
        <v>496.99999999999994</v>
      </c>
      <c r="H866" s="62">
        <v>21845.450000000004</v>
      </c>
      <c r="I866" s="49">
        <v>0</v>
      </c>
      <c r="J866" s="49">
        <v>0</v>
      </c>
      <c r="K866" s="49">
        <v>0</v>
      </c>
      <c r="L866" s="50">
        <v>0</v>
      </c>
      <c r="M866" s="51"/>
      <c r="N866" s="52" t="s">
        <v>1300</v>
      </c>
      <c r="O866" s="31"/>
      <c r="P866" s="53">
        <v>-8.8632220090682695E-2</v>
      </c>
      <c r="Q866" s="54">
        <v>2</v>
      </c>
      <c r="R866" s="55">
        <v>0</v>
      </c>
      <c r="S866" s="55">
        <v>0</v>
      </c>
      <c r="T866" s="56">
        <v>0</v>
      </c>
      <c r="U866" s="57"/>
      <c r="V866" s="55">
        <v>0</v>
      </c>
      <c r="W866" s="55">
        <v>0</v>
      </c>
      <c r="X866" s="58">
        <v>0</v>
      </c>
      <c r="Y866" s="59">
        <v>0</v>
      </c>
      <c r="Z866" s="58">
        <v>0</v>
      </c>
      <c r="AA866" s="56">
        <v>0</v>
      </c>
      <c r="AB866" s="56">
        <v>0</v>
      </c>
      <c r="AC866" s="60">
        <v>46142</v>
      </c>
    </row>
    <row r="867" spans="1:29" x14ac:dyDescent="0.25">
      <c r="A867" s="43">
        <v>1061</v>
      </c>
      <c r="B867" s="44" t="s">
        <v>1298</v>
      </c>
      <c r="C867" s="45">
        <v>10610009</v>
      </c>
      <c r="D867" s="46" t="s">
        <v>1222</v>
      </c>
      <c r="E867" s="47" t="s">
        <v>364</v>
      </c>
      <c r="F867" s="47" t="s">
        <v>58</v>
      </c>
      <c r="G867" s="62">
        <v>971.19999999999993</v>
      </c>
      <c r="H867" s="62">
        <v>42662.009999999995</v>
      </c>
      <c r="I867" s="49">
        <v>0</v>
      </c>
      <c r="J867" s="49">
        <v>0</v>
      </c>
      <c r="K867" s="49">
        <v>0</v>
      </c>
      <c r="L867" s="50" t="s">
        <v>409</v>
      </c>
      <c r="M867" s="51" t="s">
        <v>410</v>
      </c>
      <c r="N867" s="52" t="s">
        <v>1300</v>
      </c>
      <c r="O867" s="31"/>
      <c r="P867" s="53">
        <v>-1.0265674768185854E-2</v>
      </c>
      <c r="Q867" s="54">
        <v>33</v>
      </c>
      <c r="R867" s="55">
        <v>2600</v>
      </c>
      <c r="S867" s="55">
        <v>0</v>
      </c>
      <c r="T867" s="56">
        <v>2600</v>
      </c>
      <c r="U867" s="57"/>
      <c r="V867" s="55">
        <v>0</v>
      </c>
      <c r="W867" s="55">
        <v>0</v>
      </c>
      <c r="X867" s="58">
        <v>0</v>
      </c>
      <c r="Y867" s="59">
        <v>0</v>
      </c>
      <c r="Z867" s="58">
        <v>0</v>
      </c>
      <c r="AA867" s="56">
        <v>0</v>
      </c>
      <c r="AB867" s="56">
        <v>0</v>
      </c>
      <c r="AC867" s="60">
        <v>46142</v>
      </c>
    </row>
    <row r="868" spans="1:29" x14ac:dyDescent="0.25">
      <c r="A868" s="43">
        <v>1061</v>
      </c>
      <c r="B868" s="44" t="s">
        <v>1298</v>
      </c>
      <c r="C868" s="45">
        <v>10610010</v>
      </c>
      <c r="D868" s="46" t="s">
        <v>1223</v>
      </c>
      <c r="E868" s="47" t="s">
        <v>364</v>
      </c>
      <c r="F868" s="47" t="s">
        <v>58</v>
      </c>
      <c r="G868" s="62">
        <v>277.59999999999997</v>
      </c>
      <c r="H868" s="62">
        <v>12543.469999999998</v>
      </c>
      <c r="I868" s="49">
        <v>0</v>
      </c>
      <c r="J868" s="49">
        <v>0</v>
      </c>
      <c r="K868" s="49">
        <v>51.62772000000011</v>
      </c>
      <c r="L868" s="50">
        <v>0</v>
      </c>
      <c r="M868" s="51"/>
      <c r="N868" s="52" t="s">
        <v>1300</v>
      </c>
      <c r="O868" s="31"/>
      <c r="P868" s="53">
        <v>-6.8650323793881016E-2</v>
      </c>
      <c r="Q868" s="54">
        <v>9</v>
      </c>
      <c r="R868" s="55">
        <v>0</v>
      </c>
      <c r="S868" s="55">
        <v>0</v>
      </c>
      <c r="T868" s="56">
        <v>0</v>
      </c>
      <c r="U868" s="57"/>
      <c r="V868" s="55">
        <v>51.62772000000011</v>
      </c>
      <c r="W868" s="55">
        <v>0</v>
      </c>
      <c r="X868" s="58">
        <v>0</v>
      </c>
      <c r="Y868" s="59">
        <v>51.62772000000011</v>
      </c>
      <c r="Z868" s="58">
        <v>51.62772000000011</v>
      </c>
      <c r="AA868" s="56">
        <v>0</v>
      </c>
      <c r="AB868" s="56">
        <v>0</v>
      </c>
      <c r="AC868" s="60">
        <v>46142</v>
      </c>
    </row>
    <row r="869" spans="1:29" x14ac:dyDescent="0.25">
      <c r="A869" s="43">
        <v>1061</v>
      </c>
      <c r="B869" s="44" t="s">
        <v>1298</v>
      </c>
      <c r="C869" s="45">
        <v>10610011</v>
      </c>
      <c r="D869" s="46" t="s">
        <v>1224</v>
      </c>
      <c r="E869" s="47" t="s">
        <v>371</v>
      </c>
      <c r="F869" s="47" t="s">
        <v>59</v>
      </c>
      <c r="G869" s="62">
        <v>413.6</v>
      </c>
      <c r="H869" s="62">
        <v>16828.53</v>
      </c>
      <c r="I869" s="49">
        <v>0</v>
      </c>
      <c r="J869" s="49">
        <v>0</v>
      </c>
      <c r="K869" s="49">
        <v>0</v>
      </c>
      <c r="L869" s="50">
        <v>0</v>
      </c>
      <c r="M869" s="51"/>
      <c r="N869" s="52" t="s">
        <v>1300</v>
      </c>
      <c r="O869" s="31"/>
      <c r="P869" s="53">
        <v>0</v>
      </c>
      <c r="Q869" s="54">
        <v>0</v>
      </c>
      <c r="R869" s="55">
        <v>0</v>
      </c>
      <c r="S869" s="55">
        <v>0</v>
      </c>
      <c r="T869" s="56">
        <v>0</v>
      </c>
      <c r="U869" s="57"/>
      <c r="V869" s="55">
        <v>0</v>
      </c>
      <c r="W869" s="55">
        <v>0</v>
      </c>
      <c r="X869" s="58">
        <v>0</v>
      </c>
      <c r="Y869" s="59">
        <v>0</v>
      </c>
      <c r="Z869" s="58">
        <v>0</v>
      </c>
      <c r="AA869" s="56">
        <v>0</v>
      </c>
      <c r="AB869" s="56">
        <v>0</v>
      </c>
      <c r="AC869" s="60">
        <v>46142</v>
      </c>
    </row>
    <row r="870" spans="1:29" x14ac:dyDescent="0.25">
      <c r="A870" s="43">
        <v>1061</v>
      </c>
      <c r="B870" s="44" t="s">
        <v>1298</v>
      </c>
      <c r="C870" s="45">
        <v>10610013</v>
      </c>
      <c r="D870" s="46" t="s">
        <v>1225</v>
      </c>
      <c r="E870" s="47" t="s">
        <v>371</v>
      </c>
      <c r="F870" s="47" t="s">
        <v>59</v>
      </c>
      <c r="G870" s="62">
        <v>250.89999999999998</v>
      </c>
      <c r="H870" s="62">
        <v>8811.9399999999987</v>
      </c>
      <c r="I870" s="49">
        <v>0</v>
      </c>
      <c r="J870" s="49">
        <v>0</v>
      </c>
      <c r="K870" s="49">
        <v>0</v>
      </c>
      <c r="L870" s="50">
        <v>0</v>
      </c>
      <c r="M870" s="51"/>
      <c r="N870" s="52" t="s">
        <v>1300</v>
      </c>
      <c r="O870" s="31"/>
      <c r="P870" s="53">
        <v>0</v>
      </c>
      <c r="Q870" s="54">
        <v>0</v>
      </c>
      <c r="R870" s="55">
        <v>0</v>
      </c>
      <c r="S870" s="55">
        <v>0</v>
      </c>
      <c r="T870" s="56">
        <v>0</v>
      </c>
      <c r="U870" s="57"/>
      <c r="V870" s="55">
        <v>0</v>
      </c>
      <c r="W870" s="55">
        <v>0</v>
      </c>
      <c r="X870" s="58">
        <v>0</v>
      </c>
      <c r="Y870" s="59">
        <v>0</v>
      </c>
      <c r="Z870" s="58">
        <v>0</v>
      </c>
      <c r="AA870" s="56">
        <v>0</v>
      </c>
      <c r="AB870" s="56">
        <v>0</v>
      </c>
      <c r="AC870" s="60">
        <v>46142</v>
      </c>
    </row>
    <row r="871" spans="1:29" x14ac:dyDescent="0.25">
      <c r="A871" s="43">
        <v>1061</v>
      </c>
      <c r="B871" s="44" t="s">
        <v>1298</v>
      </c>
      <c r="C871" s="45">
        <v>10610015</v>
      </c>
      <c r="D871" s="46" t="s">
        <v>899</v>
      </c>
      <c r="E871" s="47" t="s">
        <v>371</v>
      </c>
      <c r="F871" s="47" t="s">
        <v>59</v>
      </c>
      <c r="G871" s="62">
        <v>284</v>
      </c>
      <c r="H871" s="62">
        <v>10389.85</v>
      </c>
      <c r="I871" s="49">
        <v>0</v>
      </c>
      <c r="J871" s="49">
        <v>0</v>
      </c>
      <c r="K871" s="49">
        <v>0</v>
      </c>
      <c r="L871" s="50">
        <v>0</v>
      </c>
      <c r="M871" s="51"/>
      <c r="N871" s="52" t="s">
        <v>1300</v>
      </c>
      <c r="O871" s="31"/>
      <c r="P871" s="53">
        <v>0</v>
      </c>
      <c r="Q871" s="54">
        <v>0</v>
      </c>
      <c r="R871" s="55">
        <v>0</v>
      </c>
      <c r="S871" s="55">
        <v>0</v>
      </c>
      <c r="T871" s="56">
        <v>0</v>
      </c>
      <c r="U871" s="57"/>
      <c r="V871" s="55">
        <v>0</v>
      </c>
      <c r="W871" s="55">
        <v>0</v>
      </c>
      <c r="X871" s="58">
        <v>0</v>
      </c>
      <c r="Y871" s="59">
        <v>0</v>
      </c>
      <c r="Z871" s="58">
        <v>0</v>
      </c>
      <c r="AA871" s="56">
        <v>0</v>
      </c>
      <c r="AB871" s="56">
        <v>0</v>
      </c>
      <c r="AC871" s="60">
        <v>46142</v>
      </c>
    </row>
    <row r="872" spans="1:29" x14ac:dyDescent="0.25">
      <c r="A872" s="43">
        <v>1061</v>
      </c>
      <c r="B872" s="44" t="s">
        <v>1298</v>
      </c>
      <c r="C872" s="45">
        <v>10610017</v>
      </c>
      <c r="D872" s="46" t="s">
        <v>1226</v>
      </c>
      <c r="E872" s="47" t="s">
        <v>364</v>
      </c>
      <c r="F872" s="47" t="s">
        <v>58</v>
      </c>
      <c r="G872" s="62">
        <v>161.1</v>
      </c>
      <c r="H872" s="62">
        <v>6269.5999999999995</v>
      </c>
      <c r="I872" s="49">
        <v>0</v>
      </c>
      <c r="J872" s="49">
        <v>0</v>
      </c>
      <c r="K872" s="49">
        <v>0</v>
      </c>
      <c r="L872" s="50" t="s">
        <v>409</v>
      </c>
      <c r="M872" s="51" t="s">
        <v>367</v>
      </c>
      <c r="N872" s="52" t="s">
        <v>1300</v>
      </c>
      <c r="O872" s="31"/>
      <c r="P872" s="53">
        <v>-4.3191249116052224E-2</v>
      </c>
      <c r="Q872" s="54">
        <v>6</v>
      </c>
      <c r="R872" s="55">
        <v>0</v>
      </c>
      <c r="S872" s="55">
        <v>0</v>
      </c>
      <c r="T872" s="56">
        <v>0</v>
      </c>
      <c r="U872" s="57"/>
      <c r="V872" s="55">
        <v>0</v>
      </c>
      <c r="W872" s="55">
        <v>0</v>
      </c>
      <c r="X872" s="58">
        <v>0</v>
      </c>
      <c r="Y872" s="59">
        <v>0</v>
      </c>
      <c r="Z872" s="58">
        <v>0</v>
      </c>
      <c r="AA872" s="56">
        <v>0</v>
      </c>
      <c r="AB872" s="56">
        <v>0</v>
      </c>
      <c r="AC872" s="60">
        <v>46142</v>
      </c>
    </row>
    <row r="873" spans="1:29" x14ac:dyDescent="0.25">
      <c r="A873" s="43">
        <v>1061</v>
      </c>
      <c r="B873" s="44" t="s">
        <v>1298</v>
      </c>
      <c r="C873" s="45">
        <v>10610018</v>
      </c>
      <c r="D873" s="46" t="s">
        <v>1227</v>
      </c>
      <c r="E873" s="47" t="s">
        <v>364</v>
      </c>
      <c r="F873" s="47" t="s">
        <v>58</v>
      </c>
      <c r="G873" s="62">
        <v>424.6</v>
      </c>
      <c r="H873" s="62">
        <v>20400.95</v>
      </c>
      <c r="I873" s="49">
        <v>0</v>
      </c>
      <c r="J873" s="49">
        <v>0</v>
      </c>
      <c r="K873" s="49">
        <v>0</v>
      </c>
      <c r="L873" s="50">
        <v>0</v>
      </c>
      <c r="M873" s="51"/>
      <c r="N873" s="52" t="s">
        <v>1300</v>
      </c>
      <c r="O873" s="31"/>
      <c r="P873" s="53">
        <v>5.7098599013138948E-2</v>
      </c>
      <c r="Q873" s="54">
        <v>7</v>
      </c>
      <c r="R873" s="55">
        <v>0</v>
      </c>
      <c r="S873" s="55">
        <v>0</v>
      </c>
      <c r="T873" s="56">
        <v>0</v>
      </c>
      <c r="U873" s="57"/>
      <c r="V873" s="55">
        <v>0</v>
      </c>
      <c r="W873" s="55">
        <v>0</v>
      </c>
      <c r="X873" s="58">
        <v>0</v>
      </c>
      <c r="Y873" s="59">
        <v>0</v>
      </c>
      <c r="Z873" s="58">
        <v>0</v>
      </c>
      <c r="AA873" s="56">
        <v>0</v>
      </c>
      <c r="AB873" s="56">
        <v>0</v>
      </c>
      <c r="AC873" s="60">
        <v>46142</v>
      </c>
    </row>
    <row r="874" spans="1:29" x14ac:dyDescent="0.25">
      <c r="A874" s="43">
        <v>1061</v>
      </c>
      <c r="B874" s="44" t="s">
        <v>1298</v>
      </c>
      <c r="C874" s="45">
        <v>10610019</v>
      </c>
      <c r="D874" s="46" t="s">
        <v>1228</v>
      </c>
      <c r="E874" s="47" t="s">
        <v>364</v>
      </c>
      <c r="F874" s="47" t="s">
        <v>58</v>
      </c>
      <c r="G874" s="62">
        <v>167.3</v>
      </c>
      <c r="H874" s="62">
        <v>7872.4500000000007</v>
      </c>
      <c r="I874" s="49">
        <v>0</v>
      </c>
      <c r="J874" s="49">
        <v>0</v>
      </c>
      <c r="K874" s="49">
        <v>0</v>
      </c>
      <c r="L874" s="50">
        <v>0</v>
      </c>
      <c r="M874" s="51"/>
      <c r="N874" s="52" t="s">
        <v>1300</v>
      </c>
      <c r="O874" s="31"/>
      <c r="P874" s="53">
        <v>-9.5538111090098826E-2</v>
      </c>
      <c r="Q874" s="54">
        <v>4</v>
      </c>
      <c r="R874" s="55">
        <v>0</v>
      </c>
      <c r="S874" s="55">
        <v>0</v>
      </c>
      <c r="T874" s="56">
        <v>0</v>
      </c>
      <c r="U874" s="57"/>
      <c r="V874" s="55">
        <v>0</v>
      </c>
      <c r="W874" s="55">
        <v>0</v>
      </c>
      <c r="X874" s="58">
        <v>0</v>
      </c>
      <c r="Y874" s="59">
        <v>0</v>
      </c>
      <c r="Z874" s="58">
        <v>0</v>
      </c>
      <c r="AA874" s="56">
        <v>0</v>
      </c>
      <c r="AB874" s="56">
        <v>0</v>
      </c>
      <c r="AC874" s="60">
        <v>46142</v>
      </c>
    </row>
    <row r="875" spans="1:29" x14ac:dyDescent="0.25">
      <c r="A875" s="43">
        <v>1061</v>
      </c>
      <c r="B875" s="44" t="s">
        <v>1298</v>
      </c>
      <c r="C875" s="45">
        <v>10610020</v>
      </c>
      <c r="D875" s="46" t="s">
        <v>1229</v>
      </c>
      <c r="E875" s="47" t="s">
        <v>364</v>
      </c>
      <c r="F875" s="47" t="s">
        <v>58</v>
      </c>
      <c r="G875" s="62">
        <v>371.19999999999993</v>
      </c>
      <c r="H875" s="62">
        <v>14964.29</v>
      </c>
      <c r="I875" s="49">
        <v>0</v>
      </c>
      <c r="J875" s="49">
        <v>0</v>
      </c>
      <c r="K875" s="49">
        <v>0</v>
      </c>
      <c r="L875" s="50">
        <v>0</v>
      </c>
      <c r="M875" s="51"/>
      <c r="N875" s="52" t="s">
        <v>1300</v>
      </c>
      <c r="O875" s="31"/>
      <c r="P875" s="53">
        <v>-0.10735054888292049</v>
      </c>
      <c r="Q875" s="54">
        <v>12</v>
      </c>
      <c r="R875" s="55">
        <v>0</v>
      </c>
      <c r="S875" s="55">
        <v>0</v>
      </c>
      <c r="T875" s="56">
        <v>0</v>
      </c>
      <c r="U875" s="57"/>
      <c r="V875" s="55">
        <v>0</v>
      </c>
      <c r="W875" s="55">
        <v>0</v>
      </c>
      <c r="X875" s="58">
        <v>0</v>
      </c>
      <c r="Y875" s="59">
        <v>0</v>
      </c>
      <c r="Z875" s="58">
        <v>0</v>
      </c>
      <c r="AA875" s="56">
        <v>0</v>
      </c>
      <c r="AB875" s="56">
        <v>0</v>
      </c>
      <c r="AC875" s="60">
        <v>46142</v>
      </c>
    </row>
    <row r="876" spans="1:29" x14ac:dyDescent="0.25">
      <c r="A876" s="43">
        <v>1061</v>
      </c>
      <c r="B876" s="44" t="s">
        <v>1298</v>
      </c>
      <c r="C876" s="45">
        <v>10610022</v>
      </c>
      <c r="D876" s="46" t="s">
        <v>1230</v>
      </c>
      <c r="E876" s="47" t="s">
        <v>364</v>
      </c>
      <c r="F876" s="47" t="s">
        <v>58</v>
      </c>
      <c r="G876" s="62">
        <v>173</v>
      </c>
      <c r="H876" s="62">
        <v>7106.3099999999995</v>
      </c>
      <c r="I876" s="49">
        <v>0</v>
      </c>
      <c r="J876" s="49">
        <v>0</v>
      </c>
      <c r="K876" s="49">
        <v>0</v>
      </c>
      <c r="L876" s="50">
        <v>0</v>
      </c>
      <c r="M876" s="51"/>
      <c r="N876" s="52" t="s">
        <v>1300</v>
      </c>
      <c r="O876" s="31"/>
      <c r="P876" s="53">
        <v>-5.4918935371817794E-2</v>
      </c>
      <c r="Q876" s="54">
        <v>8</v>
      </c>
      <c r="R876" s="55">
        <v>0</v>
      </c>
      <c r="S876" s="55">
        <v>0</v>
      </c>
      <c r="T876" s="56">
        <v>0</v>
      </c>
      <c r="U876" s="57"/>
      <c r="V876" s="55">
        <v>0</v>
      </c>
      <c r="W876" s="55">
        <v>0</v>
      </c>
      <c r="X876" s="58">
        <v>0</v>
      </c>
      <c r="Y876" s="59">
        <v>0</v>
      </c>
      <c r="Z876" s="58">
        <v>0</v>
      </c>
      <c r="AA876" s="56">
        <v>0</v>
      </c>
      <c r="AB876" s="56">
        <v>0</v>
      </c>
      <c r="AC876" s="60">
        <v>46142</v>
      </c>
    </row>
    <row r="877" spans="1:29" x14ac:dyDescent="0.25">
      <c r="A877" s="43">
        <v>1061</v>
      </c>
      <c r="B877" s="44" t="s">
        <v>1298</v>
      </c>
      <c r="C877" s="45">
        <v>10610024</v>
      </c>
      <c r="D877" s="46" t="s">
        <v>1231</v>
      </c>
      <c r="E877" s="47" t="s">
        <v>364</v>
      </c>
      <c r="F877" s="47" t="s">
        <v>58</v>
      </c>
      <c r="G877" s="62">
        <v>224.99999999999997</v>
      </c>
      <c r="H877" s="62">
        <v>8434.4599999999991</v>
      </c>
      <c r="I877" s="49">
        <v>0</v>
      </c>
      <c r="J877" s="49">
        <v>0</v>
      </c>
      <c r="K877" s="49">
        <v>0</v>
      </c>
      <c r="L877" s="50" t="s">
        <v>692</v>
      </c>
      <c r="M877" s="51" t="s">
        <v>367</v>
      </c>
      <c r="N877" s="52" t="s">
        <v>1300</v>
      </c>
      <c r="O877" s="31"/>
      <c r="P877" s="53">
        <v>-5.4786769751710143E-3</v>
      </c>
      <c r="Q877" s="54">
        <v>9</v>
      </c>
      <c r="R877" s="55">
        <v>0</v>
      </c>
      <c r="S877" s="55">
        <v>0</v>
      </c>
      <c r="T877" s="56">
        <v>0</v>
      </c>
      <c r="U877" s="57"/>
      <c r="V877" s="55">
        <v>0</v>
      </c>
      <c r="W877" s="55">
        <v>0</v>
      </c>
      <c r="X877" s="58">
        <v>0</v>
      </c>
      <c r="Y877" s="59">
        <v>0</v>
      </c>
      <c r="Z877" s="58">
        <v>0</v>
      </c>
      <c r="AA877" s="56">
        <v>0</v>
      </c>
      <c r="AB877" s="56">
        <v>0</v>
      </c>
      <c r="AC877" s="60">
        <v>46142</v>
      </c>
    </row>
    <row r="878" spans="1:29" x14ac:dyDescent="0.25">
      <c r="A878" s="43">
        <v>1061</v>
      </c>
      <c r="B878" s="44" t="s">
        <v>1298</v>
      </c>
      <c r="C878" s="45">
        <v>10610025</v>
      </c>
      <c r="D878" s="46" t="s">
        <v>1232</v>
      </c>
      <c r="E878" s="47" t="s">
        <v>371</v>
      </c>
      <c r="F878" s="47" t="s">
        <v>59</v>
      </c>
      <c r="G878" s="62">
        <v>37.1</v>
      </c>
      <c r="H878" s="62">
        <v>1461.03</v>
      </c>
      <c r="I878" s="49">
        <v>0</v>
      </c>
      <c r="J878" s="49">
        <v>0</v>
      </c>
      <c r="K878" s="49">
        <v>0</v>
      </c>
      <c r="L878" s="50">
        <v>0</v>
      </c>
      <c r="M878" s="51"/>
      <c r="N878" s="52" t="s">
        <v>1300</v>
      </c>
      <c r="O878" s="31"/>
      <c r="P878" s="53">
        <v>0</v>
      </c>
      <c r="Q878" s="54">
        <v>0</v>
      </c>
      <c r="R878" s="55">
        <v>0</v>
      </c>
      <c r="S878" s="55">
        <v>0</v>
      </c>
      <c r="T878" s="56">
        <v>0</v>
      </c>
      <c r="U878" s="57"/>
      <c r="V878" s="55">
        <v>0</v>
      </c>
      <c r="W878" s="55">
        <v>0</v>
      </c>
      <c r="X878" s="58">
        <v>0</v>
      </c>
      <c r="Y878" s="59">
        <v>0</v>
      </c>
      <c r="Z878" s="58">
        <v>0</v>
      </c>
      <c r="AA878" s="56">
        <v>0</v>
      </c>
      <c r="AB878" s="56">
        <v>0</v>
      </c>
      <c r="AC878" s="60">
        <v>46142</v>
      </c>
    </row>
    <row r="879" spans="1:29" x14ac:dyDescent="0.25">
      <c r="A879" s="43">
        <v>1061</v>
      </c>
      <c r="B879" s="44" t="s">
        <v>1298</v>
      </c>
      <c r="C879" s="45">
        <v>10610026</v>
      </c>
      <c r="D879" s="46" t="s">
        <v>1233</v>
      </c>
      <c r="E879" s="47" t="s">
        <v>364</v>
      </c>
      <c r="F879" s="47" t="s">
        <v>58</v>
      </c>
      <c r="G879" s="62">
        <v>59.6</v>
      </c>
      <c r="H879" s="62">
        <v>3819.7200000000012</v>
      </c>
      <c r="I879" s="49">
        <v>0</v>
      </c>
      <c r="J879" s="49">
        <v>0</v>
      </c>
      <c r="K879" s="49">
        <v>0</v>
      </c>
      <c r="L879" s="50">
        <v>0</v>
      </c>
      <c r="M879" s="51"/>
      <c r="N879" s="52" t="s">
        <v>1300</v>
      </c>
      <c r="O879" s="31"/>
      <c r="P879" s="53">
        <v>-7.7863640794665373E-2</v>
      </c>
      <c r="Q879" s="54">
        <v>5</v>
      </c>
      <c r="R879" s="55">
        <v>0</v>
      </c>
      <c r="S879" s="55">
        <v>0</v>
      </c>
      <c r="T879" s="56">
        <v>0</v>
      </c>
      <c r="U879" s="57"/>
      <c r="V879" s="55">
        <v>0</v>
      </c>
      <c r="W879" s="55">
        <v>0</v>
      </c>
      <c r="X879" s="58">
        <v>0</v>
      </c>
      <c r="Y879" s="59">
        <v>0</v>
      </c>
      <c r="Z879" s="58">
        <v>0</v>
      </c>
      <c r="AA879" s="56">
        <v>0</v>
      </c>
      <c r="AB879" s="56">
        <v>0</v>
      </c>
      <c r="AC879" s="60">
        <v>46142</v>
      </c>
    </row>
    <row r="880" spans="1:29" x14ac:dyDescent="0.25">
      <c r="A880" s="43">
        <v>1061</v>
      </c>
      <c r="B880" s="44" t="s">
        <v>1298</v>
      </c>
      <c r="C880" s="45">
        <v>10610027</v>
      </c>
      <c r="D880" s="46" t="s">
        <v>1234</v>
      </c>
      <c r="E880" s="47" t="s">
        <v>371</v>
      </c>
      <c r="F880" s="47" t="s">
        <v>59</v>
      </c>
      <c r="G880" s="62">
        <v>1518.1</v>
      </c>
      <c r="H880" s="62">
        <v>51179.29</v>
      </c>
      <c r="I880" s="49">
        <v>0</v>
      </c>
      <c r="J880" s="49">
        <v>0</v>
      </c>
      <c r="K880" s="49">
        <v>0</v>
      </c>
      <c r="L880" s="50">
        <v>0</v>
      </c>
      <c r="M880" s="51"/>
      <c r="N880" s="52" t="s">
        <v>1300</v>
      </c>
      <c r="O880" s="31"/>
      <c r="P880" s="53">
        <v>0</v>
      </c>
      <c r="Q880" s="54">
        <v>0</v>
      </c>
      <c r="R880" s="55">
        <v>0</v>
      </c>
      <c r="S880" s="55">
        <v>0</v>
      </c>
      <c r="T880" s="56">
        <v>0</v>
      </c>
      <c r="U880" s="57"/>
      <c r="V880" s="55">
        <v>0</v>
      </c>
      <c r="W880" s="55">
        <v>0</v>
      </c>
      <c r="X880" s="58">
        <v>0</v>
      </c>
      <c r="Y880" s="59">
        <v>0</v>
      </c>
      <c r="Z880" s="58">
        <v>0</v>
      </c>
      <c r="AA880" s="56">
        <v>0</v>
      </c>
      <c r="AB880" s="56">
        <v>0</v>
      </c>
      <c r="AC880" s="60">
        <v>46142</v>
      </c>
    </row>
    <row r="881" spans="1:29" x14ac:dyDescent="0.25">
      <c r="A881" s="43">
        <v>1061</v>
      </c>
      <c r="B881" s="44" t="s">
        <v>1298</v>
      </c>
      <c r="C881" s="45">
        <v>10610028</v>
      </c>
      <c r="D881" s="46" t="s">
        <v>1235</v>
      </c>
      <c r="E881" s="47" t="s">
        <v>371</v>
      </c>
      <c r="F881" s="47" t="s">
        <v>59</v>
      </c>
      <c r="G881" s="62">
        <v>196.60000000000002</v>
      </c>
      <c r="H881" s="62">
        <v>7092.6400000000012</v>
      </c>
      <c r="I881" s="49">
        <v>0</v>
      </c>
      <c r="J881" s="49">
        <v>0</v>
      </c>
      <c r="K881" s="49">
        <v>0</v>
      </c>
      <c r="L881" s="50">
        <v>0</v>
      </c>
      <c r="M881" s="51"/>
      <c r="N881" s="52" t="s">
        <v>1300</v>
      </c>
      <c r="O881" s="31"/>
      <c r="P881" s="53">
        <v>0</v>
      </c>
      <c r="Q881" s="54">
        <v>0</v>
      </c>
      <c r="R881" s="55">
        <v>0</v>
      </c>
      <c r="S881" s="55">
        <v>0</v>
      </c>
      <c r="T881" s="56">
        <v>0</v>
      </c>
      <c r="U881" s="57"/>
      <c r="V881" s="55">
        <v>0</v>
      </c>
      <c r="W881" s="55">
        <v>0</v>
      </c>
      <c r="X881" s="58">
        <v>0</v>
      </c>
      <c r="Y881" s="59">
        <v>0</v>
      </c>
      <c r="Z881" s="58">
        <v>0</v>
      </c>
      <c r="AA881" s="56">
        <v>0</v>
      </c>
      <c r="AB881" s="56">
        <v>0</v>
      </c>
      <c r="AC881" s="60">
        <v>46142</v>
      </c>
    </row>
    <row r="882" spans="1:29" x14ac:dyDescent="0.25">
      <c r="A882" s="43">
        <v>1061</v>
      </c>
      <c r="B882" s="44" t="s">
        <v>1298</v>
      </c>
      <c r="C882" s="45">
        <v>10610034</v>
      </c>
      <c r="D882" s="46" t="s">
        <v>1236</v>
      </c>
      <c r="E882" s="47" t="s">
        <v>371</v>
      </c>
      <c r="F882" s="47" t="s">
        <v>59</v>
      </c>
      <c r="G882" s="62">
        <v>312.3</v>
      </c>
      <c r="H882" s="62">
        <v>11953.640000000001</v>
      </c>
      <c r="I882" s="49">
        <v>0</v>
      </c>
      <c r="J882" s="49">
        <v>0</v>
      </c>
      <c r="K882" s="49">
        <v>0</v>
      </c>
      <c r="L882" s="50">
        <v>0</v>
      </c>
      <c r="M882" s="51"/>
      <c r="N882" s="52" t="s">
        <v>1300</v>
      </c>
      <c r="O882" s="31"/>
      <c r="P882" s="53">
        <v>0</v>
      </c>
      <c r="Q882" s="54">
        <v>0</v>
      </c>
      <c r="R882" s="55">
        <v>0</v>
      </c>
      <c r="S882" s="55">
        <v>0</v>
      </c>
      <c r="T882" s="56">
        <v>0</v>
      </c>
      <c r="U882" s="57"/>
      <c r="V882" s="55">
        <v>0</v>
      </c>
      <c r="W882" s="55">
        <v>0</v>
      </c>
      <c r="X882" s="58">
        <v>0</v>
      </c>
      <c r="Y882" s="59">
        <v>0</v>
      </c>
      <c r="Z882" s="58">
        <v>0</v>
      </c>
      <c r="AA882" s="56">
        <v>0</v>
      </c>
      <c r="AB882" s="56">
        <v>0</v>
      </c>
      <c r="AC882" s="60">
        <v>46142</v>
      </c>
    </row>
    <row r="883" spans="1:29" x14ac:dyDescent="0.25">
      <c r="A883" s="43">
        <v>1061</v>
      </c>
      <c r="B883" s="44" t="s">
        <v>1298</v>
      </c>
      <c r="C883" s="45">
        <v>10610035</v>
      </c>
      <c r="D883" s="46" t="s">
        <v>1237</v>
      </c>
      <c r="E883" s="47" t="s">
        <v>371</v>
      </c>
      <c r="F883" s="47" t="s">
        <v>59</v>
      </c>
      <c r="G883" s="62">
        <v>347.7</v>
      </c>
      <c r="H883" s="62">
        <v>10391.17</v>
      </c>
      <c r="I883" s="49">
        <v>0</v>
      </c>
      <c r="J883" s="49">
        <v>0</v>
      </c>
      <c r="K883" s="49">
        <v>0</v>
      </c>
      <c r="L883" s="50">
        <v>0</v>
      </c>
      <c r="M883" s="51"/>
      <c r="N883" s="52" t="s">
        <v>1300</v>
      </c>
      <c r="O883" s="31"/>
      <c r="P883" s="53">
        <v>0</v>
      </c>
      <c r="Q883" s="54">
        <v>0</v>
      </c>
      <c r="R883" s="55">
        <v>0</v>
      </c>
      <c r="S883" s="55">
        <v>0</v>
      </c>
      <c r="T883" s="56">
        <v>0</v>
      </c>
      <c r="U883" s="57"/>
      <c r="V883" s="55">
        <v>0</v>
      </c>
      <c r="W883" s="55">
        <v>0</v>
      </c>
      <c r="X883" s="58">
        <v>0</v>
      </c>
      <c r="Y883" s="59">
        <v>0</v>
      </c>
      <c r="Z883" s="58">
        <v>0</v>
      </c>
      <c r="AA883" s="56">
        <v>0</v>
      </c>
      <c r="AB883" s="56">
        <v>0</v>
      </c>
      <c r="AC883" s="60">
        <v>46142</v>
      </c>
    </row>
    <row r="884" spans="1:29" x14ac:dyDescent="0.25">
      <c r="A884" s="43">
        <v>1061</v>
      </c>
      <c r="B884" s="44" t="s">
        <v>1298</v>
      </c>
      <c r="C884" s="45">
        <v>10610036</v>
      </c>
      <c r="D884" s="46" t="s">
        <v>1238</v>
      </c>
      <c r="E884" s="47" t="s">
        <v>371</v>
      </c>
      <c r="F884" s="47" t="s">
        <v>59</v>
      </c>
      <c r="G884" s="62">
        <v>18.5</v>
      </c>
      <c r="H884" s="62">
        <v>686.17</v>
      </c>
      <c r="I884" s="49">
        <v>0</v>
      </c>
      <c r="J884" s="49">
        <v>0</v>
      </c>
      <c r="K884" s="49">
        <v>0</v>
      </c>
      <c r="L884" s="50">
        <v>0</v>
      </c>
      <c r="M884" s="51"/>
      <c r="N884" s="52" t="s">
        <v>1300</v>
      </c>
      <c r="O884" s="31"/>
      <c r="P884" s="53">
        <v>0</v>
      </c>
      <c r="Q884" s="54">
        <v>0</v>
      </c>
      <c r="R884" s="55">
        <v>0</v>
      </c>
      <c r="S884" s="55">
        <v>0</v>
      </c>
      <c r="T884" s="56">
        <v>0</v>
      </c>
      <c r="U884" s="57"/>
      <c r="V884" s="55">
        <v>0</v>
      </c>
      <c r="W884" s="55">
        <v>0</v>
      </c>
      <c r="X884" s="58">
        <v>0</v>
      </c>
      <c r="Y884" s="59">
        <v>0</v>
      </c>
      <c r="Z884" s="58">
        <v>0</v>
      </c>
      <c r="AA884" s="56">
        <v>0</v>
      </c>
      <c r="AB884" s="56">
        <v>0</v>
      </c>
      <c r="AC884" s="60">
        <v>46142</v>
      </c>
    </row>
    <row r="885" spans="1:29" x14ac:dyDescent="0.25">
      <c r="A885" s="43">
        <v>1061</v>
      </c>
      <c r="B885" s="44" t="s">
        <v>1298</v>
      </c>
      <c r="C885" s="45">
        <v>10610038</v>
      </c>
      <c r="D885" s="46" t="s">
        <v>1239</v>
      </c>
      <c r="E885" s="47" t="s">
        <v>371</v>
      </c>
      <c r="F885" s="47" t="s">
        <v>59</v>
      </c>
      <c r="G885" s="62">
        <v>1136.4000000000001</v>
      </c>
      <c r="H885" s="62">
        <v>39960.799999999996</v>
      </c>
      <c r="I885" s="49">
        <v>0</v>
      </c>
      <c r="J885" s="49">
        <v>0</v>
      </c>
      <c r="K885" s="49">
        <v>0</v>
      </c>
      <c r="L885" s="50">
        <v>0</v>
      </c>
      <c r="M885" s="51"/>
      <c r="N885" s="52" t="s">
        <v>1300</v>
      </c>
      <c r="O885" s="31"/>
      <c r="P885" s="53">
        <v>0</v>
      </c>
      <c r="Q885" s="54">
        <v>0</v>
      </c>
      <c r="R885" s="55">
        <v>0</v>
      </c>
      <c r="S885" s="55">
        <v>0</v>
      </c>
      <c r="T885" s="56">
        <v>0</v>
      </c>
      <c r="U885" s="57"/>
      <c r="V885" s="55">
        <v>0</v>
      </c>
      <c r="W885" s="55">
        <v>0</v>
      </c>
      <c r="X885" s="58">
        <v>0</v>
      </c>
      <c r="Y885" s="59">
        <v>0</v>
      </c>
      <c r="Z885" s="58">
        <v>0</v>
      </c>
      <c r="AA885" s="56">
        <v>0</v>
      </c>
      <c r="AB885" s="56">
        <v>0</v>
      </c>
      <c r="AC885" s="60">
        <v>46142</v>
      </c>
    </row>
    <row r="886" spans="1:29" x14ac:dyDescent="0.25">
      <c r="A886" s="43">
        <v>1061</v>
      </c>
      <c r="B886" s="44" t="s">
        <v>1298</v>
      </c>
      <c r="C886" s="45">
        <v>10610039</v>
      </c>
      <c r="D886" s="46" t="s">
        <v>1240</v>
      </c>
      <c r="E886" s="47" t="s">
        <v>371</v>
      </c>
      <c r="F886" s="47" t="s">
        <v>59</v>
      </c>
      <c r="G886" s="62">
        <v>768.4</v>
      </c>
      <c r="H886" s="62">
        <v>28187.77</v>
      </c>
      <c r="I886" s="49">
        <v>0</v>
      </c>
      <c r="J886" s="49">
        <v>0</v>
      </c>
      <c r="K886" s="49">
        <v>0</v>
      </c>
      <c r="L886" s="50">
        <v>0</v>
      </c>
      <c r="M886" s="51"/>
      <c r="N886" s="52" t="s">
        <v>1300</v>
      </c>
      <c r="O886" s="31"/>
      <c r="P886" s="53">
        <v>0</v>
      </c>
      <c r="Q886" s="54">
        <v>0</v>
      </c>
      <c r="R886" s="55">
        <v>0</v>
      </c>
      <c r="S886" s="55">
        <v>0</v>
      </c>
      <c r="T886" s="56">
        <v>0</v>
      </c>
      <c r="U886" s="57"/>
      <c r="V886" s="55">
        <v>0</v>
      </c>
      <c r="W886" s="55">
        <v>0</v>
      </c>
      <c r="X886" s="58">
        <v>0</v>
      </c>
      <c r="Y886" s="59">
        <v>0</v>
      </c>
      <c r="Z886" s="58">
        <v>0</v>
      </c>
      <c r="AA886" s="56">
        <v>0</v>
      </c>
      <c r="AB886" s="56">
        <v>0</v>
      </c>
      <c r="AC886" s="60">
        <v>46142</v>
      </c>
    </row>
    <row r="887" spans="1:29" x14ac:dyDescent="0.25">
      <c r="A887" s="43">
        <v>1061</v>
      </c>
      <c r="B887" s="44" t="s">
        <v>1298</v>
      </c>
      <c r="C887" s="45">
        <v>10610044</v>
      </c>
      <c r="D887" s="46" t="s">
        <v>1241</v>
      </c>
      <c r="E887" s="47" t="s">
        <v>371</v>
      </c>
      <c r="F887" s="47" t="s">
        <v>59</v>
      </c>
      <c r="G887" s="62">
        <v>49.3</v>
      </c>
      <c r="H887" s="62">
        <v>1741.74</v>
      </c>
      <c r="I887" s="49">
        <v>0</v>
      </c>
      <c r="J887" s="49">
        <v>0</v>
      </c>
      <c r="K887" s="49">
        <v>0</v>
      </c>
      <c r="L887" s="50">
        <v>0</v>
      </c>
      <c r="M887" s="51"/>
      <c r="N887" s="52" t="s">
        <v>1300</v>
      </c>
      <c r="O887" s="31"/>
      <c r="P887" s="53">
        <v>0</v>
      </c>
      <c r="Q887" s="54">
        <v>0</v>
      </c>
      <c r="R887" s="55">
        <v>0</v>
      </c>
      <c r="S887" s="55">
        <v>0</v>
      </c>
      <c r="T887" s="56">
        <v>0</v>
      </c>
      <c r="U887" s="57"/>
      <c r="V887" s="55">
        <v>0</v>
      </c>
      <c r="W887" s="55">
        <v>0</v>
      </c>
      <c r="X887" s="58">
        <v>0</v>
      </c>
      <c r="Y887" s="59">
        <v>0</v>
      </c>
      <c r="Z887" s="58">
        <v>0</v>
      </c>
      <c r="AA887" s="56">
        <v>0</v>
      </c>
      <c r="AB887" s="56">
        <v>0</v>
      </c>
      <c r="AC887" s="60">
        <v>46142</v>
      </c>
    </row>
    <row r="888" spans="1:29" x14ac:dyDescent="0.25">
      <c r="A888" s="43">
        <v>1061</v>
      </c>
      <c r="B888" s="44" t="s">
        <v>1298</v>
      </c>
      <c r="C888" s="45">
        <v>10610045</v>
      </c>
      <c r="D888" s="46" t="s">
        <v>1242</v>
      </c>
      <c r="E888" s="47" t="s">
        <v>371</v>
      </c>
      <c r="F888" s="47" t="s">
        <v>59</v>
      </c>
      <c r="G888" s="62">
        <v>470.00000000000006</v>
      </c>
      <c r="H888" s="62">
        <v>16838.29</v>
      </c>
      <c r="I888" s="49">
        <v>0</v>
      </c>
      <c r="J888" s="49">
        <v>0</v>
      </c>
      <c r="K888" s="49">
        <v>0</v>
      </c>
      <c r="L888" s="50">
        <v>0</v>
      </c>
      <c r="M888" s="51"/>
      <c r="N888" s="52" t="s">
        <v>1300</v>
      </c>
      <c r="O888" s="31"/>
      <c r="P888" s="53">
        <v>0</v>
      </c>
      <c r="Q888" s="54">
        <v>0</v>
      </c>
      <c r="R888" s="55">
        <v>0</v>
      </c>
      <c r="S888" s="55">
        <v>0</v>
      </c>
      <c r="T888" s="56">
        <v>0</v>
      </c>
      <c r="U888" s="57"/>
      <c r="V888" s="55">
        <v>0</v>
      </c>
      <c r="W888" s="55">
        <v>0</v>
      </c>
      <c r="X888" s="58">
        <v>0</v>
      </c>
      <c r="Y888" s="59">
        <v>0</v>
      </c>
      <c r="Z888" s="58">
        <v>0</v>
      </c>
      <c r="AA888" s="56">
        <v>0</v>
      </c>
      <c r="AB888" s="56">
        <v>0</v>
      </c>
      <c r="AC888" s="60">
        <v>46142</v>
      </c>
    </row>
    <row r="889" spans="1:29" x14ac:dyDescent="0.25">
      <c r="A889" s="43">
        <v>1061</v>
      </c>
      <c r="B889" s="44" t="s">
        <v>1298</v>
      </c>
      <c r="C889" s="45">
        <v>10610046</v>
      </c>
      <c r="D889" s="46" t="s">
        <v>1243</v>
      </c>
      <c r="E889" s="47" t="s">
        <v>371</v>
      </c>
      <c r="F889" s="47" t="s">
        <v>59</v>
      </c>
      <c r="G889" s="62">
        <v>246.20000000000002</v>
      </c>
      <c r="H889" s="62">
        <v>8721.7000000000007</v>
      </c>
      <c r="I889" s="49">
        <v>0</v>
      </c>
      <c r="J889" s="49">
        <v>0</v>
      </c>
      <c r="K889" s="49">
        <v>0</v>
      </c>
      <c r="L889" s="50">
        <v>0</v>
      </c>
      <c r="M889" s="51"/>
      <c r="N889" s="52" t="s">
        <v>1300</v>
      </c>
      <c r="O889" s="31"/>
      <c r="P889" s="53">
        <v>0</v>
      </c>
      <c r="Q889" s="54">
        <v>0</v>
      </c>
      <c r="R889" s="55">
        <v>0</v>
      </c>
      <c r="S889" s="55">
        <v>0</v>
      </c>
      <c r="T889" s="56">
        <v>0</v>
      </c>
      <c r="U889" s="57"/>
      <c r="V889" s="55">
        <v>0</v>
      </c>
      <c r="W889" s="55">
        <v>0</v>
      </c>
      <c r="X889" s="58">
        <v>0</v>
      </c>
      <c r="Y889" s="59">
        <v>0</v>
      </c>
      <c r="Z889" s="58">
        <v>0</v>
      </c>
      <c r="AA889" s="56">
        <v>0</v>
      </c>
      <c r="AB889" s="56">
        <v>0</v>
      </c>
      <c r="AC889" s="60">
        <v>46142</v>
      </c>
    </row>
    <row r="890" spans="1:29" x14ac:dyDescent="0.25">
      <c r="A890" s="43">
        <v>1061</v>
      </c>
      <c r="B890" s="44" t="s">
        <v>1298</v>
      </c>
      <c r="C890" s="45">
        <v>10610050</v>
      </c>
      <c r="D890" s="46" t="s">
        <v>1244</v>
      </c>
      <c r="E890" s="47" t="s">
        <v>371</v>
      </c>
      <c r="F890" s="47" t="s">
        <v>59</v>
      </c>
      <c r="G890" s="62">
        <v>132.19999999999999</v>
      </c>
      <c r="H890" s="62">
        <v>5455.44</v>
      </c>
      <c r="I890" s="49">
        <v>0</v>
      </c>
      <c r="J890" s="49">
        <v>0</v>
      </c>
      <c r="K890" s="49">
        <v>0</v>
      </c>
      <c r="L890" s="50">
        <v>0</v>
      </c>
      <c r="M890" s="51"/>
      <c r="N890" s="52" t="s">
        <v>1300</v>
      </c>
      <c r="O890" s="31"/>
      <c r="P890" s="53">
        <v>0</v>
      </c>
      <c r="Q890" s="54">
        <v>0</v>
      </c>
      <c r="R890" s="55">
        <v>0</v>
      </c>
      <c r="S890" s="55">
        <v>0</v>
      </c>
      <c r="T890" s="56">
        <v>0</v>
      </c>
      <c r="U890" s="57"/>
      <c r="V890" s="55">
        <v>0</v>
      </c>
      <c r="W890" s="55">
        <v>0</v>
      </c>
      <c r="X890" s="58">
        <v>0</v>
      </c>
      <c r="Y890" s="59">
        <v>0</v>
      </c>
      <c r="Z890" s="58">
        <v>0</v>
      </c>
      <c r="AA890" s="56">
        <v>0</v>
      </c>
      <c r="AB890" s="56">
        <v>0</v>
      </c>
      <c r="AC890" s="60">
        <v>46142</v>
      </c>
    </row>
    <row r="891" spans="1:29" x14ac:dyDescent="0.25">
      <c r="A891" s="43">
        <v>1061</v>
      </c>
      <c r="B891" s="44" t="s">
        <v>1298</v>
      </c>
      <c r="C891" s="45">
        <v>10610051</v>
      </c>
      <c r="D891" s="46" t="s">
        <v>1245</v>
      </c>
      <c r="E891" s="47" t="s">
        <v>371</v>
      </c>
      <c r="F891" s="47" t="s">
        <v>59</v>
      </c>
      <c r="G891" s="62">
        <v>102.19999999999999</v>
      </c>
      <c r="H891" s="62">
        <v>3736.7</v>
      </c>
      <c r="I891" s="49">
        <v>0</v>
      </c>
      <c r="J891" s="49">
        <v>0</v>
      </c>
      <c r="K891" s="49">
        <v>0</v>
      </c>
      <c r="L891" s="50">
        <v>0</v>
      </c>
      <c r="M891" s="51"/>
      <c r="N891" s="52" t="s">
        <v>1300</v>
      </c>
      <c r="O891" s="31"/>
      <c r="P891" s="53">
        <v>0</v>
      </c>
      <c r="Q891" s="54">
        <v>0</v>
      </c>
      <c r="R891" s="55">
        <v>0</v>
      </c>
      <c r="S891" s="55">
        <v>0</v>
      </c>
      <c r="T891" s="56">
        <v>0</v>
      </c>
      <c r="U891" s="57"/>
      <c r="V891" s="55">
        <v>0</v>
      </c>
      <c r="W891" s="55">
        <v>0</v>
      </c>
      <c r="X891" s="58">
        <v>0</v>
      </c>
      <c r="Y891" s="59">
        <v>0</v>
      </c>
      <c r="Z891" s="58">
        <v>0</v>
      </c>
      <c r="AA891" s="56">
        <v>0</v>
      </c>
      <c r="AB891" s="56">
        <v>0</v>
      </c>
      <c r="AC891" s="60">
        <v>46142</v>
      </c>
    </row>
    <row r="892" spans="1:29" x14ac:dyDescent="0.25">
      <c r="A892" s="43">
        <v>1061</v>
      </c>
      <c r="B892" s="44" t="s">
        <v>1298</v>
      </c>
      <c r="C892" s="45">
        <v>10610052</v>
      </c>
      <c r="D892" s="46" t="s">
        <v>1246</v>
      </c>
      <c r="E892" s="47" t="s">
        <v>371</v>
      </c>
      <c r="F892" s="47" t="s">
        <v>59</v>
      </c>
      <c r="G892" s="62">
        <v>580.20000000000005</v>
      </c>
      <c r="H892" s="62">
        <v>23008.23</v>
      </c>
      <c r="I892" s="49">
        <v>0</v>
      </c>
      <c r="J892" s="49">
        <v>0</v>
      </c>
      <c r="K892" s="49">
        <v>0</v>
      </c>
      <c r="L892" s="50">
        <v>0</v>
      </c>
      <c r="M892" s="51"/>
      <c r="N892" s="52" t="s">
        <v>1300</v>
      </c>
      <c r="O892" s="31"/>
      <c r="P892" s="53">
        <v>0</v>
      </c>
      <c r="Q892" s="54">
        <v>0</v>
      </c>
      <c r="R892" s="55">
        <v>0</v>
      </c>
      <c r="S892" s="55">
        <v>0</v>
      </c>
      <c r="T892" s="56">
        <v>0</v>
      </c>
      <c r="U892" s="57"/>
      <c r="V892" s="55">
        <v>0</v>
      </c>
      <c r="W892" s="55">
        <v>0</v>
      </c>
      <c r="X892" s="58">
        <v>0</v>
      </c>
      <c r="Y892" s="59">
        <v>0</v>
      </c>
      <c r="Z892" s="58">
        <v>0</v>
      </c>
      <c r="AA892" s="56">
        <v>0</v>
      </c>
      <c r="AB892" s="56">
        <v>0</v>
      </c>
      <c r="AC892" s="60">
        <v>46142</v>
      </c>
    </row>
    <row r="893" spans="1:29" x14ac:dyDescent="0.25">
      <c r="A893" s="43">
        <v>1057</v>
      </c>
      <c r="B893" s="44" t="s">
        <v>1299</v>
      </c>
      <c r="C893" s="45">
        <v>10630001</v>
      </c>
      <c r="D893" s="46" t="s">
        <v>1247</v>
      </c>
      <c r="E893" s="47" t="s">
        <v>364</v>
      </c>
      <c r="F893" s="47" t="s">
        <v>58</v>
      </c>
      <c r="G893" s="62">
        <v>0.01</v>
      </c>
      <c r="H893" s="62">
        <v>0.33</v>
      </c>
      <c r="I893" s="49">
        <v>0</v>
      </c>
      <c r="J893" s="49">
        <v>0</v>
      </c>
      <c r="K893" s="49">
        <v>0</v>
      </c>
      <c r="L893" s="50">
        <v>0</v>
      </c>
      <c r="M893" s="51"/>
      <c r="N893" s="52" t="s">
        <v>1300</v>
      </c>
      <c r="O893" s="31"/>
      <c r="P893" s="53">
        <v>1</v>
      </c>
      <c r="Q893" s="54">
        <v>0</v>
      </c>
      <c r="R893" s="55">
        <v>0</v>
      </c>
      <c r="S893" s="55">
        <v>0</v>
      </c>
      <c r="T893" s="56">
        <v>0</v>
      </c>
      <c r="U893" s="57"/>
      <c r="V893" s="55">
        <v>0</v>
      </c>
      <c r="W893" s="55">
        <v>0</v>
      </c>
      <c r="X893" s="58">
        <v>0</v>
      </c>
      <c r="Y893" s="59">
        <v>0</v>
      </c>
      <c r="Z893" s="58">
        <v>0</v>
      </c>
      <c r="AA893" s="56">
        <v>0</v>
      </c>
      <c r="AB893" s="56">
        <v>0</v>
      </c>
      <c r="AC893" s="60">
        <v>46142</v>
      </c>
    </row>
    <row r="894" spans="1:29" x14ac:dyDescent="0.25">
      <c r="A894" s="43">
        <v>1057</v>
      </c>
      <c r="B894" s="44" t="s">
        <v>1299</v>
      </c>
      <c r="C894" s="45">
        <v>10630002</v>
      </c>
      <c r="D894" s="46" t="s">
        <v>1248</v>
      </c>
      <c r="E894" s="47" t="s">
        <v>364</v>
      </c>
      <c r="F894" s="47" t="s">
        <v>58</v>
      </c>
      <c r="G894" s="62">
        <v>139.00000000000003</v>
      </c>
      <c r="H894" s="62">
        <v>5836.5999999999995</v>
      </c>
      <c r="I894" s="49">
        <v>0</v>
      </c>
      <c r="J894" s="49">
        <v>0</v>
      </c>
      <c r="K894" s="49">
        <v>0</v>
      </c>
      <c r="L894" s="50">
        <v>0</v>
      </c>
      <c r="M894" s="51"/>
      <c r="N894" s="52" t="s">
        <v>1300</v>
      </c>
      <c r="O894" s="31"/>
      <c r="P894" s="53">
        <v>3.8015638230475403E-3</v>
      </c>
      <c r="Q894" s="54">
        <v>1</v>
      </c>
      <c r="R894" s="55">
        <v>0</v>
      </c>
      <c r="S894" s="55">
        <v>0</v>
      </c>
      <c r="T894" s="56">
        <v>0</v>
      </c>
      <c r="U894" s="57"/>
      <c r="V894" s="55">
        <v>0</v>
      </c>
      <c r="W894" s="55">
        <v>0</v>
      </c>
      <c r="X894" s="58">
        <v>0</v>
      </c>
      <c r="Y894" s="59">
        <v>0</v>
      </c>
      <c r="Z894" s="58">
        <v>0</v>
      </c>
      <c r="AA894" s="56">
        <v>0</v>
      </c>
      <c r="AB894" s="56">
        <v>0</v>
      </c>
      <c r="AC894" s="60">
        <v>46142</v>
      </c>
    </row>
    <row r="895" spans="1:29" x14ac:dyDescent="0.25">
      <c r="A895" s="43">
        <v>1057</v>
      </c>
      <c r="B895" s="44" t="s">
        <v>1299</v>
      </c>
      <c r="C895" s="45">
        <v>10630003</v>
      </c>
      <c r="D895" s="46" t="s">
        <v>1249</v>
      </c>
      <c r="E895" s="47" t="s">
        <v>364</v>
      </c>
      <c r="F895" s="47" t="s">
        <v>58</v>
      </c>
      <c r="G895" s="62">
        <v>136.4</v>
      </c>
      <c r="H895" s="62">
        <v>6817.43</v>
      </c>
      <c r="I895" s="49">
        <v>0</v>
      </c>
      <c r="J895" s="49">
        <v>0</v>
      </c>
      <c r="K895" s="49">
        <v>0</v>
      </c>
      <c r="L895" s="50">
        <v>0</v>
      </c>
      <c r="M895" s="51"/>
      <c r="N895" s="52" t="s">
        <v>1300</v>
      </c>
      <c r="O895" s="31"/>
      <c r="P895" s="53">
        <v>9.2138432561975135E-4</v>
      </c>
      <c r="Q895" s="54">
        <v>2</v>
      </c>
      <c r="R895" s="55">
        <v>0</v>
      </c>
      <c r="S895" s="55">
        <v>0</v>
      </c>
      <c r="T895" s="56">
        <v>0</v>
      </c>
      <c r="U895" s="57"/>
      <c r="V895" s="55">
        <v>0</v>
      </c>
      <c r="W895" s="55">
        <v>0</v>
      </c>
      <c r="X895" s="58">
        <v>0</v>
      </c>
      <c r="Y895" s="59">
        <v>0</v>
      </c>
      <c r="Z895" s="58">
        <v>0</v>
      </c>
      <c r="AA895" s="56">
        <v>0</v>
      </c>
      <c r="AB895" s="56">
        <v>0</v>
      </c>
      <c r="AC895" s="60">
        <v>46142</v>
      </c>
    </row>
    <row r="896" spans="1:29" x14ac:dyDescent="0.25">
      <c r="A896" s="43">
        <v>1057</v>
      </c>
      <c r="B896" s="44" t="s">
        <v>1299</v>
      </c>
      <c r="C896" s="45">
        <v>10630004</v>
      </c>
      <c r="D896" s="46" t="s">
        <v>1250</v>
      </c>
      <c r="E896" s="47" t="s">
        <v>364</v>
      </c>
      <c r="F896" s="47" t="s">
        <v>58</v>
      </c>
      <c r="G896" s="62">
        <v>119.89999999999999</v>
      </c>
      <c r="H896" s="62">
        <v>6356.3200000000006</v>
      </c>
      <c r="I896" s="49">
        <v>0</v>
      </c>
      <c r="J896" s="49">
        <v>0</v>
      </c>
      <c r="K896" s="49">
        <v>0</v>
      </c>
      <c r="L896" s="50">
        <v>0</v>
      </c>
      <c r="M896" s="51"/>
      <c r="N896" s="52" t="s">
        <v>1300</v>
      </c>
      <c r="O896" s="31"/>
      <c r="P896" s="53">
        <v>-1.0390500575304164E-2</v>
      </c>
      <c r="Q896" s="54">
        <v>2</v>
      </c>
      <c r="R896" s="55">
        <v>0</v>
      </c>
      <c r="S896" s="55">
        <v>0</v>
      </c>
      <c r="T896" s="56">
        <v>0</v>
      </c>
      <c r="U896" s="57"/>
      <c r="V896" s="55">
        <v>0</v>
      </c>
      <c r="W896" s="55">
        <v>0</v>
      </c>
      <c r="X896" s="58">
        <v>0</v>
      </c>
      <c r="Y896" s="59">
        <v>0</v>
      </c>
      <c r="Z896" s="58">
        <v>0</v>
      </c>
      <c r="AA896" s="56">
        <v>0</v>
      </c>
      <c r="AB896" s="56">
        <v>0</v>
      </c>
      <c r="AC896" s="60">
        <v>46142</v>
      </c>
    </row>
    <row r="897" spans="1:29" x14ac:dyDescent="0.25">
      <c r="A897" s="43">
        <v>1057</v>
      </c>
      <c r="B897" s="44" t="s">
        <v>1299</v>
      </c>
      <c r="C897" s="45">
        <v>10630007</v>
      </c>
      <c r="D897" s="46" t="s">
        <v>1251</v>
      </c>
      <c r="E897" s="47" t="s">
        <v>364</v>
      </c>
      <c r="F897" s="47" t="s">
        <v>58</v>
      </c>
      <c r="G897" s="62">
        <v>75.299999999999983</v>
      </c>
      <c r="H897" s="62">
        <v>3497.05</v>
      </c>
      <c r="I897" s="49">
        <v>0</v>
      </c>
      <c r="J897" s="49">
        <v>0</v>
      </c>
      <c r="K897" s="49">
        <v>0</v>
      </c>
      <c r="L897" s="50">
        <v>0</v>
      </c>
      <c r="M897" s="51"/>
      <c r="N897" s="52" t="s">
        <v>1300</v>
      </c>
      <c r="O897" s="31"/>
      <c r="P897" s="53">
        <v>1.0955684467195605E-3</v>
      </c>
      <c r="Q897" s="54">
        <v>1</v>
      </c>
      <c r="R897" s="55">
        <v>0</v>
      </c>
      <c r="S897" s="55">
        <v>0</v>
      </c>
      <c r="T897" s="56">
        <v>0</v>
      </c>
      <c r="U897" s="57"/>
      <c r="V897" s="55">
        <v>0</v>
      </c>
      <c r="W897" s="55">
        <v>0</v>
      </c>
      <c r="X897" s="58">
        <v>0</v>
      </c>
      <c r="Y897" s="59">
        <v>0</v>
      </c>
      <c r="Z897" s="58">
        <v>0</v>
      </c>
      <c r="AA897" s="56">
        <v>0</v>
      </c>
      <c r="AB897" s="56">
        <v>0</v>
      </c>
      <c r="AC897" s="60">
        <v>46142</v>
      </c>
    </row>
    <row r="898" spans="1:29" x14ac:dyDescent="0.25">
      <c r="A898" s="43">
        <v>1057</v>
      </c>
      <c r="B898" s="44" t="s">
        <v>1299</v>
      </c>
      <c r="C898" s="45">
        <v>10630008</v>
      </c>
      <c r="D898" s="46" t="s">
        <v>1252</v>
      </c>
      <c r="E898" s="47" t="s">
        <v>364</v>
      </c>
      <c r="F898" s="47" t="s">
        <v>58</v>
      </c>
      <c r="G898" s="62">
        <v>685.6</v>
      </c>
      <c r="H898" s="62">
        <v>26065.899999999994</v>
      </c>
      <c r="I898" s="49">
        <v>0</v>
      </c>
      <c r="J898" s="49">
        <v>0</v>
      </c>
      <c r="K898" s="49">
        <v>0</v>
      </c>
      <c r="L898" s="50">
        <v>0</v>
      </c>
      <c r="M898" s="51"/>
      <c r="N898" s="52" t="s">
        <v>1300</v>
      </c>
      <c r="O898" s="31"/>
      <c r="P898" s="53">
        <v>-5.443946067500394E-5</v>
      </c>
      <c r="Q898" s="54">
        <v>1</v>
      </c>
      <c r="R898" s="55">
        <v>0</v>
      </c>
      <c r="S898" s="55">
        <v>0</v>
      </c>
      <c r="T898" s="56">
        <v>0</v>
      </c>
      <c r="U898" s="57"/>
      <c r="V898" s="55">
        <v>0</v>
      </c>
      <c r="W898" s="55">
        <v>0</v>
      </c>
      <c r="X898" s="58">
        <v>0</v>
      </c>
      <c r="Y898" s="59">
        <v>0</v>
      </c>
      <c r="Z898" s="58">
        <v>0</v>
      </c>
      <c r="AA898" s="56">
        <v>0</v>
      </c>
      <c r="AB898" s="56">
        <v>0</v>
      </c>
      <c r="AC898" s="60">
        <v>46142</v>
      </c>
    </row>
    <row r="899" spans="1:29" x14ac:dyDescent="0.25">
      <c r="A899" s="43">
        <v>1057</v>
      </c>
      <c r="B899" s="44" t="s">
        <v>1299</v>
      </c>
      <c r="C899" s="45">
        <v>10630009</v>
      </c>
      <c r="D899" s="46" t="s">
        <v>1253</v>
      </c>
      <c r="E899" s="47" t="s">
        <v>364</v>
      </c>
      <c r="F899" s="47" t="s">
        <v>58</v>
      </c>
      <c r="G899" s="62">
        <v>224.70000000000002</v>
      </c>
      <c r="H899" s="62">
        <v>10615.84</v>
      </c>
      <c r="I899" s="49">
        <v>0</v>
      </c>
      <c r="J899" s="49">
        <v>0</v>
      </c>
      <c r="K899" s="49">
        <v>0</v>
      </c>
      <c r="L899" s="50">
        <v>0</v>
      </c>
      <c r="M899" s="51"/>
      <c r="N899" s="52" t="s">
        <v>1300</v>
      </c>
      <c r="O899" s="31"/>
      <c r="P899" s="53">
        <v>-1.518090218216392E-4</v>
      </c>
      <c r="Q899" s="54">
        <v>2</v>
      </c>
      <c r="R899" s="55">
        <v>0</v>
      </c>
      <c r="S899" s="55">
        <v>0</v>
      </c>
      <c r="T899" s="56">
        <v>0</v>
      </c>
      <c r="U899" s="57"/>
      <c r="V899" s="55">
        <v>0</v>
      </c>
      <c r="W899" s="55">
        <v>0</v>
      </c>
      <c r="X899" s="58">
        <v>0</v>
      </c>
      <c r="Y899" s="59">
        <v>0</v>
      </c>
      <c r="Z899" s="58">
        <v>0</v>
      </c>
      <c r="AA899" s="56">
        <v>0</v>
      </c>
      <c r="AB899" s="56">
        <v>0</v>
      </c>
      <c r="AC899" s="60">
        <v>46142</v>
      </c>
    </row>
    <row r="900" spans="1:29" x14ac:dyDescent="0.25">
      <c r="A900" s="43">
        <v>1057</v>
      </c>
      <c r="B900" s="44" t="s">
        <v>1299</v>
      </c>
      <c r="C900" s="45">
        <v>10630010</v>
      </c>
      <c r="D900" s="46" t="s">
        <v>1254</v>
      </c>
      <c r="E900" s="47" t="s">
        <v>371</v>
      </c>
      <c r="F900" s="47" t="s">
        <v>59</v>
      </c>
      <c r="G900" s="62">
        <v>278.89999999999998</v>
      </c>
      <c r="H900" s="62">
        <v>10690.220000000001</v>
      </c>
      <c r="I900" s="49">
        <v>0</v>
      </c>
      <c r="J900" s="49">
        <v>0</v>
      </c>
      <c r="K900" s="49">
        <v>0</v>
      </c>
      <c r="L900" s="50">
        <v>0</v>
      </c>
      <c r="M900" s="51"/>
      <c r="N900" s="52" t="s">
        <v>1300</v>
      </c>
      <c r="O900" s="31"/>
      <c r="P900" s="53">
        <v>0</v>
      </c>
      <c r="Q900" s="54">
        <v>0</v>
      </c>
      <c r="R900" s="55">
        <v>0</v>
      </c>
      <c r="S900" s="55">
        <v>0</v>
      </c>
      <c r="T900" s="56">
        <v>0</v>
      </c>
      <c r="U900" s="57"/>
      <c r="V900" s="55">
        <v>0</v>
      </c>
      <c r="W900" s="55">
        <v>0</v>
      </c>
      <c r="X900" s="58">
        <v>0</v>
      </c>
      <c r="Y900" s="59">
        <v>0</v>
      </c>
      <c r="Z900" s="58">
        <v>0</v>
      </c>
      <c r="AA900" s="56">
        <v>0</v>
      </c>
      <c r="AB900" s="56">
        <v>0</v>
      </c>
      <c r="AC900" s="60">
        <v>46142</v>
      </c>
    </row>
    <row r="901" spans="1:29" x14ac:dyDescent="0.25">
      <c r="A901" s="43">
        <v>1057</v>
      </c>
      <c r="B901" s="44" t="s">
        <v>1299</v>
      </c>
      <c r="C901" s="45">
        <v>10630011</v>
      </c>
      <c r="D901" s="46" t="s">
        <v>1255</v>
      </c>
      <c r="E901" s="47" t="s">
        <v>371</v>
      </c>
      <c r="F901" s="47" t="s">
        <v>59</v>
      </c>
      <c r="G901" s="62">
        <v>152.70000000000002</v>
      </c>
      <c r="H901" s="62">
        <v>4837.97</v>
      </c>
      <c r="I901" s="49">
        <v>0</v>
      </c>
      <c r="J901" s="49">
        <v>0</v>
      </c>
      <c r="K901" s="49">
        <v>0</v>
      </c>
      <c r="L901" s="50">
        <v>0</v>
      </c>
      <c r="M901" s="51"/>
      <c r="N901" s="52" t="s">
        <v>1300</v>
      </c>
      <c r="O901" s="31"/>
      <c r="P901" s="53">
        <v>0</v>
      </c>
      <c r="Q901" s="54">
        <v>0</v>
      </c>
      <c r="R901" s="55">
        <v>0</v>
      </c>
      <c r="S901" s="55">
        <v>0</v>
      </c>
      <c r="T901" s="56">
        <v>0</v>
      </c>
      <c r="U901" s="57"/>
      <c r="V901" s="55">
        <v>0</v>
      </c>
      <c r="W901" s="55">
        <v>0</v>
      </c>
      <c r="X901" s="58">
        <v>0</v>
      </c>
      <c r="Y901" s="59">
        <v>0</v>
      </c>
      <c r="Z901" s="58">
        <v>0</v>
      </c>
      <c r="AA901" s="56">
        <v>0</v>
      </c>
      <c r="AB901" s="56">
        <v>0</v>
      </c>
      <c r="AC901" s="60">
        <v>46142</v>
      </c>
    </row>
    <row r="902" spans="1:29" x14ac:dyDescent="0.25">
      <c r="A902" s="43">
        <v>1057</v>
      </c>
      <c r="B902" s="44" t="s">
        <v>1299</v>
      </c>
      <c r="C902" s="45">
        <v>10630012</v>
      </c>
      <c r="D902" s="46" t="s">
        <v>1256</v>
      </c>
      <c r="E902" s="47" t="s">
        <v>371</v>
      </c>
      <c r="F902" s="47" t="s">
        <v>59</v>
      </c>
      <c r="G902" s="62">
        <v>346.2</v>
      </c>
      <c r="H902" s="62">
        <v>12949.270000000002</v>
      </c>
      <c r="I902" s="49">
        <v>0</v>
      </c>
      <c r="J902" s="49">
        <v>0</v>
      </c>
      <c r="K902" s="49">
        <v>0</v>
      </c>
      <c r="L902" s="50">
        <v>0</v>
      </c>
      <c r="M902" s="51"/>
      <c r="N902" s="52" t="s">
        <v>1300</v>
      </c>
      <c r="O902" s="31"/>
      <c r="P902" s="53">
        <v>0</v>
      </c>
      <c r="Q902" s="54">
        <v>0</v>
      </c>
      <c r="R902" s="55">
        <v>0</v>
      </c>
      <c r="S902" s="55">
        <v>0</v>
      </c>
      <c r="T902" s="56">
        <v>0</v>
      </c>
      <c r="U902" s="57"/>
      <c r="V902" s="55">
        <v>0</v>
      </c>
      <c r="W902" s="55">
        <v>0</v>
      </c>
      <c r="X902" s="58">
        <v>0</v>
      </c>
      <c r="Y902" s="59">
        <v>0</v>
      </c>
      <c r="Z902" s="58">
        <v>0</v>
      </c>
      <c r="AA902" s="56">
        <v>0</v>
      </c>
      <c r="AB902" s="56">
        <v>0</v>
      </c>
      <c r="AC902" s="60">
        <v>46142</v>
      </c>
    </row>
    <row r="903" spans="1:29" x14ac:dyDescent="0.25">
      <c r="A903" s="43">
        <v>1057</v>
      </c>
      <c r="B903" s="44" t="s">
        <v>1299</v>
      </c>
      <c r="C903" s="45">
        <v>10630013</v>
      </c>
      <c r="D903" s="46" t="s">
        <v>1257</v>
      </c>
      <c r="E903" s="47" t="s">
        <v>364</v>
      </c>
      <c r="F903" s="47" t="s">
        <v>58</v>
      </c>
      <c r="G903" s="62">
        <v>332.1</v>
      </c>
      <c r="H903" s="62">
        <v>12073.19</v>
      </c>
      <c r="I903" s="49">
        <v>0</v>
      </c>
      <c r="J903" s="49">
        <v>0</v>
      </c>
      <c r="K903" s="49">
        <v>0</v>
      </c>
      <c r="L903" s="50">
        <v>0</v>
      </c>
      <c r="M903" s="51"/>
      <c r="N903" s="52" t="s">
        <v>1300</v>
      </c>
      <c r="O903" s="31"/>
      <c r="P903" s="53">
        <v>-3.5053292460429068E-5</v>
      </c>
      <c r="Q903" s="54">
        <v>1</v>
      </c>
      <c r="R903" s="55">
        <v>0</v>
      </c>
      <c r="S903" s="55">
        <v>0</v>
      </c>
      <c r="T903" s="56">
        <v>0</v>
      </c>
      <c r="U903" s="57"/>
      <c r="V903" s="55">
        <v>0</v>
      </c>
      <c r="W903" s="55">
        <v>0</v>
      </c>
      <c r="X903" s="58">
        <v>0</v>
      </c>
      <c r="Y903" s="59">
        <v>0</v>
      </c>
      <c r="Z903" s="58">
        <v>0</v>
      </c>
      <c r="AA903" s="56">
        <v>0</v>
      </c>
      <c r="AB903" s="56">
        <v>0</v>
      </c>
      <c r="AC903" s="60">
        <v>46142</v>
      </c>
    </row>
    <row r="904" spans="1:29" x14ac:dyDescent="0.25">
      <c r="A904" s="43">
        <v>1057</v>
      </c>
      <c r="B904" s="44" t="s">
        <v>1299</v>
      </c>
      <c r="C904" s="45">
        <v>10630014</v>
      </c>
      <c r="D904" s="46" t="s">
        <v>1258</v>
      </c>
      <c r="E904" s="47" t="s">
        <v>364</v>
      </c>
      <c r="F904" s="47" t="s">
        <v>58</v>
      </c>
      <c r="G904" s="62">
        <v>157.29999999999998</v>
      </c>
      <c r="H904" s="62">
        <v>5790.34</v>
      </c>
      <c r="I904" s="49">
        <v>0</v>
      </c>
      <c r="J904" s="49">
        <v>0</v>
      </c>
      <c r="K904" s="49">
        <v>0</v>
      </c>
      <c r="L904" s="50">
        <v>0</v>
      </c>
      <c r="M904" s="51"/>
      <c r="N904" s="52" t="s">
        <v>1300</v>
      </c>
      <c r="O904" s="31"/>
      <c r="P904" s="53">
        <v>4.4462102536283203E-4</v>
      </c>
      <c r="Q904" s="54">
        <v>2</v>
      </c>
      <c r="R904" s="55">
        <v>0</v>
      </c>
      <c r="S904" s="55">
        <v>0</v>
      </c>
      <c r="T904" s="56">
        <v>0</v>
      </c>
      <c r="U904" s="57"/>
      <c r="V904" s="55">
        <v>0</v>
      </c>
      <c r="W904" s="55">
        <v>0</v>
      </c>
      <c r="X904" s="58">
        <v>0</v>
      </c>
      <c r="Y904" s="59">
        <v>0</v>
      </c>
      <c r="Z904" s="58">
        <v>0</v>
      </c>
      <c r="AA904" s="56">
        <v>0</v>
      </c>
      <c r="AB904" s="56">
        <v>0</v>
      </c>
      <c r="AC904" s="60">
        <v>46142</v>
      </c>
    </row>
    <row r="905" spans="1:29" x14ac:dyDescent="0.25">
      <c r="A905" s="43">
        <v>1057</v>
      </c>
      <c r="B905" s="44" t="s">
        <v>1299</v>
      </c>
      <c r="C905" s="45">
        <v>10630015</v>
      </c>
      <c r="D905" s="46" t="s">
        <v>1259</v>
      </c>
      <c r="E905" s="47" t="s">
        <v>364</v>
      </c>
      <c r="F905" s="47" t="s">
        <v>58</v>
      </c>
      <c r="G905" s="62">
        <v>191.10000000000002</v>
      </c>
      <c r="H905" s="62">
        <v>7021.73</v>
      </c>
      <c r="I905" s="49">
        <v>0</v>
      </c>
      <c r="J905" s="49">
        <v>0</v>
      </c>
      <c r="K905" s="49">
        <v>0</v>
      </c>
      <c r="L905" s="50">
        <v>0</v>
      </c>
      <c r="M905" s="51"/>
      <c r="N905" s="52" t="s">
        <v>1300</v>
      </c>
      <c r="O905" s="31"/>
      <c r="P905" s="53">
        <v>1.5139219650967271E-4</v>
      </c>
      <c r="Q905" s="54">
        <v>1</v>
      </c>
      <c r="R905" s="55">
        <v>0</v>
      </c>
      <c r="S905" s="55">
        <v>0</v>
      </c>
      <c r="T905" s="56">
        <v>0</v>
      </c>
      <c r="U905" s="57"/>
      <c r="V905" s="55">
        <v>0</v>
      </c>
      <c r="W905" s="55">
        <v>0</v>
      </c>
      <c r="X905" s="58">
        <v>0</v>
      </c>
      <c r="Y905" s="59">
        <v>0</v>
      </c>
      <c r="Z905" s="58">
        <v>0</v>
      </c>
      <c r="AA905" s="56">
        <v>0</v>
      </c>
      <c r="AB905" s="56">
        <v>0</v>
      </c>
      <c r="AC905" s="60">
        <v>46142</v>
      </c>
    </row>
    <row r="906" spans="1:29" x14ac:dyDescent="0.25">
      <c r="A906" s="43">
        <v>1057</v>
      </c>
      <c r="B906" s="44" t="s">
        <v>1299</v>
      </c>
      <c r="C906" s="45">
        <v>10630016</v>
      </c>
      <c r="D906" s="46" t="s">
        <v>1260</v>
      </c>
      <c r="E906" s="47" t="s">
        <v>371</v>
      </c>
      <c r="F906" s="47" t="s">
        <v>59</v>
      </c>
      <c r="G906" s="62">
        <v>329.69999999999993</v>
      </c>
      <c r="H906" s="62">
        <v>11680.77</v>
      </c>
      <c r="I906" s="49">
        <v>0</v>
      </c>
      <c r="J906" s="49">
        <v>0</v>
      </c>
      <c r="K906" s="49">
        <v>0</v>
      </c>
      <c r="L906" s="50">
        <v>0</v>
      </c>
      <c r="M906" s="51"/>
      <c r="N906" s="52" t="s">
        <v>1300</v>
      </c>
      <c r="O906" s="31"/>
      <c r="P906" s="53">
        <v>0</v>
      </c>
      <c r="Q906" s="54">
        <v>0</v>
      </c>
      <c r="R906" s="55">
        <v>0</v>
      </c>
      <c r="S906" s="55">
        <v>0</v>
      </c>
      <c r="T906" s="56">
        <v>0</v>
      </c>
      <c r="U906" s="57"/>
      <c r="V906" s="55">
        <v>0</v>
      </c>
      <c r="W906" s="55">
        <v>0</v>
      </c>
      <c r="X906" s="58">
        <v>0</v>
      </c>
      <c r="Y906" s="59">
        <v>0</v>
      </c>
      <c r="Z906" s="58">
        <v>0</v>
      </c>
      <c r="AA906" s="56">
        <v>0</v>
      </c>
      <c r="AB906" s="56">
        <v>0</v>
      </c>
      <c r="AC906" s="60">
        <v>46142</v>
      </c>
    </row>
    <row r="907" spans="1:29" x14ac:dyDescent="0.25">
      <c r="A907" s="43">
        <v>1057</v>
      </c>
      <c r="B907" s="44" t="s">
        <v>1299</v>
      </c>
      <c r="C907" s="45">
        <v>10630017</v>
      </c>
      <c r="D907" s="46" t="s">
        <v>1261</v>
      </c>
      <c r="E907" s="47" t="s">
        <v>371</v>
      </c>
      <c r="F907" s="47" t="s">
        <v>59</v>
      </c>
      <c r="G907" s="62">
        <v>62.9</v>
      </c>
      <c r="H907" s="62">
        <v>2070.4700000000003</v>
      </c>
      <c r="I907" s="49">
        <v>0</v>
      </c>
      <c r="J907" s="49">
        <v>0</v>
      </c>
      <c r="K907" s="49">
        <v>0</v>
      </c>
      <c r="L907" s="50">
        <v>0</v>
      </c>
      <c r="M907" s="51"/>
      <c r="N907" s="52" t="s">
        <v>1300</v>
      </c>
      <c r="O907" s="31"/>
      <c r="P907" s="53">
        <v>0</v>
      </c>
      <c r="Q907" s="54">
        <v>0</v>
      </c>
      <c r="R907" s="55">
        <v>0</v>
      </c>
      <c r="S907" s="55">
        <v>0</v>
      </c>
      <c r="T907" s="56">
        <v>0</v>
      </c>
      <c r="U907" s="57"/>
      <c r="V907" s="55">
        <v>0</v>
      </c>
      <c r="W907" s="55">
        <v>0</v>
      </c>
      <c r="X907" s="58">
        <v>0</v>
      </c>
      <c r="Y907" s="59">
        <v>0</v>
      </c>
      <c r="Z907" s="58">
        <v>0</v>
      </c>
      <c r="AA907" s="56">
        <v>0</v>
      </c>
      <c r="AB907" s="56">
        <v>0</v>
      </c>
      <c r="AC907" s="60">
        <v>46142</v>
      </c>
    </row>
    <row r="908" spans="1:29" x14ac:dyDescent="0.25">
      <c r="A908" s="43">
        <v>1057</v>
      </c>
      <c r="B908" s="44" t="s">
        <v>1299</v>
      </c>
      <c r="C908" s="45">
        <v>10630018</v>
      </c>
      <c r="D908" s="46" t="s">
        <v>1262</v>
      </c>
      <c r="E908" s="47" t="s">
        <v>371</v>
      </c>
      <c r="F908" s="47" t="s">
        <v>59</v>
      </c>
      <c r="G908" s="62">
        <v>297.5</v>
      </c>
      <c r="H908" s="62">
        <v>11157.949999999999</v>
      </c>
      <c r="I908" s="49">
        <v>0</v>
      </c>
      <c r="J908" s="49">
        <v>0</v>
      </c>
      <c r="K908" s="49">
        <v>0</v>
      </c>
      <c r="L908" s="50">
        <v>0</v>
      </c>
      <c r="M908" s="51"/>
      <c r="N908" s="52" t="s">
        <v>1300</v>
      </c>
      <c r="O908" s="31"/>
      <c r="P908" s="53">
        <v>0</v>
      </c>
      <c r="Q908" s="54">
        <v>0</v>
      </c>
      <c r="R908" s="55">
        <v>0</v>
      </c>
      <c r="S908" s="55">
        <v>0</v>
      </c>
      <c r="T908" s="56">
        <v>0</v>
      </c>
      <c r="U908" s="57"/>
      <c r="V908" s="55">
        <v>0</v>
      </c>
      <c r="W908" s="55">
        <v>0</v>
      </c>
      <c r="X908" s="58">
        <v>0</v>
      </c>
      <c r="Y908" s="59">
        <v>0</v>
      </c>
      <c r="Z908" s="58">
        <v>0</v>
      </c>
      <c r="AA908" s="56">
        <v>0</v>
      </c>
      <c r="AB908" s="56">
        <v>0</v>
      </c>
      <c r="AC908" s="60">
        <v>46142</v>
      </c>
    </row>
    <row r="909" spans="1:29" x14ac:dyDescent="0.25">
      <c r="A909" s="43">
        <v>1057</v>
      </c>
      <c r="B909" s="44" t="s">
        <v>1299</v>
      </c>
      <c r="C909" s="45">
        <v>10630019</v>
      </c>
      <c r="D909" s="46" t="s">
        <v>1263</v>
      </c>
      <c r="E909" s="47" t="s">
        <v>371</v>
      </c>
      <c r="F909" s="47" t="s">
        <v>59</v>
      </c>
      <c r="G909" s="62">
        <v>278.10000000000002</v>
      </c>
      <c r="H909" s="62">
        <v>10583.369999999999</v>
      </c>
      <c r="I909" s="49">
        <v>0</v>
      </c>
      <c r="J909" s="49">
        <v>0</v>
      </c>
      <c r="K909" s="49">
        <v>0</v>
      </c>
      <c r="L909" s="50">
        <v>0</v>
      </c>
      <c r="M909" s="51"/>
      <c r="N909" s="52" t="s">
        <v>1300</v>
      </c>
      <c r="O909" s="31"/>
      <c r="P909" s="53">
        <v>0</v>
      </c>
      <c r="Q909" s="54">
        <v>0</v>
      </c>
      <c r="R909" s="55">
        <v>0</v>
      </c>
      <c r="S909" s="55">
        <v>0</v>
      </c>
      <c r="T909" s="56">
        <v>0</v>
      </c>
      <c r="U909" s="57"/>
      <c r="V909" s="55">
        <v>0</v>
      </c>
      <c r="W909" s="55">
        <v>0</v>
      </c>
      <c r="X909" s="58">
        <v>0</v>
      </c>
      <c r="Y909" s="59">
        <v>0</v>
      </c>
      <c r="Z909" s="58">
        <v>0</v>
      </c>
      <c r="AA909" s="56">
        <v>0</v>
      </c>
      <c r="AB909" s="56">
        <v>0</v>
      </c>
      <c r="AC909" s="60">
        <v>46142</v>
      </c>
    </row>
    <row r="910" spans="1:29" x14ac:dyDescent="0.25">
      <c r="A910" s="43">
        <v>1062</v>
      </c>
      <c r="B910" s="44" t="s">
        <v>1296</v>
      </c>
      <c r="C910" s="45">
        <v>10640001</v>
      </c>
      <c r="D910" s="46" t="s">
        <v>1264</v>
      </c>
      <c r="E910" s="47" t="s">
        <v>364</v>
      </c>
      <c r="F910" s="47" t="s">
        <v>58</v>
      </c>
      <c r="G910" s="62">
        <v>761.10999999999979</v>
      </c>
      <c r="H910" s="62">
        <v>29573.45</v>
      </c>
      <c r="I910" s="49">
        <v>0</v>
      </c>
      <c r="J910" s="49">
        <v>0</v>
      </c>
      <c r="K910" s="49">
        <v>0</v>
      </c>
      <c r="L910" s="50">
        <v>0</v>
      </c>
      <c r="M910" s="51"/>
      <c r="N910" s="52" t="s">
        <v>1300</v>
      </c>
      <c r="O910" s="31"/>
      <c r="P910" s="53">
        <v>2.2720494491915138E-3</v>
      </c>
      <c r="Q910" s="54">
        <v>6</v>
      </c>
      <c r="R910" s="55">
        <v>0</v>
      </c>
      <c r="S910" s="55">
        <v>0</v>
      </c>
      <c r="T910" s="56">
        <v>0</v>
      </c>
      <c r="U910" s="57"/>
      <c r="V910" s="55">
        <v>0</v>
      </c>
      <c r="W910" s="55">
        <v>0</v>
      </c>
      <c r="X910" s="58">
        <v>0</v>
      </c>
      <c r="Y910" s="59">
        <v>0</v>
      </c>
      <c r="Z910" s="58">
        <v>0</v>
      </c>
      <c r="AA910" s="56">
        <v>0</v>
      </c>
      <c r="AB910" s="56">
        <v>0</v>
      </c>
      <c r="AC910" s="60">
        <v>46142</v>
      </c>
    </row>
    <row r="911" spans="1:29" x14ac:dyDescent="0.25">
      <c r="A911" s="43">
        <v>1062</v>
      </c>
      <c r="B911" s="44" t="s">
        <v>1296</v>
      </c>
      <c r="C911" s="45">
        <v>10640002</v>
      </c>
      <c r="D911" s="46" t="s">
        <v>1265</v>
      </c>
      <c r="E911" s="47" t="s">
        <v>364</v>
      </c>
      <c r="F911" s="47" t="s">
        <v>58</v>
      </c>
      <c r="G911" s="62">
        <v>8.34</v>
      </c>
      <c r="H911" s="62">
        <v>280.02</v>
      </c>
      <c r="I911" s="49">
        <v>0</v>
      </c>
      <c r="J911" s="49">
        <v>0</v>
      </c>
      <c r="K911" s="49">
        <v>0</v>
      </c>
      <c r="L911" s="50">
        <v>0</v>
      </c>
      <c r="M911" s="51"/>
      <c r="N911" s="52" t="s">
        <v>1300</v>
      </c>
      <c r="O911" s="31"/>
      <c r="P911" s="53">
        <v>-0.2106297128776517</v>
      </c>
      <c r="Q911" s="54">
        <v>1</v>
      </c>
      <c r="R911" s="55">
        <v>0</v>
      </c>
      <c r="S911" s="55">
        <v>0</v>
      </c>
      <c r="T911" s="56">
        <v>0</v>
      </c>
      <c r="U911" s="57"/>
      <c r="V911" s="55">
        <v>0</v>
      </c>
      <c r="W911" s="55">
        <v>0</v>
      </c>
      <c r="X911" s="58">
        <v>0</v>
      </c>
      <c r="Y911" s="59">
        <v>0</v>
      </c>
      <c r="Z911" s="58">
        <v>0</v>
      </c>
      <c r="AA911" s="56">
        <v>0</v>
      </c>
      <c r="AB911" s="56">
        <v>0</v>
      </c>
      <c r="AC911" s="60">
        <v>46142</v>
      </c>
    </row>
    <row r="912" spans="1:29" x14ac:dyDescent="0.25">
      <c r="A912" s="43">
        <v>1062</v>
      </c>
      <c r="B912" s="44" t="s">
        <v>1296</v>
      </c>
      <c r="C912" s="45">
        <v>10640003</v>
      </c>
      <c r="D912" s="46" t="s">
        <v>1266</v>
      </c>
      <c r="E912" s="47" t="s">
        <v>364</v>
      </c>
      <c r="F912" s="47" t="s">
        <v>58</v>
      </c>
      <c r="G912" s="62">
        <v>886.02000000000021</v>
      </c>
      <c r="H912" s="62">
        <v>36498.390000000007</v>
      </c>
      <c r="I912" s="49">
        <v>0</v>
      </c>
      <c r="J912" s="49">
        <v>0</v>
      </c>
      <c r="K912" s="49">
        <v>0</v>
      </c>
      <c r="L912" s="50">
        <v>0</v>
      </c>
      <c r="M912" s="51"/>
      <c r="N912" s="52" t="s">
        <v>1300</v>
      </c>
      <c r="O912" s="31"/>
      <c r="P912" s="53">
        <v>6.064820169824593E-3</v>
      </c>
      <c r="Q912" s="54">
        <v>13</v>
      </c>
      <c r="R912" s="55">
        <v>0</v>
      </c>
      <c r="S912" s="55">
        <v>0</v>
      </c>
      <c r="T912" s="56">
        <v>0</v>
      </c>
      <c r="U912" s="57"/>
      <c r="V912" s="55">
        <v>0</v>
      </c>
      <c r="W912" s="55">
        <v>0</v>
      </c>
      <c r="X912" s="58">
        <v>0</v>
      </c>
      <c r="Y912" s="59">
        <v>0</v>
      </c>
      <c r="Z912" s="58">
        <v>0</v>
      </c>
      <c r="AA912" s="56">
        <v>0</v>
      </c>
      <c r="AB912" s="56">
        <v>0</v>
      </c>
      <c r="AC912" s="60">
        <v>46142</v>
      </c>
    </row>
    <row r="913" spans="1:29" x14ac:dyDescent="0.25">
      <c r="A913" s="43">
        <v>1062</v>
      </c>
      <c r="B913" s="44" t="s">
        <v>1296</v>
      </c>
      <c r="C913" s="45">
        <v>10640004</v>
      </c>
      <c r="D913" s="46" t="s">
        <v>1267</v>
      </c>
      <c r="E913" s="47" t="s">
        <v>364</v>
      </c>
      <c r="F913" s="47" t="s">
        <v>58</v>
      </c>
      <c r="G913" s="62">
        <v>132.29</v>
      </c>
      <c r="H913" s="62">
        <v>5183.9799999999996</v>
      </c>
      <c r="I913" s="49">
        <v>0</v>
      </c>
      <c r="J913" s="49">
        <v>0</v>
      </c>
      <c r="K913" s="49">
        <v>0</v>
      </c>
      <c r="L913" s="50">
        <v>0</v>
      </c>
      <c r="M913" s="51"/>
      <c r="N913" s="52" t="s">
        <v>1300</v>
      </c>
      <c r="O913" s="31"/>
      <c r="P913" s="53">
        <v>-6.1427490499580727E-3</v>
      </c>
      <c r="Q913" s="54">
        <v>2</v>
      </c>
      <c r="R913" s="55">
        <v>0</v>
      </c>
      <c r="S913" s="55">
        <v>0</v>
      </c>
      <c r="T913" s="56">
        <v>0</v>
      </c>
      <c r="U913" s="57"/>
      <c r="V913" s="55">
        <v>0</v>
      </c>
      <c r="W913" s="55">
        <v>0</v>
      </c>
      <c r="X913" s="58">
        <v>0</v>
      </c>
      <c r="Y913" s="59">
        <v>0</v>
      </c>
      <c r="Z913" s="58">
        <v>0</v>
      </c>
      <c r="AA913" s="56">
        <v>0</v>
      </c>
      <c r="AB913" s="56">
        <v>0</v>
      </c>
      <c r="AC913" s="60">
        <v>46142</v>
      </c>
    </row>
    <row r="914" spans="1:29" x14ac:dyDescent="0.25">
      <c r="A914" s="43">
        <v>1062</v>
      </c>
      <c r="B914" s="44" t="s">
        <v>1296</v>
      </c>
      <c r="C914" s="45">
        <v>10640005</v>
      </c>
      <c r="D914" s="46" t="s">
        <v>1268</v>
      </c>
      <c r="E914" s="47" t="s">
        <v>364</v>
      </c>
      <c r="F914" s="47" t="s">
        <v>58</v>
      </c>
      <c r="G914" s="62">
        <v>202.3</v>
      </c>
      <c r="H914" s="62">
        <v>8851.4500000000007</v>
      </c>
      <c r="I914" s="49">
        <v>0</v>
      </c>
      <c r="J914" s="49">
        <v>0</v>
      </c>
      <c r="K914" s="49">
        <v>0</v>
      </c>
      <c r="L914" s="50">
        <v>0</v>
      </c>
      <c r="M914" s="51"/>
      <c r="N914" s="52" t="s">
        <v>1300</v>
      </c>
      <c r="O914" s="31"/>
      <c r="P914" s="53">
        <v>3.7574320575726626E-3</v>
      </c>
      <c r="Q914" s="54">
        <v>2</v>
      </c>
      <c r="R914" s="55">
        <v>0</v>
      </c>
      <c r="S914" s="55">
        <v>0</v>
      </c>
      <c r="T914" s="56">
        <v>0</v>
      </c>
      <c r="U914" s="57"/>
      <c r="V914" s="55">
        <v>0</v>
      </c>
      <c r="W914" s="55">
        <v>0</v>
      </c>
      <c r="X914" s="58">
        <v>0</v>
      </c>
      <c r="Y914" s="59">
        <v>0</v>
      </c>
      <c r="Z914" s="58">
        <v>0</v>
      </c>
      <c r="AA914" s="56">
        <v>0</v>
      </c>
      <c r="AB914" s="56">
        <v>0</v>
      </c>
      <c r="AC914" s="60">
        <v>46142</v>
      </c>
    </row>
    <row r="915" spans="1:29" x14ac:dyDescent="0.25">
      <c r="A915" s="43">
        <v>1062</v>
      </c>
      <c r="B915" s="44" t="s">
        <v>1296</v>
      </c>
      <c r="C915" s="45">
        <v>10640006</v>
      </c>
      <c r="D915" s="46" t="s">
        <v>1269</v>
      </c>
      <c r="E915" s="47" t="s">
        <v>364</v>
      </c>
      <c r="F915" s="47" t="s">
        <v>58</v>
      </c>
      <c r="G915" s="62">
        <v>126.11</v>
      </c>
      <c r="H915" s="62">
        <v>6757.4399999999987</v>
      </c>
      <c r="I915" s="49">
        <v>0</v>
      </c>
      <c r="J915" s="49">
        <v>0</v>
      </c>
      <c r="K915" s="49">
        <v>0</v>
      </c>
      <c r="L915" s="50">
        <v>0</v>
      </c>
      <c r="M915" s="51"/>
      <c r="N915" s="52" t="s">
        <v>1300</v>
      </c>
      <c r="O915" s="31"/>
      <c r="P915" s="53">
        <v>-2.3737271632660168E-2</v>
      </c>
      <c r="Q915" s="54">
        <v>9</v>
      </c>
      <c r="R915" s="55">
        <v>0</v>
      </c>
      <c r="S915" s="55">
        <v>0</v>
      </c>
      <c r="T915" s="56">
        <v>0</v>
      </c>
      <c r="U915" s="57"/>
      <c r="V915" s="55">
        <v>0</v>
      </c>
      <c r="W915" s="55">
        <v>0</v>
      </c>
      <c r="X915" s="58">
        <v>0</v>
      </c>
      <c r="Y915" s="59">
        <v>0</v>
      </c>
      <c r="Z915" s="58">
        <v>0</v>
      </c>
      <c r="AA915" s="56">
        <v>0</v>
      </c>
      <c r="AB915" s="56">
        <v>0</v>
      </c>
      <c r="AC915" s="60">
        <v>46142</v>
      </c>
    </row>
    <row r="916" spans="1:29" x14ac:dyDescent="0.25">
      <c r="A916" s="43">
        <v>1062</v>
      </c>
      <c r="B916" s="44" t="s">
        <v>1296</v>
      </c>
      <c r="C916" s="45">
        <v>10640007</v>
      </c>
      <c r="D916" s="46" t="s">
        <v>1270</v>
      </c>
      <c r="E916" s="47" t="s">
        <v>371</v>
      </c>
      <c r="F916" s="47" t="s">
        <v>59</v>
      </c>
      <c r="G916" s="62">
        <v>199.24</v>
      </c>
      <c r="H916" s="62">
        <v>8630.35</v>
      </c>
      <c r="I916" s="49">
        <v>0</v>
      </c>
      <c r="J916" s="49">
        <v>0</v>
      </c>
      <c r="K916" s="49">
        <v>0</v>
      </c>
      <c r="L916" s="50">
        <v>0</v>
      </c>
      <c r="M916" s="51"/>
      <c r="N916" s="52" t="s">
        <v>1300</v>
      </c>
      <c r="O916" s="31"/>
      <c r="P916" s="53">
        <v>0</v>
      </c>
      <c r="Q916" s="54">
        <v>0</v>
      </c>
      <c r="R916" s="55">
        <v>0</v>
      </c>
      <c r="S916" s="55">
        <v>0</v>
      </c>
      <c r="T916" s="56">
        <v>0</v>
      </c>
      <c r="U916" s="57"/>
      <c r="V916" s="55">
        <v>0</v>
      </c>
      <c r="W916" s="55">
        <v>0</v>
      </c>
      <c r="X916" s="58">
        <v>0</v>
      </c>
      <c r="Y916" s="59">
        <v>0</v>
      </c>
      <c r="Z916" s="58">
        <v>0</v>
      </c>
      <c r="AA916" s="56">
        <v>0</v>
      </c>
      <c r="AB916" s="56">
        <v>0</v>
      </c>
      <c r="AC916" s="60">
        <v>46142</v>
      </c>
    </row>
    <row r="917" spans="1:29" x14ac:dyDescent="0.25">
      <c r="A917" s="43">
        <v>1062</v>
      </c>
      <c r="B917" s="44" t="s">
        <v>1296</v>
      </c>
      <c r="C917" s="45">
        <v>10640008</v>
      </c>
      <c r="D917" s="46" t="s">
        <v>1271</v>
      </c>
      <c r="E917" s="47" t="s">
        <v>364</v>
      </c>
      <c r="F917" s="47" t="s">
        <v>58</v>
      </c>
      <c r="G917" s="62">
        <v>101.58999999999999</v>
      </c>
      <c r="H917" s="62">
        <v>4663.4700000000012</v>
      </c>
      <c r="I917" s="49">
        <v>0</v>
      </c>
      <c r="J917" s="49">
        <v>0</v>
      </c>
      <c r="K917" s="49">
        <v>0</v>
      </c>
      <c r="L917" s="50">
        <v>0</v>
      </c>
      <c r="M917" s="51"/>
      <c r="N917" s="52" t="s">
        <v>1300</v>
      </c>
      <c r="O917" s="31"/>
      <c r="P917" s="53">
        <v>6.8056844707912022E-3</v>
      </c>
      <c r="Q917" s="54">
        <v>1</v>
      </c>
      <c r="R917" s="55">
        <v>0</v>
      </c>
      <c r="S917" s="55">
        <v>0</v>
      </c>
      <c r="T917" s="56">
        <v>0</v>
      </c>
      <c r="U917" s="57"/>
      <c r="V917" s="55">
        <v>0</v>
      </c>
      <c r="W917" s="55">
        <v>0</v>
      </c>
      <c r="X917" s="58">
        <v>0</v>
      </c>
      <c r="Y917" s="59">
        <v>0</v>
      </c>
      <c r="Z917" s="58">
        <v>0</v>
      </c>
      <c r="AA917" s="56">
        <v>0</v>
      </c>
      <c r="AB917" s="56">
        <v>0</v>
      </c>
      <c r="AC917" s="60">
        <v>46142</v>
      </c>
    </row>
    <row r="918" spans="1:29" x14ac:dyDescent="0.25">
      <c r="A918" s="43">
        <v>1062</v>
      </c>
      <c r="B918" s="44" t="s">
        <v>1296</v>
      </c>
      <c r="C918" s="45">
        <v>10640009</v>
      </c>
      <c r="D918" s="46" t="s">
        <v>1272</v>
      </c>
      <c r="E918" s="47" t="s">
        <v>364</v>
      </c>
      <c r="F918" s="47" t="s">
        <v>58</v>
      </c>
      <c r="G918" s="62">
        <v>337.87</v>
      </c>
      <c r="H918" s="62">
        <v>15049.600000000002</v>
      </c>
      <c r="I918" s="49">
        <v>0</v>
      </c>
      <c r="J918" s="49">
        <v>0</v>
      </c>
      <c r="K918" s="49">
        <v>0</v>
      </c>
      <c r="L918" s="50">
        <v>0</v>
      </c>
      <c r="M918" s="51"/>
      <c r="N918" s="52" t="s">
        <v>1300</v>
      </c>
      <c r="O918" s="31"/>
      <c r="P918" s="53">
        <v>5.7111029496862671E-3</v>
      </c>
      <c r="Q918" s="54">
        <v>1</v>
      </c>
      <c r="R918" s="55">
        <v>0</v>
      </c>
      <c r="S918" s="55">
        <v>0</v>
      </c>
      <c r="T918" s="56">
        <v>0</v>
      </c>
      <c r="U918" s="57"/>
      <c r="V918" s="55">
        <v>0</v>
      </c>
      <c r="W918" s="55">
        <v>0</v>
      </c>
      <c r="X918" s="58">
        <v>0</v>
      </c>
      <c r="Y918" s="59">
        <v>0</v>
      </c>
      <c r="Z918" s="58">
        <v>0</v>
      </c>
      <c r="AA918" s="56">
        <v>0</v>
      </c>
      <c r="AB918" s="56">
        <v>0</v>
      </c>
      <c r="AC918" s="60">
        <v>46142</v>
      </c>
    </row>
    <row r="919" spans="1:29" x14ac:dyDescent="0.25">
      <c r="A919" s="43">
        <v>1062</v>
      </c>
      <c r="B919" s="44" t="s">
        <v>1296</v>
      </c>
      <c r="C919" s="45">
        <v>10640010</v>
      </c>
      <c r="D919" s="46" t="s">
        <v>1273</v>
      </c>
      <c r="E919" s="47" t="s">
        <v>371</v>
      </c>
      <c r="F919" s="47" t="s">
        <v>59</v>
      </c>
      <c r="G919" s="62">
        <v>132.22999999999999</v>
      </c>
      <c r="H919" s="62">
        <v>5272.16</v>
      </c>
      <c r="I919" s="49">
        <v>0</v>
      </c>
      <c r="J919" s="49">
        <v>0</v>
      </c>
      <c r="K919" s="49">
        <v>0</v>
      </c>
      <c r="L919" s="50">
        <v>0</v>
      </c>
      <c r="M919" s="51"/>
      <c r="N919" s="52" t="s">
        <v>1300</v>
      </c>
      <c r="O919" s="31"/>
      <c r="P919" s="53">
        <v>0</v>
      </c>
      <c r="Q919" s="54">
        <v>0</v>
      </c>
      <c r="R919" s="55">
        <v>0</v>
      </c>
      <c r="S919" s="55">
        <v>0</v>
      </c>
      <c r="T919" s="56">
        <v>0</v>
      </c>
      <c r="U919" s="57"/>
      <c r="V919" s="55">
        <v>0</v>
      </c>
      <c r="W919" s="55">
        <v>0</v>
      </c>
      <c r="X919" s="58">
        <v>0</v>
      </c>
      <c r="Y919" s="59">
        <v>0</v>
      </c>
      <c r="Z919" s="58">
        <v>0</v>
      </c>
      <c r="AA919" s="56">
        <v>0</v>
      </c>
      <c r="AB919" s="56">
        <v>0</v>
      </c>
      <c r="AC919" s="60">
        <v>46142</v>
      </c>
    </row>
    <row r="920" spans="1:29" x14ac:dyDescent="0.25">
      <c r="A920" s="43">
        <v>1062</v>
      </c>
      <c r="B920" s="44" t="s">
        <v>1296</v>
      </c>
      <c r="C920" s="45">
        <v>10640011</v>
      </c>
      <c r="D920" s="46" t="s">
        <v>1274</v>
      </c>
      <c r="E920" s="47" t="s">
        <v>371</v>
      </c>
      <c r="F920" s="47" t="s">
        <v>59</v>
      </c>
      <c r="G920" s="62">
        <v>210.85999999999996</v>
      </c>
      <c r="H920" s="62">
        <v>9393.869999999999</v>
      </c>
      <c r="I920" s="49">
        <v>0</v>
      </c>
      <c r="J920" s="49">
        <v>0</v>
      </c>
      <c r="K920" s="49">
        <v>0</v>
      </c>
      <c r="L920" s="50">
        <v>0</v>
      </c>
      <c r="M920" s="51"/>
      <c r="N920" s="52" t="s">
        <v>1300</v>
      </c>
      <c r="O920" s="31"/>
      <c r="P920" s="53">
        <v>0</v>
      </c>
      <c r="Q920" s="54">
        <v>0</v>
      </c>
      <c r="R920" s="55">
        <v>0</v>
      </c>
      <c r="S920" s="55">
        <v>0</v>
      </c>
      <c r="T920" s="56">
        <v>0</v>
      </c>
      <c r="U920" s="57"/>
      <c r="V920" s="55">
        <v>0</v>
      </c>
      <c r="W920" s="55">
        <v>0</v>
      </c>
      <c r="X920" s="58">
        <v>0</v>
      </c>
      <c r="Y920" s="59">
        <v>0</v>
      </c>
      <c r="Z920" s="58">
        <v>0</v>
      </c>
      <c r="AA920" s="56">
        <v>0</v>
      </c>
      <c r="AB920" s="56">
        <v>0</v>
      </c>
      <c r="AC920" s="60">
        <v>46142</v>
      </c>
    </row>
    <row r="921" spans="1:29" x14ac:dyDescent="0.25">
      <c r="A921" s="43">
        <v>1065</v>
      </c>
      <c r="B921" s="44" t="s">
        <v>1291</v>
      </c>
      <c r="C921" s="45">
        <v>10650001</v>
      </c>
      <c r="D921" s="46" t="s">
        <v>1275</v>
      </c>
      <c r="E921" s="47" t="s">
        <v>364</v>
      </c>
      <c r="F921" s="47" t="s">
        <v>58</v>
      </c>
      <c r="G921" s="62">
        <v>97.2</v>
      </c>
      <c r="H921" s="62">
        <v>3976.26</v>
      </c>
      <c r="I921" s="49">
        <v>0</v>
      </c>
      <c r="J921" s="49">
        <v>0</v>
      </c>
      <c r="K921" s="49">
        <v>0</v>
      </c>
      <c r="L921" s="50">
        <v>0</v>
      </c>
      <c r="M921" s="51"/>
      <c r="N921" s="52" t="s">
        <v>1300</v>
      </c>
      <c r="O921" s="31"/>
      <c r="P921" s="53">
        <v>-0.13885061581284922</v>
      </c>
      <c r="Q921" s="54">
        <v>3</v>
      </c>
      <c r="R921" s="55">
        <v>0</v>
      </c>
      <c r="S921" s="55">
        <v>0</v>
      </c>
      <c r="T921" s="56">
        <v>0</v>
      </c>
      <c r="U921" s="57"/>
      <c r="V921" s="55">
        <v>0</v>
      </c>
      <c r="W921" s="55">
        <v>0</v>
      </c>
      <c r="X921" s="58">
        <v>0</v>
      </c>
      <c r="Y921" s="59">
        <v>0</v>
      </c>
      <c r="Z921" s="58">
        <v>0</v>
      </c>
      <c r="AA921" s="56">
        <v>0</v>
      </c>
      <c r="AB921" s="56">
        <v>0</v>
      </c>
      <c r="AC921" s="60">
        <v>46142</v>
      </c>
    </row>
    <row r="922" spans="1:29" x14ac:dyDescent="0.25">
      <c r="A922" s="43">
        <v>1065</v>
      </c>
      <c r="B922" s="44" t="s">
        <v>1291</v>
      </c>
      <c r="C922" s="45">
        <v>10650003</v>
      </c>
      <c r="D922" s="46" t="s">
        <v>1276</v>
      </c>
      <c r="E922" s="47" t="s">
        <v>364</v>
      </c>
      <c r="F922" s="47" t="s">
        <v>58</v>
      </c>
      <c r="G922" s="62">
        <v>1116.8000000000002</v>
      </c>
      <c r="H922" s="62">
        <v>44479.83</v>
      </c>
      <c r="I922" s="49">
        <v>0</v>
      </c>
      <c r="J922" s="49">
        <v>0</v>
      </c>
      <c r="K922" s="49">
        <v>0</v>
      </c>
      <c r="L922" s="50">
        <v>0</v>
      </c>
      <c r="M922" s="51"/>
      <c r="N922" s="52" t="s">
        <v>1300</v>
      </c>
      <c r="O922" s="31"/>
      <c r="P922" s="53">
        <v>-2.7392711222206535E-2</v>
      </c>
      <c r="Q922" s="54">
        <v>19</v>
      </c>
      <c r="R922" s="55">
        <v>0</v>
      </c>
      <c r="S922" s="55">
        <v>0</v>
      </c>
      <c r="T922" s="56">
        <v>0</v>
      </c>
      <c r="U922" s="57"/>
      <c r="V922" s="55">
        <v>0</v>
      </c>
      <c r="W922" s="55">
        <v>0</v>
      </c>
      <c r="X922" s="58">
        <v>0</v>
      </c>
      <c r="Y922" s="59">
        <v>0</v>
      </c>
      <c r="Z922" s="58">
        <v>0</v>
      </c>
      <c r="AA922" s="56">
        <v>0</v>
      </c>
      <c r="AB922" s="56">
        <v>0</v>
      </c>
      <c r="AC922" s="60">
        <v>46142</v>
      </c>
    </row>
    <row r="923" spans="1:29" x14ac:dyDescent="0.25">
      <c r="A923" s="43">
        <v>1065</v>
      </c>
      <c r="B923" s="44" t="s">
        <v>1291</v>
      </c>
      <c r="C923" s="45">
        <v>10650004</v>
      </c>
      <c r="D923" s="46" t="s">
        <v>1277</v>
      </c>
      <c r="E923" s="47" t="s">
        <v>364</v>
      </c>
      <c r="F923" s="47" t="s">
        <v>58</v>
      </c>
      <c r="G923" s="62">
        <v>405.3</v>
      </c>
      <c r="H923" s="62">
        <v>15558.81</v>
      </c>
      <c r="I923" s="49">
        <v>0</v>
      </c>
      <c r="J923" s="49">
        <v>0</v>
      </c>
      <c r="K923" s="49">
        <v>0</v>
      </c>
      <c r="L923" s="50">
        <v>0</v>
      </c>
      <c r="M923" s="51"/>
      <c r="N923" s="52" t="s">
        <v>1300</v>
      </c>
      <c r="O923" s="31"/>
      <c r="P923" s="53">
        <v>-4.1111381129476911E-2</v>
      </c>
      <c r="Q923" s="54">
        <v>1</v>
      </c>
      <c r="R923" s="55">
        <v>0</v>
      </c>
      <c r="S923" s="55">
        <v>0</v>
      </c>
      <c r="T923" s="56">
        <v>0</v>
      </c>
      <c r="U923" s="57"/>
      <c r="V923" s="55">
        <v>0</v>
      </c>
      <c r="W923" s="55">
        <v>0</v>
      </c>
      <c r="X923" s="58">
        <v>0</v>
      </c>
      <c r="Y923" s="59">
        <v>0</v>
      </c>
      <c r="Z923" s="58">
        <v>0</v>
      </c>
      <c r="AA923" s="56">
        <v>0</v>
      </c>
      <c r="AB923" s="56">
        <v>0</v>
      </c>
      <c r="AC923" s="60">
        <v>46142</v>
      </c>
    </row>
    <row r="924" spans="1:29" x14ac:dyDescent="0.25">
      <c r="A924" s="43">
        <v>1065</v>
      </c>
      <c r="B924" s="44" t="s">
        <v>1291</v>
      </c>
      <c r="C924" s="45">
        <v>10650006</v>
      </c>
      <c r="D924" s="46" t="s">
        <v>1278</v>
      </c>
      <c r="E924" s="47" t="s">
        <v>371</v>
      </c>
      <c r="F924" s="47" t="s">
        <v>59</v>
      </c>
      <c r="G924" s="62">
        <v>239.2</v>
      </c>
      <c r="H924" s="62">
        <v>8985.65</v>
      </c>
      <c r="I924" s="49">
        <v>0</v>
      </c>
      <c r="J924" s="49">
        <v>0</v>
      </c>
      <c r="K924" s="49">
        <v>0</v>
      </c>
      <c r="L924" s="50">
        <v>0</v>
      </c>
      <c r="M924" s="51"/>
      <c r="N924" s="52" t="s">
        <v>1300</v>
      </c>
      <c r="O924" s="31"/>
      <c r="P924" s="53">
        <v>0</v>
      </c>
      <c r="Q924" s="54">
        <v>0</v>
      </c>
      <c r="R924" s="55">
        <v>0</v>
      </c>
      <c r="S924" s="55">
        <v>0</v>
      </c>
      <c r="T924" s="56">
        <v>0</v>
      </c>
      <c r="U924" s="57"/>
      <c r="V924" s="55">
        <v>0</v>
      </c>
      <c r="W924" s="55">
        <v>0</v>
      </c>
      <c r="X924" s="58">
        <v>0</v>
      </c>
      <c r="Y924" s="59">
        <v>0</v>
      </c>
      <c r="Z924" s="58">
        <v>0</v>
      </c>
      <c r="AA924" s="56">
        <v>0</v>
      </c>
      <c r="AB924" s="56">
        <v>0</v>
      </c>
      <c r="AC924" s="60">
        <v>46142</v>
      </c>
    </row>
    <row r="925" spans="1:29" x14ac:dyDescent="0.25">
      <c r="A925" s="43">
        <v>1065</v>
      </c>
      <c r="B925" s="44" t="s">
        <v>1291</v>
      </c>
      <c r="C925" s="45">
        <v>10650008</v>
      </c>
      <c r="D925" s="46" t="s">
        <v>1279</v>
      </c>
      <c r="E925" s="47" t="s">
        <v>371</v>
      </c>
      <c r="F925" s="47" t="s">
        <v>59</v>
      </c>
      <c r="G925" s="62">
        <v>47.400000000000006</v>
      </c>
      <c r="H925" s="62">
        <v>1522.29</v>
      </c>
      <c r="I925" s="49">
        <v>0</v>
      </c>
      <c r="J925" s="49">
        <v>0</v>
      </c>
      <c r="K925" s="49">
        <v>0</v>
      </c>
      <c r="L925" s="50">
        <v>0</v>
      </c>
      <c r="M925" s="51"/>
      <c r="N925" s="52" t="s">
        <v>1300</v>
      </c>
      <c r="O925" s="31"/>
      <c r="P925" s="53">
        <v>0</v>
      </c>
      <c r="Q925" s="54">
        <v>0</v>
      </c>
      <c r="R925" s="55">
        <v>0</v>
      </c>
      <c r="S925" s="55">
        <v>0</v>
      </c>
      <c r="T925" s="56">
        <v>0</v>
      </c>
      <c r="U925" s="57"/>
      <c r="V925" s="55">
        <v>0</v>
      </c>
      <c r="W925" s="55">
        <v>0</v>
      </c>
      <c r="X925" s="58">
        <v>0</v>
      </c>
      <c r="Y925" s="59">
        <v>0</v>
      </c>
      <c r="Z925" s="58">
        <v>0</v>
      </c>
      <c r="AA925" s="56">
        <v>0</v>
      </c>
      <c r="AB925" s="56">
        <v>0</v>
      </c>
      <c r="AC925" s="60">
        <v>46142</v>
      </c>
    </row>
    <row r="926" spans="1:29" x14ac:dyDescent="0.25">
      <c r="A926" s="43">
        <v>1065</v>
      </c>
      <c r="B926" s="44" t="s">
        <v>1291</v>
      </c>
      <c r="C926" s="45">
        <v>10650011</v>
      </c>
      <c r="D926" s="46" t="s">
        <v>1280</v>
      </c>
      <c r="E926" s="47" t="s">
        <v>364</v>
      </c>
      <c r="F926" s="47" t="s">
        <v>58</v>
      </c>
      <c r="G926" s="62">
        <v>388.40000000000003</v>
      </c>
      <c r="H926" s="62">
        <v>15213.420000000002</v>
      </c>
      <c r="I926" s="49">
        <v>0</v>
      </c>
      <c r="J926" s="49">
        <v>0</v>
      </c>
      <c r="K926" s="49">
        <v>0</v>
      </c>
      <c r="L926" s="50">
        <v>0</v>
      </c>
      <c r="M926" s="51"/>
      <c r="N926" s="52" t="s">
        <v>1300</v>
      </c>
      <c r="O926" s="31"/>
      <c r="P926" s="53">
        <v>5.3886316023616092E-2</v>
      </c>
      <c r="Q926" s="54">
        <v>8</v>
      </c>
      <c r="R926" s="55">
        <v>0</v>
      </c>
      <c r="S926" s="55">
        <v>0</v>
      </c>
      <c r="T926" s="56">
        <v>0</v>
      </c>
      <c r="U926" s="57"/>
      <c r="V926" s="55">
        <v>0</v>
      </c>
      <c r="W926" s="55">
        <v>0</v>
      </c>
      <c r="X926" s="58">
        <v>0</v>
      </c>
      <c r="Y926" s="59">
        <v>0</v>
      </c>
      <c r="Z926" s="58">
        <v>0</v>
      </c>
      <c r="AA926" s="56">
        <v>0</v>
      </c>
      <c r="AB926" s="56">
        <v>0</v>
      </c>
      <c r="AC926" s="60">
        <v>46142</v>
      </c>
    </row>
    <row r="927" spans="1:29" x14ac:dyDescent="0.25">
      <c r="A927" s="67"/>
      <c r="B927" s="68"/>
      <c r="C927" s="67"/>
      <c r="D927" s="67"/>
      <c r="E927" s="67" t="s">
        <v>1281</v>
      </c>
      <c r="F927" s="67">
        <v>925</v>
      </c>
      <c r="G927" s="69">
        <v>781409.52999999863</v>
      </c>
      <c r="H927" s="69">
        <v>30193816.429999981</v>
      </c>
      <c r="I927" s="70">
        <v>0</v>
      </c>
      <c r="J927" s="70">
        <v>530778</v>
      </c>
      <c r="K927" s="70">
        <v>194232.63082551307</v>
      </c>
      <c r="L927" s="50">
        <v>37</v>
      </c>
      <c r="M927" s="45"/>
      <c r="N927" s="57"/>
      <c r="O927" s="20"/>
      <c r="P927" s="71"/>
      <c r="Q927" s="72">
        <v>5284</v>
      </c>
      <c r="R927" s="56">
        <v>642146</v>
      </c>
      <c r="S927" s="56">
        <v>110233</v>
      </c>
      <c r="T927" s="56">
        <v>531913</v>
      </c>
      <c r="U927" s="57"/>
      <c r="V927" s="55">
        <v>223049.68830026887</v>
      </c>
      <c r="W927" s="55">
        <v>0</v>
      </c>
      <c r="X927" s="73">
        <v>0</v>
      </c>
      <c r="Y927" s="55">
        <v>223049.68830026887</v>
      </c>
      <c r="Z927" s="55">
        <v>194232.63082551307</v>
      </c>
      <c r="AA927" s="55">
        <v>-28817.057474755919</v>
      </c>
      <c r="AB927" s="55">
        <v>-28817.057474755919</v>
      </c>
      <c r="AC927" s="57"/>
    </row>
  </sheetData>
  <autoFilter ref="A1:AD927" xr:uid="{697D6D95-4F65-4676-8544-C518E7DBF6D6}"/>
  <conditionalFormatting sqref="C2:C926">
    <cfRule type="duplicateValues" dxfId="11" priority="11"/>
  </conditionalFormatting>
  <conditionalFormatting sqref="C3">
    <cfRule type="duplicateValues" dxfId="10" priority="3"/>
  </conditionalFormatting>
  <conditionalFormatting sqref="C4:C926">
    <cfRule type="duplicateValues" dxfId="9" priority="12"/>
    <cfRule type="duplicateValues" dxfId="8" priority="13"/>
  </conditionalFormatting>
  <conditionalFormatting sqref="C927 C1">
    <cfRule type="duplicateValues" dxfId="7" priority="10" stopIfTrue="1"/>
  </conditionalFormatting>
  <conditionalFormatting sqref="D927">
    <cfRule type="duplicateValues" dxfId="6" priority="8" stopIfTrue="1"/>
  </conditionalFormatting>
  <conditionalFormatting sqref="E927">
    <cfRule type="duplicateValues" dxfId="5" priority="7" stopIfTrue="1"/>
  </conditionalFormatting>
  <conditionalFormatting sqref="F2:F926">
    <cfRule type="containsText" dxfId="4" priority="2" operator="containsText" text="Indirect">
      <formula>NOT(ISERROR(SEARCH("Indirect",F2)))</formula>
    </cfRule>
  </conditionalFormatting>
  <conditionalFormatting sqref="F927">
    <cfRule type="duplicateValues" dxfId="3" priority="6" stopIfTrue="1"/>
  </conditionalFormatting>
  <conditionalFormatting sqref="G927">
    <cfRule type="duplicateValues" dxfId="2" priority="5" stopIfTrue="1"/>
  </conditionalFormatting>
  <conditionalFormatting sqref="H927">
    <cfRule type="duplicateValues" dxfId="1" priority="4" stopIfTrue="1"/>
  </conditionalFormatting>
  <conditionalFormatting sqref="AA2:AB926">
    <cfRule type="cellIs" dxfId="0" priority="9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FAA7-132C-4A7C-AB68-2636A8B9B147}">
  <dimension ref="A1:D184"/>
  <sheetViews>
    <sheetView zoomScale="80" zoomScaleNormal="80" workbookViewId="0">
      <selection activeCell="E18" sqref="E18"/>
    </sheetView>
  </sheetViews>
  <sheetFormatPr defaultRowHeight="15" x14ac:dyDescent="0.25"/>
  <cols>
    <col min="1" max="1" width="14" bestFit="1" customWidth="1"/>
    <col min="2" max="2" width="12.5703125" bestFit="1" customWidth="1"/>
    <col min="3" max="3" width="14.28515625" bestFit="1" customWidth="1"/>
    <col min="4" max="4" width="10.85546875" bestFit="1" customWidth="1"/>
    <col min="5" max="5" width="13.85546875" customWidth="1"/>
  </cols>
  <sheetData>
    <row r="1" spans="1:4" x14ac:dyDescent="0.25">
      <c r="A1" s="13" t="s">
        <v>42</v>
      </c>
      <c r="B1" s="14" t="s">
        <v>44</v>
      </c>
      <c r="C1" s="14"/>
      <c r="D1" s="14"/>
    </row>
    <row r="2" spans="1:4" x14ac:dyDescent="0.25">
      <c r="A2" s="14"/>
      <c r="B2" s="14"/>
      <c r="C2" s="14"/>
      <c r="D2" s="14"/>
    </row>
    <row r="3" spans="1:4" x14ac:dyDescent="0.25">
      <c r="A3" s="13" t="s">
        <v>85</v>
      </c>
      <c r="B3" s="14"/>
      <c r="C3" s="14"/>
      <c r="D3" s="14"/>
    </row>
    <row r="4" spans="1:4" x14ac:dyDescent="0.25">
      <c r="A4" s="13" t="s">
        <v>57</v>
      </c>
      <c r="B4" s="13" t="s">
        <v>48</v>
      </c>
      <c r="C4" s="13" t="s">
        <v>55</v>
      </c>
      <c r="D4" s="14" t="s">
        <v>61</v>
      </c>
    </row>
    <row r="5" spans="1:4" x14ac:dyDescent="0.25">
      <c r="A5" s="14" t="s">
        <v>58</v>
      </c>
      <c r="B5" s="14">
        <v>10120007</v>
      </c>
      <c r="C5" s="14" t="s">
        <v>63</v>
      </c>
      <c r="D5" s="14">
        <v>1350</v>
      </c>
    </row>
    <row r="6" spans="1:4" x14ac:dyDescent="0.25">
      <c r="A6" s="14" t="s">
        <v>58</v>
      </c>
      <c r="B6" s="14">
        <v>10120007</v>
      </c>
      <c r="C6" s="14" t="s">
        <v>64</v>
      </c>
      <c r="D6" s="14">
        <v>703</v>
      </c>
    </row>
    <row r="7" spans="1:4" x14ac:dyDescent="0.25">
      <c r="A7" s="14" t="s">
        <v>58</v>
      </c>
      <c r="B7" s="14">
        <v>10120007</v>
      </c>
      <c r="C7" s="14" t="s">
        <v>176</v>
      </c>
      <c r="D7" s="14">
        <v>2601</v>
      </c>
    </row>
    <row r="8" spans="1:4" x14ac:dyDescent="0.25">
      <c r="A8" s="14" t="s">
        <v>58</v>
      </c>
      <c r="B8" s="14">
        <v>10120007</v>
      </c>
      <c r="C8" s="14" t="s">
        <v>177</v>
      </c>
      <c r="D8" s="14">
        <v>1350</v>
      </c>
    </row>
    <row r="9" spans="1:4" x14ac:dyDescent="0.25">
      <c r="A9" s="14" t="s">
        <v>58</v>
      </c>
      <c r="B9" s="14">
        <v>10120007</v>
      </c>
      <c r="C9" s="14" t="s">
        <v>178</v>
      </c>
      <c r="D9" s="14">
        <v>1350</v>
      </c>
    </row>
    <row r="10" spans="1:4" x14ac:dyDescent="0.25">
      <c r="A10" s="14" t="s">
        <v>58</v>
      </c>
      <c r="B10" s="14">
        <v>10120007</v>
      </c>
      <c r="C10" s="14" t="s">
        <v>179</v>
      </c>
      <c r="D10" s="14">
        <v>1350</v>
      </c>
    </row>
    <row r="11" spans="1:4" x14ac:dyDescent="0.25">
      <c r="A11" s="14" t="s">
        <v>58</v>
      </c>
      <c r="B11" s="14">
        <v>10120007</v>
      </c>
      <c r="C11" s="14" t="s">
        <v>180</v>
      </c>
      <c r="D11" s="14">
        <v>305</v>
      </c>
    </row>
    <row r="12" spans="1:4" x14ac:dyDescent="0.25">
      <c r="A12" s="14" t="s">
        <v>58</v>
      </c>
      <c r="B12" s="14">
        <v>10120007</v>
      </c>
      <c r="C12" s="14" t="s">
        <v>181</v>
      </c>
      <c r="D12" s="14">
        <v>232</v>
      </c>
    </row>
    <row r="13" spans="1:4" x14ac:dyDescent="0.25">
      <c r="A13" s="14" t="s">
        <v>58</v>
      </c>
      <c r="B13" s="14">
        <v>10120007</v>
      </c>
      <c r="C13" s="14" t="s">
        <v>182</v>
      </c>
      <c r="D13" s="14">
        <v>1350</v>
      </c>
    </row>
    <row r="14" spans="1:4" x14ac:dyDescent="0.25">
      <c r="A14" s="14" t="s">
        <v>58</v>
      </c>
      <c r="B14" s="14">
        <v>10120016</v>
      </c>
      <c r="C14" s="14" t="s">
        <v>67</v>
      </c>
      <c r="D14" s="14">
        <v>500</v>
      </c>
    </row>
    <row r="15" spans="1:4" x14ac:dyDescent="0.25">
      <c r="A15" s="14" t="s">
        <v>58</v>
      </c>
      <c r="B15" s="14">
        <v>10120016</v>
      </c>
      <c r="C15" s="14" t="s">
        <v>183</v>
      </c>
      <c r="D15" s="14">
        <v>600</v>
      </c>
    </row>
    <row r="16" spans="1:4" x14ac:dyDescent="0.25">
      <c r="A16" s="14" t="s">
        <v>58</v>
      </c>
      <c r="B16" s="14">
        <v>10120016</v>
      </c>
      <c r="C16" s="14" t="s">
        <v>184</v>
      </c>
      <c r="D16" s="14">
        <v>638</v>
      </c>
    </row>
    <row r="17" spans="1:4" x14ac:dyDescent="0.25">
      <c r="A17" s="14" t="s">
        <v>58</v>
      </c>
      <c r="B17" s="14">
        <v>10120052</v>
      </c>
      <c r="C17" s="14" t="s">
        <v>68</v>
      </c>
      <c r="D17" s="14">
        <v>3000</v>
      </c>
    </row>
    <row r="18" spans="1:4" x14ac:dyDescent="0.25">
      <c r="A18" s="14" t="s">
        <v>58</v>
      </c>
      <c r="B18" s="14">
        <v>10120052</v>
      </c>
      <c r="C18" s="14" t="s">
        <v>76</v>
      </c>
      <c r="D18" s="14">
        <v>1350</v>
      </c>
    </row>
    <row r="19" spans="1:4" x14ac:dyDescent="0.25">
      <c r="A19" s="14" t="s">
        <v>58</v>
      </c>
      <c r="B19" s="14">
        <v>10120053</v>
      </c>
      <c r="C19" s="14" t="s">
        <v>185</v>
      </c>
      <c r="D19" s="14">
        <v>757</v>
      </c>
    </row>
    <row r="20" spans="1:4" x14ac:dyDescent="0.25">
      <c r="A20" s="14" t="s">
        <v>58</v>
      </c>
      <c r="B20" s="14">
        <v>10130044</v>
      </c>
      <c r="C20" s="14" t="s">
        <v>71</v>
      </c>
      <c r="D20" s="14">
        <v>3000</v>
      </c>
    </row>
    <row r="21" spans="1:4" x14ac:dyDescent="0.25">
      <c r="A21" s="14" t="s">
        <v>58</v>
      </c>
      <c r="B21" s="14">
        <v>10130046</v>
      </c>
      <c r="C21" s="14" t="s">
        <v>77</v>
      </c>
      <c r="D21" s="14">
        <v>2700</v>
      </c>
    </row>
    <row r="22" spans="1:4" x14ac:dyDescent="0.25">
      <c r="A22" s="14" t="s">
        <v>58</v>
      </c>
      <c r="B22" s="14">
        <v>10120017</v>
      </c>
      <c r="C22" s="14" t="s">
        <v>72</v>
      </c>
      <c r="D22" s="14">
        <v>6750</v>
      </c>
    </row>
    <row r="23" spans="1:4" x14ac:dyDescent="0.25">
      <c r="A23" s="14" t="s">
        <v>58</v>
      </c>
      <c r="B23" s="14">
        <v>10120012</v>
      </c>
      <c r="C23" s="14" t="s">
        <v>186</v>
      </c>
      <c r="D23" s="14">
        <v>460</v>
      </c>
    </row>
    <row r="24" spans="1:4" x14ac:dyDescent="0.25">
      <c r="A24" s="14" t="s">
        <v>58</v>
      </c>
      <c r="B24" s="14">
        <v>10120012</v>
      </c>
      <c r="C24" s="14" t="s">
        <v>187</v>
      </c>
      <c r="D24" s="14">
        <v>900</v>
      </c>
    </row>
    <row r="25" spans="1:4" x14ac:dyDescent="0.25">
      <c r="A25" s="14" t="s">
        <v>58</v>
      </c>
      <c r="B25" s="14">
        <v>10120025</v>
      </c>
      <c r="C25" s="14" t="s">
        <v>78</v>
      </c>
      <c r="D25" s="14">
        <v>4050</v>
      </c>
    </row>
    <row r="26" spans="1:4" x14ac:dyDescent="0.25">
      <c r="A26" s="14" t="s">
        <v>58</v>
      </c>
      <c r="B26" s="14">
        <v>10120034</v>
      </c>
      <c r="C26" s="14" t="s">
        <v>79</v>
      </c>
      <c r="D26" s="14">
        <v>1200</v>
      </c>
    </row>
    <row r="27" spans="1:4" x14ac:dyDescent="0.25">
      <c r="A27" s="14" t="s">
        <v>58</v>
      </c>
      <c r="B27" s="14">
        <v>10080048</v>
      </c>
      <c r="C27" s="14" t="s">
        <v>188</v>
      </c>
      <c r="D27" s="14">
        <v>3340</v>
      </c>
    </row>
    <row r="28" spans="1:4" x14ac:dyDescent="0.25">
      <c r="A28" s="14" t="s">
        <v>58</v>
      </c>
      <c r="B28" s="14">
        <v>10080016</v>
      </c>
      <c r="C28" s="14" t="s">
        <v>74</v>
      </c>
      <c r="D28" s="14">
        <v>2600</v>
      </c>
    </row>
    <row r="29" spans="1:4" x14ac:dyDescent="0.25">
      <c r="A29" s="14" t="s">
        <v>58</v>
      </c>
      <c r="B29" s="14">
        <v>10080016</v>
      </c>
      <c r="C29" s="14" t="s">
        <v>189</v>
      </c>
      <c r="D29" s="14">
        <v>2600</v>
      </c>
    </row>
    <row r="30" spans="1:4" x14ac:dyDescent="0.25">
      <c r="A30" s="14" t="s">
        <v>58</v>
      </c>
      <c r="B30" s="14">
        <v>10110124</v>
      </c>
      <c r="C30" s="14" t="s">
        <v>190</v>
      </c>
      <c r="D30" s="14">
        <v>5400</v>
      </c>
    </row>
    <row r="31" spans="1:4" x14ac:dyDescent="0.25">
      <c r="A31" s="14" t="s">
        <v>58</v>
      </c>
      <c r="B31" s="14">
        <v>10110124</v>
      </c>
      <c r="C31" s="14" t="s">
        <v>191</v>
      </c>
      <c r="D31" s="14">
        <v>1350</v>
      </c>
    </row>
    <row r="32" spans="1:4" x14ac:dyDescent="0.25">
      <c r="A32" s="14" t="s">
        <v>58</v>
      </c>
      <c r="B32" s="14">
        <v>10110124</v>
      </c>
      <c r="C32" s="14" t="s">
        <v>192</v>
      </c>
      <c r="D32" s="14">
        <v>1350</v>
      </c>
    </row>
    <row r="33" spans="1:4" x14ac:dyDescent="0.25">
      <c r="A33" s="14" t="s">
        <v>58</v>
      </c>
      <c r="B33" s="14">
        <v>10110124</v>
      </c>
      <c r="C33" s="14" t="s">
        <v>193</v>
      </c>
      <c r="D33" s="14">
        <v>1350</v>
      </c>
    </row>
    <row r="34" spans="1:4" x14ac:dyDescent="0.25">
      <c r="A34" s="14" t="s">
        <v>58</v>
      </c>
      <c r="B34" s="14">
        <v>10110124</v>
      </c>
      <c r="C34" s="14" t="s">
        <v>194</v>
      </c>
      <c r="D34" s="14">
        <v>1350</v>
      </c>
    </row>
    <row r="35" spans="1:4" x14ac:dyDescent="0.25">
      <c r="A35" s="14" t="s">
        <v>58</v>
      </c>
      <c r="B35" s="14">
        <v>10110123</v>
      </c>
      <c r="C35" s="14" t="s">
        <v>195</v>
      </c>
      <c r="D35" s="14">
        <v>5400</v>
      </c>
    </row>
    <row r="36" spans="1:4" x14ac:dyDescent="0.25">
      <c r="A36" s="14" t="s">
        <v>58</v>
      </c>
      <c r="B36" s="14">
        <v>10110123</v>
      </c>
      <c r="C36" s="14" t="s">
        <v>196</v>
      </c>
      <c r="D36" s="14">
        <v>1350</v>
      </c>
    </row>
    <row r="37" spans="1:4" x14ac:dyDescent="0.25">
      <c r="A37" s="14" t="s">
        <v>58</v>
      </c>
      <c r="B37" s="14">
        <v>10110123</v>
      </c>
      <c r="C37" s="14" t="s">
        <v>197</v>
      </c>
      <c r="D37" s="14">
        <v>2700</v>
      </c>
    </row>
    <row r="38" spans="1:4" x14ac:dyDescent="0.25">
      <c r="A38" s="14" t="s">
        <v>58</v>
      </c>
      <c r="B38" s="14">
        <v>10110123</v>
      </c>
      <c r="C38" s="14" t="s">
        <v>198</v>
      </c>
      <c r="D38" s="14">
        <v>2600</v>
      </c>
    </row>
    <row r="39" spans="1:4" x14ac:dyDescent="0.25">
      <c r="A39" s="14" t="s">
        <v>58</v>
      </c>
      <c r="B39" s="14">
        <v>10110123</v>
      </c>
      <c r="C39" s="14" t="s">
        <v>199</v>
      </c>
      <c r="D39" s="14">
        <v>1350</v>
      </c>
    </row>
    <row r="40" spans="1:4" x14ac:dyDescent="0.25">
      <c r="A40" s="14" t="s">
        <v>58</v>
      </c>
      <c r="B40" s="14">
        <v>10110110</v>
      </c>
      <c r="C40" s="14" t="s">
        <v>200</v>
      </c>
      <c r="D40" s="14">
        <v>2600</v>
      </c>
    </row>
    <row r="41" spans="1:4" x14ac:dyDescent="0.25">
      <c r="A41" s="14" t="s">
        <v>58</v>
      </c>
      <c r="B41" s="14">
        <v>10110001</v>
      </c>
      <c r="C41" s="14" t="s">
        <v>201</v>
      </c>
      <c r="D41" s="14">
        <v>2600</v>
      </c>
    </row>
    <row r="42" spans="1:4" x14ac:dyDescent="0.25">
      <c r="A42" s="14" t="s">
        <v>58</v>
      </c>
      <c r="B42" s="14">
        <v>10120084</v>
      </c>
      <c r="C42" s="14" t="s">
        <v>202</v>
      </c>
      <c r="D42" s="14">
        <v>6750</v>
      </c>
    </row>
    <row r="43" spans="1:4" x14ac:dyDescent="0.25">
      <c r="A43" s="14" t="s">
        <v>58</v>
      </c>
      <c r="B43" s="14">
        <v>10120083</v>
      </c>
      <c r="C43" s="14" t="s">
        <v>203</v>
      </c>
      <c r="D43" s="14">
        <v>25757</v>
      </c>
    </row>
    <row r="44" spans="1:4" x14ac:dyDescent="0.25">
      <c r="A44" s="14" t="s">
        <v>58</v>
      </c>
      <c r="B44" s="14">
        <v>10120123</v>
      </c>
      <c r="C44" s="14" t="s">
        <v>204</v>
      </c>
      <c r="D44" s="14">
        <v>1500</v>
      </c>
    </row>
    <row r="45" spans="1:4" x14ac:dyDescent="0.25">
      <c r="A45" s="14" t="s">
        <v>58</v>
      </c>
      <c r="B45" s="14">
        <v>10130077</v>
      </c>
      <c r="C45" s="14" t="s">
        <v>205</v>
      </c>
      <c r="D45" s="14">
        <v>1350</v>
      </c>
    </row>
    <row r="46" spans="1:4" x14ac:dyDescent="0.25">
      <c r="A46" s="14" t="s">
        <v>58</v>
      </c>
      <c r="B46" s="14">
        <v>10130073</v>
      </c>
      <c r="C46" s="14" t="s">
        <v>206</v>
      </c>
      <c r="D46" s="14">
        <v>1500</v>
      </c>
    </row>
    <row r="47" spans="1:4" x14ac:dyDescent="0.25">
      <c r="A47" s="14" t="s">
        <v>58</v>
      </c>
      <c r="B47" s="14">
        <v>10130116</v>
      </c>
      <c r="C47" s="14" t="s">
        <v>207</v>
      </c>
      <c r="D47" s="14">
        <v>1350</v>
      </c>
    </row>
    <row r="48" spans="1:4" x14ac:dyDescent="0.25">
      <c r="A48" s="14" t="s">
        <v>58</v>
      </c>
      <c r="B48" s="14">
        <v>10010038</v>
      </c>
      <c r="C48" s="14" t="s">
        <v>208</v>
      </c>
      <c r="D48" s="14">
        <v>12500</v>
      </c>
    </row>
    <row r="49" spans="1:4" x14ac:dyDescent="0.25">
      <c r="A49" s="14" t="s">
        <v>58</v>
      </c>
      <c r="B49" s="14">
        <v>10530096</v>
      </c>
      <c r="C49" s="14" t="s">
        <v>209</v>
      </c>
      <c r="D49" s="14">
        <v>19174</v>
      </c>
    </row>
    <row r="50" spans="1:4" x14ac:dyDescent="0.25">
      <c r="A50" s="14" t="s">
        <v>58</v>
      </c>
      <c r="B50" s="14">
        <v>10530002</v>
      </c>
      <c r="C50" s="14" t="s">
        <v>210</v>
      </c>
      <c r="D50" s="14">
        <v>5400</v>
      </c>
    </row>
    <row r="51" spans="1:4" x14ac:dyDescent="0.25">
      <c r="A51" s="14" t="s">
        <v>58</v>
      </c>
      <c r="B51" s="14">
        <v>10530002</v>
      </c>
      <c r="C51" s="14" t="s">
        <v>211</v>
      </c>
      <c r="D51" s="14">
        <v>2700</v>
      </c>
    </row>
    <row r="52" spans="1:4" x14ac:dyDescent="0.25">
      <c r="A52" s="14" t="s">
        <v>58</v>
      </c>
      <c r="B52" s="14">
        <v>10530002</v>
      </c>
      <c r="C52" s="14" t="s">
        <v>212</v>
      </c>
      <c r="D52" s="14">
        <v>1350</v>
      </c>
    </row>
    <row r="53" spans="1:4" x14ac:dyDescent="0.25">
      <c r="A53" s="14" t="s">
        <v>58</v>
      </c>
      <c r="B53" s="14">
        <v>10530002</v>
      </c>
      <c r="C53" s="14" t="s">
        <v>213</v>
      </c>
      <c r="D53" s="14">
        <v>1350</v>
      </c>
    </row>
    <row r="54" spans="1:4" x14ac:dyDescent="0.25">
      <c r="A54" s="14" t="s">
        <v>58</v>
      </c>
      <c r="B54" s="14">
        <v>10530002</v>
      </c>
      <c r="C54" s="14" t="s">
        <v>214</v>
      </c>
      <c r="D54" s="14">
        <v>2700</v>
      </c>
    </row>
    <row r="55" spans="1:4" x14ac:dyDescent="0.25">
      <c r="A55" s="14" t="s">
        <v>58</v>
      </c>
      <c r="B55" s="14">
        <v>10530002</v>
      </c>
      <c r="C55" s="14" t="s">
        <v>215</v>
      </c>
      <c r="D55" s="14">
        <v>2700</v>
      </c>
    </row>
    <row r="56" spans="1:4" x14ac:dyDescent="0.25">
      <c r="A56" s="14" t="s">
        <v>58</v>
      </c>
      <c r="B56" s="14">
        <v>10530100</v>
      </c>
      <c r="C56" s="14" t="s">
        <v>216</v>
      </c>
      <c r="D56" s="14">
        <v>1350</v>
      </c>
    </row>
    <row r="57" spans="1:4" x14ac:dyDescent="0.25">
      <c r="A57" s="14" t="s">
        <v>58</v>
      </c>
      <c r="B57" s="14">
        <v>10530100</v>
      </c>
      <c r="C57" s="14" t="s">
        <v>217</v>
      </c>
      <c r="D57" s="14">
        <v>1350</v>
      </c>
    </row>
    <row r="58" spans="1:4" x14ac:dyDescent="0.25">
      <c r="A58" s="14" t="s">
        <v>58</v>
      </c>
      <c r="B58" s="14">
        <v>10530100</v>
      </c>
      <c r="C58" s="14" t="s">
        <v>218</v>
      </c>
      <c r="D58" s="14">
        <v>1350</v>
      </c>
    </row>
    <row r="59" spans="1:4" x14ac:dyDescent="0.25">
      <c r="A59" s="14" t="s">
        <v>58</v>
      </c>
      <c r="B59" s="14">
        <v>10530109</v>
      </c>
      <c r="C59" s="14" t="s">
        <v>219</v>
      </c>
      <c r="D59" s="14">
        <v>15000</v>
      </c>
    </row>
    <row r="60" spans="1:4" x14ac:dyDescent="0.25">
      <c r="A60" s="14" t="s">
        <v>58</v>
      </c>
      <c r="B60" s="14">
        <v>10530109</v>
      </c>
      <c r="C60" s="14" t="s">
        <v>220</v>
      </c>
      <c r="D60" s="14">
        <v>12882</v>
      </c>
    </row>
    <row r="61" spans="1:4" x14ac:dyDescent="0.25">
      <c r="A61" s="14" t="s">
        <v>58</v>
      </c>
      <c r="B61" s="14">
        <v>10530093</v>
      </c>
      <c r="C61" s="14" t="s">
        <v>221</v>
      </c>
      <c r="D61" s="14">
        <v>1500</v>
      </c>
    </row>
    <row r="62" spans="1:4" x14ac:dyDescent="0.25">
      <c r="A62" s="14" t="s">
        <v>58</v>
      </c>
      <c r="B62" s="14">
        <v>10530093</v>
      </c>
      <c r="C62" s="14" t="s">
        <v>222</v>
      </c>
      <c r="D62" s="14">
        <v>3000</v>
      </c>
    </row>
    <row r="63" spans="1:4" x14ac:dyDescent="0.25">
      <c r="A63" s="14" t="s">
        <v>58</v>
      </c>
      <c r="B63" s="14">
        <v>10530093</v>
      </c>
      <c r="C63" s="14" t="s">
        <v>223</v>
      </c>
      <c r="D63" s="14">
        <v>1500</v>
      </c>
    </row>
    <row r="64" spans="1:4" x14ac:dyDescent="0.25">
      <c r="A64" s="14" t="s">
        <v>58</v>
      </c>
      <c r="B64" s="14">
        <v>10530093</v>
      </c>
      <c r="C64" s="14" t="s">
        <v>224</v>
      </c>
      <c r="D64" s="14">
        <v>1500</v>
      </c>
    </row>
    <row r="65" spans="1:4" x14ac:dyDescent="0.25">
      <c r="A65" s="14" t="s">
        <v>58</v>
      </c>
      <c r="B65" s="14">
        <v>10530040</v>
      </c>
      <c r="C65" s="14" t="s">
        <v>225</v>
      </c>
      <c r="D65" s="14">
        <v>1500</v>
      </c>
    </row>
    <row r="66" spans="1:4" x14ac:dyDescent="0.25">
      <c r="A66" s="14" t="s">
        <v>58</v>
      </c>
      <c r="B66" s="14">
        <v>10530040</v>
      </c>
      <c r="C66" s="14" t="s">
        <v>226</v>
      </c>
      <c r="D66" s="14">
        <v>776</v>
      </c>
    </row>
    <row r="67" spans="1:4" x14ac:dyDescent="0.25">
      <c r="A67" s="14" t="s">
        <v>58</v>
      </c>
      <c r="B67" s="14">
        <v>10530084</v>
      </c>
      <c r="C67" s="14" t="s">
        <v>227</v>
      </c>
      <c r="D67" s="14">
        <v>1500</v>
      </c>
    </row>
    <row r="68" spans="1:4" x14ac:dyDescent="0.25">
      <c r="A68" s="14" t="s">
        <v>58</v>
      </c>
      <c r="B68" s="14">
        <v>10530084</v>
      </c>
      <c r="C68" s="14" t="s">
        <v>228</v>
      </c>
      <c r="D68" s="14">
        <v>427</v>
      </c>
    </row>
    <row r="69" spans="1:4" x14ac:dyDescent="0.25">
      <c r="A69" s="14" t="s">
        <v>58</v>
      </c>
      <c r="B69" s="14">
        <v>10530032</v>
      </c>
      <c r="C69" s="14" t="s">
        <v>229</v>
      </c>
      <c r="D69" s="14">
        <v>1500</v>
      </c>
    </row>
    <row r="70" spans="1:4" x14ac:dyDescent="0.25">
      <c r="A70" s="14" t="s">
        <v>58</v>
      </c>
      <c r="B70" s="14">
        <v>10530003</v>
      </c>
      <c r="C70" s="14" t="s">
        <v>230</v>
      </c>
      <c r="D70" s="14">
        <v>598</v>
      </c>
    </row>
    <row r="71" spans="1:4" x14ac:dyDescent="0.25">
      <c r="A71" s="14" t="s">
        <v>58</v>
      </c>
      <c r="B71" s="14">
        <v>10530003</v>
      </c>
      <c r="C71" s="14" t="s">
        <v>231</v>
      </c>
      <c r="D71" s="14">
        <v>80</v>
      </c>
    </row>
    <row r="72" spans="1:4" x14ac:dyDescent="0.25">
      <c r="A72" s="14" t="s">
        <v>58</v>
      </c>
      <c r="B72" s="14">
        <v>10530003</v>
      </c>
      <c r="C72" s="14" t="s">
        <v>232</v>
      </c>
      <c r="D72" s="14">
        <v>79</v>
      </c>
    </row>
    <row r="73" spans="1:4" x14ac:dyDescent="0.25">
      <c r="A73" s="14" t="s">
        <v>58</v>
      </c>
      <c r="B73" s="14">
        <v>10530003</v>
      </c>
      <c r="C73" s="14" t="s">
        <v>233</v>
      </c>
      <c r="D73" s="14">
        <v>190</v>
      </c>
    </row>
    <row r="74" spans="1:4" x14ac:dyDescent="0.25">
      <c r="A74" s="14" t="s">
        <v>58</v>
      </c>
      <c r="B74" s="14">
        <v>10530097</v>
      </c>
      <c r="C74" s="14" t="s">
        <v>234</v>
      </c>
      <c r="D74" s="14">
        <v>1500</v>
      </c>
    </row>
    <row r="75" spans="1:4" x14ac:dyDescent="0.25">
      <c r="A75" s="14" t="s">
        <v>58</v>
      </c>
      <c r="B75" s="14">
        <v>10530005</v>
      </c>
      <c r="C75" s="14" t="s">
        <v>235</v>
      </c>
      <c r="D75" s="14">
        <v>130</v>
      </c>
    </row>
    <row r="76" spans="1:4" x14ac:dyDescent="0.25">
      <c r="A76" s="14" t="s">
        <v>58</v>
      </c>
      <c r="B76" s="14">
        <v>10530005</v>
      </c>
      <c r="C76" s="14" t="s">
        <v>236</v>
      </c>
      <c r="D76" s="14">
        <v>919</v>
      </c>
    </row>
    <row r="77" spans="1:4" x14ac:dyDescent="0.25">
      <c r="A77" s="14" t="s">
        <v>58</v>
      </c>
      <c r="B77" s="14">
        <v>10530005</v>
      </c>
      <c r="C77" s="14" t="s">
        <v>237</v>
      </c>
      <c r="D77" s="14">
        <v>1350</v>
      </c>
    </row>
    <row r="78" spans="1:4" x14ac:dyDescent="0.25">
      <c r="A78" s="14" t="s">
        <v>58</v>
      </c>
      <c r="B78" s="14">
        <v>10530085</v>
      </c>
      <c r="C78" s="14" t="s">
        <v>238</v>
      </c>
      <c r="D78" s="14">
        <v>1350</v>
      </c>
    </row>
    <row r="79" spans="1:4" x14ac:dyDescent="0.25">
      <c r="A79" s="14" t="s">
        <v>58</v>
      </c>
      <c r="B79" s="14">
        <v>10530085</v>
      </c>
      <c r="C79" s="14" t="s">
        <v>239</v>
      </c>
      <c r="D79" s="14">
        <v>1350</v>
      </c>
    </row>
    <row r="80" spans="1:4" x14ac:dyDescent="0.25">
      <c r="A80" s="14" t="s">
        <v>58</v>
      </c>
      <c r="B80" s="14">
        <v>10530085</v>
      </c>
      <c r="C80" s="14" t="s">
        <v>240</v>
      </c>
      <c r="D80" s="14">
        <v>2700</v>
      </c>
    </row>
    <row r="81" spans="1:4" x14ac:dyDescent="0.25">
      <c r="A81" s="14" t="s">
        <v>58</v>
      </c>
      <c r="B81" s="14">
        <v>10530085</v>
      </c>
      <c r="C81" s="14" t="s">
        <v>241</v>
      </c>
      <c r="D81" s="14">
        <v>2700</v>
      </c>
    </row>
    <row r="82" spans="1:4" x14ac:dyDescent="0.25">
      <c r="A82" s="14" t="s">
        <v>58</v>
      </c>
      <c r="B82" s="14">
        <v>10530085</v>
      </c>
      <c r="C82" s="14" t="s">
        <v>242</v>
      </c>
      <c r="D82" s="14">
        <v>1350</v>
      </c>
    </row>
    <row r="83" spans="1:4" x14ac:dyDescent="0.25">
      <c r="A83" s="14" t="s">
        <v>58</v>
      </c>
      <c r="B83" s="14">
        <v>10530085</v>
      </c>
      <c r="C83" s="14" t="s">
        <v>243</v>
      </c>
      <c r="D83" s="14">
        <v>1350</v>
      </c>
    </row>
    <row r="84" spans="1:4" x14ac:dyDescent="0.25">
      <c r="A84" s="14" t="s">
        <v>58</v>
      </c>
      <c r="B84" s="14">
        <v>10530085</v>
      </c>
      <c r="C84" s="14" t="s">
        <v>244</v>
      </c>
      <c r="D84" s="14">
        <v>2700</v>
      </c>
    </row>
    <row r="85" spans="1:4" x14ac:dyDescent="0.25">
      <c r="A85" s="14" t="s">
        <v>58</v>
      </c>
      <c r="B85" s="14">
        <v>10530067</v>
      </c>
      <c r="C85" s="14" t="s">
        <v>245</v>
      </c>
      <c r="D85" s="14">
        <v>1500</v>
      </c>
    </row>
    <row r="86" spans="1:4" x14ac:dyDescent="0.25">
      <c r="A86" s="14" t="s">
        <v>58</v>
      </c>
      <c r="B86" s="14">
        <v>10530067</v>
      </c>
      <c r="C86" s="14" t="s">
        <v>246</v>
      </c>
      <c r="D86" s="14">
        <v>1500</v>
      </c>
    </row>
    <row r="87" spans="1:4" x14ac:dyDescent="0.25">
      <c r="A87" s="14" t="s">
        <v>58</v>
      </c>
      <c r="B87" s="14">
        <v>10530106</v>
      </c>
      <c r="C87" s="14" t="s">
        <v>247</v>
      </c>
      <c r="D87" s="14">
        <v>2700</v>
      </c>
    </row>
    <row r="88" spans="1:4" x14ac:dyDescent="0.25">
      <c r="A88" s="14" t="s">
        <v>58</v>
      </c>
      <c r="B88" s="14">
        <v>10530092</v>
      </c>
      <c r="C88" s="14" t="s">
        <v>248</v>
      </c>
      <c r="D88" s="14">
        <v>3024</v>
      </c>
    </row>
    <row r="89" spans="1:4" x14ac:dyDescent="0.25">
      <c r="A89" s="14" t="s">
        <v>58</v>
      </c>
      <c r="B89" s="14">
        <v>10530092</v>
      </c>
      <c r="C89" s="14" t="s">
        <v>249</v>
      </c>
      <c r="D89" s="14">
        <v>1350</v>
      </c>
    </row>
    <row r="90" spans="1:4" x14ac:dyDescent="0.25">
      <c r="A90" s="14" t="s">
        <v>58</v>
      </c>
      <c r="B90" s="14">
        <v>10530092</v>
      </c>
      <c r="C90" s="14" t="s">
        <v>250</v>
      </c>
      <c r="D90" s="14">
        <v>1500</v>
      </c>
    </row>
    <row r="91" spans="1:4" x14ac:dyDescent="0.25">
      <c r="A91" s="14" t="s">
        <v>58</v>
      </c>
      <c r="B91" s="14">
        <v>10530082</v>
      </c>
      <c r="C91" s="14" t="s">
        <v>251</v>
      </c>
      <c r="D91" s="14">
        <v>4500</v>
      </c>
    </row>
    <row r="92" spans="1:4" x14ac:dyDescent="0.25">
      <c r="A92" s="14" t="s">
        <v>58</v>
      </c>
      <c r="B92" s="14">
        <v>10530082</v>
      </c>
      <c r="C92" s="14" t="s">
        <v>252</v>
      </c>
      <c r="D92" s="14">
        <v>3000</v>
      </c>
    </row>
    <row r="93" spans="1:4" x14ac:dyDescent="0.25">
      <c r="A93" s="14" t="s">
        <v>58</v>
      </c>
      <c r="B93" s="14">
        <v>10530082</v>
      </c>
      <c r="C93" s="14" t="s">
        <v>253</v>
      </c>
      <c r="D93" s="14">
        <v>3000</v>
      </c>
    </row>
    <row r="94" spans="1:4" x14ac:dyDescent="0.25">
      <c r="A94" s="14" t="s">
        <v>58</v>
      </c>
      <c r="B94" s="14">
        <v>10530082</v>
      </c>
      <c r="C94" s="14" t="s">
        <v>254</v>
      </c>
      <c r="D94" s="14">
        <v>3000</v>
      </c>
    </row>
    <row r="95" spans="1:4" x14ac:dyDescent="0.25">
      <c r="A95" s="14" t="s">
        <v>58</v>
      </c>
      <c r="B95" s="14">
        <v>10530082</v>
      </c>
      <c r="C95" s="14" t="s">
        <v>255</v>
      </c>
      <c r="D95" s="14">
        <v>1500</v>
      </c>
    </row>
    <row r="96" spans="1:4" x14ac:dyDescent="0.25">
      <c r="A96" s="14" t="s">
        <v>58</v>
      </c>
      <c r="B96" s="14">
        <v>10530065</v>
      </c>
      <c r="C96" s="14" t="s">
        <v>256</v>
      </c>
      <c r="D96" s="14">
        <v>6000</v>
      </c>
    </row>
    <row r="97" spans="1:4" x14ac:dyDescent="0.25">
      <c r="A97" s="14" t="s">
        <v>58</v>
      </c>
      <c r="B97" s="14">
        <v>10530065</v>
      </c>
      <c r="C97" s="14" t="s">
        <v>257</v>
      </c>
      <c r="D97" s="14">
        <v>9000</v>
      </c>
    </row>
    <row r="98" spans="1:4" x14ac:dyDescent="0.25">
      <c r="A98" s="14" t="s">
        <v>58</v>
      </c>
      <c r="B98" s="14">
        <v>10530065</v>
      </c>
      <c r="C98" s="14" t="s">
        <v>258</v>
      </c>
      <c r="D98" s="14">
        <v>1350</v>
      </c>
    </row>
    <row r="99" spans="1:4" x14ac:dyDescent="0.25">
      <c r="A99" s="14" t="s">
        <v>58</v>
      </c>
      <c r="B99" s="14">
        <v>10530103</v>
      </c>
      <c r="C99" s="14" t="s">
        <v>259</v>
      </c>
      <c r="D99" s="14">
        <v>1350</v>
      </c>
    </row>
    <row r="100" spans="1:4" x14ac:dyDescent="0.25">
      <c r="A100" s="14" t="s">
        <v>58</v>
      </c>
      <c r="B100" s="14">
        <v>10530103</v>
      </c>
      <c r="C100" s="14" t="s">
        <v>260</v>
      </c>
      <c r="D100" s="14">
        <v>1350</v>
      </c>
    </row>
    <row r="101" spans="1:4" x14ac:dyDescent="0.25">
      <c r="A101" s="14" t="s">
        <v>58</v>
      </c>
      <c r="B101" s="14">
        <v>10530103</v>
      </c>
      <c r="C101" s="14" t="s">
        <v>261</v>
      </c>
      <c r="D101" s="14">
        <v>1350</v>
      </c>
    </row>
    <row r="102" spans="1:4" x14ac:dyDescent="0.25">
      <c r="A102" s="14" t="s">
        <v>58</v>
      </c>
      <c r="B102" s="14">
        <v>10530103</v>
      </c>
      <c r="C102" s="14" t="s">
        <v>262</v>
      </c>
      <c r="D102" s="14">
        <v>1350</v>
      </c>
    </row>
    <row r="103" spans="1:4" x14ac:dyDescent="0.25">
      <c r="A103" s="14" t="s">
        <v>58</v>
      </c>
      <c r="B103" s="14">
        <v>10530103</v>
      </c>
      <c r="C103" s="14" t="s">
        <v>263</v>
      </c>
      <c r="D103" s="14">
        <v>1350</v>
      </c>
    </row>
    <row r="104" spans="1:4" x14ac:dyDescent="0.25">
      <c r="A104" s="14" t="s">
        <v>58</v>
      </c>
      <c r="B104" s="14">
        <v>10530103</v>
      </c>
      <c r="C104" s="14" t="s">
        <v>264</v>
      </c>
      <c r="D104" s="14">
        <v>2700</v>
      </c>
    </row>
    <row r="105" spans="1:4" x14ac:dyDescent="0.25">
      <c r="A105" s="14" t="s">
        <v>58</v>
      </c>
      <c r="B105" s="14">
        <v>10530103</v>
      </c>
      <c r="C105" s="14" t="s">
        <v>265</v>
      </c>
      <c r="D105" s="14">
        <v>1350</v>
      </c>
    </row>
    <row r="106" spans="1:4" x14ac:dyDescent="0.25">
      <c r="A106" s="14" t="s">
        <v>58</v>
      </c>
      <c r="B106" s="14">
        <v>10530103</v>
      </c>
      <c r="C106" s="14" t="s">
        <v>266</v>
      </c>
      <c r="D106" s="14">
        <v>1350</v>
      </c>
    </row>
    <row r="107" spans="1:4" x14ac:dyDescent="0.25">
      <c r="A107" s="14" t="s">
        <v>58</v>
      </c>
      <c r="B107" s="14">
        <v>10530103</v>
      </c>
      <c r="C107" s="14" t="s">
        <v>267</v>
      </c>
      <c r="D107" s="14">
        <v>1350</v>
      </c>
    </row>
    <row r="108" spans="1:4" x14ac:dyDescent="0.25">
      <c r="A108" s="14" t="s">
        <v>58</v>
      </c>
      <c r="B108" s="14">
        <v>10530074</v>
      </c>
      <c r="C108" s="14" t="s">
        <v>268</v>
      </c>
      <c r="D108" s="14">
        <v>2276</v>
      </c>
    </row>
    <row r="109" spans="1:4" x14ac:dyDescent="0.25">
      <c r="A109" s="14" t="s">
        <v>58</v>
      </c>
      <c r="B109" s="14">
        <v>10530074</v>
      </c>
      <c r="C109" s="14" t="s">
        <v>269</v>
      </c>
      <c r="D109" s="14">
        <v>1500</v>
      </c>
    </row>
    <row r="110" spans="1:4" x14ac:dyDescent="0.25">
      <c r="A110" s="14" t="s">
        <v>58</v>
      </c>
      <c r="B110" s="14">
        <v>10530074</v>
      </c>
      <c r="C110" s="14" t="s">
        <v>270</v>
      </c>
      <c r="D110" s="14">
        <v>65</v>
      </c>
    </row>
    <row r="111" spans="1:4" x14ac:dyDescent="0.25">
      <c r="A111" s="14" t="s">
        <v>58</v>
      </c>
      <c r="B111" s="14">
        <v>10530074</v>
      </c>
      <c r="C111" s="14" t="s">
        <v>271</v>
      </c>
      <c r="D111" s="14">
        <v>233</v>
      </c>
    </row>
    <row r="112" spans="1:4" x14ac:dyDescent="0.25">
      <c r="A112" s="14" t="s">
        <v>58</v>
      </c>
      <c r="B112" s="14">
        <v>10530035</v>
      </c>
      <c r="C112" s="14" t="s">
        <v>272</v>
      </c>
      <c r="D112" s="14">
        <v>1500</v>
      </c>
    </row>
    <row r="113" spans="1:4" x14ac:dyDescent="0.25">
      <c r="A113" s="14" t="s">
        <v>58</v>
      </c>
      <c r="B113" s="14">
        <v>10530035</v>
      </c>
      <c r="C113" s="14" t="s">
        <v>273</v>
      </c>
      <c r="D113" s="14">
        <v>1500</v>
      </c>
    </row>
    <row r="114" spans="1:4" x14ac:dyDescent="0.25">
      <c r="A114" s="14" t="s">
        <v>58</v>
      </c>
      <c r="B114" s="14">
        <v>10530035</v>
      </c>
      <c r="C114" s="14" t="s">
        <v>274</v>
      </c>
      <c r="D114" s="14">
        <v>1500</v>
      </c>
    </row>
    <row r="115" spans="1:4" x14ac:dyDescent="0.25">
      <c r="A115" s="14" t="s">
        <v>58</v>
      </c>
      <c r="B115" s="14">
        <v>10530035</v>
      </c>
      <c r="C115" s="14" t="s">
        <v>275</v>
      </c>
      <c r="D115" s="14">
        <v>1500</v>
      </c>
    </row>
    <row r="116" spans="1:4" x14ac:dyDescent="0.25">
      <c r="A116" s="14" t="s">
        <v>58</v>
      </c>
      <c r="B116" s="14">
        <v>10530035</v>
      </c>
      <c r="C116" s="14" t="s">
        <v>276</v>
      </c>
      <c r="D116" s="14">
        <v>1500</v>
      </c>
    </row>
    <row r="117" spans="1:4" x14ac:dyDescent="0.25">
      <c r="A117" s="14" t="s">
        <v>58</v>
      </c>
      <c r="B117" s="14">
        <v>10530055</v>
      </c>
      <c r="C117" s="14" t="s">
        <v>277</v>
      </c>
      <c r="D117" s="14">
        <v>1500</v>
      </c>
    </row>
    <row r="118" spans="1:4" x14ac:dyDescent="0.25">
      <c r="A118" s="14" t="s">
        <v>58</v>
      </c>
      <c r="B118" s="14">
        <v>10530055</v>
      </c>
      <c r="C118" s="14" t="s">
        <v>278</v>
      </c>
      <c r="D118" s="14">
        <v>1359</v>
      </c>
    </row>
    <row r="119" spans="1:4" x14ac:dyDescent="0.25">
      <c r="A119" s="14" t="s">
        <v>58</v>
      </c>
      <c r="B119" s="14">
        <v>10530055</v>
      </c>
      <c r="C119" s="14" t="s">
        <v>279</v>
      </c>
      <c r="D119" s="14">
        <v>473</v>
      </c>
    </row>
    <row r="120" spans="1:4" x14ac:dyDescent="0.25">
      <c r="A120" s="14" t="s">
        <v>58</v>
      </c>
      <c r="B120" s="14">
        <v>10530055</v>
      </c>
      <c r="C120" s="14" t="s">
        <v>280</v>
      </c>
      <c r="D120" s="14">
        <v>510</v>
      </c>
    </row>
    <row r="121" spans="1:4" x14ac:dyDescent="0.25">
      <c r="A121" s="14" t="s">
        <v>58</v>
      </c>
      <c r="B121" s="14">
        <v>10530055</v>
      </c>
      <c r="C121" s="14" t="s">
        <v>281</v>
      </c>
      <c r="D121" s="14">
        <v>845</v>
      </c>
    </row>
    <row r="122" spans="1:4" x14ac:dyDescent="0.25">
      <c r="A122" s="14" t="s">
        <v>58</v>
      </c>
      <c r="B122" s="14">
        <v>10530055</v>
      </c>
      <c r="C122" s="14" t="s">
        <v>282</v>
      </c>
      <c r="D122" s="14">
        <v>556</v>
      </c>
    </row>
    <row r="123" spans="1:4" x14ac:dyDescent="0.25">
      <c r="A123" s="14" t="s">
        <v>58</v>
      </c>
      <c r="B123" s="14">
        <v>10530064</v>
      </c>
      <c r="C123" s="14" t="s">
        <v>283</v>
      </c>
      <c r="D123" s="14">
        <v>7</v>
      </c>
    </row>
    <row r="124" spans="1:4" x14ac:dyDescent="0.25">
      <c r="A124" s="14" t="s">
        <v>58</v>
      </c>
      <c r="B124" s="14">
        <v>10120104</v>
      </c>
      <c r="C124" s="14" t="s">
        <v>284</v>
      </c>
      <c r="D124" s="14">
        <v>1434</v>
      </c>
    </row>
    <row r="125" spans="1:4" x14ac:dyDescent="0.25">
      <c r="A125" s="14" t="s">
        <v>58</v>
      </c>
      <c r="B125" s="14">
        <v>10140001</v>
      </c>
      <c r="C125" s="14" t="s">
        <v>285</v>
      </c>
      <c r="D125" s="14">
        <v>2102.7800000000002</v>
      </c>
    </row>
    <row r="126" spans="1:4" x14ac:dyDescent="0.25">
      <c r="A126" s="14" t="s">
        <v>58</v>
      </c>
      <c r="B126" s="14">
        <v>10140194</v>
      </c>
      <c r="C126" s="14" t="s">
        <v>286</v>
      </c>
      <c r="D126" s="14">
        <v>541</v>
      </c>
    </row>
    <row r="127" spans="1:4" x14ac:dyDescent="0.25">
      <c r="A127" s="14" t="s">
        <v>58</v>
      </c>
      <c r="B127" s="14">
        <v>10600005</v>
      </c>
      <c r="C127" s="14" t="s">
        <v>287</v>
      </c>
      <c r="D127" s="14">
        <v>6400</v>
      </c>
    </row>
    <row r="128" spans="1:4" x14ac:dyDescent="0.25">
      <c r="A128" s="14" t="s">
        <v>58</v>
      </c>
      <c r="B128" s="14">
        <v>10600001</v>
      </c>
      <c r="C128" s="14" t="s">
        <v>288</v>
      </c>
      <c r="D128" s="14">
        <v>10859</v>
      </c>
    </row>
    <row r="129" spans="1:4" x14ac:dyDescent="0.25">
      <c r="A129" s="14" t="s">
        <v>58</v>
      </c>
      <c r="B129" s="14">
        <v>10140180</v>
      </c>
      <c r="C129" s="14" t="s">
        <v>289</v>
      </c>
      <c r="D129" s="14">
        <v>2560</v>
      </c>
    </row>
    <row r="130" spans="1:4" x14ac:dyDescent="0.25">
      <c r="A130" s="14" t="s">
        <v>58</v>
      </c>
      <c r="B130" s="14">
        <v>10600004</v>
      </c>
      <c r="C130" s="14" t="s">
        <v>290</v>
      </c>
      <c r="D130" s="14">
        <v>4931</v>
      </c>
    </row>
    <row r="131" spans="1:4" x14ac:dyDescent="0.25">
      <c r="A131" s="14" t="s">
        <v>58</v>
      </c>
      <c r="B131" s="14">
        <v>10600004</v>
      </c>
      <c r="C131" s="14" t="s">
        <v>291</v>
      </c>
      <c r="D131" s="14">
        <v>189</v>
      </c>
    </row>
    <row r="132" spans="1:4" x14ac:dyDescent="0.25">
      <c r="A132" s="14" t="s">
        <v>58</v>
      </c>
      <c r="B132" s="14">
        <v>10600008</v>
      </c>
      <c r="C132" s="14" t="s">
        <v>292</v>
      </c>
      <c r="D132" s="14">
        <v>4752</v>
      </c>
    </row>
    <row r="133" spans="1:4" x14ac:dyDescent="0.25">
      <c r="A133" s="14" t="s">
        <v>58</v>
      </c>
      <c r="B133" s="14">
        <v>10140098</v>
      </c>
      <c r="C133" s="14" t="s">
        <v>293</v>
      </c>
      <c r="D133" s="14">
        <v>15818</v>
      </c>
    </row>
    <row r="134" spans="1:4" x14ac:dyDescent="0.25">
      <c r="A134" s="14" t="s">
        <v>58</v>
      </c>
      <c r="B134" s="14">
        <v>10140185</v>
      </c>
      <c r="C134" s="14" t="s">
        <v>294</v>
      </c>
      <c r="D134" s="14">
        <v>6400</v>
      </c>
    </row>
    <row r="135" spans="1:4" x14ac:dyDescent="0.25">
      <c r="A135" s="14" t="s">
        <v>58</v>
      </c>
      <c r="B135" s="14">
        <v>10140055</v>
      </c>
      <c r="C135" s="14" t="s">
        <v>295</v>
      </c>
      <c r="D135" s="14">
        <v>2540</v>
      </c>
    </row>
    <row r="136" spans="1:4" x14ac:dyDescent="0.25">
      <c r="A136" s="14" t="s">
        <v>58</v>
      </c>
      <c r="B136" s="14">
        <v>10140099</v>
      </c>
      <c r="C136" s="14" t="s">
        <v>296</v>
      </c>
      <c r="D136" s="14">
        <v>650</v>
      </c>
    </row>
    <row r="137" spans="1:4" x14ac:dyDescent="0.25">
      <c r="A137" s="14" t="s">
        <v>58</v>
      </c>
      <c r="B137" s="14">
        <v>10140012</v>
      </c>
      <c r="C137" s="14" t="s">
        <v>297</v>
      </c>
      <c r="D137" s="14">
        <v>1300</v>
      </c>
    </row>
    <row r="138" spans="1:4" x14ac:dyDescent="0.25">
      <c r="A138" s="14" t="s">
        <v>58</v>
      </c>
      <c r="B138" s="14">
        <v>10070077</v>
      </c>
      <c r="C138" s="14" t="s">
        <v>298</v>
      </c>
      <c r="D138" s="14">
        <v>1300</v>
      </c>
    </row>
    <row r="139" spans="1:4" x14ac:dyDescent="0.25">
      <c r="A139" s="14" t="s">
        <v>58</v>
      </c>
      <c r="B139" s="14">
        <v>10070077</v>
      </c>
      <c r="C139" s="14" t="s">
        <v>299</v>
      </c>
      <c r="D139" s="14">
        <v>1300</v>
      </c>
    </row>
    <row r="140" spans="1:4" x14ac:dyDescent="0.25">
      <c r="A140" s="14" t="s">
        <v>58</v>
      </c>
      <c r="B140" s="14">
        <v>10070077</v>
      </c>
      <c r="C140" s="14" t="s">
        <v>300</v>
      </c>
      <c r="D140" s="14">
        <v>1300</v>
      </c>
    </row>
    <row r="141" spans="1:4" x14ac:dyDescent="0.25">
      <c r="A141" s="14" t="s">
        <v>58</v>
      </c>
      <c r="B141" s="14">
        <v>10070063</v>
      </c>
      <c r="C141" s="14" t="s">
        <v>301</v>
      </c>
      <c r="D141" s="14">
        <v>13000</v>
      </c>
    </row>
    <row r="142" spans="1:4" x14ac:dyDescent="0.25">
      <c r="A142" s="14" t="s">
        <v>58</v>
      </c>
      <c r="B142" s="14">
        <v>10100003</v>
      </c>
      <c r="C142" s="14" t="s">
        <v>302</v>
      </c>
      <c r="D142" s="14">
        <v>6500</v>
      </c>
    </row>
    <row r="143" spans="1:4" x14ac:dyDescent="0.25">
      <c r="A143" s="14" t="s">
        <v>58</v>
      </c>
      <c r="B143" s="14">
        <v>10100003</v>
      </c>
      <c r="C143" s="14" t="s">
        <v>303</v>
      </c>
      <c r="D143" s="14">
        <v>6500</v>
      </c>
    </row>
    <row r="144" spans="1:4" x14ac:dyDescent="0.25">
      <c r="A144" s="14" t="s">
        <v>58</v>
      </c>
      <c r="B144" s="14">
        <v>10120089</v>
      </c>
      <c r="C144" s="14" t="s">
        <v>304</v>
      </c>
      <c r="D144" s="14">
        <v>2700</v>
      </c>
    </row>
    <row r="145" spans="1:4" x14ac:dyDescent="0.25">
      <c r="A145" s="14" t="s">
        <v>58</v>
      </c>
      <c r="B145" s="14">
        <v>10120015</v>
      </c>
      <c r="C145" s="14" t="s">
        <v>305</v>
      </c>
      <c r="D145" s="14">
        <v>1350</v>
      </c>
    </row>
    <row r="146" spans="1:4" x14ac:dyDescent="0.25">
      <c r="A146" s="14" t="s">
        <v>58</v>
      </c>
      <c r="B146" s="14">
        <v>10110144</v>
      </c>
      <c r="C146" s="14" t="s">
        <v>306</v>
      </c>
      <c r="D146" s="14">
        <v>14434</v>
      </c>
    </row>
    <row r="147" spans="1:4" x14ac:dyDescent="0.25">
      <c r="A147" s="14" t="s">
        <v>58</v>
      </c>
      <c r="B147" s="14">
        <v>10540008</v>
      </c>
      <c r="C147" s="14" t="s">
        <v>307</v>
      </c>
      <c r="D147" s="14">
        <v>1350</v>
      </c>
    </row>
    <row r="148" spans="1:4" x14ac:dyDescent="0.25">
      <c r="A148" s="14" t="s">
        <v>58</v>
      </c>
      <c r="B148" s="14">
        <v>10540008</v>
      </c>
      <c r="C148" s="14" t="s">
        <v>308</v>
      </c>
      <c r="D148" s="14">
        <v>1350</v>
      </c>
    </row>
    <row r="149" spans="1:4" x14ac:dyDescent="0.25">
      <c r="A149" s="14" t="s">
        <v>58</v>
      </c>
      <c r="B149" s="14">
        <v>10110140</v>
      </c>
      <c r="C149" s="14" t="s">
        <v>309</v>
      </c>
      <c r="D149" s="14">
        <v>3255</v>
      </c>
    </row>
    <row r="150" spans="1:4" x14ac:dyDescent="0.25">
      <c r="A150" s="14" t="s">
        <v>58</v>
      </c>
      <c r="B150" s="14">
        <v>10110149</v>
      </c>
      <c r="C150" s="14" t="s">
        <v>310</v>
      </c>
      <c r="D150" s="14">
        <v>1857</v>
      </c>
    </row>
    <row r="151" spans="1:4" x14ac:dyDescent="0.25">
      <c r="A151" s="14" t="s">
        <v>58</v>
      </c>
      <c r="B151" s="14">
        <v>10110100</v>
      </c>
      <c r="C151" s="14" t="s">
        <v>311</v>
      </c>
      <c r="D151" s="14">
        <v>1352</v>
      </c>
    </row>
    <row r="152" spans="1:4" x14ac:dyDescent="0.25">
      <c r="A152" s="14" t="s">
        <v>58</v>
      </c>
      <c r="B152" s="14">
        <v>10110100</v>
      </c>
      <c r="C152" s="14" t="s">
        <v>312</v>
      </c>
      <c r="D152" s="14">
        <v>1250</v>
      </c>
    </row>
    <row r="153" spans="1:4" x14ac:dyDescent="0.25">
      <c r="A153" s="14" t="s">
        <v>58</v>
      </c>
      <c r="B153" s="14">
        <v>10110100</v>
      </c>
      <c r="C153" s="14" t="s">
        <v>313</v>
      </c>
      <c r="D153" s="14">
        <v>1233</v>
      </c>
    </row>
    <row r="154" spans="1:4" x14ac:dyDescent="0.25">
      <c r="A154" s="14" t="s">
        <v>58</v>
      </c>
      <c r="B154" s="14">
        <v>10110100</v>
      </c>
      <c r="C154" s="14" t="s">
        <v>314</v>
      </c>
      <c r="D154" s="14">
        <v>1200</v>
      </c>
    </row>
    <row r="155" spans="1:4" x14ac:dyDescent="0.25">
      <c r="A155" s="14" t="s">
        <v>58</v>
      </c>
      <c r="B155" s="14">
        <v>10080052</v>
      </c>
      <c r="C155" s="14" t="s">
        <v>315</v>
      </c>
      <c r="D155" s="14">
        <v>6800</v>
      </c>
    </row>
    <row r="156" spans="1:4" x14ac:dyDescent="0.25">
      <c r="A156" s="14" t="s">
        <v>58</v>
      </c>
      <c r="B156" s="14">
        <v>10080119</v>
      </c>
      <c r="C156" s="14" t="s">
        <v>316</v>
      </c>
      <c r="D156" s="14">
        <v>3900</v>
      </c>
    </row>
    <row r="157" spans="1:4" x14ac:dyDescent="0.25">
      <c r="A157" s="14" t="s">
        <v>58</v>
      </c>
      <c r="B157" s="14">
        <v>10080119</v>
      </c>
      <c r="C157" s="14" t="s">
        <v>317</v>
      </c>
      <c r="D157" s="14">
        <v>2600</v>
      </c>
    </row>
    <row r="158" spans="1:4" x14ac:dyDescent="0.25">
      <c r="A158" s="14" t="s">
        <v>58</v>
      </c>
      <c r="B158" s="14">
        <v>10120094</v>
      </c>
      <c r="C158" s="14" t="s">
        <v>318</v>
      </c>
      <c r="D158" s="14">
        <v>6750</v>
      </c>
    </row>
    <row r="159" spans="1:4" x14ac:dyDescent="0.25">
      <c r="A159" s="14" t="s">
        <v>62</v>
      </c>
      <c r="B159" s="14"/>
      <c r="C159" s="14"/>
      <c r="D159" s="14">
        <v>439003.78</v>
      </c>
    </row>
    <row r="160" spans="1:4" x14ac:dyDescent="0.25">
      <c r="A160" s="14" t="s">
        <v>59</v>
      </c>
      <c r="B160" s="14">
        <v>10120010</v>
      </c>
      <c r="C160" s="14" t="s">
        <v>65</v>
      </c>
      <c r="D160" s="14">
        <v>4050</v>
      </c>
    </row>
    <row r="161" spans="1:4" x14ac:dyDescent="0.25">
      <c r="A161" s="14" t="s">
        <v>59</v>
      </c>
      <c r="B161" s="14">
        <v>10120013</v>
      </c>
      <c r="C161" s="14" t="s">
        <v>66</v>
      </c>
      <c r="D161" s="14">
        <v>2700</v>
      </c>
    </row>
    <row r="162" spans="1:4" x14ac:dyDescent="0.25">
      <c r="A162" s="14" t="s">
        <v>59</v>
      </c>
      <c r="B162" s="14">
        <v>10130015</v>
      </c>
      <c r="C162" s="14" t="s">
        <v>69</v>
      </c>
      <c r="D162" s="14">
        <v>2700</v>
      </c>
    </row>
    <row r="163" spans="1:4" x14ac:dyDescent="0.25">
      <c r="A163" s="14" t="s">
        <v>59</v>
      </c>
      <c r="B163" s="14">
        <v>10130025</v>
      </c>
      <c r="C163" s="14" t="s">
        <v>70</v>
      </c>
      <c r="D163" s="14">
        <v>3000</v>
      </c>
    </row>
    <row r="164" spans="1:4" x14ac:dyDescent="0.25">
      <c r="A164" s="14" t="s">
        <v>59</v>
      </c>
      <c r="B164" s="14">
        <v>10130031</v>
      </c>
      <c r="C164" s="14" t="s">
        <v>73</v>
      </c>
      <c r="D164" s="14">
        <v>3000</v>
      </c>
    </row>
    <row r="165" spans="1:4" x14ac:dyDescent="0.25">
      <c r="A165" s="14" t="s">
        <v>59</v>
      </c>
      <c r="B165" s="14">
        <v>10130018</v>
      </c>
      <c r="C165" s="14" t="s">
        <v>80</v>
      </c>
      <c r="D165" s="14">
        <v>1350</v>
      </c>
    </row>
    <row r="166" spans="1:4" x14ac:dyDescent="0.25">
      <c r="A166" s="14" t="s">
        <v>59</v>
      </c>
      <c r="B166" s="14">
        <v>10120001</v>
      </c>
      <c r="C166" s="14" t="s">
        <v>81</v>
      </c>
      <c r="D166" s="14">
        <v>4350</v>
      </c>
    </row>
    <row r="167" spans="1:4" x14ac:dyDescent="0.25">
      <c r="A167" s="14" t="s">
        <v>59</v>
      </c>
      <c r="B167" s="14">
        <v>10120096</v>
      </c>
      <c r="C167" s="14" t="s">
        <v>319</v>
      </c>
      <c r="D167" s="14">
        <v>25000</v>
      </c>
    </row>
    <row r="168" spans="1:4" x14ac:dyDescent="0.25">
      <c r="A168" s="14" t="s">
        <v>59</v>
      </c>
      <c r="B168" s="14">
        <v>10130080</v>
      </c>
      <c r="C168" s="14" t="s">
        <v>320</v>
      </c>
      <c r="D168" s="14">
        <v>1500</v>
      </c>
    </row>
    <row r="169" spans="1:4" x14ac:dyDescent="0.25">
      <c r="A169" s="14" t="s">
        <v>59</v>
      </c>
      <c r="B169" s="14">
        <v>10530063</v>
      </c>
      <c r="C169" s="14" t="s">
        <v>321</v>
      </c>
      <c r="D169" s="14">
        <v>3000</v>
      </c>
    </row>
    <row r="170" spans="1:4" x14ac:dyDescent="0.25">
      <c r="A170" s="14" t="s">
        <v>59</v>
      </c>
      <c r="B170" s="14">
        <v>10530031</v>
      </c>
      <c r="C170" s="14" t="s">
        <v>322</v>
      </c>
      <c r="D170" s="14">
        <v>1500</v>
      </c>
    </row>
    <row r="171" spans="1:4" x14ac:dyDescent="0.25">
      <c r="A171" s="14" t="s">
        <v>59</v>
      </c>
      <c r="B171" s="14">
        <v>10530089</v>
      </c>
      <c r="C171" s="14" t="s">
        <v>323</v>
      </c>
      <c r="D171" s="14">
        <v>1350</v>
      </c>
    </row>
    <row r="172" spans="1:4" x14ac:dyDescent="0.25">
      <c r="A172" s="14" t="s">
        <v>59</v>
      </c>
      <c r="B172" s="14">
        <v>10530017</v>
      </c>
      <c r="C172" s="14" t="s">
        <v>324</v>
      </c>
      <c r="D172" s="14">
        <v>7500</v>
      </c>
    </row>
    <row r="173" spans="1:4" x14ac:dyDescent="0.25">
      <c r="A173" s="14" t="s">
        <v>59</v>
      </c>
      <c r="B173" s="14">
        <v>10070003</v>
      </c>
      <c r="C173" s="14" t="s">
        <v>325</v>
      </c>
      <c r="D173" s="14">
        <v>6500</v>
      </c>
    </row>
    <row r="174" spans="1:4" x14ac:dyDescent="0.25">
      <c r="A174" s="14" t="s">
        <v>59</v>
      </c>
      <c r="B174" s="14">
        <v>10530018</v>
      </c>
      <c r="C174" s="14" t="s">
        <v>326</v>
      </c>
      <c r="D174" s="14">
        <v>1350</v>
      </c>
    </row>
    <row r="175" spans="1:4" x14ac:dyDescent="0.25">
      <c r="A175" s="14" t="s">
        <v>59</v>
      </c>
      <c r="B175" s="14">
        <v>10080004</v>
      </c>
      <c r="C175" s="14" t="s">
        <v>327</v>
      </c>
      <c r="D175" s="14">
        <v>1300</v>
      </c>
    </row>
    <row r="176" spans="1:4" x14ac:dyDescent="0.25">
      <c r="A176" s="14" t="s">
        <v>59</v>
      </c>
      <c r="B176" s="14">
        <v>10080013</v>
      </c>
      <c r="C176" s="14" t="s">
        <v>328</v>
      </c>
      <c r="D176" s="14">
        <v>6500</v>
      </c>
    </row>
    <row r="177" spans="1:4" x14ac:dyDescent="0.25">
      <c r="A177" s="14" t="s">
        <v>75</v>
      </c>
      <c r="B177" s="14"/>
      <c r="C177" s="14"/>
      <c r="D177" s="14">
        <v>76650</v>
      </c>
    </row>
    <row r="178" spans="1:4" x14ac:dyDescent="0.25">
      <c r="A178" s="14" t="s">
        <v>174</v>
      </c>
      <c r="B178" s="14">
        <v>10010145</v>
      </c>
      <c r="C178" s="14" t="s">
        <v>329</v>
      </c>
      <c r="D178" s="14">
        <v>1300</v>
      </c>
    </row>
    <row r="179" spans="1:4" x14ac:dyDescent="0.25">
      <c r="A179" s="14" t="s">
        <v>174</v>
      </c>
      <c r="B179" s="14">
        <v>10530111</v>
      </c>
      <c r="C179" s="14" t="s">
        <v>330</v>
      </c>
      <c r="D179" s="14">
        <v>1500</v>
      </c>
    </row>
    <row r="180" spans="1:4" x14ac:dyDescent="0.25">
      <c r="A180" s="14" t="s">
        <v>174</v>
      </c>
      <c r="B180" s="14">
        <v>10600013</v>
      </c>
      <c r="C180" s="14" t="s">
        <v>331</v>
      </c>
      <c r="D180" s="14">
        <v>2600</v>
      </c>
    </row>
    <row r="181" spans="1:4" x14ac:dyDescent="0.25">
      <c r="A181" s="14" t="s">
        <v>174</v>
      </c>
      <c r="B181" s="14">
        <v>10600012</v>
      </c>
      <c r="C181" s="14" t="s">
        <v>332</v>
      </c>
      <c r="D181" s="14">
        <v>2600</v>
      </c>
    </row>
    <row r="182" spans="1:4" x14ac:dyDescent="0.25">
      <c r="A182" s="14" t="s">
        <v>174</v>
      </c>
      <c r="B182" s="14">
        <v>10540046</v>
      </c>
      <c r="C182" s="14" t="s">
        <v>333</v>
      </c>
      <c r="D182" s="14">
        <v>6750</v>
      </c>
    </row>
    <row r="183" spans="1:4" x14ac:dyDescent="0.25">
      <c r="A183" s="14" t="s">
        <v>175</v>
      </c>
      <c r="B183" s="14"/>
      <c r="C183" s="14"/>
      <c r="D183" s="14">
        <v>14750</v>
      </c>
    </row>
    <row r="184" spans="1:4" x14ac:dyDescent="0.25">
      <c r="A184" s="14" t="s">
        <v>60</v>
      </c>
      <c r="B184" s="14"/>
      <c r="C184" s="14"/>
      <c r="D184" s="14">
        <v>530403.78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Rates</vt:lpstr>
      <vt:lpstr>Sheet1</vt:lpstr>
      <vt:lpstr>Sheet2</vt:lpstr>
      <vt:lpstr>CF indent 01-07th May-26</vt:lpstr>
      <vt:lpstr>Sheet4</vt:lpstr>
      <vt:lpstr>Sheet3</vt:lpstr>
      <vt:lpstr>'CF indent 01-07th May-26'!Print_Area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2024-05-08T08:39:32Z</dcterms:created>
  <dcterms:modified xsi:type="dcterms:W3CDTF">2026-05-29T06:37:30Z</dcterms:modified>
</cp:coreProperties>
</file>